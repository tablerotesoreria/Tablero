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maurino\Documents\GitHub\Tablero\data\"/>
    </mc:Choice>
  </mc:AlternateContent>
  <xr:revisionPtr revIDLastSave="0" documentId="13_ncr:1_{35137E6F-3EA2-4C2F-84F1-16080FD0D191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INFORME HISTORICO" sheetId="27" state="hidden" r:id="rId1"/>
    <sheet name="Dashboard" sheetId="57" r:id="rId2"/>
    <sheet name="CARGA" sheetId="2" r:id="rId3"/>
    <sheet name="MAESTRO" sheetId="10" r:id="rId4"/>
    <sheet name="Detalle1" sheetId="44" state="hidden" r:id="rId5"/>
    <sheet name="Detalle2" sheetId="45" state="hidden" r:id="rId6"/>
    <sheet name="Detalle3" sheetId="46" state="hidden" r:id="rId7"/>
    <sheet name="Detalle4" sheetId="47" state="hidden" r:id="rId8"/>
    <sheet name="Detalle5" sheetId="48" state="hidden" r:id="rId9"/>
    <sheet name="Detalle6" sheetId="49" state="hidden" r:id="rId10"/>
    <sheet name="tabla" sheetId="26" r:id="rId11"/>
    <sheet name="Hoja1" sheetId="28" state="hidden" r:id="rId12"/>
  </sheets>
  <externalReferences>
    <externalReference r:id="rId13"/>
    <externalReference r:id="rId14"/>
  </externalReferences>
  <definedNames>
    <definedName name="_xlnm._FilterDatabase" localSheetId="0" hidden="1">'INFORME HISTORICO'!$A$14:$A$15</definedName>
    <definedName name="_xlnm._FilterDatabase" localSheetId="3" hidden="1">MAESTRO!$D$1:$F$102</definedName>
    <definedName name="_xleta.PY" hidden="1" xlm="1">#NAME?</definedName>
  </definedNames>
  <calcPr calcId="191029"/>
  <pivotCaches>
    <pivotCache cacheId="6" r:id="rId15"/>
    <pivotCache cacheId="7" r:id="rId16"/>
    <pivotCache cacheId="18" r:id="rId1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39" i="2" l="1"/>
  <c r="H1539" i="2"/>
  <c r="M1539" i="2"/>
  <c r="G1538" i="2"/>
  <c r="H1538" i="2"/>
  <c r="M1538" i="2"/>
  <c r="G1537" i="2"/>
  <c r="H1537" i="2"/>
  <c r="M1537" i="2"/>
  <c r="G1536" i="2"/>
  <c r="H1536" i="2"/>
  <c r="M1536" i="2"/>
  <c r="G1535" i="2"/>
  <c r="H1535" i="2"/>
  <c r="M1535" i="2"/>
  <c r="G1534" i="2"/>
  <c r="H1534" i="2"/>
  <c r="M1534" i="2"/>
  <c r="G1533" i="2"/>
  <c r="H1533" i="2"/>
  <c r="M1533" i="2"/>
  <c r="G1532" i="2"/>
  <c r="H1532" i="2"/>
  <c r="M1532" i="2"/>
  <c r="G1531" i="2"/>
  <c r="H1531" i="2"/>
  <c r="M1531" i="2"/>
  <c r="G1530" i="2"/>
  <c r="H1530" i="2"/>
  <c r="M1530" i="2"/>
  <c r="G1529" i="2"/>
  <c r="H1529" i="2"/>
  <c r="M1529" i="2"/>
  <c r="G1527" i="2"/>
  <c r="H1527" i="2"/>
  <c r="M1527" i="2"/>
  <c r="G1526" i="2"/>
  <c r="H1526" i="2"/>
  <c r="M1526" i="2"/>
  <c r="G1528" i="2"/>
  <c r="H1528" i="2"/>
  <c r="M1528" i="2"/>
  <c r="G1525" i="2"/>
  <c r="H1525" i="2"/>
  <c r="M1525" i="2"/>
  <c r="G1524" i="2"/>
  <c r="H1524" i="2"/>
  <c r="M1524" i="2"/>
  <c r="G1523" i="2"/>
  <c r="H1523" i="2"/>
  <c r="M1523" i="2"/>
  <c r="G1522" i="2"/>
  <c r="H1522" i="2"/>
  <c r="M1522" i="2"/>
  <c r="G1521" i="2"/>
  <c r="H1521" i="2"/>
  <c r="M1521" i="2"/>
  <c r="G1520" i="2"/>
  <c r="H1520" i="2"/>
  <c r="M1520" i="2"/>
  <c r="G1519" i="2"/>
  <c r="H1519" i="2"/>
  <c r="M1519" i="2"/>
  <c r="G1518" i="2"/>
  <c r="H1518" i="2"/>
  <c r="M1518" i="2"/>
  <c r="G1517" i="2"/>
  <c r="H1517" i="2"/>
  <c r="M1517" i="2"/>
  <c r="G1516" i="2"/>
  <c r="H1516" i="2"/>
  <c r="M1516" i="2"/>
  <c r="G1515" i="2"/>
  <c r="H1515" i="2"/>
  <c r="M1515" i="2"/>
  <c r="G1514" i="2"/>
  <c r="H1514" i="2"/>
  <c r="M1514" i="2"/>
  <c r="G1513" i="2"/>
  <c r="H1513" i="2"/>
  <c r="M1513" i="2"/>
  <c r="G1512" i="2"/>
  <c r="H1512" i="2"/>
  <c r="M1512" i="2"/>
  <c r="G1479" i="2"/>
  <c r="H1479" i="2"/>
  <c r="M1479" i="2"/>
  <c r="G1511" i="2"/>
  <c r="H1511" i="2"/>
  <c r="M1511" i="2"/>
  <c r="G1510" i="2"/>
  <c r="H1510" i="2"/>
  <c r="M1510" i="2"/>
  <c r="G1509" i="2"/>
  <c r="H1509" i="2"/>
  <c r="M1509" i="2"/>
  <c r="G1508" i="2"/>
  <c r="H1508" i="2"/>
  <c r="M1508" i="2"/>
  <c r="G1507" i="2"/>
  <c r="H1507" i="2"/>
  <c r="M1507" i="2"/>
  <c r="G1506" i="2"/>
  <c r="H1506" i="2"/>
  <c r="M1506" i="2"/>
  <c r="G1505" i="2"/>
  <c r="H1505" i="2"/>
  <c r="M1505" i="2"/>
  <c r="G1504" i="2"/>
  <c r="H1504" i="2"/>
  <c r="M1504" i="2"/>
  <c r="G1501" i="2"/>
  <c r="H1501" i="2"/>
  <c r="L1501" i="2"/>
  <c r="M1501" i="2"/>
  <c r="G1503" i="2"/>
  <c r="H1503" i="2"/>
  <c r="M1503" i="2"/>
  <c r="G1502" i="2"/>
  <c r="H1502" i="2"/>
  <c r="M1502" i="2"/>
  <c r="G1500" i="2"/>
  <c r="H1500" i="2"/>
  <c r="M1500" i="2"/>
  <c r="G1499" i="2"/>
  <c r="H1499" i="2"/>
  <c r="M1499" i="2"/>
  <c r="G1498" i="2"/>
  <c r="H1498" i="2"/>
  <c r="M1498" i="2"/>
  <c r="G1497" i="2"/>
  <c r="H1497" i="2"/>
  <c r="M1497" i="2"/>
  <c r="G1496" i="2"/>
  <c r="H1496" i="2"/>
  <c r="M1496" i="2"/>
  <c r="G1495" i="2"/>
  <c r="H1495" i="2"/>
  <c r="M1495" i="2"/>
  <c r="G1494" i="2"/>
  <c r="H1494" i="2"/>
  <c r="M1494" i="2"/>
  <c r="G1493" i="2" l="1"/>
  <c r="H1493" i="2"/>
  <c r="M1493" i="2"/>
  <c r="G1492" i="2"/>
  <c r="H1492" i="2"/>
  <c r="M1492" i="2"/>
  <c r="G1491" i="2"/>
  <c r="H1491" i="2"/>
  <c r="M1491" i="2"/>
  <c r="G1490" i="2"/>
  <c r="H1490" i="2"/>
  <c r="M1490" i="2"/>
  <c r="G1489" i="2"/>
  <c r="H1489" i="2"/>
  <c r="M1489" i="2"/>
  <c r="G1488" i="2"/>
  <c r="H1488" i="2"/>
  <c r="M1488" i="2"/>
  <c r="G1487" i="2"/>
  <c r="H1487" i="2"/>
  <c r="M1487" i="2"/>
  <c r="G1486" i="2"/>
  <c r="H1486" i="2"/>
  <c r="M1486" i="2"/>
  <c r="G1485" i="2"/>
  <c r="H1485" i="2"/>
  <c r="M1485" i="2"/>
  <c r="G1484" i="2"/>
  <c r="H1484" i="2"/>
  <c r="M1484" i="2"/>
  <c r="G1483" i="2"/>
  <c r="H1483" i="2"/>
  <c r="M1483" i="2"/>
  <c r="G1482" i="2"/>
  <c r="H1482" i="2"/>
  <c r="M1482" i="2"/>
  <c r="G1481" i="2"/>
  <c r="H1481" i="2"/>
  <c r="M1481" i="2"/>
  <c r="G1480" i="2"/>
  <c r="H1480" i="2"/>
  <c r="M1480" i="2"/>
  <c r="G1478" i="2"/>
  <c r="H1478" i="2"/>
  <c r="M1478" i="2"/>
  <c r="G1477" i="2"/>
  <c r="H1477" i="2"/>
  <c r="M1477" i="2"/>
  <c r="G1476" i="2"/>
  <c r="H1476" i="2"/>
  <c r="M1476" i="2"/>
  <c r="G1475" i="2"/>
  <c r="H1475" i="2"/>
  <c r="M1475" i="2"/>
  <c r="G1474" i="2"/>
  <c r="H1474" i="2"/>
  <c r="M1474" i="2"/>
  <c r="G1473" i="2"/>
  <c r="H1473" i="2"/>
  <c r="M1473" i="2"/>
  <c r="G1472" i="2"/>
  <c r="H1472" i="2"/>
  <c r="M1472" i="2"/>
  <c r="G1471" i="2"/>
  <c r="H1471" i="2"/>
  <c r="M1471" i="2"/>
  <c r="G1470" i="2"/>
  <c r="H1470" i="2"/>
  <c r="M1470" i="2"/>
  <c r="G1469" i="2"/>
  <c r="H1469" i="2"/>
  <c r="M1469" i="2"/>
  <c r="G1468" i="2"/>
  <c r="H1468" i="2"/>
  <c r="M1468" i="2"/>
  <c r="G1467" i="2"/>
  <c r="H1467" i="2"/>
  <c r="M1467" i="2"/>
  <c r="G1466" i="2"/>
  <c r="H1466" i="2"/>
  <c r="M1466" i="2"/>
  <c r="G1465" i="2"/>
  <c r="H1465" i="2"/>
  <c r="L1465" i="2"/>
  <c r="M1465" i="2"/>
  <c r="G1464" i="2"/>
  <c r="H1464" i="2"/>
  <c r="M1464" i="2"/>
  <c r="G1463" i="2"/>
  <c r="H1463" i="2"/>
  <c r="M1463" i="2"/>
  <c r="G1462" i="2"/>
  <c r="H1462" i="2"/>
  <c r="M1462" i="2"/>
  <c r="G1461" i="2"/>
  <c r="H1461" i="2"/>
  <c r="M1461" i="2"/>
  <c r="G1460" i="2"/>
  <c r="H1460" i="2"/>
  <c r="M1460" i="2"/>
  <c r="G1459" i="2"/>
  <c r="H1459" i="2"/>
  <c r="M1459" i="2"/>
  <c r="G1458" i="2"/>
  <c r="H1458" i="2"/>
  <c r="M1458" i="2"/>
  <c r="G1457" i="2"/>
  <c r="H1457" i="2"/>
  <c r="M1457" i="2"/>
  <c r="G1456" i="2"/>
  <c r="H1456" i="2"/>
  <c r="M1456" i="2"/>
  <c r="G1455" i="2"/>
  <c r="H1455" i="2"/>
  <c r="M1455" i="2"/>
  <c r="G1454" i="2"/>
  <c r="H1454" i="2"/>
  <c r="M1454" i="2"/>
  <c r="G1453" i="2"/>
  <c r="H1453" i="2"/>
  <c r="M1453" i="2"/>
  <c r="G1452" i="2"/>
  <c r="H1452" i="2"/>
  <c r="M1452" i="2"/>
  <c r="G1451" i="2"/>
  <c r="H1451" i="2"/>
  <c r="M1451" i="2"/>
  <c r="G1450" i="2"/>
  <c r="H1450" i="2"/>
  <c r="M1450" i="2"/>
  <c r="G1449" i="2"/>
  <c r="H1449" i="2"/>
  <c r="M1449" i="2"/>
  <c r="G1448" i="2"/>
  <c r="H1448" i="2"/>
  <c r="M1448" i="2"/>
  <c r="G1447" i="2"/>
  <c r="H1447" i="2"/>
  <c r="M1447" i="2"/>
  <c r="G1446" i="2"/>
  <c r="H1446" i="2"/>
  <c r="M1446" i="2"/>
  <c r="G1445" i="2"/>
  <c r="H1445" i="2"/>
  <c r="M1445" i="2"/>
  <c r="G1444" i="2"/>
  <c r="H1444" i="2"/>
  <c r="M1444" i="2"/>
  <c r="G1443" i="2"/>
  <c r="H1443" i="2"/>
  <c r="M1443" i="2"/>
  <c r="G1442" i="2"/>
  <c r="H1442" i="2"/>
  <c r="M1442" i="2"/>
  <c r="G1441" i="2"/>
  <c r="H1441" i="2"/>
  <c r="M1441" i="2"/>
  <c r="G1440" i="2"/>
  <c r="H1440" i="2"/>
  <c r="M1440" i="2"/>
  <c r="G1439" i="2"/>
  <c r="H1439" i="2"/>
  <c r="M1439" i="2"/>
  <c r="G1438" i="2"/>
  <c r="H1438" i="2"/>
  <c r="M1438" i="2"/>
  <c r="G1437" i="2"/>
  <c r="H1437" i="2"/>
  <c r="M1437" i="2"/>
  <c r="G1436" i="2"/>
  <c r="H1436" i="2"/>
  <c r="M1436" i="2"/>
  <c r="G1435" i="2"/>
  <c r="H1435" i="2"/>
  <c r="M1435" i="2"/>
  <c r="G1434" i="2"/>
  <c r="H1434" i="2"/>
  <c r="M1434" i="2"/>
  <c r="G1433" i="2"/>
  <c r="H1433" i="2"/>
  <c r="M1433" i="2"/>
  <c r="G1432" i="2"/>
  <c r="H1432" i="2"/>
  <c r="M1432" i="2"/>
  <c r="G1431" i="2"/>
  <c r="H1431" i="2"/>
  <c r="M1431" i="2"/>
  <c r="G1430" i="2"/>
  <c r="H1430" i="2"/>
  <c r="M1430" i="2"/>
  <c r="G1429" i="2"/>
  <c r="H1429" i="2"/>
  <c r="M1429" i="2"/>
  <c r="G1428" i="2"/>
  <c r="H1428" i="2"/>
  <c r="M1428" i="2"/>
  <c r="G1427" i="2"/>
  <c r="H1427" i="2"/>
  <c r="L1427" i="2"/>
  <c r="M1427" i="2"/>
  <c r="G1426" i="2"/>
  <c r="H1426" i="2"/>
  <c r="M1426" i="2"/>
  <c r="G1425" i="2"/>
  <c r="H1425" i="2"/>
  <c r="M1425" i="2"/>
  <c r="G1424" i="2"/>
  <c r="H1424" i="2"/>
  <c r="M1424" i="2"/>
  <c r="G1423" i="2"/>
  <c r="H1423" i="2"/>
  <c r="M1423" i="2"/>
  <c r="G1422" i="2"/>
  <c r="H1422" i="2"/>
  <c r="M1422" i="2"/>
  <c r="G1421" i="2"/>
  <c r="H1421" i="2"/>
  <c r="M1421" i="2"/>
  <c r="G1420" i="2"/>
  <c r="H1420" i="2"/>
  <c r="M1420" i="2"/>
  <c r="G1419" i="2"/>
  <c r="H1419" i="2"/>
  <c r="M1419" i="2"/>
  <c r="G1418" i="2"/>
  <c r="H1418" i="2"/>
  <c r="M1418" i="2"/>
  <c r="G1417" i="2"/>
  <c r="H1417" i="2"/>
  <c r="M1417" i="2"/>
  <c r="G1416" i="2"/>
  <c r="H1416" i="2"/>
  <c r="M1416" i="2"/>
  <c r="G1415" i="2"/>
  <c r="H1415" i="2"/>
  <c r="L1415" i="2"/>
  <c r="M1415" i="2"/>
  <c r="G1414" i="2"/>
  <c r="H1414" i="2"/>
  <c r="M1414" i="2"/>
  <c r="G1413" i="2"/>
  <c r="H1413" i="2"/>
  <c r="M1413" i="2"/>
  <c r="G1412" i="2"/>
  <c r="H1412" i="2"/>
  <c r="M1412" i="2"/>
  <c r="G1411" i="2"/>
  <c r="H1411" i="2"/>
  <c r="M1411" i="2"/>
  <c r="G1410" i="2"/>
  <c r="H1410" i="2"/>
  <c r="M1410" i="2"/>
  <c r="G1409" i="2"/>
  <c r="H1409" i="2"/>
  <c r="M1409" i="2"/>
  <c r="G1408" i="2"/>
  <c r="H1408" i="2"/>
  <c r="M1408" i="2"/>
  <c r="G1407" i="2"/>
  <c r="H1407" i="2"/>
  <c r="M1407" i="2"/>
  <c r="G1406" i="2"/>
  <c r="H1406" i="2"/>
  <c r="M1406" i="2"/>
  <c r="G1405" i="2"/>
  <c r="H1405" i="2"/>
  <c r="M1405" i="2"/>
  <c r="G1404" i="2"/>
  <c r="H1404" i="2"/>
  <c r="M1404" i="2"/>
  <c r="G1403" i="2"/>
  <c r="H1403" i="2"/>
  <c r="M1403" i="2"/>
  <c r="G1402" i="2"/>
  <c r="H1402" i="2"/>
  <c r="M1402" i="2"/>
  <c r="G1401" i="2"/>
  <c r="H1401" i="2"/>
  <c r="M1401" i="2"/>
  <c r="G1400" i="2"/>
  <c r="H1400" i="2"/>
  <c r="M1400" i="2"/>
  <c r="G1399" i="2"/>
  <c r="H1399" i="2"/>
  <c r="M1399" i="2"/>
  <c r="G1398" i="2"/>
  <c r="H1398" i="2"/>
  <c r="M1398" i="2"/>
  <c r="G1397" i="2"/>
  <c r="H1397" i="2"/>
  <c r="M1397" i="2"/>
  <c r="G1396" i="2"/>
  <c r="H1396" i="2"/>
  <c r="M1396" i="2"/>
  <c r="G1395" i="2"/>
  <c r="H1395" i="2"/>
  <c r="M1395" i="2"/>
  <c r="G1394" i="2"/>
  <c r="H1394" i="2"/>
  <c r="M1394" i="2"/>
  <c r="G1393" i="2"/>
  <c r="H1393" i="2"/>
  <c r="M1393" i="2"/>
  <c r="G1392" i="2"/>
  <c r="H1392" i="2"/>
  <c r="M1392" i="2"/>
  <c r="G1391" i="2"/>
  <c r="H1391" i="2"/>
  <c r="M1391" i="2"/>
  <c r="G1390" i="2"/>
  <c r="H1390" i="2"/>
  <c r="M1390" i="2"/>
  <c r="G1389" i="2"/>
  <c r="H1389" i="2"/>
  <c r="M1389" i="2"/>
  <c r="G1388" i="2"/>
  <c r="H1388" i="2"/>
  <c r="L1388" i="2"/>
  <c r="M1388" i="2"/>
  <c r="G1387" i="2"/>
  <c r="H1387" i="2"/>
  <c r="M1387" i="2"/>
  <c r="G1386" i="2"/>
  <c r="H1386" i="2"/>
  <c r="M1386" i="2"/>
  <c r="G1385" i="2"/>
  <c r="H1385" i="2"/>
  <c r="M1385" i="2"/>
  <c r="G1384" i="2"/>
  <c r="H1384" i="2"/>
  <c r="M1384" i="2"/>
  <c r="G1383" i="2"/>
  <c r="H1383" i="2"/>
  <c r="M1383" i="2"/>
  <c r="G1382" i="2"/>
  <c r="H1382" i="2"/>
  <c r="M1382" i="2"/>
  <c r="G1381" i="2"/>
  <c r="H1381" i="2"/>
  <c r="M1381" i="2"/>
  <c r="G1380" i="2"/>
  <c r="H1380" i="2"/>
  <c r="M1380" i="2"/>
  <c r="G1379" i="2"/>
  <c r="H1379" i="2"/>
  <c r="M1379" i="2"/>
  <c r="G1378" i="2"/>
  <c r="H1378" i="2"/>
  <c r="M1378" i="2"/>
  <c r="G1377" i="2"/>
  <c r="H1377" i="2"/>
  <c r="M1377" i="2"/>
  <c r="G1376" i="2"/>
  <c r="H1376" i="2"/>
  <c r="M1376" i="2"/>
  <c r="G1375" i="2"/>
  <c r="H1375" i="2"/>
  <c r="M1375" i="2"/>
  <c r="G1374" i="2"/>
  <c r="H1374" i="2"/>
  <c r="M1374" i="2"/>
  <c r="G1373" i="2"/>
  <c r="H1373" i="2"/>
  <c r="M1373" i="2"/>
  <c r="G1372" i="2"/>
  <c r="H1372" i="2"/>
  <c r="M1372" i="2"/>
  <c r="G1371" i="2"/>
  <c r="H1371" i="2"/>
  <c r="M1371" i="2"/>
  <c r="G1370" i="2"/>
  <c r="H1370" i="2"/>
  <c r="M1370" i="2"/>
  <c r="G1369" i="2"/>
  <c r="H1369" i="2"/>
  <c r="M1369" i="2"/>
  <c r="G1368" i="2"/>
  <c r="H1368" i="2"/>
  <c r="M1368" i="2"/>
  <c r="G1367" i="2"/>
  <c r="H1367" i="2"/>
  <c r="M1367" i="2"/>
  <c r="G1366" i="2"/>
  <c r="H1366" i="2"/>
  <c r="M1366" i="2"/>
  <c r="G1365" i="2"/>
  <c r="H1365" i="2"/>
  <c r="M1365" i="2"/>
  <c r="G1364" i="2"/>
  <c r="H1364" i="2"/>
  <c r="M1364" i="2"/>
  <c r="G1316" i="2"/>
  <c r="H1316" i="2"/>
  <c r="M1316" i="2"/>
  <c r="G1363" i="2"/>
  <c r="H1363" i="2"/>
  <c r="M1363" i="2"/>
  <c r="G1362" i="2"/>
  <c r="H1362" i="2"/>
  <c r="M1362" i="2"/>
  <c r="G1361" i="2"/>
  <c r="H1361" i="2"/>
  <c r="M1361" i="2"/>
  <c r="G1360" i="2"/>
  <c r="H1360" i="2"/>
  <c r="M1360" i="2"/>
  <c r="G1359" i="2"/>
  <c r="H1359" i="2"/>
  <c r="M1359" i="2"/>
  <c r="G1358" i="2"/>
  <c r="H1358" i="2"/>
  <c r="M1358" i="2"/>
  <c r="G1309" i="2"/>
  <c r="H1309" i="2"/>
  <c r="M1309" i="2"/>
  <c r="G1330" i="2"/>
  <c r="H1330" i="2"/>
  <c r="M1330" i="2"/>
  <c r="G1357" i="2"/>
  <c r="H1357" i="2"/>
  <c r="M1357" i="2"/>
  <c r="G1356" i="2"/>
  <c r="H1356" i="2"/>
  <c r="M1356" i="2"/>
  <c r="G1355" i="2"/>
  <c r="H1355" i="2"/>
  <c r="M1355" i="2"/>
  <c r="G1354" i="2"/>
  <c r="H1354" i="2"/>
  <c r="M1354" i="2"/>
  <c r="G1353" i="2"/>
  <c r="H1353" i="2"/>
  <c r="M1353" i="2"/>
  <c r="G1352" i="2"/>
  <c r="H1352" i="2"/>
  <c r="M1352" i="2"/>
  <c r="G1351" i="2"/>
  <c r="H1351" i="2"/>
  <c r="M1351" i="2"/>
  <c r="G1350" i="2"/>
  <c r="H1350" i="2"/>
  <c r="M1350" i="2"/>
  <c r="G1349" i="2"/>
  <c r="H1349" i="2"/>
  <c r="M1349" i="2"/>
  <c r="G1348" i="2"/>
  <c r="H1348" i="2"/>
  <c r="M1348" i="2"/>
  <c r="G1347" i="2"/>
  <c r="H1347" i="2"/>
  <c r="M1347" i="2"/>
  <c r="G1346" i="2"/>
  <c r="H1346" i="2"/>
  <c r="M1346" i="2"/>
  <c r="G1345" i="2"/>
  <c r="H1345" i="2"/>
  <c r="M1345" i="2"/>
  <c r="G1344" i="2"/>
  <c r="L1344" i="2" s="1"/>
  <c r="H1344" i="2"/>
  <c r="M1344" i="2"/>
  <c r="G1343" i="2"/>
  <c r="H1343" i="2"/>
  <c r="M1343" i="2"/>
  <c r="G1342" i="2"/>
  <c r="H1342" i="2"/>
  <c r="M1342" i="2"/>
  <c r="G1341" i="2"/>
  <c r="H1341" i="2"/>
  <c r="M1341" i="2"/>
  <c r="G1340" i="2"/>
  <c r="H1340" i="2"/>
  <c r="M1340" i="2"/>
  <c r="G1339" i="2"/>
  <c r="H1339" i="2"/>
  <c r="M1339" i="2"/>
  <c r="G1338" i="2"/>
  <c r="H1338" i="2"/>
  <c r="M1338" i="2"/>
  <c r="G1337" i="2"/>
  <c r="H1337" i="2"/>
  <c r="M1337" i="2"/>
  <c r="G1336" i="2"/>
  <c r="H1336" i="2"/>
  <c r="M1336" i="2"/>
  <c r="G1335" i="2"/>
  <c r="H1335" i="2"/>
  <c r="M1335" i="2"/>
  <c r="G1334" i="2"/>
  <c r="H1334" i="2"/>
  <c r="M1334" i="2"/>
  <c r="G1315" i="2"/>
  <c r="H1315" i="2"/>
  <c r="M1315" i="2"/>
  <c r="G1333" i="2"/>
  <c r="H1333" i="2"/>
  <c r="M1333" i="2"/>
  <c r="G1332" i="2"/>
  <c r="H1332" i="2"/>
  <c r="M1332" i="2"/>
  <c r="G1331" i="2"/>
  <c r="H1331" i="2"/>
  <c r="M1331" i="2"/>
  <c r="G1329" i="2"/>
  <c r="H1329" i="2"/>
  <c r="M1329" i="2"/>
  <c r="G1328" i="2"/>
  <c r="H1328" i="2"/>
  <c r="M1328" i="2"/>
  <c r="G1327" i="2"/>
  <c r="H1327" i="2"/>
  <c r="M1327" i="2"/>
  <c r="G1326" i="2"/>
  <c r="H1326" i="2"/>
  <c r="M1326" i="2"/>
  <c r="G1325" i="2"/>
  <c r="H1325" i="2"/>
  <c r="M1325" i="2"/>
  <c r="G1324" i="2"/>
  <c r="H1324" i="2"/>
  <c r="M1324" i="2"/>
  <c r="G1323" i="2"/>
  <c r="H1323" i="2"/>
  <c r="M1323" i="2"/>
  <c r="G1322" i="2"/>
  <c r="H1322" i="2"/>
  <c r="M1322" i="2"/>
  <c r="G1321" i="2"/>
  <c r="H1321" i="2"/>
  <c r="M1321" i="2"/>
  <c r="G1320" i="2"/>
  <c r="H1320" i="2"/>
  <c r="M1320" i="2"/>
  <c r="G1319" i="2"/>
  <c r="H1319" i="2"/>
  <c r="M1319" i="2"/>
  <c r="G1318" i="2"/>
  <c r="H1318" i="2"/>
  <c r="M1318" i="2"/>
  <c r="G1314" i="2"/>
  <c r="H1314" i="2"/>
  <c r="M1314" i="2"/>
  <c r="G1313" i="2"/>
  <c r="H1313" i="2"/>
  <c r="M1313" i="2"/>
  <c r="G1312" i="2"/>
  <c r="H1312" i="2"/>
  <c r="M1312" i="2"/>
  <c r="G1311" i="2"/>
  <c r="H1311" i="2"/>
  <c r="M1311" i="2"/>
  <c r="G1317" i="2"/>
  <c r="H1317" i="2"/>
  <c r="M1317" i="2"/>
  <c r="G1310" i="2"/>
  <c r="H1310" i="2"/>
  <c r="M1310" i="2"/>
  <c r="G1308" i="2"/>
  <c r="H1308" i="2"/>
  <c r="M1308" i="2"/>
  <c r="G1307" i="2"/>
  <c r="H1307" i="2"/>
  <c r="M1307" i="2"/>
  <c r="G1306" i="2"/>
  <c r="H1306" i="2"/>
  <c r="M1306" i="2"/>
  <c r="G1305" i="2"/>
  <c r="H1305" i="2"/>
  <c r="M1305" i="2"/>
  <c r="G1304" i="2"/>
  <c r="H1304" i="2"/>
  <c r="M1304" i="2"/>
  <c r="G1303" i="2"/>
  <c r="H1303" i="2"/>
  <c r="M1303" i="2"/>
  <c r="G1302" i="2"/>
  <c r="H1302" i="2"/>
  <c r="M1302" i="2"/>
  <c r="G1301" i="2"/>
  <c r="H1301" i="2"/>
  <c r="M1301" i="2"/>
  <c r="G1300" i="2"/>
  <c r="H1300" i="2"/>
  <c r="M1300" i="2"/>
  <c r="G1299" i="2"/>
  <c r="H1299" i="2"/>
  <c r="M1299" i="2"/>
  <c r="G1298" i="2"/>
  <c r="H1298" i="2"/>
  <c r="M1298" i="2"/>
  <c r="G1297" i="2"/>
  <c r="H1297" i="2"/>
  <c r="M1297" i="2"/>
  <c r="G1296" i="2"/>
  <c r="H1296" i="2"/>
  <c r="M1296" i="2"/>
  <c r="G1295" i="2"/>
  <c r="H1295" i="2"/>
  <c r="M1295" i="2"/>
  <c r="G1294" i="2"/>
  <c r="H1294" i="2"/>
  <c r="M1294" i="2"/>
  <c r="G1293" i="2"/>
  <c r="H1293" i="2"/>
  <c r="M1293" i="2"/>
  <c r="G1292" i="2"/>
  <c r="H1292" i="2"/>
  <c r="M1292" i="2"/>
  <c r="G1291" i="2"/>
  <c r="H1291" i="2"/>
  <c r="M1291" i="2"/>
  <c r="G1290" i="2"/>
  <c r="H1290" i="2"/>
  <c r="M1290" i="2"/>
  <c r="G1289" i="2"/>
  <c r="H1289" i="2"/>
  <c r="M1289" i="2"/>
  <c r="G1288" i="2"/>
  <c r="H1288" i="2"/>
  <c r="M1288" i="2"/>
  <c r="G1287" i="2"/>
  <c r="H1287" i="2"/>
  <c r="M1287" i="2"/>
  <c r="G1286" i="2"/>
  <c r="H1286" i="2"/>
  <c r="M1286" i="2"/>
  <c r="G1285" i="2"/>
  <c r="H1285" i="2"/>
  <c r="M1285" i="2"/>
  <c r="G1284" i="2"/>
  <c r="H1284" i="2"/>
  <c r="M1284" i="2"/>
  <c r="G1283" i="2"/>
  <c r="H1283" i="2"/>
  <c r="M1283" i="2"/>
  <c r="G1282" i="2"/>
  <c r="H1282" i="2"/>
  <c r="M1282" i="2"/>
  <c r="G1281" i="2"/>
  <c r="H1281" i="2"/>
  <c r="M1281" i="2"/>
  <c r="G1280" i="2"/>
  <c r="H1280" i="2"/>
  <c r="M1280" i="2"/>
  <c r="G1279" i="2"/>
  <c r="H1279" i="2"/>
  <c r="M1279" i="2"/>
  <c r="G1278" i="2"/>
  <c r="H1278" i="2"/>
  <c r="M1278" i="2"/>
  <c r="G1277" i="2"/>
  <c r="H1277" i="2"/>
  <c r="M1277" i="2"/>
  <c r="G1276" i="2"/>
  <c r="H1276" i="2"/>
  <c r="M1276" i="2"/>
  <c r="G1275" i="2"/>
  <c r="H1275" i="2"/>
  <c r="M1275" i="2"/>
  <c r="G1274" i="2"/>
  <c r="H1274" i="2"/>
  <c r="M1274" i="2"/>
  <c r="G1273" i="2"/>
  <c r="H1273" i="2"/>
  <c r="M1273" i="2"/>
  <c r="G1272" i="2"/>
  <c r="H1272" i="2"/>
  <c r="M1272" i="2"/>
  <c r="G1271" i="2"/>
  <c r="H1271" i="2"/>
  <c r="M1271" i="2"/>
  <c r="G1270" i="2"/>
  <c r="H1270" i="2"/>
  <c r="M1270" i="2"/>
  <c r="G1269" i="2"/>
  <c r="H1269" i="2"/>
  <c r="M1269" i="2"/>
  <c r="G1268" i="2"/>
  <c r="H1268" i="2"/>
  <c r="M1268" i="2"/>
  <c r="G1267" i="2"/>
  <c r="H1267" i="2"/>
  <c r="M1267" i="2"/>
  <c r="G1266" i="2"/>
  <c r="H1266" i="2"/>
  <c r="M1266" i="2"/>
  <c r="G1265" i="2"/>
  <c r="H1265" i="2"/>
  <c r="M1265" i="2"/>
  <c r="G1264" i="2"/>
  <c r="H1264" i="2"/>
  <c r="M1264" i="2"/>
  <c r="G1263" i="2"/>
  <c r="H1263" i="2"/>
  <c r="M1263" i="2"/>
  <c r="G1262" i="2"/>
  <c r="H1262" i="2"/>
  <c r="M1262" i="2"/>
  <c r="G1261" i="2"/>
  <c r="H1261" i="2"/>
  <c r="M1261" i="2"/>
  <c r="G1260" i="2"/>
  <c r="L1260" i="2" s="1"/>
  <c r="H1260" i="2"/>
  <c r="M1260" i="2"/>
  <c r="G1259" i="2"/>
  <c r="H1259" i="2"/>
  <c r="M1259" i="2"/>
  <c r="G1258" i="2"/>
  <c r="H1258" i="2"/>
  <c r="M1258" i="2"/>
  <c r="G1257" i="2"/>
  <c r="H1257" i="2"/>
  <c r="M1257" i="2"/>
  <c r="G1256" i="2"/>
  <c r="H1256" i="2"/>
  <c r="M1256" i="2"/>
  <c r="G1255" i="2"/>
  <c r="H1255" i="2"/>
  <c r="M1255" i="2"/>
  <c r="G1254" i="2"/>
  <c r="H1254" i="2"/>
  <c r="M1254" i="2"/>
  <c r="G1253" i="2"/>
  <c r="H1253" i="2"/>
  <c r="M1253" i="2"/>
  <c r="G1252" i="2"/>
  <c r="H1252" i="2"/>
  <c r="M1252" i="2"/>
  <c r="G1251" i="2"/>
  <c r="H1251" i="2"/>
  <c r="M1251" i="2"/>
  <c r="G1250" i="2"/>
  <c r="H1250" i="2"/>
  <c r="M1250" i="2"/>
  <c r="G1249" i="2"/>
  <c r="H1249" i="2"/>
  <c r="M1249" i="2"/>
  <c r="G1248" i="2"/>
  <c r="H1248" i="2"/>
  <c r="M1248" i="2"/>
  <c r="G1247" i="2"/>
  <c r="H1247" i="2"/>
  <c r="M1247" i="2"/>
  <c r="G1246" i="2"/>
  <c r="H1246" i="2"/>
  <c r="M1246" i="2"/>
  <c r="G1245" i="2"/>
  <c r="H1245" i="2"/>
  <c r="M1245" i="2"/>
  <c r="G1244" i="2"/>
  <c r="H1244" i="2"/>
  <c r="M1244" i="2"/>
  <c r="G1243" i="2"/>
  <c r="H1243" i="2"/>
  <c r="M1243" i="2"/>
  <c r="G1242" i="2"/>
  <c r="H1242" i="2"/>
  <c r="M1242" i="2"/>
  <c r="G1241" i="2"/>
  <c r="H1241" i="2"/>
  <c r="M1241" i="2"/>
  <c r="G1240" i="2"/>
  <c r="H1240" i="2"/>
  <c r="M1240" i="2"/>
  <c r="G1239" i="2"/>
  <c r="H1239" i="2"/>
  <c r="M1239" i="2"/>
  <c r="G1238" i="2"/>
  <c r="H1238" i="2"/>
  <c r="M1238" i="2"/>
  <c r="G1237" i="2"/>
  <c r="H1237" i="2"/>
  <c r="M1237" i="2"/>
  <c r="G1236" i="2"/>
  <c r="H1236" i="2"/>
  <c r="M1236" i="2"/>
  <c r="G1235" i="2"/>
  <c r="H1235" i="2"/>
  <c r="M1235" i="2"/>
  <c r="G1234" i="2"/>
  <c r="H1234" i="2"/>
  <c r="M1234" i="2"/>
  <c r="G1233" i="2"/>
  <c r="H1233" i="2"/>
  <c r="M1233" i="2"/>
  <c r="G1232" i="2"/>
  <c r="H1232" i="2"/>
  <c r="M1232" i="2"/>
  <c r="G1231" i="2"/>
  <c r="H1231" i="2"/>
  <c r="M1231" i="2"/>
  <c r="G1230" i="2"/>
  <c r="H1230" i="2"/>
  <c r="M1230" i="2"/>
  <c r="G1229" i="2"/>
  <c r="H1229" i="2"/>
  <c r="M1229" i="2"/>
  <c r="G1228" i="2"/>
  <c r="H1228" i="2"/>
  <c r="M1228" i="2"/>
  <c r="G1227" i="2"/>
  <c r="H1227" i="2"/>
  <c r="M1227" i="2"/>
  <c r="G1226" i="2"/>
  <c r="H1226" i="2"/>
  <c r="M1226" i="2"/>
  <c r="G1225" i="2"/>
  <c r="H1225" i="2"/>
  <c r="M1225" i="2"/>
  <c r="G1224" i="2"/>
  <c r="H1224" i="2"/>
  <c r="M1224" i="2"/>
  <c r="G1223" i="2"/>
  <c r="H1223" i="2"/>
  <c r="M1223" i="2"/>
  <c r="G1222" i="2"/>
  <c r="H1222" i="2"/>
  <c r="M1222" i="2"/>
  <c r="G1221" i="2"/>
  <c r="H1221" i="2"/>
  <c r="M1221" i="2"/>
  <c r="G1220" i="2"/>
  <c r="H1220" i="2"/>
  <c r="M1220" i="2"/>
  <c r="G1219" i="2"/>
  <c r="H1219" i="2"/>
  <c r="M1219" i="2"/>
  <c r="G1218" i="2"/>
  <c r="H1218" i="2"/>
  <c r="M1218" i="2"/>
  <c r="G1217" i="2"/>
  <c r="H1217" i="2"/>
  <c r="M1217" i="2"/>
  <c r="G1216" i="2"/>
  <c r="H1216" i="2"/>
  <c r="M1216" i="2"/>
  <c r="G1215" i="2"/>
  <c r="H1215" i="2"/>
  <c r="M1215" i="2"/>
  <c r="G1214" i="2"/>
  <c r="H1214" i="2"/>
  <c r="M1214" i="2"/>
  <c r="G1213" i="2"/>
  <c r="H1213" i="2"/>
  <c r="M1213" i="2"/>
  <c r="G1212" i="2"/>
  <c r="H1212" i="2"/>
  <c r="M1212" i="2"/>
  <c r="G1211" i="2"/>
  <c r="H1211" i="2"/>
  <c r="M1211" i="2"/>
  <c r="G1210" i="2"/>
  <c r="H1210" i="2"/>
  <c r="M1210" i="2"/>
  <c r="G1209" i="2"/>
  <c r="H1209" i="2"/>
  <c r="M1209" i="2"/>
  <c r="G1208" i="2"/>
  <c r="H1208" i="2"/>
  <c r="M1208" i="2"/>
  <c r="G1207" i="2"/>
  <c r="H1207" i="2"/>
  <c r="M1207" i="2"/>
  <c r="G1206" i="2"/>
  <c r="H1206" i="2"/>
  <c r="M1206" i="2"/>
  <c r="G1205" i="2"/>
  <c r="H1205" i="2"/>
  <c r="M1205" i="2"/>
  <c r="G1204" i="2"/>
  <c r="H1204" i="2"/>
  <c r="M1204" i="2"/>
  <c r="G1203" i="2"/>
  <c r="H1203" i="2"/>
  <c r="M1203" i="2"/>
  <c r="G1202" i="2"/>
  <c r="H1202" i="2"/>
  <c r="M1202" i="2"/>
  <c r="G1201" i="2"/>
  <c r="H1201" i="2"/>
  <c r="M1201" i="2"/>
  <c r="G1200" i="2"/>
  <c r="H1200" i="2"/>
  <c r="M1200" i="2"/>
  <c r="G1199" i="2"/>
  <c r="H1199" i="2"/>
  <c r="M1199" i="2"/>
  <c r="G1197" i="2"/>
  <c r="H1197" i="2"/>
  <c r="M1197" i="2"/>
  <c r="G1196" i="2"/>
  <c r="H1196" i="2"/>
  <c r="M1196" i="2"/>
  <c r="G1195" i="2"/>
  <c r="H1195" i="2"/>
  <c r="M1195" i="2"/>
  <c r="G1194" i="2"/>
  <c r="H1194" i="2"/>
  <c r="M1194" i="2"/>
  <c r="G1193" i="2"/>
  <c r="H1193" i="2"/>
  <c r="M1193" i="2"/>
  <c r="G1192" i="2"/>
  <c r="H1192" i="2"/>
  <c r="M1192" i="2"/>
  <c r="G1191" i="2"/>
  <c r="H1191" i="2"/>
  <c r="M1191" i="2"/>
  <c r="G1190" i="2"/>
  <c r="H1190" i="2"/>
  <c r="M1190" i="2"/>
  <c r="G1189" i="2"/>
  <c r="H1189" i="2"/>
  <c r="M1189" i="2"/>
  <c r="G1188" i="2"/>
  <c r="H1188" i="2"/>
  <c r="M1188" i="2"/>
  <c r="G1187" i="2"/>
  <c r="H1187" i="2"/>
  <c r="M1187" i="2"/>
  <c r="G1186" i="2"/>
  <c r="H1186" i="2"/>
  <c r="M1186" i="2"/>
  <c r="G1185" i="2"/>
  <c r="H1185" i="2"/>
  <c r="M1185" i="2"/>
  <c r="G1184" i="2"/>
  <c r="H1184" i="2"/>
  <c r="M1184" i="2"/>
  <c r="G1183" i="2"/>
  <c r="H1183" i="2"/>
  <c r="M1183" i="2"/>
  <c r="G1182" i="2"/>
  <c r="H1182" i="2"/>
  <c r="M1182" i="2"/>
  <c r="G1181" i="2"/>
  <c r="H1181" i="2"/>
  <c r="M1181" i="2"/>
  <c r="G1180" i="2" l="1"/>
  <c r="H1180" i="2"/>
  <c r="M1180" i="2"/>
  <c r="G1179" i="2"/>
  <c r="H1179" i="2"/>
  <c r="M1179" i="2"/>
  <c r="G1178" i="2"/>
  <c r="H1178" i="2"/>
  <c r="M1178" i="2"/>
  <c r="G1177" i="2"/>
  <c r="H1177" i="2"/>
  <c r="M1177" i="2"/>
  <c r="G1176" i="2"/>
  <c r="H1176" i="2"/>
  <c r="M1176" i="2"/>
  <c r="G1175" i="2"/>
  <c r="H1175" i="2"/>
  <c r="M1175" i="2"/>
  <c r="G1174" i="2"/>
  <c r="H1174" i="2"/>
  <c r="M1174" i="2"/>
  <c r="G1173" i="2"/>
  <c r="H1173" i="2"/>
  <c r="M1173" i="2"/>
  <c r="G1172" i="2"/>
  <c r="H1172" i="2"/>
  <c r="M1172" i="2"/>
  <c r="G1171" i="2"/>
  <c r="H1171" i="2"/>
  <c r="M1171" i="2"/>
  <c r="G1170" i="2"/>
  <c r="H1170" i="2"/>
  <c r="M1170" i="2"/>
  <c r="G1169" i="2"/>
  <c r="H1169" i="2"/>
  <c r="M1169" i="2"/>
  <c r="G1168" i="2"/>
  <c r="H1168" i="2"/>
  <c r="M1168" i="2"/>
  <c r="G1167" i="2"/>
  <c r="H1167" i="2"/>
  <c r="M1167" i="2"/>
  <c r="G1166" i="2"/>
  <c r="L1166" i="2" s="1"/>
  <c r="H1166" i="2"/>
  <c r="M1166" i="2"/>
  <c r="G1165" i="2"/>
  <c r="H1165" i="2"/>
  <c r="M1165" i="2"/>
  <c r="G1164" i="2"/>
  <c r="H1164" i="2"/>
  <c r="M1164" i="2"/>
  <c r="G1163" i="2"/>
  <c r="H1163" i="2"/>
  <c r="M1163" i="2"/>
  <c r="G1162" i="2"/>
  <c r="H1162" i="2"/>
  <c r="M1162" i="2"/>
  <c r="G1161" i="2"/>
  <c r="H1161" i="2"/>
  <c r="M1161" i="2"/>
  <c r="G1160" i="2"/>
  <c r="H1160" i="2"/>
  <c r="M1160" i="2"/>
  <c r="G1159" i="2"/>
  <c r="H1159" i="2"/>
  <c r="M1159" i="2"/>
  <c r="G1158" i="2"/>
  <c r="H1158" i="2"/>
  <c r="M1158" i="2"/>
  <c r="G1157" i="2"/>
  <c r="H1157" i="2"/>
  <c r="M1157" i="2"/>
  <c r="G1156" i="2"/>
  <c r="L1156" i="2" s="1"/>
  <c r="H1156" i="2"/>
  <c r="M1156" i="2"/>
  <c r="G1155" i="2"/>
  <c r="H1155" i="2"/>
  <c r="M1155" i="2"/>
  <c r="G1154" i="2"/>
  <c r="H1154" i="2"/>
  <c r="M1154" i="2"/>
  <c r="G1153" i="2"/>
  <c r="H1153" i="2"/>
  <c r="M1153" i="2"/>
  <c r="G1152" i="2"/>
  <c r="H1152" i="2"/>
  <c r="M1152" i="2"/>
  <c r="G1151" i="2"/>
  <c r="H1151" i="2"/>
  <c r="M1151" i="2"/>
  <c r="G1150" i="2"/>
  <c r="H1150" i="2"/>
  <c r="M1150" i="2"/>
  <c r="G1149" i="2"/>
  <c r="H1149" i="2"/>
  <c r="M1149" i="2"/>
  <c r="G1128" i="2"/>
  <c r="H1128" i="2"/>
  <c r="M1128" i="2"/>
  <c r="G1148" i="2"/>
  <c r="H1148" i="2"/>
  <c r="M1148" i="2"/>
  <c r="G1147" i="2"/>
  <c r="H1147" i="2"/>
  <c r="M1147" i="2"/>
  <c r="G1146" i="2"/>
  <c r="H1146" i="2"/>
  <c r="M1146" i="2"/>
  <c r="G1145" i="2"/>
  <c r="H1145" i="2"/>
  <c r="M1145" i="2"/>
  <c r="G1144" i="2"/>
  <c r="H1144" i="2"/>
  <c r="M1144" i="2"/>
  <c r="G1143" i="2"/>
  <c r="H1143" i="2"/>
  <c r="M1143" i="2"/>
  <c r="G1142" i="2"/>
  <c r="H1142" i="2"/>
  <c r="M1142" i="2"/>
  <c r="G1141" i="2"/>
  <c r="H1141" i="2"/>
  <c r="M1141" i="2"/>
  <c r="G1140" i="2"/>
  <c r="H1140" i="2"/>
  <c r="M1140" i="2"/>
  <c r="G1139" i="2"/>
  <c r="H1139" i="2"/>
  <c r="M1139" i="2"/>
  <c r="G1138" i="2"/>
  <c r="H1138" i="2"/>
  <c r="L1138" i="2"/>
  <c r="M1138" i="2"/>
  <c r="L1535" i="2" s="1"/>
  <c r="G1137" i="2"/>
  <c r="H1137" i="2"/>
  <c r="M1137" i="2"/>
  <c r="G1136" i="2"/>
  <c r="H1136" i="2"/>
  <c r="M1136" i="2"/>
  <c r="G1135" i="2"/>
  <c r="H1135" i="2"/>
  <c r="M1135" i="2"/>
  <c r="G1134" i="2"/>
  <c r="H1134" i="2"/>
  <c r="M1134" i="2"/>
  <c r="G1112" i="2"/>
  <c r="H1112" i="2"/>
  <c r="M1112" i="2"/>
  <c r="G1133" i="2"/>
  <c r="H1133" i="2"/>
  <c r="M1133" i="2"/>
  <c r="G1132" i="2"/>
  <c r="H1132" i="2"/>
  <c r="M1132" i="2"/>
  <c r="G1131" i="2"/>
  <c r="H1131" i="2"/>
  <c r="M1131" i="2"/>
  <c r="G1130" i="2"/>
  <c r="H1130" i="2"/>
  <c r="M1130" i="2"/>
  <c r="G1129" i="2"/>
  <c r="H1129" i="2"/>
  <c r="M1129" i="2"/>
  <c r="G1127" i="2"/>
  <c r="H1127" i="2"/>
  <c r="M1127" i="2"/>
  <c r="G1126" i="2"/>
  <c r="H1126" i="2"/>
  <c r="M1126" i="2"/>
  <c r="G1125" i="2"/>
  <c r="H1125" i="2"/>
  <c r="M1125" i="2"/>
  <c r="G1124" i="2"/>
  <c r="H1124" i="2"/>
  <c r="M1124" i="2"/>
  <c r="G1123" i="2"/>
  <c r="H1123" i="2"/>
  <c r="M1123" i="2"/>
  <c r="G1122" i="2"/>
  <c r="H1122" i="2"/>
  <c r="M1122" i="2"/>
  <c r="G1121" i="2"/>
  <c r="H1121" i="2"/>
  <c r="M1121" i="2"/>
  <c r="G1120" i="2"/>
  <c r="H1120" i="2"/>
  <c r="M1120" i="2"/>
  <c r="G1119" i="2"/>
  <c r="H1119" i="2"/>
  <c r="M1119" i="2"/>
  <c r="G1118" i="2"/>
  <c r="H1118" i="2"/>
  <c r="M1118" i="2"/>
  <c r="G1117" i="2"/>
  <c r="H1117" i="2"/>
  <c r="M1117" i="2"/>
  <c r="G1116" i="2"/>
  <c r="H1116" i="2"/>
  <c r="M1116" i="2"/>
  <c r="G1115" i="2"/>
  <c r="H1115" i="2"/>
  <c r="M1115" i="2"/>
  <c r="G1114" i="2"/>
  <c r="H1114" i="2"/>
  <c r="M1114" i="2"/>
  <c r="G1113" i="2"/>
  <c r="H1113" i="2"/>
  <c r="M1113" i="2"/>
  <c r="G1111" i="2"/>
  <c r="H1111" i="2"/>
  <c r="M1111" i="2"/>
  <c r="G1110" i="2"/>
  <c r="H1110" i="2"/>
  <c r="M1110" i="2"/>
  <c r="G1109" i="2"/>
  <c r="H1109" i="2"/>
  <c r="M1109" i="2"/>
  <c r="G1108" i="2"/>
  <c r="H1108" i="2"/>
  <c r="M1108" i="2"/>
  <c r="G1107" i="2"/>
  <c r="H1107" i="2"/>
  <c r="M1107" i="2"/>
  <c r="G1106" i="2"/>
  <c r="H1106" i="2"/>
  <c r="M1106" i="2"/>
  <c r="G1105" i="2"/>
  <c r="H1105" i="2"/>
  <c r="M1105" i="2"/>
  <c r="G1104" i="2"/>
  <c r="H1104" i="2"/>
  <c r="M1104" i="2"/>
  <c r="G1103" i="2"/>
  <c r="H1103" i="2"/>
  <c r="M1103" i="2"/>
  <c r="G1102" i="2"/>
  <c r="H1102" i="2"/>
  <c r="M1102" i="2"/>
  <c r="G1101" i="2"/>
  <c r="H1101" i="2"/>
  <c r="M1101" i="2"/>
  <c r="G1100" i="2"/>
  <c r="H1100" i="2"/>
  <c r="M1100" i="2"/>
  <c r="G1099" i="2"/>
  <c r="H1099" i="2"/>
  <c r="M1099" i="2"/>
  <c r="G1098" i="2"/>
  <c r="H1098" i="2"/>
  <c r="M1098" i="2"/>
  <c r="G1097" i="2"/>
  <c r="H1097" i="2"/>
  <c r="M1097" i="2"/>
  <c r="L1505" i="2" l="1"/>
  <c r="L1528" i="2"/>
  <c r="G1096" i="2"/>
  <c r="L1096" i="2" s="1"/>
  <c r="H1096" i="2"/>
  <c r="M1096" i="2"/>
  <c r="G1095" i="2"/>
  <c r="H1095" i="2"/>
  <c r="M1095" i="2"/>
  <c r="G1094" i="2"/>
  <c r="H1094" i="2"/>
  <c r="M1094" i="2"/>
  <c r="G1093" i="2"/>
  <c r="H1093" i="2"/>
  <c r="M1093" i="2"/>
  <c r="G1092" i="2"/>
  <c r="H1092" i="2"/>
  <c r="M1092" i="2"/>
  <c r="G1091" i="2"/>
  <c r="H1091" i="2"/>
  <c r="M1091" i="2"/>
  <c r="G1090" i="2"/>
  <c r="H1090" i="2"/>
  <c r="M1090" i="2"/>
  <c r="G1089" i="2"/>
  <c r="H1089" i="2"/>
  <c r="M1089" i="2"/>
  <c r="G1088" i="2"/>
  <c r="H1088" i="2"/>
  <c r="M1088" i="2"/>
  <c r="G1087" i="2"/>
  <c r="H1087" i="2"/>
  <c r="M1087" i="2"/>
  <c r="G1086" i="2"/>
  <c r="H1086" i="2"/>
  <c r="M1086" i="2"/>
  <c r="G1085" i="2"/>
  <c r="H1085" i="2"/>
  <c r="M1085" i="2"/>
  <c r="G1084" i="2"/>
  <c r="H1084" i="2"/>
  <c r="M1084" i="2"/>
  <c r="G1083" i="2"/>
  <c r="H1083" i="2"/>
  <c r="M1083" i="2"/>
  <c r="G1082" i="2"/>
  <c r="H1082" i="2"/>
  <c r="M1082" i="2"/>
  <c r="G1081" i="2"/>
  <c r="H1081" i="2"/>
  <c r="M1081" i="2"/>
  <c r="G918" i="2"/>
  <c r="H918" i="2"/>
  <c r="M918" i="2"/>
  <c r="G917" i="2"/>
  <c r="H917" i="2"/>
  <c r="M917" i="2"/>
  <c r="G1080" i="2"/>
  <c r="H1080" i="2"/>
  <c r="M1080" i="2"/>
  <c r="G1079" i="2"/>
  <c r="H1079" i="2"/>
  <c r="M1079" i="2"/>
  <c r="G1078" i="2"/>
  <c r="H1078" i="2"/>
  <c r="M1078" i="2"/>
  <c r="G1077" i="2"/>
  <c r="H1077" i="2"/>
  <c r="M1077" i="2"/>
  <c r="G1076" i="2"/>
  <c r="H1076" i="2"/>
  <c r="M1076" i="2"/>
  <c r="G1075" i="2"/>
  <c r="H1075" i="2"/>
  <c r="M1075" i="2"/>
  <c r="G1074" i="2"/>
  <c r="H1074" i="2"/>
  <c r="M1074" i="2"/>
  <c r="G1073" i="2"/>
  <c r="H1073" i="2"/>
  <c r="M1073" i="2"/>
  <c r="G1072" i="2"/>
  <c r="H1072" i="2"/>
  <c r="M1072" i="2"/>
  <c r="G1071" i="2"/>
  <c r="H1071" i="2"/>
  <c r="M1071" i="2"/>
  <c r="G1070" i="2"/>
  <c r="H1070" i="2"/>
  <c r="M1070" i="2"/>
  <c r="G1069" i="2"/>
  <c r="L1069" i="2" s="1"/>
  <c r="H1069" i="2"/>
  <c r="M1069" i="2"/>
  <c r="G1068" i="2" l="1"/>
  <c r="L1068" i="2" s="1"/>
  <c r="H1068" i="2"/>
  <c r="M1068" i="2"/>
  <c r="G1067" i="2"/>
  <c r="H1067" i="2"/>
  <c r="L1067" i="2"/>
  <c r="M1067" i="2"/>
  <c r="G1066" i="2"/>
  <c r="L1066" i="2" s="1"/>
  <c r="H1066" i="2"/>
  <c r="M1066" i="2"/>
  <c r="G1065" i="2"/>
  <c r="H1065" i="2"/>
  <c r="L1065" i="2"/>
  <c r="M1065" i="2"/>
  <c r="G1064" i="2"/>
  <c r="H1064" i="2"/>
  <c r="M1064" i="2"/>
  <c r="G1063" i="2"/>
  <c r="L1063" i="2" s="1"/>
  <c r="H1063" i="2"/>
  <c r="M1063" i="2"/>
  <c r="G1062" i="2"/>
  <c r="L1062" i="2" s="1"/>
  <c r="H1062" i="2"/>
  <c r="M1062" i="2"/>
  <c r="G1061" i="2"/>
  <c r="L1061" i="2" s="1"/>
  <c r="H1061" i="2"/>
  <c r="M1061" i="2"/>
  <c r="G1060" i="2"/>
  <c r="L1060" i="2" s="1"/>
  <c r="H1060" i="2"/>
  <c r="M1060" i="2"/>
  <c r="G1059" i="2"/>
  <c r="H1059" i="2"/>
  <c r="M1059" i="2"/>
  <c r="G1058" i="2"/>
  <c r="H1058" i="2"/>
  <c r="L1058" i="2"/>
  <c r="M1058" i="2"/>
  <c r="G1057" i="2"/>
  <c r="H1057" i="2"/>
  <c r="M1057" i="2"/>
  <c r="G1056" i="2"/>
  <c r="H1056" i="2"/>
  <c r="L1056" i="2"/>
  <c r="M1056" i="2"/>
  <c r="G1055" i="2"/>
  <c r="H1055" i="2"/>
  <c r="M1055" i="2"/>
  <c r="G1054" i="2"/>
  <c r="H1054" i="2"/>
  <c r="M1054" i="2"/>
  <c r="G1053" i="2"/>
  <c r="L1053" i="2" s="1"/>
  <c r="H1053" i="2"/>
  <c r="M1053" i="2"/>
  <c r="G1052" i="2"/>
  <c r="H1052" i="2"/>
  <c r="L1052" i="2"/>
  <c r="M1052" i="2"/>
  <c r="G1051" i="2"/>
  <c r="H1051" i="2"/>
  <c r="M1051" i="2"/>
  <c r="G1050" i="2"/>
  <c r="L1050" i="2" s="1"/>
  <c r="H1050" i="2"/>
  <c r="M1050" i="2"/>
  <c r="G1049" i="2"/>
  <c r="L1049" i="2" s="1"/>
  <c r="H1049" i="2"/>
  <c r="M1049" i="2"/>
  <c r="G1048" i="2"/>
  <c r="L1048" i="2" s="1"/>
  <c r="H1048" i="2"/>
  <c r="M1048" i="2"/>
  <c r="G1047" i="2"/>
  <c r="H1047" i="2"/>
  <c r="M1047" i="2"/>
  <c r="G1046" i="2"/>
  <c r="H1046" i="2"/>
  <c r="M1046" i="2"/>
  <c r="G1045" i="2"/>
  <c r="H1045" i="2"/>
  <c r="M1045" i="2"/>
  <c r="G1044" i="2"/>
  <c r="H1044" i="2"/>
  <c r="L1044" i="2"/>
  <c r="M1044" i="2"/>
  <c r="G1043" i="2"/>
  <c r="H1043" i="2"/>
  <c r="M1043" i="2"/>
  <c r="G1042" i="2"/>
  <c r="H1042" i="2"/>
  <c r="L1042" i="2"/>
  <c r="M1042" i="2"/>
  <c r="G1041" i="2"/>
  <c r="H1041" i="2"/>
  <c r="M1041" i="2"/>
  <c r="G1040" i="2"/>
  <c r="H1040" i="2"/>
  <c r="M1040" i="2"/>
  <c r="G1039" i="2"/>
  <c r="L1039" i="2" s="1"/>
  <c r="H1039" i="2"/>
  <c r="M1039" i="2"/>
  <c r="G1038" i="2"/>
  <c r="L1038" i="2" s="1"/>
  <c r="H1038" i="2"/>
  <c r="M1038" i="2"/>
  <c r="G1037" i="2"/>
  <c r="L1037" i="2" s="1"/>
  <c r="H1037" i="2"/>
  <c r="M1037" i="2"/>
  <c r="G1036" i="2"/>
  <c r="H1036" i="2"/>
  <c r="L1036" i="2"/>
  <c r="M1036" i="2"/>
  <c r="G1035" i="2"/>
  <c r="L1035" i="2" s="1"/>
  <c r="H1035" i="2"/>
  <c r="M1035" i="2"/>
  <c r="G1034" i="2"/>
  <c r="H1034" i="2"/>
  <c r="L1034" i="2"/>
  <c r="M1034" i="2"/>
  <c r="G1033" i="2"/>
  <c r="H1033" i="2"/>
  <c r="L1033" i="2"/>
  <c r="M1033" i="2"/>
  <c r="G1032" i="2"/>
  <c r="H1032" i="2"/>
  <c r="L1032" i="2"/>
  <c r="M1032" i="2"/>
  <c r="G1031" i="2"/>
  <c r="H1031" i="2"/>
  <c r="L1031" i="2"/>
  <c r="M1031" i="2"/>
  <c r="G1030" i="2"/>
  <c r="H1030" i="2"/>
  <c r="M1030" i="2"/>
  <c r="G1029" i="2"/>
  <c r="H1029" i="2"/>
  <c r="L1029" i="2"/>
  <c r="M1029" i="2"/>
  <c r="G1028" i="2"/>
  <c r="H1028" i="2"/>
  <c r="L1028" i="2"/>
  <c r="M1028" i="2"/>
  <c r="G1027" i="2"/>
  <c r="H1027" i="2"/>
  <c r="M1027" i="2"/>
  <c r="G1026" i="2"/>
  <c r="H1026" i="2"/>
  <c r="M1026" i="2"/>
  <c r="G1025" i="2"/>
  <c r="H1025" i="2"/>
  <c r="L1025" i="2"/>
  <c r="M1025" i="2"/>
  <c r="G1024" i="2"/>
  <c r="H1024" i="2"/>
  <c r="L1024" i="2"/>
  <c r="M1024" i="2"/>
  <c r="G1023" i="2"/>
  <c r="H1023" i="2"/>
  <c r="M1023" i="2"/>
  <c r="G1022" i="2"/>
  <c r="H1022" i="2"/>
  <c r="L1022" i="2"/>
  <c r="M1022" i="2"/>
  <c r="G1021" i="2"/>
  <c r="H1021" i="2"/>
  <c r="L1021" i="2"/>
  <c r="M1021" i="2"/>
  <c r="G1020" i="2"/>
  <c r="H1020" i="2"/>
  <c r="L1020" i="2"/>
  <c r="M1020" i="2"/>
  <c r="G1019" i="2"/>
  <c r="H1019" i="2"/>
  <c r="M1019" i="2"/>
  <c r="G1018" i="2"/>
  <c r="H1018" i="2"/>
  <c r="L1018" i="2"/>
  <c r="M1018" i="2"/>
  <c r="G1017" i="2"/>
  <c r="H1017" i="2"/>
  <c r="M1017" i="2"/>
  <c r="G1016" i="2"/>
  <c r="H1016" i="2"/>
  <c r="M1016" i="2"/>
  <c r="G1015" i="2"/>
  <c r="H1015" i="2"/>
  <c r="M1015" i="2"/>
  <c r="G1014" i="2"/>
  <c r="H1014" i="2"/>
  <c r="M1014" i="2"/>
  <c r="G1013" i="2"/>
  <c r="H1013" i="2"/>
  <c r="L1013" i="2"/>
  <c r="M1013" i="2"/>
  <c r="G1012" i="2"/>
  <c r="H1012" i="2"/>
  <c r="M1012" i="2"/>
  <c r="G1011" i="2"/>
  <c r="H1011" i="2"/>
  <c r="L1011" i="2"/>
  <c r="M1011" i="2"/>
  <c r="G1010" i="2"/>
  <c r="H1010" i="2"/>
  <c r="L1010" i="2"/>
  <c r="M1010" i="2"/>
  <c r="G1009" i="2"/>
  <c r="H1009" i="2"/>
  <c r="L1009" i="2"/>
  <c r="M1009" i="2"/>
  <c r="G1008" i="2"/>
  <c r="H1008" i="2"/>
  <c r="L1008" i="2"/>
  <c r="M1008" i="2"/>
  <c r="G1007" i="2"/>
  <c r="H1007" i="2"/>
  <c r="M1007" i="2"/>
  <c r="G1006" i="2"/>
  <c r="H1006" i="2"/>
  <c r="M1006" i="2"/>
  <c r="G1198" i="2"/>
  <c r="H1198" i="2"/>
  <c r="M1198" i="2"/>
  <c r="G1005" i="2"/>
  <c r="H1005" i="2"/>
  <c r="M1005" i="2"/>
  <c r="G1004" i="2"/>
  <c r="H1004" i="2"/>
  <c r="M1004" i="2"/>
  <c r="G1003" i="2"/>
  <c r="H1003" i="2"/>
  <c r="L1003" i="2"/>
  <c r="M1003" i="2"/>
  <c r="G1002" i="2"/>
  <c r="H1002" i="2"/>
  <c r="M1002" i="2"/>
  <c r="G1001" i="2"/>
  <c r="H1001" i="2"/>
  <c r="L1001" i="2"/>
  <c r="M1001" i="2"/>
  <c r="G1000" i="2"/>
  <c r="H1000" i="2"/>
  <c r="M1000" i="2"/>
  <c r="G999" i="2"/>
  <c r="H999" i="2"/>
  <c r="L999" i="2"/>
  <c r="M999" i="2"/>
  <c r="G998" i="2"/>
  <c r="H998" i="2"/>
  <c r="L998" i="2"/>
  <c r="M998" i="2"/>
  <c r="G997" i="2"/>
  <c r="H997" i="2"/>
  <c r="M997" i="2"/>
  <c r="G996" i="2"/>
  <c r="H996" i="2"/>
  <c r="M996" i="2"/>
  <c r="G995" i="2"/>
  <c r="H995" i="2"/>
  <c r="L995" i="2"/>
  <c r="M995" i="2"/>
  <c r="G994" i="2"/>
  <c r="H994" i="2"/>
  <c r="L994" i="2"/>
  <c r="M994" i="2"/>
  <c r="G993" i="2"/>
  <c r="H993" i="2"/>
  <c r="M993" i="2"/>
  <c r="G992" i="2"/>
  <c r="H992" i="2"/>
  <c r="M992" i="2"/>
  <c r="G991" i="2"/>
  <c r="H991" i="2"/>
  <c r="M991" i="2"/>
  <c r="G990" i="2"/>
  <c r="H990" i="2"/>
  <c r="M990" i="2"/>
  <c r="G989" i="2"/>
  <c r="H989" i="2"/>
  <c r="L989" i="2"/>
  <c r="M989" i="2"/>
  <c r="G988" i="2"/>
  <c r="H988" i="2"/>
  <c r="M988" i="2"/>
  <c r="G987" i="2"/>
  <c r="H987" i="2"/>
  <c r="M987" i="2"/>
  <c r="G986" i="2"/>
  <c r="H986" i="2"/>
  <c r="M986" i="2"/>
  <c r="L1027" i="2" s="1"/>
  <c r="G985" i="2"/>
  <c r="H985" i="2"/>
  <c r="M985" i="2"/>
  <c r="G984" i="2"/>
  <c r="H984" i="2"/>
  <c r="M984" i="2"/>
  <c r="G983" i="2"/>
  <c r="H983" i="2"/>
  <c r="M983" i="2"/>
  <c r="G982" i="2"/>
  <c r="H982" i="2"/>
  <c r="L982" i="2"/>
  <c r="M982" i="2"/>
  <c r="G981" i="2"/>
  <c r="H981" i="2"/>
  <c r="L981" i="2"/>
  <c r="M981" i="2"/>
  <c r="G980" i="2"/>
  <c r="H980" i="2"/>
  <c r="L980" i="2"/>
  <c r="M980" i="2"/>
  <c r="G979" i="2"/>
  <c r="H979" i="2"/>
  <c r="L979" i="2"/>
  <c r="M979" i="2"/>
  <c r="G978" i="2"/>
  <c r="H978" i="2"/>
  <c r="M978" i="2"/>
  <c r="G935" i="2"/>
  <c r="H935" i="2"/>
  <c r="L935" i="2"/>
  <c r="M935" i="2"/>
  <c r="G930" i="2"/>
  <c r="H930" i="2"/>
  <c r="M930" i="2"/>
  <c r="G977" i="2"/>
  <c r="H977" i="2"/>
  <c r="M977" i="2"/>
  <c r="G976" i="2"/>
  <c r="H976" i="2"/>
  <c r="L976" i="2"/>
  <c r="M976" i="2"/>
  <c r="G975" i="2"/>
  <c r="H975" i="2"/>
  <c r="M975" i="2"/>
  <c r="G894" i="2"/>
  <c r="H894" i="2"/>
  <c r="L894" i="2"/>
  <c r="M894" i="2"/>
  <c r="G974" i="2"/>
  <c r="H974" i="2"/>
  <c r="M974" i="2"/>
  <c r="G973" i="2"/>
  <c r="H973" i="2"/>
  <c r="L973" i="2"/>
  <c r="M973" i="2"/>
  <c r="G972" i="2"/>
  <c r="H972" i="2"/>
  <c r="M972" i="2"/>
  <c r="G971" i="2"/>
  <c r="H971" i="2"/>
  <c r="M971" i="2"/>
  <c r="G970" i="2"/>
  <c r="H970" i="2"/>
  <c r="M970" i="2"/>
  <c r="G969" i="2"/>
  <c r="H969" i="2"/>
  <c r="M969" i="2"/>
  <c r="G968" i="2"/>
  <c r="H968" i="2"/>
  <c r="M968" i="2"/>
  <c r="G967" i="2"/>
  <c r="H967" i="2"/>
  <c r="M967" i="2"/>
  <c r="G916" i="2"/>
  <c r="H916" i="2"/>
  <c r="L916" i="2"/>
  <c r="M916" i="2"/>
  <c r="G966" i="2"/>
  <c r="H966" i="2"/>
  <c r="L966" i="2"/>
  <c r="M966" i="2"/>
  <c r="G965" i="2"/>
  <c r="H965" i="2"/>
  <c r="L965" i="2"/>
  <c r="M965" i="2"/>
  <c r="G964" i="2"/>
  <c r="H964" i="2"/>
  <c r="L964" i="2"/>
  <c r="M964" i="2"/>
  <c r="G963" i="2"/>
  <c r="H963" i="2"/>
  <c r="M963" i="2"/>
  <c r="G962" i="2"/>
  <c r="H962" i="2"/>
  <c r="M962" i="2"/>
  <c r="G961" i="2"/>
  <c r="H961" i="2"/>
  <c r="M961" i="2"/>
  <c r="G960" i="2"/>
  <c r="H960" i="2"/>
  <c r="M960" i="2"/>
  <c r="G959" i="2"/>
  <c r="H959" i="2"/>
  <c r="M959" i="2"/>
  <c r="G958" i="2"/>
  <c r="H958" i="2"/>
  <c r="L958" i="2"/>
  <c r="M958" i="2"/>
  <c r="G957" i="2"/>
  <c r="H957" i="2"/>
  <c r="M957" i="2"/>
  <c r="G956" i="2"/>
  <c r="H956" i="2"/>
  <c r="M956" i="2"/>
  <c r="G951" i="2"/>
  <c r="H951" i="2"/>
  <c r="L951" i="2"/>
  <c r="M951" i="2"/>
  <c r="G950" i="2"/>
  <c r="H950" i="2"/>
  <c r="M950" i="2"/>
  <c r="L1041" i="2" s="1"/>
  <c r="G955" i="2"/>
  <c r="H955" i="2"/>
  <c r="M955" i="2"/>
  <c r="G954" i="2"/>
  <c r="H954" i="2"/>
  <c r="M954" i="2"/>
  <c r="G953" i="2"/>
  <c r="H953" i="2"/>
  <c r="L953" i="2"/>
  <c r="M953" i="2"/>
  <c r="G952" i="2"/>
  <c r="H952" i="2"/>
  <c r="L952" i="2"/>
  <c r="M952" i="2"/>
  <c r="G2" i="2"/>
  <c r="H2" i="2"/>
  <c r="M2" i="2"/>
  <c r="G949" i="2"/>
  <c r="H949" i="2"/>
  <c r="M949" i="2"/>
  <c r="G948" i="2"/>
  <c r="H948" i="2"/>
  <c r="M948" i="2"/>
  <c r="G947" i="2"/>
  <c r="H947" i="2"/>
  <c r="M947" i="2"/>
  <c r="G946" i="2"/>
  <c r="H946" i="2"/>
  <c r="L946" i="2"/>
  <c r="M946" i="2"/>
  <c r="G945" i="2"/>
  <c r="H945" i="2"/>
  <c r="L945" i="2"/>
  <c r="M945" i="2"/>
  <c r="G944" i="2"/>
  <c r="H944" i="2"/>
  <c r="L944" i="2"/>
  <c r="M944" i="2"/>
  <c r="G943" i="2"/>
  <c r="H943" i="2"/>
  <c r="L943" i="2"/>
  <c r="M943" i="2"/>
  <c r="G942" i="2"/>
  <c r="H942" i="2"/>
  <c r="M942" i="2"/>
  <c r="G941" i="2"/>
  <c r="H941" i="2"/>
  <c r="L941" i="2"/>
  <c r="M941" i="2"/>
  <c r="G940" i="2"/>
  <c r="H940" i="2"/>
  <c r="M940" i="2"/>
  <c r="G939" i="2"/>
  <c r="H939" i="2"/>
  <c r="M939" i="2"/>
  <c r="G938" i="2"/>
  <c r="H938" i="2"/>
  <c r="M938" i="2"/>
  <c r="G929" i="2"/>
  <c r="H929" i="2"/>
  <c r="M929" i="2"/>
  <c r="G937" i="2"/>
  <c r="H937" i="2"/>
  <c r="M937" i="2"/>
  <c r="G936" i="2"/>
  <c r="H936" i="2"/>
  <c r="M936" i="2"/>
  <c r="G934" i="2"/>
  <c r="H934" i="2"/>
  <c r="L934" i="2"/>
  <c r="M934" i="2"/>
  <c r="G933" i="2"/>
  <c r="H933" i="2"/>
  <c r="M933" i="2"/>
  <c r="G932" i="2"/>
  <c r="H932" i="2"/>
  <c r="M932" i="2"/>
  <c r="G931" i="2"/>
  <c r="H931" i="2"/>
  <c r="M931" i="2"/>
  <c r="M914" i="2"/>
  <c r="L914" i="2"/>
  <c r="M913" i="2"/>
  <c r="L913" i="2"/>
  <c r="M912" i="2"/>
  <c r="L912" i="2"/>
  <c r="M911" i="2"/>
  <c r="L911" i="2"/>
  <c r="H920" i="2"/>
  <c r="H919" i="2"/>
  <c r="H915" i="2"/>
  <c r="H914" i="2"/>
  <c r="H913" i="2"/>
  <c r="H912" i="2"/>
  <c r="H911" i="2"/>
  <c r="G914" i="2"/>
  <c r="G913" i="2"/>
  <c r="G912" i="2"/>
  <c r="G911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800" i="2"/>
  <c r="G801" i="2"/>
  <c r="G802" i="2"/>
  <c r="G803" i="2"/>
  <c r="G804" i="2"/>
  <c r="G805" i="2"/>
  <c r="G806" i="2"/>
  <c r="G807" i="2"/>
  <c r="G808" i="2"/>
  <c r="G79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09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8" i="2"/>
  <c r="G879" i="2"/>
  <c r="G880" i="2"/>
  <c r="G881" i="2"/>
  <c r="G883" i="2"/>
  <c r="G884" i="2"/>
  <c r="G885" i="2"/>
  <c r="G886" i="2"/>
  <c r="G887" i="2"/>
  <c r="G888" i="2"/>
  <c r="G889" i="2"/>
  <c r="G890" i="2"/>
  <c r="G891" i="2"/>
  <c r="G892" i="2"/>
  <c r="G893" i="2"/>
  <c r="G895" i="2"/>
  <c r="G896" i="2"/>
  <c r="G898" i="2"/>
  <c r="G899" i="2"/>
  <c r="G900" i="2"/>
  <c r="G901" i="2"/>
  <c r="G877" i="2"/>
  <c r="G882" i="2"/>
  <c r="G897" i="2"/>
  <c r="G902" i="2"/>
  <c r="G903" i="2"/>
  <c r="G904" i="2"/>
  <c r="G905" i="2"/>
  <c r="G906" i="2"/>
  <c r="G907" i="2"/>
  <c r="G908" i="2"/>
  <c r="G909" i="2"/>
  <c r="G910" i="2"/>
  <c r="G915" i="2"/>
  <c r="G919" i="2"/>
  <c r="G920" i="2"/>
  <c r="G921" i="2"/>
  <c r="G922" i="2"/>
  <c r="G923" i="2"/>
  <c r="G924" i="2"/>
  <c r="G925" i="2"/>
  <c r="G926" i="2"/>
  <c r="G927" i="2"/>
  <c r="G928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800" i="2"/>
  <c r="H801" i="2"/>
  <c r="H802" i="2"/>
  <c r="H803" i="2"/>
  <c r="H804" i="2"/>
  <c r="H805" i="2"/>
  <c r="H806" i="2"/>
  <c r="H807" i="2"/>
  <c r="H808" i="2"/>
  <c r="H79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09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8" i="2"/>
  <c r="H879" i="2"/>
  <c r="H880" i="2"/>
  <c r="H881" i="2"/>
  <c r="H883" i="2"/>
  <c r="H884" i="2"/>
  <c r="H885" i="2"/>
  <c r="H886" i="2"/>
  <c r="H887" i="2"/>
  <c r="H888" i="2"/>
  <c r="H889" i="2"/>
  <c r="H890" i="2"/>
  <c r="H891" i="2"/>
  <c r="H892" i="2"/>
  <c r="H893" i="2"/>
  <c r="H895" i="2"/>
  <c r="H896" i="2"/>
  <c r="H898" i="2"/>
  <c r="H899" i="2"/>
  <c r="H900" i="2"/>
  <c r="H901" i="2"/>
  <c r="H877" i="2"/>
  <c r="H882" i="2"/>
  <c r="H897" i="2"/>
  <c r="H902" i="2"/>
  <c r="H903" i="2"/>
  <c r="H904" i="2"/>
  <c r="H905" i="2"/>
  <c r="H906" i="2"/>
  <c r="H907" i="2"/>
  <c r="H908" i="2"/>
  <c r="H909" i="2"/>
  <c r="H910" i="2"/>
  <c r="H921" i="2"/>
  <c r="H922" i="2"/>
  <c r="H923" i="2"/>
  <c r="H924" i="2"/>
  <c r="H925" i="2"/>
  <c r="H926" i="2"/>
  <c r="H927" i="2"/>
  <c r="H928" i="2"/>
  <c r="M3" i="2"/>
  <c r="L1514" i="2" s="1"/>
  <c r="M4" i="2"/>
  <c r="M5" i="2"/>
  <c r="M6" i="2"/>
  <c r="M7" i="2"/>
  <c r="L1506" i="2" s="1"/>
  <c r="M8" i="2"/>
  <c r="M9" i="2"/>
  <c r="M10" i="2"/>
  <c r="L1515" i="2" s="1"/>
  <c r="M11" i="2"/>
  <c r="L1516" i="2" s="1"/>
  <c r="M12" i="2"/>
  <c r="L1454" i="2" s="1"/>
  <c r="M13" i="2"/>
  <c r="M14" i="2"/>
  <c r="M15" i="2"/>
  <c r="L1203" i="2" s="1"/>
  <c r="M16" i="2"/>
  <c r="L1522" i="2" s="1"/>
  <c r="M17" i="2"/>
  <c r="L1468" i="2" s="1"/>
  <c r="M18" i="2"/>
  <c r="M19" i="2"/>
  <c r="M20" i="2"/>
  <c r="L1508" i="2" s="1"/>
  <c r="M21" i="2"/>
  <c r="M22" i="2"/>
  <c r="L1526" i="2" s="1"/>
  <c r="M23" i="2"/>
  <c r="M24" i="2"/>
  <c r="M25" i="2"/>
  <c r="L1510" i="2" s="1"/>
  <c r="M26" i="2"/>
  <c r="M27" i="2"/>
  <c r="L1375" i="2" s="1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L1057" i="2" s="1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5" i="2"/>
  <c r="M326" i="2"/>
  <c r="M327" i="2"/>
  <c r="M328" i="2"/>
  <c r="M329" i="2"/>
  <c r="M330" i="2"/>
  <c r="M331" i="2"/>
  <c r="M332" i="2"/>
  <c r="M333" i="2"/>
  <c r="L1513" i="2" s="1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L1449" i="2" s="1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L1367" i="2" s="1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L1414" i="2" s="1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800" i="2"/>
  <c r="M801" i="2"/>
  <c r="M802" i="2"/>
  <c r="M803" i="2"/>
  <c r="M804" i="2"/>
  <c r="M805" i="2"/>
  <c r="M806" i="2"/>
  <c r="M807" i="2"/>
  <c r="M808" i="2"/>
  <c r="M79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09" i="2"/>
  <c r="M822" i="2"/>
  <c r="M823" i="2"/>
  <c r="M824" i="2"/>
  <c r="M825" i="2"/>
  <c r="M826" i="2"/>
  <c r="M827" i="2"/>
  <c r="L1521" i="2" s="1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L1469" i="2" s="1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8" i="2"/>
  <c r="M879" i="2"/>
  <c r="M880" i="2"/>
  <c r="M881" i="2"/>
  <c r="M883" i="2"/>
  <c r="M884" i="2"/>
  <c r="M885" i="2"/>
  <c r="M886" i="2"/>
  <c r="M887" i="2"/>
  <c r="M888" i="2"/>
  <c r="M889" i="2"/>
  <c r="M890" i="2"/>
  <c r="M891" i="2"/>
  <c r="M892" i="2"/>
  <c r="M893" i="2"/>
  <c r="M895" i="2"/>
  <c r="M896" i="2"/>
  <c r="M898" i="2"/>
  <c r="M899" i="2"/>
  <c r="M900" i="2"/>
  <c r="M901" i="2"/>
  <c r="M877" i="2"/>
  <c r="M882" i="2"/>
  <c r="M897" i="2"/>
  <c r="M902" i="2"/>
  <c r="M903" i="2"/>
  <c r="M904" i="2"/>
  <c r="M905" i="2"/>
  <c r="M906" i="2"/>
  <c r="M907" i="2"/>
  <c r="M908" i="2"/>
  <c r="M909" i="2"/>
  <c r="M910" i="2"/>
  <c r="M915" i="2"/>
  <c r="M919" i="2"/>
  <c r="M920" i="2"/>
  <c r="M921" i="2"/>
  <c r="M922" i="2"/>
  <c r="M923" i="2"/>
  <c r="M924" i="2"/>
  <c r="M925" i="2"/>
  <c r="M926" i="2"/>
  <c r="M927" i="2"/>
  <c r="M928" i="2"/>
  <c r="L928" i="2"/>
  <c r="L927" i="2"/>
  <c r="L926" i="2"/>
  <c r="L925" i="2"/>
  <c r="L924" i="2"/>
  <c r="L923" i="2"/>
  <c r="L922" i="2"/>
  <c r="L921" i="2"/>
  <c r="L920" i="2"/>
  <c r="L919" i="2"/>
  <c r="L915" i="2"/>
  <c r="L871" i="2"/>
  <c r="L861" i="2"/>
  <c r="L860" i="2"/>
  <c r="L910" i="2"/>
  <c r="L909" i="2"/>
  <c r="L908" i="2"/>
  <c r="L907" i="2"/>
  <c r="L906" i="2"/>
  <c r="L904" i="2"/>
  <c r="L903" i="2"/>
  <c r="L902" i="2"/>
  <c r="L897" i="2"/>
  <c r="L882" i="2"/>
  <c r="L877" i="2"/>
  <c r="L901" i="2"/>
  <c r="L900" i="2"/>
  <c r="L899" i="2"/>
  <c r="L898" i="2"/>
  <c r="L896" i="2"/>
  <c r="L895" i="2"/>
  <c r="L893" i="2"/>
  <c r="L892" i="2"/>
  <c r="L891" i="2"/>
  <c r="L890" i="2"/>
  <c r="L889" i="2"/>
  <c r="L888" i="2"/>
  <c r="L887" i="2"/>
  <c r="L885" i="2"/>
  <c r="L884" i="2"/>
  <c r="L883" i="2"/>
  <c r="L881" i="2"/>
  <c r="L880" i="2"/>
  <c r="L879" i="2"/>
  <c r="L878" i="2"/>
  <c r="L876" i="2"/>
  <c r="L875" i="2"/>
  <c r="L874" i="2"/>
  <c r="L873" i="2"/>
  <c r="L872" i="2"/>
  <c r="L870" i="2"/>
  <c r="L869" i="2"/>
  <c r="L868" i="2"/>
  <c r="L867" i="2"/>
  <c r="L866" i="2"/>
  <c r="L865" i="2"/>
  <c r="L16" i="2"/>
  <c r="L27" i="2"/>
  <c r="L26" i="2"/>
  <c r="L25" i="2"/>
  <c r="L24" i="2"/>
  <c r="L23" i="2"/>
  <c r="L22" i="2"/>
  <c r="L21" i="2"/>
  <c r="L20" i="2"/>
  <c r="L19" i="2"/>
  <c r="L18" i="2"/>
  <c r="L17" i="2"/>
  <c r="L15" i="2"/>
  <c r="L7" i="2"/>
  <c r="L12" i="2"/>
  <c r="L11" i="2"/>
  <c r="L10" i="2"/>
  <c r="L9" i="2"/>
  <c r="L8" i="2"/>
  <c r="L6" i="2"/>
  <c r="L5" i="2"/>
  <c r="L4" i="2"/>
  <c r="L856" i="2"/>
  <c r="L1504" i="2" l="1"/>
  <c r="L1539" i="2"/>
  <c r="L1456" i="2"/>
  <c r="L1538" i="2"/>
  <c r="L1536" i="2"/>
  <c r="L1537" i="2"/>
  <c r="L1533" i="2"/>
  <c r="L1534" i="2"/>
  <c r="L1525" i="2"/>
  <c r="L1532" i="2"/>
  <c r="L1531" i="2"/>
  <c r="L1529" i="2"/>
  <c r="L1524" i="2"/>
  <c r="L1527" i="2"/>
  <c r="L1457" i="2"/>
  <c r="L1520" i="2"/>
  <c r="L1512" i="2"/>
  <c r="L1518" i="2"/>
  <c r="L1502" i="2"/>
  <c r="L1517" i="2"/>
  <c r="L1511" i="2"/>
  <c r="L1479" i="2"/>
  <c r="L1462" i="2"/>
  <c r="L1461" i="2"/>
  <c r="L1509" i="2"/>
  <c r="L1498" i="2"/>
  <c r="L1507" i="2"/>
  <c r="L1071" i="2"/>
  <c r="L1503" i="2"/>
  <c r="L1486" i="2"/>
  <c r="L1500" i="2"/>
  <c r="L1499" i="2"/>
  <c r="L1480" i="2"/>
  <c r="L1497" i="2"/>
  <c r="L1496" i="2"/>
  <c r="L1494" i="2"/>
  <c r="L1474" i="2"/>
  <c r="L1493" i="2"/>
  <c r="L1492" i="2"/>
  <c r="L1491" i="2"/>
  <c r="L1490" i="2"/>
  <c r="L1489" i="2"/>
  <c r="L1481" i="2"/>
  <c r="L1488" i="2"/>
  <c r="L1485" i="2"/>
  <c r="L1478" i="2"/>
  <c r="L1484" i="2"/>
  <c r="L1452" i="2"/>
  <c r="L1483" i="2"/>
  <c r="L1472" i="2"/>
  <c r="L1476" i="2"/>
  <c r="L1450" i="2"/>
  <c r="L1475" i="2"/>
  <c r="L1451" i="2"/>
  <c r="L1473" i="2"/>
  <c r="L1448" i="2"/>
  <c r="L1470" i="2"/>
  <c r="L1458" i="2"/>
  <c r="L1467" i="2"/>
  <c r="L1464" i="2"/>
  <c r="L1466" i="2"/>
  <c r="L1438" i="2"/>
  <c r="L1463" i="2"/>
  <c r="L1371" i="2"/>
  <c r="L1460" i="2"/>
  <c r="L1429" i="2"/>
  <c r="L1459" i="2"/>
  <c r="L1436" i="2"/>
  <c r="L1455" i="2"/>
  <c r="L1408" i="2"/>
  <c r="L1453" i="2"/>
  <c r="L1403" i="2"/>
  <c r="L1447" i="2"/>
  <c r="L1421" i="2"/>
  <c r="L1445" i="2"/>
  <c r="L1431" i="2"/>
  <c r="L1444" i="2"/>
  <c r="L1432" i="2"/>
  <c r="L1443" i="2"/>
  <c r="L1441" i="2"/>
  <c r="L1442" i="2"/>
  <c r="L1382" i="2"/>
  <c r="L1440" i="2"/>
  <c r="L1407" i="2"/>
  <c r="L1439" i="2"/>
  <c r="L1425" i="2"/>
  <c r="L1434" i="2"/>
  <c r="L1423" i="2"/>
  <c r="L1433" i="2"/>
  <c r="L1410" i="2"/>
  <c r="L1430" i="2"/>
  <c r="L1411" i="2"/>
  <c r="L1428" i="2"/>
  <c r="L1405" i="2"/>
  <c r="L1424" i="2"/>
  <c r="L1419" i="2"/>
  <c r="L1422" i="2"/>
  <c r="L1406" i="2"/>
  <c r="L1420" i="2"/>
  <c r="L1416" i="2"/>
  <c r="L1417" i="2"/>
  <c r="L1373" i="2"/>
  <c r="L1413" i="2"/>
  <c r="L1372" i="2"/>
  <c r="L1299" i="2"/>
  <c r="L1412" i="2"/>
  <c r="L1394" i="2"/>
  <c r="L1409" i="2"/>
  <c r="L1399" i="2"/>
  <c r="L1404" i="2"/>
  <c r="L1387" i="2"/>
  <c r="L1402" i="2"/>
  <c r="L1393" i="2"/>
  <c r="L1400" i="2"/>
  <c r="L1370" i="2"/>
  <c r="L1398" i="2"/>
  <c r="L1363" i="2"/>
  <c r="L1397" i="2"/>
  <c r="L1390" i="2"/>
  <c r="L1396" i="2"/>
  <c r="L1309" i="2"/>
  <c r="L1395" i="2"/>
  <c r="L1392" i="2"/>
  <c r="L1357" i="2"/>
  <c r="L1391" i="2"/>
  <c r="L1389" i="2"/>
  <c r="L1337" i="2"/>
  <c r="L1378" i="2"/>
  <c r="L1385" i="2"/>
  <c r="L1377" i="2"/>
  <c r="L1384" i="2"/>
  <c r="L1380" i="2"/>
  <c r="L1383" i="2"/>
  <c r="L1366" i="2"/>
  <c r="L1379" i="2"/>
  <c r="L1360" i="2"/>
  <c r="L1376" i="2"/>
  <c r="L1353" i="2"/>
  <c r="L1374" i="2"/>
  <c r="L1354" i="2"/>
  <c r="L1369" i="2"/>
  <c r="L1342" i="2"/>
  <c r="L1368" i="2"/>
  <c r="L1193" i="2"/>
  <c r="L1365" i="2"/>
  <c r="L1316" i="2"/>
  <c r="L1364" i="2"/>
  <c r="L1339" i="2"/>
  <c r="L1362" i="2"/>
  <c r="L1352" i="2"/>
  <c r="L1361" i="2"/>
  <c r="L1188" i="2"/>
  <c r="L1359" i="2"/>
  <c r="L1336" i="2"/>
  <c r="L1330" i="2"/>
  <c r="L1355" i="2"/>
  <c r="L1356" i="2"/>
  <c r="L1341" i="2"/>
  <c r="L1350" i="2"/>
  <c r="L1348" i="2"/>
  <c r="L1349" i="2"/>
  <c r="L1346" i="2"/>
  <c r="L1347" i="2"/>
  <c r="L1326" i="2"/>
  <c r="L1345" i="2"/>
  <c r="L1328" i="2"/>
  <c r="L1343" i="2"/>
  <c r="L1338" i="2"/>
  <c r="L1340" i="2"/>
  <c r="L1334" i="2"/>
  <c r="L1335" i="2"/>
  <c r="L1333" i="2"/>
  <c r="L1315" i="2"/>
  <c r="L1318" i="2"/>
  <c r="L1332" i="2"/>
  <c r="L1320" i="2"/>
  <c r="L1331" i="2"/>
  <c r="L1322" i="2"/>
  <c r="L1329" i="2"/>
  <c r="L1319" i="2"/>
  <c r="L1327" i="2"/>
  <c r="L1304" i="2"/>
  <c r="L1325" i="2"/>
  <c r="L1323" i="2"/>
  <c r="L1324" i="2"/>
  <c r="L1235" i="2"/>
  <c r="L1321" i="2"/>
  <c r="L1314" i="2"/>
  <c r="L1306" i="2"/>
  <c r="L1313" i="2"/>
  <c r="L1312" i="2"/>
  <c r="L1311" i="2"/>
  <c r="L1317" i="2"/>
  <c r="L1246" i="2"/>
  <c r="L1310" i="2"/>
  <c r="L1293" i="2"/>
  <c r="L1308" i="2"/>
  <c r="L1301" i="2"/>
  <c r="L1307" i="2"/>
  <c r="L1296" i="2"/>
  <c r="L1305" i="2"/>
  <c r="L1102" i="2"/>
  <c r="L1303" i="2"/>
  <c r="L1292" i="2"/>
  <c r="L1302" i="2"/>
  <c r="L1264" i="2"/>
  <c r="L1300" i="2"/>
  <c r="L1288" i="2"/>
  <c r="L1298" i="2"/>
  <c r="L1275" i="2"/>
  <c r="L1297" i="2"/>
  <c r="L1284" i="2"/>
  <c r="L1295" i="2"/>
  <c r="L1252" i="2"/>
  <c r="L1294" i="2"/>
  <c r="L1250" i="2"/>
  <c r="L1291" i="2"/>
  <c r="L1282" i="2"/>
  <c r="L1290" i="2"/>
  <c r="L1280" i="2"/>
  <c r="L1289" i="2"/>
  <c r="L1277" i="2"/>
  <c r="L1287" i="2"/>
  <c r="L1278" i="2"/>
  <c r="L1286" i="2"/>
  <c r="L1270" i="2"/>
  <c r="L1285" i="2"/>
  <c r="L1247" i="2"/>
  <c r="L1283" i="2"/>
  <c r="L1279" i="2"/>
  <c r="L1281" i="2"/>
  <c r="L1273" i="2"/>
  <c r="L1276" i="2"/>
  <c r="L1268" i="2"/>
  <c r="L1272" i="2"/>
  <c r="L1266" i="2"/>
  <c r="L1271" i="2"/>
  <c r="L1251" i="2"/>
  <c r="L1269" i="2"/>
  <c r="L1257" i="2"/>
  <c r="L1267" i="2"/>
  <c r="L1243" i="2"/>
  <c r="L1265" i="2"/>
  <c r="L1230" i="2"/>
  <c r="L1263" i="2"/>
  <c r="L1225" i="2"/>
  <c r="L1262" i="2"/>
  <c r="L1229" i="2"/>
  <c r="L1261" i="2"/>
  <c r="L1258" i="2"/>
  <c r="L1259" i="2"/>
  <c r="L1255" i="2"/>
  <c r="L1256" i="2"/>
  <c r="L1245" i="2"/>
  <c r="L1254" i="2"/>
  <c r="L1092" i="2"/>
  <c r="L1253" i="2"/>
  <c r="L1242" i="2"/>
  <c r="L1240" i="2"/>
  <c r="L1249" i="2"/>
  <c r="L1224" i="2"/>
  <c r="L1248" i="2"/>
  <c r="L1221" i="2"/>
  <c r="L1244" i="2"/>
  <c r="L1238" i="2"/>
  <c r="L1241" i="2"/>
  <c r="L1223" i="2"/>
  <c r="L1239" i="2"/>
  <c r="L1199" i="2"/>
  <c r="L1237" i="2"/>
  <c r="L1236" i="2"/>
  <c r="L1197" i="2"/>
  <c r="L1234" i="2"/>
  <c r="L1215" i="2"/>
  <c r="L1233" i="2"/>
  <c r="L1231" i="2"/>
  <c r="L1232" i="2"/>
  <c r="L1186" i="2"/>
  <c r="L1228" i="2"/>
  <c r="L1226" i="2"/>
  <c r="L1227" i="2"/>
  <c r="L1220" i="2"/>
  <c r="L1222" i="2"/>
  <c r="L1213" i="2"/>
  <c r="L1219" i="2"/>
  <c r="L1214" i="2"/>
  <c r="L1218" i="2"/>
  <c r="L1204" i="2"/>
  <c r="L1217" i="2"/>
  <c r="L1187" i="2"/>
  <c r="L1216" i="2"/>
  <c r="L1178" i="2"/>
  <c r="L1212" i="2"/>
  <c r="L1211" i="2"/>
  <c r="L1180" i="2"/>
  <c r="L1210" i="2"/>
  <c r="L1209" i="2"/>
  <c r="L1207" i="2"/>
  <c r="L1208" i="2"/>
  <c r="L1195" i="2"/>
  <c r="L1206" i="2"/>
  <c r="L1192" i="2"/>
  <c r="L1205" i="2"/>
  <c r="L1167" i="2"/>
  <c r="L1202" i="2"/>
  <c r="L1191" i="2"/>
  <c r="L1201" i="2"/>
  <c r="L1194" i="2"/>
  <c r="L1200" i="2"/>
  <c r="L1137" i="2"/>
  <c r="L1196" i="2"/>
  <c r="L1177" i="2"/>
  <c r="L1190" i="2"/>
  <c r="L1184" i="2"/>
  <c r="L1185" i="2"/>
  <c r="L1109" i="2"/>
  <c r="L1183" i="2"/>
  <c r="L1176" i="2"/>
  <c r="L1182" i="2"/>
  <c r="L1145" i="2"/>
  <c r="L1181" i="2"/>
  <c r="L1169" i="2"/>
  <c r="L1179" i="2"/>
  <c r="L1158" i="2"/>
  <c r="L1174" i="2"/>
  <c r="L1172" i="2"/>
  <c r="L1173" i="2"/>
  <c r="L1162" i="2"/>
  <c r="L1171" i="2"/>
  <c r="L1164" i="2"/>
  <c r="L1170" i="2"/>
  <c r="L1155" i="2"/>
  <c r="L1168" i="2"/>
  <c r="L1165" i="2"/>
  <c r="L1159" i="2"/>
  <c r="L1163" i="2"/>
  <c r="L1154" i="2"/>
  <c r="L1160" i="2"/>
  <c r="L1132" i="2"/>
  <c r="L1152" i="2"/>
  <c r="L1157" i="2"/>
  <c r="L1129" i="2"/>
  <c r="L1153" i="2"/>
  <c r="L1128" i="2"/>
  <c r="L1151" i="2"/>
  <c r="L1136" i="2"/>
  <c r="L1148" i="2"/>
  <c r="L1131" i="2"/>
  <c r="L1147" i="2"/>
  <c r="L1119" i="2"/>
  <c r="L1144" i="2"/>
  <c r="L1142" i="2"/>
  <c r="L1143" i="2"/>
  <c r="L1140" i="2"/>
  <c r="L1141" i="2"/>
  <c r="L1134" i="2"/>
  <c r="L1139" i="2"/>
  <c r="L1114" i="2"/>
  <c r="L1135" i="2"/>
  <c r="L1121" i="2"/>
  <c r="L1112" i="2"/>
  <c r="L1113" i="2"/>
  <c r="L1133" i="2"/>
  <c r="L1126" i="2"/>
  <c r="L1127" i="2"/>
  <c r="L1124" i="2"/>
  <c r="L1125" i="2"/>
  <c r="L1122" i="2"/>
  <c r="L1123" i="2"/>
  <c r="L1111" i="2"/>
  <c r="L1120" i="2"/>
  <c r="L1110" i="2"/>
  <c r="L1118" i="2"/>
  <c r="L1106" i="2"/>
  <c r="L1117" i="2"/>
  <c r="L1107" i="2"/>
  <c r="L1116" i="2"/>
  <c r="L1105" i="2"/>
  <c r="L1115" i="2"/>
  <c r="L1088" i="2"/>
  <c r="L1108" i="2"/>
  <c r="L1094" i="2"/>
  <c r="L1104" i="2"/>
  <c r="L1103" i="2"/>
  <c r="L1083" i="2"/>
  <c r="L1087" i="2"/>
  <c r="L1101" i="2"/>
  <c r="L1072" i="2"/>
  <c r="L1100" i="2"/>
  <c r="L1090" i="2"/>
  <c r="L1098" i="2"/>
  <c r="L1097" i="2"/>
  <c r="L1085" i="2"/>
  <c r="L1095" i="2"/>
  <c r="L1093" i="2"/>
  <c r="L1091" i="2"/>
  <c r="L1073" i="2"/>
  <c r="L1084" i="2"/>
  <c r="L1054" i="2"/>
  <c r="L1082" i="2"/>
  <c r="L918" i="2"/>
  <c r="L1081" i="2"/>
  <c r="L1080" i="2"/>
  <c r="L917" i="2"/>
  <c r="L1078" i="2"/>
  <c r="L1079" i="2"/>
  <c r="L1076" i="2"/>
  <c r="L1077" i="2"/>
  <c r="L1070" i="2"/>
  <c r="L1074" i="2"/>
  <c r="L1055" i="2"/>
  <c r="L1051" i="2"/>
  <c r="L1047" i="2"/>
  <c r="L1045" i="2"/>
  <c r="L1040" i="2"/>
  <c r="L1026" i="2"/>
  <c r="L1019" i="2"/>
  <c r="L1017" i="2"/>
  <c r="L1016" i="2"/>
  <c r="L1014" i="2"/>
  <c r="L1012" i="2"/>
  <c r="L1198" i="2"/>
  <c r="L1005" i="2"/>
  <c r="L1004" i="2"/>
  <c r="L1002" i="2"/>
  <c r="L997" i="2"/>
  <c r="L992" i="2"/>
  <c r="L991" i="2"/>
  <c r="L990" i="2"/>
  <c r="L988" i="2"/>
  <c r="L986" i="2"/>
  <c r="L985" i="2"/>
  <c r="L984" i="2"/>
  <c r="L983" i="2"/>
  <c r="L978" i="2"/>
  <c r="L930" i="2"/>
  <c r="L977" i="2"/>
  <c r="L974" i="2"/>
  <c r="L972" i="2"/>
  <c r="L971" i="2"/>
  <c r="L970" i="2"/>
  <c r="L969" i="2"/>
  <c r="L968" i="2"/>
  <c r="L967" i="2"/>
  <c r="L962" i="2"/>
  <c r="L961" i="2"/>
  <c r="L959" i="2"/>
  <c r="L957" i="2"/>
  <c r="L956" i="2"/>
  <c r="L950" i="2"/>
  <c r="L955" i="2"/>
  <c r="L2" i="2"/>
  <c r="L949" i="2"/>
  <c r="L947" i="2"/>
  <c r="L942" i="2"/>
  <c r="L939" i="2"/>
  <c r="L938" i="2"/>
  <c r="L929" i="2"/>
  <c r="L937" i="2"/>
  <c r="L936" i="2"/>
  <c r="L933" i="2"/>
  <c r="L932" i="2"/>
  <c r="L774" i="2"/>
  <c r="L711" i="2" l="1"/>
  <c r="L678" i="2" l="1"/>
  <c r="L669" i="2" l="1"/>
  <c r="L635" i="2" l="1"/>
  <c r="L632" i="2"/>
  <c r="L556" i="2"/>
  <c r="L585" i="2" l="1"/>
  <c r="L581" i="2"/>
  <c r="L548" i="2" l="1"/>
  <c r="L528" i="2"/>
  <c r="F324" i="2" l="1"/>
  <c r="M324" i="2" s="1"/>
  <c r="L1523" i="2" l="1"/>
  <c r="L1530" i="2"/>
  <c r="L1495" i="2"/>
  <c r="L1519" i="2"/>
  <c r="L1482" i="2"/>
  <c r="L1487" i="2"/>
  <c r="L1471" i="2"/>
  <c r="L1477" i="2"/>
  <c r="L1437" i="2"/>
  <c r="L1446" i="2"/>
  <c r="L1426" i="2"/>
  <c r="L1435" i="2"/>
  <c r="L1401" i="2"/>
  <c r="L1418" i="2"/>
  <c r="L1381" i="2"/>
  <c r="L1386" i="2"/>
  <c r="L1351" i="2"/>
  <c r="L1358" i="2"/>
  <c r="L1189" i="2"/>
  <c r="L1274" i="2"/>
  <c r="L1161" i="2"/>
  <c r="L1175" i="2"/>
  <c r="L1149" i="2"/>
  <c r="L1150" i="2"/>
  <c r="L1130" i="2"/>
  <c r="L1146" i="2"/>
  <c r="L1089" i="2"/>
  <c r="L1099" i="2"/>
  <c r="L1075" i="2"/>
  <c r="L1086" i="2"/>
  <c r="L1059" i="2"/>
  <c r="L1064" i="2"/>
  <c r="L1043" i="2"/>
  <c r="L1046" i="2"/>
  <c r="L1023" i="2"/>
  <c r="L1030" i="2"/>
  <c r="L1007" i="2"/>
  <c r="L1015" i="2"/>
  <c r="L1000" i="2"/>
  <c r="L1006" i="2"/>
  <c r="L993" i="2"/>
  <c r="L996" i="2"/>
  <c r="L975" i="2"/>
  <c r="L987" i="2"/>
  <c r="L960" i="2"/>
  <c r="L963" i="2"/>
  <c r="L948" i="2"/>
  <c r="L954" i="2"/>
  <c r="L931" i="2"/>
  <c r="L940" i="2"/>
  <c r="L247" i="2"/>
  <c r="L187" i="2" l="1"/>
  <c r="L178" i="2"/>
  <c r="L177" i="2"/>
  <c r="L189" i="2" l="1"/>
  <c r="L221" i="2"/>
  <c r="L190" i="2"/>
  <c r="L216" i="2"/>
  <c r="L340" i="2" l="1"/>
  <c r="L383" i="2" l="1"/>
  <c r="L683" i="2"/>
  <c r="L333" i="2"/>
  <c r="L378" i="2"/>
  <c r="L614" i="2" l="1"/>
  <c r="L684" i="2"/>
  <c r="L602" i="2"/>
  <c r="L613" i="2"/>
  <c r="L536" i="2"/>
  <c r="L568" i="2"/>
  <c r="L698" i="2" l="1"/>
  <c r="L699" i="2"/>
  <c r="L657" i="2"/>
  <c r="L677" i="2"/>
  <c r="L621" i="2"/>
  <c r="L656" i="2"/>
  <c r="L287" i="2"/>
  <c r="L620" i="2"/>
  <c r="L223" i="2"/>
  <c r="L286" i="2"/>
  <c r="L847" i="2" l="1"/>
  <c r="L696" i="2" l="1"/>
  <c r="L819" i="2"/>
  <c r="L682" i="2"/>
  <c r="L695" i="2"/>
  <c r="L110" i="2"/>
  <c r="L141" i="2"/>
  <c r="L108" i="2"/>
  <c r="L109" i="2"/>
  <c r="L52" i="2"/>
  <c r="L107" i="2"/>
  <c r="L51" i="2"/>
  <c r="L800" i="2" l="1"/>
  <c r="L600" i="2"/>
  <c r="L859" i="2" l="1"/>
  <c r="L810" i="2" l="1"/>
  <c r="L831" i="2"/>
  <c r="L805" i="2"/>
  <c r="L799" i="2"/>
  <c r="L777" i="2"/>
  <c r="L793" i="2"/>
  <c r="L716" i="2"/>
  <c r="L772" i="2"/>
  <c r="L674" i="2"/>
  <c r="L712" i="2"/>
  <c r="L653" i="2"/>
  <c r="L660" i="2"/>
  <c r="L627" i="2"/>
  <c r="L640" i="2"/>
  <c r="L618" i="2"/>
  <c r="L626" i="2"/>
  <c r="L612" i="2"/>
  <c r="L615" i="2"/>
  <c r="L599" i="2"/>
  <c r="L605" i="2"/>
  <c r="L547" i="2"/>
  <c r="L553" i="2"/>
  <c r="L513" i="2"/>
  <c r="L533" i="2"/>
  <c r="L453" i="2"/>
  <c r="L479" i="2"/>
  <c r="L429" i="2"/>
  <c r="L431" i="2"/>
  <c r="L418" i="2"/>
  <c r="L425" i="2"/>
  <c r="L410" i="2"/>
  <c r="L415" i="2"/>
  <c r="L399" i="2"/>
  <c r="L405" i="2"/>
  <c r="L387" i="2"/>
  <c r="L393" i="2"/>
  <c r="L377" i="2"/>
  <c r="L380" i="2"/>
  <c r="L371" i="2"/>
  <c r="L376" i="2"/>
  <c r="L358" i="2"/>
  <c r="L369" i="2"/>
  <c r="L352" i="2"/>
  <c r="L357" i="2"/>
  <c r="L341" i="2"/>
  <c r="L347" i="2"/>
  <c r="L330" i="2"/>
  <c r="L332" i="2"/>
  <c r="L322" i="2"/>
  <c r="L327" i="2"/>
  <c r="L316" i="2"/>
  <c r="L321" i="2"/>
  <c r="L308" i="2"/>
  <c r="L313" i="2"/>
  <c r="L281" i="2"/>
  <c r="L291" i="2"/>
  <c r="L270" i="2"/>
  <c r="L277" i="2"/>
  <c r="L257" i="2"/>
  <c r="L261" i="2"/>
  <c r="L238" i="2"/>
  <c r="L245" i="2"/>
  <c r="L235" i="2"/>
  <c r="L237" i="2"/>
  <c r="L222" i="2"/>
  <c r="L224" i="2"/>
  <c r="L211" i="2"/>
  <c r="L220" i="2"/>
  <c r="L198" i="2"/>
  <c r="L199" i="2"/>
  <c r="L172" i="2"/>
  <c r="L188" i="2"/>
  <c r="L148" i="2"/>
  <c r="L168" i="2"/>
  <c r="L126" i="2"/>
  <c r="L128" i="2"/>
  <c r="L118" i="2"/>
  <c r="L119" i="2"/>
  <c r="L98" i="2"/>
  <c r="L102" i="2"/>
  <c r="L68" i="2"/>
  <c r="L81" i="2"/>
  <c r="L54" i="2"/>
  <c r="L64" i="2"/>
  <c r="L42" i="2"/>
  <c r="L47" i="2"/>
  <c r="L32" i="2"/>
  <c r="L41" i="2"/>
  <c r="L802" i="2" l="1"/>
  <c r="L658" i="2" l="1"/>
  <c r="L675" i="2"/>
  <c r="L496" i="2"/>
  <c r="L515" i="2"/>
  <c r="L373" i="2"/>
  <c r="L815" i="2" l="1"/>
  <c r="L676" i="2"/>
  <c r="L806" i="2" l="1"/>
  <c r="L811" i="2"/>
  <c r="L673" i="2"/>
  <c r="L801" i="2"/>
  <c r="L634" i="2"/>
  <c r="L659" i="2"/>
  <c r="L586" i="2"/>
  <c r="L601" i="2"/>
  <c r="L146" i="2"/>
  <c r="L590" i="2"/>
  <c r="L461" i="2"/>
  <c r="L532" i="2"/>
  <c r="L446" i="2"/>
  <c r="L454" i="2"/>
  <c r="L419" i="2"/>
  <c r="L424" i="2"/>
  <c r="L404" i="2"/>
  <c r="L411" i="2"/>
  <c r="L397" i="2"/>
  <c r="L400" i="2"/>
  <c r="L375" i="2"/>
  <c r="L392" i="2"/>
  <c r="L255" i="2"/>
  <c r="L372" i="2"/>
  <c r="L356" i="2"/>
  <c r="L359" i="2"/>
  <c r="L331" i="2"/>
  <c r="L348" i="2"/>
  <c r="L326" i="2"/>
  <c r="L34" i="2"/>
  <c r="L243" i="2"/>
  <c r="L117" i="2"/>
  <c r="L135" i="2"/>
  <c r="L35" i="2"/>
  <c r="L3" i="2"/>
  <c r="L681" i="2" l="1"/>
  <c r="L583" i="2" l="1"/>
  <c r="L822" i="2"/>
  <c r="L480" i="2"/>
  <c r="L497" i="2"/>
  <c r="L396" i="2"/>
  <c r="L423" i="2"/>
  <c r="L362" i="2"/>
  <c r="L395" i="2"/>
  <c r="L345" i="2"/>
  <c r="L351" i="2"/>
  <c r="L186" i="2"/>
  <c r="L346" i="2"/>
  <c r="L203" i="2"/>
  <c r="L213" i="2"/>
  <c r="L185" i="2"/>
  <c r="L194" i="2"/>
  <c r="L136" i="2"/>
  <c r="L155" i="2"/>
  <c r="L92" i="2"/>
  <c r="L112" i="2"/>
  <c r="L89" i="2"/>
  <c r="L854" i="2" l="1"/>
  <c r="L608" i="2" l="1"/>
  <c r="L848" i="2"/>
  <c r="L589" i="2"/>
  <c r="L607" i="2"/>
  <c r="L566" i="2"/>
  <c r="L567" i="2"/>
  <c r="L541" i="2"/>
  <c r="L542" i="2"/>
  <c r="L435" i="2"/>
  <c r="L438" i="2"/>
  <c r="L285" i="2"/>
  <c r="L434" i="2"/>
  <c r="L120" i="2"/>
  <c r="L140" i="2"/>
  <c r="L49" i="2"/>
  <c r="L50" i="2"/>
  <c r="L36" i="2"/>
  <c r="L37" i="2"/>
  <c r="L314" i="2" l="1"/>
  <c r="L798" i="2" l="1"/>
  <c r="L739" i="2" l="1"/>
  <c r="L260" i="2" l="1"/>
  <c r="L697" i="2"/>
  <c r="L654" i="2"/>
  <c r="L680" i="2"/>
  <c r="L651" i="2"/>
  <c r="L652" i="2"/>
  <c r="L143" i="2"/>
  <c r="L650" i="2"/>
  <c r="L82" i="2"/>
  <c r="L679" i="2" l="1"/>
  <c r="L142" i="2" l="1"/>
  <c r="L855" i="2" l="1"/>
  <c r="L858" i="2"/>
  <c r="L827" i="2"/>
  <c r="L836" i="2"/>
  <c r="L576" i="2"/>
  <c r="L845" i="2" l="1"/>
  <c r="L863" i="2"/>
  <c r="L807" i="2"/>
  <c r="L844" i="2"/>
  <c r="L740" i="2"/>
  <c r="L754" i="2"/>
  <c r="L552" i="2"/>
  <c r="L565" i="2"/>
  <c r="L500" i="2"/>
  <c r="L551" i="2"/>
  <c r="L474" i="2"/>
  <c r="L475" i="2"/>
  <c r="L389" i="2"/>
  <c r="L463" i="2"/>
  <c r="L315" i="2"/>
  <c r="L339" i="2"/>
  <c r="L214" i="2"/>
  <c r="L204" i="2"/>
  <c r="L78" i="2"/>
  <c r="L91" i="2"/>
  <c r="L86" i="2"/>
  <c r="L77" i="2"/>
  <c r="L85" i="2"/>
  <c r="L853" i="2" l="1"/>
  <c r="L849" i="2" l="1"/>
  <c r="L852" i="2"/>
  <c r="L759" i="2"/>
  <c r="L760" i="2"/>
  <c r="L737" i="2"/>
  <c r="L738" i="2"/>
  <c r="L701" i="2"/>
  <c r="L725" i="2"/>
  <c r="L666" i="2"/>
  <c r="L700" i="2"/>
  <c r="L655" i="2"/>
  <c r="L665" i="2"/>
  <c r="L564" i="2"/>
  <c r="L582" i="2"/>
  <c r="L555" i="2"/>
  <c r="L563" i="2"/>
  <c r="L545" i="2"/>
  <c r="L546" i="2"/>
  <c r="L534" i="2"/>
  <c r="L535" i="2"/>
  <c r="L520" i="2"/>
  <c r="L521" i="2"/>
  <c r="L502" i="2"/>
  <c r="L512" i="2"/>
  <c r="L448" i="2"/>
  <c r="L473" i="2"/>
  <c r="L437" i="2"/>
  <c r="L447" i="2"/>
  <c r="L368" i="2"/>
  <c r="L388" i="2"/>
  <c r="L284" i="2"/>
  <c r="L338" i="2"/>
  <c r="L219" i="2"/>
  <c r="L283" i="2"/>
  <c r="L159" i="2"/>
  <c r="L176" i="2"/>
  <c r="L139" i="2"/>
  <c r="L158" i="2"/>
  <c r="L95" i="2"/>
  <c r="L121" i="2"/>
  <c r="L53" i="2"/>
  <c r="L76" i="2"/>
  <c r="L727" i="2" l="1"/>
  <c r="L731" i="2"/>
  <c r="P54" i="26" l="1"/>
  <c r="S54" i="26" s="1"/>
  <c r="O54" i="26"/>
  <c r="K54" i="26"/>
  <c r="J54" i="26"/>
  <c r="H54" i="26"/>
  <c r="G54" i="26"/>
  <c r="F54" i="26"/>
  <c r="P53" i="26"/>
  <c r="S53" i="26" s="1"/>
  <c r="O53" i="26"/>
  <c r="K53" i="26"/>
  <c r="J53" i="26"/>
  <c r="H53" i="26"/>
  <c r="G53" i="26"/>
  <c r="F53" i="26"/>
  <c r="E54" i="26" l="1"/>
  <c r="Q54" i="26"/>
  <c r="R54" i="26" s="1"/>
  <c r="T54" i="26" s="1"/>
  <c r="M53" i="26"/>
  <c r="N53" i="26"/>
  <c r="I54" i="26"/>
  <c r="L54" i="26" s="1"/>
  <c r="I53" i="26"/>
  <c r="L53" i="26" s="1"/>
  <c r="M54" i="26"/>
  <c r="N54" i="26"/>
  <c r="E53" i="26"/>
  <c r="Q53" i="26"/>
  <c r="R53" i="26" s="1"/>
  <c r="U54" i="26" l="1"/>
  <c r="U53" i="26"/>
  <c r="T53" i="26"/>
  <c r="L851" i="2" l="1"/>
  <c r="L857" i="2"/>
  <c r="L846" i="2"/>
  <c r="L850" i="2"/>
  <c r="L825" i="2"/>
  <c r="L826" i="2"/>
  <c r="L823" i="2"/>
  <c r="L824" i="2"/>
  <c r="L814" i="2"/>
  <c r="L817" i="2"/>
  <c r="L788" i="2"/>
  <c r="L808" i="2"/>
  <c r="L796" i="2"/>
  <c r="L787" i="2"/>
  <c r="L779" i="2"/>
  <c r="L795" i="2"/>
  <c r="L765" i="2"/>
  <c r="L766" i="2"/>
  <c r="L761" i="2"/>
  <c r="L762" i="2"/>
  <c r="L736" i="2"/>
  <c r="L748" i="2"/>
  <c r="L730" i="2"/>
  <c r="L735" i="2"/>
  <c r="L724" i="2"/>
  <c r="L729" i="2"/>
  <c r="L706" i="2"/>
  <c r="L717" i="2"/>
  <c r="L663" i="2"/>
  <c r="L685" i="2"/>
  <c r="L661" i="2"/>
  <c r="L662" i="2"/>
  <c r="L641" i="2"/>
  <c r="L642" i="2"/>
  <c r="L629" i="2"/>
  <c r="L636" i="2"/>
  <c r="L597" i="2"/>
  <c r="L598" i="2"/>
  <c r="L577" i="2"/>
  <c r="L578" i="2"/>
  <c r="L560" i="2"/>
  <c r="L561" i="2"/>
  <c r="L544" i="2"/>
  <c r="L554" i="2"/>
  <c r="L523" i="2"/>
  <c r="L543" i="2"/>
  <c r="L511" i="2"/>
  <c r="L522" i="2"/>
  <c r="L489" i="2"/>
  <c r="L501" i="2"/>
  <c r="L470" i="2"/>
  <c r="L488" i="2"/>
  <c r="L436" i="2"/>
  <c r="L469" i="2"/>
  <c r="L432" i="2"/>
  <c r="L433" i="2"/>
  <c r="L413" i="2"/>
  <c r="L414" i="2"/>
  <c r="L361" i="2"/>
  <c r="L367" i="2"/>
  <c r="L335" i="2"/>
  <c r="L360" i="2"/>
  <c r="L317" i="2"/>
  <c r="L334" i="2"/>
  <c r="L292" i="2"/>
  <c r="L301" i="2"/>
  <c r="L265" i="2"/>
  <c r="L282" i="2"/>
  <c r="L246" i="2"/>
  <c r="L250" i="2"/>
  <c r="L212" i="2"/>
  <c r="L230" i="2"/>
  <c r="L200" i="2"/>
  <c r="L205" i="2"/>
  <c r="L161" i="2"/>
  <c r="L175" i="2"/>
  <c r="L138" i="2"/>
  <c r="L149" i="2"/>
  <c r="L94" i="2"/>
  <c r="L111" i="2"/>
  <c r="L67" i="2"/>
  <c r="L74" i="2"/>
  <c r="L46" i="2"/>
  <c r="L48" i="2"/>
  <c r="L40" i="2"/>
  <c r="L672" i="2" l="1"/>
  <c r="L864" i="2" l="1"/>
  <c r="L837" i="2"/>
  <c r="L843" i="2" l="1"/>
  <c r="L862" i="2"/>
  <c r="L809" i="2"/>
  <c r="L842" i="2"/>
  <c r="L841" i="2"/>
  <c r="L747" i="2"/>
  <c r="L840" i="2"/>
  <c r="L839" i="2"/>
  <c r="L838" i="2"/>
  <c r="L835" i="2"/>
  <c r="L828" i="2"/>
  <c r="L834" i="2"/>
  <c r="L833" i="2"/>
  <c r="L832" i="2"/>
  <c r="L830" i="2"/>
  <c r="L821" i="2"/>
  <c r="L829" i="2"/>
  <c r="L816" i="2"/>
  <c r="L820" i="2"/>
  <c r="L813" i="2"/>
  <c r="L812" i="2"/>
  <c r="L804" i="2"/>
  <c r="L803" i="2"/>
  <c r="L786" i="2"/>
  <c r="L797" i="2"/>
  <c r="L784" i="2"/>
  <c r="L785" i="2"/>
  <c r="L794" i="2"/>
  <c r="L792" i="2"/>
  <c r="L782" i="2"/>
  <c r="L783" i="2"/>
  <c r="L780" i="2"/>
  <c r="L781" i="2"/>
  <c r="L768" i="2"/>
  <c r="L778" i="2"/>
  <c r="L776" i="2"/>
  <c r="L775" i="2"/>
  <c r="L773" i="2"/>
  <c r="L771" i="2"/>
  <c r="L722" i="2"/>
  <c r="L767" i="2"/>
  <c r="L770" i="2"/>
  <c r="L769" i="2"/>
  <c r="L763" i="2"/>
  <c r="L758" i="2"/>
  <c r="L757" i="2"/>
  <c r="L755" i="2"/>
  <c r="L713" i="2"/>
  <c r="L753" i="2"/>
  <c r="L752" i="2"/>
  <c r="L751" i="2"/>
  <c r="L723" i="2"/>
  <c r="L741" i="2"/>
  <c r="L732" i="2"/>
  <c r="L728" i="2"/>
  <c r="L708" i="2"/>
  <c r="L721" i="2"/>
  <c r="L715" i="2"/>
  <c r="L719" i="2"/>
  <c r="L714" i="2"/>
  <c r="L718" i="2"/>
  <c r="L710" i="2"/>
  <c r="L709" i="2"/>
  <c r="L686" i="2"/>
  <c r="L707" i="2"/>
  <c r="L693" i="2"/>
  <c r="L692" i="2"/>
  <c r="L667" i="2"/>
  <c r="L691" i="2"/>
  <c r="L670" i="2"/>
  <c r="L690" i="2"/>
  <c r="L668" i="2"/>
  <c r="L689" i="2"/>
  <c r="L643" i="2"/>
  <c r="L687" i="2"/>
  <c r="L646" i="2"/>
  <c r="L664" i="2"/>
  <c r="L644" i="2"/>
  <c r="L645" i="2"/>
  <c r="L648" i="2"/>
  <c r="L647" i="2"/>
  <c r="L639" i="2"/>
  <c r="L638" i="2"/>
  <c r="L637" i="2"/>
  <c r="L633" i="2"/>
  <c r="L631" i="2"/>
  <c r="L630" i="2"/>
  <c r="L625" i="2"/>
  <c r="L624" i="2"/>
  <c r="L623" i="2"/>
  <c r="L622" i="2"/>
  <c r="L617" i="2"/>
  <c r="L616" i="2"/>
  <c r="L569" i="2"/>
  <c r="L611" i="2"/>
  <c r="L610" i="2"/>
  <c r="L609" i="2"/>
  <c r="L606" i="2"/>
  <c r="L604" i="2"/>
  <c r="L603" i="2"/>
  <c r="L540" i="2"/>
  <c r="L595" i="2"/>
  <c r="L594" i="2"/>
  <c r="L593" i="2"/>
  <c r="L588" i="2"/>
  <c r="L587" i="2"/>
  <c r="L525" i="2"/>
  <c r="L580" i="2"/>
  <c r="L562" i="2"/>
  <c r="L579" i="2"/>
  <c r="L573" i="2"/>
  <c r="L572" i="2"/>
  <c r="L571" i="2"/>
  <c r="L570" i="2"/>
  <c r="L559" i="2"/>
  <c r="L557" i="2"/>
  <c r="L549" i="2"/>
  <c r="L539" i="2"/>
  <c r="L537" i="2"/>
  <c r="L531" i="2"/>
  <c r="L529" i="2"/>
  <c r="L527" i="2"/>
  <c r="L514" i="2"/>
  <c r="L524" i="2"/>
  <c r="L517" i="2"/>
  <c r="L509" i="2"/>
  <c r="L508" i="2"/>
  <c r="L516" i="2"/>
  <c r="L507" i="2"/>
  <c r="L492" i="2"/>
  <c r="L505" i="2"/>
  <c r="L498" i="2"/>
  <c r="L504" i="2"/>
  <c r="L487" i="2"/>
  <c r="L499" i="2"/>
  <c r="L490" i="2"/>
  <c r="L495" i="2"/>
  <c r="L484" i="2"/>
  <c r="L493" i="2"/>
  <c r="L465" i="2"/>
  <c r="L491" i="2"/>
  <c r="L482" i="2"/>
  <c r="L485" i="2"/>
  <c r="L476" i="2"/>
  <c r="L481" i="2"/>
  <c r="L467" i="2"/>
  <c r="L477" i="2"/>
  <c r="L471" i="2"/>
  <c r="L472" i="2"/>
  <c r="L458" i="2"/>
  <c r="L466" i="2"/>
  <c r="L452" i="2"/>
  <c r="L464" i="2"/>
  <c r="L407" i="2"/>
  <c r="L462" i="2"/>
  <c r="L449" i="2"/>
  <c r="L459" i="2"/>
  <c r="L457" i="2"/>
  <c r="L444" i="2"/>
  <c r="L456" i="2"/>
  <c r="L450" i="2"/>
  <c r="L455" i="2"/>
  <c r="L443" i="2"/>
  <c r="L427" i="2"/>
  <c r="L441" i="2"/>
  <c r="L428" i="2"/>
  <c r="L440" i="2"/>
  <c r="L422" i="2"/>
  <c r="L439" i="2"/>
  <c r="L421" i="2"/>
  <c r="L426" i="2"/>
  <c r="L379" i="2"/>
  <c r="L417" i="2"/>
  <c r="L416" i="2"/>
  <c r="L420" i="2"/>
  <c r="L403" i="2"/>
  <c r="L409" i="2"/>
  <c r="L408" i="2"/>
  <c r="L398" i="2"/>
  <c r="L406" i="2"/>
  <c r="L390" i="2"/>
  <c r="L402" i="2"/>
  <c r="L391" i="2"/>
  <c r="L401" i="2"/>
  <c r="L382" i="2"/>
  <c r="L386" i="2"/>
  <c r="L381" i="2"/>
  <c r="L385" i="2"/>
  <c r="L374" i="2"/>
  <c r="L384" i="2"/>
  <c r="L370" i="2"/>
  <c r="L354" i="2"/>
  <c r="L366" i="2"/>
  <c r="L365" i="2"/>
  <c r="L353" i="2"/>
  <c r="L364" i="2"/>
  <c r="L337" i="2"/>
  <c r="L363" i="2"/>
  <c r="L355" i="2"/>
  <c r="L343" i="2"/>
  <c r="L350" i="2"/>
  <c r="L342" i="2"/>
  <c r="L349" i="2"/>
  <c r="L319" i="2"/>
  <c r="L344" i="2"/>
  <c r="L318" i="2"/>
  <c r="L336" i="2"/>
  <c r="L324" i="2"/>
  <c r="L329" i="2"/>
  <c r="L328" i="2"/>
  <c r="L305" i="2"/>
  <c r="L325" i="2"/>
  <c r="L312" i="2"/>
  <c r="L323" i="2"/>
  <c r="L310" i="2"/>
  <c r="L320" i="2"/>
  <c r="L300" i="2"/>
  <c r="L311" i="2"/>
  <c r="L304" i="2"/>
  <c r="L309" i="2"/>
  <c r="L289" i="2"/>
  <c r="L306" i="2"/>
  <c r="L293" i="2"/>
  <c r="L299" i="2"/>
  <c r="L275" i="2"/>
  <c r="L298" i="2"/>
  <c r="L297" i="2"/>
  <c r="L288" i="2"/>
  <c r="L296" i="2"/>
  <c r="L290" i="2"/>
  <c r="L271" i="2"/>
  <c r="L280" i="2"/>
  <c r="L273" i="2"/>
  <c r="L279" i="2"/>
  <c r="L272" i="2"/>
  <c r="L278" i="2"/>
  <c r="L267" i="2"/>
  <c r="L276" i="2"/>
  <c r="L269" i="2"/>
  <c r="L274" i="2"/>
  <c r="L251" i="2"/>
  <c r="L268" i="2"/>
  <c r="L256" i="2"/>
  <c r="L266" i="2"/>
  <c r="L259" i="2"/>
  <c r="L264" i="2"/>
  <c r="L263" i="2"/>
  <c r="L258" i="2"/>
  <c r="L262" i="2"/>
  <c r="L242" i="2"/>
  <c r="L252" i="2"/>
  <c r="L234" i="2"/>
  <c r="L249" i="2"/>
  <c r="L240" i="2"/>
  <c r="L248" i="2"/>
  <c r="L231" i="2"/>
  <c r="L241" i="2"/>
  <c r="L239" i="2"/>
  <c r="L195" i="2"/>
  <c r="L233" i="2"/>
  <c r="L217" i="2"/>
  <c r="L228" i="2"/>
  <c r="L226" i="2"/>
  <c r="L227" i="2"/>
  <c r="L196" i="2"/>
  <c r="L225" i="2"/>
  <c r="L179" i="2"/>
  <c r="L218" i="2"/>
  <c r="L210" i="2"/>
  <c r="L215" i="2"/>
  <c r="L207" i="2"/>
  <c r="L209" i="2"/>
  <c r="L208" i="2"/>
  <c r="L184" i="2"/>
  <c r="L202" i="2"/>
  <c r="L165" i="2"/>
  <c r="L193" i="2"/>
  <c r="L181" i="2"/>
  <c r="L191" i="2"/>
  <c r="L174" i="2"/>
  <c r="L183" i="2"/>
  <c r="L171" i="2"/>
  <c r="L180" i="2"/>
  <c r="L167" i="2"/>
  <c r="L173" i="2"/>
  <c r="L151" i="2"/>
  <c r="L170" i="2"/>
  <c r="L164" i="2"/>
  <c r="L166" i="2"/>
  <c r="L147" i="2"/>
  <c r="L162" i="2"/>
  <c r="L156" i="2"/>
  <c r="L157" i="2"/>
  <c r="L145" i="2"/>
  <c r="L153" i="2"/>
  <c r="L131" i="2"/>
  <c r="L152" i="2"/>
  <c r="L132" i="2"/>
  <c r="L150" i="2"/>
  <c r="L123" i="2"/>
  <c r="L137" i="2"/>
  <c r="L96" i="2"/>
  <c r="L134" i="2"/>
  <c r="L129" i="2"/>
  <c r="L133" i="2"/>
  <c r="L124" i="2"/>
  <c r="L130" i="2"/>
  <c r="L105" i="2"/>
  <c r="L125" i="2"/>
  <c r="L114" i="2"/>
  <c r="L122" i="2"/>
  <c r="L103" i="2"/>
  <c r="L116" i="2"/>
  <c r="L104" i="2"/>
  <c r="L115" i="2"/>
  <c r="L106" i="2"/>
  <c r="L113" i="2"/>
  <c r="L79" i="2"/>
  <c r="L101" i="2"/>
  <c r="L80" i="2"/>
  <c r="L100" i="2"/>
  <c r="L99" i="2"/>
  <c r="L93" i="2"/>
  <c r="L97" i="2"/>
  <c r="L88" i="2"/>
  <c r="L90" i="2"/>
  <c r="L83" i="2"/>
  <c r="L75" i="2"/>
  <c r="L84" i="2"/>
  <c r="L87" i="2"/>
  <c r="L59" i="2"/>
  <c r="L72" i="2"/>
  <c r="L70" i="2"/>
  <c r="L71" i="2"/>
  <c r="L69" i="2"/>
  <c r="L45" i="2"/>
  <c r="L66" i="2"/>
  <c r="L65" i="2"/>
  <c r="L63" i="2"/>
  <c r="L62" i="2"/>
  <c r="L39" i="2"/>
  <c r="L58" i="2"/>
  <c r="L57" i="2"/>
  <c r="L56" i="2"/>
  <c r="L55" i="2"/>
  <c r="L44" i="2"/>
  <c r="L43" i="2"/>
  <c r="L33" i="2"/>
  <c r="L31" i="2"/>
  <c r="L30" i="2"/>
  <c r="L29" i="2"/>
  <c r="P165" i="26" l="1"/>
  <c r="S165" i="26" s="1"/>
  <c r="O165" i="26"/>
  <c r="K165" i="26"/>
  <c r="J165" i="26"/>
  <c r="H165" i="26"/>
  <c r="G165" i="26"/>
  <c r="F165" i="26"/>
  <c r="Q165" i="26" l="1"/>
  <c r="R165" i="26" s="1"/>
  <c r="T165" i="26" s="1"/>
  <c r="E165" i="26"/>
  <c r="M165" i="26"/>
  <c r="I165" i="26"/>
  <c r="L165" i="26" s="1"/>
  <c r="N165" i="26"/>
  <c r="U165" i="26" l="1"/>
  <c r="L756" i="2" l="1"/>
  <c r="L764" i="2"/>
  <c r="L749" i="2"/>
  <c r="L750" i="2"/>
  <c r="L733" i="2"/>
  <c r="L734" i="2"/>
  <c r="L720" i="2"/>
  <c r="L726" i="2"/>
  <c r="L688" i="2"/>
  <c r="L694" i="2"/>
  <c r="L649" i="2"/>
  <c r="L671" i="2"/>
  <c r="L619" i="2"/>
  <c r="L628" i="2"/>
  <c r="L592" i="2"/>
  <c r="L596" i="2"/>
  <c r="L584" i="2"/>
  <c r="L591" i="2"/>
  <c r="L574" i="2"/>
  <c r="L575" i="2"/>
  <c r="L550" i="2"/>
  <c r="L558" i="2"/>
  <c r="L530" i="2"/>
  <c r="L538" i="2"/>
  <c r="L519" i="2"/>
  <c r="L526" i="2"/>
  <c r="L510" i="2"/>
  <c r="L518" i="2"/>
  <c r="L503" i="2"/>
  <c r="L506" i="2"/>
  <c r="L486" i="2"/>
  <c r="L494" i="2"/>
  <c r="L478" i="2"/>
  <c r="L483" i="2"/>
  <c r="L460" i="2"/>
  <c r="L468" i="2"/>
  <c r="L445" i="2"/>
  <c r="L451" i="2"/>
  <c r="L430" i="2"/>
  <c r="L442" i="2"/>
  <c r="L394" i="2"/>
  <c r="L412" i="2"/>
  <c r="L295" i="2"/>
  <c r="L307" i="2"/>
  <c r="L236" i="2"/>
  <c r="L244" i="2"/>
  <c r="L206" i="2"/>
  <c r="L232" i="2"/>
  <c r="L192" i="2"/>
  <c r="L197" i="2"/>
  <c r="L163" i="2"/>
  <c r="L182" i="2"/>
  <c r="L144" i="2"/>
  <c r="L154" i="2"/>
  <c r="L127" i="2"/>
  <c r="P536" i="26" l="1"/>
  <c r="S536" i="26" s="1"/>
  <c r="O536" i="26"/>
  <c r="K536" i="26"/>
  <c r="J536" i="26"/>
  <c r="H536" i="26"/>
  <c r="G536" i="26"/>
  <c r="F536" i="26"/>
  <c r="P535" i="26"/>
  <c r="S535" i="26" s="1"/>
  <c r="O535" i="26"/>
  <c r="K535" i="26"/>
  <c r="J535" i="26"/>
  <c r="H535" i="26"/>
  <c r="G535" i="26"/>
  <c r="F535" i="26"/>
  <c r="P534" i="26"/>
  <c r="S534" i="26" s="1"/>
  <c r="O534" i="26"/>
  <c r="K534" i="26"/>
  <c r="J534" i="26"/>
  <c r="H534" i="26"/>
  <c r="G534" i="26"/>
  <c r="F534" i="26"/>
  <c r="P533" i="26"/>
  <c r="S533" i="26" s="1"/>
  <c r="O533" i="26"/>
  <c r="K533" i="26"/>
  <c r="J533" i="26"/>
  <c r="H533" i="26"/>
  <c r="G533" i="26"/>
  <c r="F533" i="26"/>
  <c r="P532" i="26"/>
  <c r="S532" i="26" s="1"/>
  <c r="O532" i="26"/>
  <c r="K532" i="26"/>
  <c r="J532" i="26"/>
  <c r="H532" i="26"/>
  <c r="G532" i="26"/>
  <c r="F532" i="26"/>
  <c r="P531" i="26"/>
  <c r="S531" i="26" s="1"/>
  <c r="O531" i="26"/>
  <c r="K531" i="26"/>
  <c r="J531" i="26"/>
  <c r="H531" i="26"/>
  <c r="G531" i="26"/>
  <c r="F531" i="26"/>
  <c r="P530" i="26"/>
  <c r="S530" i="26" s="1"/>
  <c r="O530" i="26"/>
  <c r="K530" i="26"/>
  <c r="J530" i="26"/>
  <c r="H530" i="26"/>
  <c r="G530" i="26"/>
  <c r="F530" i="26"/>
  <c r="P529" i="26"/>
  <c r="S529" i="26" s="1"/>
  <c r="O529" i="26"/>
  <c r="K529" i="26"/>
  <c r="J529" i="26"/>
  <c r="H529" i="26"/>
  <c r="G529" i="26"/>
  <c r="F529" i="26"/>
  <c r="P528" i="26"/>
  <c r="S528" i="26" s="1"/>
  <c r="O528" i="26"/>
  <c r="K528" i="26"/>
  <c r="J528" i="26"/>
  <c r="H528" i="26"/>
  <c r="G528" i="26"/>
  <c r="F528" i="26"/>
  <c r="P527" i="26"/>
  <c r="S527" i="26" s="1"/>
  <c r="O527" i="26"/>
  <c r="K527" i="26"/>
  <c r="J527" i="26"/>
  <c r="H527" i="26"/>
  <c r="G527" i="26"/>
  <c r="F527" i="26"/>
  <c r="P526" i="26"/>
  <c r="S526" i="26" s="1"/>
  <c r="O526" i="26"/>
  <c r="K526" i="26"/>
  <c r="J526" i="26"/>
  <c r="H526" i="26"/>
  <c r="G526" i="26"/>
  <c r="F526" i="26"/>
  <c r="P525" i="26"/>
  <c r="S525" i="26" s="1"/>
  <c r="O525" i="26"/>
  <c r="K525" i="26"/>
  <c r="J525" i="26"/>
  <c r="H525" i="26"/>
  <c r="G525" i="26"/>
  <c r="F525" i="26"/>
  <c r="P524" i="26"/>
  <c r="S524" i="26" s="1"/>
  <c r="O524" i="26"/>
  <c r="K524" i="26"/>
  <c r="J524" i="26"/>
  <c r="H524" i="26"/>
  <c r="G524" i="26"/>
  <c r="F524" i="26"/>
  <c r="P523" i="26"/>
  <c r="S523" i="26" s="1"/>
  <c r="O523" i="26"/>
  <c r="K523" i="26"/>
  <c r="J523" i="26"/>
  <c r="H523" i="26"/>
  <c r="G523" i="26"/>
  <c r="F523" i="26"/>
  <c r="P522" i="26"/>
  <c r="S522" i="26" s="1"/>
  <c r="O522" i="26"/>
  <c r="K522" i="26"/>
  <c r="J522" i="26"/>
  <c r="H522" i="26"/>
  <c r="G522" i="26"/>
  <c r="F522" i="26"/>
  <c r="P521" i="26"/>
  <c r="S521" i="26" s="1"/>
  <c r="O521" i="26"/>
  <c r="K521" i="26"/>
  <c r="J521" i="26"/>
  <c r="H521" i="26"/>
  <c r="G521" i="26"/>
  <c r="F521" i="26"/>
  <c r="P520" i="26"/>
  <c r="S520" i="26" s="1"/>
  <c r="O520" i="26"/>
  <c r="K520" i="26"/>
  <c r="J520" i="26"/>
  <c r="H520" i="26"/>
  <c r="G520" i="26"/>
  <c r="F520" i="26"/>
  <c r="P519" i="26"/>
  <c r="S519" i="26" s="1"/>
  <c r="O519" i="26"/>
  <c r="K519" i="26"/>
  <c r="J519" i="26"/>
  <c r="H519" i="26"/>
  <c r="G519" i="26"/>
  <c r="F519" i="26"/>
  <c r="P518" i="26"/>
  <c r="S518" i="26" s="1"/>
  <c r="O518" i="26"/>
  <c r="K518" i="26"/>
  <c r="J518" i="26"/>
  <c r="H518" i="26"/>
  <c r="G518" i="26"/>
  <c r="F518" i="26"/>
  <c r="P517" i="26"/>
  <c r="S517" i="26" s="1"/>
  <c r="O517" i="26"/>
  <c r="K517" i="26"/>
  <c r="J517" i="26"/>
  <c r="H517" i="26"/>
  <c r="G517" i="26"/>
  <c r="F517" i="26"/>
  <c r="P516" i="26"/>
  <c r="S516" i="26" s="1"/>
  <c r="O516" i="26"/>
  <c r="K516" i="26"/>
  <c r="J516" i="26"/>
  <c r="H516" i="26"/>
  <c r="G516" i="26"/>
  <c r="F516" i="26"/>
  <c r="P515" i="26"/>
  <c r="S515" i="26" s="1"/>
  <c r="O515" i="26"/>
  <c r="K515" i="26"/>
  <c r="J515" i="26"/>
  <c r="H515" i="26"/>
  <c r="G515" i="26"/>
  <c r="F515" i="26"/>
  <c r="P514" i="26"/>
  <c r="S514" i="26" s="1"/>
  <c r="O514" i="26"/>
  <c r="K514" i="26"/>
  <c r="J514" i="26"/>
  <c r="H514" i="26"/>
  <c r="G514" i="26"/>
  <c r="F514" i="26"/>
  <c r="P513" i="26"/>
  <c r="S513" i="26" s="1"/>
  <c r="O513" i="26"/>
  <c r="K513" i="26"/>
  <c r="J513" i="26"/>
  <c r="H513" i="26"/>
  <c r="G513" i="26"/>
  <c r="F513" i="26"/>
  <c r="P512" i="26"/>
  <c r="S512" i="26" s="1"/>
  <c r="O512" i="26"/>
  <c r="K512" i="26"/>
  <c r="J512" i="26"/>
  <c r="H512" i="26"/>
  <c r="G512" i="26"/>
  <c r="F512" i="26"/>
  <c r="P511" i="26"/>
  <c r="S511" i="26" s="1"/>
  <c r="O511" i="26"/>
  <c r="K511" i="26"/>
  <c r="J511" i="26"/>
  <c r="H511" i="26"/>
  <c r="G511" i="26"/>
  <c r="F511" i="26"/>
  <c r="P510" i="26"/>
  <c r="S510" i="26" s="1"/>
  <c r="O510" i="26"/>
  <c r="K510" i="26"/>
  <c r="J510" i="26"/>
  <c r="H510" i="26"/>
  <c r="G510" i="26"/>
  <c r="F510" i="26"/>
  <c r="P509" i="26"/>
  <c r="S509" i="26" s="1"/>
  <c r="O509" i="26"/>
  <c r="K509" i="26"/>
  <c r="J509" i="26"/>
  <c r="F509" i="26"/>
  <c r="P508" i="26"/>
  <c r="S508" i="26" s="1"/>
  <c r="O508" i="26"/>
  <c r="K508" i="26"/>
  <c r="J508" i="26"/>
  <c r="H508" i="26"/>
  <c r="G508" i="26"/>
  <c r="F508" i="26"/>
  <c r="P507" i="26"/>
  <c r="S507" i="26" s="1"/>
  <c r="O507" i="26"/>
  <c r="K507" i="26"/>
  <c r="J507" i="26"/>
  <c r="H507" i="26"/>
  <c r="G507" i="26"/>
  <c r="F507" i="26"/>
  <c r="P506" i="26"/>
  <c r="S506" i="26" s="1"/>
  <c r="O506" i="26"/>
  <c r="K506" i="26"/>
  <c r="J506" i="26"/>
  <c r="H506" i="26"/>
  <c r="G506" i="26"/>
  <c r="F506" i="26"/>
  <c r="P505" i="26"/>
  <c r="S505" i="26" s="1"/>
  <c r="O505" i="26"/>
  <c r="K505" i="26"/>
  <c r="J505" i="26"/>
  <c r="H505" i="26"/>
  <c r="G505" i="26"/>
  <c r="F505" i="26"/>
  <c r="P504" i="26"/>
  <c r="S504" i="26" s="1"/>
  <c r="O504" i="26"/>
  <c r="K504" i="26"/>
  <c r="J504" i="26"/>
  <c r="H504" i="26"/>
  <c r="G504" i="26"/>
  <c r="F504" i="26"/>
  <c r="P503" i="26"/>
  <c r="S503" i="26" s="1"/>
  <c r="O503" i="26"/>
  <c r="K503" i="26"/>
  <c r="J503" i="26"/>
  <c r="H503" i="26"/>
  <c r="G503" i="26"/>
  <c r="F503" i="26"/>
  <c r="P502" i="26"/>
  <c r="S502" i="26" s="1"/>
  <c r="O502" i="26"/>
  <c r="K502" i="26"/>
  <c r="J502" i="26"/>
  <c r="H502" i="26"/>
  <c r="G502" i="26"/>
  <c r="F502" i="26"/>
  <c r="P501" i="26"/>
  <c r="S501" i="26" s="1"/>
  <c r="O501" i="26"/>
  <c r="K501" i="26"/>
  <c r="J501" i="26"/>
  <c r="H501" i="26"/>
  <c r="G501" i="26"/>
  <c r="F501" i="26"/>
  <c r="P500" i="26"/>
  <c r="S500" i="26" s="1"/>
  <c r="O500" i="26"/>
  <c r="K500" i="26"/>
  <c r="J500" i="26"/>
  <c r="H500" i="26"/>
  <c r="G500" i="26"/>
  <c r="F500" i="26"/>
  <c r="P499" i="26"/>
  <c r="S499" i="26" s="1"/>
  <c r="O499" i="26"/>
  <c r="K499" i="26"/>
  <c r="J499" i="26"/>
  <c r="H499" i="26"/>
  <c r="G499" i="26"/>
  <c r="F499" i="26"/>
  <c r="P498" i="26"/>
  <c r="S498" i="26" s="1"/>
  <c r="O498" i="26"/>
  <c r="K498" i="26"/>
  <c r="J498" i="26"/>
  <c r="H498" i="26"/>
  <c r="G498" i="26"/>
  <c r="F498" i="26"/>
  <c r="P497" i="26"/>
  <c r="S497" i="26" s="1"/>
  <c r="O497" i="26"/>
  <c r="K497" i="26"/>
  <c r="J497" i="26"/>
  <c r="H497" i="26"/>
  <c r="G497" i="26"/>
  <c r="F497" i="26"/>
  <c r="P496" i="26"/>
  <c r="S496" i="26" s="1"/>
  <c r="O496" i="26"/>
  <c r="K496" i="26"/>
  <c r="J496" i="26"/>
  <c r="H496" i="26"/>
  <c r="G496" i="26"/>
  <c r="F496" i="26"/>
  <c r="P495" i="26"/>
  <c r="S495" i="26" s="1"/>
  <c r="O495" i="26"/>
  <c r="K495" i="26"/>
  <c r="J495" i="26"/>
  <c r="H495" i="26"/>
  <c r="G495" i="26"/>
  <c r="F495" i="26"/>
  <c r="P494" i="26"/>
  <c r="S494" i="26" s="1"/>
  <c r="O494" i="26"/>
  <c r="K494" i="26"/>
  <c r="J494" i="26"/>
  <c r="H494" i="26"/>
  <c r="G494" i="26"/>
  <c r="F494" i="26"/>
  <c r="P493" i="26"/>
  <c r="S493" i="26" s="1"/>
  <c r="O493" i="26"/>
  <c r="K493" i="26"/>
  <c r="J493" i="26"/>
  <c r="H493" i="26"/>
  <c r="G493" i="26"/>
  <c r="F493" i="26"/>
  <c r="P492" i="26"/>
  <c r="S492" i="26" s="1"/>
  <c r="O492" i="26"/>
  <c r="K492" i="26"/>
  <c r="J492" i="26"/>
  <c r="H492" i="26"/>
  <c r="G492" i="26"/>
  <c r="F492" i="26"/>
  <c r="P491" i="26"/>
  <c r="S491" i="26" s="1"/>
  <c r="O491" i="26"/>
  <c r="K491" i="26"/>
  <c r="J491" i="26"/>
  <c r="H491" i="26"/>
  <c r="G491" i="26"/>
  <c r="F491" i="26"/>
  <c r="P490" i="26"/>
  <c r="S490" i="26" s="1"/>
  <c r="O490" i="26"/>
  <c r="K490" i="26"/>
  <c r="J490" i="26"/>
  <c r="H490" i="26"/>
  <c r="G490" i="26"/>
  <c r="F490" i="26"/>
  <c r="P489" i="26"/>
  <c r="S489" i="26" s="1"/>
  <c r="O489" i="26"/>
  <c r="K489" i="26"/>
  <c r="J489" i="26"/>
  <c r="H489" i="26"/>
  <c r="G489" i="26"/>
  <c r="F489" i="26"/>
  <c r="P488" i="26"/>
  <c r="S488" i="26" s="1"/>
  <c r="O488" i="26"/>
  <c r="K488" i="26"/>
  <c r="J488" i="26"/>
  <c r="H488" i="26"/>
  <c r="G488" i="26"/>
  <c r="F488" i="26"/>
  <c r="P487" i="26"/>
  <c r="S487" i="26" s="1"/>
  <c r="O487" i="26"/>
  <c r="K487" i="26"/>
  <c r="J487" i="26"/>
  <c r="H487" i="26"/>
  <c r="G487" i="26"/>
  <c r="F487" i="26"/>
  <c r="P486" i="26"/>
  <c r="S486" i="26" s="1"/>
  <c r="O486" i="26"/>
  <c r="K486" i="26"/>
  <c r="J486" i="26"/>
  <c r="H486" i="26"/>
  <c r="G486" i="26"/>
  <c r="F486" i="26"/>
  <c r="P485" i="26"/>
  <c r="S485" i="26" s="1"/>
  <c r="O485" i="26"/>
  <c r="K485" i="26"/>
  <c r="J485" i="26"/>
  <c r="H485" i="26"/>
  <c r="G485" i="26"/>
  <c r="F485" i="26"/>
  <c r="P481" i="26"/>
  <c r="S481" i="26" s="1"/>
  <c r="O481" i="26"/>
  <c r="K481" i="26"/>
  <c r="J481" i="26"/>
  <c r="H481" i="26"/>
  <c r="G481" i="26"/>
  <c r="F481" i="26"/>
  <c r="P480" i="26"/>
  <c r="S480" i="26" s="1"/>
  <c r="O480" i="26"/>
  <c r="K480" i="26"/>
  <c r="J480" i="26"/>
  <c r="H480" i="26"/>
  <c r="G480" i="26"/>
  <c r="F480" i="26"/>
  <c r="P428" i="26"/>
  <c r="S428" i="26" s="1"/>
  <c r="O428" i="26"/>
  <c r="K428" i="26"/>
  <c r="J428" i="26"/>
  <c r="H428" i="26"/>
  <c r="G428" i="26"/>
  <c r="F428" i="26"/>
  <c r="P427" i="26"/>
  <c r="S427" i="26" s="1"/>
  <c r="O427" i="26"/>
  <c r="K427" i="26"/>
  <c r="J427" i="26"/>
  <c r="H427" i="26"/>
  <c r="G427" i="26"/>
  <c r="F427" i="26"/>
  <c r="P375" i="26"/>
  <c r="S375" i="26" s="1"/>
  <c r="O375" i="26"/>
  <c r="K375" i="26"/>
  <c r="J375" i="26"/>
  <c r="H375" i="26"/>
  <c r="G375" i="26"/>
  <c r="F375" i="26"/>
  <c r="P374" i="26"/>
  <c r="S374" i="26" s="1"/>
  <c r="O374" i="26"/>
  <c r="K374" i="26"/>
  <c r="J374" i="26"/>
  <c r="H374" i="26"/>
  <c r="G374" i="26"/>
  <c r="F374" i="26"/>
  <c r="P322" i="26"/>
  <c r="S322" i="26" s="1"/>
  <c r="O322" i="26"/>
  <c r="K322" i="26"/>
  <c r="J322" i="26"/>
  <c r="H322" i="26"/>
  <c r="G322" i="26"/>
  <c r="F322" i="26"/>
  <c r="P321" i="26"/>
  <c r="S321" i="26" s="1"/>
  <c r="O321" i="26"/>
  <c r="K321" i="26"/>
  <c r="J321" i="26"/>
  <c r="H321" i="26"/>
  <c r="G321" i="26"/>
  <c r="F321" i="26"/>
  <c r="P269" i="26"/>
  <c r="S269" i="26" s="1"/>
  <c r="O269" i="26"/>
  <c r="K269" i="26"/>
  <c r="J269" i="26"/>
  <c r="H269" i="26"/>
  <c r="G269" i="26"/>
  <c r="F269" i="26"/>
  <c r="P268" i="26"/>
  <c r="S268" i="26" s="1"/>
  <c r="O268" i="26"/>
  <c r="K268" i="26"/>
  <c r="J268" i="26"/>
  <c r="H268" i="26"/>
  <c r="G268" i="26"/>
  <c r="F268" i="26"/>
  <c r="P216" i="26"/>
  <c r="S216" i="26" s="1"/>
  <c r="O216" i="26"/>
  <c r="K216" i="26"/>
  <c r="J216" i="26"/>
  <c r="H216" i="26"/>
  <c r="G216" i="26"/>
  <c r="F216" i="26"/>
  <c r="P215" i="26"/>
  <c r="S215" i="26" s="1"/>
  <c r="O215" i="26"/>
  <c r="K215" i="26"/>
  <c r="J215" i="26"/>
  <c r="H215" i="26"/>
  <c r="G215" i="26"/>
  <c r="F215" i="26"/>
  <c r="P162" i="26"/>
  <c r="S162" i="26" s="1"/>
  <c r="O162" i="26"/>
  <c r="K162" i="26"/>
  <c r="J162" i="26"/>
  <c r="H162" i="26"/>
  <c r="G162" i="26"/>
  <c r="F162" i="26"/>
  <c r="P161" i="26"/>
  <c r="S161" i="26" s="1"/>
  <c r="O161" i="26"/>
  <c r="K161" i="26"/>
  <c r="J161" i="26"/>
  <c r="H161" i="26"/>
  <c r="G161" i="26"/>
  <c r="F161" i="26"/>
  <c r="P109" i="26"/>
  <c r="S109" i="26" s="1"/>
  <c r="O109" i="26"/>
  <c r="K109" i="26"/>
  <c r="J109" i="26"/>
  <c r="F109" i="26"/>
  <c r="P108" i="26"/>
  <c r="S108" i="26" s="1"/>
  <c r="O108" i="26"/>
  <c r="K108" i="26"/>
  <c r="J108" i="26"/>
  <c r="G108" i="26"/>
  <c r="F108" i="26"/>
  <c r="P52" i="26"/>
  <c r="S52" i="26" s="1"/>
  <c r="O52" i="26"/>
  <c r="K52" i="26"/>
  <c r="J52" i="26"/>
  <c r="H52" i="26"/>
  <c r="G52" i="26"/>
  <c r="F52" i="26"/>
  <c r="P51" i="26"/>
  <c r="S51" i="26" s="1"/>
  <c r="O51" i="26"/>
  <c r="K51" i="26"/>
  <c r="J51" i="26"/>
  <c r="H51" i="26"/>
  <c r="G51" i="26"/>
  <c r="F51" i="26"/>
  <c r="F50" i="26"/>
  <c r="J50" i="26"/>
  <c r="K50" i="26"/>
  <c r="O50" i="26"/>
  <c r="P50" i="26"/>
  <c r="S50" i="26" s="1"/>
  <c r="M514" i="26" l="1"/>
  <c r="Q493" i="26"/>
  <c r="R493" i="26" s="1"/>
  <c r="U493" i="26" s="1"/>
  <c r="Q530" i="26"/>
  <c r="R530" i="26" s="1"/>
  <c r="T530" i="26" s="1"/>
  <c r="Q521" i="26"/>
  <c r="R521" i="26" s="1"/>
  <c r="U521" i="26" s="1"/>
  <c r="M510" i="26"/>
  <c r="Q524" i="26"/>
  <c r="R524" i="26" s="1"/>
  <c r="U524" i="26" s="1"/>
  <c r="Q532" i="26"/>
  <c r="R532" i="26" s="1"/>
  <c r="U532" i="26" s="1"/>
  <c r="Q513" i="26"/>
  <c r="R513" i="26" s="1"/>
  <c r="U513" i="26" s="1"/>
  <c r="Q529" i="26"/>
  <c r="R529" i="26" s="1"/>
  <c r="U529" i="26" s="1"/>
  <c r="Q322" i="26"/>
  <c r="R322" i="26" s="1"/>
  <c r="U322" i="26" s="1"/>
  <c r="Q492" i="26"/>
  <c r="R492" i="26" s="1"/>
  <c r="U492" i="26" s="1"/>
  <c r="Q485" i="26"/>
  <c r="R485" i="26" s="1"/>
  <c r="U485" i="26" s="1"/>
  <c r="Q501" i="26"/>
  <c r="R501" i="26" s="1"/>
  <c r="U501" i="26" s="1"/>
  <c r="Q269" i="26"/>
  <c r="R269" i="26" s="1"/>
  <c r="U269" i="26" s="1"/>
  <c r="Q428" i="26"/>
  <c r="R428" i="26" s="1"/>
  <c r="T428" i="26" s="1"/>
  <c r="Q528" i="26"/>
  <c r="R528" i="26" s="1"/>
  <c r="U528" i="26" s="1"/>
  <c r="Q536" i="26"/>
  <c r="R536" i="26" s="1"/>
  <c r="U536" i="26" s="1"/>
  <c r="Q489" i="26"/>
  <c r="R489" i="26" s="1"/>
  <c r="U489" i="26" s="1"/>
  <c r="Q497" i="26"/>
  <c r="R497" i="26" s="1"/>
  <c r="T497" i="26" s="1"/>
  <c r="Q505" i="26"/>
  <c r="R505" i="26" s="1"/>
  <c r="T505" i="26" s="1"/>
  <c r="Q375" i="26"/>
  <c r="R375" i="26" s="1"/>
  <c r="U375" i="26" s="1"/>
  <c r="Q488" i="26"/>
  <c r="R488" i="26" s="1"/>
  <c r="U488" i="26" s="1"/>
  <c r="Q496" i="26"/>
  <c r="R496" i="26" s="1"/>
  <c r="U496" i="26" s="1"/>
  <c r="Q504" i="26"/>
  <c r="R504" i="26" s="1"/>
  <c r="T504" i="26" s="1"/>
  <c r="Q510" i="26"/>
  <c r="R510" i="26" s="1"/>
  <c r="U510" i="26" s="1"/>
  <c r="Q517" i="26"/>
  <c r="R517" i="26" s="1"/>
  <c r="T517" i="26" s="1"/>
  <c r="Q525" i="26"/>
  <c r="R525" i="26" s="1"/>
  <c r="T525" i="26" s="1"/>
  <c r="Q533" i="26"/>
  <c r="R533" i="26" s="1"/>
  <c r="T533" i="26" s="1"/>
  <c r="Q481" i="26"/>
  <c r="R481" i="26" s="1"/>
  <c r="T481" i="26" s="1"/>
  <c r="M509" i="26"/>
  <c r="M517" i="26"/>
  <c r="M518" i="26"/>
  <c r="G109" i="26"/>
  <c r="N109" i="26" s="1"/>
  <c r="M485" i="26"/>
  <c r="M505" i="26"/>
  <c r="M521" i="26"/>
  <c r="M525" i="26"/>
  <c r="M529" i="26"/>
  <c r="M533" i="26"/>
  <c r="Q52" i="26"/>
  <c r="R52" i="26" s="1"/>
  <c r="U52" i="26" s="1"/>
  <c r="M486" i="26"/>
  <c r="M490" i="26"/>
  <c r="M494" i="26"/>
  <c r="M498" i="26"/>
  <c r="M502" i="26"/>
  <c r="M522" i="26"/>
  <c r="M526" i="26"/>
  <c r="M530" i="26"/>
  <c r="M534" i="26"/>
  <c r="Q216" i="26"/>
  <c r="R216" i="26" s="1"/>
  <c r="U216" i="26" s="1"/>
  <c r="Q51" i="26"/>
  <c r="R51" i="26" s="1"/>
  <c r="T51" i="26" s="1"/>
  <c r="Q162" i="26"/>
  <c r="R162" i="26" s="1"/>
  <c r="U162" i="26" s="1"/>
  <c r="E536" i="26"/>
  <c r="E518" i="26"/>
  <c r="E162" i="26"/>
  <c r="I216" i="26"/>
  <c r="L216" i="26" s="1"/>
  <c r="E269" i="26"/>
  <c r="E375" i="26"/>
  <c r="E530" i="26"/>
  <c r="I534" i="26"/>
  <c r="L534" i="26" s="1"/>
  <c r="M162" i="26"/>
  <c r="N215" i="26"/>
  <c r="M269" i="26"/>
  <c r="N321" i="26"/>
  <c r="I322" i="26"/>
  <c r="L322" i="26" s="1"/>
  <c r="M375" i="26"/>
  <c r="N427" i="26"/>
  <c r="I428" i="26"/>
  <c r="L428" i="26" s="1"/>
  <c r="E481" i="26"/>
  <c r="M481" i="26"/>
  <c r="I489" i="26"/>
  <c r="L489" i="26" s="1"/>
  <c r="E52" i="26"/>
  <c r="N108" i="26"/>
  <c r="M109" i="26"/>
  <c r="N161" i="26"/>
  <c r="M216" i="26"/>
  <c r="N268" i="26"/>
  <c r="M322" i="26"/>
  <c r="N374" i="26"/>
  <c r="M428" i="26"/>
  <c r="N480" i="26"/>
  <c r="I495" i="26"/>
  <c r="L495" i="26" s="1"/>
  <c r="E498" i="26"/>
  <c r="E510" i="26"/>
  <c r="E534" i="26"/>
  <c r="M50" i="26"/>
  <c r="I52" i="26"/>
  <c r="L52" i="26" s="1"/>
  <c r="I162" i="26"/>
  <c r="L162" i="26" s="1"/>
  <c r="E216" i="26"/>
  <c r="I269" i="26"/>
  <c r="L269" i="26" s="1"/>
  <c r="E494" i="26"/>
  <c r="E502" i="26"/>
  <c r="E514" i="26"/>
  <c r="I518" i="26"/>
  <c r="L518" i="26" s="1"/>
  <c r="M52" i="26"/>
  <c r="I516" i="26"/>
  <c r="L516" i="26" s="1"/>
  <c r="E503" i="26"/>
  <c r="M503" i="26"/>
  <c r="E524" i="26"/>
  <c r="E51" i="26"/>
  <c r="M51" i="26"/>
  <c r="M161" i="26"/>
  <c r="I215" i="26"/>
  <c r="L215" i="26" s="1"/>
  <c r="M268" i="26"/>
  <c r="I321" i="26"/>
  <c r="L321" i="26" s="1"/>
  <c r="M374" i="26"/>
  <c r="I427" i="26"/>
  <c r="L427" i="26" s="1"/>
  <c r="M480" i="26"/>
  <c r="E488" i="26"/>
  <c r="E490" i="26"/>
  <c r="I504" i="26"/>
  <c r="L504" i="26" s="1"/>
  <c r="E522" i="26"/>
  <c r="E525" i="26"/>
  <c r="E526" i="26"/>
  <c r="I527" i="26"/>
  <c r="L527" i="26" s="1"/>
  <c r="I528" i="26"/>
  <c r="L528" i="26" s="1"/>
  <c r="I529" i="26"/>
  <c r="L529" i="26" s="1"/>
  <c r="E322" i="26"/>
  <c r="I375" i="26"/>
  <c r="L375" i="26" s="1"/>
  <c r="E428" i="26"/>
  <c r="I481" i="26"/>
  <c r="L481" i="26" s="1"/>
  <c r="I498" i="26"/>
  <c r="L498" i="26" s="1"/>
  <c r="I502" i="26"/>
  <c r="L502" i="26" s="1"/>
  <c r="M519" i="26"/>
  <c r="I51" i="26"/>
  <c r="L51" i="26" s="1"/>
  <c r="M108" i="26"/>
  <c r="I161" i="26"/>
  <c r="L161" i="26" s="1"/>
  <c r="M215" i="26"/>
  <c r="I268" i="26"/>
  <c r="L268" i="26" s="1"/>
  <c r="M321" i="26"/>
  <c r="I374" i="26"/>
  <c r="L374" i="26" s="1"/>
  <c r="M427" i="26"/>
  <c r="I480" i="26"/>
  <c r="L480" i="26" s="1"/>
  <c r="E486" i="26"/>
  <c r="N493" i="26"/>
  <c r="E500" i="26"/>
  <c r="N501" i="26"/>
  <c r="I508" i="26"/>
  <c r="L508" i="26" s="1"/>
  <c r="I522" i="26"/>
  <c r="L522" i="26" s="1"/>
  <c r="I525" i="26"/>
  <c r="L525" i="26" s="1"/>
  <c r="I531" i="26"/>
  <c r="L531" i="26" s="1"/>
  <c r="M487" i="26"/>
  <c r="N502" i="26"/>
  <c r="M515" i="26"/>
  <c r="N518" i="26"/>
  <c r="M523" i="26"/>
  <c r="M524" i="26"/>
  <c r="N494" i="26"/>
  <c r="I497" i="26"/>
  <c r="L497" i="26" s="1"/>
  <c r="M499" i="26"/>
  <c r="E529" i="26"/>
  <c r="M491" i="26"/>
  <c r="I501" i="26"/>
  <c r="L501" i="26" s="1"/>
  <c r="N486" i="26"/>
  <c r="N490" i="26"/>
  <c r="I490" i="26"/>
  <c r="L490" i="26" s="1"/>
  <c r="I492" i="26"/>
  <c r="L492" i="26" s="1"/>
  <c r="I493" i="26"/>
  <c r="L493" i="26" s="1"/>
  <c r="N498" i="26"/>
  <c r="M504" i="26"/>
  <c r="E505" i="26"/>
  <c r="N507" i="26"/>
  <c r="N514" i="26"/>
  <c r="I515" i="26"/>
  <c r="L515" i="26" s="1"/>
  <c r="N529" i="26"/>
  <c r="N533" i="26"/>
  <c r="N534" i="26"/>
  <c r="I485" i="26"/>
  <c r="L485" i="26" s="1"/>
  <c r="Q486" i="26"/>
  <c r="R486" i="26" s="1"/>
  <c r="U486" i="26" s="1"/>
  <c r="E492" i="26"/>
  <c r="I494" i="26"/>
  <c r="L494" i="26" s="1"/>
  <c r="N497" i="26"/>
  <c r="Q502" i="26"/>
  <c r="R502" i="26" s="1"/>
  <c r="T502" i="26" s="1"/>
  <c r="E504" i="26"/>
  <c r="I511" i="26"/>
  <c r="L511" i="26" s="1"/>
  <c r="I514" i="26"/>
  <c r="L514" i="26" s="1"/>
  <c r="E516" i="26"/>
  <c r="E520" i="26"/>
  <c r="N521" i="26"/>
  <c r="I526" i="26"/>
  <c r="L526" i="26" s="1"/>
  <c r="E528" i="26"/>
  <c r="I530" i="26"/>
  <c r="L530" i="26" s="1"/>
  <c r="E533" i="26"/>
  <c r="I533" i="26"/>
  <c r="L533" i="26" s="1"/>
  <c r="I535" i="26"/>
  <c r="L535" i="26" s="1"/>
  <c r="M536" i="26"/>
  <c r="Q534" i="26"/>
  <c r="R534" i="26" s="1"/>
  <c r="U534" i="26" s="1"/>
  <c r="I486" i="26"/>
  <c r="L486" i="26" s="1"/>
  <c r="N489" i="26"/>
  <c r="I491" i="26"/>
  <c r="L491" i="26" s="1"/>
  <c r="Q494" i="26"/>
  <c r="R494" i="26" s="1"/>
  <c r="U494" i="26" s="1"/>
  <c r="I499" i="26"/>
  <c r="L499" i="26" s="1"/>
  <c r="N504" i="26"/>
  <c r="I506" i="26"/>
  <c r="L506" i="26" s="1"/>
  <c r="N510" i="26"/>
  <c r="M511" i="26"/>
  <c r="I512" i="26"/>
  <c r="L512" i="26" s="1"/>
  <c r="Q514" i="26"/>
  <c r="R514" i="26" s="1"/>
  <c r="U514" i="26" s="1"/>
  <c r="I519" i="26"/>
  <c r="L519" i="26" s="1"/>
  <c r="I532" i="26"/>
  <c r="L532" i="26" s="1"/>
  <c r="M535" i="26"/>
  <c r="N528" i="26"/>
  <c r="N485" i="26"/>
  <c r="I487" i="26"/>
  <c r="L487" i="26" s="1"/>
  <c r="Q490" i="26"/>
  <c r="R490" i="26" s="1"/>
  <c r="T490" i="26" s="1"/>
  <c r="M495" i="26"/>
  <c r="E496" i="26"/>
  <c r="Q498" i="26"/>
  <c r="R498" i="26" s="1"/>
  <c r="U498" i="26" s="1"/>
  <c r="I503" i="26"/>
  <c r="L503" i="26" s="1"/>
  <c r="I510" i="26"/>
  <c r="L510" i="26" s="1"/>
  <c r="E512" i="26"/>
  <c r="Q518" i="26"/>
  <c r="R518" i="26" s="1"/>
  <c r="U518" i="26" s="1"/>
  <c r="N522" i="26"/>
  <c r="Q522" i="26"/>
  <c r="R522" i="26" s="1"/>
  <c r="I523" i="26"/>
  <c r="L523" i="26" s="1"/>
  <c r="N525" i="26"/>
  <c r="N526" i="26"/>
  <c r="Q526" i="26"/>
  <c r="R526" i="26" s="1"/>
  <c r="U526" i="26" s="1"/>
  <c r="N530" i="26"/>
  <c r="E531" i="26"/>
  <c r="E532" i="26"/>
  <c r="M532" i="26"/>
  <c r="N535" i="26"/>
  <c r="I536" i="26"/>
  <c r="L536" i="26" s="1"/>
  <c r="Q487" i="26"/>
  <c r="R487" i="26" s="1"/>
  <c r="N487" i="26"/>
  <c r="Q491" i="26"/>
  <c r="R491" i="26" s="1"/>
  <c r="N491" i="26"/>
  <c r="M506" i="26"/>
  <c r="N511" i="26"/>
  <c r="Q511" i="26"/>
  <c r="R511" i="26" s="1"/>
  <c r="M513" i="26"/>
  <c r="I513" i="26"/>
  <c r="L513" i="26" s="1"/>
  <c r="N517" i="26"/>
  <c r="E517" i="26"/>
  <c r="Q499" i="26"/>
  <c r="R499" i="26" s="1"/>
  <c r="N499" i="26"/>
  <c r="M496" i="26"/>
  <c r="M500" i="26"/>
  <c r="Q503" i="26"/>
  <c r="R503" i="26" s="1"/>
  <c r="N503" i="26"/>
  <c r="N506" i="26"/>
  <c r="Q506" i="26"/>
  <c r="R506" i="26" s="1"/>
  <c r="E506" i="26"/>
  <c r="N513" i="26"/>
  <c r="E513" i="26"/>
  <c r="Q495" i="26"/>
  <c r="R495" i="26" s="1"/>
  <c r="N495" i="26"/>
  <c r="M492" i="26"/>
  <c r="E485" i="26"/>
  <c r="N488" i="26"/>
  <c r="M489" i="26"/>
  <c r="N492" i="26"/>
  <c r="M493" i="26"/>
  <c r="N496" i="26"/>
  <c r="M497" i="26"/>
  <c r="Q500" i="26"/>
  <c r="R500" i="26" s="1"/>
  <c r="N500" i="26"/>
  <c r="M501" i="26"/>
  <c r="N505" i="26"/>
  <c r="E508" i="26"/>
  <c r="M488" i="26"/>
  <c r="E487" i="26"/>
  <c r="I488" i="26"/>
  <c r="L488" i="26" s="1"/>
  <c r="E489" i="26"/>
  <c r="E491" i="26"/>
  <c r="E493" i="26"/>
  <c r="E495" i="26"/>
  <c r="I496" i="26"/>
  <c r="L496" i="26" s="1"/>
  <c r="E497" i="26"/>
  <c r="E499" i="26"/>
  <c r="I500" i="26"/>
  <c r="L500" i="26" s="1"/>
  <c r="E501" i="26"/>
  <c r="I505" i="26"/>
  <c r="L505" i="26" s="1"/>
  <c r="I507" i="26"/>
  <c r="L507" i="26" s="1"/>
  <c r="N508" i="26"/>
  <c r="Q508" i="26"/>
  <c r="R508" i="26" s="1"/>
  <c r="M508" i="26"/>
  <c r="N515" i="26"/>
  <c r="Q515" i="26"/>
  <c r="R515" i="26" s="1"/>
  <c r="M516" i="26"/>
  <c r="Q507" i="26"/>
  <c r="R507" i="26" s="1"/>
  <c r="E511" i="26"/>
  <c r="E515" i="26"/>
  <c r="I517" i="26"/>
  <c r="L517" i="26" s="1"/>
  <c r="E519" i="26"/>
  <c r="I520" i="26"/>
  <c r="L520" i="26" s="1"/>
  <c r="E521" i="26"/>
  <c r="I521" i="26"/>
  <c r="L521" i="26" s="1"/>
  <c r="E523" i="26"/>
  <c r="N527" i="26"/>
  <c r="Q527" i="26"/>
  <c r="R527" i="26" s="1"/>
  <c r="N519" i="26"/>
  <c r="Q519" i="26"/>
  <c r="R519" i="26" s="1"/>
  <c r="N523" i="26"/>
  <c r="Q523" i="26"/>
  <c r="R523" i="26" s="1"/>
  <c r="M531" i="26"/>
  <c r="N524" i="26"/>
  <c r="N531" i="26"/>
  <c r="Q531" i="26"/>
  <c r="R531" i="26" s="1"/>
  <c r="N532" i="26"/>
  <c r="M512" i="26"/>
  <c r="M520" i="26"/>
  <c r="E507" i="26"/>
  <c r="M507" i="26"/>
  <c r="Q512" i="26"/>
  <c r="R512" i="26" s="1"/>
  <c r="N512" i="26"/>
  <c r="Q516" i="26"/>
  <c r="R516" i="26" s="1"/>
  <c r="N516" i="26"/>
  <c r="Q520" i="26"/>
  <c r="R520" i="26" s="1"/>
  <c r="N520" i="26"/>
  <c r="I524" i="26"/>
  <c r="L524" i="26" s="1"/>
  <c r="E527" i="26"/>
  <c r="M527" i="26"/>
  <c r="M528" i="26"/>
  <c r="N536" i="26"/>
  <c r="E535" i="26"/>
  <c r="Q535" i="26"/>
  <c r="R535" i="26" s="1"/>
  <c r="N481" i="26"/>
  <c r="E480" i="26"/>
  <c r="Q480" i="26"/>
  <c r="R480" i="26" s="1"/>
  <c r="N428" i="26"/>
  <c r="E427" i="26"/>
  <c r="Q427" i="26"/>
  <c r="R427" i="26" s="1"/>
  <c r="N375" i="26"/>
  <c r="E374" i="26"/>
  <c r="Q374" i="26"/>
  <c r="R374" i="26" s="1"/>
  <c r="N322" i="26"/>
  <c r="E321" i="26"/>
  <c r="Q321" i="26"/>
  <c r="R321" i="26" s="1"/>
  <c r="N269" i="26"/>
  <c r="E268" i="26"/>
  <c r="Q268" i="26"/>
  <c r="R268" i="26" s="1"/>
  <c r="N216" i="26"/>
  <c r="E215" i="26"/>
  <c r="Q215" i="26"/>
  <c r="R215" i="26" s="1"/>
  <c r="N162" i="26"/>
  <c r="E161" i="26"/>
  <c r="Q161" i="26"/>
  <c r="R161" i="26" s="1"/>
  <c r="E108" i="26"/>
  <c r="Q108" i="26"/>
  <c r="R108" i="26" s="1"/>
  <c r="N52" i="26"/>
  <c r="N51" i="26"/>
  <c r="T493" i="26" l="1"/>
  <c r="T521" i="26"/>
  <c r="U530" i="26"/>
  <c r="T524" i="26"/>
  <c r="T532" i="26"/>
  <c r="T513" i="26"/>
  <c r="T529" i="26"/>
  <c r="T322" i="26"/>
  <c r="T492" i="26"/>
  <c r="T485" i="26"/>
  <c r="T501" i="26"/>
  <c r="U517" i="26"/>
  <c r="T496" i="26"/>
  <c r="T489" i="26"/>
  <c r="U525" i="26"/>
  <c r="T269" i="26"/>
  <c r="T510" i="26"/>
  <c r="U504" i="26"/>
  <c r="T488" i="26"/>
  <c r="T536" i="26"/>
  <c r="U481" i="26"/>
  <c r="T375" i="26"/>
  <c r="U505" i="26"/>
  <c r="U497" i="26"/>
  <c r="U428" i="26"/>
  <c r="T528" i="26"/>
  <c r="U533" i="26"/>
  <c r="E109" i="26"/>
  <c r="Q109" i="26"/>
  <c r="R109" i="26" s="1"/>
  <c r="U109" i="26" s="1"/>
  <c r="T52" i="26"/>
  <c r="H108" i="26"/>
  <c r="I108" i="26" s="1"/>
  <c r="L108" i="26" s="1"/>
  <c r="T216" i="26"/>
  <c r="U51" i="26"/>
  <c r="H109" i="26"/>
  <c r="I109" i="26" s="1"/>
  <c r="L109" i="26" s="1"/>
  <c r="T162" i="26"/>
  <c r="T518" i="26"/>
  <c r="T498" i="26"/>
  <c r="T486" i="26"/>
  <c r="U502" i="26"/>
  <c r="T526" i="26"/>
  <c r="T514" i="26"/>
  <c r="T534" i="26"/>
  <c r="U490" i="26"/>
  <c r="T494" i="26"/>
  <c r="U522" i="26"/>
  <c r="T522" i="26"/>
  <c r="U512" i="26"/>
  <c r="T512" i="26"/>
  <c r="U535" i="26"/>
  <c r="T535" i="26"/>
  <c r="U516" i="26"/>
  <c r="T516" i="26"/>
  <c r="U507" i="26"/>
  <c r="T507" i="26"/>
  <c r="U515" i="26"/>
  <c r="T515" i="26"/>
  <c r="T508" i="26"/>
  <c r="U508" i="26"/>
  <c r="T500" i="26"/>
  <c r="U500" i="26"/>
  <c r="U495" i="26"/>
  <c r="T495" i="26"/>
  <c r="T506" i="26"/>
  <c r="U506" i="26"/>
  <c r="U503" i="26"/>
  <c r="T503" i="26"/>
  <c r="U511" i="26"/>
  <c r="T511" i="26"/>
  <c r="U519" i="26"/>
  <c r="T519" i="26"/>
  <c r="U491" i="26"/>
  <c r="T491" i="26"/>
  <c r="U520" i="26"/>
  <c r="T520" i="26"/>
  <c r="U531" i="26"/>
  <c r="T531" i="26"/>
  <c r="U523" i="26"/>
  <c r="T523" i="26"/>
  <c r="U527" i="26"/>
  <c r="T527" i="26"/>
  <c r="U499" i="26"/>
  <c r="T499" i="26"/>
  <c r="U487" i="26"/>
  <c r="T487" i="26"/>
  <c r="U480" i="26"/>
  <c r="T480" i="26"/>
  <c r="U427" i="26"/>
  <c r="T427" i="26"/>
  <c r="U374" i="26"/>
  <c r="T374" i="26"/>
  <c r="U321" i="26"/>
  <c r="T321" i="26"/>
  <c r="U268" i="26"/>
  <c r="T268" i="26"/>
  <c r="U215" i="26"/>
  <c r="T215" i="26"/>
  <c r="U161" i="26"/>
  <c r="T161" i="26"/>
  <c r="U108" i="26"/>
  <c r="T108" i="26"/>
  <c r="T109" i="26" l="1"/>
  <c r="G509" i="26" l="1"/>
  <c r="Q509" i="26" s="1"/>
  <c r="R509" i="26" s="1"/>
  <c r="N509" i="26" l="1"/>
  <c r="E509" i="26"/>
  <c r="H509" i="26"/>
  <c r="I509" i="26" s="1"/>
  <c r="L509" i="26" s="1"/>
  <c r="U509" i="26"/>
  <c r="T509" i="26"/>
  <c r="G50" i="26" l="1"/>
  <c r="Q50" i="26" l="1"/>
  <c r="R50" i="26" s="1"/>
  <c r="E50" i="26"/>
  <c r="N50" i="26"/>
  <c r="H50" i="26" l="1"/>
  <c r="I50" i="26" s="1"/>
  <c r="L50" i="26" s="1"/>
  <c r="U50" i="26"/>
  <c r="T50" i="26"/>
  <c r="P482" i="26" l="1"/>
  <c r="S482" i="26" s="1"/>
  <c r="O482" i="26"/>
  <c r="K482" i="26"/>
  <c r="J482" i="26"/>
  <c r="H482" i="26"/>
  <c r="G482" i="26"/>
  <c r="F482" i="26"/>
  <c r="P429" i="26"/>
  <c r="S429" i="26" s="1"/>
  <c r="O429" i="26"/>
  <c r="K429" i="26"/>
  <c r="J429" i="26"/>
  <c r="H429" i="26"/>
  <c r="G429" i="26"/>
  <c r="F429" i="26"/>
  <c r="P376" i="26"/>
  <c r="S376" i="26" s="1"/>
  <c r="O376" i="26"/>
  <c r="K376" i="26"/>
  <c r="J376" i="26"/>
  <c r="H376" i="26"/>
  <c r="G376" i="26"/>
  <c r="F376" i="26"/>
  <c r="P323" i="26"/>
  <c r="S323" i="26" s="1"/>
  <c r="O323" i="26"/>
  <c r="K323" i="26"/>
  <c r="J323" i="26"/>
  <c r="H323" i="26"/>
  <c r="G323" i="26"/>
  <c r="F323" i="26"/>
  <c r="P270" i="26"/>
  <c r="S270" i="26" s="1"/>
  <c r="O270" i="26"/>
  <c r="K270" i="26"/>
  <c r="J270" i="26"/>
  <c r="H270" i="26"/>
  <c r="G270" i="26"/>
  <c r="F270" i="26"/>
  <c r="P217" i="26"/>
  <c r="S217" i="26" s="1"/>
  <c r="O217" i="26"/>
  <c r="K217" i="26"/>
  <c r="J217" i="26"/>
  <c r="H217" i="26"/>
  <c r="G217" i="26"/>
  <c r="F217" i="26"/>
  <c r="P163" i="26"/>
  <c r="S163" i="26" s="1"/>
  <c r="O163" i="26"/>
  <c r="K163" i="26"/>
  <c r="J163" i="26"/>
  <c r="F163" i="26"/>
  <c r="P110" i="26"/>
  <c r="S110" i="26" s="1"/>
  <c r="O110" i="26"/>
  <c r="K110" i="26"/>
  <c r="J110" i="26"/>
  <c r="F110" i="26"/>
  <c r="P56" i="26"/>
  <c r="S56" i="26" s="1"/>
  <c r="O56" i="26"/>
  <c r="K56" i="26"/>
  <c r="J56" i="26"/>
  <c r="H56" i="26"/>
  <c r="G56" i="26"/>
  <c r="F56" i="26"/>
  <c r="Q482" i="26" l="1"/>
  <c r="R482" i="26" s="1"/>
  <c r="U482" i="26" s="1"/>
  <c r="Q429" i="26"/>
  <c r="R429" i="26" s="1"/>
  <c r="T429" i="26" s="1"/>
  <c r="Q323" i="26"/>
  <c r="R323" i="26" s="1"/>
  <c r="U323" i="26" s="1"/>
  <c r="Q376" i="26"/>
  <c r="R376" i="26" s="1"/>
  <c r="U376" i="26" s="1"/>
  <c r="Q270" i="26"/>
  <c r="R270" i="26" s="1"/>
  <c r="U270" i="26" s="1"/>
  <c r="Q56" i="26"/>
  <c r="R56" i="26" s="1"/>
  <c r="U56" i="26" s="1"/>
  <c r="E482" i="26"/>
  <c r="E56" i="26"/>
  <c r="E270" i="26"/>
  <c r="Q217" i="26"/>
  <c r="R217" i="26" s="1"/>
  <c r="U217" i="26" s="1"/>
  <c r="M376" i="26"/>
  <c r="I217" i="26"/>
  <c r="L217" i="26" s="1"/>
  <c r="E323" i="26"/>
  <c r="I429" i="26"/>
  <c r="L429" i="26" s="1"/>
  <c r="M323" i="26"/>
  <c r="I376" i="26"/>
  <c r="L376" i="26" s="1"/>
  <c r="M110" i="26"/>
  <c r="E217" i="26"/>
  <c r="M56" i="26"/>
  <c r="M270" i="26"/>
  <c r="I56" i="26"/>
  <c r="L56" i="26" s="1"/>
  <c r="M163" i="26"/>
  <c r="I270" i="26"/>
  <c r="L270" i="26" s="1"/>
  <c r="E376" i="26"/>
  <c r="I482" i="26"/>
  <c r="L482" i="26" s="1"/>
  <c r="M482" i="26"/>
  <c r="M217" i="26"/>
  <c r="I323" i="26"/>
  <c r="L323" i="26" s="1"/>
  <c r="E429" i="26"/>
  <c r="M429" i="26"/>
  <c r="N482" i="26"/>
  <c r="N429" i="26"/>
  <c r="N376" i="26"/>
  <c r="N323" i="26"/>
  <c r="N270" i="26"/>
  <c r="N217" i="26"/>
  <c r="N56" i="26"/>
  <c r="U429" i="26" l="1"/>
  <c r="T482" i="26"/>
  <c r="T323" i="26"/>
  <c r="T376" i="26"/>
  <c r="T270" i="26"/>
  <c r="T56" i="26"/>
  <c r="T217" i="26"/>
  <c r="G163" i="26" l="1"/>
  <c r="G110" i="26"/>
  <c r="Q110" i="26" l="1"/>
  <c r="R110" i="26" s="1"/>
  <c r="E110" i="26"/>
  <c r="N110" i="26"/>
  <c r="Q163" i="26"/>
  <c r="R163" i="26" s="1"/>
  <c r="E163" i="26"/>
  <c r="N163" i="26"/>
  <c r="T163" i="26" l="1"/>
  <c r="U163" i="26"/>
  <c r="U110" i="26"/>
  <c r="T110" i="26"/>
  <c r="P57" i="26" l="1"/>
  <c r="S57" i="26" s="1"/>
  <c r="O57" i="26"/>
  <c r="K57" i="26"/>
  <c r="J57" i="26"/>
  <c r="H57" i="26"/>
  <c r="G57" i="26"/>
  <c r="F57" i="26"/>
  <c r="Q57" i="26" l="1"/>
  <c r="R57" i="26" s="1"/>
  <c r="T57" i="26" s="1"/>
  <c r="E57" i="26"/>
  <c r="M57" i="26"/>
  <c r="I57" i="26"/>
  <c r="L57" i="26" s="1"/>
  <c r="N57" i="26"/>
  <c r="U57" i="26" l="1"/>
  <c r="G164" i="26" l="1"/>
  <c r="P483" i="26"/>
  <c r="S483" i="26" s="1"/>
  <c r="O483" i="26"/>
  <c r="K483" i="26"/>
  <c r="J483" i="26"/>
  <c r="H483" i="26"/>
  <c r="G483" i="26"/>
  <c r="F483" i="26"/>
  <c r="P430" i="26"/>
  <c r="S430" i="26" s="1"/>
  <c r="O430" i="26"/>
  <c r="K430" i="26"/>
  <c r="J430" i="26"/>
  <c r="H430" i="26"/>
  <c r="G430" i="26"/>
  <c r="F430" i="26"/>
  <c r="P377" i="26"/>
  <c r="S377" i="26" s="1"/>
  <c r="O377" i="26"/>
  <c r="K377" i="26"/>
  <c r="J377" i="26"/>
  <c r="H377" i="26"/>
  <c r="G377" i="26"/>
  <c r="F377" i="26"/>
  <c r="P324" i="26"/>
  <c r="S324" i="26" s="1"/>
  <c r="O324" i="26"/>
  <c r="K324" i="26"/>
  <c r="J324" i="26"/>
  <c r="H324" i="26"/>
  <c r="G324" i="26"/>
  <c r="F324" i="26"/>
  <c r="P271" i="26"/>
  <c r="S271" i="26" s="1"/>
  <c r="O271" i="26"/>
  <c r="K271" i="26"/>
  <c r="J271" i="26"/>
  <c r="H271" i="26"/>
  <c r="G271" i="26"/>
  <c r="F271" i="26"/>
  <c r="P218" i="26"/>
  <c r="S218" i="26" s="1"/>
  <c r="O218" i="26"/>
  <c r="K218" i="26"/>
  <c r="J218" i="26"/>
  <c r="H218" i="26"/>
  <c r="G218" i="26"/>
  <c r="F218" i="26"/>
  <c r="P164" i="26"/>
  <c r="S164" i="26" s="1"/>
  <c r="O164" i="26"/>
  <c r="K164" i="26"/>
  <c r="J164" i="26"/>
  <c r="F164" i="26"/>
  <c r="P111" i="26"/>
  <c r="S111" i="26" s="1"/>
  <c r="O111" i="26"/>
  <c r="K111" i="26"/>
  <c r="J111" i="26"/>
  <c r="G111" i="26"/>
  <c r="F111" i="26"/>
  <c r="H163" i="26" l="1"/>
  <c r="I163" i="26" s="1"/>
  <c r="L163" i="26" s="1"/>
  <c r="H164" i="26"/>
  <c r="I164" i="26" s="1"/>
  <c r="L164" i="26" s="1"/>
  <c r="Q483" i="26"/>
  <c r="R483" i="26" s="1"/>
  <c r="T483" i="26" s="1"/>
  <c r="E483" i="26"/>
  <c r="Q430" i="26"/>
  <c r="R430" i="26" s="1"/>
  <c r="U430" i="26" s="1"/>
  <c r="Q377" i="26"/>
  <c r="R377" i="26" s="1"/>
  <c r="U377" i="26" s="1"/>
  <c r="Q324" i="26"/>
  <c r="R324" i="26" s="1"/>
  <c r="T324" i="26" s="1"/>
  <c r="Q271" i="26"/>
  <c r="R271" i="26" s="1"/>
  <c r="T271" i="26" s="1"/>
  <c r="E271" i="26"/>
  <c r="Q218" i="26"/>
  <c r="R218" i="26" s="1"/>
  <c r="T218" i="26" s="1"/>
  <c r="Q164" i="26"/>
  <c r="R164" i="26" s="1"/>
  <c r="T164" i="26" s="1"/>
  <c r="Q111" i="26"/>
  <c r="R111" i="26" s="1"/>
  <c r="T111" i="26" s="1"/>
  <c r="I377" i="26"/>
  <c r="L377" i="26" s="1"/>
  <c r="E111" i="26"/>
  <c r="M111" i="26"/>
  <c r="I218" i="26"/>
  <c r="L218" i="26" s="1"/>
  <c r="E324" i="26"/>
  <c r="M324" i="26"/>
  <c r="I430" i="26"/>
  <c r="L430" i="26" s="1"/>
  <c r="E430" i="26"/>
  <c r="E218" i="26"/>
  <c r="M271" i="26"/>
  <c r="M483" i="26"/>
  <c r="M218" i="26"/>
  <c r="I324" i="26"/>
  <c r="L324" i="26" s="1"/>
  <c r="M430" i="26"/>
  <c r="E164" i="26"/>
  <c r="M164" i="26"/>
  <c r="I271" i="26"/>
  <c r="L271" i="26" s="1"/>
  <c r="E377" i="26"/>
  <c r="M377" i="26"/>
  <c r="I483" i="26"/>
  <c r="L483" i="26" s="1"/>
  <c r="N483" i="26"/>
  <c r="N430" i="26"/>
  <c r="N377" i="26"/>
  <c r="N324" i="26"/>
  <c r="N271" i="26"/>
  <c r="N218" i="26"/>
  <c r="N164" i="26"/>
  <c r="N111" i="26"/>
  <c r="H110" i="26" l="1"/>
  <c r="I110" i="26" s="1"/>
  <c r="L110" i="26" s="1"/>
  <c r="U483" i="26"/>
  <c r="U324" i="26"/>
  <c r="U111" i="26"/>
  <c r="U271" i="26"/>
  <c r="T377" i="26"/>
  <c r="H111" i="26"/>
  <c r="I111" i="26" s="1"/>
  <c r="L111" i="26" s="1"/>
  <c r="U218" i="26"/>
  <c r="T430" i="26"/>
  <c r="U164" i="26"/>
  <c r="F107" i="26" l="1"/>
  <c r="G107" i="26"/>
  <c r="H107" i="26"/>
  <c r="J107" i="26"/>
  <c r="K107" i="26"/>
  <c r="O107" i="26"/>
  <c r="P107" i="26"/>
  <c r="S107" i="26" s="1"/>
  <c r="E107" i="26" l="1"/>
  <c r="Q107" i="26"/>
  <c r="R107" i="26" s="1"/>
  <c r="U107" i="26" s="1"/>
  <c r="I107" i="26"/>
  <c r="L107" i="26" s="1"/>
  <c r="M107" i="26"/>
  <c r="N107" i="26"/>
  <c r="T107" i="26" l="1"/>
  <c r="G47" i="26" l="1"/>
  <c r="F47" i="26"/>
  <c r="J47" i="26"/>
  <c r="K47" i="26"/>
  <c r="O47" i="26"/>
  <c r="P47" i="26"/>
  <c r="S47" i="26" s="1"/>
  <c r="E47" i="26" l="1"/>
  <c r="Q47" i="26"/>
  <c r="R47" i="26" s="1"/>
  <c r="T47" i="26" s="1"/>
  <c r="M47" i="26"/>
  <c r="N47" i="26"/>
  <c r="H47" i="26" l="1"/>
  <c r="I47" i="26" s="1"/>
  <c r="L47" i="26" s="1"/>
  <c r="O46" i="26"/>
  <c r="P49" i="26" l="1"/>
  <c r="S49" i="26" s="1"/>
  <c r="O49" i="26"/>
  <c r="K49" i="26"/>
  <c r="J49" i="26"/>
  <c r="H49" i="26"/>
  <c r="G49" i="26"/>
  <c r="F49" i="26"/>
  <c r="P48" i="26"/>
  <c r="S48" i="26" s="1"/>
  <c r="O48" i="26"/>
  <c r="K48" i="26"/>
  <c r="J48" i="26"/>
  <c r="H48" i="26"/>
  <c r="G48" i="26"/>
  <c r="F48" i="26"/>
  <c r="P46" i="26"/>
  <c r="S46" i="26" s="1"/>
  <c r="K46" i="26"/>
  <c r="J46" i="26"/>
  <c r="H46" i="26"/>
  <c r="G46" i="26"/>
  <c r="F46" i="26"/>
  <c r="P45" i="26"/>
  <c r="S45" i="26" s="1"/>
  <c r="O45" i="26"/>
  <c r="K45" i="26"/>
  <c r="J45" i="26"/>
  <c r="H45" i="26"/>
  <c r="G45" i="26"/>
  <c r="F45" i="26"/>
  <c r="P106" i="26"/>
  <c r="S106" i="26" s="1"/>
  <c r="O106" i="26"/>
  <c r="K106" i="26"/>
  <c r="J106" i="26"/>
  <c r="H106" i="26"/>
  <c r="G106" i="26"/>
  <c r="F106" i="26"/>
  <c r="P105" i="26"/>
  <c r="S105" i="26" s="1"/>
  <c r="O105" i="26"/>
  <c r="K105" i="26"/>
  <c r="J105" i="26"/>
  <c r="H105" i="26"/>
  <c r="G105" i="26"/>
  <c r="F105" i="26"/>
  <c r="P104" i="26"/>
  <c r="S104" i="26" s="1"/>
  <c r="O104" i="26"/>
  <c r="K104" i="26"/>
  <c r="J104" i="26"/>
  <c r="H104" i="26"/>
  <c r="G104" i="26"/>
  <c r="F104" i="26"/>
  <c r="P160" i="26"/>
  <c r="S160" i="26" s="1"/>
  <c r="O160" i="26"/>
  <c r="K160" i="26"/>
  <c r="J160" i="26"/>
  <c r="H160" i="26"/>
  <c r="G160" i="26"/>
  <c r="F160" i="26"/>
  <c r="P159" i="26"/>
  <c r="S159" i="26" s="1"/>
  <c r="O159" i="26"/>
  <c r="K159" i="26"/>
  <c r="J159" i="26"/>
  <c r="H159" i="26"/>
  <c r="G159" i="26"/>
  <c r="F159" i="26"/>
  <c r="P158" i="26"/>
  <c r="S158" i="26" s="1"/>
  <c r="O158" i="26"/>
  <c r="K158" i="26"/>
  <c r="J158" i="26"/>
  <c r="H158" i="26"/>
  <c r="G158" i="26"/>
  <c r="F158" i="26"/>
  <c r="P214" i="26"/>
  <c r="S214" i="26" s="1"/>
  <c r="O214" i="26"/>
  <c r="K214" i="26"/>
  <c r="J214" i="26"/>
  <c r="H214" i="26"/>
  <c r="G214" i="26"/>
  <c r="F214" i="26"/>
  <c r="P213" i="26"/>
  <c r="S213" i="26" s="1"/>
  <c r="O213" i="26"/>
  <c r="K213" i="26"/>
  <c r="J213" i="26"/>
  <c r="H213" i="26"/>
  <c r="G213" i="26"/>
  <c r="F213" i="26"/>
  <c r="P212" i="26"/>
  <c r="S212" i="26" s="1"/>
  <c r="O212" i="26"/>
  <c r="K212" i="26"/>
  <c r="J212" i="26"/>
  <c r="H212" i="26"/>
  <c r="G212" i="26"/>
  <c r="F212" i="26"/>
  <c r="P267" i="26"/>
  <c r="S267" i="26" s="1"/>
  <c r="O267" i="26"/>
  <c r="K267" i="26"/>
  <c r="J267" i="26"/>
  <c r="H267" i="26"/>
  <c r="G267" i="26"/>
  <c r="F267" i="26"/>
  <c r="P266" i="26"/>
  <c r="S266" i="26" s="1"/>
  <c r="O266" i="26"/>
  <c r="K266" i="26"/>
  <c r="J266" i="26"/>
  <c r="H266" i="26"/>
  <c r="G266" i="26"/>
  <c r="F266" i="26"/>
  <c r="P265" i="26"/>
  <c r="S265" i="26" s="1"/>
  <c r="O265" i="26"/>
  <c r="K265" i="26"/>
  <c r="J265" i="26"/>
  <c r="H265" i="26"/>
  <c r="G265" i="26"/>
  <c r="F265" i="26"/>
  <c r="P320" i="26"/>
  <c r="S320" i="26" s="1"/>
  <c r="O320" i="26"/>
  <c r="K320" i="26"/>
  <c r="J320" i="26"/>
  <c r="H320" i="26"/>
  <c r="G320" i="26"/>
  <c r="F320" i="26"/>
  <c r="P319" i="26"/>
  <c r="S319" i="26" s="1"/>
  <c r="O319" i="26"/>
  <c r="K319" i="26"/>
  <c r="J319" i="26"/>
  <c r="H319" i="26"/>
  <c r="G319" i="26"/>
  <c r="F319" i="26"/>
  <c r="P318" i="26"/>
  <c r="S318" i="26" s="1"/>
  <c r="O318" i="26"/>
  <c r="K318" i="26"/>
  <c r="J318" i="26"/>
  <c r="H318" i="26"/>
  <c r="G318" i="26"/>
  <c r="F318" i="26"/>
  <c r="P373" i="26"/>
  <c r="S373" i="26" s="1"/>
  <c r="O373" i="26"/>
  <c r="K373" i="26"/>
  <c r="J373" i="26"/>
  <c r="H373" i="26"/>
  <c r="G373" i="26"/>
  <c r="F373" i="26"/>
  <c r="P372" i="26"/>
  <c r="S372" i="26" s="1"/>
  <c r="O372" i="26"/>
  <c r="K372" i="26"/>
  <c r="J372" i="26"/>
  <c r="H372" i="26"/>
  <c r="G372" i="26"/>
  <c r="F372" i="26"/>
  <c r="P371" i="26"/>
  <c r="S371" i="26" s="1"/>
  <c r="O371" i="26"/>
  <c r="K371" i="26"/>
  <c r="J371" i="26"/>
  <c r="H371" i="26"/>
  <c r="G371" i="26"/>
  <c r="F371" i="26"/>
  <c r="P426" i="26"/>
  <c r="S426" i="26" s="1"/>
  <c r="O426" i="26"/>
  <c r="K426" i="26"/>
  <c r="J426" i="26"/>
  <c r="H426" i="26"/>
  <c r="G426" i="26"/>
  <c r="F426" i="26"/>
  <c r="P425" i="26"/>
  <c r="S425" i="26" s="1"/>
  <c r="O425" i="26"/>
  <c r="K425" i="26"/>
  <c r="J425" i="26"/>
  <c r="H425" i="26"/>
  <c r="G425" i="26"/>
  <c r="F425" i="26"/>
  <c r="P424" i="26"/>
  <c r="S424" i="26" s="1"/>
  <c r="O424" i="26"/>
  <c r="K424" i="26"/>
  <c r="J424" i="26"/>
  <c r="H424" i="26"/>
  <c r="G424" i="26"/>
  <c r="F424" i="26"/>
  <c r="P479" i="26"/>
  <c r="S479" i="26" s="1"/>
  <c r="O479" i="26"/>
  <c r="K479" i="26"/>
  <c r="J479" i="26"/>
  <c r="H479" i="26"/>
  <c r="G479" i="26"/>
  <c r="F479" i="26"/>
  <c r="P478" i="26"/>
  <c r="S478" i="26" s="1"/>
  <c r="O478" i="26"/>
  <c r="K478" i="26"/>
  <c r="J478" i="26"/>
  <c r="H478" i="26"/>
  <c r="G478" i="26"/>
  <c r="F478" i="26"/>
  <c r="P477" i="26"/>
  <c r="S477" i="26" s="1"/>
  <c r="O477" i="26"/>
  <c r="K477" i="26"/>
  <c r="J477" i="26"/>
  <c r="H477" i="26"/>
  <c r="G477" i="26"/>
  <c r="F477" i="26"/>
  <c r="M267" i="26" l="1"/>
  <c r="M46" i="26"/>
  <c r="M45" i="26"/>
  <c r="E49" i="26"/>
  <c r="E106" i="26"/>
  <c r="I46" i="26"/>
  <c r="L46" i="26" s="1"/>
  <c r="Q426" i="26"/>
  <c r="R426" i="26" s="1"/>
  <c r="U426" i="26" s="1"/>
  <c r="E372" i="26"/>
  <c r="E477" i="26"/>
  <c r="I48" i="26"/>
  <c r="L48" i="26" s="1"/>
  <c r="E48" i="26"/>
  <c r="I477" i="26"/>
  <c r="L477" i="26" s="1"/>
  <c r="Q373" i="26"/>
  <c r="R373" i="26" s="1"/>
  <c r="T373" i="26" s="1"/>
  <c r="Q479" i="26"/>
  <c r="R479" i="26" s="1"/>
  <c r="U479" i="26" s="1"/>
  <c r="Q45" i="26"/>
  <c r="R45" i="26" s="1"/>
  <c r="T45" i="26" s="1"/>
  <c r="E371" i="26"/>
  <c r="I373" i="26"/>
  <c r="L373" i="26" s="1"/>
  <c r="E212" i="26"/>
  <c r="I214" i="26"/>
  <c r="L214" i="26" s="1"/>
  <c r="E425" i="26"/>
  <c r="I371" i="26"/>
  <c r="L371" i="26" s="1"/>
  <c r="E266" i="26"/>
  <c r="I212" i="26"/>
  <c r="L212" i="26" s="1"/>
  <c r="E104" i="26"/>
  <c r="I106" i="26"/>
  <c r="L106" i="26" s="1"/>
  <c r="E265" i="26"/>
  <c r="I267" i="26"/>
  <c r="L267" i="26" s="1"/>
  <c r="E160" i="26"/>
  <c r="I105" i="26"/>
  <c r="L105" i="26" s="1"/>
  <c r="M426" i="26"/>
  <c r="N319" i="26"/>
  <c r="E46" i="26"/>
  <c r="M373" i="26"/>
  <c r="M214" i="26"/>
  <c r="N105" i="26"/>
  <c r="E478" i="26"/>
  <c r="E479" i="26"/>
  <c r="E159" i="26"/>
  <c r="I104" i="26"/>
  <c r="L104" i="26" s="1"/>
  <c r="I424" i="26"/>
  <c r="L424" i="26" s="1"/>
  <c r="E318" i="26"/>
  <c r="I265" i="26"/>
  <c r="L265" i="26" s="1"/>
  <c r="E158" i="26"/>
  <c r="I160" i="26"/>
  <c r="L160" i="26" s="1"/>
  <c r="I318" i="26"/>
  <c r="L318" i="26" s="1"/>
  <c r="M265" i="26"/>
  <c r="E213" i="26"/>
  <c r="I158" i="26"/>
  <c r="L158" i="26" s="1"/>
  <c r="M160" i="26"/>
  <c r="E45" i="26"/>
  <c r="M424" i="26"/>
  <c r="E424" i="26"/>
  <c r="I426" i="26"/>
  <c r="L426" i="26" s="1"/>
  <c r="N477" i="26"/>
  <c r="I478" i="26"/>
  <c r="L478" i="26" s="1"/>
  <c r="I479" i="26"/>
  <c r="L479" i="26" s="1"/>
  <c r="M425" i="26"/>
  <c r="E373" i="26"/>
  <c r="N318" i="26"/>
  <c r="I319" i="26"/>
  <c r="L319" i="26" s="1"/>
  <c r="I320" i="26"/>
  <c r="L320" i="26" s="1"/>
  <c r="M266" i="26"/>
  <c r="E214" i="26"/>
  <c r="N158" i="26"/>
  <c r="I159" i="26"/>
  <c r="L159" i="26" s="1"/>
  <c r="M104" i="26"/>
  <c r="Q46" i="26"/>
  <c r="R46" i="26" s="1"/>
  <c r="T46" i="26" s="1"/>
  <c r="N372" i="26"/>
  <c r="M319" i="26"/>
  <c r="M320" i="26"/>
  <c r="N213" i="26"/>
  <c r="M159" i="26"/>
  <c r="N46" i="26"/>
  <c r="N49" i="26"/>
  <c r="M478" i="26"/>
  <c r="M479" i="26"/>
  <c r="M477" i="26"/>
  <c r="E426" i="26"/>
  <c r="N371" i="26"/>
  <c r="I372" i="26"/>
  <c r="L372" i="26" s="1"/>
  <c r="M318" i="26"/>
  <c r="E267" i="26"/>
  <c r="N212" i="26"/>
  <c r="I213" i="26"/>
  <c r="L213" i="26" s="1"/>
  <c r="M158" i="26"/>
  <c r="E105" i="26"/>
  <c r="I45" i="26"/>
  <c r="L45" i="26" s="1"/>
  <c r="N48" i="26"/>
  <c r="I49" i="26"/>
  <c r="L49" i="26" s="1"/>
  <c r="M372" i="26"/>
  <c r="N266" i="26"/>
  <c r="M213" i="26"/>
  <c r="N104" i="26"/>
  <c r="M49" i="26"/>
  <c r="N425" i="26"/>
  <c r="N424" i="26"/>
  <c r="I425" i="26"/>
  <c r="L425" i="26" s="1"/>
  <c r="M371" i="26"/>
  <c r="E319" i="26"/>
  <c r="E320" i="26"/>
  <c r="N265" i="26"/>
  <c r="I266" i="26"/>
  <c r="L266" i="26" s="1"/>
  <c r="M212" i="26"/>
  <c r="M106" i="26"/>
  <c r="M48" i="26"/>
  <c r="N478" i="26"/>
  <c r="N159" i="26"/>
  <c r="M105" i="26"/>
  <c r="Q106" i="26"/>
  <c r="R106" i="26" s="1"/>
  <c r="U106" i="26" s="1"/>
  <c r="Q214" i="26"/>
  <c r="R214" i="26" s="1"/>
  <c r="U214" i="26" s="1"/>
  <c r="Q160" i="26"/>
  <c r="R160" i="26" s="1"/>
  <c r="U160" i="26" s="1"/>
  <c r="Q267" i="26"/>
  <c r="R267" i="26" s="1"/>
  <c r="T267" i="26" s="1"/>
  <c r="Q320" i="26"/>
  <c r="R320" i="26" s="1"/>
  <c r="T320" i="26" s="1"/>
  <c r="Q48" i="26"/>
  <c r="R48" i="26" s="1"/>
  <c r="Q49" i="26"/>
  <c r="R49" i="26" s="1"/>
  <c r="N45" i="26"/>
  <c r="N106" i="26"/>
  <c r="Q104" i="26"/>
  <c r="R104" i="26" s="1"/>
  <c r="Q105" i="26"/>
  <c r="R105" i="26" s="1"/>
  <c r="N160" i="26"/>
  <c r="Q158" i="26"/>
  <c r="R158" i="26" s="1"/>
  <c r="Q159" i="26"/>
  <c r="R159" i="26" s="1"/>
  <c r="N214" i="26"/>
  <c r="Q212" i="26"/>
  <c r="R212" i="26" s="1"/>
  <c r="Q213" i="26"/>
  <c r="R213" i="26" s="1"/>
  <c r="N267" i="26"/>
  <c r="Q265" i="26"/>
  <c r="R265" i="26" s="1"/>
  <c r="Q266" i="26"/>
  <c r="R266" i="26" s="1"/>
  <c r="N320" i="26"/>
  <c r="Q318" i="26"/>
  <c r="R318" i="26" s="1"/>
  <c r="Q319" i="26"/>
  <c r="R319" i="26" s="1"/>
  <c r="N373" i="26"/>
  <c r="Q371" i="26"/>
  <c r="R371" i="26" s="1"/>
  <c r="Q372" i="26"/>
  <c r="R372" i="26" s="1"/>
  <c r="N426" i="26"/>
  <c r="Q424" i="26"/>
  <c r="R424" i="26" s="1"/>
  <c r="Q425" i="26"/>
  <c r="R425" i="26" s="1"/>
  <c r="N479" i="26"/>
  <c r="Q477" i="26"/>
  <c r="R477" i="26" s="1"/>
  <c r="Q478" i="26"/>
  <c r="R478" i="26" s="1"/>
  <c r="T426" i="26" l="1"/>
  <c r="T479" i="26"/>
  <c r="U373" i="26"/>
  <c r="T106" i="26"/>
  <c r="T160" i="26"/>
  <c r="T214" i="26"/>
  <c r="U320" i="26"/>
  <c r="U267" i="26"/>
  <c r="U48" i="26"/>
  <c r="T48" i="26"/>
  <c r="U49" i="26"/>
  <c r="T49" i="26"/>
  <c r="U104" i="26"/>
  <c r="T104" i="26"/>
  <c r="U105" i="26"/>
  <c r="T105" i="26"/>
  <c r="U158" i="26"/>
  <c r="T158" i="26"/>
  <c r="U159" i="26"/>
  <c r="T159" i="26"/>
  <c r="U212" i="26"/>
  <c r="T212" i="26"/>
  <c r="U213" i="26"/>
  <c r="T213" i="26"/>
  <c r="U265" i="26"/>
  <c r="T265" i="26"/>
  <c r="U266" i="26"/>
  <c r="T266" i="26"/>
  <c r="T318" i="26"/>
  <c r="U318" i="26"/>
  <c r="U319" i="26"/>
  <c r="T319" i="26"/>
  <c r="U371" i="26"/>
  <c r="T371" i="26"/>
  <c r="U372" i="26"/>
  <c r="T372" i="26"/>
  <c r="U424" i="26"/>
  <c r="T424" i="26"/>
  <c r="U425" i="26"/>
  <c r="T425" i="26"/>
  <c r="U478" i="26"/>
  <c r="T478" i="26"/>
  <c r="U477" i="26"/>
  <c r="T477" i="26"/>
  <c r="K15" i="27" l="1"/>
  <c r="K20" i="27" l="1"/>
  <c r="P476" i="26" l="1"/>
  <c r="S476" i="26" s="1"/>
  <c r="O476" i="26"/>
  <c r="K476" i="26"/>
  <c r="J476" i="26"/>
  <c r="H476" i="26"/>
  <c r="G476" i="26"/>
  <c r="F476" i="26"/>
  <c r="P475" i="26"/>
  <c r="S475" i="26" s="1"/>
  <c r="O475" i="26"/>
  <c r="K475" i="26"/>
  <c r="J475" i="26"/>
  <c r="H475" i="26"/>
  <c r="G475" i="26"/>
  <c r="F475" i="26"/>
  <c r="P474" i="26"/>
  <c r="S474" i="26" s="1"/>
  <c r="O474" i="26"/>
  <c r="K474" i="26"/>
  <c r="J474" i="26"/>
  <c r="H474" i="26"/>
  <c r="G474" i="26"/>
  <c r="F474" i="26"/>
  <c r="P473" i="26"/>
  <c r="S473" i="26" s="1"/>
  <c r="O473" i="26"/>
  <c r="K473" i="26"/>
  <c r="J473" i="26"/>
  <c r="H473" i="26"/>
  <c r="G473" i="26"/>
  <c r="F473" i="26"/>
  <c r="P472" i="26"/>
  <c r="S472" i="26" s="1"/>
  <c r="O472" i="26"/>
  <c r="K472" i="26"/>
  <c r="J472" i="26"/>
  <c r="H472" i="26"/>
  <c r="G472" i="26"/>
  <c r="F472" i="26"/>
  <c r="P471" i="26"/>
  <c r="S471" i="26" s="1"/>
  <c r="O471" i="26"/>
  <c r="K471" i="26"/>
  <c r="J471" i="26"/>
  <c r="H471" i="26"/>
  <c r="G471" i="26"/>
  <c r="F471" i="26"/>
  <c r="P470" i="26"/>
  <c r="S470" i="26" s="1"/>
  <c r="O470" i="26"/>
  <c r="K470" i="26"/>
  <c r="J470" i="26"/>
  <c r="H470" i="26"/>
  <c r="G470" i="26"/>
  <c r="F470" i="26"/>
  <c r="P469" i="26"/>
  <c r="S469" i="26" s="1"/>
  <c r="O469" i="26"/>
  <c r="K469" i="26"/>
  <c r="J469" i="26"/>
  <c r="H469" i="26"/>
  <c r="G469" i="26"/>
  <c r="F469" i="26"/>
  <c r="P468" i="26"/>
  <c r="S468" i="26" s="1"/>
  <c r="O468" i="26"/>
  <c r="K468" i="26"/>
  <c r="J468" i="26"/>
  <c r="H468" i="26"/>
  <c r="G468" i="26"/>
  <c r="F468" i="26"/>
  <c r="P467" i="26"/>
  <c r="S467" i="26" s="1"/>
  <c r="O467" i="26"/>
  <c r="K467" i="26"/>
  <c r="J467" i="26"/>
  <c r="G467" i="26"/>
  <c r="F467" i="26"/>
  <c r="P466" i="26"/>
  <c r="S466" i="26" s="1"/>
  <c r="O466" i="26"/>
  <c r="K466" i="26"/>
  <c r="J466" i="26"/>
  <c r="H466" i="26"/>
  <c r="G466" i="26"/>
  <c r="F466" i="26"/>
  <c r="P465" i="26"/>
  <c r="S465" i="26" s="1"/>
  <c r="O465" i="26"/>
  <c r="K465" i="26"/>
  <c r="J465" i="26"/>
  <c r="H465" i="26"/>
  <c r="G465" i="26"/>
  <c r="F465" i="26"/>
  <c r="P464" i="26"/>
  <c r="S464" i="26" s="1"/>
  <c r="O464" i="26"/>
  <c r="K464" i="26"/>
  <c r="J464" i="26"/>
  <c r="H464" i="26"/>
  <c r="G464" i="26"/>
  <c r="F464" i="26"/>
  <c r="P463" i="26"/>
  <c r="S463" i="26" s="1"/>
  <c r="O463" i="26"/>
  <c r="K463" i="26"/>
  <c r="J463" i="26"/>
  <c r="H463" i="26"/>
  <c r="G463" i="26"/>
  <c r="F463" i="26"/>
  <c r="P462" i="26"/>
  <c r="S462" i="26" s="1"/>
  <c r="O462" i="26"/>
  <c r="K462" i="26"/>
  <c r="J462" i="26"/>
  <c r="H462" i="26"/>
  <c r="G462" i="26"/>
  <c r="F462" i="26"/>
  <c r="P461" i="26"/>
  <c r="S461" i="26" s="1"/>
  <c r="O461" i="26"/>
  <c r="K461" i="26"/>
  <c r="J461" i="26"/>
  <c r="H461" i="26"/>
  <c r="G461" i="26"/>
  <c r="F461" i="26"/>
  <c r="P460" i="26"/>
  <c r="S460" i="26" s="1"/>
  <c r="O460" i="26"/>
  <c r="K460" i="26"/>
  <c r="J460" i="26"/>
  <c r="H460" i="26"/>
  <c r="G460" i="26"/>
  <c r="F460" i="26"/>
  <c r="P459" i="26"/>
  <c r="S459" i="26" s="1"/>
  <c r="O459" i="26"/>
  <c r="K459" i="26"/>
  <c r="J459" i="26"/>
  <c r="H459" i="26"/>
  <c r="G459" i="26"/>
  <c r="F459" i="26"/>
  <c r="P458" i="26"/>
  <c r="S458" i="26" s="1"/>
  <c r="O458" i="26"/>
  <c r="K458" i="26"/>
  <c r="J458" i="26"/>
  <c r="H458" i="26"/>
  <c r="G458" i="26"/>
  <c r="F458" i="26"/>
  <c r="P457" i="26"/>
  <c r="S457" i="26" s="1"/>
  <c r="O457" i="26"/>
  <c r="K457" i="26"/>
  <c r="J457" i="26"/>
  <c r="H457" i="26"/>
  <c r="G457" i="26"/>
  <c r="F457" i="26"/>
  <c r="P456" i="26"/>
  <c r="S456" i="26" s="1"/>
  <c r="O456" i="26"/>
  <c r="K456" i="26"/>
  <c r="J456" i="26"/>
  <c r="H456" i="26"/>
  <c r="G456" i="26"/>
  <c r="F456" i="26"/>
  <c r="P455" i="26"/>
  <c r="S455" i="26" s="1"/>
  <c r="O455" i="26"/>
  <c r="K455" i="26"/>
  <c r="J455" i="26"/>
  <c r="H455" i="26"/>
  <c r="G455" i="26"/>
  <c r="F455" i="26"/>
  <c r="P454" i="26"/>
  <c r="S454" i="26" s="1"/>
  <c r="O454" i="26"/>
  <c r="K454" i="26"/>
  <c r="J454" i="26"/>
  <c r="H454" i="26"/>
  <c r="G454" i="26"/>
  <c r="F454" i="26"/>
  <c r="P453" i="26"/>
  <c r="S453" i="26" s="1"/>
  <c r="O453" i="26"/>
  <c r="K453" i="26"/>
  <c r="J453" i="26"/>
  <c r="H453" i="26"/>
  <c r="G453" i="26"/>
  <c r="F453" i="26"/>
  <c r="P452" i="26"/>
  <c r="S452" i="26" s="1"/>
  <c r="O452" i="26"/>
  <c r="K452" i="26"/>
  <c r="J452" i="26"/>
  <c r="H452" i="26"/>
  <c r="G452" i="26"/>
  <c r="F452" i="26"/>
  <c r="P451" i="26"/>
  <c r="S451" i="26" s="1"/>
  <c r="O451" i="26"/>
  <c r="K451" i="26"/>
  <c r="J451" i="26"/>
  <c r="H451" i="26"/>
  <c r="G451" i="26"/>
  <c r="F451" i="26"/>
  <c r="P450" i="26"/>
  <c r="S450" i="26" s="1"/>
  <c r="O450" i="26"/>
  <c r="K450" i="26"/>
  <c r="J450" i="26"/>
  <c r="H450" i="26"/>
  <c r="G450" i="26"/>
  <c r="F450" i="26"/>
  <c r="P449" i="26"/>
  <c r="S449" i="26" s="1"/>
  <c r="O449" i="26"/>
  <c r="K449" i="26"/>
  <c r="J449" i="26"/>
  <c r="H449" i="26"/>
  <c r="G449" i="26"/>
  <c r="F449" i="26"/>
  <c r="P448" i="26"/>
  <c r="S448" i="26" s="1"/>
  <c r="O448" i="26"/>
  <c r="K448" i="26"/>
  <c r="J448" i="26"/>
  <c r="H448" i="26"/>
  <c r="G448" i="26"/>
  <c r="F448" i="26"/>
  <c r="P447" i="26"/>
  <c r="S447" i="26" s="1"/>
  <c r="O447" i="26"/>
  <c r="K447" i="26"/>
  <c r="J447" i="26"/>
  <c r="H447" i="26"/>
  <c r="G447" i="26"/>
  <c r="F447" i="26"/>
  <c r="P446" i="26"/>
  <c r="S446" i="26" s="1"/>
  <c r="O446" i="26"/>
  <c r="K446" i="26"/>
  <c r="J446" i="26"/>
  <c r="H446" i="26"/>
  <c r="G446" i="26"/>
  <c r="F446" i="26"/>
  <c r="P445" i="26"/>
  <c r="S445" i="26" s="1"/>
  <c r="O445" i="26"/>
  <c r="K445" i="26"/>
  <c r="J445" i="26"/>
  <c r="H445" i="26"/>
  <c r="G445" i="26"/>
  <c r="F445" i="26"/>
  <c r="P444" i="26"/>
  <c r="S444" i="26" s="1"/>
  <c r="O444" i="26"/>
  <c r="K444" i="26"/>
  <c r="J444" i="26"/>
  <c r="H444" i="26"/>
  <c r="G444" i="26"/>
  <c r="F444" i="26"/>
  <c r="P443" i="26"/>
  <c r="S443" i="26" s="1"/>
  <c r="O443" i="26"/>
  <c r="K443" i="26"/>
  <c r="J443" i="26"/>
  <c r="H443" i="26"/>
  <c r="G443" i="26"/>
  <c r="F443" i="26"/>
  <c r="P442" i="26"/>
  <c r="S442" i="26" s="1"/>
  <c r="O442" i="26"/>
  <c r="K442" i="26"/>
  <c r="J442" i="26"/>
  <c r="H442" i="26"/>
  <c r="G442" i="26"/>
  <c r="F442" i="26"/>
  <c r="P441" i="26"/>
  <c r="S441" i="26" s="1"/>
  <c r="O441" i="26"/>
  <c r="K441" i="26"/>
  <c r="J441" i="26"/>
  <c r="H441" i="26"/>
  <c r="G441" i="26"/>
  <c r="F441" i="26"/>
  <c r="P440" i="26"/>
  <c r="S440" i="26" s="1"/>
  <c r="O440" i="26"/>
  <c r="K440" i="26"/>
  <c r="J440" i="26"/>
  <c r="H440" i="26"/>
  <c r="G440" i="26"/>
  <c r="F440" i="26"/>
  <c r="P439" i="26"/>
  <c r="S439" i="26" s="1"/>
  <c r="O439" i="26"/>
  <c r="K439" i="26"/>
  <c r="J439" i="26"/>
  <c r="H439" i="26"/>
  <c r="G439" i="26"/>
  <c r="F439" i="26"/>
  <c r="P438" i="26"/>
  <c r="S438" i="26" s="1"/>
  <c r="O438" i="26"/>
  <c r="K438" i="26"/>
  <c r="J438" i="26"/>
  <c r="H438" i="26"/>
  <c r="G438" i="26"/>
  <c r="F438" i="26"/>
  <c r="P437" i="26"/>
  <c r="S437" i="26" s="1"/>
  <c r="O437" i="26"/>
  <c r="K437" i="26"/>
  <c r="J437" i="26"/>
  <c r="H437" i="26"/>
  <c r="G437" i="26"/>
  <c r="F437" i="26"/>
  <c r="P436" i="26"/>
  <c r="S436" i="26" s="1"/>
  <c r="O436" i="26"/>
  <c r="K436" i="26"/>
  <c r="J436" i="26"/>
  <c r="H436" i="26"/>
  <c r="G436" i="26"/>
  <c r="F436" i="26"/>
  <c r="P435" i="26"/>
  <c r="S435" i="26" s="1"/>
  <c r="O435" i="26"/>
  <c r="K435" i="26"/>
  <c r="J435" i="26"/>
  <c r="H435" i="26"/>
  <c r="G435" i="26"/>
  <c r="F435" i="26"/>
  <c r="P434" i="26"/>
  <c r="S434" i="26" s="1"/>
  <c r="O434" i="26"/>
  <c r="K434" i="26"/>
  <c r="J434" i="26"/>
  <c r="H434" i="26"/>
  <c r="G434" i="26"/>
  <c r="F434" i="26"/>
  <c r="P433" i="26"/>
  <c r="S433" i="26" s="1"/>
  <c r="O433" i="26"/>
  <c r="K433" i="26"/>
  <c r="J433" i="26"/>
  <c r="H433" i="26"/>
  <c r="G433" i="26"/>
  <c r="F433" i="26"/>
  <c r="P432" i="26"/>
  <c r="S432" i="26" s="1"/>
  <c r="O432" i="26"/>
  <c r="K432" i="26"/>
  <c r="J432" i="26"/>
  <c r="H432" i="26"/>
  <c r="G432" i="26"/>
  <c r="F432" i="26"/>
  <c r="M448" i="26" l="1"/>
  <c r="M452" i="26"/>
  <c r="M456" i="26"/>
  <c r="M460" i="26"/>
  <c r="M464" i="26"/>
  <c r="M432" i="26"/>
  <c r="M436" i="26"/>
  <c r="M440" i="26"/>
  <c r="M444" i="26"/>
  <c r="M445" i="26"/>
  <c r="M467" i="26"/>
  <c r="M471" i="26"/>
  <c r="M475" i="26"/>
  <c r="M435" i="26"/>
  <c r="M439" i="26"/>
  <c r="M468" i="26"/>
  <c r="M472" i="26"/>
  <c r="M476" i="26"/>
  <c r="Q469" i="26"/>
  <c r="R469" i="26" s="1"/>
  <c r="T469" i="26" s="1"/>
  <c r="Q439" i="26"/>
  <c r="R439" i="26" s="1"/>
  <c r="U439" i="26" s="1"/>
  <c r="Q457" i="26"/>
  <c r="R457" i="26" s="1"/>
  <c r="U457" i="26" s="1"/>
  <c r="Q473" i="26"/>
  <c r="R473" i="26" s="1"/>
  <c r="U473" i="26" s="1"/>
  <c r="Q475" i="26"/>
  <c r="R475" i="26" s="1"/>
  <c r="U475" i="26" s="1"/>
  <c r="Q436" i="26"/>
  <c r="R436" i="26" s="1"/>
  <c r="U436" i="26" s="1"/>
  <c r="Q432" i="26"/>
  <c r="R432" i="26" s="1"/>
  <c r="T432" i="26" s="1"/>
  <c r="Q441" i="26"/>
  <c r="R441" i="26" s="1"/>
  <c r="U441" i="26" s="1"/>
  <c r="Q437" i="26"/>
  <c r="R437" i="26" s="1"/>
  <c r="T437" i="26" s="1"/>
  <c r="Q435" i="26"/>
  <c r="R435" i="26" s="1"/>
  <c r="U435" i="26" s="1"/>
  <c r="Q449" i="26"/>
  <c r="R449" i="26" s="1"/>
  <c r="U449" i="26" s="1"/>
  <c r="Q440" i="26"/>
  <c r="R440" i="26" s="1"/>
  <c r="T440" i="26" s="1"/>
  <c r="Q465" i="26"/>
  <c r="R465" i="26" s="1"/>
  <c r="U465" i="26" s="1"/>
  <c r="Q433" i="26"/>
  <c r="R433" i="26" s="1"/>
  <c r="U433" i="26" s="1"/>
  <c r="Q471" i="26"/>
  <c r="R471" i="26" s="1"/>
  <c r="U471" i="26" s="1"/>
  <c r="Q467" i="26"/>
  <c r="R467" i="26" s="1"/>
  <c r="T467" i="26" s="1"/>
  <c r="N475" i="26"/>
  <c r="M443" i="26"/>
  <c r="E447" i="26"/>
  <c r="E458" i="26"/>
  <c r="I459" i="26"/>
  <c r="L459" i="26" s="1"/>
  <c r="I462" i="26"/>
  <c r="L462" i="26" s="1"/>
  <c r="E463" i="26"/>
  <c r="I440" i="26"/>
  <c r="L440" i="26" s="1"/>
  <c r="E472" i="26"/>
  <c r="N464" i="26"/>
  <c r="I474" i="26"/>
  <c r="L474" i="26" s="1"/>
  <c r="N436" i="26"/>
  <c r="I439" i="26"/>
  <c r="L439" i="26" s="1"/>
  <c r="I445" i="26"/>
  <c r="L445" i="26" s="1"/>
  <c r="E452" i="26"/>
  <c r="I456" i="26"/>
  <c r="L456" i="26" s="1"/>
  <c r="E468" i="26"/>
  <c r="I472" i="26"/>
  <c r="L472" i="26" s="1"/>
  <c r="M447" i="26"/>
  <c r="M463" i="26"/>
  <c r="N434" i="26"/>
  <c r="I436" i="26"/>
  <c r="L436" i="26" s="1"/>
  <c r="N439" i="26"/>
  <c r="I443" i="26"/>
  <c r="L443" i="26" s="1"/>
  <c r="E445" i="26"/>
  <c r="I452" i="26"/>
  <c r="L452" i="26" s="1"/>
  <c r="N453" i="26"/>
  <c r="E456" i="26"/>
  <c r="N440" i="26"/>
  <c r="E446" i="26"/>
  <c r="I447" i="26"/>
  <c r="L447" i="26" s="1"/>
  <c r="I458" i="26"/>
  <c r="L458" i="26" s="1"/>
  <c r="E459" i="26"/>
  <c r="M459" i="26"/>
  <c r="N467" i="26"/>
  <c r="I468" i="26"/>
  <c r="L468" i="26" s="1"/>
  <c r="I435" i="26"/>
  <c r="L435" i="26" s="1"/>
  <c r="E444" i="26"/>
  <c r="N445" i="26"/>
  <c r="E448" i="26"/>
  <c r="E450" i="26"/>
  <c r="I451" i="26"/>
  <c r="L451" i="26" s="1"/>
  <c r="I454" i="26"/>
  <c r="L454" i="26" s="1"/>
  <c r="E455" i="26"/>
  <c r="M455" i="26"/>
  <c r="E460" i="26"/>
  <c r="I464" i="26"/>
  <c r="L464" i="26" s="1"/>
  <c r="I466" i="26"/>
  <c r="L466" i="26" s="1"/>
  <c r="E469" i="26"/>
  <c r="I470" i="26"/>
  <c r="L470" i="26" s="1"/>
  <c r="M473" i="26"/>
  <c r="I476" i="26"/>
  <c r="L476" i="26" s="1"/>
  <c r="N435" i="26"/>
  <c r="N438" i="26"/>
  <c r="I444" i="26"/>
  <c r="L444" i="26" s="1"/>
  <c r="I448" i="26"/>
  <c r="L448" i="26" s="1"/>
  <c r="I450" i="26"/>
  <c r="L450" i="26" s="1"/>
  <c r="E451" i="26"/>
  <c r="M451" i="26"/>
  <c r="E454" i="26"/>
  <c r="I455" i="26"/>
  <c r="L455" i="26" s="1"/>
  <c r="I460" i="26"/>
  <c r="L460" i="26" s="1"/>
  <c r="N461" i="26"/>
  <c r="E464" i="26"/>
  <c r="N468" i="26"/>
  <c r="I469" i="26"/>
  <c r="L469" i="26" s="1"/>
  <c r="I473" i="26"/>
  <c r="L473" i="26" s="1"/>
  <c r="N474" i="26"/>
  <c r="M474" i="26"/>
  <c r="I475" i="26"/>
  <c r="L475" i="26" s="1"/>
  <c r="E476" i="26"/>
  <c r="N457" i="26"/>
  <c r="N465" i="26"/>
  <c r="Q468" i="26"/>
  <c r="R468" i="26" s="1"/>
  <c r="T468" i="26" s="1"/>
  <c r="N449" i="26"/>
  <c r="I432" i="26"/>
  <c r="L432" i="26" s="1"/>
  <c r="E433" i="26"/>
  <c r="M433" i="26"/>
  <c r="I434" i="26"/>
  <c r="L434" i="26" s="1"/>
  <c r="E435" i="26"/>
  <c r="E436" i="26"/>
  <c r="I437" i="26"/>
  <c r="L437" i="26" s="1"/>
  <c r="E441" i="26"/>
  <c r="M441" i="26"/>
  <c r="N443" i="26"/>
  <c r="I446" i="26"/>
  <c r="L446" i="26" s="1"/>
  <c r="N447" i="26"/>
  <c r="N452" i="26"/>
  <c r="Q452" i="26"/>
  <c r="R452" i="26" s="1"/>
  <c r="U452" i="26" s="1"/>
  <c r="E453" i="26"/>
  <c r="Q453" i="26"/>
  <c r="R453" i="26" s="1"/>
  <c r="U453" i="26" s="1"/>
  <c r="N455" i="26"/>
  <c r="N460" i="26"/>
  <c r="Q460" i="26"/>
  <c r="R460" i="26" s="1"/>
  <c r="U460" i="26" s="1"/>
  <c r="E461" i="26"/>
  <c r="Q461" i="26"/>
  <c r="R461" i="26" s="1"/>
  <c r="U461" i="26" s="1"/>
  <c r="N463" i="26"/>
  <c r="N471" i="26"/>
  <c r="E474" i="26"/>
  <c r="N476" i="26"/>
  <c r="Q476" i="26"/>
  <c r="R476" i="26" s="1"/>
  <c r="T476" i="26" s="1"/>
  <c r="Q445" i="26"/>
  <c r="R445" i="26" s="1"/>
  <c r="T445" i="26" s="1"/>
  <c r="E462" i="26"/>
  <c r="I463" i="26"/>
  <c r="L463" i="26" s="1"/>
  <c r="N432" i="26"/>
  <c r="I433" i="26"/>
  <c r="L433" i="26" s="1"/>
  <c r="M434" i="26"/>
  <c r="E437" i="26"/>
  <c r="M437" i="26"/>
  <c r="I438" i="26"/>
  <c r="L438" i="26" s="1"/>
  <c r="E439" i="26"/>
  <c r="E440" i="26"/>
  <c r="I441" i="26"/>
  <c r="L441" i="26" s="1"/>
  <c r="E442" i="26"/>
  <c r="N444" i="26"/>
  <c r="Q444" i="26"/>
  <c r="R444" i="26" s="1"/>
  <c r="N448" i="26"/>
  <c r="Q448" i="26"/>
  <c r="R448" i="26" s="1"/>
  <c r="U448" i="26" s="1"/>
  <c r="E449" i="26"/>
  <c r="N451" i="26"/>
  <c r="N456" i="26"/>
  <c r="Q456" i="26"/>
  <c r="R456" i="26" s="1"/>
  <c r="U456" i="26" s="1"/>
  <c r="E457" i="26"/>
  <c r="N459" i="26"/>
  <c r="Q464" i="26"/>
  <c r="R464" i="26" s="1"/>
  <c r="U464" i="26" s="1"/>
  <c r="E465" i="26"/>
  <c r="I471" i="26"/>
  <c r="L471" i="26" s="1"/>
  <c r="N472" i="26"/>
  <c r="Q472" i="26"/>
  <c r="R472" i="26" s="1"/>
  <c r="E432" i="26"/>
  <c r="N433" i="26"/>
  <c r="N441" i="26"/>
  <c r="M446" i="26"/>
  <c r="M450" i="26"/>
  <c r="M454" i="26"/>
  <c r="M458" i="26"/>
  <c r="M462" i="26"/>
  <c r="N466" i="26"/>
  <c r="Q466" i="26"/>
  <c r="R466" i="26" s="1"/>
  <c r="M466" i="26"/>
  <c r="E473" i="26"/>
  <c r="N473" i="26"/>
  <c r="N437" i="26"/>
  <c r="M442" i="26"/>
  <c r="N446" i="26"/>
  <c r="Q446" i="26"/>
  <c r="R446" i="26" s="1"/>
  <c r="N450" i="26"/>
  <c r="Q450" i="26"/>
  <c r="R450" i="26" s="1"/>
  <c r="N454" i="26"/>
  <c r="Q454" i="26"/>
  <c r="R454" i="26" s="1"/>
  <c r="N458" i="26"/>
  <c r="Q458" i="26"/>
  <c r="R458" i="26" s="1"/>
  <c r="N462" i="26"/>
  <c r="Q462" i="26"/>
  <c r="R462" i="26" s="1"/>
  <c r="E438" i="26"/>
  <c r="M438" i="26"/>
  <c r="Q438" i="26"/>
  <c r="R438" i="26" s="1"/>
  <c r="Q442" i="26"/>
  <c r="R442" i="26" s="1"/>
  <c r="Q443" i="26"/>
  <c r="R443" i="26" s="1"/>
  <c r="M449" i="26"/>
  <c r="I449" i="26"/>
  <c r="L449" i="26" s="1"/>
  <c r="M453" i="26"/>
  <c r="I453" i="26"/>
  <c r="L453" i="26" s="1"/>
  <c r="M457" i="26"/>
  <c r="I457" i="26"/>
  <c r="L457" i="26" s="1"/>
  <c r="M461" i="26"/>
  <c r="I461" i="26"/>
  <c r="L461" i="26" s="1"/>
  <c r="M465" i="26"/>
  <c r="I465" i="26"/>
  <c r="L465" i="26" s="1"/>
  <c r="M469" i="26"/>
  <c r="N470" i="26"/>
  <c r="Q470" i="26"/>
  <c r="R470" i="26" s="1"/>
  <c r="E470" i="26"/>
  <c r="M470" i="26"/>
  <c r="E434" i="26"/>
  <c r="Q434" i="26"/>
  <c r="R434" i="26" s="1"/>
  <c r="I442" i="26"/>
  <c r="L442" i="26" s="1"/>
  <c r="N442" i="26"/>
  <c r="E443" i="26"/>
  <c r="E466" i="26"/>
  <c r="N469" i="26"/>
  <c r="Q447" i="26"/>
  <c r="R447" i="26" s="1"/>
  <c r="Q451" i="26"/>
  <c r="R451" i="26" s="1"/>
  <c r="Q455" i="26"/>
  <c r="R455" i="26" s="1"/>
  <c r="Q459" i="26"/>
  <c r="R459" i="26" s="1"/>
  <c r="Q463" i="26"/>
  <c r="R463" i="26" s="1"/>
  <c r="E467" i="26"/>
  <c r="E471" i="26"/>
  <c r="E475" i="26"/>
  <c r="Q474" i="26"/>
  <c r="R474" i="26" s="1"/>
  <c r="U437" i="26" l="1"/>
  <c r="U469" i="26"/>
  <c r="T441" i="26"/>
  <c r="T439" i="26"/>
  <c r="T457" i="26"/>
  <c r="T473" i="26"/>
  <c r="T475" i="26"/>
  <c r="U467" i="26"/>
  <c r="T436" i="26"/>
  <c r="U432" i="26"/>
  <c r="U440" i="26"/>
  <c r="T435" i="26"/>
  <c r="T433" i="26"/>
  <c r="T465" i="26"/>
  <c r="T471" i="26"/>
  <c r="T449" i="26"/>
  <c r="T452" i="26"/>
  <c r="H467" i="26"/>
  <c r="I467" i="26" s="1"/>
  <c r="L467" i="26" s="1"/>
  <c r="U476" i="26"/>
  <c r="T460" i="26"/>
  <c r="T456" i="26"/>
  <c r="T448" i="26"/>
  <c r="U468" i="26"/>
  <c r="T453" i="26"/>
  <c r="T464" i="26"/>
  <c r="U445" i="26"/>
  <c r="T461" i="26"/>
  <c r="T472" i="26"/>
  <c r="U472" i="26"/>
  <c r="U444" i="26"/>
  <c r="T444" i="26"/>
  <c r="U470" i="26"/>
  <c r="T470" i="26"/>
  <c r="U474" i="26"/>
  <c r="T474" i="26"/>
  <c r="U455" i="26"/>
  <c r="T455" i="26"/>
  <c r="U462" i="26"/>
  <c r="T462" i="26"/>
  <c r="U454" i="26"/>
  <c r="T454" i="26"/>
  <c r="U446" i="26"/>
  <c r="T446" i="26"/>
  <c r="U463" i="26"/>
  <c r="T463" i="26"/>
  <c r="T438" i="26"/>
  <c r="U438" i="26"/>
  <c r="U451" i="26"/>
  <c r="T451" i="26"/>
  <c r="U434" i="26"/>
  <c r="T434" i="26"/>
  <c r="U442" i="26"/>
  <c r="T442" i="26"/>
  <c r="U447" i="26"/>
  <c r="T447" i="26"/>
  <c r="U443" i="26"/>
  <c r="T443" i="26"/>
  <c r="U458" i="26"/>
  <c r="T458" i="26"/>
  <c r="U450" i="26"/>
  <c r="T450" i="26"/>
  <c r="U459" i="26"/>
  <c r="T459" i="26"/>
  <c r="U466" i="26"/>
  <c r="T466" i="26"/>
  <c r="K6" i="27" l="1"/>
  <c r="K3" i="27"/>
  <c r="K5" i="27" s="1"/>
  <c r="P423" i="26" l="1"/>
  <c r="S423" i="26" s="1"/>
  <c r="O423" i="26"/>
  <c r="K423" i="26"/>
  <c r="J423" i="26"/>
  <c r="H423" i="26"/>
  <c r="G423" i="26"/>
  <c r="F423" i="26"/>
  <c r="P422" i="26"/>
  <c r="S422" i="26" s="1"/>
  <c r="O422" i="26"/>
  <c r="K422" i="26"/>
  <c r="J422" i="26"/>
  <c r="H422" i="26"/>
  <c r="G422" i="26"/>
  <c r="F422" i="26"/>
  <c r="P421" i="26"/>
  <c r="S421" i="26" s="1"/>
  <c r="O421" i="26"/>
  <c r="K421" i="26"/>
  <c r="J421" i="26"/>
  <c r="H421" i="26"/>
  <c r="G421" i="26"/>
  <c r="F421" i="26"/>
  <c r="P420" i="26"/>
  <c r="S420" i="26" s="1"/>
  <c r="O420" i="26"/>
  <c r="K420" i="26"/>
  <c r="J420" i="26"/>
  <c r="H420" i="26"/>
  <c r="G420" i="26"/>
  <c r="F420" i="26"/>
  <c r="P419" i="26"/>
  <c r="S419" i="26" s="1"/>
  <c r="O419" i="26"/>
  <c r="K419" i="26"/>
  <c r="J419" i="26"/>
  <c r="H419" i="26"/>
  <c r="G419" i="26"/>
  <c r="F419" i="26"/>
  <c r="P418" i="26"/>
  <c r="S418" i="26" s="1"/>
  <c r="O418" i="26"/>
  <c r="K418" i="26"/>
  <c r="J418" i="26"/>
  <c r="H418" i="26"/>
  <c r="G418" i="26"/>
  <c r="F418" i="26"/>
  <c r="P417" i="26"/>
  <c r="S417" i="26" s="1"/>
  <c r="O417" i="26"/>
  <c r="K417" i="26"/>
  <c r="J417" i="26"/>
  <c r="H417" i="26"/>
  <c r="G417" i="26"/>
  <c r="F417" i="26"/>
  <c r="P416" i="26"/>
  <c r="S416" i="26" s="1"/>
  <c r="O416" i="26"/>
  <c r="K416" i="26"/>
  <c r="J416" i="26"/>
  <c r="H416" i="26"/>
  <c r="G416" i="26"/>
  <c r="F416" i="26"/>
  <c r="P415" i="26"/>
  <c r="S415" i="26" s="1"/>
  <c r="O415" i="26"/>
  <c r="K415" i="26"/>
  <c r="J415" i="26"/>
  <c r="H415" i="26"/>
  <c r="G415" i="26"/>
  <c r="F415" i="26"/>
  <c r="P414" i="26"/>
  <c r="S414" i="26" s="1"/>
  <c r="O414" i="26"/>
  <c r="K414" i="26"/>
  <c r="J414" i="26"/>
  <c r="H414" i="26"/>
  <c r="G414" i="26"/>
  <c r="F414" i="26"/>
  <c r="P413" i="26"/>
  <c r="S413" i="26" s="1"/>
  <c r="O413" i="26"/>
  <c r="K413" i="26"/>
  <c r="J413" i="26"/>
  <c r="H413" i="26"/>
  <c r="G413" i="26"/>
  <c r="F413" i="26"/>
  <c r="P412" i="26"/>
  <c r="S412" i="26" s="1"/>
  <c r="O412" i="26"/>
  <c r="K412" i="26"/>
  <c r="J412" i="26"/>
  <c r="H412" i="26"/>
  <c r="G412" i="26"/>
  <c r="F412" i="26"/>
  <c r="P411" i="26"/>
  <c r="S411" i="26" s="1"/>
  <c r="O411" i="26"/>
  <c r="K411" i="26"/>
  <c r="J411" i="26"/>
  <c r="H411" i="26"/>
  <c r="G411" i="26"/>
  <c r="F411" i="26"/>
  <c r="P410" i="26"/>
  <c r="S410" i="26" s="1"/>
  <c r="O410" i="26"/>
  <c r="K410" i="26"/>
  <c r="J410" i="26"/>
  <c r="H410" i="26"/>
  <c r="G410" i="26"/>
  <c r="F410" i="26"/>
  <c r="P409" i="26"/>
  <c r="S409" i="26" s="1"/>
  <c r="O409" i="26"/>
  <c r="K409" i="26"/>
  <c r="J409" i="26"/>
  <c r="H409" i="26"/>
  <c r="G409" i="26"/>
  <c r="F409" i="26"/>
  <c r="P408" i="26"/>
  <c r="S408" i="26" s="1"/>
  <c r="O408" i="26"/>
  <c r="K408" i="26"/>
  <c r="J408" i="26"/>
  <c r="H408" i="26"/>
  <c r="G408" i="26"/>
  <c r="F408" i="26"/>
  <c r="P407" i="26"/>
  <c r="S407" i="26" s="1"/>
  <c r="O407" i="26"/>
  <c r="K407" i="26"/>
  <c r="J407" i="26"/>
  <c r="H407" i="26"/>
  <c r="G407" i="26"/>
  <c r="F407" i="26"/>
  <c r="P406" i="26"/>
  <c r="S406" i="26" s="1"/>
  <c r="O406" i="26"/>
  <c r="K406" i="26"/>
  <c r="J406" i="26"/>
  <c r="H406" i="26"/>
  <c r="G406" i="26"/>
  <c r="F406" i="26"/>
  <c r="P405" i="26"/>
  <c r="S405" i="26" s="1"/>
  <c r="O405" i="26"/>
  <c r="K405" i="26"/>
  <c r="J405" i="26"/>
  <c r="H405" i="26"/>
  <c r="G405" i="26"/>
  <c r="F405" i="26"/>
  <c r="P404" i="26"/>
  <c r="S404" i="26" s="1"/>
  <c r="O404" i="26"/>
  <c r="K404" i="26"/>
  <c r="J404" i="26"/>
  <c r="H404" i="26"/>
  <c r="G404" i="26"/>
  <c r="F404" i="26"/>
  <c r="P403" i="26"/>
  <c r="S403" i="26" s="1"/>
  <c r="O403" i="26"/>
  <c r="K403" i="26"/>
  <c r="J403" i="26"/>
  <c r="H403" i="26"/>
  <c r="G403" i="26"/>
  <c r="F403" i="26"/>
  <c r="P402" i="26"/>
  <c r="S402" i="26" s="1"/>
  <c r="O402" i="26"/>
  <c r="K402" i="26"/>
  <c r="J402" i="26"/>
  <c r="H402" i="26"/>
  <c r="G402" i="26"/>
  <c r="F402" i="26"/>
  <c r="P401" i="26"/>
  <c r="S401" i="26" s="1"/>
  <c r="O401" i="26"/>
  <c r="K401" i="26"/>
  <c r="J401" i="26"/>
  <c r="H401" i="26"/>
  <c r="G401" i="26"/>
  <c r="F401" i="26"/>
  <c r="P400" i="26"/>
  <c r="S400" i="26" s="1"/>
  <c r="O400" i="26"/>
  <c r="K400" i="26"/>
  <c r="J400" i="26"/>
  <c r="H400" i="26"/>
  <c r="G400" i="26"/>
  <c r="F400" i="26"/>
  <c r="P399" i="26"/>
  <c r="S399" i="26" s="1"/>
  <c r="O399" i="26"/>
  <c r="K399" i="26"/>
  <c r="J399" i="26"/>
  <c r="H399" i="26"/>
  <c r="G399" i="26"/>
  <c r="F399" i="26"/>
  <c r="P398" i="26"/>
  <c r="S398" i="26" s="1"/>
  <c r="O398" i="26"/>
  <c r="K398" i="26"/>
  <c r="J398" i="26"/>
  <c r="H398" i="26"/>
  <c r="G398" i="26"/>
  <c r="F398" i="26"/>
  <c r="P397" i="26"/>
  <c r="S397" i="26" s="1"/>
  <c r="O397" i="26"/>
  <c r="K397" i="26"/>
  <c r="J397" i="26"/>
  <c r="H397" i="26"/>
  <c r="G397" i="26"/>
  <c r="F397" i="26"/>
  <c r="P396" i="26"/>
  <c r="S396" i="26" s="1"/>
  <c r="O396" i="26"/>
  <c r="K396" i="26"/>
  <c r="J396" i="26"/>
  <c r="H396" i="26"/>
  <c r="G396" i="26"/>
  <c r="F396" i="26"/>
  <c r="P395" i="26"/>
  <c r="S395" i="26" s="1"/>
  <c r="O395" i="26"/>
  <c r="K395" i="26"/>
  <c r="J395" i="26"/>
  <c r="H395" i="26"/>
  <c r="G395" i="26"/>
  <c r="F395" i="26"/>
  <c r="P394" i="26"/>
  <c r="S394" i="26" s="1"/>
  <c r="O394" i="26"/>
  <c r="K394" i="26"/>
  <c r="J394" i="26"/>
  <c r="H394" i="26"/>
  <c r="G394" i="26"/>
  <c r="F394" i="26"/>
  <c r="P393" i="26"/>
  <c r="S393" i="26" s="1"/>
  <c r="O393" i="26"/>
  <c r="K393" i="26"/>
  <c r="J393" i="26"/>
  <c r="H393" i="26"/>
  <c r="G393" i="26"/>
  <c r="F393" i="26"/>
  <c r="P392" i="26"/>
  <c r="S392" i="26" s="1"/>
  <c r="O392" i="26"/>
  <c r="K392" i="26"/>
  <c r="J392" i="26"/>
  <c r="H392" i="26"/>
  <c r="G392" i="26"/>
  <c r="F392" i="26"/>
  <c r="P391" i="26"/>
  <c r="S391" i="26" s="1"/>
  <c r="O391" i="26"/>
  <c r="K391" i="26"/>
  <c r="J391" i="26"/>
  <c r="H391" i="26"/>
  <c r="G391" i="26"/>
  <c r="F391" i="26"/>
  <c r="P390" i="26"/>
  <c r="S390" i="26" s="1"/>
  <c r="O390" i="26"/>
  <c r="K390" i="26"/>
  <c r="J390" i="26"/>
  <c r="H390" i="26"/>
  <c r="G390" i="26"/>
  <c r="F390" i="26"/>
  <c r="P389" i="26"/>
  <c r="S389" i="26" s="1"/>
  <c r="O389" i="26"/>
  <c r="K389" i="26"/>
  <c r="J389" i="26"/>
  <c r="H389" i="26"/>
  <c r="G389" i="26"/>
  <c r="F389" i="26"/>
  <c r="P388" i="26"/>
  <c r="S388" i="26" s="1"/>
  <c r="O388" i="26"/>
  <c r="K388" i="26"/>
  <c r="J388" i="26"/>
  <c r="H388" i="26"/>
  <c r="G388" i="26"/>
  <c r="F388" i="26"/>
  <c r="P387" i="26"/>
  <c r="S387" i="26" s="1"/>
  <c r="O387" i="26"/>
  <c r="K387" i="26"/>
  <c r="J387" i="26"/>
  <c r="H387" i="26"/>
  <c r="G387" i="26"/>
  <c r="F387" i="26"/>
  <c r="P386" i="26"/>
  <c r="S386" i="26" s="1"/>
  <c r="O386" i="26"/>
  <c r="K386" i="26"/>
  <c r="J386" i="26"/>
  <c r="H386" i="26"/>
  <c r="G386" i="26"/>
  <c r="F386" i="26"/>
  <c r="P385" i="26"/>
  <c r="S385" i="26" s="1"/>
  <c r="O385" i="26"/>
  <c r="K385" i="26"/>
  <c r="J385" i="26"/>
  <c r="H385" i="26"/>
  <c r="G385" i="26"/>
  <c r="F385" i="26"/>
  <c r="P384" i="26"/>
  <c r="S384" i="26" s="1"/>
  <c r="O384" i="26"/>
  <c r="K384" i="26"/>
  <c r="J384" i="26"/>
  <c r="H384" i="26"/>
  <c r="G384" i="26"/>
  <c r="F384" i="26"/>
  <c r="P383" i="26"/>
  <c r="S383" i="26" s="1"/>
  <c r="O383" i="26"/>
  <c r="K383" i="26"/>
  <c r="J383" i="26"/>
  <c r="H383" i="26"/>
  <c r="G383" i="26"/>
  <c r="F383" i="26"/>
  <c r="P382" i="26"/>
  <c r="S382" i="26" s="1"/>
  <c r="O382" i="26"/>
  <c r="K382" i="26"/>
  <c r="J382" i="26"/>
  <c r="H382" i="26"/>
  <c r="G382" i="26"/>
  <c r="F382" i="26"/>
  <c r="P381" i="26"/>
  <c r="S381" i="26" s="1"/>
  <c r="O381" i="26"/>
  <c r="K381" i="26"/>
  <c r="J381" i="26"/>
  <c r="H381" i="26"/>
  <c r="G381" i="26"/>
  <c r="F381" i="26"/>
  <c r="P380" i="26"/>
  <c r="S380" i="26" s="1"/>
  <c r="O380" i="26"/>
  <c r="K380" i="26"/>
  <c r="J380" i="26"/>
  <c r="H380" i="26"/>
  <c r="G380" i="26"/>
  <c r="F380" i="26"/>
  <c r="P379" i="26"/>
  <c r="S379" i="26" s="1"/>
  <c r="O379" i="26"/>
  <c r="K379" i="26"/>
  <c r="J379" i="26"/>
  <c r="H379" i="26"/>
  <c r="G379" i="26"/>
  <c r="F379" i="26"/>
  <c r="Q400" i="26" l="1"/>
  <c r="R400" i="26" s="1"/>
  <c r="U400" i="26" s="1"/>
  <c r="Q416" i="26"/>
  <c r="R416" i="26" s="1"/>
  <c r="U416" i="26" s="1"/>
  <c r="M380" i="26"/>
  <c r="M384" i="26"/>
  <c r="M388" i="26"/>
  <c r="M418" i="26"/>
  <c r="M422" i="26"/>
  <c r="M414" i="26"/>
  <c r="M382" i="26"/>
  <c r="M386" i="26"/>
  <c r="M390" i="26"/>
  <c r="M394" i="26"/>
  <c r="M398" i="26"/>
  <c r="M402" i="26"/>
  <c r="M406" i="26"/>
  <c r="M410" i="26"/>
  <c r="M381" i="26"/>
  <c r="M379" i="26"/>
  <c r="M383" i="26"/>
  <c r="M387" i="26"/>
  <c r="M391" i="26"/>
  <c r="M395" i="26"/>
  <c r="M399" i="26"/>
  <c r="M403" i="26"/>
  <c r="M407" i="26"/>
  <c r="M411" i="26"/>
  <c r="M415" i="26"/>
  <c r="M419" i="26"/>
  <c r="M423" i="26"/>
  <c r="Q404" i="26"/>
  <c r="R404" i="26" s="1"/>
  <c r="U404" i="26" s="1"/>
  <c r="Q412" i="26"/>
  <c r="R412" i="26" s="1"/>
  <c r="T412" i="26" s="1"/>
  <c r="Q406" i="26"/>
  <c r="R406" i="26" s="1"/>
  <c r="U406" i="26" s="1"/>
  <c r="Q422" i="26"/>
  <c r="R422" i="26" s="1"/>
  <c r="T422" i="26" s="1"/>
  <c r="Q410" i="26"/>
  <c r="R410" i="26" s="1"/>
  <c r="U410" i="26" s="1"/>
  <c r="Q408" i="26"/>
  <c r="R408" i="26" s="1"/>
  <c r="U408" i="26" s="1"/>
  <c r="Q388" i="26"/>
  <c r="R388" i="26" s="1"/>
  <c r="U388" i="26" s="1"/>
  <c r="Q392" i="26"/>
  <c r="R392" i="26" s="1"/>
  <c r="U392" i="26" s="1"/>
  <c r="Q396" i="26"/>
  <c r="R396" i="26" s="1"/>
  <c r="U396" i="26" s="1"/>
  <c r="Q420" i="26"/>
  <c r="R420" i="26" s="1"/>
  <c r="U420" i="26" s="1"/>
  <c r="Q414" i="26"/>
  <c r="R414" i="26" s="1"/>
  <c r="U414" i="26" s="1"/>
  <c r="Q418" i="26"/>
  <c r="R418" i="26" s="1"/>
  <c r="T418" i="26" s="1"/>
  <c r="Q390" i="26"/>
  <c r="R390" i="26" s="1"/>
  <c r="U390" i="26" s="1"/>
  <c r="Q394" i="26"/>
  <c r="R394" i="26" s="1"/>
  <c r="U394" i="26" s="1"/>
  <c r="Q398" i="26"/>
  <c r="R398" i="26" s="1"/>
  <c r="U398" i="26" s="1"/>
  <c r="N406" i="26"/>
  <c r="I407" i="26"/>
  <c r="L407" i="26" s="1"/>
  <c r="E412" i="26"/>
  <c r="I387" i="26"/>
  <c r="L387" i="26" s="1"/>
  <c r="E390" i="26"/>
  <c r="E396" i="26"/>
  <c r="E395" i="26"/>
  <c r="E401" i="26"/>
  <c r="I395" i="26"/>
  <c r="L395" i="26" s="1"/>
  <c r="N384" i="26"/>
  <c r="N389" i="26"/>
  <c r="E399" i="26"/>
  <c r="I383" i="26"/>
  <c r="L383" i="26" s="1"/>
  <c r="N388" i="26"/>
  <c r="E391" i="26"/>
  <c r="E394" i="26"/>
  <c r="E404" i="26"/>
  <c r="E411" i="26"/>
  <c r="E415" i="26"/>
  <c r="N422" i="26"/>
  <c r="I391" i="26"/>
  <c r="L391" i="26" s="1"/>
  <c r="I411" i="26"/>
  <c r="L411" i="26" s="1"/>
  <c r="I415" i="26"/>
  <c r="L415" i="26" s="1"/>
  <c r="I418" i="26"/>
  <c r="L418" i="26" s="1"/>
  <c r="E397" i="26"/>
  <c r="I398" i="26"/>
  <c r="L398" i="26" s="1"/>
  <c r="I402" i="26"/>
  <c r="L402" i="26" s="1"/>
  <c r="E403" i="26"/>
  <c r="I405" i="26"/>
  <c r="L405" i="26" s="1"/>
  <c r="E407" i="26"/>
  <c r="I409" i="26"/>
  <c r="L409" i="26" s="1"/>
  <c r="I412" i="26"/>
  <c r="L412" i="26" s="1"/>
  <c r="N414" i="26"/>
  <c r="I419" i="26"/>
  <c r="L419" i="26" s="1"/>
  <c r="Q384" i="26"/>
  <c r="R384" i="26" s="1"/>
  <c r="T384" i="26" s="1"/>
  <c r="M400" i="26"/>
  <c r="N410" i="26"/>
  <c r="N381" i="26"/>
  <c r="I414" i="26"/>
  <c r="L414" i="26" s="1"/>
  <c r="Q386" i="26"/>
  <c r="R386" i="26" s="1"/>
  <c r="U386" i="26" s="1"/>
  <c r="E386" i="26"/>
  <c r="I393" i="26"/>
  <c r="L393" i="26" s="1"/>
  <c r="E398" i="26"/>
  <c r="I400" i="26"/>
  <c r="L400" i="26" s="1"/>
  <c r="I403" i="26"/>
  <c r="L403" i="26" s="1"/>
  <c r="E408" i="26"/>
  <c r="E413" i="26"/>
  <c r="E419" i="26"/>
  <c r="I421" i="26"/>
  <c r="L421" i="26" s="1"/>
  <c r="N402" i="26"/>
  <c r="M404" i="26"/>
  <c r="N409" i="26"/>
  <c r="M416" i="26"/>
  <c r="I417" i="26"/>
  <c r="L417" i="26" s="1"/>
  <c r="E420" i="26"/>
  <c r="M420" i="26"/>
  <c r="I423" i="26"/>
  <c r="L423" i="26" s="1"/>
  <c r="N382" i="26"/>
  <c r="M397" i="26"/>
  <c r="N399" i="26"/>
  <c r="M413" i="26"/>
  <c r="N380" i="26"/>
  <c r="E383" i="26"/>
  <c r="E385" i="26"/>
  <c r="E387" i="26"/>
  <c r="I399" i="26"/>
  <c r="L399" i="26" s="1"/>
  <c r="N403" i="26"/>
  <c r="I404" i="26"/>
  <c r="L404" i="26" s="1"/>
  <c r="E405" i="26"/>
  <c r="I406" i="26"/>
  <c r="L406" i="26" s="1"/>
  <c r="N415" i="26"/>
  <c r="I416" i="26"/>
  <c r="L416" i="26" s="1"/>
  <c r="N419" i="26"/>
  <c r="E423" i="26"/>
  <c r="E381" i="26"/>
  <c r="I382" i="26"/>
  <c r="L382" i="26" s="1"/>
  <c r="N385" i="26"/>
  <c r="Q403" i="26"/>
  <c r="R403" i="26" s="1"/>
  <c r="U403" i="26" s="1"/>
  <c r="Q419" i="26"/>
  <c r="R419" i="26" s="1"/>
  <c r="T419" i="26" s="1"/>
  <c r="Q380" i="26"/>
  <c r="R380" i="26" s="1"/>
  <c r="U380" i="26" s="1"/>
  <c r="N397" i="26"/>
  <c r="M401" i="26"/>
  <c r="N407" i="26"/>
  <c r="Q407" i="26"/>
  <c r="R407" i="26" s="1"/>
  <c r="U407" i="26" s="1"/>
  <c r="M408" i="26"/>
  <c r="N413" i="26"/>
  <c r="N417" i="26"/>
  <c r="M417" i="26"/>
  <c r="N423" i="26"/>
  <c r="Q423" i="26"/>
  <c r="R423" i="26" s="1"/>
  <c r="T423" i="26" s="1"/>
  <c r="N379" i="26"/>
  <c r="E380" i="26"/>
  <c r="E382" i="26"/>
  <c r="Q382" i="26"/>
  <c r="R382" i="26" s="1"/>
  <c r="U382" i="26" s="1"/>
  <c r="N383" i="26"/>
  <c r="Q383" i="26"/>
  <c r="R383" i="26" s="1"/>
  <c r="U383" i="26" s="1"/>
  <c r="I385" i="26"/>
  <c r="L385" i="26" s="1"/>
  <c r="N386" i="26"/>
  <c r="N387" i="26"/>
  <c r="Q387" i="26"/>
  <c r="R387" i="26" s="1"/>
  <c r="T387" i="26" s="1"/>
  <c r="I389" i="26"/>
  <c r="L389" i="26" s="1"/>
  <c r="N390" i="26"/>
  <c r="N391" i="26"/>
  <c r="Q391" i="26"/>
  <c r="R391" i="26" s="1"/>
  <c r="U391" i="26" s="1"/>
  <c r="N394" i="26"/>
  <c r="N395" i="26"/>
  <c r="Q395" i="26"/>
  <c r="R395" i="26" s="1"/>
  <c r="T395" i="26" s="1"/>
  <c r="I397" i="26"/>
  <c r="L397" i="26" s="1"/>
  <c r="N401" i="26"/>
  <c r="M405" i="26"/>
  <c r="N411" i="26"/>
  <c r="Q411" i="26"/>
  <c r="R411" i="26" s="1"/>
  <c r="T411" i="26" s="1"/>
  <c r="M412" i="26"/>
  <c r="I413" i="26"/>
  <c r="L413" i="26" s="1"/>
  <c r="I420" i="26"/>
  <c r="L420" i="26" s="1"/>
  <c r="N421" i="26"/>
  <c r="M421" i="26"/>
  <c r="I422" i="26"/>
  <c r="L422" i="26" s="1"/>
  <c r="M385" i="26"/>
  <c r="I386" i="26"/>
  <c r="L386" i="26" s="1"/>
  <c r="E389" i="26"/>
  <c r="M389" i="26"/>
  <c r="I390" i="26"/>
  <c r="L390" i="26" s="1"/>
  <c r="I394" i="26"/>
  <c r="L394" i="26" s="1"/>
  <c r="N398" i="26"/>
  <c r="Q399" i="26"/>
  <c r="R399" i="26" s="1"/>
  <c r="T399" i="26" s="1"/>
  <c r="E400" i="26"/>
  <c r="I401" i="26"/>
  <c r="L401" i="26" s="1"/>
  <c r="E402" i="26"/>
  <c r="Q402" i="26"/>
  <c r="R402" i="26" s="1"/>
  <c r="U402" i="26" s="1"/>
  <c r="N405" i="26"/>
  <c r="I408" i="26"/>
  <c r="L408" i="26" s="1"/>
  <c r="M409" i="26"/>
  <c r="I410" i="26"/>
  <c r="L410" i="26" s="1"/>
  <c r="Q415" i="26"/>
  <c r="R415" i="26" s="1"/>
  <c r="T415" i="26" s="1"/>
  <c r="E416" i="26"/>
  <c r="N418" i="26"/>
  <c r="I379" i="26"/>
  <c r="L379" i="26" s="1"/>
  <c r="E379" i="26"/>
  <c r="Q379" i="26"/>
  <c r="R379" i="26" s="1"/>
  <c r="T379" i="26" s="1"/>
  <c r="I392" i="26"/>
  <c r="L392" i="26" s="1"/>
  <c r="M396" i="26"/>
  <c r="I381" i="26"/>
  <c r="L381" i="26" s="1"/>
  <c r="Q381" i="26"/>
  <c r="R381" i="26" s="1"/>
  <c r="Q385" i="26"/>
  <c r="R385" i="26" s="1"/>
  <c r="Q389" i="26"/>
  <c r="R389" i="26" s="1"/>
  <c r="N396" i="26"/>
  <c r="I380" i="26"/>
  <c r="L380" i="26" s="1"/>
  <c r="E384" i="26"/>
  <c r="I384" i="26"/>
  <c r="L384" i="26" s="1"/>
  <c r="E388" i="26"/>
  <c r="I388" i="26"/>
  <c r="L388" i="26" s="1"/>
  <c r="E392" i="26"/>
  <c r="M392" i="26"/>
  <c r="E393" i="26"/>
  <c r="M393" i="26"/>
  <c r="I396" i="26"/>
  <c r="L396" i="26" s="1"/>
  <c r="N392" i="26"/>
  <c r="N393" i="26"/>
  <c r="Q393" i="26"/>
  <c r="R393" i="26" s="1"/>
  <c r="N400" i="26"/>
  <c r="N404" i="26"/>
  <c r="N408" i="26"/>
  <c r="N412" i="26"/>
  <c r="N416" i="26"/>
  <c r="N420" i="26"/>
  <c r="E406" i="26"/>
  <c r="E410" i="26"/>
  <c r="E414" i="26"/>
  <c r="E418" i="26"/>
  <c r="E422" i="26"/>
  <c r="Q397" i="26"/>
  <c r="R397" i="26" s="1"/>
  <c r="Q401" i="26"/>
  <c r="R401" i="26" s="1"/>
  <c r="Q405" i="26"/>
  <c r="R405" i="26" s="1"/>
  <c r="E409" i="26"/>
  <c r="Q409" i="26"/>
  <c r="R409" i="26" s="1"/>
  <c r="Q413" i="26"/>
  <c r="R413" i="26" s="1"/>
  <c r="E417" i="26"/>
  <c r="Q417" i="26"/>
  <c r="R417" i="26" s="1"/>
  <c r="E421" i="26"/>
  <c r="Q421" i="26"/>
  <c r="R421" i="26" s="1"/>
  <c r="T416" i="26" l="1"/>
  <c r="T400" i="26"/>
  <c r="T404" i="26"/>
  <c r="U412" i="26"/>
  <c r="T394" i="26"/>
  <c r="U422" i="26"/>
  <c r="T406" i="26"/>
  <c r="T420" i="26"/>
  <c r="T388" i="26"/>
  <c r="T408" i="26"/>
  <c r="T396" i="26"/>
  <c r="T410" i="26"/>
  <c r="T386" i="26"/>
  <c r="T390" i="26"/>
  <c r="T392" i="26"/>
  <c r="U418" i="26"/>
  <c r="T414" i="26"/>
  <c r="T398" i="26"/>
  <c r="U384" i="26"/>
  <c r="U411" i="26"/>
  <c r="T407" i="26"/>
  <c r="T382" i="26"/>
  <c r="T403" i="26"/>
  <c r="U399" i="26"/>
  <c r="T391" i="26"/>
  <c r="U415" i="26"/>
  <c r="U387" i="26"/>
  <c r="T383" i="26"/>
  <c r="U395" i="26"/>
  <c r="U419" i="26"/>
  <c r="T380" i="26"/>
  <c r="T402" i="26"/>
  <c r="U423" i="26"/>
  <c r="U379" i="26"/>
  <c r="U413" i="26"/>
  <c r="T413" i="26"/>
  <c r="U405" i="26"/>
  <c r="T405" i="26"/>
  <c r="U397" i="26"/>
  <c r="T397" i="26"/>
  <c r="U409" i="26"/>
  <c r="T409" i="26"/>
  <c r="U389" i="26"/>
  <c r="T389" i="26"/>
  <c r="U417" i="26"/>
  <c r="T417" i="26"/>
  <c r="U421" i="26"/>
  <c r="T421" i="26"/>
  <c r="U401" i="26"/>
  <c r="T401" i="26"/>
  <c r="U385" i="26"/>
  <c r="T385" i="26"/>
  <c r="U393" i="26"/>
  <c r="T393" i="26"/>
  <c r="U381" i="26"/>
  <c r="T381" i="26"/>
  <c r="H326" i="26" l="1"/>
  <c r="P370" i="26"/>
  <c r="S370" i="26" s="1"/>
  <c r="O370" i="26"/>
  <c r="K370" i="26"/>
  <c r="J370" i="26"/>
  <c r="H370" i="26"/>
  <c r="G370" i="26"/>
  <c r="F370" i="26"/>
  <c r="P369" i="26"/>
  <c r="S369" i="26" s="1"/>
  <c r="O369" i="26"/>
  <c r="K369" i="26"/>
  <c r="J369" i="26"/>
  <c r="H369" i="26"/>
  <c r="G369" i="26"/>
  <c r="F369" i="26"/>
  <c r="P368" i="26"/>
  <c r="S368" i="26" s="1"/>
  <c r="O368" i="26"/>
  <c r="K368" i="26"/>
  <c r="J368" i="26"/>
  <c r="H368" i="26"/>
  <c r="G368" i="26"/>
  <c r="F368" i="26"/>
  <c r="P367" i="26"/>
  <c r="S367" i="26" s="1"/>
  <c r="O367" i="26"/>
  <c r="K367" i="26"/>
  <c r="J367" i="26"/>
  <c r="H367" i="26"/>
  <c r="G367" i="26"/>
  <c r="F367" i="26"/>
  <c r="P366" i="26"/>
  <c r="S366" i="26" s="1"/>
  <c r="O366" i="26"/>
  <c r="K366" i="26"/>
  <c r="J366" i="26"/>
  <c r="H366" i="26"/>
  <c r="G366" i="26"/>
  <c r="F366" i="26"/>
  <c r="P365" i="26"/>
  <c r="S365" i="26" s="1"/>
  <c r="O365" i="26"/>
  <c r="K365" i="26"/>
  <c r="J365" i="26"/>
  <c r="H365" i="26"/>
  <c r="G365" i="26"/>
  <c r="F365" i="26"/>
  <c r="P364" i="26"/>
  <c r="S364" i="26" s="1"/>
  <c r="O364" i="26"/>
  <c r="K364" i="26"/>
  <c r="J364" i="26"/>
  <c r="H364" i="26"/>
  <c r="G364" i="26"/>
  <c r="F364" i="26"/>
  <c r="P363" i="26"/>
  <c r="S363" i="26" s="1"/>
  <c r="O363" i="26"/>
  <c r="K363" i="26"/>
  <c r="J363" i="26"/>
  <c r="H363" i="26"/>
  <c r="G363" i="26"/>
  <c r="F363" i="26"/>
  <c r="P362" i="26"/>
  <c r="S362" i="26" s="1"/>
  <c r="O362" i="26"/>
  <c r="K362" i="26"/>
  <c r="J362" i="26"/>
  <c r="H362" i="26"/>
  <c r="G362" i="26"/>
  <c r="F362" i="26"/>
  <c r="P361" i="26"/>
  <c r="S361" i="26" s="1"/>
  <c r="O361" i="26"/>
  <c r="K361" i="26"/>
  <c r="J361" i="26"/>
  <c r="H361" i="26"/>
  <c r="G361" i="26"/>
  <c r="F361" i="26"/>
  <c r="P360" i="26"/>
  <c r="S360" i="26" s="1"/>
  <c r="O360" i="26"/>
  <c r="K360" i="26"/>
  <c r="J360" i="26"/>
  <c r="H360" i="26"/>
  <c r="G360" i="26"/>
  <c r="F360" i="26"/>
  <c r="P359" i="26"/>
  <c r="S359" i="26" s="1"/>
  <c r="O359" i="26"/>
  <c r="K359" i="26"/>
  <c r="J359" i="26"/>
  <c r="H359" i="26"/>
  <c r="G359" i="26"/>
  <c r="F359" i="26"/>
  <c r="P358" i="26"/>
  <c r="S358" i="26" s="1"/>
  <c r="O358" i="26"/>
  <c r="K358" i="26"/>
  <c r="J358" i="26"/>
  <c r="H358" i="26"/>
  <c r="G358" i="26"/>
  <c r="F358" i="26"/>
  <c r="P357" i="26"/>
  <c r="S357" i="26" s="1"/>
  <c r="O357" i="26"/>
  <c r="K357" i="26"/>
  <c r="J357" i="26"/>
  <c r="H357" i="26"/>
  <c r="G357" i="26"/>
  <c r="F357" i="26"/>
  <c r="P356" i="26"/>
  <c r="S356" i="26" s="1"/>
  <c r="O356" i="26"/>
  <c r="K356" i="26"/>
  <c r="J356" i="26"/>
  <c r="H356" i="26"/>
  <c r="G356" i="26"/>
  <c r="F356" i="26"/>
  <c r="P355" i="26"/>
  <c r="S355" i="26" s="1"/>
  <c r="O355" i="26"/>
  <c r="K355" i="26"/>
  <c r="J355" i="26"/>
  <c r="H355" i="26"/>
  <c r="G355" i="26"/>
  <c r="F355" i="26"/>
  <c r="P354" i="26"/>
  <c r="S354" i="26" s="1"/>
  <c r="O354" i="26"/>
  <c r="K354" i="26"/>
  <c r="J354" i="26"/>
  <c r="H354" i="26"/>
  <c r="G354" i="26"/>
  <c r="F354" i="26"/>
  <c r="P353" i="26"/>
  <c r="S353" i="26" s="1"/>
  <c r="O353" i="26"/>
  <c r="K353" i="26"/>
  <c r="J353" i="26"/>
  <c r="H353" i="26"/>
  <c r="G353" i="26"/>
  <c r="F353" i="26"/>
  <c r="P352" i="26"/>
  <c r="S352" i="26" s="1"/>
  <c r="O352" i="26"/>
  <c r="K352" i="26"/>
  <c r="J352" i="26"/>
  <c r="H352" i="26"/>
  <c r="G352" i="26"/>
  <c r="F352" i="26"/>
  <c r="P351" i="26"/>
  <c r="S351" i="26" s="1"/>
  <c r="O351" i="26"/>
  <c r="K351" i="26"/>
  <c r="J351" i="26"/>
  <c r="H351" i="26"/>
  <c r="G351" i="26"/>
  <c r="F351" i="26"/>
  <c r="P350" i="26"/>
  <c r="S350" i="26" s="1"/>
  <c r="O350" i="26"/>
  <c r="K350" i="26"/>
  <c r="J350" i="26"/>
  <c r="H350" i="26"/>
  <c r="G350" i="26"/>
  <c r="F350" i="26"/>
  <c r="P349" i="26"/>
  <c r="S349" i="26" s="1"/>
  <c r="O349" i="26"/>
  <c r="K349" i="26"/>
  <c r="J349" i="26"/>
  <c r="H349" i="26"/>
  <c r="G349" i="26"/>
  <c r="F349" i="26"/>
  <c r="P348" i="26"/>
  <c r="S348" i="26" s="1"/>
  <c r="O348" i="26"/>
  <c r="K348" i="26"/>
  <c r="J348" i="26"/>
  <c r="H348" i="26"/>
  <c r="G348" i="26"/>
  <c r="F348" i="26"/>
  <c r="P347" i="26"/>
  <c r="S347" i="26" s="1"/>
  <c r="O347" i="26"/>
  <c r="K347" i="26"/>
  <c r="J347" i="26"/>
  <c r="H347" i="26"/>
  <c r="G347" i="26"/>
  <c r="F347" i="26"/>
  <c r="P346" i="26"/>
  <c r="S346" i="26" s="1"/>
  <c r="O346" i="26"/>
  <c r="K346" i="26"/>
  <c r="J346" i="26"/>
  <c r="H346" i="26"/>
  <c r="G346" i="26"/>
  <c r="F346" i="26"/>
  <c r="P345" i="26"/>
  <c r="S345" i="26" s="1"/>
  <c r="O345" i="26"/>
  <c r="K345" i="26"/>
  <c r="J345" i="26"/>
  <c r="H345" i="26"/>
  <c r="G345" i="26"/>
  <c r="F345" i="26"/>
  <c r="P344" i="26"/>
  <c r="S344" i="26" s="1"/>
  <c r="O344" i="26"/>
  <c r="K344" i="26"/>
  <c r="J344" i="26"/>
  <c r="H344" i="26"/>
  <c r="G344" i="26"/>
  <c r="F344" i="26"/>
  <c r="P343" i="26"/>
  <c r="S343" i="26" s="1"/>
  <c r="O343" i="26"/>
  <c r="K343" i="26"/>
  <c r="J343" i="26"/>
  <c r="H343" i="26"/>
  <c r="G343" i="26"/>
  <c r="F343" i="26"/>
  <c r="P342" i="26"/>
  <c r="S342" i="26" s="1"/>
  <c r="O342" i="26"/>
  <c r="K342" i="26"/>
  <c r="J342" i="26"/>
  <c r="H342" i="26"/>
  <c r="G342" i="26"/>
  <c r="F342" i="26"/>
  <c r="P341" i="26"/>
  <c r="S341" i="26" s="1"/>
  <c r="O341" i="26"/>
  <c r="K341" i="26"/>
  <c r="J341" i="26"/>
  <c r="H341" i="26"/>
  <c r="G341" i="26"/>
  <c r="F341" i="26"/>
  <c r="P340" i="26"/>
  <c r="S340" i="26" s="1"/>
  <c r="O340" i="26"/>
  <c r="K340" i="26"/>
  <c r="J340" i="26"/>
  <c r="F340" i="26"/>
  <c r="P339" i="26"/>
  <c r="S339" i="26" s="1"/>
  <c r="O339" i="26"/>
  <c r="K339" i="26"/>
  <c r="J339" i="26"/>
  <c r="H339" i="26"/>
  <c r="G339" i="26"/>
  <c r="F339" i="26"/>
  <c r="P338" i="26"/>
  <c r="S338" i="26" s="1"/>
  <c r="O338" i="26"/>
  <c r="K338" i="26"/>
  <c r="J338" i="26"/>
  <c r="H338" i="26"/>
  <c r="G338" i="26"/>
  <c r="F338" i="26"/>
  <c r="P337" i="26"/>
  <c r="S337" i="26" s="1"/>
  <c r="O337" i="26"/>
  <c r="K337" i="26"/>
  <c r="J337" i="26"/>
  <c r="H337" i="26"/>
  <c r="G337" i="26"/>
  <c r="F337" i="26"/>
  <c r="P336" i="26"/>
  <c r="S336" i="26" s="1"/>
  <c r="O336" i="26"/>
  <c r="K336" i="26"/>
  <c r="J336" i="26"/>
  <c r="H336" i="26"/>
  <c r="G336" i="26"/>
  <c r="F336" i="26"/>
  <c r="P335" i="26"/>
  <c r="S335" i="26" s="1"/>
  <c r="O335" i="26"/>
  <c r="K335" i="26"/>
  <c r="J335" i="26"/>
  <c r="H335" i="26"/>
  <c r="G335" i="26"/>
  <c r="F335" i="26"/>
  <c r="P334" i="26"/>
  <c r="S334" i="26" s="1"/>
  <c r="O334" i="26"/>
  <c r="K334" i="26"/>
  <c r="J334" i="26"/>
  <c r="H334" i="26"/>
  <c r="G334" i="26"/>
  <c r="F334" i="26"/>
  <c r="P333" i="26"/>
  <c r="S333" i="26" s="1"/>
  <c r="O333" i="26"/>
  <c r="K333" i="26"/>
  <c r="J333" i="26"/>
  <c r="H333" i="26"/>
  <c r="G333" i="26"/>
  <c r="F333" i="26"/>
  <c r="P332" i="26"/>
  <c r="S332" i="26" s="1"/>
  <c r="O332" i="26"/>
  <c r="K332" i="26"/>
  <c r="J332" i="26"/>
  <c r="H332" i="26"/>
  <c r="G332" i="26"/>
  <c r="F332" i="26"/>
  <c r="P331" i="26"/>
  <c r="S331" i="26" s="1"/>
  <c r="O331" i="26"/>
  <c r="K331" i="26"/>
  <c r="J331" i="26"/>
  <c r="H331" i="26"/>
  <c r="G331" i="26"/>
  <c r="F331" i="26"/>
  <c r="P330" i="26"/>
  <c r="S330" i="26" s="1"/>
  <c r="O330" i="26"/>
  <c r="K330" i="26"/>
  <c r="J330" i="26"/>
  <c r="H330" i="26"/>
  <c r="G330" i="26"/>
  <c r="F330" i="26"/>
  <c r="P329" i="26"/>
  <c r="S329" i="26" s="1"/>
  <c r="O329" i="26"/>
  <c r="K329" i="26"/>
  <c r="J329" i="26"/>
  <c r="H329" i="26"/>
  <c r="G329" i="26"/>
  <c r="F329" i="26"/>
  <c r="P328" i="26"/>
  <c r="S328" i="26" s="1"/>
  <c r="O328" i="26"/>
  <c r="K328" i="26"/>
  <c r="J328" i="26"/>
  <c r="H328" i="26"/>
  <c r="G328" i="26"/>
  <c r="F328" i="26"/>
  <c r="P327" i="26"/>
  <c r="S327" i="26" s="1"/>
  <c r="O327" i="26"/>
  <c r="K327" i="26"/>
  <c r="J327" i="26"/>
  <c r="H327" i="26"/>
  <c r="G327" i="26"/>
  <c r="F327" i="26"/>
  <c r="P326" i="26"/>
  <c r="S326" i="26" s="1"/>
  <c r="O326" i="26"/>
  <c r="K326" i="26"/>
  <c r="J326" i="26"/>
  <c r="M330" i="26" l="1"/>
  <c r="M334" i="26"/>
  <c r="M338" i="26"/>
  <c r="M369" i="26"/>
  <c r="M327" i="26"/>
  <c r="M331" i="26"/>
  <c r="M335" i="26"/>
  <c r="M341" i="26"/>
  <c r="M345" i="26"/>
  <c r="M349" i="26"/>
  <c r="M353" i="26"/>
  <c r="M357" i="26"/>
  <c r="M361" i="26"/>
  <c r="M365" i="26"/>
  <c r="M328" i="26"/>
  <c r="M332" i="26"/>
  <c r="M336" i="26"/>
  <c r="M350" i="26"/>
  <c r="M354" i="26"/>
  <c r="M358" i="26"/>
  <c r="M362" i="26"/>
  <c r="M366" i="26"/>
  <c r="M370" i="26"/>
  <c r="Q353" i="26"/>
  <c r="R353" i="26" s="1"/>
  <c r="U353" i="26" s="1"/>
  <c r="Q350" i="26"/>
  <c r="R350" i="26" s="1"/>
  <c r="T350" i="26" s="1"/>
  <c r="Q331" i="26"/>
  <c r="R331" i="26" s="1"/>
  <c r="T331" i="26" s="1"/>
  <c r="Q341" i="26"/>
  <c r="R341" i="26" s="1"/>
  <c r="T341" i="26" s="1"/>
  <c r="Q357" i="26"/>
  <c r="R357" i="26" s="1"/>
  <c r="U357" i="26" s="1"/>
  <c r="Q369" i="26"/>
  <c r="R369" i="26" s="1"/>
  <c r="U369" i="26" s="1"/>
  <c r="Q363" i="26"/>
  <c r="R363" i="26" s="1"/>
  <c r="U363" i="26" s="1"/>
  <c r="Q358" i="26"/>
  <c r="R358" i="26" s="1"/>
  <c r="U358" i="26" s="1"/>
  <c r="Q347" i="26"/>
  <c r="R347" i="26" s="1"/>
  <c r="U347" i="26" s="1"/>
  <c r="Q333" i="26"/>
  <c r="R333" i="26" s="1"/>
  <c r="T333" i="26" s="1"/>
  <c r="Q342" i="26"/>
  <c r="R342" i="26" s="1"/>
  <c r="T342" i="26" s="1"/>
  <c r="Q351" i="26"/>
  <c r="R351" i="26" s="1"/>
  <c r="T351" i="26" s="1"/>
  <c r="Q359" i="26"/>
  <c r="R359" i="26" s="1"/>
  <c r="T359" i="26" s="1"/>
  <c r="Q362" i="26"/>
  <c r="R362" i="26" s="1"/>
  <c r="U362" i="26" s="1"/>
  <c r="Q346" i="26"/>
  <c r="R346" i="26" s="1"/>
  <c r="T346" i="26" s="1"/>
  <c r="Q355" i="26"/>
  <c r="R355" i="26" s="1"/>
  <c r="T355" i="26" s="1"/>
  <c r="Q366" i="26"/>
  <c r="R366" i="26" s="1"/>
  <c r="T366" i="26" s="1"/>
  <c r="Q337" i="26"/>
  <c r="R337" i="26" s="1"/>
  <c r="T337" i="26" s="1"/>
  <c r="Q367" i="26"/>
  <c r="R367" i="26" s="1"/>
  <c r="U367" i="26" s="1"/>
  <c r="I350" i="26"/>
  <c r="L350" i="26" s="1"/>
  <c r="N356" i="26"/>
  <c r="E336" i="26"/>
  <c r="E370" i="26"/>
  <c r="E327" i="26"/>
  <c r="Q335" i="26"/>
  <c r="R335" i="26" s="1"/>
  <c r="U335" i="26" s="1"/>
  <c r="Q365" i="26"/>
  <c r="R365" i="26" s="1"/>
  <c r="T365" i="26" s="1"/>
  <c r="N334" i="26"/>
  <c r="N337" i="26"/>
  <c r="M337" i="26"/>
  <c r="E345" i="26"/>
  <c r="I346" i="26"/>
  <c r="L346" i="26" s="1"/>
  <c r="N352" i="26"/>
  <c r="I334" i="26"/>
  <c r="L334" i="26" s="1"/>
  <c r="I336" i="26"/>
  <c r="L336" i="26" s="1"/>
  <c r="E338" i="26"/>
  <c r="E353" i="26"/>
  <c r="N364" i="26"/>
  <c r="N368" i="26"/>
  <c r="Q339" i="26"/>
  <c r="R339" i="26" s="1"/>
  <c r="U339" i="26" s="1"/>
  <c r="Q361" i="26"/>
  <c r="R361" i="26" s="1"/>
  <c r="U361" i="26" s="1"/>
  <c r="Q327" i="26"/>
  <c r="R327" i="26" s="1"/>
  <c r="U327" i="26" s="1"/>
  <c r="Q349" i="26"/>
  <c r="R349" i="26" s="1"/>
  <c r="T349" i="26" s="1"/>
  <c r="Q354" i="26"/>
  <c r="R354" i="26" s="1"/>
  <c r="T354" i="26" s="1"/>
  <c r="I328" i="26"/>
  <c r="L328" i="26" s="1"/>
  <c r="I330" i="26"/>
  <c r="L330" i="26" s="1"/>
  <c r="E331" i="26"/>
  <c r="E334" i="26"/>
  <c r="I335" i="26"/>
  <c r="L335" i="26" s="1"/>
  <c r="N345" i="26"/>
  <c r="E346" i="26"/>
  <c r="N360" i="26"/>
  <c r="I332" i="26"/>
  <c r="L332" i="26" s="1"/>
  <c r="I362" i="26"/>
  <c r="L362" i="26" s="1"/>
  <c r="I341" i="26"/>
  <c r="L341" i="26" s="1"/>
  <c r="N342" i="26"/>
  <c r="E347" i="26"/>
  <c r="I348" i="26"/>
  <c r="L348" i="26" s="1"/>
  <c r="N354" i="26"/>
  <c r="I357" i="26"/>
  <c r="L357" i="26" s="1"/>
  <c r="N358" i="26"/>
  <c r="I361" i="26"/>
  <c r="L361" i="26" s="1"/>
  <c r="N365" i="26"/>
  <c r="I366" i="26"/>
  <c r="L366" i="26" s="1"/>
  <c r="N369" i="26"/>
  <c r="N329" i="26"/>
  <c r="I327" i="26"/>
  <c r="L327" i="26" s="1"/>
  <c r="E328" i="26"/>
  <c r="N330" i="26"/>
  <c r="E332" i="26"/>
  <c r="E335" i="26"/>
  <c r="N336" i="26"/>
  <c r="I337" i="26"/>
  <c r="L337" i="26" s="1"/>
  <c r="E341" i="26"/>
  <c r="M346" i="26"/>
  <c r="I354" i="26"/>
  <c r="L354" i="26" s="1"/>
  <c r="N362" i="26"/>
  <c r="I370" i="26"/>
  <c r="L370" i="26" s="1"/>
  <c r="I331" i="26"/>
  <c r="L331" i="26" s="1"/>
  <c r="I338" i="26"/>
  <c r="L338" i="26" s="1"/>
  <c r="I353" i="26"/>
  <c r="L353" i="26" s="1"/>
  <c r="E357" i="26"/>
  <c r="I358" i="26"/>
  <c r="L358" i="26" s="1"/>
  <c r="E361" i="26"/>
  <c r="I365" i="26"/>
  <c r="L365" i="26" s="1"/>
  <c r="N366" i="26"/>
  <c r="I369" i="26"/>
  <c r="L369" i="26" s="1"/>
  <c r="Q330" i="26"/>
  <c r="R330" i="26" s="1"/>
  <c r="U330" i="26" s="1"/>
  <c r="N328" i="26"/>
  <c r="Q328" i="26"/>
  <c r="R328" i="26" s="1"/>
  <c r="U328" i="26" s="1"/>
  <c r="E329" i="26"/>
  <c r="M329" i="26"/>
  <c r="I333" i="26"/>
  <c r="L333" i="26" s="1"/>
  <c r="N338" i="26"/>
  <c r="Q338" i="26"/>
  <c r="R338" i="26" s="1"/>
  <c r="T338" i="26" s="1"/>
  <c r="I342" i="26"/>
  <c r="L342" i="26" s="1"/>
  <c r="E343" i="26"/>
  <c r="I344" i="26"/>
  <c r="L344" i="26" s="1"/>
  <c r="Q345" i="26"/>
  <c r="R345" i="26" s="1"/>
  <c r="U345" i="26" s="1"/>
  <c r="N346" i="26"/>
  <c r="I349" i="26"/>
  <c r="L349" i="26" s="1"/>
  <c r="M351" i="26"/>
  <c r="I352" i="26"/>
  <c r="L352" i="26" s="1"/>
  <c r="E354" i="26"/>
  <c r="I355" i="26"/>
  <c r="L355" i="26" s="1"/>
  <c r="E356" i="26"/>
  <c r="M356" i="26"/>
  <c r="N357" i="26"/>
  <c r="E359" i="26"/>
  <c r="M359" i="26"/>
  <c r="I360" i="26"/>
  <c r="L360" i="26" s="1"/>
  <c r="E362" i="26"/>
  <c r="I363" i="26"/>
  <c r="L363" i="26" s="1"/>
  <c r="M364" i="26"/>
  <c r="E367" i="26"/>
  <c r="M367" i="26"/>
  <c r="I368" i="26"/>
  <c r="L368" i="26" s="1"/>
  <c r="E369" i="26"/>
  <c r="E330" i="26"/>
  <c r="Q334" i="26"/>
  <c r="R334" i="26" s="1"/>
  <c r="U334" i="26" s="1"/>
  <c r="Q336" i="26"/>
  <c r="R336" i="26" s="1"/>
  <c r="U336" i="26" s="1"/>
  <c r="E349" i="26"/>
  <c r="E350" i="26"/>
  <c r="I329" i="26"/>
  <c r="L329" i="26" s="1"/>
  <c r="N332" i="26"/>
  <c r="Q332" i="26"/>
  <c r="R332" i="26" s="1"/>
  <c r="U332" i="26" s="1"/>
  <c r="N333" i="26"/>
  <c r="M333" i="26"/>
  <c r="M340" i="26"/>
  <c r="N341" i="26"/>
  <c r="I343" i="26"/>
  <c r="L343" i="26" s="1"/>
  <c r="E344" i="26"/>
  <c r="M344" i="26"/>
  <c r="I345" i="26"/>
  <c r="L345" i="26" s="1"/>
  <c r="N349" i="26"/>
  <c r="N350" i="26"/>
  <c r="I351" i="26"/>
  <c r="L351" i="26" s="1"/>
  <c r="E352" i="26"/>
  <c r="M352" i="26"/>
  <c r="N353" i="26"/>
  <c r="E355" i="26"/>
  <c r="M355" i="26"/>
  <c r="I356" i="26"/>
  <c r="L356" i="26" s="1"/>
  <c r="E358" i="26"/>
  <c r="I359" i="26"/>
  <c r="L359" i="26" s="1"/>
  <c r="E360" i="26"/>
  <c r="M360" i="26"/>
  <c r="N361" i="26"/>
  <c r="E363" i="26"/>
  <c r="M363" i="26"/>
  <c r="I364" i="26"/>
  <c r="L364" i="26" s="1"/>
  <c r="E365" i="26"/>
  <c r="E366" i="26"/>
  <c r="I367" i="26"/>
  <c r="L367" i="26" s="1"/>
  <c r="M368" i="26"/>
  <c r="N370" i="26"/>
  <c r="Q370" i="26"/>
  <c r="R370" i="26" s="1"/>
  <c r="U370" i="26" s="1"/>
  <c r="I326" i="26"/>
  <c r="L326" i="26" s="1"/>
  <c r="F326" i="26"/>
  <c r="G326" i="26"/>
  <c r="Q326" i="26" s="1"/>
  <c r="R326" i="26" s="1"/>
  <c r="M326" i="26"/>
  <c r="N327" i="26"/>
  <c r="N331" i="26"/>
  <c r="N335" i="26"/>
  <c r="N339" i="26"/>
  <c r="M343" i="26"/>
  <c r="N347" i="26"/>
  <c r="N348" i="26"/>
  <c r="Q348" i="26"/>
  <c r="R348" i="26" s="1"/>
  <c r="E348" i="26"/>
  <c r="Q329" i="26"/>
  <c r="R329" i="26" s="1"/>
  <c r="E333" i="26"/>
  <c r="E337" i="26"/>
  <c r="I339" i="26"/>
  <c r="L339" i="26" s="1"/>
  <c r="Q343" i="26"/>
  <c r="R343" i="26" s="1"/>
  <c r="N343" i="26"/>
  <c r="N344" i="26"/>
  <c r="Q344" i="26"/>
  <c r="R344" i="26" s="1"/>
  <c r="I347" i="26"/>
  <c r="L347" i="26" s="1"/>
  <c r="M342" i="26"/>
  <c r="E351" i="26"/>
  <c r="N351" i="26"/>
  <c r="E339" i="26"/>
  <c r="M339" i="26"/>
  <c r="E342" i="26"/>
  <c r="M347" i="26"/>
  <c r="M348" i="26"/>
  <c r="N355" i="26"/>
  <c r="N359" i="26"/>
  <c r="N363" i="26"/>
  <c r="N367" i="26"/>
  <c r="Q352" i="26"/>
  <c r="R352" i="26" s="1"/>
  <c r="Q356" i="26"/>
  <c r="R356" i="26" s="1"/>
  <c r="Q360" i="26"/>
  <c r="R360" i="26" s="1"/>
  <c r="E364" i="26"/>
  <c r="Q364" i="26"/>
  <c r="R364" i="26" s="1"/>
  <c r="E368" i="26"/>
  <c r="Q368" i="26"/>
  <c r="R368" i="26" s="1"/>
  <c r="T353" i="26" l="1"/>
  <c r="U350" i="26"/>
  <c r="T357" i="26"/>
  <c r="U331" i="26"/>
  <c r="T332" i="26"/>
  <c r="U341" i="26"/>
  <c r="T369" i="26"/>
  <c r="T363" i="26"/>
  <c r="T347" i="26"/>
  <c r="T358" i="26"/>
  <c r="T362" i="26"/>
  <c r="U333" i="26"/>
  <c r="U337" i="26"/>
  <c r="U342" i="26"/>
  <c r="U351" i="26"/>
  <c r="T367" i="26"/>
  <c r="U346" i="26"/>
  <c r="U355" i="26"/>
  <c r="T361" i="26"/>
  <c r="U359" i="26"/>
  <c r="U366" i="26"/>
  <c r="T330" i="26"/>
  <c r="T328" i="26"/>
  <c r="U354" i="26"/>
  <c r="E326" i="26"/>
  <c r="U365" i="26"/>
  <c r="T335" i="26"/>
  <c r="U349" i="26"/>
  <c r="T339" i="26"/>
  <c r="T370" i="26"/>
  <c r="T345" i="26"/>
  <c r="T334" i="26"/>
  <c r="T327" i="26"/>
  <c r="T336" i="26"/>
  <c r="U338" i="26"/>
  <c r="N326" i="26"/>
  <c r="U344" i="26"/>
  <c r="T344" i="26"/>
  <c r="U348" i="26"/>
  <c r="T348" i="26"/>
  <c r="T326" i="26"/>
  <c r="U326" i="26"/>
  <c r="U356" i="26"/>
  <c r="T356" i="26"/>
  <c r="U360" i="26"/>
  <c r="T360" i="26"/>
  <c r="U352" i="26"/>
  <c r="T352" i="26"/>
  <c r="U364" i="26"/>
  <c r="T364" i="26"/>
  <c r="U343" i="26"/>
  <c r="T343" i="26"/>
  <c r="U368" i="26"/>
  <c r="T368" i="26"/>
  <c r="U329" i="26"/>
  <c r="T329" i="26"/>
  <c r="G340" i="26" l="1"/>
  <c r="Q340" i="26" l="1"/>
  <c r="R340" i="26" s="1"/>
  <c r="E340" i="26"/>
  <c r="N340" i="26"/>
  <c r="H340" i="26" l="1"/>
  <c r="I340" i="26" s="1"/>
  <c r="L340" i="26" s="1"/>
  <c r="T340" i="26"/>
  <c r="U340" i="26"/>
  <c r="P264" i="26" l="1"/>
  <c r="S264" i="26" s="1"/>
  <c r="O264" i="26"/>
  <c r="K264" i="26"/>
  <c r="J264" i="26"/>
  <c r="H264" i="26"/>
  <c r="G264" i="26"/>
  <c r="F264" i="26"/>
  <c r="P263" i="26"/>
  <c r="S263" i="26" s="1"/>
  <c r="O263" i="26"/>
  <c r="K263" i="26"/>
  <c r="J263" i="26"/>
  <c r="H263" i="26"/>
  <c r="G263" i="26"/>
  <c r="F263" i="26"/>
  <c r="P262" i="26"/>
  <c r="S262" i="26" s="1"/>
  <c r="O262" i="26"/>
  <c r="K262" i="26"/>
  <c r="J262" i="26"/>
  <c r="H262" i="26"/>
  <c r="G262" i="26"/>
  <c r="F262" i="26"/>
  <c r="P261" i="26"/>
  <c r="S261" i="26" s="1"/>
  <c r="O261" i="26"/>
  <c r="K261" i="26"/>
  <c r="J261" i="26"/>
  <c r="H261" i="26"/>
  <c r="G261" i="26"/>
  <c r="F261" i="26"/>
  <c r="P260" i="26"/>
  <c r="S260" i="26" s="1"/>
  <c r="O260" i="26"/>
  <c r="K260" i="26"/>
  <c r="J260" i="26"/>
  <c r="H260" i="26"/>
  <c r="G260" i="26"/>
  <c r="F260" i="26"/>
  <c r="P259" i="26"/>
  <c r="S259" i="26" s="1"/>
  <c r="O259" i="26"/>
  <c r="K259" i="26"/>
  <c r="J259" i="26"/>
  <c r="H259" i="26"/>
  <c r="G259" i="26"/>
  <c r="F259" i="26"/>
  <c r="P258" i="26"/>
  <c r="S258" i="26" s="1"/>
  <c r="O258" i="26"/>
  <c r="K258" i="26"/>
  <c r="J258" i="26"/>
  <c r="H258" i="26"/>
  <c r="G258" i="26"/>
  <c r="F258" i="26"/>
  <c r="P257" i="26"/>
  <c r="S257" i="26" s="1"/>
  <c r="O257" i="26"/>
  <c r="K257" i="26"/>
  <c r="J257" i="26"/>
  <c r="H257" i="26"/>
  <c r="G257" i="26"/>
  <c r="F257" i="26"/>
  <c r="P256" i="26"/>
  <c r="S256" i="26" s="1"/>
  <c r="O256" i="26"/>
  <c r="K256" i="26"/>
  <c r="J256" i="26"/>
  <c r="H256" i="26"/>
  <c r="G256" i="26"/>
  <c r="F256" i="26"/>
  <c r="P255" i="26"/>
  <c r="S255" i="26" s="1"/>
  <c r="O255" i="26"/>
  <c r="K255" i="26"/>
  <c r="J255" i="26"/>
  <c r="H255" i="26"/>
  <c r="G255" i="26"/>
  <c r="F255" i="26"/>
  <c r="P254" i="26"/>
  <c r="S254" i="26" s="1"/>
  <c r="O254" i="26"/>
  <c r="K254" i="26"/>
  <c r="J254" i="26"/>
  <c r="H254" i="26"/>
  <c r="G254" i="26"/>
  <c r="F254" i="26"/>
  <c r="P253" i="26"/>
  <c r="S253" i="26" s="1"/>
  <c r="O253" i="26"/>
  <c r="K253" i="26"/>
  <c r="J253" i="26"/>
  <c r="H253" i="26"/>
  <c r="G253" i="26"/>
  <c r="F253" i="26"/>
  <c r="P252" i="26"/>
  <c r="S252" i="26" s="1"/>
  <c r="O252" i="26"/>
  <c r="K252" i="26"/>
  <c r="J252" i="26"/>
  <c r="H252" i="26"/>
  <c r="G252" i="26"/>
  <c r="F252" i="26"/>
  <c r="P251" i="26"/>
  <c r="S251" i="26" s="1"/>
  <c r="O251" i="26"/>
  <c r="K251" i="26"/>
  <c r="J251" i="26"/>
  <c r="H251" i="26"/>
  <c r="G251" i="26"/>
  <c r="F251" i="26"/>
  <c r="P250" i="26"/>
  <c r="S250" i="26" s="1"/>
  <c r="O250" i="26"/>
  <c r="K250" i="26"/>
  <c r="J250" i="26"/>
  <c r="H250" i="26"/>
  <c r="G250" i="26"/>
  <c r="F250" i="26"/>
  <c r="P249" i="26"/>
  <c r="S249" i="26" s="1"/>
  <c r="O249" i="26"/>
  <c r="K249" i="26"/>
  <c r="J249" i="26"/>
  <c r="H249" i="26"/>
  <c r="G249" i="26"/>
  <c r="F249" i="26"/>
  <c r="P248" i="26"/>
  <c r="S248" i="26" s="1"/>
  <c r="O248" i="26"/>
  <c r="K248" i="26"/>
  <c r="J248" i="26"/>
  <c r="H248" i="26"/>
  <c r="G248" i="26"/>
  <c r="F248" i="26"/>
  <c r="P247" i="26"/>
  <c r="S247" i="26" s="1"/>
  <c r="O247" i="26"/>
  <c r="K247" i="26"/>
  <c r="J247" i="26"/>
  <c r="H247" i="26"/>
  <c r="G247" i="26"/>
  <c r="F247" i="26"/>
  <c r="P246" i="26"/>
  <c r="S246" i="26" s="1"/>
  <c r="O246" i="26"/>
  <c r="K246" i="26"/>
  <c r="J246" i="26"/>
  <c r="H246" i="26"/>
  <c r="G246" i="26"/>
  <c r="F246" i="26"/>
  <c r="P245" i="26"/>
  <c r="S245" i="26" s="1"/>
  <c r="O245" i="26"/>
  <c r="K245" i="26"/>
  <c r="J245" i="26"/>
  <c r="G245" i="26"/>
  <c r="F245" i="26"/>
  <c r="P244" i="26"/>
  <c r="S244" i="26" s="1"/>
  <c r="O244" i="26"/>
  <c r="K244" i="26"/>
  <c r="J244" i="26"/>
  <c r="G244" i="26"/>
  <c r="F244" i="26"/>
  <c r="P243" i="26"/>
  <c r="S243" i="26" s="1"/>
  <c r="O243" i="26"/>
  <c r="K243" i="26"/>
  <c r="J243" i="26"/>
  <c r="H243" i="26"/>
  <c r="G243" i="26"/>
  <c r="F243" i="26"/>
  <c r="P242" i="26"/>
  <c r="S242" i="26" s="1"/>
  <c r="O242" i="26"/>
  <c r="K242" i="26"/>
  <c r="J242" i="26"/>
  <c r="H242" i="26"/>
  <c r="G242" i="26"/>
  <c r="F242" i="26"/>
  <c r="P241" i="26"/>
  <c r="S241" i="26" s="1"/>
  <c r="O241" i="26"/>
  <c r="K241" i="26"/>
  <c r="J241" i="26"/>
  <c r="H241" i="26"/>
  <c r="G241" i="26"/>
  <c r="F241" i="26"/>
  <c r="P240" i="26"/>
  <c r="S240" i="26" s="1"/>
  <c r="O240" i="26"/>
  <c r="K240" i="26"/>
  <c r="J240" i="26"/>
  <c r="H240" i="26"/>
  <c r="G240" i="26"/>
  <c r="F240" i="26"/>
  <c r="P239" i="26"/>
  <c r="S239" i="26" s="1"/>
  <c r="O239" i="26"/>
  <c r="K239" i="26"/>
  <c r="J239" i="26"/>
  <c r="H239" i="26"/>
  <c r="G239" i="26"/>
  <c r="F239" i="26"/>
  <c r="P238" i="26"/>
  <c r="S238" i="26" s="1"/>
  <c r="O238" i="26"/>
  <c r="K238" i="26"/>
  <c r="J238" i="26"/>
  <c r="H238" i="26"/>
  <c r="G238" i="26"/>
  <c r="F238" i="26"/>
  <c r="P237" i="26"/>
  <c r="S237" i="26" s="1"/>
  <c r="O237" i="26"/>
  <c r="K237" i="26"/>
  <c r="J237" i="26"/>
  <c r="H237" i="26"/>
  <c r="G237" i="26"/>
  <c r="F237" i="26"/>
  <c r="P236" i="26"/>
  <c r="S236" i="26" s="1"/>
  <c r="O236" i="26"/>
  <c r="K236" i="26"/>
  <c r="J236" i="26"/>
  <c r="G236" i="26"/>
  <c r="F236" i="26"/>
  <c r="P235" i="26"/>
  <c r="S235" i="26" s="1"/>
  <c r="O235" i="26"/>
  <c r="K235" i="26"/>
  <c r="J235" i="26"/>
  <c r="H235" i="26"/>
  <c r="G235" i="26"/>
  <c r="F235" i="26"/>
  <c r="P234" i="26"/>
  <c r="S234" i="26" s="1"/>
  <c r="O234" i="26"/>
  <c r="K234" i="26"/>
  <c r="J234" i="26"/>
  <c r="H234" i="26"/>
  <c r="G234" i="26"/>
  <c r="F234" i="26"/>
  <c r="P233" i="26"/>
  <c r="S233" i="26" s="1"/>
  <c r="O233" i="26"/>
  <c r="K233" i="26"/>
  <c r="J233" i="26"/>
  <c r="H233" i="26"/>
  <c r="G233" i="26"/>
  <c r="F233" i="26"/>
  <c r="P232" i="26"/>
  <c r="S232" i="26" s="1"/>
  <c r="O232" i="26"/>
  <c r="K232" i="26"/>
  <c r="J232" i="26"/>
  <c r="H232" i="26"/>
  <c r="G232" i="26"/>
  <c r="F232" i="26"/>
  <c r="P231" i="26"/>
  <c r="S231" i="26" s="1"/>
  <c r="O231" i="26"/>
  <c r="K231" i="26"/>
  <c r="J231" i="26"/>
  <c r="H231" i="26"/>
  <c r="G231" i="26"/>
  <c r="F231" i="26"/>
  <c r="P230" i="26"/>
  <c r="S230" i="26" s="1"/>
  <c r="O230" i="26"/>
  <c r="K230" i="26"/>
  <c r="J230" i="26"/>
  <c r="H230" i="26"/>
  <c r="G230" i="26"/>
  <c r="F230" i="26"/>
  <c r="P229" i="26"/>
  <c r="S229" i="26" s="1"/>
  <c r="O229" i="26"/>
  <c r="K229" i="26"/>
  <c r="J229" i="26"/>
  <c r="H229" i="26"/>
  <c r="G229" i="26"/>
  <c r="F229" i="26"/>
  <c r="P228" i="26"/>
  <c r="S228" i="26" s="1"/>
  <c r="O228" i="26"/>
  <c r="K228" i="26"/>
  <c r="J228" i="26"/>
  <c r="H228" i="26"/>
  <c r="G228" i="26"/>
  <c r="F228" i="26"/>
  <c r="P227" i="26"/>
  <c r="S227" i="26" s="1"/>
  <c r="O227" i="26"/>
  <c r="K227" i="26"/>
  <c r="J227" i="26"/>
  <c r="H227" i="26"/>
  <c r="G227" i="26"/>
  <c r="F227" i="26"/>
  <c r="P226" i="26"/>
  <c r="S226" i="26" s="1"/>
  <c r="O226" i="26"/>
  <c r="K226" i="26"/>
  <c r="J226" i="26"/>
  <c r="H226" i="26"/>
  <c r="G226" i="26"/>
  <c r="F226" i="26"/>
  <c r="P225" i="26"/>
  <c r="S225" i="26" s="1"/>
  <c r="O225" i="26"/>
  <c r="K225" i="26"/>
  <c r="J225" i="26"/>
  <c r="H225" i="26"/>
  <c r="G225" i="26"/>
  <c r="F225" i="26"/>
  <c r="P224" i="26"/>
  <c r="S224" i="26" s="1"/>
  <c r="O224" i="26"/>
  <c r="K224" i="26"/>
  <c r="J224" i="26"/>
  <c r="H224" i="26"/>
  <c r="G224" i="26"/>
  <c r="F224" i="26"/>
  <c r="P223" i="26"/>
  <c r="S223" i="26" s="1"/>
  <c r="O223" i="26"/>
  <c r="K223" i="26"/>
  <c r="J223" i="26"/>
  <c r="H223" i="26"/>
  <c r="G223" i="26"/>
  <c r="F223" i="26"/>
  <c r="P222" i="26"/>
  <c r="S222" i="26" s="1"/>
  <c r="O222" i="26"/>
  <c r="K222" i="26"/>
  <c r="J222" i="26"/>
  <c r="H222" i="26"/>
  <c r="G222" i="26"/>
  <c r="F222" i="26"/>
  <c r="P221" i="26"/>
  <c r="S221" i="26" s="1"/>
  <c r="O221" i="26"/>
  <c r="K221" i="26"/>
  <c r="J221" i="26"/>
  <c r="H221" i="26"/>
  <c r="G221" i="26"/>
  <c r="F221" i="26"/>
  <c r="P220" i="26"/>
  <c r="S220" i="26" s="1"/>
  <c r="O220" i="26"/>
  <c r="K220" i="26"/>
  <c r="J220" i="26"/>
  <c r="H220" i="26"/>
  <c r="G220" i="26"/>
  <c r="F220" i="26"/>
  <c r="M240" i="26" l="1"/>
  <c r="M238" i="26"/>
  <c r="M239" i="26"/>
  <c r="Q226" i="26"/>
  <c r="R226" i="26" s="1"/>
  <c r="U226" i="26" s="1"/>
  <c r="M222" i="26"/>
  <c r="M255" i="26"/>
  <c r="M223" i="26"/>
  <c r="M227" i="26"/>
  <c r="M254" i="26"/>
  <c r="M256" i="26"/>
  <c r="Q257" i="26"/>
  <c r="R257" i="26" s="1"/>
  <c r="U257" i="26" s="1"/>
  <c r="Q261" i="26"/>
  <c r="R261" i="26" s="1"/>
  <c r="U261" i="26" s="1"/>
  <c r="Q237" i="26"/>
  <c r="R237" i="26" s="1"/>
  <c r="U237" i="26" s="1"/>
  <c r="Q241" i="26"/>
  <c r="R241" i="26" s="1"/>
  <c r="T241" i="26" s="1"/>
  <c r="Q245" i="26"/>
  <c r="R245" i="26" s="1"/>
  <c r="U245" i="26" s="1"/>
  <c r="Q230" i="26"/>
  <c r="R230" i="26" s="1"/>
  <c r="U230" i="26" s="1"/>
  <c r="Q223" i="26"/>
  <c r="R223" i="26" s="1"/>
  <c r="T223" i="26" s="1"/>
  <c r="Q233" i="26"/>
  <c r="R233" i="26" s="1"/>
  <c r="U233" i="26" s="1"/>
  <c r="Q251" i="26"/>
  <c r="R251" i="26" s="1"/>
  <c r="U251" i="26" s="1"/>
  <c r="Q259" i="26"/>
  <c r="R259" i="26" s="1"/>
  <c r="U259" i="26" s="1"/>
  <c r="Q225" i="26"/>
  <c r="R225" i="26" s="1"/>
  <c r="T225" i="26" s="1"/>
  <c r="Q247" i="26"/>
  <c r="R247" i="26" s="1"/>
  <c r="T247" i="26" s="1"/>
  <c r="Q255" i="26"/>
  <c r="R255" i="26" s="1"/>
  <c r="T255" i="26" s="1"/>
  <c r="Q229" i="26"/>
  <c r="R229" i="26" s="1"/>
  <c r="U229" i="26" s="1"/>
  <c r="Q243" i="26"/>
  <c r="R243" i="26" s="1"/>
  <c r="T243" i="26" s="1"/>
  <c r="Q249" i="26"/>
  <c r="R249" i="26" s="1"/>
  <c r="U249" i="26" s="1"/>
  <c r="Q263" i="26"/>
  <c r="R263" i="26" s="1"/>
  <c r="U263" i="26" s="1"/>
  <c r="Q239" i="26"/>
  <c r="R239" i="26" s="1"/>
  <c r="U239" i="26" s="1"/>
  <c r="Q235" i="26"/>
  <c r="R235" i="26" s="1"/>
  <c r="U235" i="26" s="1"/>
  <c r="Q253" i="26"/>
  <c r="R253" i="26" s="1"/>
  <c r="U253" i="26" s="1"/>
  <c r="Q222" i="26"/>
  <c r="R222" i="26" s="1"/>
  <c r="T222" i="26" s="1"/>
  <c r="I242" i="26"/>
  <c r="L242" i="26" s="1"/>
  <c r="E244" i="26"/>
  <c r="E254" i="26"/>
  <c r="E258" i="26"/>
  <c r="I260" i="26"/>
  <c r="L260" i="26" s="1"/>
  <c r="M229" i="26"/>
  <c r="E238" i="26"/>
  <c r="E242" i="26"/>
  <c r="I258" i="26"/>
  <c r="L258" i="26" s="1"/>
  <c r="E260" i="26"/>
  <c r="I262" i="26"/>
  <c r="L262" i="26" s="1"/>
  <c r="E264" i="26"/>
  <c r="E229" i="26"/>
  <c r="N222" i="26"/>
  <c r="E224" i="26"/>
  <c r="I225" i="26"/>
  <c r="L225" i="26" s="1"/>
  <c r="M226" i="26"/>
  <c r="I228" i="26"/>
  <c r="L228" i="26" s="1"/>
  <c r="N230" i="26"/>
  <c r="M230" i="26"/>
  <c r="N232" i="26"/>
  <c r="E233" i="26"/>
  <c r="I235" i="26"/>
  <c r="L235" i="26" s="1"/>
  <c r="N236" i="26"/>
  <c r="I243" i="26"/>
  <c r="L243" i="26" s="1"/>
  <c r="E245" i="26"/>
  <c r="I247" i="26"/>
  <c r="L247" i="26" s="1"/>
  <c r="E249" i="26"/>
  <c r="I251" i="26"/>
  <c r="L251" i="26" s="1"/>
  <c r="N252" i="26"/>
  <c r="I259" i="26"/>
  <c r="L259" i="26" s="1"/>
  <c r="E261" i="26"/>
  <c r="E220" i="26"/>
  <c r="I222" i="26"/>
  <c r="L222" i="26" s="1"/>
  <c r="E223" i="26"/>
  <c r="E225" i="26"/>
  <c r="M225" i="26"/>
  <c r="I226" i="26"/>
  <c r="L226" i="26" s="1"/>
  <c r="N227" i="26"/>
  <c r="E228" i="26"/>
  <c r="I230" i="26"/>
  <c r="L230" i="26" s="1"/>
  <c r="N234" i="26"/>
  <c r="M235" i="26"/>
  <c r="I241" i="26"/>
  <c r="L241" i="26" s="1"/>
  <c r="N243" i="26"/>
  <c r="N247" i="26"/>
  <c r="M247" i="26"/>
  <c r="N250" i="26"/>
  <c r="M251" i="26"/>
  <c r="I257" i="26"/>
  <c r="L257" i="26" s="1"/>
  <c r="N259" i="26"/>
  <c r="I261" i="26"/>
  <c r="L261" i="26" s="1"/>
  <c r="I221" i="26"/>
  <c r="L221" i="26" s="1"/>
  <c r="I234" i="26"/>
  <c r="L234" i="26" s="1"/>
  <c r="M236" i="26"/>
  <c r="I237" i="26"/>
  <c r="L237" i="26" s="1"/>
  <c r="I239" i="26"/>
  <c r="L239" i="26" s="1"/>
  <c r="E240" i="26"/>
  <c r="M243" i="26"/>
  <c r="E246" i="26"/>
  <c r="M246" i="26"/>
  <c r="I248" i="26"/>
  <c r="L248" i="26" s="1"/>
  <c r="M250" i="26"/>
  <c r="I252" i="26"/>
  <c r="L252" i="26" s="1"/>
  <c r="E253" i="26"/>
  <c r="M253" i="26"/>
  <c r="I254" i="26"/>
  <c r="L254" i="26" s="1"/>
  <c r="N255" i="26"/>
  <c r="I256" i="26"/>
  <c r="L256" i="26" s="1"/>
  <c r="M258" i="26"/>
  <c r="I263" i="26"/>
  <c r="L263" i="26" s="1"/>
  <c r="M221" i="26"/>
  <c r="E231" i="26"/>
  <c r="I232" i="26"/>
  <c r="L232" i="26" s="1"/>
  <c r="M234" i="26"/>
  <c r="E237" i="26"/>
  <c r="M237" i="26"/>
  <c r="I238" i="26"/>
  <c r="L238" i="26" s="1"/>
  <c r="N239" i="26"/>
  <c r="I240" i="26"/>
  <c r="L240" i="26" s="1"/>
  <c r="M242" i="26"/>
  <c r="I246" i="26"/>
  <c r="L246" i="26" s="1"/>
  <c r="E248" i="26"/>
  <c r="I250" i="26"/>
  <c r="L250" i="26" s="1"/>
  <c r="M252" i="26"/>
  <c r="I253" i="26"/>
  <c r="L253" i="26" s="1"/>
  <c r="I255" i="26"/>
  <c r="L255" i="26" s="1"/>
  <c r="E256" i="26"/>
  <c r="M259" i="26"/>
  <c r="E262" i="26"/>
  <c r="I264" i="26"/>
  <c r="L264" i="26" s="1"/>
  <c r="N263" i="26"/>
  <c r="M263" i="26"/>
  <c r="I220" i="26"/>
  <c r="L220" i="26" s="1"/>
  <c r="N225" i="26"/>
  <c r="N231" i="26"/>
  <c r="N246" i="26"/>
  <c r="Q246" i="26"/>
  <c r="R246" i="26" s="1"/>
  <c r="U246" i="26" s="1"/>
  <c r="N248" i="26"/>
  <c r="Q248" i="26"/>
  <c r="R248" i="26" s="1"/>
  <c r="T248" i="26" s="1"/>
  <c r="M249" i="26"/>
  <c r="N262" i="26"/>
  <c r="Q262" i="26"/>
  <c r="R262" i="26" s="1"/>
  <c r="U262" i="26" s="1"/>
  <c r="N264" i="26"/>
  <c r="Q264" i="26"/>
  <c r="R264" i="26" s="1"/>
  <c r="U264" i="26" s="1"/>
  <c r="Q234" i="26"/>
  <c r="R234" i="26" s="1"/>
  <c r="U234" i="26" s="1"/>
  <c r="Q236" i="26"/>
  <c r="R236" i="26" s="1"/>
  <c r="U236" i="26" s="1"/>
  <c r="Q250" i="26"/>
  <c r="R250" i="26" s="1"/>
  <c r="U250" i="26" s="1"/>
  <c r="Q252" i="26"/>
  <c r="R252" i="26" s="1"/>
  <c r="T252" i="26" s="1"/>
  <c r="N224" i="26"/>
  <c r="Q227" i="26"/>
  <c r="R227" i="26" s="1"/>
  <c r="U227" i="26" s="1"/>
  <c r="N229" i="26"/>
  <c r="E234" i="26"/>
  <c r="N242" i="26"/>
  <c r="Q242" i="26"/>
  <c r="R242" i="26" s="1"/>
  <c r="U242" i="26" s="1"/>
  <c r="N244" i="26"/>
  <c r="Q244" i="26"/>
  <c r="R244" i="26" s="1"/>
  <c r="U244" i="26" s="1"/>
  <c r="M245" i="26"/>
  <c r="M248" i="26"/>
  <c r="E250" i="26"/>
  <c r="N258" i="26"/>
  <c r="Q258" i="26"/>
  <c r="R258" i="26" s="1"/>
  <c r="U258" i="26" s="1"/>
  <c r="N260" i="26"/>
  <c r="Q260" i="26"/>
  <c r="R260" i="26" s="1"/>
  <c r="T260" i="26" s="1"/>
  <c r="M261" i="26"/>
  <c r="M262" i="26"/>
  <c r="M264" i="26"/>
  <c r="N221" i="26"/>
  <c r="M220" i="26"/>
  <c r="N220" i="26"/>
  <c r="N223" i="26"/>
  <c r="I224" i="26"/>
  <c r="L224" i="26" s="1"/>
  <c r="N226" i="26"/>
  <c r="E227" i="26"/>
  <c r="N228" i="26"/>
  <c r="I229" i="26"/>
  <c r="L229" i="26" s="1"/>
  <c r="M231" i="26"/>
  <c r="Q231" i="26"/>
  <c r="R231" i="26" s="1"/>
  <c r="U231" i="26" s="1"/>
  <c r="E232" i="26"/>
  <c r="N235" i="26"/>
  <c r="E236" i="26"/>
  <c r="N238" i="26"/>
  <c r="Q238" i="26"/>
  <c r="R238" i="26" s="1"/>
  <c r="U238" i="26" s="1"/>
  <c r="N240" i="26"/>
  <c r="Q240" i="26"/>
  <c r="R240" i="26" s="1"/>
  <c r="U240" i="26" s="1"/>
  <c r="E241" i="26"/>
  <c r="M241" i="26"/>
  <c r="M244" i="26"/>
  <c r="I249" i="26"/>
  <c r="L249" i="26" s="1"/>
  <c r="N251" i="26"/>
  <c r="E252" i="26"/>
  <c r="N254" i="26"/>
  <c r="Q254" i="26"/>
  <c r="R254" i="26" s="1"/>
  <c r="T254" i="26" s="1"/>
  <c r="N256" i="26"/>
  <c r="Q256" i="26"/>
  <c r="R256" i="26" s="1"/>
  <c r="U256" i="26" s="1"/>
  <c r="E257" i="26"/>
  <c r="M257" i="26"/>
  <c r="M260" i="26"/>
  <c r="E221" i="26"/>
  <c r="Q221" i="26"/>
  <c r="R221" i="26" s="1"/>
  <c r="Q220" i="26"/>
  <c r="R220" i="26" s="1"/>
  <c r="M224" i="26"/>
  <c r="Q224" i="26"/>
  <c r="R224" i="26" s="1"/>
  <c r="M228" i="26"/>
  <c r="Q228" i="26"/>
  <c r="R228" i="26" s="1"/>
  <c r="M232" i="26"/>
  <c r="Q232" i="26"/>
  <c r="R232" i="26" s="1"/>
  <c r="I223" i="26"/>
  <c r="L223" i="26" s="1"/>
  <c r="I227" i="26"/>
  <c r="L227" i="26" s="1"/>
  <c r="I231" i="26"/>
  <c r="L231" i="26" s="1"/>
  <c r="I233" i="26"/>
  <c r="L233" i="26" s="1"/>
  <c r="N233" i="26"/>
  <c r="E222" i="26"/>
  <c r="E226" i="26"/>
  <c r="E230" i="26"/>
  <c r="M233" i="26"/>
  <c r="N237" i="26"/>
  <c r="N241" i="26"/>
  <c r="N245" i="26"/>
  <c r="N249" i="26"/>
  <c r="N253" i="26"/>
  <c r="N257" i="26"/>
  <c r="N261" i="26"/>
  <c r="E235" i="26"/>
  <c r="E239" i="26"/>
  <c r="E243" i="26"/>
  <c r="E247" i="26"/>
  <c r="E251" i="26"/>
  <c r="E255" i="26"/>
  <c r="E259" i="26"/>
  <c r="E263" i="26"/>
  <c r="T226" i="26" l="1"/>
  <c r="U241" i="26"/>
  <c r="T257" i="26"/>
  <c r="U223" i="26"/>
  <c r="T261" i="26"/>
  <c r="T237" i="26"/>
  <c r="T245" i="26"/>
  <c r="T230" i="26"/>
  <c r="U247" i="26"/>
  <c r="T259" i="26"/>
  <c r="T229" i="26"/>
  <c r="U255" i="26"/>
  <c r="T263" i="26"/>
  <c r="T233" i="26"/>
  <c r="U243" i="26"/>
  <c r="U225" i="26"/>
  <c r="T253" i="26"/>
  <c r="T251" i="26"/>
  <c r="T240" i="26"/>
  <c r="U222" i="26"/>
  <c r="T249" i="26"/>
  <c r="T235" i="26"/>
  <c r="T239" i="26"/>
  <c r="U260" i="26"/>
  <c r="T244" i="26"/>
  <c r="U254" i="26"/>
  <c r="U252" i="26"/>
  <c r="T231" i="26"/>
  <c r="T256" i="26"/>
  <c r="T227" i="26"/>
  <c r="T238" i="26"/>
  <c r="T250" i="26"/>
  <c r="T264" i="26"/>
  <c r="T236" i="26"/>
  <c r="T242" i="26"/>
  <c r="T258" i="26"/>
  <c r="T262" i="26"/>
  <c r="U248" i="26"/>
  <c r="T246" i="26"/>
  <c r="T234" i="26"/>
  <c r="T228" i="26"/>
  <c r="U228" i="26"/>
  <c r="T221" i="26"/>
  <c r="U221" i="26"/>
  <c r="U220" i="26"/>
  <c r="T220" i="26"/>
  <c r="T232" i="26"/>
  <c r="U232" i="26"/>
  <c r="T224" i="26"/>
  <c r="U224" i="26"/>
  <c r="P211" i="26" l="1"/>
  <c r="S211" i="26" s="1"/>
  <c r="O211" i="26"/>
  <c r="K211" i="26"/>
  <c r="J211" i="26"/>
  <c r="H211" i="26"/>
  <c r="G211" i="26"/>
  <c r="F211" i="26"/>
  <c r="P210" i="26"/>
  <c r="S210" i="26" s="1"/>
  <c r="O210" i="26"/>
  <c r="K210" i="26"/>
  <c r="J210" i="26"/>
  <c r="H210" i="26"/>
  <c r="G210" i="26"/>
  <c r="F210" i="26"/>
  <c r="P209" i="26"/>
  <c r="S209" i="26" s="1"/>
  <c r="O209" i="26"/>
  <c r="K209" i="26"/>
  <c r="J209" i="26"/>
  <c r="H209" i="26"/>
  <c r="G209" i="26"/>
  <c r="F209" i="26"/>
  <c r="P208" i="26"/>
  <c r="S208" i="26" s="1"/>
  <c r="O208" i="26"/>
  <c r="K208" i="26"/>
  <c r="J208" i="26"/>
  <c r="H208" i="26"/>
  <c r="G208" i="26"/>
  <c r="F208" i="26"/>
  <c r="P207" i="26"/>
  <c r="S207" i="26" s="1"/>
  <c r="O207" i="26"/>
  <c r="K207" i="26"/>
  <c r="J207" i="26"/>
  <c r="H207" i="26"/>
  <c r="G207" i="26"/>
  <c r="F207" i="26"/>
  <c r="P206" i="26"/>
  <c r="S206" i="26" s="1"/>
  <c r="O206" i="26"/>
  <c r="K206" i="26"/>
  <c r="J206" i="26"/>
  <c r="H206" i="26"/>
  <c r="G206" i="26"/>
  <c r="F206" i="26"/>
  <c r="P205" i="26"/>
  <c r="S205" i="26" s="1"/>
  <c r="O205" i="26"/>
  <c r="K205" i="26"/>
  <c r="J205" i="26"/>
  <c r="H205" i="26"/>
  <c r="G205" i="26"/>
  <c r="F205" i="26"/>
  <c r="P204" i="26"/>
  <c r="S204" i="26" s="1"/>
  <c r="O204" i="26"/>
  <c r="K204" i="26"/>
  <c r="J204" i="26"/>
  <c r="H204" i="26"/>
  <c r="G204" i="26"/>
  <c r="F204" i="26"/>
  <c r="P203" i="26"/>
  <c r="S203" i="26" s="1"/>
  <c r="O203" i="26"/>
  <c r="K203" i="26"/>
  <c r="J203" i="26"/>
  <c r="H203" i="26"/>
  <c r="G203" i="26"/>
  <c r="F203" i="26"/>
  <c r="P202" i="26"/>
  <c r="S202" i="26" s="1"/>
  <c r="O202" i="26"/>
  <c r="K202" i="26"/>
  <c r="J202" i="26"/>
  <c r="H202" i="26"/>
  <c r="G202" i="26"/>
  <c r="F202" i="26"/>
  <c r="P201" i="26"/>
  <c r="S201" i="26" s="1"/>
  <c r="O201" i="26"/>
  <c r="K201" i="26"/>
  <c r="J201" i="26"/>
  <c r="H201" i="26"/>
  <c r="G201" i="26"/>
  <c r="F201" i="26"/>
  <c r="P200" i="26"/>
  <c r="S200" i="26" s="1"/>
  <c r="O200" i="26"/>
  <c r="K200" i="26"/>
  <c r="J200" i="26"/>
  <c r="H200" i="26"/>
  <c r="G200" i="26"/>
  <c r="F200" i="26"/>
  <c r="P199" i="26"/>
  <c r="S199" i="26" s="1"/>
  <c r="O199" i="26"/>
  <c r="K199" i="26"/>
  <c r="J199" i="26"/>
  <c r="H199" i="26"/>
  <c r="G199" i="26"/>
  <c r="F199" i="26"/>
  <c r="P198" i="26"/>
  <c r="S198" i="26" s="1"/>
  <c r="O198" i="26"/>
  <c r="K198" i="26"/>
  <c r="J198" i="26"/>
  <c r="H198" i="26"/>
  <c r="G198" i="26"/>
  <c r="F198" i="26"/>
  <c r="P197" i="26"/>
  <c r="S197" i="26" s="1"/>
  <c r="O197" i="26"/>
  <c r="K197" i="26"/>
  <c r="J197" i="26"/>
  <c r="H197" i="26"/>
  <c r="G197" i="26"/>
  <c r="F197" i="26"/>
  <c r="P196" i="26"/>
  <c r="S196" i="26" s="1"/>
  <c r="O196" i="26"/>
  <c r="K196" i="26"/>
  <c r="J196" i="26"/>
  <c r="H196" i="26"/>
  <c r="G196" i="26"/>
  <c r="F196" i="26"/>
  <c r="P195" i="26"/>
  <c r="S195" i="26" s="1"/>
  <c r="O195" i="26"/>
  <c r="K195" i="26"/>
  <c r="J195" i="26"/>
  <c r="H195" i="26"/>
  <c r="G195" i="26"/>
  <c r="F195" i="26"/>
  <c r="P194" i="26"/>
  <c r="S194" i="26" s="1"/>
  <c r="O194" i="26"/>
  <c r="K194" i="26"/>
  <c r="J194" i="26"/>
  <c r="H194" i="26"/>
  <c r="G194" i="26"/>
  <c r="F194" i="26"/>
  <c r="P193" i="26"/>
  <c r="S193" i="26" s="1"/>
  <c r="O193" i="26"/>
  <c r="K193" i="26"/>
  <c r="J193" i="26"/>
  <c r="H193" i="26"/>
  <c r="G193" i="26"/>
  <c r="F193" i="26"/>
  <c r="P192" i="26"/>
  <c r="S192" i="26" s="1"/>
  <c r="O192" i="26"/>
  <c r="K192" i="26"/>
  <c r="J192" i="26"/>
  <c r="H192" i="26"/>
  <c r="G192" i="26"/>
  <c r="F192" i="26"/>
  <c r="P191" i="26"/>
  <c r="S191" i="26" s="1"/>
  <c r="O191" i="26"/>
  <c r="K191" i="26"/>
  <c r="J191" i="26"/>
  <c r="H191" i="26"/>
  <c r="G191" i="26"/>
  <c r="F191" i="26"/>
  <c r="P190" i="26"/>
  <c r="S190" i="26" s="1"/>
  <c r="O190" i="26"/>
  <c r="K190" i="26"/>
  <c r="J190" i="26"/>
  <c r="H190" i="26"/>
  <c r="G190" i="26"/>
  <c r="F190" i="26"/>
  <c r="P189" i="26"/>
  <c r="S189" i="26" s="1"/>
  <c r="O189" i="26"/>
  <c r="K189" i="26"/>
  <c r="J189" i="26"/>
  <c r="H189" i="26"/>
  <c r="G189" i="26"/>
  <c r="F189" i="26"/>
  <c r="P188" i="26"/>
  <c r="S188" i="26" s="1"/>
  <c r="O188" i="26"/>
  <c r="K188" i="26"/>
  <c r="J188" i="26"/>
  <c r="G188" i="26"/>
  <c r="F188" i="26"/>
  <c r="P187" i="26"/>
  <c r="S187" i="26" s="1"/>
  <c r="O187" i="26"/>
  <c r="K187" i="26"/>
  <c r="J187" i="26"/>
  <c r="H187" i="26"/>
  <c r="G187" i="26"/>
  <c r="F187" i="26"/>
  <c r="P186" i="26"/>
  <c r="S186" i="26" s="1"/>
  <c r="O186" i="26"/>
  <c r="K186" i="26"/>
  <c r="J186" i="26"/>
  <c r="H186" i="26"/>
  <c r="G186" i="26"/>
  <c r="F186" i="26"/>
  <c r="P185" i="26"/>
  <c r="S185" i="26" s="1"/>
  <c r="O185" i="26"/>
  <c r="K185" i="26"/>
  <c r="J185" i="26"/>
  <c r="H185" i="26"/>
  <c r="G185" i="26"/>
  <c r="F185" i="26"/>
  <c r="P184" i="26"/>
  <c r="S184" i="26" s="1"/>
  <c r="O184" i="26"/>
  <c r="K184" i="26"/>
  <c r="J184" i="26"/>
  <c r="G184" i="26"/>
  <c r="F184" i="26"/>
  <c r="P183" i="26"/>
  <c r="S183" i="26" s="1"/>
  <c r="O183" i="26"/>
  <c r="K183" i="26"/>
  <c r="J183" i="26"/>
  <c r="H183" i="26"/>
  <c r="G183" i="26"/>
  <c r="F183" i="26"/>
  <c r="P182" i="26"/>
  <c r="S182" i="26" s="1"/>
  <c r="O182" i="26"/>
  <c r="K182" i="26"/>
  <c r="J182" i="26"/>
  <c r="H182" i="26"/>
  <c r="G182" i="26"/>
  <c r="F182" i="26"/>
  <c r="P181" i="26"/>
  <c r="S181" i="26" s="1"/>
  <c r="O181" i="26"/>
  <c r="K181" i="26"/>
  <c r="J181" i="26"/>
  <c r="H181" i="26"/>
  <c r="G181" i="26"/>
  <c r="F181" i="26"/>
  <c r="P180" i="26"/>
  <c r="S180" i="26" s="1"/>
  <c r="O180" i="26"/>
  <c r="K180" i="26"/>
  <c r="J180" i="26"/>
  <c r="H180" i="26"/>
  <c r="G180" i="26"/>
  <c r="F180" i="26"/>
  <c r="P179" i="26"/>
  <c r="S179" i="26" s="1"/>
  <c r="O179" i="26"/>
  <c r="K179" i="26"/>
  <c r="J179" i="26"/>
  <c r="H179" i="26"/>
  <c r="G179" i="26"/>
  <c r="F179" i="26"/>
  <c r="P178" i="26"/>
  <c r="S178" i="26" s="1"/>
  <c r="O178" i="26"/>
  <c r="K178" i="26"/>
  <c r="J178" i="26"/>
  <c r="H178" i="26"/>
  <c r="G178" i="26"/>
  <c r="F178" i="26"/>
  <c r="P177" i="26"/>
  <c r="S177" i="26" s="1"/>
  <c r="O177" i="26"/>
  <c r="K177" i="26"/>
  <c r="J177" i="26"/>
  <c r="H177" i="26"/>
  <c r="G177" i="26"/>
  <c r="F177" i="26"/>
  <c r="P176" i="26"/>
  <c r="S176" i="26" s="1"/>
  <c r="O176" i="26"/>
  <c r="K176" i="26"/>
  <c r="J176" i="26"/>
  <c r="H176" i="26"/>
  <c r="G176" i="26"/>
  <c r="F176" i="26"/>
  <c r="P175" i="26"/>
  <c r="S175" i="26" s="1"/>
  <c r="O175" i="26"/>
  <c r="K175" i="26"/>
  <c r="J175" i="26"/>
  <c r="H175" i="26"/>
  <c r="G175" i="26"/>
  <c r="F175" i="26"/>
  <c r="P174" i="26"/>
  <c r="S174" i="26" s="1"/>
  <c r="O174" i="26"/>
  <c r="K174" i="26"/>
  <c r="J174" i="26"/>
  <c r="H174" i="26"/>
  <c r="G174" i="26"/>
  <c r="F174" i="26"/>
  <c r="P173" i="26"/>
  <c r="S173" i="26" s="1"/>
  <c r="O173" i="26"/>
  <c r="K173" i="26"/>
  <c r="J173" i="26"/>
  <c r="H173" i="26"/>
  <c r="G173" i="26"/>
  <c r="F173" i="26"/>
  <c r="P172" i="26"/>
  <c r="S172" i="26" s="1"/>
  <c r="O172" i="26"/>
  <c r="K172" i="26"/>
  <c r="J172" i="26"/>
  <c r="H172" i="26"/>
  <c r="G172" i="26"/>
  <c r="F172" i="26"/>
  <c r="P171" i="26"/>
  <c r="S171" i="26" s="1"/>
  <c r="O171" i="26"/>
  <c r="K171" i="26"/>
  <c r="J171" i="26"/>
  <c r="H171" i="26"/>
  <c r="G171" i="26"/>
  <c r="F171" i="26"/>
  <c r="P170" i="26"/>
  <c r="S170" i="26" s="1"/>
  <c r="O170" i="26"/>
  <c r="K170" i="26"/>
  <c r="J170" i="26"/>
  <c r="H170" i="26"/>
  <c r="G170" i="26"/>
  <c r="F170" i="26"/>
  <c r="P169" i="26"/>
  <c r="S169" i="26" s="1"/>
  <c r="O169" i="26"/>
  <c r="K169" i="26"/>
  <c r="J169" i="26"/>
  <c r="H169" i="26"/>
  <c r="G169" i="26"/>
  <c r="F169" i="26"/>
  <c r="P168" i="26"/>
  <c r="S168" i="26" s="1"/>
  <c r="O168" i="26"/>
  <c r="K168" i="26"/>
  <c r="J168" i="26"/>
  <c r="H168" i="26"/>
  <c r="G168" i="26"/>
  <c r="F168" i="26"/>
  <c r="P167" i="26"/>
  <c r="S167" i="26" s="1"/>
  <c r="O167" i="26"/>
  <c r="K167" i="26"/>
  <c r="J167" i="26"/>
  <c r="H167" i="26"/>
  <c r="G167" i="26"/>
  <c r="F167" i="26"/>
  <c r="M179" i="26" l="1"/>
  <c r="M183" i="26"/>
  <c r="M196" i="26"/>
  <c r="M202" i="26"/>
  <c r="M206" i="26"/>
  <c r="M210" i="26"/>
  <c r="M169" i="26"/>
  <c r="M173" i="26"/>
  <c r="M177" i="26"/>
  <c r="M190" i="26"/>
  <c r="M198" i="26"/>
  <c r="M170" i="26"/>
  <c r="M182" i="26"/>
  <c r="M191" i="26"/>
  <c r="M203" i="26"/>
  <c r="M207" i="26"/>
  <c r="M211" i="26"/>
  <c r="Q169" i="26"/>
  <c r="R169" i="26" s="1"/>
  <c r="T169" i="26" s="1"/>
  <c r="Q187" i="26"/>
  <c r="R187" i="26" s="1"/>
  <c r="T187" i="26" s="1"/>
  <c r="Q195" i="26"/>
  <c r="R195" i="26" s="1"/>
  <c r="U195" i="26" s="1"/>
  <c r="Q174" i="26"/>
  <c r="R174" i="26" s="1"/>
  <c r="U174" i="26" s="1"/>
  <c r="Q196" i="26"/>
  <c r="R196" i="26" s="1"/>
  <c r="T196" i="26" s="1"/>
  <c r="Q199" i="26"/>
  <c r="R199" i="26" s="1"/>
  <c r="U199" i="26" s="1"/>
  <c r="Q167" i="26"/>
  <c r="R167" i="26" s="1"/>
  <c r="U167" i="26" s="1"/>
  <c r="Q175" i="26"/>
  <c r="R175" i="26" s="1"/>
  <c r="T175" i="26" s="1"/>
  <c r="Q211" i="26"/>
  <c r="R211" i="26" s="1"/>
  <c r="T211" i="26" s="1"/>
  <c r="Q184" i="26"/>
  <c r="R184" i="26" s="1"/>
  <c r="T184" i="26" s="1"/>
  <c r="Q204" i="26"/>
  <c r="R204" i="26" s="1"/>
  <c r="U204" i="26" s="1"/>
  <c r="N211" i="26"/>
  <c r="I204" i="26"/>
  <c r="L204" i="26" s="1"/>
  <c r="E193" i="26"/>
  <c r="E203" i="26"/>
  <c r="E169" i="26"/>
  <c r="E204" i="26"/>
  <c r="N207" i="26"/>
  <c r="M168" i="26"/>
  <c r="I177" i="26"/>
  <c r="L177" i="26" s="1"/>
  <c r="E179" i="26"/>
  <c r="N198" i="26"/>
  <c r="I210" i="26"/>
  <c r="L210" i="26" s="1"/>
  <c r="N186" i="26"/>
  <c r="I196" i="26"/>
  <c r="L196" i="26" s="1"/>
  <c r="M178" i="26"/>
  <c r="I179" i="26"/>
  <c r="L179" i="26" s="1"/>
  <c r="E185" i="26"/>
  <c r="I190" i="26"/>
  <c r="L190" i="26" s="1"/>
  <c r="E191" i="26"/>
  <c r="I199" i="26"/>
  <c r="L199" i="26" s="1"/>
  <c r="I203" i="26"/>
  <c r="L203" i="26" s="1"/>
  <c r="I206" i="26"/>
  <c r="L206" i="26" s="1"/>
  <c r="N199" i="26"/>
  <c r="E202" i="26"/>
  <c r="I207" i="26"/>
  <c r="L207" i="26" s="1"/>
  <c r="I167" i="26"/>
  <c r="L167" i="26" s="1"/>
  <c r="I168" i="26"/>
  <c r="L168" i="26" s="1"/>
  <c r="N170" i="26"/>
  <c r="N173" i="26"/>
  <c r="N174" i="26"/>
  <c r="I175" i="26"/>
  <c r="L175" i="26" s="1"/>
  <c r="E177" i="26"/>
  <c r="I178" i="26"/>
  <c r="L178" i="26" s="1"/>
  <c r="I180" i="26"/>
  <c r="L180" i="26" s="1"/>
  <c r="N182" i="26"/>
  <c r="N190" i="26"/>
  <c r="Q170" i="26"/>
  <c r="R170" i="26" s="1"/>
  <c r="T170" i="26" s="1"/>
  <c r="I173" i="26"/>
  <c r="L173" i="26" s="1"/>
  <c r="I174" i="26"/>
  <c r="L174" i="26" s="1"/>
  <c r="N178" i="26"/>
  <c r="I195" i="26"/>
  <c r="L195" i="26" s="1"/>
  <c r="N206" i="26"/>
  <c r="N183" i="26"/>
  <c r="I187" i="26"/>
  <c r="L187" i="26" s="1"/>
  <c r="I192" i="26"/>
  <c r="L192" i="26" s="1"/>
  <c r="N194" i="26"/>
  <c r="E195" i="26"/>
  <c r="E197" i="26"/>
  <c r="I208" i="26"/>
  <c r="L208" i="26" s="1"/>
  <c r="I211" i="26"/>
  <c r="L211" i="26" s="1"/>
  <c r="N196" i="26"/>
  <c r="E173" i="26"/>
  <c r="E175" i="26"/>
  <c r="N177" i="26"/>
  <c r="E182" i="26"/>
  <c r="Q183" i="26"/>
  <c r="R183" i="26" s="1"/>
  <c r="U183" i="26" s="1"/>
  <c r="E184" i="26"/>
  <c r="E187" i="26"/>
  <c r="I189" i="26"/>
  <c r="L189" i="26" s="1"/>
  <c r="E190" i="26"/>
  <c r="E192" i="26"/>
  <c r="E196" i="26"/>
  <c r="E198" i="26"/>
  <c r="N203" i="26"/>
  <c r="E205" i="26"/>
  <c r="E208" i="26"/>
  <c r="N210" i="26"/>
  <c r="Q192" i="26"/>
  <c r="R192" i="26" s="1"/>
  <c r="T192" i="26" s="1"/>
  <c r="Q200" i="26"/>
  <c r="R200" i="26" s="1"/>
  <c r="T200" i="26" s="1"/>
  <c r="Q179" i="26"/>
  <c r="R179" i="26" s="1"/>
  <c r="U179" i="26" s="1"/>
  <c r="Q191" i="26"/>
  <c r="R191" i="26" s="1"/>
  <c r="U191" i="26" s="1"/>
  <c r="Q207" i="26"/>
  <c r="R207" i="26" s="1"/>
  <c r="U207" i="26" s="1"/>
  <c r="Q208" i="26"/>
  <c r="R208" i="26" s="1"/>
  <c r="U208" i="26" s="1"/>
  <c r="Q203" i="26"/>
  <c r="R203" i="26" s="1"/>
  <c r="T203" i="26" s="1"/>
  <c r="Q198" i="26"/>
  <c r="R198" i="26" s="1"/>
  <c r="U198" i="26" s="1"/>
  <c r="I200" i="26"/>
  <c r="L200" i="26" s="1"/>
  <c r="N202" i="26"/>
  <c r="N169" i="26"/>
  <c r="I171" i="26"/>
  <c r="L171" i="26" s="1"/>
  <c r="M174" i="26"/>
  <c r="N175" i="26"/>
  <c r="I176" i="26"/>
  <c r="L176" i="26" s="1"/>
  <c r="N179" i="26"/>
  <c r="I181" i="26"/>
  <c r="L181" i="26" s="1"/>
  <c r="I182" i="26"/>
  <c r="L182" i="26" s="1"/>
  <c r="M186" i="26"/>
  <c r="M187" i="26"/>
  <c r="I191" i="26"/>
  <c r="L191" i="26" s="1"/>
  <c r="M194" i="26"/>
  <c r="M195" i="26"/>
  <c r="I198" i="26"/>
  <c r="L198" i="26" s="1"/>
  <c r="E200" i="26"/>
  <c r="I202" i="26"/>
  <c r="L202" i="26" s="1"/>
  <c r="I205" i="26"/>
  <c r="L205" i="26" s="1"/>
  <c r="E206" i="26"/>
  <c r="N208" i="26"/>
  <c r="I209" i="26"/>
  <c r="L209" i="26" s="1"/>
  <c r="E210" i="26"/>
  <c r="M172" i="26"/>
  <c r="I169" i="26"/>
  <c r="L169" i="26" s="1"/>
  <c r="I172" i="26"/>
  <c r="L172" i="26" s="1"/>
  <c r="E174" i="26"/>
  <c r="Q177" i="26"/>
  <c r="R177" i="26" s="1"/>
  <c r="T177" i="26" s="1"/>
  <c r="I183" i="26"/>
  <c r="L183" i="26" s="1"/>
  <c r="N184" i="26"/>
  <c r="Q190" i="26"/>
  <c r="R190" i="26" s="1"/>
  <c r="T190" i="26" s="1"/>
  <c r="N192" i="26"/>
  <c r="I197" i="26"/>
  <c r="L197" i="26" s="1"/>
  <c r="M199" i="26"/>
  <c r="N200" i="26"/>
  <c r="I201" i="26"/>
  <c r="L201" i="26" s="1"/>
  <c r="E207" i="26"/>
  <c r="Q210" i="26"/>
  <c r="R210" i="26" s="1"/>
  <c r="T210" i="26" s="1"/>
  <c r="E211" i="26"/>
  <c r="Q173" i="26"/>
  <c r="R173" i="26" s="1"/>
  <c r="U173" i="26" s="1"/>
  <c r="Q182" i="26"/>
  <c r="R182" i="26" s="1"/>
  <c r="U182" i="26" s="1"/>
  <c r="E183" i="26"/>
  <c r="I186" i="26"/>
  <c r="L186" i="26" s="1"/>
  <c r="N187" i="26"/>
  <c r="N191" i="26"/>
  <c r="I194" i="26"/>
  <c r="L194" i="26" s="1"/>
  <c r="N195" i="26"/>
  <c r="E199" i="26"/>
  <c r="Q202" i="26"/>
  <c r="R202" i="26" s="1"/>
  <c r="T202" i="26" s="1"/>
  <c r="Q206" i="26"/>
  <c r="R206" i="26" s="1"/>
  <c r="T206" i="26" s="1"/>
  <c r="N167" i="26"/>
  <c r="N188" i="26"/>
  <c r="E188" i="26"/>
  <c r="Q188" i="26"/>
  <c r="R188" i="26" s="1"/>
  <c r="M188" i="26"/>
  <c r="Q189" i="26"/>
  <c r="R189" i="26" s="1"/>
  <c r="N189" i="26"/>
  <c r="E167" i="26"/>
  <c r="M167" i="26"/>
  <c r="E168" i="26"/>
  <c r="E170" i="26"/>
  <c r="I170" i="26"/>
  <c r="L170" i="26" s="1"/>
  <c r="E171" i="26"/>
  <c r="M171" i="26"/>
  <c r="E172" i="26"/>
  <c r="M175" i="26"/>
  <c r="E176" i="26"/>
  <c r="M176" i="26"/>
  <c r="E180" i="26"/>
  <c r="M180" i="26"/>
  <c r="Q181" i="26"/>
  <c r="R181" i="26" s="1"/>
  <c r="N181" i="26"/>
  <c r="N209" i="26"/>
  <c r="Q209" i="26"/>
  <c r="R209" i="26" s="1"/>
  <c r="N168" i="26"/>
  <c r="Q168" i="26"/>
  <c r="R168" i="26" s="1"/>
  <c r="Q171" i="26"/>
  <c r="R171" i="26" s="1"/>
  <c r="N171" i="26"/>
  <c r="N172" i="26"/>
  <c r="Q172" i="26"/>
  <c r="R172" i="26" s="1"/>
  <c r="N176" i="26"/>
  <c r="Q176" i="26"/>
  <c r="R176" i="26" s="1"/>
  <c r="N180" i="26"/>
  <c r="Q180" i="26"/>
  <c r="R180" i="26" s="1"/>
  <c r="N201" i="26"/>
  <c r="Q201" i="26"/>
  <c r="R201" i="26" s="1"/>
  <c r="M193" i="26"/>
  <c r="M197" i="26"/>
  <c r="M204" i="26"/>
  <c r="M205" i="26"/>
  <c r="Q178" i="26"/>
  <c r="R178" i="26" s="1"/>
  <c r="Q185" i="26"/>
  <c r="R185" i="26" s="1"/>
  <c r="Q186" i="26"/>
  <c r="R186" i="26" s="1"/>
  <c r="Q193" i="26"/>
  <c r="R193" i="26" s="1"/>
  <c r="Q194" i="26"/>
  <c r="R194" i="26" s="1"/>
  <c r="N197" i="26"/>
  <c r="Q197" i="26"/>
  <c r="R197" i="26" s="1"/>
  <c r="N204" i="26"/>
  <c r="N205" i="26"/>
  <c r="Q205" i="26"/>
  <c r="R205" i="26" s="1"/>
  <c r="M185" i="26"/>
  <c r="E178" i="26"/>
  <c r="E181" i="26"/>
  <c r="M181" i="26"/>
  <c r="M184" i="26"/>
  <c r="I185" i="26"/>
  <c r="L185" i="26" s="1"/>
  <c r="N185" i="26"/>
  <c r="E186" i="26"/>
  <c r="E189" i="26"/>
  <c r="M189" i="26"/>
  <c r="M192" i="26"/>
  <c r="I193" i="26"/>
  <c r="L193" i="26" s="1"/>
  <c r="N193" i="26"/>
  <c r="E194" i="26"/>
  <c r="M200" i="26"/>
  <c r="E201" i="26"/>
  <c r="M201" i="26"/>
  <c r="M208" i="26"/>
  <c r="E209" i="26"/>
  <c r="M209" i="26"/>
  <c r="U169" i="26" l="1"/>
  <c r="T167" i="26"/>
  <c r="U187" i="26"/>
  <c r="T174" i="26"/>
  <c r="T195" i="26"/>
  <c r="T199" i="26"/>
  <c r="U175" i="26"/>
  <c r="U211" i="26"/>
  <c r="U196" i="26"/>
  <c r="U184" i="26"/>
  <c r="U190" i="26"/>
  <c r="T204" i="26"/>
  <c r="U206" i="26"/>
  <c r="T183" i="26"/>
  <c r="T191" i="26"/>
  <c r="U170" i="26"/>
  <c r="U192" i="26"/>
  <c r="U210" i="26"/>
  <c r="U200" i="26"/>
  <c r="T207" i="26"/>
  <c r="U203" i="26"/>
  <c r="T182" i="26"/>
  <c r="U202" i="26"/>
  <c r="T198" i="26"/>
  <c r="T173" i="26"/>
  <c r="T179" i="26"/>
  <c r="T208" i="26"/>
  <c r="U177" i="26"/>
  <c r="U194" i="26"/>
  <c r="T194" i="26"/>
  <c r="U197" i="26"/>
  <c r="T197" i="26"/>
  <c r="U186" i="26"/>
  <c r="T186" i="26"/>
  <c r="U178" i="26"/>
  <c r="T178" i="26"/>
  <c r="T180" i="26"/>
  <c r="U180" i="26"/>
  <c r="U176" i="26"/>
  <c r="T176" i="26"/>
  <c r="U209" i="26"/>
  <c r="T209" i="26"/>
  <c r="U189" i="26"/>
  <c r="T189" i="26"/>
  <c r="U171" i="26"/>
  <c r="T171" i="26"/>
  <c r="U193" i="26"/>
  <c r="T193" i="26"/>
  <c r="U185" i="26"/>
  <c r="T185" i="26"/>
  <c r="U172" i="26"/>
  <c r="T172" i="26"/>
  <c r="U168" i="26"/>
  <c r="T168" i="26"/>
  <c r="U181" i="26"/>
  <c r="T181" i="26"/>
  <c r="U205" i="26"/>
  <c r="T205" i="26"/>
  <c r="T188" i="26"/>
  <c r="U188" i="26"/>
  <c r="U201" i="26"/>
  <c r="T201" i="26"/>
  <c r="K317" i="26" l="1"/>
  <c r="K316" i="26"/>
  <c r="K315" i="26"/>
  <c r="K314" i="26"/>
  <c r="K313" i="26"/>
  <c r="K312" i="26"/>
  <c r="K311" i="26"/>
  <c r="K310" i="26"/>
  <c r="K309" i="26"/>
  <c r="K308" i="26"/>
  <c r="K307" i="26"/>
  <c r="K306" i="26"/>
  <c r="K305" i="26"/>
  <c r="K304" i="26"/>
  <c r="K303" i="26"/>
  <c r="K302" i="26"/>
  <c r="K301" i="26"/>
  <c r="K300" i="26"/>
  <c r="K299" i="26"/>
  <c r="K298" i="26"/>
  <c r="K297" i="26"/>
  <c r="K296" i="26"/>
  <c r="K295" i="26"/>
  <c r="K294" i="26"/>
  <c r="K293" i="26"/>
  <c r="K292" i="26"/>
  <c r="K291" i="26"/>
  <c r="K290" i="26"/>
  <c r="K289" i="26"/>
  <c r="K288" i="26"/>
  <c r="K287" i="26"/>
  <c r="K286" i="26"/>
  <c r="K285" i="26"/>
  <c r="K284" i="26"/>
  <c r="K283" i="26"/>
  <c r="K282" i="26"/>
  <c r="K281" i="26"/>
  <c r="K280" i="26"/>
  <c r="K279" i="26"/>
  <c r="K278" i="26"/>
  <c r="K277" i="26"/>
  <c r="K276" i="26"/>
  <c r="K275" i="26"/>
  <c r="K274" i="26"/>
  <c r="K273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K103" i="26"/>
  <c r="K102" i="26"/>
  <c r="K101" i="26"/>
  <c r="K100" i="26"/>
  <c r="K99" i="26"/>
  <c r="K98" i="26"/>
  <c r="K97" i="26"/>
  <c r="K96" i="26"/>
  <c r="K95" i="26"/>
  <c r="K94" i="26"/>
  <c r="K93" i="26"/>
  <c r="K92" i="26"/>
  <c r="K91" i="26"/>
  <c r="K90" i="26"/>
  <c r="K89" i="26"/>
  <c r="K88" i="26"/>
  <c r="K87" i="26"/>
  <c r="K86" i="26"/>
  <c r="K85" i="26"/>
  <c r="K84" i="26"/>
  <c r="K83" i="26"/>
  <c r="K82" i="26"/>
  <c r="K81" i="26"/>
  <c r="K80" i="26"/>
  <c r="K79" i="26"/>
  <c r="K78" i="26"/>
  <c r="K77" i="26"/>
  <c r="K76" i="26"/>
  <c r="K75" i="26"/>
  <c r="K74" i="26"/>
  <c r="K73" i="26"/>
  <c r="K72" i="26"/>
  <c r="K71" i="26"/>
  <c r="K70" i="26"/>
  <c r="K69" i="26"/>
  <c r="K68" i="26"/>
  <c r="K67" i="26"/>
  <c r="K66" i="26"/>
  <c r="K65" i="26"/>
  <c r="K64" i="26"/>
  <c r="K63" i="26"/>
  <c r="K62" i="26"/>
  <c r="K61" i="26"/>
  <c r="K60" i="26"/>
  <c r="K59" i="26"/>
  <c r="K44" i="26"/>
  <c r="K43" i="26"/>
  <c r="K42" i="26"/>
  <c r="K41" i="26"/>
  <c r="K40" i="26"/>
  <c r="K39" i="26"/>
  <c r="K38" i="26"/>
  <c r="K37" i="26"/>
  <c r="K36" i="26"/>
  <c r="K35" i="26"/>
  <c r="K34" i="26"/>
  <c r="K33" i="26"/>
  <c r="K32" i="26"/>
  <c r="K31" i="26"/>
  <c r="K30" i="26"/>
  <c r="K29" i="26"/>
  <c r="K28" i="26"/>
  <c r="K27" i="26"/>
  <c r="K26" i="26"/>
  <c r="K25" i="26"/>
  <c r="K24" i="26"/>
  <c r="K23" i="26"/>
  <c r="K22" i="26"/>
  <c r="K21" i="26"/>
  <c r="K20" i="26"/>
  <c r="K19" i="26"/>
  <c r="K18" i="26"/>
  <c r="K17" i="26"/>
  <c r="K16" i="26"/>
  <c r="K15" i="26"/>
  <c r="K14" i="26"/>
  <c r="K13" i="26"/>
  <c r="K12" i="26"/>
  <c r="K11" i="26"/>
  <c r="K10" i="26"/>
  <c r="K9" i="26"/>
  <c r="K8" i="26"/>
  <c r="K7" i="26"/>
  <c r="K6" i="26"/>
  <c r="K5" i="26"/>
  <c r="K4" i="26"/>
  <c r="K3" i="26"/>
  <c r="K2" i="26"/>
  <c r="J317" i="26" l="1"/>
  <c r="M317" i="26" s="1"/>
  <c r="J316" i="26"/>
  <c r="M316" i="26" s="1"/>
  <c r="J315" i="26"/>
  <c r="M315" i="26" s="1"/>
  <c r="J314" i="26"/>
  <c r="M314" i="26" s="1"/>
  <c r="J313" i="26"/>
  <c r="M313" i="26" s="1"/>
  <c r="J312" i="26"/>
  <c r="M312" i="26" s="1"/>
  <c r="J311" i="26"/>
  <c r="M311" i="26" s="1"/>
  <c r="J310" i="26"/>
  <c r="M310" i="26" s="1"/>
  <c r="J309" i="26"/>
  <c r="M309" i="26" s="1"/>
  <c r="J308" i="26"/>
  <c r="M308" i="26" s="1"/>
  <c r="J307" i="26"/>
  <c r="M307" i="26" s="1"/>
  <c r="J306" i="26"/>
  <c r="M306" i="26" s="1"/>
  <c r="J305" i="26"/>
  <c r="M305" i="26" s="1"/>
  <c r="J304" i="26"/>
  <c r="M304" i="26" s="1"/>
  <c r="J303" i="26"/>
  <c r="M303" i="26" s="1"/>
  <c r="J302" i="26"/>
  <c r="M302" i="26" s="1"/>
  <c r="J301" i="26"/>
  <c r="M301" i="26" s="1"/>
  <c r="J300" i="26"/>
  <c r="M300" i="26" s="1"/>
  <c r="J299" i="26"/>
  <c r="M299" i="26" s="1"/>
  <c r="J298" i="26"/>
  <c r="M298" i="26" s="1"/>
  <c r="J297" i="26"/>
  <c r="M297" i="26" s="1"/>
  <c r="J296" i="26"/>
  <c r="M296" i="26" s="1"/>
  <c r="J295" i="26"/>
  <c r="M295" i="26" s="1"/>
  <c r="J294" i="26"/>
  <c r="M294" i="26" s="1"/>
  <c r="J293" i="26"/>
  <c r="M293" i="26" s="1"/>
  <c r="J292" i="26"/>
  <c r="M292" i="26" s="1"/>
  <c r="J291" i="26"/>
  <c r="M291" i="26" s="1"/>
  <c r="J290" i="26"/>
  <c r="M290" i="26" s="1"/>
  <c r="J289" i="26"/>
  <c r="M289" i="26" s="1"/>
  <c r="J288" i="26"/>
  <c r="M288" i="26" s="1"/>
  <c r="J287" i="26"/>
  <c r="M287" i="26" s="1"/>
  <c r="J286" i="26"/>
  <c r="M286" i="26" s="1"/>
  <c r="J285" i="26"/>
  <c r="M285" i="26" s="1"/>
  <c r="J284" i="26"/>
  <c r="M284" i="26" s="1"/>
  <c r="J283" i="26"/>
  <c r="M283" i="26" s="1"/>
  <c r="J282" i="26"/>
  <c r="M282" i="26" s="1"/>
  <c r="J281" i="26"/>
  <c r="M281" i="26" s="1"/>
  <c r="J280" i="26"/>
  <c r="M280" i="26" s="1"/>
  <c r="J279" i="26"/>
  <c r="M279" i="26" s="1"/>
  <c r="J278" i="26"/>
  <c r="M278" i="26" s="1"/>
  <c r="J277" i="26"/>
  <c r="M277" i="26" s="1"/>
  <c r="J276" i="26"/>
  <c r="M276" i="26" s="1"/>
  <c r="J275" i="26"/>
  <c r="J274" i="26"/>
  <c r="J273" i="26"/>
  <c r="M273" i="26" s="1"/>
  <c r="J157" i="26"/>
  <c r="M157" i="26" s="1"/>
  <c r="J156" i="26"/>
  <c r="M156" i="26" s="1"/>
  <c r="J155" i="26"/>
  <c r="M155" i="26" s="1"/>
  <c r="J154" i="26"/>
  <c r="M154" i="26" s="1"/>
  <c r="J153" i="26"/>
  <c r="M153" i="26" s="1"/>
  <c r="J152" i="26"/>
  <c r="M152" i="26" s="1"/>
  <c r="J151" i="26"/>
  <c r="M151" i="26" s="1"/>
  <c r="J150" i="26"/>
  <c r="M150" i="26" s="1"/>
  <c r="J149" i="26"/>
  <c r="M149" i="26" s="1"/>
  <c r="J148" i="26"/>
  <c r="M148" i="26" s="1"/>
  <c r="J147" i="26"/>
  <c r="M147" i="26" s="1"/>
  <c r="J146" i="26"/>
  <c r="M146" i="26" s="1"/>
  <c r="J145" i="26"/>
  <c r="M145" i="26" s="1"/>
  <c r="J144" i="26"/>
  <c r="M144" i="26" s="1"/>
  <c r="J143" i="26"/>
  <c r="M143" i="26" s="1"/>
  <c r="J142" i="26"/>
  <c r="M142" i="26" s="1"/>
  <c r="J141" i="26"/>
  <c r="M141" i="26" s="1"/>
  <c r="J140" i="26"/>
  <c r="M140" i="26" s="1"/>
  <c r="J139" i="26"/>
  <c r="M139" i="26" s="1"/>
  <c r="J138" i="26"/>
  <c r="M138" i="26" s="1"/>
  <c r="J137" i="26"/>
  <c r="M137" i="26" s="1"/>
  <c r="J136" i="26"/>
  <c r="M136" i="26" s="1"/>
  <c r="J135" i="26"/>
  <c r="M135" i="26" s="1"/>
  <c r="J134" i="26"/>
  <c r="M134" i="26" s="1"/>
  <c r="J133" i="26"/>
  <c r="M133" i="26" s="1"/>
  <c r="J132" i="26"/>
  <c r="M132" i="26" s="1"/>
  <c r="J131" i="26"/>
  <c r="M131" i="26" s="1"/>
  <c r="J130" i="26"/>
  <c r="M130" i="26" s="1"/>
  <c r="J129" i="26"/>
  <c r="M129" i="26" s="1"/>
  <c r="J128" i="26"/>
  <c r="M128" i="26" s="1"/>
  <c r="J127" i="26"/>
  <c r="M127" i="26" s="1"/>
  <c r="J126" i="26"/>
  <c r="M126" i="26" s="1"/>
  <c r="J125" i="26"/>
  <c r="M125" i="26" s="1"/>
  <c r="J124" i="26"/>
  <c r="M124" i="26" s="1"/>
  <c r="J123" i="26"/>
  <c r="M123" i="26" s="1"/>
  <c r="J122" i="26"/>
  <c r="M122" i="26" s="1"/>
  <c r="J121" i="26"/>
  <c r="M121" i="26" s="1"/>
  <c r="J120" i="26"/>
  <c r="M120" i="26" s="1"/>
  <c r="J119" i="26"/>
  <c r="M119" i="26" s="1"/>
  <c r="J118" i="26"/>
  <c r="M118" i="26" s="1"/>
  <c r="J117" i="26"/>
  <c r="M117" i="26" s="1"/>
  <c r="J116" i="26"/>
  <c r="J115" i="26"/>
  <c r="J114" i="26"/>
  <c r="M114" i="26" s="1"/>
  <c r="J113" i="26"/>
  <c r="M113" i="26" s="1"/>
  <c r="J103" i="26"/>
  <c r="M103" i="26" s="1"/>
  <c r="J102" i="26"/>
  <c r="J101" i="26"/>
  <c r="J100" i="26"/>
  <c r="M100" i="26" s="1"/>
  <c r="J99" i="26"/>
  <c r="M99" i="26" s="1"/>
  <c r="J98" i="26"/>
  <c r="J97" i="26"/>
  <c r="J96" i="26"/>
  <c r="M96" i="26" s="1"/>
  <c r="J95" i="26"/>
  <c r="M95" i="26" s="1"/>
  <c r="J94" i="26"/>
  <c r="J93" i="26"/>
  <c r="J92" i="26"/>
  <c r="M92" i="26" s="1"/>
  <c r="J91" i="26"/>
  <c r="M91" i="26" s="1"/>
  <c r="J90" i="26"/>
  <c r="J89" i="26"/>
  <c r="J86" i="26"/>
  <c r="J85" i="26"/>
  <c r="J84" i="26"/>
  <c r="M84" i="26" s="1"/>
  <c r="J83" i="26"/>
  <c r="M83" i="26" s="1"/>
  <c r="J82" i="26"/>
  <c r="J81" i="26"/>
  <c r="J79" i="26"/>
  <c r="M79" i="26" s="1"/>
  <c r="J78" i="26"/>
  <c r="J77" i="26"/>
  <c r="J76" i="26"/>
  <c r="M76" i="26" s="1"/>
  <c r="J75" i="26"/>
  <c r="M75" i="26" s="1"/>
  <c r="J74" i="26"/>
  <c r="J73" i="26"/>
  <c r="J72" i="26"/>
  <c r="M72" i="26" s="1"/>
  <c r="J71" i="26"/>
  <c r="J70" i="26"/>
  <c r="J69" i="26"/>
  <c r="J68" i="26"/>
  <c r="M68" i="26" s="1"/>
  <c r="J67" i="26"/>
  <c r="J66" i="26"/>
  <c r="J65" i="26"/>
  <c r="J64" i="26"/>
  <c r="M64" i="26" s="1"/>
  <c r="J63" i="26"/>
  <c r="J62" i="26"/>
  <c r="J61" i="26"/>
  <c r="J60" i="26"/>
  <c r="M60" i="26" s="1"/>
  <c r="J59" i="26"/>
  <c r="J44" i="26"/>
  <c r="M44" i="26" s="1"/>
  <c r="J43" i="26"/>
  <c r="M43" i="26" s="1"/>
  <c r="J42" i="26"/>
  <c r="M42" i="26" s="1"/>
  <c r="J41" i="26"/>
  <c r="M41" i="26" s="1"/>
  <c r="J40" i="26"/>
  <c r="M40" i="26" s="1"/>
  <c r="J39" i="26"/>
  <c r="M39" i="26" s="1"/>
  <c r="J38" i="26"/>
  <c r="J37" i="26"/>
  <c r="M37" i="26" s="1"/>
  <c r="J36" i="26"/>
  <c r="M36" i="26" s="1"/>
  <c r="J35" i="26"/>
  <c r="M35" i="26" s="1"/>
  <c r="J34" i="26"/>
  <c r="J33" i="26"/>
  <c r="M33" i="26" s="1"/>
  <c r="J32" i="26"/>
  <c r="M32" i="26" s="1"/>
  <c r="J31" i="26"/>
  <c r="M31" i="26" s="1"/>
  <c r="J30" i="26"/>
  <c r="J29" i="26"/>
  <c r="M29" i="26" s="1"/>
  <c r="J28" i="26"/>
  <c r="M28" i="26" s="1"/>
  <c r="J27" i="26"/>
  <c r="M27" i="26" s="1"/>
  <c r="J26" i="26"/>
  <c r="J25" i="26"/>
  <c r="M25" i="26" s="1"/>
  <c r="J24" i="26"/>
  <c r="M24" i="26" s="1"/>
  <c r="J23" i="26"/>
  <c r="M23" i="26" s="1"/>
  <c r="J22" i="26"/>
  <c r="M22" i="26" s="1"/>
  <c r="J20" i="26"/>
  <c r="M20" i="26" s="1"/>
  <c r="J19" i="26"/>
  <c r="M19" i="26" s="1"/>
  <c r="J18" i="26"/>
  <c r="J17" i="26"/>
  <c r="M17" i="26" s="1"/>
  <c r="J16" i="26"/>
  <c r="M16" i="26" s="1"/>
  <c r="J15" i="26"/>
  <c r="M15" i="26" s="1"/>
  <c r="J14" i="26"/>
  <c r="J13" i="26"/>
  <c r="M13" i="26" s="1"/>
  <c r="J12" i="26"/>
  <c r="M12" i="26" s="1"/>
  <c r="J11" i="26"/>
  <c r="M11" i="26" s="1"/>
  <c r="J10" i="26"/>
  <c r="J9" i="26"/>
  <c r="M9" i="26" s="1"/>
  <c r="J8" i="26"/>
  <c r="M8" i="26" s="1"/>
  <c r="J7" i="26"/>
  <c r="M7" i="26" s="1"/>
  <c r="J6" i="26"/>
  <c r="J5" i="26"/>
  <c r="J4" i="26"/>
  <c r="J3" i="26"/>
  <c r="M3" i="26" s="1"/>
  <c r="J2" i="26"/>
  <c r="H317" i="26"/>
  <c r="H316" i="26"/>
  <c r="H315" i="26"/>
  <c r="H314" i="26"/>
  <c r="H313" i="26"/>
  <c r="H312" i="26"/>
  <c r="H311" i="26"/>
  <c r="H310" i="26"/>
  <c r="H309" i="26"/>
  <c r="H308" i="26"/>
  <c r="H307" i="26"/>
  <c r="H306" i="26"/>
  <c r="H305" i="26"/>
  <c r="H304" i="26"/>
  <c r="H303" i="26"/>
  <c r="H302" i="26"/>
  <c r="H301" i="26"/>
  <c r="H300" i="26"/>
  <c r="H299" i="26"/>
  <c r="H297" i="26"/>
  <c r="H296" i="26"/>
  <c r="H295" i="26"/>
  <c r="H292" i="26"/>
  <c r="H291" i="26"/>
  <c r="H290" i="26"/>
  <c r="H288" i="26"/>
  <c r="H287" i="26"/>
  <c r="H286" i="26"/>
  <c r="H285" i="26"/>
  <c r="H284" i="26"/>
  <c r="H283" i="26"/>
  <c r="H282" i="26"/>
  <c r="H281" i="26"/>
  <c r="H280" i="26"/>
  <c r="H279" i="26"/>
  <c r="H278" i="26"/>
  <c r="H277" i="26"/>
  <c r="H276" i="26"/>
  <c r="H275" i="26"/>
  <c r="H274" i="26"/>
  <c r="H273" i="26"/>
  <c r="H157" i="26"/>
  <c r="H156" i="26"/>
  <c r="H155" i="26"/>
  <c r="H154" i="26"/>
  <c r="H153" i="26"/>
  <c r="H152" i="26"/>
  <c r="H151" i="26"/>
  <c r="H149" i="26"/>
  <c r="H148" i="26"/>
  <c r="H147" i="26"/>
  <c r="H146" i="26"/>
  <c r="H145" i="26"/>
  <c r="H144" i="26"/>
  <c r="H143" i="26"/>
  <c r="H142" i="26"/>
  <c r="H140" i="26"/>
  <c r="H139" i="26"/>
  <c r="H138" i="26"/>
  <c r="H137" i="26"/>
  <c r="H136" i="26"/>
  <c r="H135" i="26"/>
  <c r="H132" i="26"/>
  <c r="H131" i="26"/>
  <c r="H130" i="26"/>
  <c r="H128" i="26"/>
  <c r="H127" i="26"/>
  <c r="H126" i="26"/>
  <c r="H125" i="26"/>
  <c r="H124" i="26"/>
  <c r="H123" i="26"/>
  <c r="H122" i="26"/>
  <c r="H121" i="26"/>
  <c r="H120" i="26"/>
  <c r="H119" i="26"/>
  <c r="H118" i="26"/>
  <c r="H117" i="26"/>
  <c r="H116" i="26"/>
  <c r="H115" i="26"/>
  <c r="H114" i="26"/>
  <c r="H113" i="26"/>
  <c r="H103" i="26"/>
  <c r="H102" i="26"/>
  <c r="H101" i="26"/>
  <c r="H100" i="26"/>
  <c r="H99" i="26"/>
  <c r="H98" i="26"/>
  <c r="H97" i="26"/>
  <c r="H95" i="26"/>
  <c r="H94" i="26"/>
  <c r="H93" i="26"/>
  <c r="H92" i="26"/>
  <c r="H91" i="26"/>
  <c r="H90" i="26"/>
  <c r="H89" i="26"/>
  <c r="H86" i="26"/>
  <c r="H85" i="26"/>
  <c r="H84" i="26"/>
  <c r="H83" i="26"/>
  <c r="H82" i="26"/>
  <c r="H81" i="26"/>
  <c r="H79" i="26"/>
  <c r="H78" i="26"/>
  <c r="H77" i="26"/>
  <c r="H76" i="26"/>
  <c r="H75" i="26"/>
  <c r="H74" i="26"/>
  <c r="H73" i="26"/>
  <c r="H71" i="26"/>
  <c r="H70" i="26"/>
  <c r="H69" i="26"/>
  <c r="H68" i="26"/>
  <c r="H67" i="26"/>
  <c r="H66" i="26"/>
  <c r="H64" i="26"/>
  <c r="H63" i="26"/>
  <c r="H62" i="26"/>
  <c r="H61" i="26"/>
  <c r="H60" i="26"/>
  <c r="H59" i="26"/>
  <c r="H44" i="26"/>
  <c r="H42" i="26"/>
  <c r="H41" i="26"/>
  <c r="H40" i="26"/>
  <c r="H39" i="26"/>
  <c r="H36" i="26"/>
  <c r="H35" i="26"/>
  <c r="H34" i="26"/>
  <c r="H33" i="26"/>
  <c r="H32" i="26"/>
  <c r="H31" i="26"/>
  <c r="H30" i="26"/>
  <c r="H23" i="26"/>
  <c r="H22" i="26"/>
  <c r="H20" i="26"/>
  <c r="H19" i="26"/>
  <c r="H15" i="26"/>
  <c r="H14" i="26"/>
  <c r="H13" i="26"/>
  <c r="H12" i="26"/>
  <c r="H11" i="26"/>
  <c r="H10" i="26"/>
  <c r="H9" i="26"/>
  <c r="H8" i="26"/>
  <c r="H7" i="26"/>
  <c r="H6" i="26"/>
  <c r="H5" i="26"/>
  <c r="H4" i="26"/>
  <c r="H3" i="26"/>
  <c r="K1" i="26"/>
  <c r="I314" i="26" l="1"/>
  <c r="L314" i="26" s="1"/>
  <c r="I309" i="26"/>
  <c r="L309" i="26" s="1"/>
  <c r="I300" i="26"/>
  <c r="L300" i="26" s="1"/>
  <c r="I313" i="26"/>
  <c r="L313" i="26" s="1"/>
  <c r="I296" i="26"/>
  <c r="L296" i="26" s="1"/>
  <c r="I304" i="26"/>
  <c r="L304" i="26" s="1"/>
  <c r="I302" i="26"/>
  <c r="L302" i="26" s="1"/>
  <c r="I308" i="26"/>
  <c r="L308" i="26" s="1"/>
  <c r="I316" i="26"/>
  <c r="L316" i="26" s="1"/>
  <c r="I301" i="26"/>
  <c r="L301" i="26" s="1"/>
  <c r="I307" i="26"/>
  <c r="L307" i="26" s="1"/>
  <c r="I297" i="26"/>
  <c r="L297" i="26" s="1"/>
  <c r="I315" i="26"/>
  <c r="L315" i="26" s="1"/>
  <c r="I311" i="26"/>
  <c r="L311" i="26" s="1"/>
  <c r="I310" i="26"/>
  <c r="L310" i="26" s="1"/>
  <c r="I295" i="26"/>
  <c r="L295" i="26" s="1"/>
  <c r="I42" i="26"/>
  <c r="L42" i="26" s="1"/>
  <c r="I15" i="26"/>
  <c r="L15" i="26" s="1"/>
  <c r="I39" i="26"/>
  <c r="L39" i="26" s="1"/>
  <c r="I60" i="26"/>
  <c r="L60" i="26" s="1"/>
  <c r="I8" i="26"/>
  <c r="L8" i="26" s="1"/>
  <c r="I44" i="26"/>
  <c r="L44" i="26" s="1"/>
  <c r="I12" i="26"/>
  <c r="L12" i="26" s="1"/>
  <c r="I9" i="26"/>
  <c r="L9" i="26" s="1"/>
  <c r="I11" i="26"/>
  <c r="L11" i="26" s="1"/>
  <c r="I19" i="26"/>
  <c r="L19" i="26" s="1"/>
  <c r="I312" i="26"/>
  <c r="L312" i="26" s="1"/>
  <c r="I306" i="26"/>
  <c r="L306" i="26" s="1"/>
  <c r="I20" i="26"/>
  <c r="L20" i="26" s="1"/>
  <c r="I317" i="26"/>
  <c r="L317" i="26" s="1"/>
  <c r="I303" i="26"/>
  <c r="L303" i="26" s="1"/>
  <c r="I64" i="26"/>
  <c r="L64" i="26" s="1"/>
  <c r="I40" i="26"/>
  <c r="L40" i="26" s="1"/>
  <c r="I13" i="26"/>
  <c r="L13" i="26" s="1"/>
  <c r="I305" i="26"/>
  <c r="L305" i="26" s="1"/>
  <c r="I299" i="26"/>
  <c r="L299" i="26" s="1"/>
  <c r="I135" i="26"/>
  <c r="L135" i="26" s="1"/>
  <c r="I139" i="26"/>
  <c r="L139" i="26" s="1"/>
  <c r="I143" i="26"/>
  <c r="L143" i="26" s="1"/>
  <c r="I147" i="26"/>
  <c r="L147" i="26" s="1"/>
  <c r="I151" i="26"/>
  <c r="L151" i="26" s="1"/>
  <c r="I155" i="26"/>
  <c r="L155" i="26" s="1"/>
  <c r="I273" i="26"/>
  <c r="L273" i="26" s="1"/>
  <c r="I277" i="26"/>
  <c r="L277" i="26" s="1"/>
  <c r="I281" i="26"/>
  <c r="L281" i="26" s="1"/>
  <c r="I285" i="26"/>
  <c r="L285" i="26" s="1"/>
  <c r="I138" i="26"/>
  <c r="L138" i="26" s="1"/>
  <c r="I142" i="26"/>
  <c r="L142" i="26" s="1"/>
  <c r="I146" i="26"/>
  <c r="L146" i="26" s="1"/>
  <c r="I154" i="26"/>
  <c r="L154" i="26" s="1"/>
  <c r="I276" i="26"/>
  <c r="L276" i="26" s="1"/>
  <c r="I280" i="26"/>
  <c r="L280" i="26" s="1"/>
  <c r="I284" i="26"/>
  <c r="L284" i="26" s="1"/>
  <c r="I288" i="26"/>
  <c r="L288" i="26" s="1"/>
  <c r="I292" i="26"/>
  <c r="L292" i="26" s="1"/>
  <c r="I41" i="26"/>
  <c r="L41" i="26" s="1"/>
  <c r="I290" i="26"/>
  <c r="L290" i="26" s="1"/>
  <c r="I99" i="26"/>
  <c r="L99" i="26" s="1"/>
  <c r="I103" i="26"/>
  <c r="L103" i="26" s="1"/>
  <c r="I119" i="26"/>
  <c r="L119" i="26" s="1"/>
  <c r="I123" i="26"/>
  <c r="L123" i="26" s="1"/>
  <c r="I127" i="26"/>
  <c r="L127" i="26" s="1"/>
  <c r="I131" i="26"/>
  <c r="L131" i="26" s="1"/>
  <c r="I68" i="26"/>
  <c r="L68" i="26" s="1"/>
  <c r="I76" i="26"/>
  <c r="L76" i="26" s="1"/>
  <c r="I91" i="26"/>
  <c r="L91" i="26" s="1"/>
  <c r="I95" i="26"/>
  <c r="L95" i="26" s="1"/>
  <c r="I7" i="26"/>
  <c r="L7" i="26" s="1"/>
  <c r="I136" i="26"/>
  <c r="L136" i="26" s="1"/>
  <c r="I140" i="26"/>
  <c r="L140" i="26" s="1"/>
  <c r="I144" i="26"/>
  <c r="L144" i="26" s="1"/>
  <c r="I148" i="26"/>
  <c r="L148" i="26" s="1"/>
  <c r="I152" i="26"/>
  <c r="L152" i="26" s="1"/>
  <c r="I156" i="26"/>
  <c r="L156" i="26" s="1"/>
  <c r="I278" i="26"/>
  <c r="L278" i="26" s="1"/>
  <c r="I282" i="26"/>
  <c r="L282" i="26" s="1"/>
  <c r="I286" i="26"/>
  <c r="L286" i="26" s="1"/>
  <c r="I100" i="26"/>
  <c r="L100" i="26" s="1"/>
  <c r="I120" i="26"/>
  <c r="L120" i="26" s="1"/>
  <c r="I124" i="26"/>
  <c r="L124" i="26" s="1"/>
  <c r="I128" i="26"/>
  <c r="L128" i="26" s="1"/>
  <c r="I132" i="26"/>
  <c r="L132" i="26" s="1"/>
  <c r="I92" i="26"/>
  <c r="L92" i="26" s="1"/>
  <c r="I22" i="26"/>
  <c r="L22" i="26" s="1"/>
  <c r="I75" i="26"/>
  <c r="L75" i="26" s="1"/>
  <c r="I79" i="26"/>
  <c r="L79" i="26" s="1"/>
  <c r="I84" i="26"/>
  <c r="L84" i="26" s="1"/>
  <c r="I114" i="26"/>
  <c r="L114" i="26" s="1"/>
  <c r="I118" i="26"/>
  <c r="L118" i="26" s="1"/>
  <c r="I122" i="26"/>
  <c r="L122" i="26" s="1"/>
  <c r="I126" i="26"/>
  <c r="L126" i="26" s="1"/>
  <c r="I130" i="26"/>
  <c r="L130" i="26" s="1"/>
  <c r="I36" i="26"/>
  <c r="L36" i="26" s="1"/>
  <c r="I32" i="26"/>
  <c r="L32" i="26" s="1"/>
  <c r="I23" i="26"/>
  <c r="L23" i="26" s="1"/>
  <c r="I3" i="26"/>
  <c r="L3" i="26" s="1"/>
  <c r="I35" i="26"/>
  <c r="L35" i="26" s="1"/>
  <c r="I31" i="26"/>
  <c r="L31" i="26" s="1"/>
  <c r="I33" i="26"/>
  <c r="L33" i="26" s="1"/>
  <c r="I137" i="26"/>
  <c r="L137" i="26" s="1"/>
  <c r="I145" i="26"/>
  <c r="L145" i="26" s="1"/>
  <c r="I149" i="26"/>
  <c r="L149" i="26" s="1"/>
  <c r="I153" i="26"/>
  <c r="L153" i="26" s="1"/>
  <c r="I157" i="26"/>
  <c r="L157" i="26" s="1"/>
  <c r="I279" i="26"/>
  <c r="L279" i="26" s="1"/>
  <c r="I283" i="26"/>
  <c r="L283" i="26" s="1"/>
  <c r="I287" i="26"/>
  <c r="L287" i="26" s="1"/>
  <c r="I291" i="26"/>
  <c r="L291" i="26" s="1"/>
  <c r="I113" i="26"/>
  <c r="L113" i="26" s="1"/>
  <c r="I117" i="26"/>
  <c r="L117" i="26" s="1"/>
  <c r="I121" i="26"/>
  <c r="L121" i="26" s="1"/>
  <c r="I125" i="26"/>
  <c r="L125" i="26" s="1"/>
  <c r="I83" i="26"/>
  <c r="L83" i="26" s="1"/>
  <c r="M2" i="26"/>
  <c r="I4" i="26"/>
  <c r="L4" i="26" s="1"/>
  <c r="M4" i="26"/>
  <c r="I6" i="26"/>
  <c r="L6" i="26" s="1"/>
  <c r="M6" i="26"/>
  <c r="I10" i="26"/>
  <c r="L10" i="26" s="1"/>
  <c r="I14" i="26"/>
  <c r="L14" i="26" s="1"/>
  <c r="I30" i="26"/>
  <c r="L30" i="26" s="1"/>
  <c r="I34" i="26"/>
  <c r="L34" i="26" s="1"/>
  <c r="I59" i="26"/>
  <c r="L59" i="26" s="1"/>
  <c r="I61" i="26"/>
  <c r="L61" i="26" s="1"/>
  <c r="I63" i="26"/>
  <c r="L63" i="26" s="1"/>
  <c r="I67" i="26"/>
  <c r="L67" i="26" s="1"/>
  <c r="I69" i="26"/>
  <c r="L69" i="26" s="1"/>
  <c r="I71" i="26"/>
  <c r="L71" i="26" s="1"/>
  <c r="I73" i="26"/>
  <c r="L73" i="26" s="1"/>
  <c r="I77" i="26"/>
  <c r="L77" i="26" s="1"/>
  <c r="I81" i="26"/>
  <c r="L81" i="26" s="1"/>
  <c r="I85" i="26"/>
  <c r="L85" i="26" s="1"/>
  <c r="I89" i="26"/>
  <c r="L89" i="26" s="1"/>
  <c r="I93" i="26"/>
  <c r="L93" i="26" s="1"/>
  <c r="I97" i="26"/>
  <c r="L97" i="26" s="1"/>
  <c r="I101" i="26"/>
  <c r="L101" i="26" s="1"/>
  <c r="I115" i="26"/>
  <c r="L115" i="26" s="1"/>
  <c r="I275" i="26"/>
  <c r="L275" i="26" s="1"/>
  <c r="M275" i="26"/>
  <c r="I5" i="26"/>
  <c r="L5" i="26" s="1"/>
  <c r="I62" i="26"/>
  <c r="L62" i="26" s="1"/>
  <c r="I66" i="26"/>
  <c r="L66" i="26" s="1"/>
  <c r="I70" i="26"/>
  <c r="L70" i="26" s="1"/>
  <c r="I74" i="26"/>
  <c r="L74" i="26" s="1"/>
  <c r="I78" i="26"/>
  <c r="L78" i="26" s="1"/>
  <c r="I82" i="26"/>
  <c r="L82" i="26" s="1"/>
  <c r="I86" i="26"/>
  <c r="L86" i="26" s="1"/>
  <c r="I90" i="26"/>
  <c r="L90" i="26" s="1"/>
  <c r="I94" i="26"/>
  <c r="L94" i="26" s="1"/>
  <c r="I98" i="26"/>
  <c r="L98" i="26" s="1"/>
  <c r="I102" i="26"/>
  <c r="L102" i="26" s="1"/>
  <c r="I116" i="26"/>
  <c r="L116" i="26" s="1"/>
  <c r="I274" i="26"/>
  <c r="L274" i="26" s="1"/>
  <c r="M274" i="26"/>
  <c r="M5" i="26"/>
  <c r="M10" i="26"/>
  <c r="M14" i="26"/>
  <c r="M18" i="26"/>
  <c r="M26" i="26"/>
  <c r="M30" i="26"/>
  <c r="M34" i="26"/>
  <c r="M38" i="26"/>
  <c r="M59" i="26"/>
  <c r="M61" i="26"/>
  <c r="M62" i="26"/>
  <c r="M63" i="26"/>
  <c r="M65" i="26"/>
  <c r="M66" i="26"/>
  <c r="M67" i="26"/>
  <c r="M69" i="26"/>
  <c r="M70" i="26"/>
  <c r="M71" i="26"/>
  <c r="M73" i="26"/>
  <c r="M74" i="26"/>
  <c r="M77" i="26"/>
  <c r="M78" i="26"/>
  <c r="M81" i="26"/>
  <c r="M82" i="26"/>
  <c r="M85" i="26"/>
  <c r="M86" i="26"/>
  <c r="M89" i="26"/>
  <c r="M90" i="26"/>
  <c r="M93" i="26"/>
  <c r="M94" i="26"/>
  <c r="M97" i="26"/>
  <c r="M98" i="26"/>
  <c r="M101" i="26"/>
  <c r="M102" i="26"/>
  <c r="M115" i="26"/>
  <c r="M116" i="26"/>
  <c r="H236" i="26" l="1"/>
  <c r="I236" i="26" s="1"/>
  <c r="L236" i="26" s="1"/>
  <c r="H72" i="26" l="1"/>
  <c r="I72" i="26" s="1"/>
  <c r="L72" i="26" s="1"/>
  <c r="H16" i="26"/>
  <c r="I16" i="26" s="1"/>
  <c r="L16" i="26" s="1"/>
  <c r="J21" i="26"/>
  <c r="M21" i="26" s="1"/>
  <c r="H298" i="26"/>
  <c r="I298" i="26" s="1"/>
  <c r="L298" i="26" s="1"/>
  <c r="H184" i="26"/>
  <c r="I184" i="26" s="1"/>
  <c r="L184" i="26" s="1"/>
  <c r="H2" i="26" l="1"/>
  <c r="I2" i="26" s="1"/>
  <c r="L2" i="26" s="1"/>
  <c r="H141" i="26"/>
  <c r="I141" i="26" s="1"/>
  <c r="L141" i="26" s="1"/>
  <c r="H245" i="26"/>
  <c r="I245" i="26" s="1"/>
  <c r="L245" i="26" s="1"/>
  <c r="H43" i="26"/>
  <c r="I43" i="26" s="1"/>
  <c r="L43" i="26" s="1"/>
  <c r="H150" i="26"/>
  <c r="I150" i="26" s="1"/>
  <c r="L150" i="26" s="1"/>
  <c r="H244" i="26"/>
  <c r="I244" i="26" s="1"/>
  <c r="L244" i="26" s="1"/>
  <c r="H26" i="26" l="1"/>
  <c r="I26" i="26" s="1"/>
  <c r="L26" i="26" s="1"/>
  <c r="H293" i="26"/>
  <c r="I293" i="26" s="1"/>
  <c r="L293" i="26" s="1"/>
  <c r="H289" i="26"/>
  <c r="I289" i="26" s="1"/>
  <c r="L289" i="26" s="1"/>
  <c r="H24" i="26"/>
  <c r="I24" i="26" s="1"/>
  <c r="L24" i="26" s="1"/>
  <c r="H188" i="26"/>
  <c r="I188" i="26" s="1"/>
  <c r="L188" i="26" s="1"/>
  <c r="H65" i="26" l="1"/>
  <c r="I65" i="26" s="1"/>
  <c r="L65" i="26" s="1"/>
  <c r="H38" i="26"/>
  <c r="I38" i="26" s="1"/>
  <c r="L38" i="26" s="1"/>
  <c r="H29" i="26"/>
  <c r="I29" i="26" s="1"/>
  <c r="L29" i="26" s="1"/>
  <c r="H133" i="26"/>
  <c r="I133" i="26" s="1"/>
  <c r="L133" i="26" s="1"/>
  <c r="H18" i="26"/>
  <c r="I18" i="26" s="1"/>
  <c r="L18" i="26" s="1"/>
  <c r="H25" i="26"/>
  <c r="I25" i="26" s="1"/>
  <c r="L25" i="26" s="1"/>
  <c r="H17" i="26"/>
  <c r="I17" i="26" s="1"/>
  <c r="L17" i="26" s="1"/>
  <c r="H129" i="26"/>
  <c r="I129" i="26" s="1"/>
  <c r="L129" i="26" s="1"/>
  <c r="H27" i="26"/>
  <c r="I27" i="26" s="1"/>
  <c r="L27" i="26" s="1"/>
  <c r="F317" i="26" l="1"/>
  <c r="F316" i="26"/>
  <c r="F315" i="26"/>
  <c r="F314" i="26"/>
  <c r="F313" i="26"/>
  <c r="F312" i="26"/>
  <c r="F311" i="26"/>
  <c r="F310" i="26"/>
  <c r="F309" i="26"/>
  <c r="F308" i="26"/>
  <c r="F307" i="26"/>
  <c r="F306" i="26"/>
  <c r="F305" i="26"/>
  <c r="F304" i="26"/>
  <c r="F303" i="26"/>
  <c r="F302" i="26"/>
  <c r="F301" i="26"/>
  <c r="F300" i="26"/>
  <c r="F299" i="26"/>
  <c r="F298" i="26"/>
  <c r="F297" i="26"/>
  <c r="F296" i="26"/>
  <c r="F295" i="26"/>
  <c r="F294" i="26"/>
  <c r="F293" i="26"/>
  <c r="F292" i="26"/>
  <c r="F291" i="26"/>
  <c r="F290" i="26"/>
  <c r="F289" i="26"/>
  <c r="F288" i="26"/>
  <c r="F287" i="26"/>
  <c r="F286" i="26"/>
  <c r="F285" i="26"/>
  <c r="F284" i="26"/>
  <c r="F283" i="26"/>
  <c r="F282" i="26"/>
  <c r="F281" i="26"/>
  <c r="F280" i="26"/>
  <c r="F279" i="26"/>
  <c r="F278" i="26"/>
  <c r="F277" i="26"/>
  <c r="F276" i="26"/>
  <c r="F275" i="26"/>
  <c r="F274" i="26"/>
  <c r="F273" i="26"/>
  <c r="F157" i="26"/>
  <c r="F156" i="26"/>
  <c r="F155" i="26"/>
  <c r="F154" i="26"/>
  <c r="F153" i="26"/>
  <c r="F152" i="26"/>
  <c r="F151" i="26"/>
  <c r="F150" i="26"/>
  <c r="F149" i="26"/>
  <c r="F148" i="26"/>
  <c r="F147" i="26"/>
  <c r="F146" i="26"/>
  <c r="F145" i="26"/>
  <c r="F144" i="26"/>
  <c r="F143" i="26"/>
  <c r="F142" i="26"/>
  <c r="F141" i="26"/>
  <c r="F140" i="26"/>
  <c r="F139" i="26"/>
  <c r="F138" i="26"/>
  <c r="F137" i="26"/>
  <c r="F136" i="26"/>
  <c r="F135" i="26"/>
  <c r="F134" i="26"/>
  <c r="F133" i="26"/>
  <c r="F132" i="26"/>
  <c r="F131" i="26"/>
  <c r="F130" i="26"/>
  <c r="F129" i="26"/>
  <c r="F128" i="26"/>
  <c r="F127" i="26"/>
  <c r="F126" i="26"/>
  <c r="F125" i="26"/>
  <c r="F124" i="26"/>
  <c r="F123" i="26"/>
  <c r="F122" i="26"/>
  <c r="F121" i="26"/>
  <c r="F120" i="26"/>
  <c r="F119" i="26"/>
  <c r="F118" i="26"/>
  <c r="F117" i="26"/>
  <c r="F116" i="26"/>
  <c r="F115" i="26"/>
  <c r="F114" i="26"/>
  <c r="F113" i="26"/>
  <c r="F103" i="26"/>
  <c r="F102" i="26"/>
  <c r="F101" i="26"/>
  <c r="F100" i="26"/>
  <c r="F99" i="26"/>
  <c r="F98" i="26"/>
  <c r="F97" i="26"/>
  <c r="F96" i="26"/>
  <c r="F95" i="26"/>
  <c r="F94" i="26"/>
  <c r="F93" i="26"/>
  <c r="F92" i="26"/>
  <c r="F91" i="26"/>
  <c r="F90" i="26"/>
  <c r="F89" i="26"/>
  <c r="F86" i="26"/>
  <c r="F85" i="26"/>
  <c r="F84" i="26"/>
  <c r="F83" i="26"/>
  <c r="F82" i="26"/>
  <c r="F81" i="26"/>
  <c r="F79" i="26"/>
  <c r="F78" i="26"/>
  <c r="F77" i="26"/>
  <c r="F76" i="26"/>
  <c r="F75" i="26"/>
  <c r="F74" i="26"/>
  <c r="F73" i="26"/>
  <c r="F72" i="26"/>
  <c r="F71" i="26"/>
  <c r="F70" i="26"/>
  <c r="F69" i="26"/>
  <c r="F68" i="26"/>
  <c r="F67" i="26"/>
  <c r="F66" i="26"/>
  <c r="F65" i="26"/>
  <c r="F64" i="26"/>
  <c r="F63" i="26"/>
  <c r="F62" i="26"/>
  <c r="F61" i="26"/>
  <c r="F60" i="26"/>
  <c r="F59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F88" i="26" l="1"/>
  <c r="F80" i="26"/>
  <c r="F87" i="26"/>
  <c r="G2" i="26" l="1"/>
  <c r="E2" i="26" s="1"/>
  <c r="J87" i="26" l="1"/>
  <c r="M87" i="26" s="1"/>
  <c r="J88" i="26"/>
  <c r="M88" i="26" s="1"/>
  <c r="J80" i="26"/>
  <c r="M80" i="26" s="1"/>
  <c r="N2" i="26"/>
  <c r="H96" i="26" l="1"/>
  <c r="I96" i="26" s="1"/>
  <c r="L96" i="26" s="1"/>
  <c r="H88" i="26" l="1"/>
  <c r="I88" i="26" s="1"/>
  <c r="L88" i="26" s="1"/>
  <c r="H21" i="26" l="1"/>
  <c r="I21" i="26" s="1"/>
  <c r="L21" i="26" s="1"/>
  <c r="H294" i="26" l="1"/>
  <c r="I294" i="26" s="1"/>
  <c r="L294" i="26" s="1"/>
  <c r="H87" i="26" l="1"/>
  <c r="I87" i="26" s="1"/>
  <c r="L87" i="26" s="1"/>
  <c r="H37" i="26" l="1"/>
  <c r="I37" i="26" s="1"/>
  <c r="L37" i="26" s="1"/>
  <c r="H28" i="26"/>
  <c r="I28" i="26" s="1"/>
  <c r="L28" i="26" s="1"/>
  <c r="H80" i="26"/>
  <c r="I80" i="26" s="1"/>
  <c r="L80" i="26" s="1"/>
  <c r="H134" i="26"/>
  <c r="I134" i="26" s="1"/>
  <c r="L134" i="26" s="1"/>
  <c r="G7" i="26"/>
  <c r="G317" i="26"/>
  <c r="G316" i="26"/>
  <c r="G315" i="26"/>
  <c r="G314" i="26"/>
  <c r="G313" i="26"/>
  <c r="G312" i="26"/>
  <c r="G311" i="26"/>
  <c r="G310" i="26"/>
  <c r="G309" i="26"/>
  <c r="G308" i="26"/>
  <c r="G307" i="26"/>
  <c r="G306" i="26"/>
  <c r="G305" i="26"/>
  <c r="G304" i="26"/>
  <c r="G303" i="26"/>
  <c r="G302" i="26"/>
  <c r="G301" i="26"/>
  <c r="G300" i="26"/>
  <c r="G299" i="26"/>
  <c r="G298" i="26"/>
  <c r="G297" i="26"/>
  <c r="G296" i="26"/>
  <c r="G295" i="26"/>
  <c r="G294" i="26"/>
  <c r="G293" i="26"/>
  <c r="G292" i="26"/>
  <c r="G291" i="26"/>
  <c r="G290" i="26"/>
  <c r="G289" i="26"/>
  <c r="G288" i="26"/>
  <c r="G287" i="26"/>
  <c r="G286" i="26"/>
  <c r="G285" i="26"/>
  <c r="G284" i="26"/>
  <c r="G283" i="26"/>
  <c r="G282" i="26"/>
  <c r="G281" i="26"/>
  <c r="G280" i="26"/>
  <c r="G279" i="26"/>
  <c r="G278" i="26"/>
  <c r="G277" i="26"/>
  <c r="G276" i="26"/>
  <c r="G275" i="26"/>
  <c r="G274" i="26"/>
  <c r="G273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3" i="26"/>
  <c r="G4" i="26"/>
  <c r="G5" i="26"/>
  <c r="G6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O28" i="27"/>
  <c r="O10" i="27"/>
  <c r="O12" i="27"/>
  <c r="O44" i="27"/>
  <c r="O21" i="27"/>
  <c r="O29" i="27"/>
  <c r="O24" i="27"/>
  <c r="O27" i="27"/>
  <c r="O31" i="27"/>
  <c r="O14" i="27"/>
  <c r="O6" i="27"/>
  <c r="O23" i="27"/>
  <c r="O37" i="27"/>
  <c r="O38" i="27"/>
  <c r="O36" i="27"/>
  <c r="O35" i="27"/>
  <c r="O47" i="27"/>
  <c r="O17" i="27"/>
  <c r="O4" i="27"/>
  <c r="O34" i="27"/>
  <c r="O40" i="27"/>
  <c r="O22" i="27"/>
  <c r="O41" i="27"/>
  <c r="O9" i="27"/>
  <c r="O45" i="27"/>
  <c r="O18" i="27"/>
  <c r="O16" i="27"/>
  <c r="O19" i="27"/>
  <c r="O20" i="27"/>
  <c r="O15" i="27"/>
  <c r="O25" i="27"/>
  <c r="O13" i="27"/>
  <c r="O33" i="27"/>
  <c r="O42" i="27"/>
  <c r="O30" i="27"/>
  <c r="O39" i="27"/>
  <c r="O11" i="27"/>
  <c r="O46" i="27"/>
  <c r="O7" i="27"/>
  <c r="O8" i="27"/>
  <c r="O26" i="27"/>
  <c r="O5" i="27"/>
  <c r="O32" i="27"/>
  <c r="O43" i="27"/>
  <c r="P45" i="27" l="1"/>
  <c r="P21" i="27"/>
  <c r="P22" i="27"/>
  <c r="P42" i="27"/>
  <c r="P39" i="27"/>
  <c r="P46" i="27"/>
  <c r="P32" i="27"/>
  <c r="P44" i="27"/>
  <c r="O48" i="27"/>
  <c r="P38" i="27"/>
  <c r="P31" i="27"/>
  <c r="P19" i="27"/>
  <c r="P41" i="27"/>
  <c r="P25" i="27"/>
  <c r="P30" i="27"/>
  <c r="P33" i="27"/>
  <c r="P23" i="27"/>
  <c r="P29" i="27"/>
  <c r="P28" i="27"/>
  <c r="P24" i="27"/>
  <c r="P20" i="27"/>
  <c r="P40" i="27"/>
  <c r="P37" i="27"/>
  <c r="P34" i="27"/>
  <c r="P43" i="27"/>
  <c r="P26" i="27"/>
  <c r="P35" i="27"/>
  <c r="P47" i="27"/>
  <c r="P27" i="27"/>
  <c r="P36" i="27"/>
  <c r="N29" i="26"/>
  <c r="E29" i="26"/>
  <c r="N13" i="26"/>
  <c r="E13" i="26"/>
  <c r="N4" i="26"/>
  <c r="E4" i="26"/>
  <c r="N62" i="26"/>
  <c r="E62" i="26"/>
  <c r="N66" i="26"/>
  <c r="E66" i="26"/>
  <c r="N70" i="26"/>
  <c r="E70" i="26"/>
  <c r="N74" i="26"/>
  <c r="E74" i="26"/>
  <c r="N78" i="26"/>
  <c r="E78" i="26"/>
  <c r="N82" i="26"/>
  <c r="E82" i="26"/>
  <c r="N86" i="26"/>
  <c r="E86" i="26"/>
  <c r="N92" i="26"/>
  <c r="E92" i="26"/>
  <c r="N96" i="26"/>
  <c r="E96" i="26"/>
  <c r="N100" i="26"/>
  <c r="E100" i="26"/>
  <c r="N114" i="26"/>
  <c r="E114" i="26"/>
  <c r="N118" i="26"/>
  <c r="E118" i="26"/>
  <c r="N122" i="26"/>
  <c r="E122" i="26"/>
  <c r="N126" i="26"/>
  <c r="E126" i="26"/>
  <c r="N130" i="26"/>
  <c r="E130" i="26"/>
  <c r="N134" i="26"/>
  <c r="E134" i="26"/>
  <c r="N138" i="26"/>
  <c r="E138" i="26"/>
  <c r="N142" i="26"/>
  <c r="E142" i="26"/>
  <c r="N146" i="26"/>
  <c r="E146" i="26"/>
  <c r="N150" i="26"/>
  <c r="E150" i="26"/>
  <c r="N154" i="26"/>
  <c r="E154" i="26"/>
  <c r="N276" i="26"/>
  <c r="E276" i="26"/>
  <c r="N280" i="26"/>
  <c r="E280" i="26"/>
  <c r="N284" i="26"/>
  <c r="E284" i="26"/>
  <c r="N286" i="26"/>
  <c r="E286" i="26"/>
  <c r="N288" i="26"/>
  <c r="E288" i="26"/>
  <c r="N290" i="26"/>
  <c r="E290" i="26"/>
  <c r="N292" i="26"/>
  <c r="E292" i="26"/>
  <c r="N294" i="26"/>
  <c r="E294" i="26"/>
  <c r="N296" i="26"/>
  <c r="E296" i="26"/>
  <c r="N298" i="26"/>
  <c r="E298" i="26"/>
  <c r="N300" i="26"/>
  <c r="E300" i="26"/>
  <c r="N302" i="26"/>
  <c r="E302" i="26"/>
  <c r="N304" i="26"/>
  <c r="E304" i="26"/>
  <c r="N306" i="26"/>
  <c r="E306" i="26"/>
  <c r="N308" i="26"/>
  <c r="E308" i="26"/>
  <c r="N310" i="26"/>
  <c r="E310" i="26"/>
  <c r="N312" i="26"/>
  <c r="E312" i="26"/>
  <c r="N314" i="26"/>
  <c r="E314" i="26"/>
  <c r="N316" i="26"/>
  <c r="E316" i="26"/>
  <c r="N37" i="26"/>
  <c r="E37" i="26"/>
  <c r="N21" i="26"/>
  <c r="E21" i="26"/>
  <c r="N9" i="26"/>
  <c r="E9" i="26"/>
  <c r="N60" i="26"/>
  <c r="E60" i="26"/>
  <c r="N64" i="26"/>
  <c r="E64" i="26"/>
  <c r="N68" i="26"/>
  <c r="E68" i="26"/>
  <c r="N72" i="26"/>
  <c r="E72" i="26"/>
  <c r="N76" i="26"/>
  <c r="E76" i="26"/>
  <c r="N80" i="26"/>
  <c r="E80" i="26"/>
  <c r="N84" i="26"/>
  <c r="E84" i="26"/>
  <c r="N88" i="26"/>
  <c r="E88" i="26"/>
  <c r="N90" i="26"/>
  <c r="E90" i="26"/>
  <c r="N94" i="26"/>
  <c r="E94" i="26"/>
  <c r="N98" i="26"/>
  <c r="E98" i="26"/>
  <c r="N102" i="26"/>
  <c r="E102" i="26"/>
  <c r="N116" i="26"/>
  <c r="E116" i="26"/>
  <c r="N120" i="26"/>
  <c r="E120" i="26"/>
  <c r="N124" i="26"/>
  <c r="E124" i="26"/>
  <c r="N128" i="26"/>
  <c r="E128" i="26"/>
  <c r="N132" i="26"/>
  <c r="E132" i="26"/>
  <c r="N136" i="26"/>
  <c r="E136" i="26"/>
  <c r="N140" i="26"/>
  <c r="E140" i="26"/>
  <c r="N144" i="26"/>
  <c r="E144" i="26"/>
  <c r="N148" i="26"/>
  <c r="E148" i="26"/>
  <c r="N152" i="26"/>
  <c r="E152" i="26"/>
  <c r="N156" i="26"/>
  <c r="E156" i="26"/>
  <c r="N274" i="26"/>
  <c r="E274" i="26"/>
  <c r="N278" i="26"/>
  <c r="E278" i="26"/>
  <c r="N282" i="26"/>
  <c r="E282" i="26"/>
  <c r="N44" i="26"/>
  <c r="E44" i="26"/>
  <c r="N40" i="26"/>
  <c r="E40" i="26"/>
  <c r="N36" i="26"/>
  <c r="E36" i="26"/>
  <c r="N32" i="26"/>
  <c r="E32" i="26"/>
  <c r="N28" i="26"/>
  <c r="E28" i="26"/>
  <c r="N24" i="26"/>
  <c r="E24" i="26"/>
  <c r="N20" i="26"/>
  <c r="E20" i="26"/>
  <c r="N16" i="26"/>
  <c r="E16" i="26"/>
  <c r="N12" i="26"/>
  <c r="E12" i="26"/>
  <c r="N8" i="26"/>
  <c r="E8" i="26"/>
  <c r="N3" i="26"/>
  <c r="E3" i="26"/>
  <c r="N7" i="26"/>
  <c r="E7" i="26"/>
  <c r="N33" i="26"/>
  <c r="E33" i="26"/>
  <c r="N17" i="26"/>
  <c r="E17" i="26"/>
  <c r="N39" i="26"/>
  <c r="E39" i="26"/>
  <c r="N31" i="26"/>
  <c r="E31" i="26"/>
  <c r="N23" i="26"/>
  <c r="E23" i="26"/>
  <c r="N15" i="26"/>
  <c r="E15" i="26"/>
  <c r="N6" i="26"/>
  <c r="E6" i="26"/>
  <c r="N63" i="26"/>
  <c r="E63" i="26"/>
  <c r="N67" i="26"/>
  <c r="E67" i="26"/>
  <c r="N71" i="26"/>
  <c r="E71" i="26"/>
  <c r="N75" i="26"/>
  <c r="E75" i="26"/>
  <c r="N79" i="26"/>
  <c r="E79" i="26"/>
  <c r="N83" i="26"/>
  <c r="E83" i="26"/>
  <c r="N87" i="26"/>
  <c r="E87" i="26"/>
  <c r="N91" i="26"/>
  <c r="E91" i="26"/>
  <c r="N95" i="26"/>
  <c r="E95" i="26"/>
  <c r="N99" i="26"/>
  <c r="E99" i="26"/>
  <c r="N103" i="26"/>
  <c r="E103" i="26"/>
  <c r="N115" i="26"/>
  <c r="E115" i="26"/>
  <c r="N119" i="26"/>
  <c r="E119" i="26"/>
  <c r="N123" i="26"/>
  <c r="E123" i="26"/>
  <c r="N127" i="26"/>
  <c r="E127" i="26"/>
  <c r="N131" i="26"/>
  <c r="E131" i="26"/>
  <c r="N135" i="26"/>
  <c r="E135" i="26"/>
  <c r="N139" i="26"/>
  <c r="E139" i="26"/>
  <c r="N143" i="26"/>
  <c r="E143" i="26"/>
  <c r="N147" i="26"/>
  <c r="E147" i="26"/>
  <c r="N151" i="26"/>
  <c r="E151" i="26"/>
  <c r="N155" i="26"/>
  <c r="E155" i="26"/>
  <c r="N273" i="26"/>
  <c r="E273" i="26"/>
  <c r="N277" i="26"/>
  <c r="E277" i="26"/>
  <c r="N281" i="26"/>
  <c r="E281" i="26"/>
  <c r="N285" i="26"/>
  <c r="E285" i="26"/>
  <c r="N289" i="26"/>
  <c r="E289" i="26"/>
  <c r="N291" i="26"/>
  <c r="E291" i="26"/>
  <c r="N293" i="26"/>
  <c r="E293" i="26"/>
  <c r="N295" i="26"/>
  <c r="E295" i="26"/>
  <c r="N297" i="26"/>
  <c r="E297" i="26"/>
  <c r="N299" i="26"/>
  <c r="E299" i="26"/>
  <c r="N301" i="26"/>
  <c r="E301" i="26"/>
  <c r="N303" i="26"/>
  <c r="E303" i="26"/>
  <c r="N305" i="26"/>
  <c r="E305" i="26"/>
  <c r="N307" i="26"/>
  <c r="E307" i="26"/>
  <c r="N309" i="26"/>
  <c r="E309" i="26"/>
  <c r="N311" i="26"/>
  <c r="E311" i="26"/>
  <c r="N313" i="26"/>
  <c r="E313" i="26"/>
  <c r="N315" i="26"/>
  <c r="E315" i="26"/>
  <c r="N317" i="26"/>
  <c r="E317" i="26"/>
  <c r="N41" i="26"/>
  <c r="E41" i="26"/>
  <c r="N25" i="26"/>
  <c r="E25" i="26"/>
  <c r="N43" i="26"/>
  <c r="E43" i="26"/>
  <c r="N35" i="26"/>
  <c r="E35" i="26"/>
  <c r="N27" i="26"/>
  <c r="E27" i="26"/>
  <c r="N19" i="26"/>
  <c r="E19" i="26"/>
  <c r="N11" i="26"/>
  <c r="E11" i="26"/>
  <c r="N61" i="26"/>
  <c r="E61" i="26"/>
  <c r="N65" i="26"/>
  <c r="E65" i="26"/>
  <c r="N69" i="26"/>
  <c r="E69" i="26"/>
  <c r="N73" i="26"/>
  <c r="E73" i="26"/>
  <c r="N77" i="26"/>
  <c r="E77" i="26"/>
  <c r="N81" i="26"/>
  <c r="E81" i="26"/>
  <c r="N85" i="26"/>
  <c r="E85" i="26"/>
  <c r="N89" i="26"/>
  <c r="E89" i="26"/>
  <c r="N93" i="26"/>
  <c r="E93" i="26"/>
  <c r="N97" i="26"/>
  <c r="E97" i="26"/>
  <c r="N101" i="26"/>
  <c r="E101" i="26"/>
  <c r="N113" i="26"/>
  <c r="E113" i="26"/>
  <c r="N117" i="26"/>
  <c r="E117" i="26"/>
  <c r="N121" i="26"/>
  <c r="E121" i="26"/>
  <c r="N125" i="26"/>
  <c r="E125" i="26"/>
  <c r="N129" i="26"/>
  <c r="E129" i="26"/>
  <c r="N133" i="26"/>
  <c r="E133" i="26"/>
  <c r="N137" i="26"/>
  <c r="E137" i="26"/>
  <c r="N141" i="26"/>
  <c r="E141" i="26"/>
  <c r="N145" i="26"/>
  <c r="E145" i="26"/>
  <c r="N149" i="26"/>
  <c r="E149" i="26"/>
  <c r="N153" i="26"/>
  <c r="E153" i="26"/>
  <c r="N157" i="26"/>
  <c r="E157" i="26"/>
  <c r="N275" i="26"/>
  <c r="E275" i="26"/>
  <c r="N279" i="26"/>
  <c r="E279" i="26"/>
  <c r="N283" i="26"/>
  <c r="E283" i="26"/>
  <c r="N287" i="26"/>
  <c r="E287" i="26"/>
  <c r="N42" i="26"/>
  <c r="E42" i="26"/>
  <c r="N38" i="26"/>
  <c r="E38" i="26"/>
  <c r="N34" i="26"/>
  <c r="E34" i="26"/>
  <c r="N30" i="26"/>
  <c r="E30" i="26"/>
  <c r="N26" i="26"/>
  <c r="E26" i="26"/>
  <c r="N22" i="26"/>
  <c r="E22" i="26"/>
  <c r="N18" i="26"/>
  <c r="E18" i="26"/>
  <c r="N14" i="26"/>
  <c r="E14" i="26"/>
  <c r="N10" i="26"/>
  <c r="E10" i="26"/>
  <c r="N5" i="26"/>
  <c r="E5" i="26"/>
  <c r="P7" i="27"/>
  <c r="P4" i="27"/>
  <c r="P8" i="27"/>
  <c r="P12" i="27"/>
  <c r="P16" i="27"/>
  <c r="P5" i="27"/>
  <c r="P13" i="27"/>
  <c r="P17" i="27"/>
  <c r="P9" i="27"/>
  <c r="P6" i="27"/>
  <c r="P10" i="27"/>
  <c r="P14" i="27"/>
  <c r="P18" i="27"/>
  <c r="P11" i="27"/>
  <c r="P15" i="27"/>
  <c r="G59" i="26" l="1"/>
  <c r="N59" i="26" l="1"/>
  <c r="E59" i="26"/>
  <c r="O15" i="26"/>
  <c r="Q15" i="26" s="1"/>
  <c r="R15" i="26" s="1"/>
  <c r="O288" i="26"/>
  <c r="Q288" i="26" s="1"/>
  <c r="R288" i="26" s="1"/>
  <c r="O128" i="26"/>
  <c r="Q128" i="26" s="1"/>
  <c r="R128" i="26" s="1"/>
  <c r="O74" i="26"/>
  <c r="Q74" i="26" s="1"/>
  <c r="R74" i="26" s="1"/>
  <c r="P128" i="26"/>
  <c r="S128" i="26" s="1"/>
  <c r="P74" i="26"/>
  <c r="S74" i="26" s="1"/>
  <c r="P288" i="26"/>
  <c r="S288" i="26" s="1"/>
  <c r="P15" i="26"/>
  <c r="S15" i="26" s="1"/>
  <c r="U74" i="26" l="1"/>
  <c r="T74" i="26"/>
  <c r="U128" i="26"/>
  <c r="T128" i="26"/>
  <c r="U288" i="26"/>
  <c r="T288" i="26"/>
  <c r="U15" i="26"/>
  <c r="T15" i="26"/>
  <c r="O283" i="26" l="1"/>
  <c r="Q283" i="26" s="1"/>
  <c r="R283" i="26" s="1"/>
  <c r="O282" i="26"/>
  <c r="Q282" i="26" s="1"/>
  <c r="R282" i="26" s="1"/>
  <c r="O122" i="26"/>
  <c r="Q122" i="26" s="1"/>
  <c r="R122" i="26" s="1"/>
  <c r="O123" i="26"/>
  <c r="Q123" i="26" s="1"/>
  <c r="R123" i="26" s="1"/>
  <c r="O68" i="26"/>
  <c r="Q68" i="26" s="1"/>
  <c r="R68" i="26" s="1"/>
  <c r="O69" i="26"/>
  <c r="Q69" i="26" s="1"/>
  <c r="R69" i="26" s="1"/>
  <c r="O11" i="26"/>
  <c r="Q11" i="26" s="1"/>
  <c r="R11" i="26" s="1"/>
  <c r="O40" i="26"/>
  <c r="Q40" i="26" s="1"/>
  <c r="R40" i="26" s="1"/>
  <c r="O313" i="26"/>
  <c r="Q313" i="26" s="1"/>
  <c r="R313" i="26" s="1"/>
  <c r="O153" i="26"/>
  <c r="Q153" i="26" s="1"/>
  <c r="R153" i="26" s="1"/>
  <c r="O99" i="26"/>
  <c r="Q99" i="26" s="1"/>
  <c r="R99" i="26" s="1"/>
  <c r="O307" i="26"/>
  <c r="Q307" i="26" s="1"/>
  <c r="R307" i="26" s="1"/>
  <c r="O147" i="26"/>
  <c r="Q147" i="26" s="1"/>
  <c r="R147" i="26" s="1"/>
  <c r="O93" i="26"/>
  <c r="Q93" i="26" s="1"/>
  <c r="R93" i="26" s="1"/>
  <c r="O34" i="26"/>
  <c r="Q34" i="26" s="1"/>
  <c r="R34" i="26" s="1"/>
  <c r="O278" i="26"/>
  <c r="Q278" i="26" s="1"/>
  <c r="R278" i="26" s="1"/>
  <c r="O118" i="26"/>
  <c r="Q118" i="26" s="1"/>
  <c r="R118" i="26" s="1"/>
  <c r="O64" i="26"/>
  <c r="Q64" i="26" s="1"/>
  <c r="R64" i="26" s="1"/>
  <c r="O7" i="26"/>
  <c r="Q7" i="26" s="1"/>
  <c r="R7" i="26" s="1"/>
  <c r="O126" i="26"/>
  <c r="Q126" i="26" s="1"/>
  <c r="R126" i="26" s="1"/>
  <c r="O286" i="26"/>
  <c r="Q286" i="26" s="1"/>
  <c r="R286" i="26" s="1"/>
  <c r="O72" i="26"/>
  <c r="Q72" i="26" s="1"/>
  <c r="R72" i="26" s="1"/>
  <c r="O13" i="26"/>
  <c r="Q13" i="26" s="1"/>
  <c r="R13" i="26" s="1"/>
  <c r="O101" i="26"/>
  <c r="Q101" i="26" s="1"/>
  <c r="R101" i="26" s="1"/>
  <c r="O315" i="26"/>
  <c r="Q315" i="26" s="1"/>
  <c r="R315" i="26" s="1"/>
  <c r="O155" i="26"/>
  <c r="Q155" i="26" s="1"/>
  <c r="R155" i="26" s="1"/>
  <c r="O42" i="26"/>
  <c r="Q42" i="26" s="1"/>
  <c r="R42" i="26" s="1"/>
  <c r="O100" i="26"/>
  <c r="Q100" i="26" s="1"/>
  <c r="R100" i="26" s="1"/>
  <c r="O314" i="26"/>
  <c r="Q314" i="26" s="1"/>
  <c r="R314" i="26" s="1"/>
  <c r="O154" i="26"/>
  <c r="Q154" i="26" s="1"/>
  <c r="R154" i="26" s="1"/>
  <c r="O41" i="26"/>
  <c r="Q41" i="26" s="1"/>
  <c r="R41" i="26" s="1"/>
  <c r="O119" i="26"/>
  <c r="Q119" i="26" s="1"/>
  <c r="R119" i="26" s="1"/>
  <c r="O279" i="26"/>
  <c r="Q279" i="26" s="1"/>
  <c r="R279" i="26" s="1"/>
  <c r="O8" i="26"/>
  <c r="Q8" i="26" s="1"/>
  <c r="R8" i="26" s="1"/>
  <c r="O65" i="26"/>
  <c r="Q65" i="26" s="1"/>
  <c r="R65" i="26" s="1"/>
  <c r="O43" i="26"/>
  <c r="Q43" i="26" s="1"/>
  <c r="R43" i="26" s="1"/>
  <c r="O316" i="26"/>
  <c r="Q316" i="26" s="1"/>
  <c r="R316" i="26" s="1"/>
  <c r="O156" i="26"/>
  <c r="Q156" i="26" s="1"/>
  <c r="R156" i="26" s="1"/>
  <c r="O102" i="26"/>
  <c r="Q102" i="26" s="1"/>
  <c r="R102" i="26" s="1"/>
  <c r="O96" i="26"/>
  <c r="Q96" i="26" s="1"/>
  <c r="R96" i="26" s="1"/>
  <c r="O310" i="26"/>
  <c r="Q310" i="26" s="1"/>
  <c r="R310" i="26" s="1"/>
  <c r="O150" i="26"/>
  <c r="Q150" i="26" s="1"/>
  <c r="R150" i="26" s="1"/>
  <c r="O37" i="26"/>
  <c r="Q37" i="26" s="1"/>
  <c r="R37" i="26" s="1"/>
  <c r="P285" i="26"/>
  <c r="S285" i="26" s="1"/>
  <c r="P124" i="26"/>
  <c r="S124" i="26" s="1"/>
  <c r="P70" i="26"/>
  <c r="S70" i="26" s="1"/>
  <c r="P284" i="26"/>
  <c r="S284" i="26" s="1"/>
  <c r="P125" i="26"/>
  <c r="S125" i="26" s="1"/>
  <c r="P71" i="26"/>
  <c r="S71" i="26" s="1"/>
  <c r="P12" i="26"/>
  <c r="S12" i="26" s="1"/>
  <c r="P136" i="26"/>
  <c r="S136" i="26" s="1"/>
  <c r="P296" i="26"/>
  <c r="S296" i="26" s="1"/>
  <c r="P82" i="26"/>
  <c r="S82" i="26" s="1"/>
  <c r="P23" i="26"/>
  <c r="S23" i="26" s="1"/>
  <c r="P33" i="26"/>
  <c r="S33" i="26" s="1"/>
  <c r="P146" i="26"/>
  <c r="S146" i="26" s="1"/>
  <c r="P92" i="26"/>
  <c r="S92" i="26" s="1"/>
  <c r="P306" i="26"/>
  <c r="S306" i="26" s="1"/>
  <c r="P26" i="26"/>
  <c r="S26" i="26" s="1"/>
  <c r="P299" i="26"/>
  <c r="S299" i="26" s="1"/>
  <c r="P139" i="26"/>
  <c r="S139" i="26" s="1"/>
  <c r="P85" i="26"/>
  <c r="S85" i="26" s="1"/>
  <c r="P140" i="26"/>
  <c r="S140" i="26" s="1"/>
  <c r="P300" i="26"/>
  <c r="S300" i="26" s="1"/>
  <c r="P86" i="26"/>
  <c r="S86" i="26" s="1"/>
  <c r="P27" i="26"/>
  <c r="S27" i="26" s="1"/>
  <c r="P18" i="26"/>
  <c r="S18" i="26" s="1"/>
  <c r="P291" i="26"/>
  <c r="S291" i="26" s="1"/>
  <c r="P131" i="26"/>
  <c r="S131" i="26" s="1"/>
  <c r="P77" i="26"/>
  <c r="S77" i="26" s="1"/>
  <c r="P276" i="26"/>
  <c r="S276" i="26" s="1"/>
  <c r="P116" i="26"/>
  <c r="S116" i="26" s="1"/>
  <c r="P62" i="26"/>
  <c r="S62" i="26" s="1"/>
  <c r="P5" i="26"/>
  <c r="S5" i="26" s="1"/>
  <c r="P308" i="26"/>
  <c r="S308" i="26" s="1"/>
  <c r="P148" i="26"/>
  <c r="S148" i="26" s="1"/>
  <c r="P94" i="26"/>
  <c r="S94" i="26" s="1"/>
  <c r="P35" i="26"/>
  <c r="S35" i="26" s="1"/>
  <c r="P25" i="26"/>
  <c r="S25" i="26" s="1"/>
  <c r="P138" i="26"/>
  <c r="S138" i="26" s="1"/>
  <c r="P298" i="26"/>
  <c r="S298" i="26" s="1"/>
  <c r="P84" i="26"/>
  <c r="S84" i="26" s="1"/>
  <c r="P287" i="26"/>
  <c r="S287" i="26" s="1"/>
  <c r="P73" i="26"/>
  <c r="S73" i="26" s="1"/>
  <c r="P14" i="26"/>
  <c r="S14" i="26" s="1"/>
  <c r="P127" i="26"/>
  <c r="S127" i="26" s="1"/>
  <c r="O28" i="26"/>
  <c r="Q28" i="26" s="1"/>
  <c r="R28" i="26" s="1"/>
  <c r="O87" i="26"/>
  <c r="Q87" i="26" s="1"/>
  <c r="R87" i="26" s="1"/>
  <c r="O301" i="26"/>
  <c r="Q301" i="26" s="1"/>
  <c r="R301" i="26" s="1"/>
  <c r="O141" i="26"/>
  <c r="Q141" i="26" s="1"/>
  <c r="R141" i="26" s="1"/>
  <c r="O97" i="26"/>
  <c r="Q97" i="26" s="1"/>
  <c r="R97" i="26" s="1"/>
  <c r="O311" i="26"/>
  <c r="Q311" i="26" s="1"/>
  <c r="R311" i="26" s="1"/>
  <c r="O151" i="26"/>
  <c r="Q151" i="26" s="1"/>
  <c r="R151" i="26" s="1"/>
  <c r="O38" i="26"/>
  <c r="Q38" i="26" s="1"/>
  <c r="R38" i="26" s="1"/>
  <c r="O117" i="26"/>
  <c r="Q117" i="26" s="1"/>
  <c r="R117" i="26" s="1"/>
  <c r="O277" i="26"/>
  <c r="Q277" i="26" s="1"/>
  <c r="R277" i="26" s="1"/>
  <c r="O6" i="26"/>
  <c r="Q6" i="26" s="1"/>
  <c r="R6" i="26" s="1"/>
  <c r="O63" i="26"/>
  <c r="Q63" i="26" s="1"/>
  <c r="R63" i="26" s="1"/>
  <c r="O274" i="26"/>
  <c r="Q274" i="26" s="1"/>
  <c r="R274" i="26" s="1"/>
  <c r="O114" i="26"/>
  <c r="Q114" i="26" s="1"/>
  <c r="R114" i="26" s="1"/>
  <c r="O60" i="26"/>
  <c r="Q60" i="26" s="1"/>
  <c r="R60" i="26" s="1"/>
  <c r="O3" i="26"/>
  <c r="Q3" i="26" s="1"/>
  <c r="R3" i="26" s="1"/>
  <c r="O309" i="26"/>
  <c r="Q309" i="26" s="1"/>
  <c r="R309" i="26" s="1"/>
  <c r="O149" i="26"/>
  <c r="Q149" i="26" s="1"/>
  <c r="R149" i="26" s="1"/>
  <c r="O36" i="26"/>
  <c r="Q36" i="26" s="1"/>
  <c r="R36" i="26" s="1"/>
  <c r="O95" i="26"/>
  <c r="Q95" i="26" s="1"/>
  <c r="R95" i="26" s="1"/>
  <c r="O39" i="26"/>
  <c r="Q39" i="26" s="1"/>
  <c r="R39" i="26" s="1"/>
  <c r="O312" i="26"/>
  <c r="Q312" i="26" s="1"/>
  <c r="R312" i="26" s="1"/>
  <c r="O152" i="26"/>
  <c r="Q152" i="26" s="1"/>
  <c r="R152" i="26" s="1"/>
  <c r="O98" i="26"/>
  <c r="Q98" i="26" s="1"/>
  <c r="R98" i="26" s="1"/>
  <c r="O290" i="26"/>
  <c r="Q290" i="26" s="1"/>
  <c r="R290" i="26" s="1"/>
  <c r="O130" i="26"/>
  <c r="Q130" i="26" s="1"/>
  <c r="R130" i="26" s="1"/>
  <c r="O76" i="26"/>
  <c r="Q76" i="26" s="1"/>
  <c r="R76" i="26" s="1"/>
  <c r="O17" i="26"/>
  <c r="Q17" i="26" s="1"/>
  <c r="R17" i="26" s="1"/>
  <c r="O302" i="26"/>
  <c r="Q302" i="26" s="1"/>
  <c r="R302" i="26" s="1"/>
  <c r="O142" i="26"/>
  <c r="Q142" i="26" s="1"/>
  <c r="R142" i="26" s="1"/>
  <c r="O88" i="26"/>
  <c r="Q88" i="26" s="1"/>
  <c r="R88" i="26" s="1"/>
  <c r="O29" i="26"/>
  <c r="Q29" i="26" s="1"/>
  <c r="R29" i="26" s="1"/>
  <c r="O113" i="26"/>
  <c r="Q113" i="26" s="1"/>
  <c r="R113" i="26" s="1"/>
  <c r="O273" i="26"/>
  <c r="Q273" i="26" s="1"/>
  <c r="R273" i="26" s="1"/>
  <c r="O2" i="26"/>
  <c r="Q2" i="26" s="1"/>
  <c r="R2" i="26" s="1"/>
  <c r="O59" i="26"/>
  <c r="Q59" i="26" s="1"/>
  <c r="R59" i="26" s="1"/>
  <c r="O24" i="26"/>
  <c r="Q24" i="26" s="1"/>
  <c r="R24" i="26" s="1"/>
  <c r="O297" i="26"/>
  <c r="Q297" i="26" s="1"/>
  <c r="R297" i="26" s="1"/>
  <c r="O137" i="26"/>
  <c r="Q137" i="26" s="1"/>
  <c r="R137" i="26" s="1"/>
  <c r="O83" i="26"/>
  <c r="Q83" i="26" s="1"/>
  <c r="R83" i="26" s="1"/>
  <c r="O9" i="26"/>
  <c r="Q9" i="26" s="1"/>
  <c r="R9" i="26" s="1"/>
  <c r="O120" i="26"/>
  <c r="Q120" i="26" s="1"/>
  <c r="R120" i="26" s="1"/>
  <c r="O280" i="26"/>
  <c r="Q280" i="26" s="1"/>
  <c r="R280" i="26" s="1"/>
  <c r="O66" i="26"/>
  <c r="Q66" i="26" s="1"/>
  <c r="R66" i="26" s="1"/>
  <c r="O44" i="26"/>
  <c r="Q44" i="26" s="1"/>
  <c r="R44" i="26" s="1"/>
  <c r="O317" i="26"/>
  <c r="Q317" i="26" s="1"/>
  <c r="R317" i="26" s="1"/>
  <c r="O157" i="26"/>
  <c r="Q157" i="26" s="1"/>
  <c r="R157" i="26" s="1"/>
  <c r="O103" i="26"/>
  <c r="Q103" i="26" s="1"/>
  <c r="R103" i="26" s="1"/>
  <c r="P11" i="26"/>
  <c r="S11" i="26" s="1"/>
  <c r="P282" i="26"/>
  <c r="S282" i="26" s="1"/>
  <c r="P123" i="26"/>
  <c r="S123" i="26" s="1"/>
  <c r="P69" i="26"/>
  <c r="S69" i="26" s="1"/>
  <c r="P283" i="26"/>
  <c r="S283" i="26" s="1"/>
  <c r="P122" i="26"/>
  <c r="S122" i="26" s="1"/>
  <c r="P68" i="26"/>
  <c r="S68" i="26" s="1"/>
  <c r="P153" i="26"/>
  <c r="S153" i="26" s="1"/>
  <c r="P99" i="26"/>
  <c r="S99" i="26" s="1"/>
  <c r="P313" i="26"/>
  <c r="S313" i="26" s="1"/>
  <c r="P40" i="26"/>
  <c r="S40" i="26" s="1"/>
  <c r="P307" i="26"/>
  <c r="S307" i="26" s="1"/>
  <c r="P93" i="26"/>
  <c r="S93" i="26" s="1"/>
  <c r="P34" i="26"/>
  <c r="S34" i="26" s="1"/>
  <c r="P147" i="26"/>
  <c r="S147" i="26" s="1"/>
  <c r="P7" i="26"/>
  <c r="S7" i="26" s="1"/>
  <c r="P64" i="26"/>
  <c r="S64" i="26" s="1"/>
  <c r="P118" i="26"/>
  <c r="S118" i="26" s="1"/>
  <c r="P278" i="26"/>
  <c r="S278" i="26" s="1"/>
  <c r="P13" i="26"/>
  <c r="S13" i="26" s="1"/>
  <c r="P126" i="26"/>
  <c r="S126" i="26" s="1"/>
  <c r="P72" i="26"/>
  <c r="S72" i="26" s="1"/>
  <c r="P286" i="26"/>
  <c r="S286" i="26" s="1"/>
  <c r="P315" i="26"/>
  <c r="S315" i="26" s="1"/>
  <c r="P42" i="26"/>
  <c r="S42" i="26" s="1"/>
  <c r="P155" i="26"/>
  <c r="S155" i="26" s="1"/>
  <c r="P101" i="26"/>
  <c r="S101" i="26" s="1"/>
  <c r="P41" i="26"/>
  <c r="S41" i="26" s="1"/>
  <c r="P314" i="26"/>
  <c r="S314" i="26" s="1"/>
  <c r="P154" i="26"/>
  <c r="S154" i="26" s="1"/>
  <c r="P100" i="26"/>
  <c r="S100" i="26" s="1"/>
  <c r="P8" i="26"/>
  <c r="S8" i="26" s="1"/>
  <c r="P279" i="26"/>
  <c r="S279" i="26" s="1"/>
  <c r="P119" i="26"/>
  <c r="S119" i="26" s="1"/>
  <c r="P65" i="26"/>
  <c r="S65" i="26" s="1"/>
  <c r="P156" i="26"/>
  <c r="S156" i="26" s="1"/>
  <c r="P316" i="26"/>
  <c r="S316" i="26" s="1"/>
  <c r="P102" i="26"/>
  <c r="S102" i="26" s="1"/>
  <c r="P43" i="26"/>
  <c r="S43" i="26" s="1"/>
  <c r="P37" i="26"/>
  <c r="S37" i="26" s="1"/>
  <c r="P310" i="26"/>
  <c r="S310" i="26" s="1"/>
  <c r="P150" i="26"/>
  <c r="S150" i="26" s="1"/>
  <c r="P96" i="26"/>
  <c r="S96" i="26" s="1"/>
  <c r="O10" i="26"/>
  <c r="Q10" i="26" s="1"/>
  <c r="R10" i="26" s="1"/>
  <c r="O121" i="26"/>
  <c r="Q121" i="26" s="1"/>
  <c r="R121" i="26" s="1"/>
  <c r="O281" i="26"/>
  <c r="Q281" i="26" s="1"/>
  <c r="R281" i="26" s="1"/>
  <c r="O67" i="26"/>
  <c r="Q67" i="26" s="1"/>
  <c r="R67" i="26" s="1"/>
  <c r="O89" i="26"/>
  <c r="Q89" i="26" s="1"/>
  <c r="R89" i="26" s="1"/>
  <c r="O303" i="26"/>
  <c r="Q303" i="26" s="1"/>
  <c r="R303" i="26" s="1"/>
  <c r="O143" i="26"/>
  <c r="Q143" i="26" s="1"/>
  <c r="R143" i="26" s="1"/>
  <c r="O30" i="26"/>
  <c r="Q30" i="26" s="1"/>
  <c r="R30" i="26" s="1"/>
  <c r="O81" i="26"/>
  <c r="Q81" i="26" s="1"/>
  <c r="R81" i="26" s="1"/>
  <c r="O295" i="26"/>
  <c r="Q295" i="26" s="1"/>
  <c r="R295" i="26" s="1"/>
  <c r="O135" i="26"/>
  <c r="Q135" i="26" s="1"/>
  <c r="R135" i="26" s="1"/>
  <c r="O22" i="26"/>
  <c r="Q22" i="26" s="1"/>
  <c r="R22" i="26" s="1"/>
  <c r="O115" i="26"/>
  <c r="Q115" i="26" s="1"/>
  <c r="R115" i="26" s="1"/>
  <c r="O275" i="26"/>
  <c r="Q275" i="26" s="1"/>
  <c r="R275" i="26" s="1"/>
  <c r="O4" i="26"/>
  <c r="Q4" i="26" s="1"/>
  <c r="R4" i="26" s="1"/>
  <c r="O61" i="26"/>
  <c r="Q61" i="26" s="1"/>
  <c r="R61" i="26" s="1"/>
  <c r="O19" i="26"/>
  <c r="Q19" i="26" s="1"/>
  <c r="R19" i="26" s="1"/>
  <c r="O292" i="26"/>
  <c r="Q292" i="26" s="1"/>
  <c r="R292" i="26" s="1"/>
  <c r="O132" i="26"/>
  <c r="Q132" i="26" s="1"/>
  <c r="R132" i="26" s="1"/>
  <c r="O78" i="26"/>
  <c r="Q78" i="26" s="1"/>
  <c r="R78" i="26" s="1"/>
  <c r="O289" i="26"/>
  <c r="Q289" i="26" s="1"/>
  <c r="R289" i="26" s="1"/>
  <c r="O129" i="26"/>
  <c r="Q129" i="26" s="1"/>
  <c r="R129" i="26" s="1"/>
  <c r="O16" i="26"/>
  <c r="Q16" i="26" s="1"/>
  <c r="R16" i="26" s="1"/>
  <c r="O75" i="26"/>
  <c r="Q75" i="26" s="1"/>
  <c r="R75" i="26" s="1"/>
  <c r="O31" i="26"/>
  <c r="Q31" i="26" s="1"/>
  <c r="R31" i="26" s="1"/>
  <c r="O304" i="26"/>
  <c r="Q304" i="26" s="1"/>
  <c r="R304" i="26" s="1"/>
  <c r="O144" i="26"/>
  <c r="Q144" i="26" s="1"/>
  <c r="R144" i="26" s="1"/>
  <c r="O90" i="26"/>
  <c r="Q90" i="26" s="1"/>
  <c r="R90" i="26" s="1"/>
  <c r="O32" i="26"/>
  <c r="Q32" i="26" s="1"/>
  <c r="R32" i="26" s="1"/>
  <c r="O305" i="26"/>
  <c r="Q305" i="26" s="1"/>
  <c r="R305" i="26" s="1"/>
  <c r="O145" i="26"/>
  <c r="Q145" i="26" s="1"/>
  <c r="R145" i="26" s="1"/>
  <c r="O91" i="26"/>
  <c r="Q91" i="26" s="1"/>
  <c r="R91" i="26" s="1"/>
  <c r="O293" i="26"/>
  <c r="Q293" i="26" s="1"/>
  <c r="R293" i="26" s="1"/>
  <c r="O133" i="26"/>
  <c r="Q133" i="26" s="1"/>
  <c r="R133" i="26" s="1"/>
  <c r="O20" i="26"/>
  <c r="Q20" i="26" s="1"/>
  <c r="R20" i="26" s="1"/>
  <c r="O79" i="26"/>
  <c r="Q79" i="26" s="1"/>
  <c r="R79" i="26" s="1"/>
  <c r="O80" i="26"/>
  <c r="Q80" i="26" s="1"/>
  <c r="R80" i="26" s="1"/>
  <c r="O294" i="26"/>
  <c r="Q294" i="26" s="1"/>
  <c r="R294" i="26" s="1"/>
  <c r="O134" i="26"/>
  <c r="Q134" i="26" s="1"/>
  <c r="R134" i="26" s="1"/>
  <c r="O21" i="26"/>
  <c r="Q21" i="26" s="1"/>
  <c r="R21" i="26" s="1"/>
  <c r="P141" i="26"/>
  <c r="S141" i="26" s="1"/>
  <c r="P301" i="26"/>
  <c r="S301" i="26" s="1"/>
  <c r="P87" i="26"/>
  <c r="S87" i="26" s="1"/>
  <c r="P28" i="26"/>
  <c r="S28" i="26" s="1"/>
  <c r="P38" i="26"/>
  <c r="S38" i="26" s="1"/>
  <c r="P311" i="26"/>
  <c r="S311" i="26" s="1"/>
  <c r="P97" i="26"/>
  <c r="S97" i="26" s="1"/>
  <c r="P151" i="26"/>
  <c r="S151" i="26" s="1"/>
  <c r="P277" i="26"/>
  <c r="S277" i="26" s="1"/>
  <c r="P117" i="26"/>
  <c r="S117" i="26" s="1"/>
  <c r="P63" i="26"/>
  <c r="S63" i="26" s="1"/>
  <c r="P6" i="26"/>
  <c r="S6" i="26" s="1"/>
  <c r="P3" i="26"/>
  <c r="S3" i="26" s="1"/>
  <c r="P114" i="26"/>
  <c r="S114" i="26" s="1"/>
  <c r="P60" i="26"/>
  <c r="S60" i="26" s="1"/>
  <c r="P274" i="26"/>
  <c r="S274" i="26" s="1"/>
  <c r="P149" i="26"/>
  <c r="S149" i="26" s="1"/>
  <c r="P95" i="26"/>
  <c r="S95" i="26" s="1"/>
  <c r="P309" i="26"/>
  <c r="S309" i="26" s="1"/>
  <c r="P36" i="26"/>
  <c r="S36" i="26" s="1"/>
  <c r="P312" i="26"/>
  <c r="S312" i="26" s="1"/>
  <c r="P152" i="26"/>
  <c r="S152" i="26" s="1"/>
  <c r="P98" i="26"/>
  <c r="S98" i="26" s="1"/>
  <c r="P39" i="26"/>
  <c r="S39" i="26" s="1"/>
  <c r="P17" i="26"/>
  <c r="S17" i="26" s="1"/>
  <c r="P290" i="26"/>
  <c r="S290" i="26" s="1"/>
  <c r="P76" i="26"/>
  <c r="S76" i="26" s="1"/>
  <c r="P130" i="26"/>
  <c r="S130" i="26" s="1"/>
  <c r="P29" i="26"/>
  <c r="S29" i="26" s="1"/>
  <c r="P302" i="26"/>
  <c r="S302" i="26" s="1"/>
  <c r="P142" i="26"/>
  <c r="S142" i="26" s="1"/>
  <c r="P88" i="26"/>
  <c r="S88" i="26" s="1"/>
  <c r="P273" i="26"/>
  <c r="S273" i="26" s="1"/>
  <c r="P59" i="26"/>
  <c r="S59" i="26" s="1"/>
  <c r="P2" i="26"/>
  <c r="S2" i="26" s="1"/>
  <c r="P113" i="26"/>
  <c r="S113" i="26" s="1"/>
  <c r="P83" i="26"/>
  <c r="S83" i="26" s="1"/>
  <c r="P297" i="26"/>
  <c r="S297" i="26" s="1"/>
  <c r="P24" i="26"/>
  <c r="S24" i="26" s="1"/>
  <c r="P137" i="26"/>
  <c r="S137" i="26" s="1"/>
  <c r="P120" i="26"/>
  <c r="S120" i="26" s="1"/>
  <c r="P66" i="26"/>
  <c r="S66" i="26" s="1"/>
  <c r="P280" i="26"/>
  <c r="S280" i="26" s="1"/>
  <c r="P9" i="26"/>
  <c r="S9" i="26" s="1"/>
  <c r="P317" i="26"/>
  <c r="S317" i="26" s="1"/>
  <c r="P157" i="26"/>
  <c r="S157" i="26" s="1"/>
  <c r="P44" i="26"/>
  <c r="S44" i="26" s="1"/>
  <c r="P103" i="26"/>
  <c r="S103" i="26" s="1"/>
  <c r="O12" i="26"/>
  <c r="Q12" i="26" s="1"/>
  <c r="R12" i="26" s="1"/>
  <c r="O124" i="26"/>
  <c r="Q124" i="26" s="1"/>
  <c r="R124" i="26" s="1"/>
  <c r="O285" i="26"/>
  <c r="Q285" i="26" s="1"/>
  <c r="R285" i="26" s="1"/>
  <c r="O284" i="26"/>
  <c r="Q284" i="26" s="1"/>
  <c r="R284" i="26" s="1"/>
  <c r="O125" i="26"/>
  <c r="Q125" i="26" s="1"/>
  <c r="R125" i="26" s="1"/>
  <c r="O70" i="26"/>
  <c r="Q70" i="26" s="1"/>
  <c r="R70" i="26" s="1"/>
  <c r="O71" i="26"/>
  <c r="Q71" i="26" s="1"/>
  <c r="R71" i="26" s="1"/>
  <c r="O23" i="26"/>
  <c r="Q23" i="26" s="1"/>
  <c r="R23" i="26" s="1"/>
  <c r="O296" i="26"/>
  <c r="Q296" i="26" s="1"/>
  <c r="R296" i="26" s="1"/>
  <c r="O136" i="26"/>
  <c r="Q136" i="26" s="1"/>
  <c r="R136" i="26" s="1"/>
  <c r="O82" i="26"/>
  <c r="Q82" i="26" s="1"/>
  <c r="R82" i="26" s="1"/>
  <c r="O92" i="26"/>
  <c r="Q92" i="26" s="1"/>
  <c r="R92" i="26" s="1"/>
  <c r="O306" i="26"/>
  <c r="Q306" i="26" s="1"/>
  <c r="R306" i="26" s="1"/>
  <c r="O146" i="26"/>
  <c r="Q146" i="26" s="1"/>
  <c r="R146" i="26" s="1"/>
  <c r="O33" i="26"/>
  <c r="Q33" i="26" s="1"/>
  <c r="R33" i="26" s="1"/>
  <c r="O85" i="26"/>
  <c r="Q85" i="26" s="1"/>
  <c r="R85" i="26" s="1"/>
  <c r="O299" i="26"/>
  <c r="Q299" i="26" s="1"/>
  <c r="R299" i="26" s="1"/>
  <c r="O139" i="26"/>
  <c r="Q139" i="26" s="1"/>
  <c r="R139" i="26" s="1"/>
  <c r="O26" i="26"/>
  <c r="Q26" i="26" s="1"/>
  <c r="R26" i="26" s="1"/>
  <c r="O27" i="26"/>
  <c r="Q27" i="26" s="1"/>
  <c r="R27" i="26" s="1"/>
  <c r="O300" i="26"/>
  <c r="Q300" i="26" s="1"/>
  <c r="R300" i="26" s="1"/>
  <c r="O140" i="26"/>
  <c r="Q140" i="26" s="1"/>
  <c r="R140" i="26" s="1"/>
  <c r="O86" i="26"/>
  <c r="Q86" i="26" s="1"/>
  <c r="R86" i="26" s="1"/>
  <c r="O291" i="26"/>
  <c r="Q291" i="26" s="1"/>
  <c r="R291" i="26" s="1"/>
  <c r="O131" i="26"/>
  <c r="Q131" i="26" s="1"/>
  <c r="R131" i="26" s="1"/>
  <c r="O18" i="26"/>
  <c r="Q18" i="26" s="1"/>
  <c r="R18" i="26" s="1"/>
  <c r="O77" i="26"/>
  <c r="Q77" i="26" s="1"/>
  <c r="R77" i="26" s="1"/>
  <c r="O5" i="26"/>
  <c r="Q5" i="26" s="1"/>
  <c r="R5" i="26" s="1"/>
  <c r="O276" i="26"/>
  <c r="Q276" i="26" s="1"/>
  <c r="R276" i="26" s="1"/>
  <c r="O116" i="26"/>
  <c r="Q116" i="26" s="1"/>
  <c r="R116" i="26" s="1"/>
  <c r="O62" i="26"/>
  <c r="Q62" i="26" s="1"/>
  <c r="R62" i="26" s="1"/>
  <c r="O35" i="26"/>
  <c r="Q35" i="26" s="1"/>
  <c r="R35" i="26" s="1"/>
  <c r="O94" i="26"/>
  <c r="Q94" i="26" s="1"/>
  <c r="R94" i="26" s="1"/>
  <c r="O308" i="26"/>
  <c r="Q308" i="26" s="1"/>
  <c r="R308" i="26" s="1"/>
  <c r="O148" i="26"/>
  <c r="Q148" i="26" s="1"/>
  <c r="R148" i="26" s="1"/>
  <c r="O298" i="26"/>
  <c r="Q298" i="26" s="1"/>
  <c r="R298" i="26" s="1"/>
  <c r="O138" i="26"/>
  <c r="Q138" i="26" s="1"/>
  <c r="R138" i="26" s="1"/>
  <c r="O84" i="26"/>
  <c r="Q84" i="26" s="1"/>
  <c r="R84" i="26" s="1"/>
  <c r="O25" i="26"/>
  <c r="Q25" i="26" s="1"/>
  <c r="R25" i="26" s="1"/>
  <c r="O127" i="26"/>
  <c r="Q127" i="26" s="1"/>
  <c r="R127" i="26" s="1"/>
  <c r="O287" i="26"/>
  <c r="Q287" i="26" s="1"/>
  <c r="R287" i="26" s="1"/>
  <c r="O14" i="26"/>
  <c r="Q14" i="26" s="1"/>
  <c r="R14" i="26" s="1"/>
  <c r="O73" i="26"/>
  <c r="Q73" i="26" s="1"/>
  <c r="R73" i="26" s="1"/>
  <c r="P121" i="26"/>
  <c r="S121" i="26" s="1"/>
  <c r="P67" i="26"/>
  <c r="S67" i="26" s="1"/>
  <c r="P10" i="26"/>
  <c r="S10" i="26" s="1"/>
  <c r="P281" i="26"/>
  <c r="S281" i="26" s="1"/>
  <c r="P89" i="26"/>
  <c r="S89" i="26" s="1"/>
  <c r="P303" i="26"/>
  <c r="S303" i="26" s="1"/>
  <c r="P143" i="26"/>
  <c r="S143" i="26" s="1"/>
  <c r="P30" i="26"/>
  <c r="S30" i="26" s="1"/>
  <c r="P295" i="26"/>
  <c r="S295" i="26" s="1"/>
  <c r="P135" i="26"/>
  <c r="S135" i="26" s="1"/>
  <c r="P81" i="26"/>
  <c r="S81" i="26" s="1"/>
  <c r="P22" i="26"/>
  <c r="S22" i="26" s="1"/>
  <c r="P275" i="26"/>
  <c r="S275" i="26" s="1"/>
  <c r="P115" i="26"/>
  <c r="S115" i="26" s="1"/>
  <c r="P61" i="26"/>
  <c r="S61" i="26" s="1"/>
  <c r="P4" i="26"/>
  <c r="S4" i="26" s="1"/>
  <c r="P132" i="26"/>
  <c r="S132" i="26" s="1"/>
  <c r="P78" i="26"/>
  <c r="S78" i="26" s="1"/>
  <c r="P292" i="26"/>
  <c r="S292" i="26" s="1"/>
  <c r="P19" i="26"/>
  <c r="S19" i="26" s="1"/>
  <c r="P129" i="26"/>
  <c r="S129" i="26" s="1"/>
  <c r="P289" i="26"/>
  <c r="S289" i="26" s="1"/>
  <c r="P16" i="26"/>
  <c r="S16" i="26" s="1"/>
  <c r="P75" i="26"/>
  <c r="S75" i="26" s="1"/>
  <c r="P304" i="26"/>
  <c r="S304" i="26" s="1"/>
  <c r="P90" i="26"/>
  <c r="S90" i="26" s="1"/>
  <c r="P144" i="26"/>
  <c r="S144" i="26" s="1"/>
  <c r="P31" i="26"/>
  <c r="S31" i="26" s="1"/>
  <c r="P305" i="26"/>
  <c r="S305" i="26" s="1"/>
  <c r="P145" i="26"/>
  <c r="S145" i="26" s="1"/>
  <c r="P32" i="26"/>
  <c r="S32" i="26" s="1"/>
  <c r="P91" i="26"/>
  <c r="S91" i="26" s="1"/>
  <c r="P79" i="26"/>
  <c r="S79" i="26" s="1"/>
  <c r="P293" i="26"/>
  <c r="S293" i="26" s="1"/>
  <c r="P20" i="26"/>
  <c r="S20" i="26" s="1"/>
  <c r="P133" i="26"/>
  <c r="S133" i="26" s="1"/>
  <c r="P21" i="26"/>
  <c r="S21" i="26" s="1"/>
  <c r="P80" i="26"/>
  <c r="S80" i="26" s="1"/>
  <c r="P294" i="26"/>
  <c r="S294" i="26" s="1"/>
  <c r="P134" i="26"/>
  <c r="S134" i="26" s="1"/>
  <c r="T73" i="26" l="1"/>
  <c r="U73" i="26"/>
  <c r="T25" i="26"/>
  <c r="U25" i="26"/>
  <c r="U148" i="26"/>
  <c r="T148" i="26"/>
  <c r="T62" i="26"/>
  <c r="U62" i="26"/>
  <c r="T77" i="26"/>
  <c r="U77" i="26"/>
  <c r="U86" i="26"/>
  <c r="T86" i="26"/>
  <c r="T26" i="26"/>
  <c r="U26" i="26"/>
  <c r="U33" i="26"/>
  <c r="T33" i="26"/>
  <c r="T82" i="26"/>
  <c r="U82" i="26"/>
  <c r="T71" i="26"/>
  <c r="U71" i="26"/>
  <c r="U285" i="26"/>
  <c r="T285" i="26"/>
  <c r="U21" i="26"/>
  <c r="T21" i="26"/>
  <c r="T79" i="26"/>
  <c r="U79" i="26"/>
  <c r="T91" i="26"/>
  <c r="U91" i="26"/>
  <c r="U90" i="26"/>
  <c r="T90" i="26"/>
  <c r="U75" i="26"/>
  <c r="T75" i="26"/>
  <c r="U78" i="26"/>
  <c r="T78" i="26"/>
  <c r="U61" i="26"/>
  <c r="T61" i="26"/>
  <c r="T22" i="26"/>
  <c r="U22" i="26"/>
  <c r="T30" i="26"/>
  <c r="U30" i="26"/>
  <c r="T67" i="26"/>
  <c r="U67" i="26"/>
  <c r="T103" i="26"/>
  <c r="U103" i="26"/>
  <c r="T66" i="26"/>
  <c r="U66" i="26"/>
  <c r="U83" i="26"/>
  <c r="T83" i="26"/>
  <c r="U59" i="26"/>
  <c r="T59" i="26"/>
  <c r="U29" i="26"/>
  <c r="T29" i="26"/>
  <c r="T17" i="26"/>
  <c r="U17" i="26"/>
  <c r="U98" i="26"/>
  <c r="T98" i="26"/>
  <c r="T95" i="26"/>
  <c r="U95" i="26"/>
  <c r="U3" i="26"/>
  <c r="T3" i="26"/>
  <c r="U63" i="26"/>
  <c r="T63" i="26"/>
  <c r="T38" i="26"/>
  <c r="U38" i="26"/>
  <c r="U141" i="26"/>
  <c r="T141" i="26"/>
  <c r="T37" i="26"/>
  <c r="U37" i="26"/>
  <c r="T102" i="26"/>
  <c r="U102" i="26"/>
  <c r="U65" i="26"/>
  <c r="T65" i="26"/>
  <c r="T41" i="26"/>
  <c r="U41" i="26"/>
  <c r="T42" i="26"/>
  <c r="U42" i="26"/>
  <c r="U13" i="26"/>
  <c r="T13" i="26"/>
  <c r="U7" i="26"/>
  <c r="T7" i="26"/>
  <c r="T34" i="26"/>
  <c r="U34" i="26"/>
  <c r="U99" i="26"/>
  <c r="T99" i="26"/>
  <c r="U11" i="26"/>
  <c r="T11" i="26"/>
  <c r="T14" i="26"/>
  <c r="U14" i="26"/>
  <c r="U84" i="26"/>
  <c r="T84" i="26"/>
  <c r="U308" i="26"/>
  <c r="T308" i="26"/>
  <c r="U116" i="26"/>
  <c r="T116" i="26"/>
  <c r="T18" i="26"/>
  <c r="U18" i="26"/>
  <c r="T140" i="26"/>
  <c r="U140" i="26"/>
  <c r="U139" i="26"/>
  <c r="T139" i="26"/>
  <c r="U146" i="26"/>
  <c r="T146" i="26"/>
  <c r="U136" i="26"/>
  <c r="T136" i="26"/>
  <c r="U70" i="26"/>
  <c r="T70" i="26"/>
  <c r="U124" i="26"/>
  <c r="T124" i="26"/>
  <c r="U134" i="26"/>
  <c r="T134" i="26"/>
  <c r="T20" i="26"/>
  <c r="U20" i="26"/>
  <c r="U145" i="26"/>
  <c r="T145" i="26"/>
  <c r="U144" i="26"/>
  <c r="T144" i="26"/>
  <c r="U16" i="26"/>
  <c r="T16" i="26"/>
  <c r="U132" i="26"/>
  <c r="T132" i="26"/>
  <c r="U4" i="26"/>
  <c r="T4" i="26"/>
  <c r="U135" i="26"/>
  <c r="T135" i="26"/>
  <c r="U143" i="26"/>
  <c r="T143" i="26"/>
  <c r="U281" i="26"/>
  <c r="T281" i="26"/>
  <c r="U157" i="26"/>
  <c r="T157" i="26"/>
  <c r="U280" i="26"/>
  <c r="T280" i="26"/>
  <c r="U137" i="26"/>
  <c r="T137" i="26"/>
  <c r="U2" i="26"/>
  <c r="T2" i="26"/>
  <c r="U88" i="26"/>
  <c r="T88" i="26"/>
  <c r="T76" i="26"/>
  <c r="U76" i="26"/>
  <c r="U152" i="26"/>
  <c r="T152" i="26"/>
  <c r="T36" i="26"/>
  <c r="U36" i="26"/>
  <c r="T60" i="26"/>
  <c r="U60" i="26"/>
  <c r="U6" i="26"/>
  <c r="T6" i="26"/>
  <c r="T151" i="26"/>
  <c r="U151" i="26"/>
  <c r="U301" i="26"/>
  <c r="T301" i="26"/>
  <c r="U150" i="26"/>
  <c r="T150" i="26"/>
  <c r="T156" i="26"/>
  <c r="U156" i="26"/>
  <c r="T8" i="26"/>
  <c r="U8" i="26"/>
  <c r="U154" i="26"/>
  <c r="T154" i="26"/>
  <c r="U155" i="26"/>
  <c r="T155" i="26"/>
  <c r="U72" i="26"/>
  <c r="T72" i="26"/>
  <c r="U64" i="26"/>
  <c r="T64" i="26"/>
  <c r="T93" i="26"/>
  <c r="U93" i="26"/>
  <c r="U153" i="26"/>
  <c r="T153" i="26"/>
  <c r="T69" i="26"/>
  <c r="U69" i="26"/>
  <c r="U122" i="26"/>
  <c r="T122" i="26"/>
  <c r="U287" i="26"/>
  <c r="T287" i="26"/>
  <c r="T138" i="26"/>
  <c r="U138" i="26"/>
  <c r="U94" i="26"/>
  <c r="T94" i="26"/>
  <c r="U276" i="26"/>
  <c r="T276" i="26"/>
  <c r="U131" i="26"/>
  <c r="T131" i="26"/>
  <c r="T300" i="26"/>
  <c r="U300" i="26"/>
  <c r="U299" i="26"/>
  <c r="T299" i="26"/>
  <c r="T306" i="26"/>
  <c r="U306" i="26"/>
  <c r="T296" i="26"/>
  <c r="U296" i="26"/>
  <c r="U125" i="26"/>
  <c r="T125" i="26"/>
  <c r="T294" i="26"/>
  <c r="U294" i="26"/>
  <c r="U133" i="26"/>
  <c r="T133" i="26"/>
  <c r="T305" i="26"/>
  <c r="U305" i="26"/>
  <c r="U304" i="26"/>
  <c r="T304" i="26"/>
  <c r="U129" i="26"/>
  <c r="T129" i="26"/>
  <c r="U292" i="26"/>
  <c r="T292" i="26"/>
  <c r="U275" i="26"/>
  <c r="T275" i="26"/>
  <c r="U295" i="26"/>
  <c r="T295" i="26"/>
  <c r="U303" i="26"/>
  <c r="T303" i="26"/>
  <c r="U121" i="26"/>
  <c r="T121" i="26"/>
  <c r="T317" i="26"/>
  <c r="U317" i="26"/>
  <c r="U120" i="26"/>
  <c r="T120" i="26"/>
  <c r="U297" i="26"/>
  <c r="T297" i="26"/>
  <c r="U273" i="26"/>
  <c r="T273" i="26"/>
  <c r="U142" i="26"/>
  <c r="T142" i="26"/>
  <c r="U130" i="26"/>
  <c r="T130" i="26"/>
  <c r="U312" i="26"/>
  <c r="T312" i="26"/>
  <c r="T149" i="26"/>
  <c r="U149" i="26"/>
  <c r="U114" i="26"/>
  <c r="T114" i="26"/>
  <c r="U277" i="26"/>
  <c r="T277" i="26"/>
  <c r="U311" i="26"/>
  <c r="T311" i="26"/>
  <c r="T87" i="26"/>
  <c r="U87" i="26"/>
  <c r="T310" i="26"/>
  <c r="U310" i="26"/>
  <c r="T316" i="26"/>
  <c r="U316" i="26"/>
  <c r="U279" i="26"/>
  <c r="T279" i="26"/>
  <c r="U314" i="26"/>
  <c r="T314" i="26"/>
  <c r="U315" i="26"/>
  <c r="T315" i="26"/>
  <c r="U286" i="26"/>
  <c r="T286" i="26"/>
  <c r="U118" i="26"/>
  <c r="T118" i="26"/>
  <c r="T147" i="26"/>
  <c r="U147" i="26"/>
  <c r="T313" i="26"/>
  <c r="U313" i="26"/>
  <c r="U68" i="26"/>
  <c r="T68" i="26"/>
  <c r="U282" i="26"/>
  <c r="T282" i="26"/>
  <c r="U127" i="26"/>
  <c r="T127" i="26"/>
  <c r="U298" i="26"/>
  <c r="T298" i="26"/>
  <c r="T35" i="26"/>
  <c r="U35" i="26"/>
  <c r="T5" i="26"/>
  <c r="U5" i="26"/>
  <c r="U291" i="26"/>
  <c r="T291" i="26"/>
  <c r="U27" i="26"/>
  <c r="T27" i="26"/>
  <c r="U85" i="26"/>
  <c r="T85" i="26"/>
  <c r="T92" i="26"/>
  <c r="U92" i="26"/>
  <c r="T23" i="26"/>
  <c r="U23" i="26"/>
  <c r="T284" i="26"/>
  <c r="U284" i="26"/>
  <c r="T12" i="26"/>
  <c r="U12" i="26"/>
  <c r="U80" i="26"/>
  <c r="T80" i="26"/>
  <c r="U293" i="26"/>
  <c r="T293" i="26"/>
  <c r="T32" i="26"/>
  <c r="U32" i="26"/>
  <c r="U31" i="26"/>
  <c r="T31" i="26"/>
  <c r="T289" i="26"/>
  <c r="U289" i="26"/>
  <c r="T19" i="26"/>
  <c r="U19" i="26"/>
  <c r="U115" i="26"/>
  <c r="T115" i="26"/>
  <c r="U81" i="26"/>
  <c r="T81" i="26"/>
  <c r="T89" i="26"/>
  <c r="U89" i="26"/>
  <c r="U10" i="26"/>
  <c r="T10" i="26"/>
  <c r="U44" i="26"/>
  <c r="T44" i="26"/>
  <c r="T9" i="26"/>
  <c r="U9" i="26"/>
  <c r="U24" i="26"/>
  <c r="T24" i="26"/>
  <c r="U113" i="26"/>
  <c r="T113" i="26"/>
  <c r="U302" i="26"/>
  <c r="T302" i="26"/>
  <c r="T290" i="26"/>
  <c r="U290" i="26"/>
  <c r="T39" i="26"/>
  <c r="U39" i="26"/>
  <c r="U309" i="26"/>
  <c r="T309" i="26"/>
  <c r="U274" i="26"/>
  <c r="T274" i="26"/>
  <c r="U117" i="26"/>
  <c r="T117" i="26"/>
  <c r="U97" i="26"/>
  <c r="T97" i="26"/>
  <c r="U28" i="26"/>
  <c r="T28" i="26"/>
  <c r="U96" i="26"/>
  <c r="T96" i="26"/>
  <c r="U43" i="26"/>
  <c r="T43" i="26"/>
  <c r="U119" i="26"/>
  <c r="T119" i="26"/>
  <c r="U100" i="26"/>
  <c r="T100" i="26"/>
  <c r="U101" i="26"/>
  <c r="T101" i="26"/>
  <c r="U126" i="26"/>
  <c r="T126" i="26"/>
  <c r="U278" i="26"/>
  <c r="T278" i="26"/>
  <c r="U307" i="26"/>
  <c r="T307" i="26"/>
  <c r="T40" i="26"/>
  <c r="U40" i="26"/>
  <c r="U123" i="26"/>
  <c r="T123" i="26"/>
  <c r="U283" i="26"/>
  <c r="T283" i="26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<sst xmlns="http://schemas.openxmlformats.org/spreadsheetml/2006/main" count="65477" uniqueCount="301">
  <si>
    <t>FECHA</t>
  </si>
  <si>
    <t>TIPO</t>
  </si>
  <si>
    <t>Etiquetas de fila</t>
  </si>
  <si>
    <t>Total general</t>
  </si>
  <si>
    <t>BANCO</t>
  </si>
  <si>
    <t>BANCOS</t>
  </si>
  <si>
    <t>MONEDA</t>
  </si>
  <si>
    <t>USD</t>
  </si>
  <si>
    <t>EUR</t>
  </si>
  <si>
    <t>ARS</t>
  </si>
  <si>
    <t>MONEDA DOC</t>
  </si>
  <si>
    <t>EMPRESA</t>
  </si>
  <si>
    <t>CITRUSVIL S.A.</t>
  </si>
  <si>
    <t>VILUCO S.A.</t>
  </si>
  <si>
    <t>ENGORDAR S.A.</t>
  </si>
  <si>
    <t>EL PUCARA S.A.</t>
  </si>
  <si>
    <t>SUSCRIPCION</t>
  </si>
  <si>
    <t>RESCATE</t>
  </si>
  <si>
    <t>FONDOS</t>
  </si>
  <si>
    <t>FONDO</t>
  </si>
  <si>
    <t>CAPITAL</t>
  </si>
  <si>
    <t>OPERACIÓN</t>
  </si>
  <si>
    <t>Banco Industrial SA</t>
  </si>
  <si>
    <t>Banco Santander Rio S.A.</t>
  </si>
  <si>
    <t>Banco Supervielle, S.A.</t>
  </si>
  <si>
    <t>BBVA Banco Frances SA</t>
  </si>
  <si>
    <t>Banco de Galicia y Buenos Aires SA</t>
  </si>
  <si>
    <t>ICBC (Argentina) S.A</t>
  </si>
  <si>
    <t>HSBC Bank Argentina SA</t>
  </si>
  <si>
    <t>Banco Macro S.A.</t>
  </si>
  <si>
    <t>Banco Nacion Argentina</t>
  </si>
  <si>
    <t>Banco Credicoop, C.L.</t>
  </si>
  <si>
    <t>Banco de Servicios y Transacciones S.A.</t>
  </si>
  <si>
    <t>Banco de la Provincia de Buenos Aires</t>
  </si>
  <si>
    <t>Banco Patagonia SA</t>
  </si>
  <si>
    <t>Banco de Valores SA</t>
  </si>
  <si>
    <t>Banco Itau Argentina S.A</t>
  </si>
  <si>
    <t>IAM Ahorro Pesos B</t>
  </si>
  <si>
    <t>Super Ahorro Plus B</t>
  </si>
  <si>
    <t>Premier Renta CP en Pesos A</t>
  </si>
  <si>
    <t>FBA Renta Pesos B</t>
  </si>
  <si>
    <t>Fima Premium B</t>
  </si>
  <si>
    <t>Alpha Pesos Plus A</t>
  </si>
  <si>
    <t>Super Ahorro $ B</t>
  </si>
  <si>
    <t>HF Pesos I</t>
  </si>
  <si>
    <t>Fima Premium A</t>
  </si>
  <si>
    <t>HF Pesos G</t>
  </si>
  <si>
    <t>Alpha Pesos A</t>
  </si>
  <si>
    <t>Pionero Pesos</t>
  </si>
  <si>
    <t>Pellegrini Renta</t>
  </si>
  <si>
    <t>1810 Ahorro</t>
  </si>
  <si>
    <t>Quinquela Pesos B</t>
  </si>
  <si>
    <t>1822 Raices Ahorro Pesos</t>
  </si>
  <si>
    <t>Lombard Renta en Pesos</t>
  </si>
  <si>
    <t>IAM Renta Plus B</t>
  </si>
  <si>
    <t>SBS Pesos Plus B</t>
  </si>
  <si>
    <t>Fima Ahorro Pesos C</t>
  </si>
  <si>
    <t>Supergestion MIX VI B</t>
  </si>
  <si>
    <t>Fima Ahorro Pesos B</t>
  </si>
  <si>
    <t>FBA Ahorro Pesos B</t>
  </si>
  <si>
    <t>HF Pesos Plus I</t>
  </si>
  <si>
    <t>Fima Ahorro Pesos A</t>
  </si>
  <si>
    <t>Premier Renta Plus en Pesos A</t>
  </si>
  <si>
    <t>Alpha Ahorro A</t>
  </si>
  <si>
    <t>HF Pesos Plus G</t>
  </si>
  <si>
    <t>Fima Ahorro Plus C</t>
  </si>
  <si>
    <t>Pionero Renta Ahorro</t>
  </si>
  <si>
    <t>Pellegrini Renta Pesos B</t>
  </si>
  <si>
    <t>Pellegrini Renta Fija B</t>
  </si>
  <si>
    <t>1810 Renta Fija Argentina</t>
  </si>
  <si>
    <t>1810 Mas Ahorro</t>
  </si>
  <si>
    <t>Quinquela Performance B</t>
  </si>
  <si>
    <t>Goal Pesos B</t>
  </si>
  <si>
    <t>Goal Capital Plus B</t>
  </si>
  <si>
    <t>1822 Raices Inversion</t>
  </si>
  <si>
    <t>Delta Ahorro A</t>
  </si>
  <si>
    <t>Delta Ahorro Plus A</t>
  </si>
  <si>
    <t>Lombard Capital</t>
  </si>
  <si>
    <t>Alpha Renta Plus A</t>
  </si>
  <si>
    <t>FBA Renta Pesos Plus B</t>
  </si>
  <si>
    <t>Premier Renta Fija Ahorro A</t>
  </si>
  <si>
    <t>(T+0)</t>
  </si>
  <si>
    <t>(T+1)</t>
  </si>
  <si>
    <t>(T+2)</t>
  </si>
  <si>
    <t>LIQUIDEZ</t>
  </si>
  <si>
    <t>IMPORTE</t>
  </si>
  <si>
    <t>Etiquetas de columna</t>
  </si>
  <si>
    <t>CAPITAL INVERTIDO</t>
  </si>
  <si>
    <t>PATRIMONIO DEL FONDO</t>
  </si>
  <si>
    <t>RENDIMIENTO</t>
  </si>
  <si>
    <t>ALERTA</t>
  </si>
  <si>
    <t>DETALLE</t>
  </si>
  <si>
    <t>p1</t>
  </si>
  <si>
    <t>p2</t>
  </si>
  <si>
    <t>participacion</t>
  </si>
  <si>
    <t>politica</t>
  </si>
  <si>
    <t>Suma de CAPITAL INVERTIDO</t>
  </si>
  <si>
    <t>cumple politica</t>
  </si>
  <si>
    <t>INV</t>
  </si>
  <si>
    <t>bajo rendimiento</t>
  </si>
  <si>
    <t>supera maximo de participacion</t>
  </si>
  <si>
    <t>supera maximo de participacion y bajo rendimiento</t>
  </si>
  <si>
    <t>PARTICIPACION INVERSION</t>
  </si>
  <si>
    <t xml:space="preserve">COSTO DE OPORTUNIDAD </t>
  </si>
  <si>
    <t>INVERSION</t>
  </si>
  <si>
    <t>Total Suma de CAPITAL INVERTIDO</t>
  </si>
  <si>
    <t>Total Suma de participacion</t>
  </si>
  <si>
    <t>Suma de participacion</t>
  </si>
  <si>
    <t>(Todas)</t>
  </si>
  <si>
    <t>Banco Comafi</t>
  </si>
  <si>
    <t>Pionero Ahorro Dolares Clase B</t>
  </si>
  <si>
    <t>GARANTIA</t>
  </si>
  <si>
    <t xml:space="preserve">LIBERACION </t>
  </si>
  <si>
    <t>total</t>
  </si>
  <si>
    <t>valuación  disponible</t>
  </si>
  <si>
    <t>valuación  garantia</t>
  </si>
  <si>
    <t>total cp</t>
  </si>
  <si>
    <t>cp disponible</t>
  </si>
  <si>
    <t>cp en garantia</t>
  </si>
  <si>
    <t>AGRILAND INVESTMENT S.A</t>
  </si>
  <si>
    <t>NUECES DE CATAMARCA</t>
  </si>
  <si>
    <t xml:space="preserve">    </t>
  </si>
  <si>
    <t>TOTAL</t>
  </si>
  <si>
    <t>N/A</t>
  </si>
  <si>
    <t>DALPEL</t>
  </si>
  <si>
    <t>FCTSP</t>
  </si>
  <si>
    <t>ALCOVIL</t>
  </si>
  <si>
    <t>DISPONIBLE</t>
  </si>
  <si>
    <t>Balanz Money Market</t>
  </si>
  <si>
    <t>Balanz</t>
  </si>
  <si>
    <t>Bonos</t>
  </si>
  <si>
    <t>Max Capital</t>
  </si>
  <si>
    <t>FCI</t>
  </si>
  <si>
    <t>Schroder Renta Plus - B</t>
  </si>
  <si>
    <t>Gma Capital</t>
  </si>
  <si>
    <t>FCI VARIOS EN GMA T+1</t>
  </si>
  <si>
    <t>FCI VARIOS EN GMA T+0</t>
  </si>
  <si>
    <t>COVIL S.A.</t>
  </si>
  <si>
    <t>Intagro - IAM Renta Plus</t>
  </si>
  <si>
    <t>Intagro - IAM Ahorro Pesos</t>
  </si>
  <si>
    <t>INTAGRO</t>
  </si>
  <si>
    <t>PLAZO</t>
  </si>
  <si>
    <t>PLAZO FIJO</t>
  </si>
  <si>
    <t>CAUCION</t>
  </si>
  <si>
    <t>Plazo Fijo</t>
  </si>
  <si>
    <t>VENCIMIENTO</t>
  </si>
  <si>
    <t>TASA</t>
  </si>
  <si>
    <t>Suma de IMPORTE</t>
  </si>
  <si>
    <t>DATOS</t>
  </si>
  <si>
    <t>CAUCION-INTAGRO</t>
  </si>
  <si>
    <t>CAUCION-MAX CAPITAL</t>
  </si>
  <si>
    <t>29/06/2022</t>
  </si>
  <si>
    <t>?</t>
  </si>
  <si>
    <t>30/06/2022</t>
  </si>
  <si>
    <t>Balanz Capital Money Market</t>
  </si>
  <si>
    <t>AJUSTE</t>
  </si>
  <si>
    <t>18/08/22</t>
  </si>
  <si>
    <t xml:space="preserve"> 31.171.455,52 </t>
  </si>
  <si>
    <t>23/08/2022</t>
  </si>
  <si>
    <t>23/08/22</t>
  </si>
  <si>
    <t>29/08/22</t>
  </si>
  <si>
    <t/>
  </si>
  <si>
    <t>IAM Ahorro Pesos B (ivsa)</t>
  </si>
  <si>
    <t>CAUCION-IVSA</t>
  </si>
  <si>
    <t>CAUCION-GMA</t>
  </si>
  <si>
    <t>(Varios elementos)</t>
  </si>
  <si>
    <t>CAUCION-Balanz</t>
  </si>
  <si>
    <t>Stonex Money Market</t>
  </si>
  <si>
    <t>Stonex Gainvest Pesos B - MM</t>
  </si>
  <si>
    <t>FCI VARIOS EN MAX CAP T+0</t>
  </si>
  <si>
    <t>Super Ahorro $ B (SAN Valores)</t>
  </si>
  <si>
    <t>Pagaré Bursátil</t>
  </si>
  <si>
    <t>PAGARÉ</t>
  </si>
  <si>
    <t>ajuste</t>
  </si>
  <si>
    <t>Zofingen Securities SA</t>
  </si>
  <si>
    <t>Zofingen</t>
  </si>
  <si>
    <t>Macro Securities</t>
  </si>
  <si>
    <t>CCE Galicia (Cta. Remunerada)</t>
  </si>
  <si>
    <t>USD DL</t>
  </si>
  <si>
    <t>FCI MM-INTAGRO</t>
  </si>
  <si>
    <t>FCI PP Inversiones</t>
  </si>
  <si>
    <t>PP Inversiones</t>
  </si>
  <si>
    <t>Plazo Fijo Comafi</t>
  </si>
  <si>
    <t>Pagaré Zofingen</t>
  </si>
  <si>
    <t>Syngenta</t>
  </si>
  <si>
    <t xml:space="preserve">Syngenta </t>
  </si>
  <si>
    <t>Atanor</t>
  </si>
  <si>
    <t>CPS</t>
  </si>
  <si>
    <t>Pagaré Max A</t>
  </si>
  <si>
    <t>Pagaré Max C</t>
  </si>
  <si>
    <t>Pagaré Max S</t>
  </si>
  <si>
    <t>Prisma</t>
  </si>
  <si>
    <t>Macro Securities P</t>
  </si>
  <si>
    <t>FCI Dinamico MAX</t>
  </si>
  <si>
    <t>Pagare Zofingen P</t>
  </si>
  <si>
    <t>FCI Dinamico GMA</t>
  </si>
  <si>
    <t>FCI Dinamico PPI</t>
  </si>
  <si>
    <t>FCI COCOS CAPITAL</t>
  </si>
  <si>
    <t>COCOS CAPITAL</t>
  </si>
  <si>
    <t>Pagare GMA ENG</t>
  </si>
  <si>
    <t>Pagare GMA VLC</t>
  </si>
  <si>
    <t>Pagare GMA VLC U$S</t>
  </si>
  <si>
    <t>Pagare GMA ENG U$S</t>
  </si>
  <si>
    <t>Adcap Ahorro Pesos B</t>
  </si>
  <si>
    <t>FCI VARIOS EN LATIN SEC.</t>
  </si>
  <si>
    <t>Latin Securities</t>
  </si>
  <si>
    <t>FCI VARIOS EN PARAKEET</t>
  </si>
  <si>
    <t>Parakeet</t>
  </si>
  <si>
    <t>FCI VARIOS EN FACIMEX</t>
  </si>
  <si>
    <t>Facimex</t>
  </si>
  <si>
    <t>Galicia Securities</t>
  </si>
  <si>
    <t>FCI Intagro Margenes</t>
  </si>
  <si>
    <t>FCI Intagro Disponibilidad</t>
  </si>
  <si>
    <t>Pagare MAX VLC U$S</t>
  </si>
  <si>
    <t>Plazo Fijo BBVA</t>
  </si>
  <si>
    <t>30/05/2025</t>
  </si>
  <si>
    <t>Macro Securities USD</t>
  </si>
  <si>
    <t>VENCE EL 04-07-2022</t>
  </si>
  <si>
    <t>VENCE EL 27-06-2022</t>
  </si>
  <si>
    <t>VENCE EL 29-06-2022</t>
  </si>
  <si>
    <t>VENCE EL 30-06-2022</t>
  </si>
  <si>
    <t>VENCE EL 28-06-2022</t>
  </si>
  <si>
    <t>VENCE EL 07-07-2022</t>
  </si>
  <si>
    <t>VENCE EL 05-07-2022</t>
  </si>
  <si>
    <t>VENCE EL 06-07-2022</t>
  </si>
  <si>
    <t>VENCE EL 10-08-2022</t>
  </si>
  <si>
    <t>VENCE EL 18-08-2022</t>
  </si>
  <si>
    <t>VENCE EL 19-08-2022</t>
  </si>
  <si>
    <t>VENCE EL 22-08-2022</t>
  </si>
  <si>
    <t>VENCE EL 23-08-2022</t>
  </si>
  <si>
    <t>VENCE EL 29-08-2022</t>
  </si>
  <si>
    <t>VENCE EL 31-08-2022</t>
  </si>
  <si>
    <t>VENCE EL 02-09-2022</t>
  </si>
  <si>
    <t>VENCE EL 06-09-2022</t>
  </si>
  <si>
    <t>VENCE EL 07-09-2022</t>
  </si>
  <si>
    <t>VENCE EL 08-09-2022</t>
  </si>
  <si>
    <t>VENCE EL 09-09-2022</t>
  </si>
  <si>
    <t>VENCE EL 12-09-2022</t>
  </si>
  <si>
    <t>VENCE EL 16-01-2023</t>
  </si>
  <si>
    <t>VENCE EL 26-01-2023</t>
  </si>
  <si>
    <t>VENCE EL 08-02-2023</t>
  </si>
  <si>
    <t>VENCE EL 08-03-2023</t>
  </si>
  <si>
    <t>VENCE EL 15-03-2023</t>
  </si>
  <si>
    <t>VENCE EL 23-03-2023</t>
  </si>
  <si>
    <t>VENCE EL 27-03-2023</t>
  </si>
  <si>
    <t>VENCE EL 03-04-2023</t>
  </si>
  <si>
    <t>Detalles para Suma de IMPORTE - TIPO: (T+0), EMPRESA: VILUCO S.A. (+)</t>
  </si>
  <si>
    <t xml:space="preserve">Pagare MAX VLC    </t>
  </si>
  <si>
    <t>Pagare MAX ENG</t>
  </si>
  <si>
    <t>Detalles para Suma de IMPORTE - FONDO: Macro Securities USD, BANCO: Macro Securities USD, DATOS: , TIPO: (T+0), EMPRESA: VILUCO S.A. (+)</t>
  </si>
  <si>
    <t>VENCE EL 30-05-2025</t>
  </si>
  <si>
    <t>VENCE EL 16-07-2025</t>
  </si>
  <si>
    <t>Detalles para Suma de IMPORTE - FONDO: Pagare MAX VLC    , BANCO: Max Capital, DATOS: VENCE EL 30-05-2025, TIPO: PLAZO, EMPRESA: CITRUSVIL S.A. (+)</t>
  </si>
  <si>
    <t>Detalles para Suma de IMPORTE - FONDO: Pagare MAX VLC U$S, BANCO: Max Capital, DATOS: VENCE EL 16-07-2025, TIPO: USD DL, EMPRESA: CITRUSVIL S.A. (+)</t>
  </si>
  <si>
    <t>Plazo Fijo Santander</t>
  </si>
  <si>
    <t>FCI VARIOS EN INVIU</t>
  </si>
  <si>
    <t>Inviu inversiones</t>
  </si>
  <si>
    <t>Detalles para Suma de IMPORTE - TIPO: (T+0), EMPRESA: CITRUSVIL S.A. (+)</t>
  </si>
  <si>
    <t>FCI varios en Allaria</t>
  </si>
  <si>
    <t>Allaria Ledesma y Cía. Inversiones</t>
  </si>
  <si>
    <t>Rosario valores</t>
  </si>
  <si>
    <t>ON Banco comafi USD</t>
  </si>
  <si>
    <t>20/05/2026</t>
  </si>
  <si>
    <t>AL41 - Bono Rep. Arg.</t>
  </si>
  <si>
    <t>BONOS</t>
  </si>
  <si>
    <t>ON Tarjeta naranja</t>
  </si>
  <si>
    <t>ON Supervielle</t>
  </si>
  <si>
    <t>Supervielle</t>
  </si>
  <si>
    <t>FCI VARIOS EN MAX CAP - USD</t>
  </si>
  <si>
    <t>AL30 - Bono Rep. Arg.</t>
  </si>
  <si>
    <t>22/01/2026</t>
  </si>
  <si>
    <t>24/06/2026</t>
  </si>
  <si>
    <t>18/11/2026</t>
  </si>
  <si>
    <t>VENCE EL 20-05-2026</t>
  </si>
  <si>
    <t>VENCE EL 10-06-2026</t>
  </si>
  <si>
    <t>VENCE EL 24-06-2026</t>
  </si>
  <si>
    <t>VENCE EL 18-11-2026</t>
  </si>
  <si>
    <t>VENCE EL 22-01-2026</t>
  </si>
  <si>
    <t>VENCE EL 01-07-2026</t>
  </si>
  <si>
    <t>VENCE EL 05-08-2026</t>
  </si>
  <si>
    <t>25/11/2026</t>
  </si>
  <si>
    <t>VENCE EL 25-11-2026</t>
  </si>
  <si>
    <t>26/08/2026</t>
  </si>
  <si>
    <t>16/12/2026</t>
  </si>
  <si>
    <t>19/8/2026</t>
  </si>
  <si>
    <t>VENCE EL 02-12-2026</t>
  </si>
  <si>
    <t>VENCE EL 16-12-2026</t>
  </si>
  <si>
    <t>VENCE EL 04-11-2026</t>
  </si>
  <si>
    <t>VENCE EL 08-12-2026</t>
  </si>
  <si>
    <t>VENCE EL 26-08-2026</t>
  </si>
  <si>
    <t>VENCE EL 19-08-2026</t>
  </si>
  <si>
    <t>Balanz Money Market (T+1)</t>
  </si>
  <si>
    <t>AGROGANADERA</t>
  </si>
  <si>
    <t>Stonex</t>
  </si>
  <si>
    <t>Black Toro</t>
  </si>
  <si>
    <t>FCI BLACK TORO T+1</t>
  </si>
  <si>
    <t>BLACK TORO MONEY MARKET</t>
  </si>
  <si>
    <t>3,75</t>
  </si>
  <si>
    <t>CITRUSVIL</t>
  </si>
  <si>
    <t>VILUCO</t>
  </si>
  <si>
    <t>Alicia Maribel Diaz-08/09/2026 16:04:23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</si>
</sst>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 [$USD]\ * #,##0.0000_ ;_ [$USD]\ * \-#,##0.0000_ ;_ [$USD]\ * &quot;-&quot;??_ ;_ @_ "/>
    <numFmt numFmtId="167" formatCode="0.000%"/>
    <numFmt numFmtId="168" formatCode="0.0000%"/>
    <numFmt numFmtId="169" formatCode="0.00000%"/>
    <numFmt numFmtId="170" formatCode="dd/mm/yyyy;@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42">
    <xf numFmtId="0" fontId="0" fillId="0" borderId="0" xfId="0"/>
    <xf numFmtId="164" fontId="0" fillId="0" borderId="0" xfId="1" applyFont="1"/>
    <xf numFmtId="0" fontId="0" fillId="0" borderId="0" xfId="0" applyAlignment="1">
      <alignment horizontal="left"/>
    </xf>
    <xf numFmtId="0" fontId="0" fillId="0" borderId="0" xfId="0" pivotButton="1"/>
    <xf numFmtId="165" fontId="0" fillId="0" borderId="0" xfId="2" applyFont="1" applyFill="1"/>
    <xf numFmtId="165" fontId="0" fillId="0" borderId="0" xfId="2" applyFont="1"/>
    <xf numFmtId="4" fontId="0" fillId="0" borderId="0" xfId="0" applyNumberFormat="1"/>
    <xf numFmtId="0" fontId="0" fillId="0" borderId="0" xfId="0" quotePrefix="1"/>
    <xf numFmtId="0" fontId="0" fillId="0" borderId="0" xfId="1" applyNumberFormat="1" applyFont="1" applyFill="1"/>
    <xf numFmtId="9" fontId="0" fillId="0" borderId="0" xfId="9" applyFont="1"/>
    <xf numFmtId="165" fontId="0" fillId="0" borderId="0" xfId="0" applyNumberFormat="1"/>
    <xf numFmtId="0" fontId="0" fillId="2" borderId="0" xfId="0" applyFill="1"/>
    <xf numFmtId="165" fontId="0" fillId="2" borderId="0" xfId="2" applyFont="1" applyFill="1"/>
    <xf numFmtId="10" fontId="0" fillId="0" borderId="0" xfId="9" applyNumberFormat="1" applyFont="1"/>
    <xf numFmtId="167" fontId="0" fillId="0" borderId="0" xfId="9" applyNumberFormat="1" applyFont="1"/>
    <xf numFmtId="10" fontId="0" fillId="2" borderId="0" xfId="9" applyNumberFormat="1" applyFont="1" applyFill="1"/>
    <xf numFmtId="168" fontId="0" fillId="0" borderId="0" xfId="0" applyNumberFormat="1"/>
    <xf numFmtId="169" fontId="0" fillId="0" borderId="0" xfId="9" applyNumberFormat="1" applyFont="1" applyAlignment="1">
      <alignment horizontal="right"/>
    </xf>
    <xf numFmtId="169" fontId="0" fillId="0" borderId="0" xfId="9" applyNumberFormat="1" applyFont="1"/>
    <xf numFmtId="9" fontId="0" fillId="0" borderId="0" xfId="0" applyNumberFormat="1"/>
    <xf numFmtId="0" fontId="0" fillId="3" borderId="0" xfId="0" applyFill="1"/>
    <xf numFmtId="0" fontId="0" fillId="0" borderId="0" xfId="0" applyAlignment="1">
      <alignment horizontal="center"/>
    </xf>
    <xf numFmtId="165" fontId="0" fillId="0" borderId="0" xfId="2" quotePrefix="1" applyFont="1"/>
    <xf numFmtId="14" fontId="0" fillId="0" borderId="0" xfId="0" applyNumberFormat="1"/>
    <xf numFmtId="165" fontId="0" fillId="0" borderId="0" xfId="0" quotePrefix="1" applyNumberFormat="1"/>
    <xf numFmtId="14" fontId="0" fillId="0" borderId="0" xfId="2" applyNumberFormat="1" applyFont="1"/>
    <xf numFmtId="170" fontId="0" fillId="0" borderId="0" xfId="0" applyNumberFormat="1"/>
    <xf numFmtId="164" fontId="0" fillId="0" borderId="0" xfId="1" applyFont="1" applyFill="1"/>
    <xf numFmtId="0" fontId="0" fillId="0" borderId="1" xfId="0" applyBorder="1"/>
    <xf numFmtId="16" fontId="0" fillId="0" borderId="0" xfId="0" applyNumberFormat="1"/>
    <xf numFmtId="165" fontId="0" fillId="0" borderId="0" xfId="2" applyFont="1" applyAlignment="1">
      <alignment horizontal="center" vertical="center"/>
    </xf>
    <xf numFmtId="0" fontId="2" fillId="0" borderId="0" xfId="0" pivotButton="1" applyFont="1"/>
    <xf numFmtId="0" fontId="2" fillId="0" borderId="0" xfId="0" applyFont="1"/>
    <xf numFmtId="0" fontId="2" fillId="0" borderId="0" xfId="0" pivotButton="1" applyFont="1" applyAlignment="1">
      <alignment horizontal="center" vertical="center"/>
    </xf>
    <xf numFmtId="0" fontId="2" fillId="0" borderId="0" xfId="0" pivotButton="1" applyFont="1" applyAlignment="1">
      <alignment horizontal="center"/>
    </xf>
    <xf numFmtId="0" fontId="2" fillId="0" borderId="0" xfId="0" applyFont="1" applyAlignment="1">
      <alignment horizontal="center"/>
    </xf>
    <xf numFmtId="4" fontId="0" fillId="0" borderId="0" xfId="0" applyNumberFormat="1" applyAlignment="1">
      <alignment horizontal="right"/>
    </xf>
    <xf numFmtId="170" fontId="0" fillId="3" borderId="0" xfId="0" applyNumberFormat="1" applyFill="1"/>
    <xf numFmtId="164" fontId="0" fillId="3" borderId="0" xfId="1" applyFont="1" applyFill="1"/>
    <xf numFmtId="165" fontId="0" fillId="3" borderId="0" xfId="2" applyFont="1" applyFill="1"/>
    <xf numFmtId="0" fontId="0" fillId="3" borderId="0" xfId="1" applyNumberFormat="1" applyFont="1" applyFill="1"/>
    <xf numFmtId="43" fontId="0" fillId="0" borderId="0" xfId="0" applyNumberFormat="1"/>
    <xf numFmtId="43" fontId="2" fillId="0" borderId="0" xfId="0" applyNumberFormat="1" applyFont="1"/>
    <xf numFmtId="4" fontId="2" fillId="0" borderId="0" xfId="0" applyNumberFormat="1" applyFont="1"/>
    <xf numFmtId="169" fontId="0" fillId="0" borderId="0" xfId="9" applyNumberFormat="1" applyFont="1" applyBorder="1"/>
    <xf numFmtId="169" fontId="0" fillId="0" borderId="0" xfId="9" applyNumberFormat="1" applyFont="1" applyBorder="1" applyAlignment="1">
      <alignment horizontal="right"/>
    </xf>
    <xf numFmtId="167" fontId="0" fillId="0" borderId="0" xfId="9" applyNumberFormat="1" applyFont="1" applyBorder="1"/>
    <xf numFmtId="169" fontId="0" fillId="0" borderId="0" xfId="9" applyNumberFormat="1" applyFont="1" applyFill="1" applyAlignment="1">
      <alignment horizontal="right"/>
    </xf>
    <xf numFmtId="165" fontId="0" fillId="0" borderId="2" xfId="0" applyNumberFormat="1" applyBorder="1"/>
    <xf numFmtId="14" fontId="0" fillId="3" borderId="0" xfId="0" applyNumberFormat="1" applyFill="1"/>
    <xf numFmtId="165" fontId="0" fillId="0" borderId="3" xfId="2" applyFont="1" applyFill="1" applyBorder="1" applyAlignment="1">
      <alignment horizontal="left"/>
    </xf>
    <xf numFmtId="0" fontId="0" fillId="0" borderId="0" xfId="0" applyAlignment="1">
      <alignment horizontal="left" indent="1"/>
    </xf>
    <xf numFmtId="4" fontId="0" fillId="3" borderId="0" xfId="2" applyNumberFormat="1" applyFont="1" applyFill="1"/>
    <xf numFmtId="4" fontId="0" fillId="0" borderId="0" xfId="2" applyNumberFormat="1" applyFont="1" applyFill="1"/>
    <xf numFmtId="0" fontId="0" fillId="4" borderId="0" xfId="0" applyFill="1"/>
    <xf numFmtId="3" fontId="0" fillId="3" borderId="0" xfId="2" applyNumberFormat="1" applyFont="1" applyFill="1"/>
    <xf numFmtId="0" fontId="6" fillId="0" borderId="0" xfId="1" applyNumberFormat="1" applyFont="1" applyFill="1"/>
    <xf numFmtId="0" fontId="7" fillId="0" borderId="0" xfId="1" applyNumberFormat="1" applyFont="1" applyFill="1"/>
    <xf numFmtId="0" fontId="8" fillId="0" borderId="0" xfId="1" applyNumberFormat="1" applyFont="1" applyFill="1"/>
    <xf numFmtId="0" fontId="9" fillId="0" borderId="0" xfId="1" applyNumberFormat="1" applyFont="1" applyFill="1"/>
    <xf numFmtId="0" fontId="10" fillId="0" borderId="0" xfId="1" applyNumberFormat="1" applyFont="1" applyFill="1"/>
    <xf numFmtId="0" fontId="11" fillId="0" borderId="0" xfId="1" applyNumberFormat="1" applyFont="1" applyFill="1"/>
    <xf numFmtId="0" fontId="12" fillId="3" borderId="0" xfId="1" applyNumberFormat="1" applyFont="1" applyFill="1"/>
    <xf numFmtId="0" fontId="12" fillId="0" borderId="0" xfId="1" applyNumberFormat="1" applyFont="1" applyFill="1"/>
    <xf numFmtId="0" fontId="13" fillId="0" borderId="0" xfId="1" applyNumberFormat="1" applyFont="1" applyFill="1"/>
    <xf numFmtId="0" fontId="13" fillId="3" borderId="0" xfId="1" applyNumberFormat="1" applyFont="1" applyFill="1"/>
    <xf numFmtId="0" fontId="14" fillId="0" borderId="0" xfId="1" applyNumberFormat="1" applyFont="1" applyFill="1"/>
    <xf numFmtId="0" fontId="15" fillId="0" borderId="0" xfId="1" applyNumberFormat="1" applyFont="1" applyFill="1"/>
    <xf numFmtId="0" fontId="16" fillId="0" borderId="0" xfId="1" applyNumberFormat="1" applyFont="1" applyFill="1"/>
    <xf numFmtId="0" fontId="17" fillId="0" borderId="0" xfId="1" applyNumberFormat="1" applyFont="1" applyFill="1"/>
    <xf numFmtId="0" fontId="18" fillId="0" borderId="0" xfId="1" applyNumberFormat="1" applyFont="1" applyFill="1"/>
    <xf numFmtId="0" fontId="19" fillId="3" borderId="0" xfId="1" applyNumberFormat="1" applyFont="1" applyFill="1"/>
    <xf numFmtId="0" fontId="19" fillId="0" borderId="0" xfId="1" applyNumberFormat="1" applyFont="1" applyFill="1"/>
    <xf numFmtId="3" fontId="0" fillId="0" borderId="0" xfId="0" applyNumberFormat="1"/>
    <xf numFmtId="0" fontId="20" fillId="0" borderId="0" xfId="1" applyNumberFormat="1" applyFont="1" applyFill="1"/>
    <xf numFmtId="0" fontId="21" fillId="0" borderId="0" xfId="1" applyNumberFormat="1" applyFont="1" applyFill="1"/>
    <xf numFmtId="0" fontId="21" fillId="3" borderId="0" xfId="1" applyNumberFormat="1" applyFont="1" applyFill="1"/>
    <xf numFmtId="0" fontId="22" fillId="0" borderId="0" xfId="1" applyNumberFormat="1" applyFont="1" applyFill="1"/>
    <xf numFmtId="14" fontId="0" fillId="0" borderId="0" xfId="0" applyNumberFormat="1" applyAlignment="1">
      <alignment horizontal="right"/>
    </xf>
    <xf numFmtId="0" fontId="23" fillId="0" borderId="0" xfId="1" applyNumberFormat="1" applyFont="1" applyFill="1"/>
    <xf numFmtId="0" fontId="23" fillId="3" borderId="0" xfId="1" applyNumberFormat="1" applyFont="1" applyFill="1"/>
    <xf numFmtId="0" fontId="24" fillId="0" borderId="0" xfId="1" applyNumberFormat="1" applyFont="1" applyFill="1"/>
    <xf numFmtId="0" fontId="25" fillId="0" borderId="0" xfId="1" applyNumberFormat="1" applyFont="1" applyFill="1"/>
    <xf numFmtId="0" fontId="26" fillId="0" borderId="0" xfId="1" applyNumberFormat="1" applyFont="1" applyFill="1"/>
    <xf numFmtId="14" fontId="0" fillId="0" borderId="0" xfId="0" applyNumberFormat="1" applyAlignment="1">
      <alignment horizontal="center"/>
    </xf>
    <xf numFmtId="0" fontId="27" fillId="0" borderId="0" xfId="1" applyNumberFormat="1" applyFont="1" applyFill="1"/>
    <xf numFmtId="0" fontId="27" fillId="3" borderId="0" xfId="1" applyNumberFormat="1" applyFont="1" applyFill="1"/>
    <xf numFmtId="0" fontId="28" fillId="0" borderId="0" xfId="1" applyNumberFormat="1" applyFont="1" applyFill="1"/>
    <xf numFmtId="0" fontId="29" fillId="0" borderId="0" xfId="1" applyNumberFormat="1" applyFont="1" applyFill="1"/>
    <xf numFmtId="0" fontId="29" fillId="3" borderId="0" xfId="1" applyNumberFormat="1" applyFont="1" applyFill="1"/>
    <xf numFmtId="0" fontId="0" fillId="0" borderId="0" xfId="1" applyNumberFormat="1" applyFont="1"/>
    <xf numFmtId="170" fontId="0" fillId="5" borderId="0" xfId="0" applyNumberFormat="1" applyFill="1"/>
    <xf numFmtId="0" fontId="0" fillId="5" borderId="0" xfId="0" applyFill="1"/>
    <xf numFmtId="164" fontId="0" fillId="5" borderId="0" xfId="1" applyFont="1" applyFill="1"/>
    <xf numFmtId="165" fontId="0" fillId="5" borderId="0" xfId="2" applyFont="1" applyFill="1"/>
    <xf numFmtId="0" fontId="0" fillId="5" borderId="0" xfId="1" applyNumberFormat="1" applyFont="1" applyFill="1"/>
    <xf numFmtId="14" fontId="0" fillId="5" borderId="0" xfId="0" applyNumberFormat="1" applyFill="1"/>
    <xf numFmtId="0" fontId="5" fillId="5" borderId="0" xfId="1" applyNumberFormat="1" applyFont="1" applyFill="1"/>
    <xf numFmtId="0" fontId="30" fillId="0" borderId="0" xfId="1" applyNumberFormat="1" applyFont="1" applyFill="1"/>
    <xf numFmtId="0" fontId="31" fillId="0" borderId="0" xfId="1" applyNumberFormat="1" applyFont="1" applyFill="1"/>
    <xf numFmtId="3" fontId="0" fillId="0" borderId="0" xfId="2" applyNumberFormat="1" applyFont="1" applyFill="1"/>
    <xf numFmtId="0" fontId="32" fillId="0" borderId="0" xfId="1" applyNumberFormat="1" applyFont="1" applyFill="1"/>
    <xf numFmtId="0" fontId="33" fillId="0" borderId="0" xfId="1" applyNumberFormat="1" applyFont="1" applyFill="1"/>
    <xf numFmtId="0" fontId="34" fillId="0" borderId="0" xfId="1" applyNumberFormat="1" applyFont="1" applyFill="1"/>
    <xf numFmtId="0" fontId="35" fillId="0" borderId="0" xfId="1" applyNumberFormat="1" applyFont="1" applyFill="1"/>
    <xf numFmtId="0" fontId="36" fillId="0" borderId="0" xfId="1" applyNumberFormat="1" applyFont="1" applyFill="1"/>
    <xf numFmtId="0" fontId="37" fillId="0" borderId="0" xfId="1" applyNumberFormat="1" applyFont="1" applyFill="1"/>
    <xf numFmtId="0" fontId="37" fillId="3" borderId="0" xfId="1" applyNumberFormat="1" applyFont="1" applyFill="1"/>
    <xf numFmtId="0" fontId="38" fillId="0" borderId="0" xfId="1" applyNumberFormat="1" applyFont="1" applyFill="1"/>
    <xf numFmtId="0" fontId="39" fillId="0" borderId="0" xfId="1" applyNumberFormat="1" applyFont="1" applyFill="1"/>
    <xf numFmtId="0" fontId="40" fillId="0" borderId="0" xfId="1" applyNumberFormat="1" applyFont="1" applyFill="1"/>
    <xf numFmtId="0" fontId="41" fillId="0" borderId="0" xfId="1" applyNumberFormat="1" applyFont="1" applyFill="1"/>
    <xf numFmtId="0" fontId="41" fillId="3" borderId="0" xfId="1" applyNumberFormat="1" applyFont="1" applyFill="1"/>
    <xf numFmtId="165" fontId="0" fillId="0" borderId="0" xfId="2" applyFont="1" applyFill="1" applyAlignment="1">
      <alignment horizontal="right"/>
    </xf>
    <xf numFmtId="0" fontId="42" fillId="0" borderId="0" xfId="1" applyNumberFormat="1" applyFont="1" applyFill="1"/>
    <xf numFmtId="0" fontId="43" fillId="3" borderId="0" xfId="1" applyNumberFormat="1" applyFont="1" applyFill="1"/>
    <xf numFmtId="0" fontId="44" fillId="0" borderId="0" xfId="1" applyNumberFormat="1" applyFont="1" applyFill="1"/>
    <xf numFmtId="0" fontId="44" fillId="3" borderId="0" xfId="1" applyNumberFormat="1" applyFont="1" applyFill="1"/>
    <xf numFmtId="0" fontId="45" fillId="0" borderId="0" xfId="1" applyNumberFormat="1" applyFont="1" applyFill="1"/>
    <xf numFmtId="0" fontId="46" fillId="0" borderId="0" xfId="1" applyNumberFormat="1" applyFont="1" applyFill="1"/>
    <xf numFmtId="170" fontId="0" fillId="6" borderId="0" xfId="0" applyNumberFormat="1" applyFill="1"/>
    <xf numFmtId="0" fontId="0" fillId="6" borderId="0" xfId="0" applyFill="1"/>
    <xf numFmtId="164" fontId="0" fillId="6" borderId="0" xfId="1" applyFont="1" applyFill="1"/>
    <xf numFmtId="165" fontId="0" fillId="6" borderId="0" xfId="2" applyFont="1" applyFill="1"/>
    <xf numFmtId="0" fontId="0" fillId="6" borderId="0" xfId="1" applyNumberFormat="1" applyFont="1" applyFill="1"/>
    <xf numFmtId="14" fontId="0" fillId="6" borderId="0" xfId="0" applyNumberFormat="1" applyFill="1"/>
    <xf numFmtId="0" fontId="47" fillId="0" borderId="0" xfId="1" applyNumberFormat="1" applyFont="1" applyFill="1"/>
    <xf numFmtId="0" fontId="47" fillId="3" borderId="0" xfId="1" applyNumberFormat="1" applyFont="1" applyFill="1"/>
    <xf numFmtId="0" fontId="48" fillId="0" borderId="0" xfId="1" applyNumberFormat="1" applyFont="1" applyFill="1"/>
    <xf numFmtId="0" fontId="49" fillId="0" borderId="0" xfId="1" applyNumberFormat="1" applyFont="1" applyFill="1"/>
    <xf numFmtId="0" fontId="50" fillId="0" borderId="0" xfId="1" applyNumberFormat="1" applyFont="1" applyFill="1"/>
    <xf numFmtId="0" fontId="50" fillId="3" borderId="0" xfId="1" applyNumberFormat="1" applyFont="1" applyFill="1"/>
    <xf numFmtId="0" fontId="51" fillId="0" borderId="0" xfId="1" applyNumberFormat="1" applyFont="1" applyFill="1"/>
    <xf numFmtId="0" fontId="51" fillId="3" borderId="0" xfId="1" applyNumberFormat="1" applyFont="1" applyFill="1"/>
    <xf numFmtId="0" fontId="52" fillId="0" borderId="0" xfId="1" applyNumberFormat="1" applyFont="1" applyFill="1"/>
    <xf numFmtId="0" fontId="52" fillId="3" borderId="0" xfId="1" applyNumberFormat="1" applyFont="1" applyFill="1"/>
    <xf numFmtId="0" fontId="53" fillId="0" borderId="0" xfId="1" applyNumberFormat="1" applyFont="1" applyFill="1"/>
    <xf numFmtId="0" fontId="53" fillId="3" borderId="0" xfId="1" applyNumberFormat="1" applyFont="1" applyFill="1"/>
    <xf numFmtId="0" fontId="54" fillId="0" borderId="0" xfId="1" applyNumberFormat="1" applyFont="1" applyFill="1"/>
    <xf numFmtId="4" fontId="0" fillId="0" borderId="0" xfId="0" applyNumberFormat="1" applyFill="1"/>
    <xf numFmtId="0" fontId="0" fillId="0" borderId="0" xfId="0" applyFill="1" applyAlignment="1">
      <alignment horizontal="left"/>
    </xf>
    <xf numFmtId="4" fontId="0" fillId="0" borderId="0" xfId="0" applyNumberFormat="1" applyAlignment="1"/>
  </cellXfs>
  <cellStyles count="11">
    <cellStyle name="Millares" xfId="2" builtinId="3"/>
    <cellStyle name="Millares 3" xfId="10" xr:uid="{00000000-0005-0000-0000-000001000000}"/>
    <cellStyle name="Moneda" xfId="1" builtinId="4"/>
    <cellStyle name="Normal" xfId="0" builtinId="0"/>
    <cellStyle name="Normal 2" xfId="4" xr:uid="{00000000-0005-0000-0000-000004000000}"/>
    <cellStyle name="Normal 3" xfId="5" xr:uid="{00000000-0005-0000-0000-000005000000}"/>
    <cellStyle name="Normal 4" xfId="7" xr:uid="{00000000-0005-0000-0000-000006000000}"/>
    <cellStyle name="Normal 5" xfId="6" xr:uid="{00000000-0005-0000-0000-000007000000}"/>
    <cellStyle name="Normal 6" xfId="8" xr:uid="{00000000-0005-0000-0000-000008000000}"/>
    <cellStyle name="Normal 7" xfId="3" xr:uid="{00000000-0005-0000-0000-000009000000}"/>
    <cellStyle name="Porcentaje" xfId="9" builtinId="5"/>
  </cellStyles>
  <dxfs count="182">
    <dxf>
      <numFmt numFmtId="171" formatCode="d/m/yyyy"/>
    </dxf>
    <dxf>
      <numFmt numFmtId="171" formatCode="d/m/yyyy"/>
    </dxf>
    <dxf>
      <numFmt numFmtId="171" formatCode="d/m/yyyy"/>
    </dxf>
    <dxf>
      <numFmt numFmtId="171" formatCode="d/m/yyyy"/>
    </dxf>
    <dxf>
      <numFmt numFmtId="171" formatCode="d/m/yyyy"/>
    </dxf>
    <dxf>
      <numFmt numFmtId="171" formatCode="d/m/yyyy"/>
    </dxf>
    <dxf>
      <numFmt numFmtId="171" formatCode="d/m/yyyy"/>
    </dxf>
    <dxf>
      <numFmt numFmtId="165" formatCode="_ * #,##0.00_ ;_ * \-#,##0.00_ ;_ * &quot;-&quot;??_ ;_ @_ 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1" formatCode="d/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170" formatCode="dd/mm/yy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4" formatCode="#,##0.00"/>
    </dxf>
    <dxf>
      <numFmt numFmtId="172" formatCode="#,##0.000"/>
    </dxf>
    <dxf>
      <numFmt numFmtId="173" formatCode="#,##0.0000"/>
    </dxf>
    <dxf>
      <numFmt numFmtId="174" formatCode="#,##0.00000"/>
    </dxf>
    <dxf>
      <numFmt numFmtId="175" formatCode="#,##0.000000"/>
    </dxf>
    <dxf>
      <numFmt numFmtId="176" formatCode="#,##0.0000000"/>
    </dxf>
    <dxf>
      <numFmt numFmtId="177" formatCode="#,##0.00000000"/>
    </dxf>
    <dxf>
      <numFmt numFmtId="178" formatCode="#,##0.000000000"/>
    </dxf>
    <dxf>
      <numFmt numFmtId="177" formatCode="#,##0.00000000"/>
    </dxf>
    <dxf>
      <numFmt numFmtId="176" formatCode="#,##0.0000000"/>
    </dxf>
    <dxf>
      <numFmt numFmtId="175" formatCode="#,##0.000000"/>
    </dxf>
    <dxf>
      <numFmt numFmtId="174" formatCode="#,##0.00000"/>
    </dxf>
    <dxf>
      <numFmt numFmtId="173" formatCode="#,##0.0000"/>
    </dxf>
    <dxf>
      <numFmt numFmtId="172" formatCode="#,##0.00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vertical="center" readingOrder="0"/>
    </dxf>
    <dxf>
      <numFmt numFmtId="169" formatCode="0.00000%"/>
    </dxf>
    <dxf>
      <numFmt numFmtId="169" formatCode="0.0000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numFmt numFmtId="167" formatCode="0.000%"/>
    </dxf>
    <dxf>
      <numFmt numFmtId="14" formatCode="0.00%"/>
    </dxf>
    <dxf>
      <numFmt numFmtId="179" formatCode="0.0%"/>
    </dxf>
    <dxf>
      <numFmt numFmtId="168" formatCode="0.00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8" formatCode="0.0000%"/>
    </dxf>
    <dxf>
      <numFmt numFmtId="168" formatCode="0.0000%"/>
    </dxf>
    <dxf>
      <numFmt numFmtId="4" formatCode="#,##0.00"/>
    </dxf>
    <dxf>
      <numFmt numFmtId="167" formatCode="0.000%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[Inversiones.xlsm]Dashboard!Resumen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Dashboard!$E$3:$E$4</c:f>
              <c:strCache>
                <c:ptCount val="1"/>
                <c:pt idx="0">
                  <c:v>(T+0)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09-44D8-BE4E-70CD1819D2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09-44D8-BE4E-70CD1819D2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A09-44D8-BE4E-70CD1819D2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A09-44D8-BE4E-70CD1819D2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A09-44D8-BE4E-70CD1819D20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A09-44D8-BE4E-70CD1819D20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A09-44D8-BE4E-70CD1819D20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A09-44D8-BE4E-70CD1819D20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A09-44D8-BE4E-70CD1819D20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A09-44D8-BE4E-70CD1819D20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A09-44D8-BE4E-70CD1819D20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A09-44D8-BE4E-70CD1819D20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A09-44D8-BE4E-70CD1819D20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A09-44D8-BE4E-70CD1819D20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A09-44D8-BE4E-70CD1819D20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A09-44D8-BE4E-70CD1819D20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A09-44D8-BE4E-70CD1819D20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A09-44D8-BE4E-70CD1819D202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A09-44D8-BE4E-70CD1819D202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A09-44D8-BE4E-70CD1819D202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A09-44D8-BE4E-70CD1819D2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Dashboard!$A$5:$D$12</c:f>
              <c:multiLvlStrCache>
                <c:ptCount val="5"/>
                <c:lvl>
                  <c:pt idx="0">
                    <c:v>Pionero Pesos</c:v>
                  </c:pt>
                  <c:pt idx="1">
                    <c:v>Super Ahorro $ B (SAN Valores)</c:v>
                  </c:pt>
                  <c:pt idx="2">
                    <c:v>FCI VARIOS EN GMA T+0</c:v>
                  </c:pt>
                  <c:pt idx="3">
                    <c:v>FCI VARIOS EN MAX CAP T+0</c:v>
                  </c:pt>
                  <c:pt idx="4">
                    <c:v>FBA Renta Pesos B</c:v>
                  </c:pt>
                </c:lvl>
                <c:lvl>
                  <c:pt idx="0">
                    <c:v>Banco Macro S.A.</c:v>
                  </c:pt>
                  <c:pt idx="1">
                    <c:v>Banco Santander Rio S.A.</c:v>
                  </c:pt>
                  <c:pt idx="2">
                    <c:v>Gma Capital</c:v>
                  </c:pt>
                  <c:pt idx="3">
                    <c:v>Max Capital</c:v>
                  </c:pt>
                  <c:pt idx="4">
                    <c:v>BBVA Banco Frances SA</c:v>
                  </c:pt>
                </c:lvl>
                <c:lvl/>
                <c:lvl>
                  <c:pt idx="0">
                    <c:v>FCI</c:v>
                  </c:pt>
                </c:lvl>
                <c:lvl>
                  <c:pt idx="0">
                    <c:v>ARS</c:v>
                  </c:pt>
                </c:lvl>
              </c:multiLvlStrCache>
            </c:multiLvlStrRef>
          </c:cat>
          <c:val>
            <c:numRef>
              <c:f>Dashboard!$E$5:$E$12</c:f>
              <c:numCache>
                <c:formatCode>#,##0.00</c:formatCode>
                <c:ptCount val="5"/>
                <c:pt idx="0">
                  <c:v>43758552</c:v>
                </c:pt>
                <c:pt idx="1">
                  <c:v>32999999.999999918</c:v>
                </c:pt>
                <c:pt idx="2">
                  <c:v>1147754744.8400011</c:v>
                </c:pt>
                <c:pt idx="3">
                  <c:v>40942156.860000014</c:v>
                </c:pt>
                <c:pt idx="4">
                  <c:v>40056751.74000001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090-49BC-87A5-C30758734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769620</xdr:colOff>
      <xdr:row>0</xdr:row>
      <xdr:rowOff>38100</xdr:rowOff>
    </xdr:from>
    <xdr:to>
      <xdr:col>19</xdr:col>
      <xdr:colOff>723900</xdr:colOff>
      <xdr:row>24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2618A1-6FAF-3107-A1E0-1D56697B5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19049</xdr:rowOff>
    </xdr:from>
    <xdr:to>
      <xdr:col>12</xdr:col>
      <xdr:colOff>990600</xdr:colOff>
      <xdr:row>0</xdr:row>
      <xdr:rowOff>314324</xdr:rowOff>
    </xdr:to>
    <xdr:sp macro="[0]!Botón2_Haga_clic_e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19049"/>
          <a:ext cx="12944475" cy="29527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400" b="1" u="sng">
              <a:solidFill>
                <a:srgbClr val="FF0000"/>
              </a:solidFill>
            </a:rPr>
            <a:t>CARGAR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loud.grupolucci.local\Carpetas%20Privadas\Finanzas\INFORMES%20VARIOS\Informe%20Semanal%20de%20F&amp;T\hector\integral.xlsm" TargetMode="External"/><Relationship Id="rId1" Type="http://schemas.openxmlformats.org/officeDocument/2006/relationships/externalLinkPath" Target="file:///\\Cloud.grupolucci.local\Carpetas%20Privadas\Finanzas\INFORMES%20VARIOS\Informe%20Semanal%20de%20F&amp;T\hector\integral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loud.grupolucci.local\Carpetas%20Privadas\Finanzas\FCI\Excel%20preliminar.xlsx" TargetMode="External"/><Relationship Id="rId1" Type="http://schemas.openxmlformats.org/officeDocument/2006/relationships/externalLinkPath" Target="file:///\\Cloud.grupolucci.local\Carpetas%20Privadas\Finanzas\FCI\Excel%20prelimin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e F&amp;T "/>
      <sheetName val="Hoja1 (2)"/>
      <sheetName val="politica riesgo CVL"/>
    </sheetNames>
    <sheetDataSet>
      <sheetData sheetId="0">
        <row r="5">
          <cell r="B5">
            <v>43980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ndos"/>
      <sheetName val="Datos"/>
      <sheetName val="(T+0)"/>
      <sheetName val="(T+1)"/>
    </sheetNames>
    <sheetDataSet>
      <sheetData sheetId="0">
        <row r="2">
          <cell r="F2" t="str">
            <v>Fund Name</v>
          </cell>
          <cell r="G2" t="str">
            <v>1 Year Performance to Yesterday</v>
          </cell>
          <cell r="H2" t="str">
            <v>NAV</v>
          </cell>
          <cell r="I2" t="str">
            <v>Liquidez</v>
          </cell>
          <cell r="J2" t="str">
            <v>PATRIMONIO</v>
          </cell>
          <cell r="K2" t="str">
            <v>Rendimiento ultimo año</v>
          </cell>
        </row>
        <row r="3">
          <cell r="F3" t="str">
            <v>IAM Ahorro Pesos B</v>
          </cell>
          <cell r="G3">
            <v>25.056249999999999</v>
          </cell>
          <cell r="H3">
            <v>1.725166</v>
          </cell>
          <cell r="I3" t="str">
            <v>(T+0)</v>
          </cell>
          <cell r="J3">
            <v>652691913</v>
          </cell>
          <cell r="K3">
            <v>0.25056249999999997</v>
          </cell>
        </row>
        <row r="4">
          <cell r="F4" t="str">
            <v>Super Ahorro Plus B</v>
          </cell>
          <cell r="G4">
            <v>23.93901</v>
          </cell>
          <cell r="H4">
            <v>27.856159000000002</v>
          </cell>
          <cell r="I4" t="str">
            <v>(T+0)</v>
          </cell>
          <cell r="J4">
            <v>4553606100</v>
          </cell>
          <cell r="K4">
            <v>0.23939009999999999</v>
          </cell>
        </row>
        <row r="5">
          <cell r="F5" t="str">
            <v>Premier Renta CP en Pesos A</v>
          </cell>
          <cell r="G5">
            <v>21.526589999999999</v>
          </cell>
          <cell r="H5">
            <v>6.5533089999999996</v>
          </cell>
          <cell r="I5" t="str">
            <v>(T+0)</v>
          </cell>
          <cell r="J5">
            <v>2294506221</v>
          </cell>
          <cell r="K5">
            <v>0.21526589999999998</v>
          </cell>
        </row>
        <row r="6">
          <cell r="F6" t="str">
            <v>FBA Renta Pesos B</v>
          </cell>
          <cell r="G6">
            <v>21.47364</v>
          </cell>
          <cell r="H6">
            <v>6.6213980000000001</v>
          </cell>
          <cell r="I6" t="str">
            <v>(T+0)</v>
          </cell>
          <cell r="J6">
            <v>4231508416.6700001</v>
          </cell>
          <cell r="K6">
            <v>0.21473639999999999</v>
          </cell>
        </row>
        <row r="7">
          <cell r="F7" t="str">
            <v>Fima Premium B</v>
          </cell>
          <cell r="G7">
            <v>21.437470000000001</v>
          </cell>
          <cell r="H7">
            <v>3.5254560000000001</v>
          </cell>
          <cell r="I7" t="str">
            <v>(T+0)</v>
          </cell>
          <cell r="J7">
            <v>9536957677</v>
          </cell>
          <cell r="K7">
            <v>0.2143747</v>
          </cell>
        </row>
        <row r="8">
          <cell r="F8" t="str">
            <v>Alpha Pesos Plus A</v>
          </cell>
          <cell r="G8">
            <v>21.136140000000001</v>
          </cell>
          <cell r="H8">
            <v>287.60053499999998</v>
          </cell>
          <cell r="I8" t="str">
            <v>(T+0)</v>
          </cell>
          <cell r="J8">
            <v>2171371244</v>
          </cell>
          <cell r="K8">
            <v>0.2113614</v>
          </cell>
        </row>
        <row r="9">
          <cell r="F9" t="str">
            <v>Super Ahorro $ B</v>
          </cell>
          <cell r="G9">
            <v>20.920089999999998</v>
          </cell>
          <cell r="H9">
            <v>0.79520800000000003</v>
          </cell>
          <cell r="I9" t="str">
            <v>(T+0)</v>
          </cell>
          <cell r="J9">
            <v>3553303148</v>
          </cell>
          <cell r="K9">
            <v>0.2092009</v>
          </cell>
        </row>
        <row r="10">
          <cell r="F10" t="str">
            <v>HF Pesos I</v>
          </cell>
          <cell r="G10">
            <v>20.835799999999999</v>
          </cell>
          <cell r="H10">
            <v>3.869653</v>
          </cell>
          <cell r="I10" t="str">
            <v>(T+0)</v>
          </cell>
          <cell r="J10">
            <v>2107469999.9999998</v>
          </cell>
          <cell r="K10">
            <v>0.20835799999999999</v>
          </cell>
        </row>
        <row r="11">
          <cell r="F11" t="str">
            <v>Fima Premium A</v>
          </cell>
          <cell r="G11">
            <v>20.501570000000001</v>
          </cell>
          <cell r="H11">
            <v>3.259112</v>
          </cell>
          <cell r="I11" t="str">
            <v>(T+0)</v>
          </cell>
          <cell r="J11">
            <v>9536957677</v>
          </cell>
          <cell r="K11">
            <v>0.20501570000000002</v>
          </cell>
        </row>
        <row r="12">
          <cell r="F12" t="str">
            <v>HF Pesos G</v>
          </cell>
          <cell r="G12">
            <v>20.305720000000001</v>
          </cell>
          <cell r="H12">
            <v>3.6637110000000002</v>
          </cell>
          <cell r="I12" t="str">
            <v>(T+0)</v>
          </cell>
          <cell r="J12">
            <v>2107469999.9999998</v>
          </cell>
          <cell r="K12">
            <v>0.20305720000000002</v>
          </cell>
        </row>
        <row r="13">
          <cell r="F13" t="str">
            <v>Alpha Pesos A</v>
          </cell>
          <cell r="G13">
            <v>19.354769999999998</v>
          </cell>
          <cell r="H13">
            <v>3.5009260000000002</v>
          </cell>
          <cell r="I13" t="str">
            <v>(T+0)</v>
          </cell>
          <cell r="J13">
            <v>1977335292</v>
          </cell>
          <cell r="K13">
            <v>0.19354769999999999</v>
          </cell>
        </row>
        <row r="14">
          <cell r="F14" t="str">
            <v>Pionero Pesos</v>
          </cell>
          <cell r="G14">
            <v>21.970210000000002</v>
          </cell>
          <cell r="H14">
            <v>3.7300209999999998</v>
          </cell>
          <cell r="I14" t="str">
            <v>(T+0)</v>
          </cell>
          <cell r="J14">
            <v>1752057008.8599999</v>
          </cell>
          <cell r="K14">
            <v>0.21970210000000001</v>
          </cell>
        </row>
        <row r="15">
          <cell r="F15" t="str">
            <v>Pellegrini Renta</v>
          </cell>
          <cell r="G15">
            <v>14.08799</v>
          </cell>
          <cell r="H15">
            <v>0.99581699999999995</v>
          </cell>
          <cell r="I15" t="str">
            <v>(T+0)</v>
          </cell>
          <cell r="J15">
            <v>9591427.7400000002</v>
          </cell>
          <cell r="K15">
            <v>0.1408799</v>
          </cell>
        </row>
        <row r="16">
          <cell r="F16" t="str">
            <v>1810 Ahorro</v>
          </cell>
          <cell r="G16">
            <v>23.246230000000001</v>
          </cell>
          <cell r="H16">
            <v>8.4232279999999999</v>
          </cell>
          <cell r="I16" t="str">
            <v>(T+0)</v>
          </cell>
          <cell r="J16">
            <v>1817778903</v>
          </cell>
          <cell r="K16">
            <v>0.23246230000000001</v>
          </cell>
        </row>
        <row r="17">
          <cell r="F17" t="str">
            <v>Quinquela Pesos B</v>
          </cell>
          <cell r="G17">
            <v>19.705159999999999</v>
          </cell>
          <cell r="H17">
            <v>1.7366250000000001</v>
          </cell>
          <cell r="I17" t="str">
            <v>(T+0)</v>
          </cell>
          <cell r="J17">
            <v>360000000</v>
          </cell>
          <cell r="K17">
            <v>0.19705159999999999</v>
          </cell>
        </row>
        <row r="18">
          <cell r="F18" t="str">
            <v>1822 Raices Ahorro Pesos</v>
          </cell>
          <cell r="G18">
            <v>23.267859999999999</v>
          </cell>
          <cell r="H18">
            <v>1.3028390000000001</v>
          </cell>
          <cell r="I18" t="str">
            <v>(T+0)</v>
          </cell>
          <cell r="J18">
            <v>3875956517</v>
          </cell>
          <cell r="K18">
            <v>0.23267859999999999</v>
          </cell>
        </row>
        <row r="19">
          <cell r="F19" t="str">
            <v>Lombard Renta en Pesos</v>
          </cell>
          <cell r="G19">
            <v>24.25168</v>
          </cell>
          <cell r="H19">
            <v>7.9941680000000002</v>
          </cell>
          <cell r="I19" t="str">
            <v>(T+0)</v>
          </cell>
          <cell r="J19">
            <v>4530803420</v>
          </cell>
          <cell r="K19">
            <v>0.2425168</v>
          </cell>
        </row>
        <row r="20">
          <cell r="F20" t="str">
            <v>IAM Renta Plus B</v>
          </cell>
          <cell r="G20">
            <v>27.425260000000002</v>
          </cell>
          <cell r="H20">
            <v>1.640037</v>
          </cell>
          <cell r="I20" t="str">
            <v>(T+1)</v>
          </cell>
          <cell r="J20">
            <v>2006490136</v>
          </cell>
          <cell r="K20">
            <v>0.27425260000000001</v>
          </cell>
        </row>
        <row r="21">
          <cell r="F21" t="str">
            <v>SBS Pesos Plus B</v>
          </cell>
          <cell r="G21">
            <v>27.414069999999999</v>
          </cell>
          <cell r="H21">
            <v>3.8982540000000001</v>
          </cell>
          <cell r="I21" t="str">
            <v>(T+1)</v>
          </cell>
          <cell r="J21">
            <v>601998365.54999995</v>
          </cell>
          <cell r="K21">
            <v>0.27414070000000001</v>
          </cell>
        </row>
        <row r="22">
          <cell r="F22" t="str">
            <v>Fima Ahorro Pesos C</v>
          </cell>
          <cell r="G22">
            <v>27.07893</v>
          </cell>
          <cell r="H22">
            <v>17.879975000000002</v>
          </cell>
          <cell r="I22" t="str">
            <v>(T+1)</v>
          </cell>
          <cell r="J22">
            <v>25454891426</v>
          </cell>
          <cell r="K22">
            <v>0.27078930000000001</v>
          </cell>
        </row>
        <row r="23">
          <cell r="F23" t="str">
            <v>Supergestion MIX VI B</v>
          </cell>
          <cell r="G23">
            <v>26.89676</v>
          </cell>
          <cell r="H23">
            <v>6.7657280000000002</v>
          </cell>
          <cell r="I23" t="str">
            <v>(T+1)</v>
          </cell>
          <cell r="J23">
            <v>35515968834</v>
          </cell>
          <cell r="K23">
            <v>0.26896760000000003</v>
          </cell>
        </row>
        <row r="24">
          <cell r="F24" t="str">
            <v>Fima Ahorro Pesos B</v>
          </cell>
          <cell r="G24">
            <v>26.68618</v>
          </cell>
          <cell r="H24">
            <v>17.340634000000001</v>
          </cell>
          <cell r="I24" t="str">
            <v>(T+1)</v>
          </cell>
          <cell r="J24">
            <v>25454891426</v>
          </cell>
          <cell r="K24">
            <v>0.26686179999999998</v>
          </cell>
        </row>
        <row r="25">
          <cell r="F25" t="str">
            <v>FBA Ahorro Pesos B</v>
          </cell>
          <cell r="G25">
            <v>26.679839999999999</v>
          </cell>
          <cell r="H25">
            <v>11.861421999999999</v>
          </cell>
          <cell r="I25" t="str">
            <v>(T+1)</v>
          </cell>
          <cell r="J25">
            <v>15268657582.66</v>
          </cell>
          <cell r="K25">
            <v>0.26679839999999999</v>
          </cell>
        </row>
        <row r="26">
          <cell r="F26" t="str">
            <v>HF Pesos Plus I</v>
          </cell>
          <cell r="G26">
            <v>26.72739</v>
          </cell>
          <cell r="H26">
            <v>7.2032800000000003</v>
          </cell>
          <cell r="I26" t="str">
            <v>(T+1)</v>
          </cell>
          <cell r="J26">
            <v>8673260000</v>
          </cell>
          <cell r="K26">
            <v>0.26727390000000001</v>
          </cell>
        </row>
        <row r="27">
          <cell r="F27" t="str">
            <v>Fima Ahorro Pesos A</v>
          </cell>
          <cell r="G27">
            <v>26.389279999999999</v>
          </cell>
          <cell r="H27">
            <v>16.005928000000001</v>
          </cell>
          <cell r="I27" t="str">
            <v>(T+1)</v>
          </cell>
          <cell r="J27">
            <v>25454891426</v>
          </cell>
          <cell r="K27">
            <v>0.26389279999999998</v>
          </cell>
        </row>
        <row r="28">
          <cell r="F28" t="str">
            <v>Premier Renta Plus en Pesos A</v>
          </cell>
          <cell r="G28">
            <v>26.22608</v>
          </cell>
          <cell r="H28">
            <v>6.6109910000000003</v>
          </cell>
          <cell r="I28" t="str">
            <v>(T+1)</v>
          </cell>
          <cell r="J28">
            <v>2635564025</v>
          </cell>
          <cell r="K28">
            <v>0.26226080000000002</v>
          </cell>
        </row>
        <row r="29">
          <cell r="F29" t="str">
            <v>Alpha Ahorro A</v>
          </cell>
          <cell r="G29">
            <v>26.056640000000002</v>
          </cell>
          <cell r="H29">
            <v>0.29174800000000001</v>
          </cell>
          <cell r="I29" t="str">
            <v>(T+1)</v>
          </cell>
          <cell r="J29">
            <v>14114977659</v>
          </cell>
          <cell r="K29">
            <v>0.26056640000000003</v>
          </cell>
        </row>
        <row r="30">
          <cell r="F30" t="str">
            <v>HF Pesos Plus G</v>
          </cell>
          <cell r="G30">
            <v>25.678699999999999</v>
          </cell>
          <cell r="H30">
            <v>6.4429259999999999</v>
          </cell>
          <cell r="I30" t="str">
            <v>(T+1)</v>
          </cell>
          <cell r="J30">
            <v>8673260000</v>
          </cell>
          <cell r="K30">
            <v>0.25678699999999999</v>
          </cell>
        </row>
        <row r="31">
          <cell r="F31" t="str">
            <v>Fima Ahorro Plus C</v>
          </cell>
          <cell r="G31">
            <v>26.5441</v>
          </cell>
          <cell r="H31">
            <v>4.2424010000000001</v>
          </cell>
          <cell r="I31" t="str">
            <v>(T+1)</v>
          </cell>
          <cell r="J31">
            <v>26527515773</v>
          </cell>
          <cell r="K31">
            <v>0.26544099999999998</v>
          </cell>
        </row>
        <row r="32">
          <cell r="F32" t="str">
            <v>Pionero Renta Ahorro</v>
          </cell>
          <cell r="G32">
            <v>27.12358</v>
          </cell>
          <cell r="H32">
            <v>7.1245799999999999</v>
          </cell>
          <cell r="I32" t="str">
            <v>(T+1)</v>
          </cell>
          <cell r="J32">
            <v>15968105687.34</v>
          </cell>
          <cell r="K32">
            <v>0.27123580000000003</v>
          </cell>
        </row>
        <row r="33">
          <cell r="F33" t="str">
            <v>Pellegrini Renta Pesos B</v>
          </cell>
          <cell r="G33">
            <v>23.57329</v>
          </cell>
          <cell r="H33">
            <v>0.89665399999999995</v>
          </cell>
          <cell r="I33" t="str">
            <v>(T+1)</v>
          </cell>
          <cell r="J33">
            <v>11465050695.200001</v>
          </cell>
          <cell r="K33">
            <v>0.2357329</v>
          </cell>
        </row>
        <row r="34">
          <cell r="F34" t="str">
            <v>Pellegrini Renta Fija B</v>
          </cell>
          <cell r="G34">
            <v>27.295020000000001</v>
          </cell>
          <cell r="H34">
            <v>0.80773399999999995</v>
          </cell>
          <cell r="I34" t="str">
            <v>(T+1)</v>
          </cell>
          <cell r="J34">
            <v>5034893543.9799995</v>
          </cell>
          <cell r="K34">
            <v>0.27295020000000003</v>
          </cell>
        </row>
        <row r="35">
          <cell r="F35" t="str">
            <v>1810 Renta Fija Argentina</v>
          </cell>
          <cell r="G35" t="str">
            <v>NULL</v>
          </cell>
          <cell r="H35">
            <v>1.1870499999999999</v>
          </cell>
          <cell r="I35" t="str">
            <v>(T+1)</v>
          </cell>
          <cell r="J35">
            <v>39848036</v>
          </cell>
          <cell r="K35" t="e">
            <v>#VALUE!</v>
          </cell>
        </row>
        <row r="36">
          <cell r="F36" t="str">
            <v>1810 Mas Ahorro</v>
          </cell>
          <cell r="G36" t="str">
            <v>NULL</v>
          </cell>
          <cell r="H36">
            <v>1.200323</v>
          </cell>
          <cell r="I36" t="str">
            <v>(T+1)</v>
          </cell>
          <cell r="J36">
            <v>6506463370</v>
          </cell>
          <cell r="K36" t="e">
            <v>#VALUE!</v>
          </cell>
        </row>
        <row r="37">
          <cell r="F37" t="str">
            <v>Quinquela Performance B</v>
          </cell>
          <cell r="G37">
            <v>27.596609999999998</v>
          </cell>
          <cell r="H37">
            <v>1.815428</v>
          </cell>
          <cell r="I37" t="str">
            <v>(T+1)</v>
          </cell>
          <cell r="J37">
            <v>240000000</v>
          </cell>
          <cell r="K37">
            <v>0.27596609999999999</v>
          </cell>
        </row>
        <row r="38">
          <cell r="F38" t="str">
            <v>Goal Pesos B</v>
          </cell>
          <cell r="G38">
            <v>20.90719</v>
          </cell>
          <cell r="H38">
            <v>8.4842669999999991</v>
          </cell>
          <cell r="I38" t="str">
            <v>(T+1)</v>
          </cell>
          <cell r="J38">
            <v>4289905534.3099999</v>
          </cell>
          <cell r="K38">
            <v>0.2090719</v>
          </cell>
        </row>
        <row r="39">
          <cell r="F39" t="str">
            <v>Goal Capital Plus B</v>
          </cell>
          <cell r="G39">
            <v>26.949120000000001</v>
          </cell>
          <cell r="H39">
            <v>7.0382930000000004</v>
          </cell>
          <cell r="I39" t="str">
            <v>(T+1)</v>
          </cell>
          <cell r="J39">
            <v>5558283453.2200003</v>
          </cell>
          <cell r="K39">
            <v>0.26949119999999999</v>
          </cell>
        </row>
        <row r="40">
          <cell r="F40" t="str">
            <v>1822 Raices Inversion</v>
          </cell>
          <cell r="G40">
            <v>26.403040000000001</v>
          </cell>
          <cell r="H40">
            <v>2.4627180000000002</v>
          </cell>
          <cell r="I40" t="str">
            <v>(T+1)</v>
          </cell>
          <cell r="J40">
            <v>8775783683</v>
          </cell>
          <cell r="K40">
            <v>0.2640304</v>
          </cell>
        </row>
        <row r="41">
          <cell r="F41" t="str">
            <v>Delta Ahorro A</v>
          </cell>
          <cell r="G41">
            <v>24.191749999999999</v>
          </cell>
          <cell r="H41">
            <v>6.4815199999999997</v>
          </cell>
          <cell r="I41" t="str">
            <v>(T+1)</v>
          </cell>
          <cell r="J41">
            <v>1696672499</v>
          </cell>
          <cell r="K41">
            <v>0.24191749999999998</v>
          </cell>
        </row>
        <row r="42">
          <cell r="F42" t="str">
            <v>Delta Ahorro Plus A</v>
          </cell>
          <cell r="G42">
            <v>25.84947</v>
          </cell>
          <cell r="H42">
            <v>4.440601</v>
          </cell>
          <cell r="I42" t="str">
            <v>(T+1)</v>
          </cell>
          <cell r="J42">
            <v>3357048174</v>
          </cell>
          <cell r="K42">
            <v>0.25849470000000002</v>
          </cell>
        </row>
        <row r="43">
          <cell r="F43" t="str">
            <v>Lombard Capital</v>
          </cell>
          <cell r="G43">
            <v>27.741320000000002</v>
          </cell>
          <cell r="H43">
            <v>6.325285</v>
          </cell>
          <cell r="I43" t="str">
            <v>(T+1)</v>
          </cell>
          <cell r="J43">
            <v>10383624192</v>
          </cell>
          <cell r="K43">
            <v>0.27741320000000003</v>
          </cell>
        </row>
        <row r="44">
          <cell r="F44" t="str">
            <v>Premier Renta Fija Ahorro A</v>
          </cell>
          <cell r="G44">
            <v>27.053380000000001</v>
          </cell>
          <cell r="H44">
            <v>19.561467</v>
          </cell>
          <cell r="I44" t="str">
            <v>(T+1)</v>
          </cell>
          <cell r="J44">
            <v>8324714840</v>
          </cell>
          <cell r="K44">
            <v>0.27053379999999999</v>
          </cell>
        </row>
        <row r="45">
          <cell r="F45" t="str">
            <v>Alpha Renta Plus A</v>
          </cell>
          <cell r="G45">
            <v>26.737729999999999</v>
          </cell>
          <cell r="H45">
            <v>4.9815759999999996</v>
          </cell>
          <cell r="I45" t="str">
            <v>(T+2)</v>
          </cell>
          <cell r="J45">
            <v>234619684</v>
          </cell>
          <cell r="K45">
            <v>0.26737729999999998</v>
          </cell>
        </row>
        <row r="46">
          <cell r="F46" t="str">
            <v>FBA Renta Pesos Plus B</v>
          </cell>
          <cell r="G46">
            <v>20.571149999999999</v>
          </cell>
          <cell r="H46">
            <v>1.2646250000000001</v>
          </cell>
          <cell r="I46" t="str">
            <v>(T+2)</v>
          </cell>
          <cell r="J46">
            <v>415179361.94999999</v>
          </cell>
          <cell r="K46">
            <v>0.20571149999999999</v>
          </cell>
        </row>
        <row r="47">
          <cell r="F47" t="str">
            <v>Delta Ahorro A</v>
          </cell>
          <cell r="G47">
            <v>24.191749999999999</v>
          </cell>
          <cell r="H47">
            <v>6.4815199999999997</v>
          </cell>
          <cell r="I47" t="str">
            <v>(T+1)</v>
          </cell>
          <cell r="J47">
            <v>1696672499</v>
          </cell>
          <cell r="K47">
            <v>0.24191749999999998</v>
          </cell>
        </row>
        <row r="48">
          <cell r="F48" t="str">
            <v>Delta Ahorro Plus A</v>
          </cell>
          <cell r="G48">
            <v>25.84947</v>
          </cell>
          <cell r="H48">
            <v>4.440601</v>
          </cell>
          <cell r="I48" t="str">
            <v>(T+1)</v>
          </cell>
          <cell r="J48">
            <v>3357048174</v>
          </cell>
          <cell r="K48">
            <v>0.25849470000000002</v>
          </cell>
        </row>
        <row r="49">
          <cell r="J49"/>
          <cell r="K49"/>
        </row>
      </sheetData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gio Sanchez Avila" refreshedDate="46009.631282986113" createdVersion="6" refreshedVersion="8" minRefreshableVersion="3" recordCount="535" xr:uid="{00000000-000A-0000-FFFF-FFFF01000000}">
  <cacheSource type="worksheet">
    <worksheetSource ref="A1:U536" sheet="tabla"/>
  </cacheSource>
  <cacheFields count="21">
    <cacheField name="EMPRESA" numFmtId="0">
      <sharedItems containsBlank="1" count="11">
        <s v="CITRUSVIL S.A."/>
        <m/>
        <s v="VILUCO S.A."/>
        <s v="ENGORDAR S.A."/>
        <s v="AGRILAND INVESTMENT S.A"/>
        <s v="NUECES DE CATAMARCA"/>
        <s v="EL PUCARA S.A."/>
        <s v="DALPEL"/>
        <s v="FCTSP"/>
        <s v="ALCOVIL"/>
        <s v="COVIL S.A."/>
      </sharedItems>
    </cacheField>
    <cacheField name="BANCO" numFmtId="0">
      <sharedItems containsBlank="1" count="21">
        <s v="Banco Credicoop, C.L."/>
        <s v="Banco de la Provincia de Buenos Aires"/>
        <s v="ICBC (Argentina) S.A"/>
        <s v="Banco Comafi"/>
        <s v="Banco de Valores SA"/>
        <s v="BBVA Banco Frances SA"/>
        <s v="Banco de Galicia y Buenos Aires SA"/>
        <s v="Banco Itau Argentina S.A"/>
        <s v="HSBC Bank Argentina SA"/>
        <s v="Banco Industrial SA"/>
        <s v="Banco Patagonia SA"/>
        <s v="Balanz"/>
        <s v="Banco Nacion Argentina"/>
        <s v="Banco Macro S.A."/>
        <s v="Banco Supervielle, S.A."/>
        <s v="Banco de Servicios y Transacciones S.A."/>
        <s v="Max Capital"/>
        <s v="Banco Santander Rio S.A."/>
        <s v="INTAGRO"/>
        <s v="Gma Capital"/>
        <m/>
      </sharedItems>
    </cacheField>
    <cacheField name="FONDO" numFmtId="0">
      <sharedItems containsBlank="1" count="56">
        <s v="1810 Ahorro"/>
        <s v="1810 Mas Ahorro"/>
        <s v="1810 Renta Fija Argentina"/>
        <s v="1822 Raices Ahorro Pesos"/>
        <s v="1822 Raices Inversion"/>
        <s v="Alpha Ahorro A"/>
        <s v="Alpha Pesos A"/>
        <s v="Alpha Pesos Plus A"/>
        <s v="Alpha Renta Plus A"/>
        <s v="Delta Ahorro A"/>
        <s v="Delta Ahorro Plus A"/>
        <s v="FBA Ahorro Pesos B"/>
        <s v="FBA Renta Pesos B"/>
        <s v="FBA Renta Pesos Plus B"/>
        <s v="Fima Ahorro Pesos A"/>
        <s v="Fima Ahorro Pesos B"/>
        <s v="Fima Ahorro Pesos C"/>
        <s v="Fima Ahorro Plus C"/>
        <s v="Fima Premium A"/>
        <s v="Fima Premium B"/>
        <s v="Goal Capital Plus B"/>
        <s v="Goal Pesos B"/>
        <s v="HF Pesos G"/>
        <s v="HF Pesos I"/>
        <s v="HF Pesos Plus G"/>
        <s v="HF Pesos Plus I"/>
        <s v="IAM Ahorro Pesos B"/>
        <s v="IAM Renta Plus B"/>
        <s v="Lombard Capital"/>
        <s v="Lombard Renta en Pesos"/>
        <s v="Balanz Money Market"/>
        <s v="Pellegrini Renta"/>
        <s v="Pellegrini Renta Fija B"/>
        <s v="Pellegrini Renta Pesos B"/>
        <s v="Pionero Pesos"/>
        <s v="Pionero Renta Ahorro"/>
        <s v="Pionero Ahorro Dolares Clase B"/>
        <s v="Premier Renta CP en Pesos A"/>
        <s v="Premier Renta Fija Ahorro A"/>
        <s v="Premier Renta Plus en Pesos A"/>
        <s v="Quinquela Performance B"/>
        <s v="Quinquela Pesos B"/>
        <s v="Bonos"/>
        <s v="Schroder Renta Plus - B"/>
        <s v="Super Ahorro $ B"/>
        <s v="Super Ahorro Plus B"/>
        <s v="Supergestion MIX VI B"/>
        <s v="Intagro - IAM Renta Plus"/>
        <s v="Intagro - IAM Ahorro Pesos"/>
        <s v="IAM Ahorro Pesos B (ivsa)"/>
        <s v="CAUCION-IVSA"/>
        <s v="CAUCION-GMA"/>
        <s v="FCI VARIOS EN GMA T+0"/>
        <s v="FCI VARIOS EN GMA T+1"/>
        <m/>
        <s v="SBS Pesos Plus B"/>
      </sharedItems>
    </cacheField>
    <cacheField name="LIQUIDEZ" numFmtId="0">
      <sharedItems containsBlank="1" count="5">
        <s v="(T+0)"/>
        <s v="(T+1)"/>
        <s v="(T+2)"/>
        <s v="PLAZO"/>
        <m/>
      </sharedItems>
    </cacheField>
    <cacheField name="total" numFmtId="0">
      <sharedItems containsString="0" containsBlank="1" containsNumber="1" containsInteger="1" minValue="0" maxValue="0"/>
    </cacheField>
    <cacheField name="GARANTIA" numFmtId="165">
      <sharedItems containsString="0" containsBlank="1" containsNumber="1" containsInteger="1" minValue="0" maxValue="0"/>
    </cacheField>
    <cacheField name="CAPITAL INVERTIDO" numFmtId="165">
      <sharedItems containsString="0" containsBlank="1" containsNumber="1" containsInteger="1" minValue="0" maxValue="0"/>
    </cacheField>
    <cacheField name="total cp" numFmtId="165">
      <sharedItems containsString="0" containsBlank="1" containsNumber="1" containsInteger="1" minValue="0" maxValue="0"/>
    </cacheField>
    <cacheField name="cp disponible" numFmtId="165">
      <sharedItems containsString="0" containsBlank="1" containsNumber="1" containsInteger="1" minValue="0" maxValue="0"/>
    </cacheField>
    <cacheField name="cp en garantia" numFmtId="165">
      <sharedItems containsString="0" containsBlank="1" containsNumber="1" containsInteger="1" minValue="0" maxValue="0"/>
    </cacheField>
    <cacheField name="18/12/2025" numFmtId="165">
      <sharedItems containsBlank="1" containsMixedTypes="1" containsNumber="1" minValue="4.2629720000000004" maxValue="3784.412703"/>
    </cacheField>
    <cacheField name="valuación  disponible" numFmtId="165">
      <sharedItems containsBlank="1" containsMixedTypes="1" containsNumber="1" containsInteger="1" minValue="0" maxValue="0"/>
    </cacheField>
    <cacheField name="valuación  garantia" numFmtId="165">
      <sharedItems containsBlank="1" containsMixedTypes="1" containsNumber="1" containsInteger="1" minValue="0" maxValue="0"/>
    </cacheField>
    <cacheField name="INV" numFmtId="165">
      <sharedItems containsBlank="1" count="3">
        <s v="NO"/>
        <m/>
        <s v="SI" u="1"/>
      </sharedItems>
    </cacheField>
    <cacheField name="PATRIMONIO DEL FONDO" numFmtId="0">
      <sharedItems containsBlank="1" containsMixedTypes="1" containsNumber="1" minValue="9591427.7400000002" maxValue="35515968834"/>
    </cacheField>
    <cacheField name="RENDIMIENTO" numFmtId="10">
      <sharedItems containsBlank="1" containsMixedTypes="1" containsNumber="1" minValue="0.1408799" maxValue="0.27741320000000003" count="45">
        <n v="0.23246230000000001"/>
        <e v="#VALUE!"/>
        <n v="0.23267859999999999"/>
        <n v="0.2640304"/>
        <n v="0.26056640000000003"/>
        <n v="0.19354769999999999"/>
        <n v="0.2113614"/>
        <n v="0.26737729999999998"/>
        <n v="0.24191749999999998"/>
        <n v="0.25849470000000002"/>
        <n v="0.26679839999999999"/>
        <n v="0.21473639999999999"/>
        <n v="0.20571149999999999"/>
        <n v="0.26389279999999998"/>
        <n v="0.26686179999999998"/>
        <n v="0.27078930000000001"/>
        <n v="0.26544099999999998"/>
        <n v="0.20501570000000002"/>
        <n v="0.2143747"/>
        <n v="0.26949119999999999"/>
        <n v="0.2090719"/>
        <n v="0.20305720000000002"/>
        <n v="0.20835799999999999"/>
        <n v="0.25678699999999999"/>
        <n v="0.26727390000000001"/>
        <n v="0.25056249999999997"/>
        <n v="0.27425260000000001"/>
        <n v="0.27741320000000003"/>
        <n v="0.2425168"/>
        <e v="#N/A"/>
        <n v="0.1408799"/>
        <n v="0.27295020000000003"/>
        <n v="0.2357329"/>
        <n v="0.21970210000000001"/>
        <n v="0.27123580000000003"/>
        <n v="0.21526589999999998"/>
        <n v="0.27053379999999999"/>
        <n v="0.26226080000000002"/>
        <n v="0.27596609999999999"/>
        <n v="0.19705159999999999"/>
        <n v="0.2092009"/>
        <n v="0.23939009999999999"/>
        <n v="0.26896760000000003"/>
        <m/>
        <n v="0.27414070000000001"/>
      </sharedItems>
    </cacheField>
    <cacheField name="participacion" numFmtId="10">
      <sharedItems containsBlank="1" containsMixedTypes="1" containsNumber="1" minValue="-3.4602229681258973E-4" maxValue="0.69790438327777771" count="171">
        <n v="0"/>
        <e v="#N/A"/>
        <m/>
        <n v="3.1209940115161532E-2" u="1"/>
        <n v="5.8928645699598669E-3" u="1"/>
        <n v="1.306998334286516E-2" u="1"/>
        <n v="2.5078657277006419E-2" u="1"/>
        <n v="4.4071668945033116E-2" u="1"/>
        <n v="1.8875709587508404E-2" u="1"/>
        <n v="1.9870068256359317E-2" u="1"/>
        <n v="2.126966322490895E-2" u="1"/>
        <n v="2.6231986552596237E-3" u="1"/>
        <n v="2.0537955320834933E-3" u="1"/>
        <n v="1.8076648830398147E-2" u="1"/>
        <n v="2.9374973389640222E-2" u="1"/>
        <n v="9.5516758875761415E-2" u="1"/>
        <n v="4.1932814002617717E-3" u="1"/>
        <n v="5.7142633789210133E-4" u="1"/>
        <n v="5.5469514361852025E-2" u="1"/>
        <n v="9.1224060068774275E-4" u="1"/>
        <n v="4.4343281612740669E-2" u="1"/>
        <n v="1.4899929811233035E-2" u="1"/>
        <n v="3.7011203006448493E-3" u="1"/>
        <n v="5.0431619287581789E-3" u="1"/>
        <n v="4.6346016724595407E-3" u="1"/>
        <n v="-6.2913144875016306E-5" u="1"/>
        <n v="5.4400086890644322E-2" u="1"/>
        <n v="6.2498594199633904E-18" u="1"/>
        <n v="0.21623083602613563" u="1"/>
        <n v="2.2776124927045226E-3" u="1"/>
        <n v="6.0366366466855698E-2" u="1"/>
        <n v="-3.4602229681258973E-4" u="1"/>
        <n v="0.42012660549999997" u="1"/>
        <n v="1.8045587054983853E-2" u="1"/>
        <n v="2.64297949674254E-2" u="1"/>
        <n v="3.0408020022925329E-4" u="1"/>
        <n v="2.1862317844068169E-2" u="1"/>
        <n v="0.14234882772222218" u="1"/>
        <n v="0.22040645892942726" u="1"/>
        <n v="1.2087241853199622E-2" u="1"/>
        <n v="1.5099154770003914E-3" u="1"/>
        <n v="2.2642710299599602E-2" u="1"/>
        <n v="1.2619105804594211E-2" u="1"/>
        <n v="8.1748791062268983E-3" u="1"/>
        <n v="1.7620807806742193E-2" u="1"/>
        <n v="7.9869346402301394E-2" u="1"/>
        <n v="2.268018872744338E-2" u="1"/>
        <n v="3.1199454591015693E-2" u="1"/>
        <n v="7.1175390397016335E-3" u="1"/>
        <n v="2.1495324498963905E-3" u="1"/>
        <n v="1.7416455606233682E-2" u="1"/>
        <n v="2.2915890515805209E-2" u="1"/>
        <n v="6.5481359165255031E-3" u="1"/>
        <n v="1.1369702588629233E-2" u="1"/>
        <n v="2.3267378079610206E-2" u="1"/>
        <n v="2.4057281954191521E-2" u="1"/>
        <n v="8.7029850410439227E-4" u="1"/>
        <n v="7.1649892999663114E-3" u="1"/>
        <n v="7.9241934642011527E-3" u="1"/>
        <n v="4.2705234238209801E-3" u="1"/>
        <n v="6.8802877383782454E-3" u="1"/>
        <n v="1.3840891872503589E-3" u="1"/>
        <n v="7.6632170327454258E-2" u="1"/>
        <n v="6.3028772414316643E-4" u="1"/>
        <n v="1.3252056954547396E-2" u="1"/>
        <n v="3.1142006713133072E-3" u="1"/>
        <n v="5.4567799304379187E-3" u="1"/>
        <n v="7.2124395602309885E-3" u="1"/>
        <n v="4.6026752456737232E-3" u="1"/>
        <n v="3.1681788701724153E-2" u="1"/>
        <n v="2.8892639278931764E-2" u="1"/>
        <n v="1.2777554351900621E-2" u="1"/>
        <n v="1.6273533474337559E-2" u="1"/>
        <n v="8.2047001391972324E-3" u="1"/>
        <n v="1.8716660600317351E-2" u="1"/>
        <n v="2.0279003698046923E-2" u="1"/>
        <n v="5.4520257044102122E-5" u="1"/>
        <n v="1.5623430977295717E-3" u="1"/>
        <n v="1.8989861124238439E-2" u="1"/>
        <n v="2.9065872932257542E-2" u="1"/>
        <n v="0.49444444444444446" u="1"/>
        <n v="9.436971731252446E-5" u="1"/>
        <n v="1.613308848999037E-3" u="1"/>
        <n v="1.8244812013754729E-2" u="1"/>
        <n v="0.38123771661111105" u="1"/>
        <n v="1.1164245502901585E-2" u="1"/>
        <n v="1.8590330745683312E-2" u="1"/>
        <n v="3.3855822312180608E-2" u="1"/>
        <n v="1.2121265912586481E-2" u="1"/>
        <n v="7.1773065497688134E-3" u="1"/>
        <n v="3.6679051184595753E-2" u="1"/>
        <n v="1.0025439256549322E-2" u="1"/>
        <n v="2.560018469713924E-2" u="1"/>
        <n v="5.6963511481292303E-4" u="1"/>
        <n v="2.2767548005448141E-2" u="1"/>
        <n v="1.5943016958824236E-2" u="1"/>
        <n v="2.0260584870311796E-3" u="1"/>
        <n v="1.2526868709874876E-2" u="1"/>
        <n v="1.9104012660968474E-2" u="1"/>
        <n v="1.9494260898911405E-4" u="1"/>
        <n v="2.2837471589630922E-2" u="1"/>
        <n v="2.4048327123555504E-2" u="1"/>
        <n v="3.9518059426705953E-3" u="1"/>
        <n v="2.4446777041097274E-2" u="1"/>
        <n v="9.2877839305555571E-2" u="1"/>
        <n v="0.1141515367300364" u="1"/>
        <n v="5.7074655724636651E-3" u="1"/>
        <n v="1.6970125398374818E-2" u="1"/>
        <n v="0.12133031549678051" u="1"/>
        <n v="2.815865258872324E-2" u="1"/>
        <n v="2.6994759408535435E-2" u="1"/>
        <n v="7.6914349442385371E-2" u="1"/>
        <n v="2.3351262272776886E-2" u="1"/>
        <n v="3.2819690576466843E-3" u="1"/>
        <n v="1.5250972365199057E-2" u="1"/>
        <n v="3.166068171338586E-2" u="1"/>
        <n v="2.0696057213677302E-17" u="1"/>
        <n v="2.291046833406881E-3" u="1"/>
        <n v="5.4702142711402771E-3" u="1"/>
        <n v="-2.2019600706255709E-4" u="1"/>
        <n v="3.7960208211742044E-4" u="1"/>
        <n v="6.6839216950481256E-2" u="1"/>
        <n v="2.5374968432923307E-3" u="1"/>
        <n v="8.8233460638015605E-3" u="1"/>
        <n v="2.6780028668465281E-2" u="1"/>
        <n v="0.69790438327777771" u="1"/>
        <n v="1.6147707184587519E-3" u="1"/>
        <n v="2.3314340433346979E-2" u="1"/>
        <n v="2.6439026628806123E-2" u="1"/>
        <n v="2.371279035088875E-2" u="1"/>
        <n v="8.2466422357805776E-3" u="1"/>
        <n v="1.2886709175232514E-2" u="1"/>
        <n v="4.4521954196067935E-2" u="1"/>
        <n v="2.2871013373059676E-2" u="1"/>
        <n v="1.108827430673247E-2" u="1"/>
        <n v="1.2207366087989627E-2" u="1"/>
        <n v="0.27777777777777779" u="1"/>
        <n v="1.7647137137442075E-2" u="1"/>
        <n v="2.193571651308902E-2" u="1"/>
        <n v="1.6026901151990923E-2" u="1"/>
        <n v="2.6423520847506849E-3" u="1"/>
        <n v="2.1652607361151446E-2" u="1"/>
        <n v="3.2122180715849269E-2" u="1"/>
        <n v="8.7782981489653474E-3" u="1"/>
        <n v="7.0226385191722784E-3" u="1"/>
        <n v="4.1281726430269471E-3" u="1"/>
        <n v="1.5146117123740695E-2" u="1"/>
        <n v="1.9922495877089123E-4" u="1"/>
        <n v="8.0319114957104216E-3" u="1"/>
        <n v="6.4532353959961481E-3" u="1"/>
        <n v="2.1710055239034066E-2" u="1"/>
        <n v="6.7853872178488903E-3" u="1"/>
        <n v="2.3047182072547641E-2" u="1"/>
        <n v="9.6529900690589775E-3" u="1"/>
        <n v="1.9647091436398888E-2" u="1"/>
        <n v="5.3618794099085636E-3" u="1"/>
        <n v="1.1995439622836449E-2" u="1"/>
        <n v="3.416539342226705E-2" u="1"/>
        <n v="0.23176672819444447" u="1"/>
        <n v="1.6619555771150148E-2" u="1"/>
        <n v="2.743925748493441E-2" u="1"/>
        <n v="2.3173008362297738E-3" u="1"/>
        <n v="3.1094599349557335E-2" u="1"/>
        <n v="2.1600179740422266E-2" u="1"/>
        <n v="9.6458371744319021E-3" u="1"/>
        <n v="1.9218164197698513E-2" u="1"/>
        <n v="5.0127244864677702E-3" u="1"/>
        <n v="0.55555555555555558" u="1"/>
        <n v="2.0262836296566968E-3" u="1"/>
        <n v="9.9645546555822873E-4" u="1"/>
        <n v="7.4813867499980589E-3" u="1"/>
      </sharedItems>
    </cacheField>
    <cacheField name="p1" numFmtId="0">
      <sharedItems containsBlank="1" containsMixedTypes="1" containsNumber="1" containsInteger="1" minValue="1" maxValue="1"/>
    </cacheField>
    <cacheField name="p2" numFmtId="0">
      <sharedItems containsBlank="1" containsMixedTypes="1" containsNumber="1" containsInteger="1" minValue="1" maxValue="1"/>
    </cacheField>
    <cacheField name="ALERTA" numFmtId="0">
      <sharedItems containsBlank="1" containsMixedTypes="1" containsNumber="1" containsInteger="1" minValue="2" maxValue="2"/>
    </cacheField>
    <cacheField name="DETALLE" numFmtId="0">
      <sharedItems containsBlank="1" count="7">
        <s v="cumple politica"/>
        <e v="#VALUE!"/>
        <e v="#N/A"/>
        <s v="FCI"/>
        <s v="Bonos"/>
        <m/>
        <s v="supera maximo de participac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Mauriño" refreshedDate="46171.530040162033" createdVersion="4" refreshedVersion="8" minRefreshableVersion="3" recordCount="319" xr:uid="{00000000-000A-0000-FFFF-FFFF02000000}">
  <cacheSource type="worksheet">
    <worksheetSource ref="A1:U320" sheet="tabla"/>
  </cacheSource>
  <cacheFields count="21">
    <cacheField name="EMPRESA" numFmtId="0">
      <sharedItems containsBlank="1" count="7">
        <s v="CITRUSVIL S.A."/>
        <m/>
        <s v="VILUCO S.A."/>
        <s v="ENGORDAR S.A."/>
        <s v="AGRILAND INVESTMENT S.A"/>
        <s v="NUECES DE CATAMARCA"/>
        <s v="EL PUCARA S.A."/>
      </sharedItems>
    </cacheField>
    <cacheField name="BANCO" numFmtId="0">
      <sharedItems containsBlank="1" count="21">
        <s v="Banco Credicoop, C.L."/>
        <s v="Banco de la Provincia de Buenos Aires"/>
        <s v="ICBC (Argentina) S.A"/>
        <s v="Banco Comafi"/>
        <s v="Banco de Valores SA"/>
        <s v="BBVA Banco Frances SA"/>
        <s v="Banco de Galicia y Buenos Aires SA"/>
        <s v="Banco Itau Argentina S.A"/>
        <s v="HSBC Bank Argentina SA"/>
        <s v="Banco Industrial SA"/>
        <s v="Banco Patagonia SA"/>
        <s v="Balanz"/>
        <s v="Banco Nacion Argentina"/>
        <s v="Banco Macro S.A."/>
        <s v="Banco Supervielle, S.A."/>
        <s v="Banco de Servicios y Transacciones S.A."/>
        <s v="Max Capital"/>
        <s v="Banco Santander Rio S.A."/>
        <s v="INTAGRO"/>
        <s v="Gma Capital"/>
        <m/>
      </sharedItems>
    </cacheField>
    <cacheField name="FONDO" numFmtId="0">
      <sharedItems containsBlank="1" count="56">
        <s v="1810 Ahorro"/>
        <s v="1810 Mas Ahorro"/>
        <s v="1810 Renta Fija Argentina"/>
        <s v="1822 Raices Ahorro Pesos"/>
        <s v="1822 Raices Inversion"/>
        <s v="Alpha Ahorro A"/>
        <s v="Alpha Pesos A"/>
        <s v="Alpha Pesos Plus A"/>
        <s v="Alpha Renta Plus A"/>
        <s v="Delta Ahorro A"/>
        <s v="Delta Ahorro Plus A"/>
        <s v="FBA Ahorro Pesos B"/>
        <s v="FBA Renta Pesos B"/>
        <s v="FBA Renta Pesos Plus B"/>
        <s v="Fima Ahorro Pesos A"/>
        <s v="Fima Ahorro Pesos B"/>
        <s v="Fima Ahorro Pesos C"/>
        <s v="Fima Ahorro Plus C"/>
        <s v="Fima Premium A"/>
        <s v="Fima Premium B"/>
        <s v="Goal Capital Plus B"/>
        <s v="Goal Pesos B"/>
        <s v="HF Pesos G"/>
        <s v="HF Pesos I"/>
        <s v="HF Pesos Plus G"/>
        <s v="HF Pesos Plus I"/>
        <s v="IAM Ahorro Pesos B"/>
        <s v="IAM Renta Plus B"/>
        <s v="Lombard Capital"/>
        <s v="Lombard Renta en Pesos"/>
        <s v="Balanz Money Market"/>
        <s v="Pellegrini Renta"/>
        <s v="Pellegrini Renta Fija B"/>
        <s v="Pellegrini Renta Pesos B"/>
        <s v="Pionero Pesos"/>
        <s v="Pionero Renta Ahorro"/>
        <s v="Pionero Ahorro Dolares Clase B"/>
        <s v="Premier Renta CP en Pesos A"/>
        <s v="Premier Renta Fija Ahorro A"/>
        <s v="Premier Renta Plus en Pesos A"/>
        <s v="Quinquela Performance B"/>
        <s v="Quinquela Pesos B"/>
        <s v="Bonos"/>
        <s v="Schroder Renta Plus - B"/>
        <s v="Super Ahorro $ B"/>
        <s v="Super Ahorro Plus B"/>
        <s v="Supergestion MIX VI B"/>
        <s v="Intagro - IAM Renta Plus"/>
        <s v="Intagro - IAM Ahorro Pesos"/>
        <s v="IAM Ahorro Pesos B (ivsa)"/>
        <s v="CAUCION-IVSA"/>
        <s v="CAUCION-GMA"/>
        <s v="FCI VARIOS EN GMA T+0"/>
        <s v="FCI VARIOS EN GMA T+1"/>
        <m/>
        <s v="SBS Pesos Plus B"/>
      </sharedItems>
    </cacheField>
    <cacheField name="LIQUIDEZ" numFmtId="0">
      <sharedItems containsBlank="1" count="5">
        <s v="(T+0)"/>
        <s v="(T+1)"/>
        <s v="(T+2)"/>
        <s v="PLAZO"/>
        <m/>
      </sharedItems>
    </cacheField>
    <cacheField name="total" numFmtId="0">
      <sharedItems containsString="0" containsBlank="1" containsNumber="1" containsInteger="1" minValue="0" maxValue="0"/>
    </cacheField>
    <cacheField name="GARANTIA" numFmtId="165">
      <sharedItems containsString="0" containsBlank="1" containsNumber="1" containsInteger="1" minValue="0" maxValue="0"/>
    </cacheField>
    <cacheField name="CAPITAL INVERTIDO" numFmtId="165">
      <sharedItems containsString="0" containsBlank="1" containsNumber="1" containsInteger="1" minValue="0" maxValue="0"/>
    </cacheField>
    <cacheField name="total cp" numFmtId="165">
      <sharedItems containsString="0" containsBlank="1" containsNumber="1" containsInteger="1" minValue="0" maxValue="0"/>
    </cacheField>
    <cacheField name="cp disponible" numFmtId="165">
      <sharedItems containsString="0" containsBlank="1" containsNumber="1" containsInteger="1" minValue="0" maxValue="0"/>
    </cacheField>
    <cacheField name="cp en garantia" numFmtId="165">
      <sharedItems containsString="0" containsBlank="1" containsNumber="1" containsInteger="1" minValue="0" maxValue="0"/>
    </cacheField>
    <cacheField name="29/5/2026" numFmtId="165">
      <sharedItems containsBlank="1" containsMixedTypes="1" containsNumber="1" minValue="4.2629720000000004" maxValue="3784.412703"/>
    </cacheField>
    <cacheField name="valuación  disponible" numFmtId="165">
      <sharedItems containsBlank="1" containsMixedTypes="1" containsNumber="1" containsInteger="1" minValue="0" maxValue="0"/>
    </cacheField>
    <cacheField name="valuación  garantia" numFmtId="165">
      <sharedItems containsBlank="1" containsMixedTypes="1" containsNumber="1" containsInteger="1" minValue="0" maxValue="0"/>
    </cacheField>
    <cacheField name="INV" numFmtId="165">
      <sharedItems containsBlank="1" count="3">
        <s v="NO"/>
        <m/>
        <s v="SI" u="1"/>
      </sharedItems>
    </cacheField>
    <cacheField name="PATRIMONIO DEL FONDO" numFmtId="0">
      <sharedItems containsBlank="1" containsMixedTypes="1" containsNumber="1" minValue="9591427.7400000002" maxValue="35515968834"/>
    </cacheField>
    <cacheField name="RENDIMIENTO" numFmtId="10">
      <sharedItems containsBlank="1" containsMixedTypes="1" containsNumber="1" minValue="0.13788610000000001" maxValue="0.27757359999999998" count="129">
        <n v="0.23246230000000001"/>
        <e v="#VALUE!"/>
        <n v="0.23267859999999999"/>
        <n v="0.2640304"/>
        <n v="0.26056640000000003"/>
        <n v="0.19354769999999999"/>
        <n v="0.2113614"/>
        <n v="0.26737729999999998"/>
        <n v="0.24191749999999998"/>
        <n v="0.25849470000000002"/>
        <n v="0.26679839999999999"/>
        <n v="0.21473639999999999"/>
        <n v="0.20571149999999999"/>
        <n v="0.26389279999999998"/>
        <n v="0.26686179999999998"/>
        <n v="0.27078930000000001"/>
        <n v="0.26544099999999998"/>
        <n v="0.20501570000000002"/>
        <n v="0.2143747"/>
        <n v="0.26949119999999999"/>
        <n v="0.2090719"/>
        <n v="0.20305720000000002"/>
        <n v="0.20835799999999999"/>
        <n v="0.25678699999999999"/>
        <n v="0.26727390000000001"/>
        <n v="0.25056249999999997"/>
        <n v="0.27425260000000001"/>
        <n v="0.27741320000000003"/>
        <n v="0.2425168"/>
        <e v="#N/A"/>
        <n v="0.1408799"/>
        <n v="0.27295020000000003"/>
        <n v="0.2357329"/>
        <n v="0.21970210000000001"/>
        <n v="0.27123580000000003"/>
        <n v="0.21526589999999998"/>
        <n v="0.27053379999999999"/>
        <n v="0.26226080000000002"/>
        <n v="0.27596609999999999"/>
        <n v="0.19705159999999999"/>
        <n v="0.2092009"/>
        <n v="0.23939009999999999"/>
        <n v="0.26896760000000003"/>
        <m/>
        <n v="0.27414070000000001"/>
        <n v="0.20361979999999999" u="1"/>
        <n v="0.27300590000000002" u="1"/>
        <n v="0.26187349999999998" u="1"/>
        <n v="0.23949600000000001" u="1"/>
        <n v="0.2593067" u="1"/>
        <n v="0.20875740000000001" u="1"/>
        <n v="0.26530690000000001" u="1"/>
        <n v="0.19832609999999998" u="1"/>
        <n v="0.20269200000000001" u="1"/>
        <n v="0.269513" u="1"/>
        <n v="0.2706517" u="1"/>
        <n v="0.27406419999999998" u="1"/>
        <n v="0.26430779999999998" u="1"/>
        <n v="0.19199760000000002" u="1"/>
        <n v="0.21393010000000001" u="1"/>
        <n v="0.20727660000000001" u="1"/>
        <n v="0.25092110000000001" u="1"/>
        <n v="0.26879609999999998" u="1"/>
        <n v="0.21364370000000002" u="1"/>
        <n v="0.20336480000000001" u="1"/>
        <n v="0.25500590000000001" u="1"/>
        <n v="0.2047223" u="1"/>
        <n v="0.26614070000000001" u="1"/>
        <n v="0.21131360000000002" u="1"/>
        <n v="0.2110475" u="1"/>
        <n v="0.27162960000000003" u="1"/>
        <n v="0.27757359999999998" u="1"/>
        <n v="0.26164359999999998" u="1"/>
        <n v="0.23837710000000001" u="1"/>
        <n v="0.2607391" u="1"/>
        <n v="0.2325699" u="1"/>
        <n v="0.26268409999999998" u="1"/>
        <n v="0.25577169999999999" u="1"/>
        <n v="0.26888990000000002" u="1"/>
        <n v="0.20436940000000001" u="1"/>
        <n v="0.25700240000000002" u="1"/>
        <n v="0.26502229999999999" u="1"/>
        <n v="0.21060559999999998" u="1"/>
        <n v="0.24784759999999997" u="1"/>
        <n v="0.26672450000000003" u="1"/>
        <n v="0.2293084" u="1"/>
        <n v="0.24099370000000001" u="1"/>
        <n v="0.2622274" u="1"/>
        <n v="0.26070009999999999" u="1"/>
        <n v="0.18920480000000001" u="1"/>
        <n v="0.22804159999999998" u="1"/>
        <n v="0.26379150000000001" u="1"/>
        <n v="0.2703393" u="1"/>
        <n v="0.23271419999999998" u="1"/>
        <n v="0.26521650000000002" u="1"/>
        <n v="0.19944230000000002" u="1"/>
        <n v="0.22837980000000002" u="1"/>
        <n v="0.26040740000000001" u="1"/>
        <n v="0.19971710000000001" u="1"/>
        <n v="0.13788610000000001" u="1"/>
        <n v="0.27133879999999999" u="1"/>
        <n v="0.13798349999999998" u="1"/>
        <n v="0.27349489999999999" u="1"/>
        <n v="0.18895879999999998" u="1"/>
        <n v="0.22907360000000002" u="1"/>
        <n v="0.26554349999999999" u="1"/>
        <n v="0.27125070000000001" u="1"/>
        <n v="0.20450369999999998" u="1"/>
        <n v="0.2103981" u="1"/>
        <n v="0.23933560000000001" u="1"/>
        <n v="0.2025323" u="1"/>
        <n v="0.23426130000000001" u="1"/>
        <n v="0.2580307" u="1"/>
        <n v="0.2481613" u="1"/>
        <n v="0.2585906" u="1"/>
        <n v="0.26574989999999998" u="1"/>
        <n v="0.2674629" u="1"/>
        <n v="0.2338356" u="1"/>
        <n v="0.20412630000000001" u="1"/>
        <n v="0.19223109999999999" u="1"/>
        <n v="0.19807230000000001" u="1"/>
        <n v="0.27608350000000004" u="1"/>
        <n v="0.26737430000000001" u="1"/>
        <n v="0.26763609999999999" u="1"/>
        <n v="0.26825530000000003" u="1"/>
        <n v="0.27011600000000002" u="1"/>
        <n v="0.20903430000000001" u="1"/>
        <n v="0.26495979999999997" u="1"/>
        <n v="0.20750039999999997" u="1"/>
      </sharedItems>
    </cacheField>
    <cacheField name="participacion" numFmtId="10">
      <sharedItems containsBlank="1" containsMixedTypes="1" containsNumber="1" minValue="-18.903405656260979" maxValue="0.82577244985721154" count="2764">
        <n v="0"/>
        <e v="#N/A"/>
        <m/>
        <n v="1.3690640340670142E-2" u="1"/>
        <n v="7.426081204155899E-3" u="1"/>
        <n v="7.5923625041145554E-2" u="1"/>
        <n v="0.14908871775161689" u="1"/>
        <n v="2.0135051096032745E-2" u="1"/>
        <n v="2.0403611913811348E-2" u="1"/>
        <n v="0.20040082831545669" u="1"/>
        <n v="6.1251617091047745E-3" u="1"/>
        <n v="0.24377810213499609" u="1"/>
        <n v="7.6124905298769734E-3" u="1"/>
        <n v="3.0827440988757992E-3" u="1"/>
        <n v="1.0286577294622082E-2" u="1"/>
        <n v="7.5264859299008068E-3" u="1"/>
        <n v="4.0189598610085135E-4" u="1"/>
        <n v="1.1648632646018606E-2" u="1"/>
        <n v="3.7433321200634703E-3" u="1"/>
        <n v="1.2619359165265591E-2" u="1"/>
        <n v="8.498131328085334E-3" u="1"/>
        <n v="1.6463321461377184E-3" u="1"/>
        <n v="-7.3240540077695984E-20" u="1"/>
        <n v="7.1090202093556501E-2" u="1"/>
        <n v="2.5899244640215048E-3" u="1"/>
        <n v="8.8900520788281867E-2" u="1"/>
        <n v="-4.8827026718463988E-20" u="1"/>
        <n v="8.5249526571847863E-3" u="1"/>
        <n v="1.8594410165253591E-3" u="1"/>
        <n v="1.9799911311905883E-2" u="1"/>
        <n v="3.2889200259239089E-2" u="1"/>
        <n v="1.0523607231899851E-2" u="1"/>
        <n v="-2.5173773244165356E-3" u="1"/>
        <n v="-1.3098301809733718E-5" u="1"/>
        <n v="1.4600091162707727E-2" u="1"/>
        <n v="1.488092899292836E-3" u="1"/>
        <n v="9.5862283650983652E-3" u="1"/>
        <n v="0.10958326660383459" u="1"/>
        <n v="1.5578034686920631E-2" u="1"/>
        <n v="1.4953851311634769E-2" u="1"/>
        <n v="6.4598744205136976E-2" u="1"/>
        <n v="6.0328512066382178E-2" u="1"/>
        <n v="0.28339957138888888" u="1"/>
        <n v="1.3159610910581159E-2" u="1"/>
        <n v="5.9347281985426804E-2" u="1"/>
        <n v="6.7413122674924275E-2" u="1"/>
        <n v="1.9848037604023767E-3" u="1"/>
        <n v="4.8233411070845836E-4" u="1"/>
        <n v="1.6033793832259238E-2" u="1"/>
        <n v="1.4235078079403266E-4" u="1"/>
        <n v="2.9876270276386892E-2" u="1"/>
        <n v="3.8302910610752542E-3" u="1"/>
        <n v="5.1105660006799669E-2" u="1"/>
        <n v="9.2264643443064308E-3" u="1"/>
        <n v="3.5545926854384214E-3" u="1"/>
        <n v="1.4155457596878669E-3" u="1"/>
        <n v="1.7432944671889822E-3" u="1"/>
        <n v="-6.3775945849762995E-3" u="1"/>
        <n v="0.1717980627787048" u="1"/>
        <n v="6.9204459362517945E-4" u="1"/>
        <n v="2.0032241252442753E-2" u="1"/>
        <n v="1.3113936512649159E-2" u="1"/>
        <n v="7.0067313935666953E-3" u="1"/>
        <n v="2.1586155386923295E-2" u="1"/>
        <n v="5.5330830823818056E-3" u="1"/>
        <n v="1.5392749446087324E-2" u="1"/>
        <n v="3.0617730505841209E-3" u="1"/>
        <n v="6.2493723909182869E-3" u="1"/>
        <n v="-1.8304591905484312E-3" u="1"/>
        <n v="2.4011850293964559E-3" u="1"/>
        <n v="4.9893260455012731E-2" u="1"/>
        <n v="2.5039275448760837E-2" u="1"/>
        <n v="2.3898859460147713E-3" u="1"/>
        <n v="1.6620010738042679E-4" u="1"/>
        <n v="7.1355776213748209E-2" u="1"/>
        <n v="3.0507653175807187E-3" u="1"/>
        <n v="5.0402634475275113E-3" u="1"/>
        <n v="5.8592432062156788E-18" u="1"/>
        <n v="2.3414622710646066E-2" u="1"/>
        <n v="6.212258005883213E-2" u="1"/>
        <n v="3.6744398776679253E-4" u="1"/>
        <n v="-2.2543843351136166E-2" u="1"/>
        <n v="4.8318459314475558E-3" u="1"/>
        <n v="1.2268063250628179E-4" u="1"/>
        <n v="3.3658532508133725E-3" u="1"/>
        <n v="-9.5418269727108064E-4" u="1"/>
        <n v="2.1557972788916434E-3" u="1"/>
        <n v="6.1786946399175063E-3" u="1"/>
        <n v="6.3647131565224835E-3" u="1"/>
        <n v="5.7444989529652074E-3" u="1"/>
        <n v="6.5114948038279122E-2" u="1"/>
        <n v="6.3429619971406018E-2" u="1"/>
        <n v="9.3523308540409064E-2" u="1"/>
        <n v="3.1456572437508156E-4" u="1"/>
        <n v="1.1135848169497963E-2" u="1"/>
        <n v="2.3862599509363775E-2" u="1"/>
        <n v="4.1826721907554905E-3" u="1"/>
        <n v="1.8811308425186791E-2" u="1"/>
        <n v="3.9285180331925723E-5" u="1"/>
        <n v="1.8459028923296758E-3" u="1"/>
        <n v="1.2766156503307296E-2" u="1"/>
        <n v="1.0485524145835876E-4" u="1"/>
        <n v="3.1461895068494454E-3" u="1"/>
        <n v="5.8718935216681891E-3" u="1"/>
        <n v="6.2783345201520028E-4" u="1"/>
        <n v="2.212445594771407E-3" u="1"/>
        <n v="7.1796452750920439E-3" u="1"/>
        <n v="7.1930695640435314E-3" u="1"/>
        <n v="8.7164723359449102E-3" u="1"/>
        <n v="3.6980213944155536E-2" u="1"/>
        <n v="1.6476984398346585E-2" u="1"/>
        <n v="-1.9642590165962862E-4" u="1"/>
        <n v="1.4050602355420308E-3" u="1"/>
        <n v="1.2111828940855223E-3" u="1"/>
        <n v="1.6711982520838434E-4" u="1"/>
        <n v="2.0152215904763012E-2" u="1"/>
        <n v="9.1136560977463556E-3" u="1"/>
        <n v="9.3618333208421549E-3" u="1"/>
        <n v="7.9592819237506343E-2" u="1"/>
        <n v="7.6869421628777647E-3" u="1"/>
        <n v="8.8820853103278641E-2" u="1"/>
        <n v="1.4253643585714321E-2" u="1"/>
        <n v="9.9587567587956418E-3" u="1"/>
        <n v="1.4894037085093077E-2" u="1"/>
        <n v="8.7335870252054533E-3" u="1"/>
        <n v="3.5301712960576888E-8" u="1"/>
        <n v="2.9456476049746824E-3" u="1"/>
        <n v="1.0766512890964147E-2" u="1"/>
        <n v="2.4260517335952591E-2" u="1"/>
        <n v="6.312319668652E-2" u="1"/>
        <n v="8.851561300684649E-4" u="1"/>
        <n v="1.9307366524659066E-3" u="1"/>
        <n v="2.1390552842982344E-2" u="1"/>
        <n v="0.25877446408624338" u="1"/>
        <n v="2.0780049101024134E-5" u="1"/>
        <n v="8.6612212977440692E-3" u="1"/>
        <n v="1.0485524145836052E-4" u="1"/>
        <n v="3.8377018373759947E-3" u="1"/>
        <n v="-4.236151754370902E-9" u="1"/>
        <n v="3.8264027539943106E-3" u="1"/>
        <n v="4.7327326919546504E-2" u="1"/>
        <n v="-1.1942694820905422E-3" u="1"/>
        <n v="4.3938701585159619E-3" u="1"/>
        <n v="1.4246373120399452E-2" u="1"/>
        <n v="1.048552414583612E-4" u="1"/>
        <n v="3.7340633106960751E-2" u="1"/>
        <n v="5.4944146524180913E-3" u="1"/>
        <n v="9.8880707961434729E-3" u="1"/>
        <n v="1.9218550318413034E-4" u="1"/>
        <n v="3.2110296844300463E-3" u="1"/>
        <n v="1.893392233830294E-4" u="1"/>
        <n v="6.6904866973195353E-3" u="1"/>
        <n v="2.6842941813340292E-3" u="1"/>
        <n v="8.9867169734647277E-3" u="1"/>
        <n v="0.21503979637939838" u="1"/>
        <n v="1.3106905182295064E-3" u="1"/>
        <n v="1.8698826307059428E-2" u="1"/>
        <n v="5.4347646428443745E-2" u="1"/>
        <n v="9.8931961012974877E-3" u="1"/>
        <n v="4.6335497290264406E-3" u="1"/>
        <n v="9.7620229797733583E-3" u="1"/>
        <n v="1.2897194699378344E-2" u="1"/>
        <n v="7.7455741465575642E-2" u="1"/>
        <n v="6.5834182265022856E-2" u="1"/>
        <n v="2.3690040770011061E-2" u="1"/>
        <n v="2.7884518924627767E-2" u="1"/>
        <n v="1.4132366141777519E-2" u="1"/>
        <n v="6.3227710599391409E-3" u="1"/>
        <n v="6.8159159987430809E-3" u="1"/>
        <n v="9.269203344919064E-3" u="1"/>
        <n v="1.2544580058116997E-2" u="1"/>
        <n v="4.7498554224641561E-2" u="1"/>
        <n v="1.0072005398735545E-2" u="1"/>
        <n v="3.3875034210781446E-3" u="1"/>
        <n v="1.4235078079403267E-2" u="1"/>
        <n v="7.6780632890210531E-4" u="1"/>
        <n v="4.4669381413676166E-3" u="1"/>
        <n v="2.4374971805055351E-2" u="1"/>
        <n v="4.0159557478552082E-3" u="1"/>
        <n v="4.0046566644735236E-3" u="1"/>
        <n v="1.9704697766919882E-2" u="1"/>
        <n v="1.0830131001744193E-4" u="1"/>
        <n v="0.10125885540482191" u="1"/>
        <n v="4.7324259002266235E-3" u="1"/>
        <n v="2.0070920652361839E-3" u="1"/>
        <n v="3.6770794186322328E-3" u="1"/>
        <n v="8.112105527801429E-3" u="1"/>
        <n v="1.7930246289379649E-3" u="1"/>
        <n v="1.3984235016753551E-2" u="1"/>
        <n v="3.7960208211742044E-3" u="1"/>
        <n v="8.8078402825022834E-4" u="1"/>
        <n v="6.777057241197168E-2" u="1"/>
        <n v="0.12559524389265722" u="1"/>
        <n v="4.9358732976542218E-2" u="1"/>
        <n v="-5.8220424128343686E-3" u="1"/>
        <n v="2.2647172594766247E-2" u="1"/>
        <n v="6.4381118255433358E-3" u="1"/>
        <n v="4.1212363487522642E-2" u="1"/>
        <n v="2.7922950800361404E-2" u="1"/>
        <n v="0.16737486430293799" u="1"/>
        <n v="7.793122473348269E-3" u="1"/>
        <n v="1.3405773476203295E-2" u="1"/>
        <n v="5.6133657893113554E-3" u="1"/>
        <n v="8.7682762189110214E-3" u="1"/>
        <n v="1.0200846714945528E-2" u="1"/>
        <n v="1.4570171443154659E-3" u="1"/>
        <n v="3.1561427678966514E-3" u="1"/>
        <n v="4.2921975723227805E-3" u="1"/>
        <n v="3.3089003305639816E-3" u="1"/>
        <n v="9.3706043925856873E-3" u="1"/>
        <n v="8.1474737879346885E-3" u="1"/>
        <n v="5.1958034989821921E-3" u="1"/>
        <n v="1.5814763697703883E-2" u="1"/>
        <n v="8.5142456064188736E-3" u="1"/>
        <n v="1.7764121642509262E-2" u="1"/>
        <n v="1.8076446307658E-3" u="1"/>
        <n v="1.683460508346345E-2" u="1"/>
        <n v="2.7984458037603756E-3" u="1"/>
        <n v="5.452472555834747E-3" u="1"/>
        <n v="-1.5714072132770289E-4" u="1"/>
        <n v="2.7731307282184758E-2" u="1"/>
        <n v="2.6045979215311651E-2" u="1"/>
        <n v="4.6181370507931703E-4" u="1"/>
        <n v="3.2977930883950901E-3" u="1"/>
        <n v="1.080928618533957E-2" u="1"/>
        <n v="4.8114297636268288E-2" u="1"/>
        <n v="8.9906772803223806E-3" u="1"/>
        <n v="0.19212739962353417" u="1"/>
        <n v="1.4366216632209973E-3" u="1"/>
        <n v="7.5208662519513931E-3" u="1"/>
        <n v="2.1443082145912305E-2" u="1"/>
        <n v="-4.152035510205563E-2" u="1"/>
        <n v="-6.2783362972479567E-17" u="1"/>
        <n v="1.5661918880087319E-2" u="1"/>
        <n v="4.8788545986959402E-3" u="1"/>
        <n v="0.11824108505539274" u="1"/>
        <n v="7.0950096856553322E-3" u="1"/>
        <n v="0.1307047915116423" u="1"/>
        <n v="4.0893544168760601E-4" u="1"/>
        <n v="1.6020531312461648E-2" u="1"/>
        <n v="1.5378809728149746E-2" u="1"/>
        <n v="7.6282188160957274E-3" u="1"/>
        <n v="2.5126709360653525E-2" u="1"/>
        <n v="2.5084510511873583E-2" u="1"/>
        <n v="2.9674033332716026E-3" u="1"/>
        <n v="0.28083694059803682" u="1"/>
        <n v="2.3407016751092516E-3" u="1"/>
        <n v="4.5647942019678679E-2" u="1"/>
        <n v="4.8591862565066177E-3" u="1"/>
        <n v="6.092367636287661E-3" u="1"/>
        <n v="2.6812037427526698E-2" u="1"/>
        <n v="3.6279913544592737E-3" u="1"/>
        <n v="5.4524725558347464E-4" u="1"/>
        <n v="8.9854224756249802E-3" u="1"/>
        <n v="5.5678133214389436E-3" u="1"/>
        <n v="1.7825391047921288E-3" u="1"/>
        <n v="1.0837908698689996E-3" u="1"/>
        <n v="7.7098319302943044E-2" u="1"/>
        <n v="1.8459861326068038E-2" u="1"/>
        <n v="1.9978060252851426E-2" u="1"/>
        <n v="1.0401639952669363E-2" u="1"/>
        <n v="1.1245372018232141E-2" u="1"/>
        <n v="4.1735944355816908E-2" u="1"/>
        <n v="9.0492288644765887E-3" u="1"/>
        <n v="5.6516975146056317E-2" u="1"/>
        <n v="2.4745836984173082E-3" u="1"/>
        <n v="2.3017941886164878E-2" u="1"/>
        <n v="7.6624879282525385E-2" u="1"/>
        <n v="1.2058352767711459E-3" u="1"/>
        <n v="1.0119579353146373E-3" u="1"/>
        <n v="4.5821740517303549E-3" u="1"/>
        <n v="7.9668557150536487E-2" u="1"/>
        <n v="1.3422519459084729E-3" u="1"/>
        <n v="1.0439057258229063E-3" u="1"/>
        <n v="4.2875416987075088E-2" u="1"/>
        <n v="1.3520111232316187E-2" u="1"/>
        <n v="6.3153714066754791E-3" u="1"/>
        <n v="2.7578095639741746E-2" u="1"/>
        <n v="9.6655328556513615E-3" u="1"/>
        <n v="4.5543556111977083E-3" u="1"/>
        <n v="0.1477865675960964" u="1"/>
        <n v="7.2360602130414596E-4" u="1"/>
        <n v="-6.2498594199633904E-18" u="1"/>
        <n v="-1.3288987885466358E-19" u="1"/>
        <n v="1.6096706977134254E-2" u="1"/>
        <n v="0.11445002775840227" u="1"/>
        <n v="4.3713108764763725E-2" u="1"/>
        <n v="2.3059380209978716E-4" u="1"/>
        <n v="1.0432528765430894E-3" u="1"/>
        <n v="1.8873943462504892E-4" u="1"/>
        <n v="3.6509715265878068E-2" u="1"/>
        <n v="-8.0738535922937518E-4" u="1"/>
        <n v="1.4131032354795256E-2" u="1"/>
        <n v="-7.9255824465301785E-4" u="1"/>
        <n v="2.7021195723819507E-3" u="1"/>
        <n v="9.0909494344398563E-4" u="1"/>
        <n v="-3.6157947616550293E-2" u="1"/>
        <n v="2.5148637940279107E-4" u="1"/>
        <n v="2.7673648152648695E-3" u="1"/>
        <n v="3.4392519198342248E-3" u="1"/>
        <n v="2.3013376228368616E-3" u="1"/>
        <n v="8.8862752616945626E-3" u="1"/>
        <n v="3.4999684781889404E-2" u="1"/>
        <n v="3.4279528364525406E-3" u="1"/>
        <n v="1.8177351601137873E-3" u="1"/>
        <n v="1.3975635407446507E-2" u="1"/>
        <n v="1.6881693874796044E-3" u="1"/>
        <n v="5.5279553208349352E-3" u="1"/>
        <n v="6.5115104945641881E-3" u="1"/>
        <n v="1.0010221365481688E-2" u="1"/>
        <n v="8.2835640752104808E-4" u="1"/>
        <n v="1.8819956281536088E-2" u="1"/>
        <n v="4.6975148173345515E-3" u="1"/>
        <n v="-4.7450260087911563E-11" u="1"/>
        <n v="9.1538625793148726E-3" u="1"/>
        <n v="1.626332605774863E-2" u="1"/>
        <n v="9.1538625793148743E-3" u="1"/>
        <n v="6.1877935439175894E-3" u="1"/>
        <n v="2.4816786348916323E-2" u="1"/>
        <n v="2.7021064241429225E-2" u="1"/>
        <n v="5.4139849697059676E-3" u="1"/>
        <n v="2.9464322849799304E-3" u="1"/>
        <n v="1.1114655594586214E-3" u="1"/>
        <n v="4.2046951824802571E-3" u="1"/>
        <n v="2.363761314928188E-2" u="1"/>
        <n v="5.5258712248555993E-3" u="1"/>
        <n v="3.3498566075265998E-3" u="1"/>
        <n v="2.6628666899172943E-2" u="1"/>
        <n v="-1.4142664919493262E-4" u="1"/>
        <n v="3.4023217781158285E-3" u="1"/>
        <n v="7.8245311216976685E-3" u="1"/>
        <n v="-3.5606789492334964E-2" u="1"/>
        <n v="-1.8856886559324347E-4" u="1"/>
        <n v="6.7151875680183659E-2" u="1"/>
        <n v="1.4054418626943437E-2" u="1"/>
        <n v="2.976755524770305E-2" u="1"/>
        <n v="5.4509531110234453E-2" u="1"/>
        <n v="-1.6607591092637145E-3" u="1"/>
        <n v="4.7068950614102517E-2" u="1"/>
        <n v="2.1791180839862278E-4" u="1"/>
        <n v="4.5314998552767067E-3" u="1"/>
        <n v="7.2687983419683581E-3" u="1"/>
        <n v="6.915738816694342E-4" u="1"/>
        <n v="3.2505124852091759E-3" u="1"/>
        <n v="7.3547903410250215E-3" u="1"/>
        <n v="9.3366229164193926E-4" u="1"/>
        <n v="8.6529354533068249E-3" u="1"/>
        <n v="2.6363744457665581E-2" u="1"/>
        <n v="1.2499593271938987E-2" u="1"/>
        <n v="4.0124265160607797E-2" u="1"/>
        <n v="1.0980308551501632E-4" u="1"/>
        <n v="2.6149417007834734E-2" u="1"/>
        <n v="-0.27777777777777779" u="1"/>
        <n v="5.8876218078869431E-3" u="1"/>
        <n v="4.9838271420238871E-3" u="1"/>
        <n v="3.0863822307806606E-3" u="1"/>
        <n v="-8.5595116141583231E-7" u="1"/>
        <n v="4.033272122497592E-3" u="1"/>
        <n v="3.1005694899237206E-2" u="1"/>
        <n v="6.4849440560225732E-3" u="1"/>
        <n v="1.1811973806036215E-2" u="1"/>
        <n v="2.7576928503548815E-3" u="1"/>
        <n v="2.1546762810282824E-2" u="1"/>
        <n v="1.017095842146097E-3" u="1"/>
        <n v="5.3948021730326487E-3" u="1"/>
        <n v="0.31473501648855268" u="1"/>
        <n v="5.0145398375138475E-3" u="1"/>
        <n v="4.9281963485429438E-4" u="1"/>
        <n v="4.3974602934842073E-2" u="1"/>
        <n v="4.3948341641064015E-3" u="1"/>
        <n v="6.292363039916214E-4" u="1"/>
        <n v="4.6555727207512072E-3" u="1"/>
        <n v="9.3702077611407791E-3" u="1"/>
        <n v="8.5771587512938896E-3" u="1"/>
        <n v="4.1948826128011315E-3" u="1"/>
        <n v="1.6129076570486206E-4" u="1"/>
        <n v="1.5151014631057116E-3" u="1"/>
        <n v="3.1084366224560299E-3" u="1"/>
        <n v="2.4620288801979966E-2" u="1"/>
        <n v="2.3273156484198581E-3" u="1"/>
        <n v="3.7223610717717981E-3" u="1"/>
        <n v="1.4994299528545553E-3" u="1"/>
        <n v="1.4770649327691255E-2" u="1"/>
        <n v="3.9055051161469047E-3" u="1"/>
        <n v="0.16010616635294514" u="1"/>
        <n v="3.6142817050691625E-2" u="1"/>
        <n v="0.24073379318857901" u="1"/>
        <n v="7.3398669020852364E-4" u="1"/>
        <n v="6.532996015790711E-2" u="1"/>
        <n v="1.427782969283696E-2" u="1"/>
        <n v="7.9241934642011527E-3" u="1"/>
        <n v="3.4430065726982401E-2" u="1"/>
        <n v="1.3421470906670147E-2" u="1"/>
        <n v="5.2637331212096981E-3" u="1"/>
        <n v="1.0286299187065166E-2" u="1"/>
        <n v="6.145112996841162E-3" u="1"/>
        <n v="0.18507966407115573" u="1"/>
        <n v="0.17833835180366331" u="1"/>
        <n v="0.30278450837799792" u="1"/>
        <n v="3.2295414369175037E-3" u="1"/>
        <n v="2.1699656021324107E-5" u="1"/>
        <n v="1.7475522806967597E-2" u="1"/>
        <n v="1.1785554099577718E-4" u="1"/>
        <n v="4.7709134863554038E-3" u="1"/>
        <n v="7.3013793159564565E-3" u="1"/>
        <n v="2.1254157443609676E-2" u="1"/>
        <n v="1.4554185621977354E-2" u="1"/>
        <n v="0.10746551984202313" u="1"/>
        <n v="1.3894368045647351E-3" u="1"/>
        <n v="8.8467440965778223E-3" u="1"/>
        <n v="1.0043011724901459E-2" u="1"/>
        <n v="2.0796036105760311E-2" u="1"/>
        <n v="1.3405082945719357E-2" u="1"/>
        <n v="0.1561226636494269" u="1"/>
        <n v="2.0761337808755382E-3" u="1"/>
        <n v="9.3897868725961835E-3" u="1"/>
        <n v="2.4413513359231994E-20" u="1"/>
        <n v="1.0546931526493343E-2" u="1"/>
        <n v="1.9810396836051722E-2" u="1"/>
        <n v="5.6482740736923026E-2" u="1"/>
        <n v="2.2981746366451457E-2" u="1"/>
        <n v="1.7599997775475083E-3" u="1"/>
        <n v="1.4508511224045353E-2" u="1"/>
        <n v="4.8636516771294498E-3" u="1"/>
        <n v="1.40427157040848E-2" u="1"/>
        <n v="2.1592901203813106E-2" u="1"/>
        <n v="0.24742488122416798" u="1"/>
        <n v="3.5336216371467492E-3" u="1"/>
        <n v="1.4015691589191059E-2" u="1"/>
        <n v="2.2941542151084033E-2" u="1"/>
        <n v="0.16761353683265262" u="1"/>
        <n v="3.0544609944377334E-2" u="1"/>
        <n v="5.0786318184895107E-3" u="1"/>
        <n v="3.3553677266675365E-4" u="1"/>
        <n v="1.3930049683495097E-2" u="1"/>
        <n v="4.6733981117991286E-3" u="1"/>
        <n v="1.8237463244642642E-2" u="1"/>
        <n v="2.8561764790855947E-3" u="1"/>
        <n v="-5.8938893663296181E-2" u="1"/>
        <n v="2.3802139811047837E-3" u="1"/>
        <n v="0.16562178548089349" u="1"/>
        <n v="-8.9502337003351598E-8" u="1"/>
        <n v="5.7396879364383487E-2" u="1"/>
        <n v="2.3689148977230996E-3" u="1"/>
        <n v="3.0408020022924549E-3" u="1"/>
        <n v="7.0846729209123429E-4" u="1"/>
        <n v="1.213754697905832E-2" u="1"/>
        <n v="1.2451590778932214E-2" u="1"/>
        <n v="1.4889444287087194E-3" u="1"/>
        <n v="1.2950670872522107E-3" u="1"/>
        <n v="1.7760534935422039E-4" u="1"/>
        <n v="2.2313380650016697E-2" u="1"/>
        <n v="1.6253610978460464E-3" u="1"/>
        <n v="1.9816806567607731E-2" u="1"/>
        <n v="1.3530832574753812E-3" u="1"/>
        <n v="5.0807070231130222E-3" u="1"/>
        <n v="7.4478080144257724E-3" u="1"/>
        <n v="1.7793847599254084E-3" u="1"/>
        <n v="5.2217910246263538E-3" u="1"/>
        <n v="2.1966211775072561E-2" u="1"/>
        <n v="1.0202414993898479E-2" u="1"/>
        <n v="-4.4751168501334015E-8" u="1"/>
        <n v="5.6822742771200788E-3" u="1"/>
        <n v="7.8137937645934956E-3" u="1"/>
        <n v="5.8014989658006428E-4" u="1"/>
        <n v="7.1175390397016335E-4" u="1"/>
        <n v="4.7450260264677555E-4" u="1"/>
        <n v="3.5280262468968069E-3" u="1"/>
        <n v="3.2744852664401734E-4" u="1"/>
        <n v="5.2516745824068088E-2" u="1"/>
        <n v="2.4513862790881524E-2" u="1"/>
        <n v="0.2153006605430394" u="1"/>
        <n v="5.6348422079717693E-2" u="1"/>
        <n v="2.4513862790881552E-2" u="1"/>
        <n v="2.0904291677664639E-3" u="1"/>
        <n v="9.3701995758578849E-3" u="1"/>
        <n v="0.1333846732064535" u="1"/>
        <n v="7.6439471023144814E-3" u="1"/>
        <n v="1.5204010011462274E-4" u="1"/>
        <n v="3.0106289754482656E-3" u="1"/>
        <n v="1.4917446665732959E-2" u="1"/>
        <n v="-6.6058802118767123E-4" u="1"/>
        <n v="1.5324624394891292E-2" u="1"/>
        <n v="1.9508413740651643E-2" u="1"/>
        <n v="2.852062567667406E-3" u="1"/>
        <n v="2.775518241402803E-3" u="1"/>
        <n v="1.2224919083022277E-4" u="1"/>
        <n v="2.0775579684866628E-2" u="1"/>
        <n v="8.1137006738128941E-3" u="1"/>
        <n v="1.3945747113961948E-3" u="1"/>
        <n v="7.1828621474546101E-3" u="1"/>
        <n v="8.5240594132081939E-3" u="1"/>
        <n v="-1.2203061270322875E-2" u="1"/>
        <n v="5.251127190254383E-3" u="1"/>
        <n v="6.8155906947934338E-4" u="1"/>
        <n v="1.530991380533522E-3" u="1"/>
        <n v="6.6583078326058927E-3" u="1"/>
        <n v="-1.9642590165962862E-5" u="1"/>
        <n v="0.28838261398835502" u="1"/>
        <n v="8.7353826294087229E-3" u="1"/>
        <n v="-5.6150169634679235E-4" u="1"/>
        <n v="4.8443121553762561E-3" u="1"/>
        <n v="2.9044022074042802E-2" u="1"/>
        <n v="2.3592429328131116E-3" u="1"/>
        <n v="8.9546376205439874E-3" u="1"/>
        <n v="2.4919135710119434E-2" u="1"/>
        <n v="-5.5071975549042955E-6" u="1"/>
        <n v="1.0093700741920572E-2" u="1"/>
        <n v="-5.4984600628872816E-2" u="1"/>
        <n v="4.3514925205219617E-3" u="1"/>
        <n v="4.1165635970767791E-4" u="1"/>
        <n v="2.108963078184372E-2" u="1"/>
        <n v="0.16914565325708272" u="1"/>
        <n v="2.6594425988873974E-2" u="1"/>
        <n v="7.9689983508353986E-3" u="1"/>
        <n v="3.8167307890843226E-3" u="1"/>
        <n v="9.2041697932345751E-3" u="1"/>
        <n v="3.9239325234475585E-3" u="1"/>
        <n v="1.8769088221046533E-3" u="1"/>
        <n v="3.6409456260505353E-2" u="1"/>
        <n v="3.5408705106703943E-2" u="1"/>
        <n v="-18.903405656260979" u="1"/>
        <n v="2.4780825082244069E-3" u="1"/>
        <n v="-5.52646169242536E-3" u="1"/>
        <n v="9.2272612483357253E-4" u="1"/>
        <n v="3.5703209716571754E-3" u="1"/>
        <n v="3.9312868746832711E-3" u="1"/>
        <n v="0.17071304808432738" u="1"/>
        <n v="6.1926720925302471E-2" u="1"/>
        <n v="2.8922212349249576E-2" u="1"/>
        <n v="2.6633231330423571E-3" u="1"/>
        <n v="3.1738896909440477E-2" u="1"/>
        <n v="3.3239111542300282E-3" u="1"/>
        <n v="-1.7009904493396938E-17" u="1"/>
        <n v="1.9172428272484197E-2" u="1"/>
        <n v="4.9596529209804526E-3" u="1"/>
        <n v="7.857036066385145E-4" u="1"/>
        <n v="1.1643438228503323E-3" u="1"/>
        <n v="8.3257276984139011E-3" u="1"/>
        <n v="9.1853191517523806E-3" u="1"/>
        <n v="1.6197525860454268E-2" u="1"/>
        <n v="2.0037836642692694E-2" u="1"/>
        <n v="5.7880093285015005E-3" u="1"/>
        <n v="2.5322540812194063E-2" u="1"/>
        <n v="1.9531427725782639E-2" u="1"/>
        <n v="2.1592044148063786E-3" u="1"/>
        <n v="2.7172994074534832E-2" u="1"/>
        <n v="2.321439678382136E-2" u="1"/>
        <n v="5.8633400238200322E-4" u="1"/>
        <n v="3.9740136512718639E-3" u="1"/>
        <n v="5.3290242990767971E-3" u="1"/>
        <n v="6.0526449520574219E-2" u="1"/>
        <n v="0.2168327769674695" u="1"/>
        <n v="9.0110651541690798E-4" u="1"/>
        <n v="2.2027023337732088E-5" u="1"/>
        <n v="1.4085875199380945E-2" u="1"/>
        <n v="7.5309364456142593E-3" u="1"/>
        <n v="9.6028095251652484E-3" u="1"/>
        <n v="5.8718935216681264E-4" u="1"/>
        <n v="0.2443606483753078" u="1"/>
        <n v="1.0272359469127589E-2" u="1"/>
        <n v="0.14769602331506135" u="1"/>
        <n v="4.299064899792781E-4" u="1"/>
        <n v="1.2730496780499843E-2" u="1"/>
        <n v="6.128465697720388E-2" u="1"/>
        <n v="2.3980393721527052E-3" u="1"/>
        <n v="6.1284656977203894E-2" u="1"/>
        <n v="0.11106887014288336" u="1"/>
        <n v="7.7511803767649247E-3" u="1"/>
        <n v="4.3233702786286757E-2" u="1"/>
        <n v="0.21486515455621294" u="1"/>
        <n v="3.1351717196049793E-3" u="1"/>
        <n v="1.6131319223636732E-2" u="1"/>
        <n v="0.10445203723552186" u="1"/>
        <n v="3.7957597407926509E-3" u="1"/>
        <n v="-4.4039201412511417E-4" u="1"/>
        <n v="5.8718935216681893E-4" u="1"/>
        <n v="5.9033500941056971E-3" u="1"/>
        <n v="1.8664232979588157E-3" u="1"/>
        <n v="1.1985911356653823E-2" u="1"/>
        <n v="2.8919075594215832E-2" u="1"/>
        <n v="2.7892711475023715E-2" u="1"/>
        <n v="1.8664232979588172E-3" u="1"/>
        <n v="-3.1456572437508153E-5" u="1"/>
        <n v="2.6371371334334585E-2" u="1"/>
        <n v="0.11552560086016138" u="1"/>
        <n v="1.1072713498002871E-2" u="1"/>
        <n v="4.0893544168760614E-3" u="1"/>
        <n v="5.4714629043435548E-3" u="1"/>
        <n v="1.1843430378473723E-2" u="1"/>
        <n v="5.4105304592514027E-3" u="1"/>
        <n v="1.9817640635630138E-3" u="1"/>
        <n v="-5.4221979946767291E-3" u="1"/>
        <n v="2.6423520847506849E-3" u="1"/>
        <n v="9.2274827749558013E-3" u="1"/>
        <n v="1.1654660088096772E-2" u="1"/>
        <n v="2.6310530013690008E-3" u="1"/>
        <n v="1.0958421284813257E-3" u="1"/>
        <n v="4.9822773277911434E-3" u="1"/>
        <n v="9.5942545934399864E-3" u="1"/>
        <n v="6.4007307577332055E-3" u="1"/>
        <n v="1.4988597136486167E-4" u="1"/>
        <n v="3.5434904950909214E-4" u="1"/>
        <n v="2.2444916265058144E-2" u="1"/>
        <n v="4.5580228488205794E-5" u="1"/>
        <n v="9.7476784451079827E-3" u="1"/>
        <n v="6.3018000116474673E-5" u="1"/>
        <n v="5.6177807874653791E-4" u="1"/>
        <n v="1.6328682013086807E-2" u="1"/>
        <n v="0.1738522153444034" u="1"/>
        <n v="4.4840495950120287E-3" u="1"/>
        <n v="-3.4245470712261585E-17" u="1"/>
        <n v="1.9922495877088499E-4" u="1"/>
        <n v="3.583869857685517E-2" u="1"/>
        <n v="1.2242130262509199E-2" u="1"/>
        <n v="5.9576148638253057E-2" u="1"/>
        <n v="2.0338845534309539E-2" u="1"/>
        <n v="7.363592120091151E-3" u="1"/>
        <n v="3.2686771259793418E-3" u="1"/>
        <n v="-3.8321183471959454E-3" u="1"/>
        <n v="-2.8537892260217982E-17" u="1"/>
        <n v="3.5610194833834025E-4" u="1"/>
        <n v="8.9015382824582916E-3" u="1"/>
        <n v="0.27275502645916805" u="1"/>
        <n v="4.5089857008364384E-3" u="1"/>
        <n v="1.7720535806462928E-3" u="1"/>
        <n v="2.621381036459013E-4" u="1"/>
        <n v="1.3816466630420174E-2" u="1"/>
        <n v="8.3763655135700547E-3" u="1"/>
        <n v="1.4085952107554896E-2" u="1"/>
        <n v="5.1724492747793494E-3" u="1"/>
        <n v="8.7029850410439227E-4" u="1"/>
        <n v="1.9084702497836198E-3" u="1"/>
        <n v="0.60683301280615065" u="1"/>
        <n v="1.1018717598320741E-2" u="1"/>
        <n v="3.3606104887404543E-3" u="1"/>
        <n v="-5.6097554180222875E-4" u="1"/>
        <n v="9.8249361246483796E-3" u="1"/>
        <n v="-2.3725130132338777E-3" u="1"/>
        <n v="3.8806638531836114E-2" u="1"/>
        <n v="2.5831784227598191E-3" u="1"/>
        <n v="2.453612650125636E-3" u="1"/>
        <n v="2.4452242308089667E-2" u="1"/>
        <n v="2.3177514788922981E-3" u="1"/>
        <n v="6.8091123479812297E-3" u="1"/>
        <n v="3.1142006713133072E-3" u="1"/>
        <n v="1.1953497526253098E-3" u="1"/>
        <n v="-1.4453098711869271E-2" u="1"/>
        <n v="4.5402319551470106E-3" u="1"/>
        <n v="1.2745185455015625E-2" u="1"/>
        <n v="2.068357172980631E-2" u="1"/>
        <n v="3.1456572437508157E-2" u="1"/>
        <n v="3.8481873615218309E-4" u="1"/>
        <n v="4.0474123202927162E-3" u="1"/>
        <n v="2.1164089403971784E-5" u="1"/>
        <n v="1.0204755878139734E-2" u="1"/>
        <n v="3.6317816034394171E-2" u="1"/>
        <n v="4.4846250168436567E-2" u="1"/>
        <n v="0.13574551520450659" u="1"/>
        <n v="1.0484020482628165E-18" u="1"/>
        <n v="1.4539967796482861E-2" u="1"/>
        <n v="2.4392465918248403E-2" u="1"/>
        <n v="1.423267253742265E-2" u="1"/>
        <n v="9.068628803772346E-3" u="1"/>
        <n v="3.6931680860146282E-2" u="1"/>
        <n v="-8.7164723359449102E-5" u="1"/>
        <n v="1.212154402014339E-2" u="1"/>
        <n v="1.4047148161628567E-2" u="1"/>
        <n v="4.1952582107490042E-4" u="1"/>
        <n v="2.3744514105205242E-2" u="1"/>
        <n v="1.6125473821498086E-2" u="1"/>
        <n v="3.4182808715425526E-3" u="1"/>
        <n v="1.0485523755219837E-10" u="1"/>
        <n v="4.4383808268419559E-4" u="1"/>
        <n v="1.2679637416409143E-3" u="1"/>
        <n v="1.6776838633337683E-3" u="1"/>
        <n v="8.7032065676639989E-3" u="1"/>
        <n v="1.8141005324710953E-3" u="1"/>
        <n v="-9.436971731252446E-5" u="1"/>
        <n v="1.3468686621078313E-2" u="1"/>
        <n v="8.8311893637860375E-3" u="1"/>
        <n v="2.1449629942021358E-2" u="1"/>
        <n v="9.2093760709262285E-3" u="1"/>
        <n v="3.7471483915865978E-3" u="1"/>
        <n v="0.11103360901934549" u="1"/>
        <n v="1.0637564245950675E-2" u="1"/>
        <n v="9.7119254679481591E-3" u="1"/>
        <n v="6.4677077253768745E-3" u="1"/>
        <n v="1.8191269737566813E-2" u="1"/>
        <n v="2.7587634943265642E-2" u="1"/>
        <n v="5.9767487631265494E-3" u="1"/>
        <n v="0.1498027676650561" u="1"/>
        <n v="9.7319413630824927E-2" u="1"/>
        <n v="2.9254612366882583E-3" u="1"/>
        <n v="1.0359919382706095E-2" u="1"/>
        <n v="4.1627530858969111E-3" u="1"/>
        <n v="8.0843391164395952E-3" u="1"/>
        <n v="6.0671810407431845E-2" u="1"/>
        <n v="3.1380499710893413E-2" u="1"/>
        <n v="1.2454682278443751E-2" u="1"/>
        <n v="5.483929128272255E-3" u="1"/>
        <n v="1.0726691201190281E-2" u="1"/>
        <n v="2.0971048291672102E-2" u="1"/>
        <n v="5.3144291496438865E-3" u="1"/>
        <n v="7.1300743708029371E-2" u="1"/>
        <n v="1.0485523598973353E-10" u="1"/>
        <n v="2.2560135767288045E-5" u="1"/>
        <n v="5.2317583215893944E-3" u="1"/>
        <n v="1.6289266300350658E-2" u="1"/>
        <n v="6.7328825795859486E-3" u="1"/>
        <n v="4.9911094934179607E-3" u="1"/>
        <n v="2.2753587396464231E-4" u="1"/>
        <n v="3.1001450044497196E-3" u="1"/>
        <n v="3.0820914917109661E-3" u="1"/>
        <n v="7.6192858929471346E-3" u="1"/>
        <n v="7.1395149228992427E-2" u="1"/>
        <n v="2.2894388015013263E-2" u="1"/>
        <n v="5.8052902157174971E-3" u="1"/>
        <n v="1.5787745169837351E-2" u="1"/>
        <n v="0.17588148054777569" u="1"/>
        <n v="4.9103111711334482E-3" u="1"/>
        <n v="1.2728641633039722E-2" u="1"/>
        <n v="1.4186356300157703E-2" u="1"/>
        <n v="2.1897932549455035E-2" u="1"/>
        <n v="4.1942096583344207E-5" u="1"/>
        <n v="9.4885195420585655E-3" u="1"/>
        <n v="1.7470431613828014E-3" u="1"/>
        <n v="3.8901294581051753E-3" u="1"/>
        <n v="1.5833141460212439E-3" u="1"/>
        <n v="6.0062117395002562E-3" u="1"/>
        <n v="5.1367798110445569E-2" u="1"/>
        <n v="2.0556966155235248E-2" u="1"/>
        <n v="6.8018715324115409E-2" u="1"/>
        <n v="5.8456797113035988E-3" u="1"/>
        <n v="1.714227241820232E-2" u="1"/>
        <n v="9.9549264677345553E-2" u="1"/>
        <n v="1.384846261082366E-2" u="1"/>
        <n v="1.1002573278712482E-2" u="1"/>
        <n v="9.0483356204999962E-3" u="1"/>
        <n v="6.9204459362517939E-3" u="1"/>
        <n v="2.7367218020632094E-3" u="1"/>
        <n v="2.5115046715332087E-2" u="1"/>
        <n v="3.3973098232508809E-3" u="1"/>
        <n v="5.6718838828920563E-3" u="1"/>
        <n v="3.3973098232508827E-3" u="1"/>
        <n v="2.1296418299578349E-2" u="1"/>
        <n v="5.1064502590221572E-3" u="1"/>
        <n v="9.9717334626900859E-3" u="1"/>
        <n v="4.8646380293672348E-4" u="1"/>
        <n v="8.8516538386833963E-3" u="1"/>
        <n v="0.1259716357325236" u="1"/>
        <n v="2.9463885248944294E-3" u="1"/>
        <n v="7.9113279680333003E-3" u="1"/>
        <n v="1.8036150083252593E-3" u="1"/>
        <n v="1.0823815088217047E-2" u="1"/>
        <n v="0.13390697549519048" u="1"/>
        <n v="2.0625025994859509E-2" u="1"/>
        <n v="4.3582361679724553E-6" u="1"/>
        <n v="2.0625025994859512E-2" u="1"/>
        <n v="3.4589070314968075E-3" u="1"/>
        <n v="3.8376138563836891E-2" u="1"/>
        <n v="2.3734679398430981E-3" u="1"/>
        <n v="1.0221265635380672E-2" u="1"/>
        <n v="2.243902167208915E-3" u="1"/>
        <n v="9.5428755251253904E-4" u="1"/>
        <n v="4.3672208067407157E-3" u="1"/>
        <n v="0.10498990928645645" u="1"/>
        <n v="2.1022837810265394E-3" u="1"/>
        <n v="9.637709695865998E-2" u="1"/>
        <n v="9.6323376795037861E-3" u="1"/>
        <n v="4.1208109893135668E-3" u="1"/>
        <n v="8.0004549232729066E-3" u="1"/>
        <n v="3.019308146509463E-2" u="1"/>
        <n v="7.5161212259249252E-2" u="1"/>
        <n v="7.6388370240640651E-4" u="1"/>
        <n v="5.9351319704928577E-3" u="1"/>
        <n v="1.4382179354309103E-3" u="1"/>
        <n v="2.202064925867029E-3" u="1"/>
        <n v="5.094396455923373E-3" u="1"/>
        <n v="-5.5698258226687981E-2" u="1"/>
        <n v="2.6128657423001792E-4" u="1"/>
        <n v="1.1058773780065293E-2" u="1"/>
        <n v="4.5216017547106257E-3" u="1"/>
        <n v="3.5650782095842575E-4" u="1"/>
        <n v="8.8280144267646604E-3" u="1"/>
        <n v="1.2477995260164979E-2" u="1"/>
        <n v="0.14677675346040331" u="1"/>
        <n v="1.4038548552321523E-2" u="1"/>
        <n v="0.13329412892541845" u="1"/>
        <n v="1.1547316254279735E-2" u="1"/>
        <n v="6.5429670670016961E-3" u="1"/>
        <n v="2.5479823674381605E-3" u="1"/>
        <n v="4.9449731871762818E-2" u="1"/>
        <n v="1.2417476243073539E-2" u="1"/>
        <n v="8.9779867018277438E-3" u="1"/>
        <n v="3.2085703886258316E-3" u="1"/>
        <n v="9.3941462527990047E-3" u="1"/>
        <n v="9.5803148755024096E-3" u="1"/>
        <n v="4.7289713897720595E-3" u="1"/>
        <n v="3.1972713052441475E-3" u="1"/>
        <n v="1.5728286218754078E-3" u="1"/>
        <n v="1.3709699352550784E-2" u="1"/>
        <n v="6.0839820375769927E-3" u="1"/>
        <n v="6.3203746672550506E-2" u="1"/>
        <n v="6.0501474321474017E-3" u="1"/>
        <n v="5.9075574029523556E-2" u="1"/>
        <n v="2.0100749787567703E-2" u="1"/>
        <n v="6.0501474321474078E-3" u="1"/>
        <n v="1.7092452910127348E-3" u="1"/>
        <n v="-9.9281144303070293E-2" u="1"/>
        <n v="0.13130237757365931" u="1"/>
        <n v="4.2361517549177651E-3" u="1"/>
        <n v="2.3763439439031912E-2" u="1"/>
        <n v="3.5198910277236969E-3" u="1"/>
        <n v="1.3484662159102078E-2" u="1"/>
        <n v="2.0551627325838661E-3" u="1"/>
        <n v="2.0988920605440578E-3" u="1"/>
        <n v="8.0612730530837135E-3" u="1"/>
        <n v="2.0279003698046923E-2" u="1"/>
        <n v="7.7930745492601605E-3" u="1"/>
        <n v="8.5903984451539683E-3" u="1"/>
        <n v="8.9532880381681494E-3" u="1"/>
        <n v="7.6127120564970499E-3" u="1"/>
        <n v="3.3858169414589044E-2" u="1"/>
        <n v="3.4841957493568943E-4" u="1"/>
        <n v="4.9837098401543005E-3" u="1"/>
        <n v="1.0041273121191392E-2" u="1"/>
        <n v="3.1783973617816427E-3" u="1"/>
        <n v="9.8212950829814312E-5" u="1"/>
        <n v="2.946944683164809E-3" u="1"/>
        <n v="6.1654881977515983E-3" u="1"/>
        <n v="9.2235710872600497E-3" u="1"/>
        <n v="9.3181767718565085E-3" u="1"/>
        <n v="2.1315655147580243E-4" u="1"/>
        <n v="8.0423970198562511E-4" u="1"/>
        <n v="3.0198309540007814E-3" u="1"/>
        <n v="4.6501255059384003E-3" u="1"/>
        <n v="7.8756408354418966E-2" u="1"/>
        <n v="9.6879525933959952E-3" u="1"/>
        <n v="0.82577244985721154" u="1"/>
        <n v="5.8110545336351176E-2" u="1"/>
        <n v="4.8930496150297606E-3" u="1"/>
        <n v="4.9340498512434345E-3" u="1"/>
        <n v="7.2350116606268756E-4" u="1"/>
        <n v="1.7738021203647893E-2" u="1"/>
        <n v="7.8884074640301442E-3" u="1"/>
        <n v="1.8505601503224247E-3" u="1"/>
        <n v="5.6535096061470586E-2" u="1"/>
        <n v="1.4438836004493678E-2" u="1"/>
        <n v="-1.5658585887343595E-3" u="1"/>
        <n v="3.6385817338465683E-3" u="1"/>
        <n v="8.818862139019638E-3" u="1"/>
        <n v="8.3282603415080671E-3" u="1"/>
        <n v="2.3727502645352013E-3" u="1"/>
        <n v="1.7207023230873877E-2" u="1"/>
        <n v="7.9861160538465554E-3" u="1"/>
        <n v="3.7175754512805047E-2" u="1"/>
        <n v="5.7075768351729212E-10" u="1"/>
        <n v="2.7008353381600025E-2" u="1"/>
        <n v="1.4574081658682816E-2" u="1"/>
        <n v="4.7142916559678887E-2" u="1"/>
        <n v="6.0691377806562103E-3" u="1"/>
        <n v="-3.0173026844189232E-5" u="1"/>
        <n v="9.7791350175454907E-3" u="1"/>
        <n v="7.6605821221504737E-3" u="1"/>
        <n v="1.7016691723432441E-3" u="1"/>
        <n v="6.3556278420087214E-3" u="1"/>
        <n v="1.4833562472566271E-2" u="1"/>
        <n v="2.1844483550810243E-2" u="1"/>
        <n v="5.638188441902757E-2" u="1"/>
        <n v="7.3398669020852367E-5" u="1"/>
        <n v="-5.0780107787202547E-18" u="1"/>
        <n v="2.747207326209045E-2" u="1"/>
        <n v="3.6748235849385115E-3" u="1"/>
        <n v="1.3484384051545163E-2" u="1"/>
        <n v="5.2951896936472061E-3" u="1"/>
        <n v="9.4896208786017025E-3" u="1"/>
        <n v="6.148851380081468E-2" u="1"/>
        <n v="6.6772981811147013E-3" u="1"/>
        <n v="0.12946383786434321" u="1"/>
        <n v="1.5205058563876859E-3" u="1"/>
        <n v="1.4951481426071661E-3" u="1"/>
        <n v="7.9473555851872109E-3" u="1"/>
        <n v="6.3026052503765112E-2" u="1"/>
        <n v="5.9254602714834008E-2" u="1"/>
        <n v="6.0668362897884333E-2" u="1"/>
        <n v="1.0700124762648667E-2" u="1"/>
        <n v="1.3762281297161722E-2" u="1"/>
        <n v="4.0804290424611749E-2" u="1"/>
        <n v="4.8023700587929118E-3" u="1"/>
        <n v="2.8650073876174565E-3" u="1"/>
        <n v="2.3382718845214394E-3" u="1"/>
        <n v="5.2627517160526285E-2" u="1"/>
        <n v="5.6449786227087469E-2" u="1"/>
        <n v="1.2776642027453133E-2" u="1"/>
        <n v="2.0813950697162142E-2" u="1"/>
        <n v="6.1015306351614373E-3" u="1"/>
        <n v="1.0215654687758556E-2" u="1"/>
        <n v="1.3052918001326259E-2" u="1"/>
        <n v="4.3095504239386174E-3" u="1"/>
        <n v="4.2982513405569328E-3" u="1"/>
        <n v="6.149898708276493E-3" u="1"/>
        <n v="5.2541949513173591E-2" u="1"/>
        <n v="2.655174723467988E-2" u="1"/>
        <n v="1.8842672157744964E-2" u="1"/>
        <n v="9.6070753548093232E-2" u="1"/>
        <n v="8.6274659652135922E-3" u="1"/>
        <n v="8.1139945052598625E-2" u="1"/>
        <n v="2.2821472334125757E-3" u="1"/>
        <n v="2.3972781230997409E-6" u="1"/>
        <n v="7.7907848722807788E-2" u="1"/>
        <n v="5.2783205881934267E-3" u="1"/>
        <n v="8.7164723359449109E-2" u="1"/>
        <n v="2.0188450252257528E-2" u="1"/>
        <n v="4.5087753827095025E-4" u="1"/>
        <n v="2.274306796213329E-3" u="1"/>
        <n v="7.3736535834267192E-3" u="1"/>
        <n v="1.3992962828370113E-2" u="1"/>
        <n v="3.302940105938356E-3" u="1"/>
        <n v="6.2705343474018177E-3" u="1"/>
        <n v="6.2913144875016312E-4" u="1"/>
        <n v="1.7961000500382421E-3" u="1"/>
        <n v="8.6858342708276665E-2" u="1"/>
        <n v="2.1556669364885973E-2" u="1"/>
        <n v="5.4390133067268448E-2" u="1"/>
        <n v="7.8570360663851447E-5" u="1"/>
        <n v="1.5781546180389778E-4" u="1"/>
        <n v="4.4248911895428079E-3" u="1"/>
        <n v="2.2041909123261538E-2" u="1"/>
        <n v="2.1495324498963905E-3" u="1"/>
        <n v="6.5373542519586839E-2" u="1"/>
        <n v="2.0603777284329512E-2" u="1"/>
        <n v="1.1250967408482084E-2" u="1"/>
        <n v="2.8101204710840604E-3" u="1"/>
        <n v="2.8101204710840617E-3" u="1"/>
        <n v="2.9396862437182448E-3" u="1"/>
        <n v="3.9320715546885196E-3" u="1"/>
        <n v="9.3937151605784017E-3" u="1"/>
        <n v="1.1797263216480141E-3" u="1"/>
        <n v="5.2532475970638618E-3" u="1"/>
        <n v="6.7930600862621364E-3" u="1"/>
        <n v="8.1083142778845736E-4" u="1"/>
        <n v="2.2048347535196234E-2" u="1"/>
        <n v="2.9788074170186155E-2" u="1"/>
        <n v="1.6955092543816895E-3" u="1"/>
        <n v="-4.7450260264677555E-5" u="1"/>
        <n v="1.8077043627421352E-2" u="1"/>
        <n v="5.5922249491698474E-2" u="1"/>
        <n v="3.3565480131416872E-2" u="1"/>
        <n v="6.263434354937438E-3" u="1"/>
        <n v="9.3484336566520831E-3" u="1"/>
        <n v="3.3598741532928441E-4" u="1"/>
        <n v="1.5850658314712367E-2" u="1"/>
        <n v="0.42361110833333332" u="1"/>
        <n v="7.6818877848794992E-3" u="1"/>
        <n v="3.906162137477119E-19" u="1"/>
        <n v="2.9894649284554563E-2" u="1"/>
        <n v="2.0855673615882801E-3" u="1"/>
        <n v="1.1636490568486457E-2" u="1"/>
        <n v="8.1432072224862997E-2" u="1"/>
        <n v="2.0971048291672104E-4" u="1"/>
        <n v="2.0971048291672107E-4" u="1"/>
        <n v="8.1929925796399447E-2" u="1"/>
        <n v="3.9185012037109501E-2" u="1"/>
        <n v="9.4175017802278335E-4" u="1"/>
        <n v="3.774788692500977E-3" u="1"/>
        <n v="5.9727237142165726E-2" u="1"/>
        <n v="2.4199632734985552E-3" u="1"/>
        <n v="2.0971048291672172E-4" u="1"/>
        <n v="3.7747886925009787E-3" u="1"/>
        <n v="1.4980359810607975E-2" u="1"/>
        <n v="1.0485524145836052E-7" u="1"/>
        <n v="5.8614079975223546E-3" u="1"/>
        <n v="2.8310915193757339E-4" u="1"/>
        <n v="6.5794366636780859E-5" u="1"/>
        <n v="-5.2330184991250814E-3" u="1"/>
        <n v="5.6149981800952056E-3" u="1"/>
        <n v="9.1224060068773646E-4" u="1"/>
        <n v="3.1141126903210012E-2" u="1"/>
        <n v="-6.0291763838557293E-4" u="1"/>
        <n v="1.126672655045274E-2" u="1"/>
        <n v="5.3429101948189342E-4" u="1"/>
        <n v="2.6213810364590128E-3" u="1"/>
        <n v="1.9946793782966619E-3" u="1"/>
        <n v="-2.9359467608340947E-4" u="1"/>
        <n v="5.7454365916128639E-2" u="1"/>
        <n v="8.3781455944467748E-3" u="1"/>
        <n v="1.2792339457919984E-3" u="1"/>
        <n v="4.8757687278137641E-3" u="1"/>
        <n v="3.7378668530710724E-3" u="1"/>
        <n v="1.4156506149293254E-3" u="1"/>
        <n v="7.663150646414177E-4" u="1"/>
        <n v="8.157959312080524E-3" u="1"/>
        <n v="1.0362452025800261E-2" u="1"/>
        <n v="1.6200822942171983E-2" u="1"/>
        <n v="2.7577672104466495E-2" u="1"/>
        <n v="4.3829490929594697E-3" u="1"/>
        <n v="5.0898869748648833E-3" u="1"/>
        <n v="1.1306988972559516E-2" u="1"/>
        <n v="3.5824946499831554E-2" u="1"/>
        <n v="0.10003528119399265" u="1"/>
        <n v="4.9878358267983307E-3" u="1"/>
        <n v="1.8078973808275146E-2" u="1"/>
        <n v="8.3759350328152668E-2" u="1"/>
        <n v="4.2935537806518447E-3" u="1"/>
        <n v="1.7306533277173938E-3" u="1"/>
        <n v="1.4252426187001519E-2" u="1"/>
        <n v="1.505564439446762E-2" u="1"/>
        <n v="1.2299797930622603E-2" u="1"/>
        <n v="3.5860492578759298E-3" u="1"/>
        <n v="1.422540207210778E-2" u="1"/>
        <n v="5.730115427368563E-2" u="1"/>
        <n v="2.5584761173350037E-2" u="1"/>
        <n v="6.1258762100722284E-3" u="1"/>
        <n v="1.8911338291346396E-3" u="1"/>
        <n v="1.7615680565004567E-3" u="1"/>
        <n v="6.8051051706475973E-3" u="1"/>
        <n v="1.7615680565004586E-3" u="1"/>
        <n v="2.9292107945387585E-2" u="1"/>
        <n v="-1.4690219328316309E-2" u="1"/>
        <n v="1.8979847256377837E-3" u="1"/>
        <n v="2.0487065595975126E-2" u="1"/>
        <n v="1.2582628975003261E-4" u="1"/>
        <n v="3.3396394404487826E-3" u="1"/>
        <n v="2.401726873050901E-3" u="1"/>
        <n v="1.7206908985383468E-3" u="1"/>
        <n v="0.19272832487201352" u="1"/>
        <n v="3.084266917204041E-3" u="1"/>
        <n v="2.2373548410792671E-2" u="1"/>
        <n v="3.0932296230216311E-3" u="1"/>
        <n v="6.2262809358171363E-3" u="1"/>
        <n v="4.7086231020508531E-4" u="1"/>
        <n v="1.3144300011136566E-3" u="1"/>
        <n v="3.0932296230216354E-3" u="1"/>
        <n v="1.1848642284794739E-3" u="1"/>
        <n v="4.4982898585636663E-3" u="1"/>
        <n v="-2.3725130132338777E-7" u="1"/>
        <n v="1.8845032020490204E-2" u="1"/>
        <n v="5.7670382802098286E-4" u="1"/>
        <n v="3.8714885187174776E-3" u="1"/>
        <n v="5.8194659009390085E-3" u="1"/>
        <n v="1.6515749082106365E-3" u="1"/>
        <n v="1.1862565066169388E-3" u="1"/>
        <n v="1.0904945111669494E-2" u="1"/>
        <n v="3.0462204388369035E-4" u="1"/>
        <n v="4.0054702237093719E-3" u="1"/>
        <n v="-3.3785255085456127E-4" u="1"/>
        <n v="9.00494483446369E-3" u="1"/>
        <n v="5.2091958430623302E-2" u="1"/>
        <n v="8.8445396170127102E-3" u="1"/>
        <n v="9.7384391538177951E-3" u="1"/>
        <n v="4.4273465339957395E-3" u="1"/>
        <n v="2.7254339646784646E-2" u="1"/>
        <n v="0.20064757938865405" u="1"/>
        <n v="2.658775865300515E-4" u="1"/>
        <n v="2.1699656021295568E-5" u="1"/>
        <n v="1.3963263968461878E-2" u="1"/>
        <n v="3.4210350412567955E-3" u="1"/>
        <n v="1.6671983391879322E-3" u="1"/>
        <n v="-2.4919135710119436E-3" u="1"/>
        <n v="2.1210776103982077E-4" u="1"/>
        <n v="9.8424529791483108E-3" u="1"/>
        <n v="1.8088956564843103E-2" u="1"/>
        <n v="4.7530283089459073E-3" u="1"/>
        <n v="8.1787088337521201E-4" u="1"/>
        <n v="6.0973584440110664E-3" u="1"/>
        <n v="1.6976029681923461E-3" u="1"/>
        <n v="1.3246305528299071E-3" u="1"/>
        <n v="5.5508421860431831E-4" u="1"/>
        <n v="8.6326722429052455E-3" u="1"/>
        <n v="4.8101923377319729E-2" u="1"/>
        <n v="5.5309402921926508E-2" u="1"/>
        <n v="5.3624074855053397E-2" u="1"/>
        <n v="4.0775459530226878E-3" u="1"/>
        <n v="6.539693400382067E-3" u="1"/>
        <n v="1.2399163158203035E-2" u="1"/>
        <n v="5.1938746788180293E-2" u="1"/>
        <n v="2.9044901883965861E-3" u="1"/>
        <n v="2.8279458621319831E-3" u="1"/>
        <n v="4.7627580711135419E-3" u="1"/>
        <n v="3.2458774075075805E-3" u="1"/>
        <n v="3.8732741514713127E-2" u="1"/>
        <n v="3.5650782095842577E-3" u="1"/>
        <n v="7.3288789162613693E-2" u="1"/>
        <n v="1.0642807008023593E-2" u="1"/>
        <n v="5.8695971947406139E-2" u="1"/>
        <n v="1.0608366050287789E-3" u="1"/>
        <n v="8.1561272993611017E-2" u="1"/>
        <n v="8.5824015133668091E-3" u="1"/>
        <n v="3.7485705609095268E-3" u="1"/>
        <n v="5.0100998419267684E-3" u="1"/>
        <n v="1.1494888633550556E-2" u="1"/>
        <n v="2.9405535652930789E-2" u="1"/>
        <n v="9.6571677383150041E-3" u="1"/>
        <n v="5.6703061016289684E-2" u="1"/>
        <n v="4.0438449300250574E-3" u="1"/>
        <n v="2.4553998815024817E-3" u="1"/>
        <n v="5.5488125031342734E-4" u="1"/>
        <n v="2.4116705535422917E-3" u="1"/>
        <n v="2.4129997222220733E-4" u="1"/>
        <n v="3.2733411555663984E-2" u="1"/>
        <n v="2.1509051747677161E-2" u="1"/>
        <n v="1.7466500736935684E-3" u="1"/>
        <n v="7.9625127395854746E-4" u="1"/>
        <n v="1.3107953734709649E-3" u="1"/>
        <n v="3.0149018674312397E-2" u="1"/>
        <n v="5.5156191279483492E-2" u="1"/>
        <n v="9.9066999110055901E-3" u="1"/>
        <n v="4.2065788549152744E-2" u="1"/>
        <n v="1.2556868737002362E-2" u="1"/>
        <n v="2.8472528671819766E-3" u="1"/>
        <n v="4.8414879011991069E-2" u="1"/>
        <n v="3.7747886925009784E-4" u="1"/>
        <n v="2.8743171615523973E-3" u="1"/>
        <n v="3.0507653175807187E-2" u="1"/>
        <n v="1.0013897085893505E-2" u="1"/>
        <n v="-5.8927770497888589E-5" u="1"/>
        <n v="1.0673478900455852E-2" u="1"/>
        <n v="2.6206461595478039E-2" u="1"/>
        <n v="6.8785038396684496E-3" u="1"/>
        <n v="4.6026752456737232E-3" u="1"/>
        <n v="2.6392064275069342E-3" u="1"/>
        <n v="2.0116993092222188E-2" u="1"/>
        <n v="4.7612768754871759E-3" u="1"/>
        <n v="3.3763387749592088E-3" u="1"/>
        <n v="5.064508162438813E-3" u="1"/>
        <n v="1.6567128150420947E-3" u="1"/>
        <n v="9.0472097747002248E-5" u="1"/>
        <n v="1.4628354735855876E-3" u="1"/>
        <n v="1.4070013843472355E-2" u="1"/>
        <n v="0.12541098555023769" u="1"/>
        <n v="8.7839607513763018E-2" u="1"/>
        <n v="5.5002979637040483E-2" u="1"/>
        <n v="1.1415156904087194E-17" u="1"/>
        <n v="-1.2206756679615997E-20" u="1"/>
        <n v="3.1299289575320616E-3" u="1"/>
        <n v="3.553024406485473E-3" u="1"/>
        <n v="4.5716885275845186E-3" u="1"/>
        <n v="2.3924002064086323E-2" u="1"/>
        <n v="0.7258784589843692" u="1"/>
        <n v="2.2229311189172428E-3" u="1"/>
        <n v="4.8610010130172875E-2" u="1"/>
        <n v="1.7869468689265266E-3" u="1"/>
        <n v="1.0800089870211134E-3" u="1"/>
        <n v="9.6445618073596889E-3" u="1"/>
        <n v="1.1051742449711199E-2" u="1"/>
        <n v="4.0788688927302242E-3" u="1"/>
        <n v="1.1202796163171956E-2" u="1"/>
        <n v="4.7642857359772627E-3" u="1"/>
        <n v="7.2733647224707629E-3" u="1"/>
        <n v="1.5095700576212172E-2" u="1"/>
        <n v="3.4036011377383817E-2" u="1"/>
        <n v="7.6575112755445984E-2" u="1"/>
        <n v="8.1563903875262744E-3" u="1"/>
        <n v="1.4602880941357877E-2" u="1"/>
        <n v="1.6853280668731069E-2" u="1"/>
        <n v="5.8196511686165872E-3" u="1"/>
        <n v="1.2058352767711459E-4" u="1"/>
        <n v="7.2733647224707812E-3" u="1"/>
        <n v="6.3146156446972773E-3" u="1"/>
        <n v="8.4725061414406069E-3" u="1"/>
        <n v="7.6357916870726204E-3" u="1"/>
        <n v="-3.3215182185274291E-3" u="1"/>
        <n v="6.7344140258899066E-2" u="1"/>
        <n v="4.3582361679724555E-4" u="1"/>
        <n v="1.0712346666524901E-2" u="1"/>
        <n v="1.9083839213099193E-2" u="1"/>
        <n v="6.0462884216278571E-3" u="1"/>
        <n v="6.6404226551963971E-3" u="1"/>
        <n v="5.316443992772437E-2" u="1"/>
        <n v="1.3531599765953329E-2" u="1"/>
        <n v="3.1875993403341599E-3" u="1"/>
        <n v="2.0901182668705462E-3" u="1"/>
        <n v="1.5403234970233159E-2" u="1"/>
        <n v="1.5623430977295717E-3" u="1"/>
        <n v="7.6544326264603175E-4" u="1"/>
        <n v="1.6987597668668987E-3" u="1"/>
        <n v="2.0981533815817941E-4" u="1"/>
        <n v="3.2033910281560218E-2" u="1"/>
        <n v="1.254596049624474E-2" u="1"/>
        <n v="1.0422832527581112E-2" u="1"/>
        <n v="4.1942096583344208E-3" u="1"/>
        <n v="9.930012892726818E-3" u="1"/>
        <n v="2.7367218020632095E-2" u="1"/>
        <n v="7.131366069267891E-3" u="1"/>
        <n v="2.3032955493183669E-4" u="1"/>
        <n v="9.222018486262808E-3" u="1"/>
        <n v="1.7961702861817155E-2" u="1"/>
        <n v="2.6947797054798651E-3" u="1"/>
        <n v="9.8563926970858876E-4" u="1"/>
        <n v="-2.3725130132338777E-4" u="1"/>
        <n v="-1.6853280668731067E-3" u="1"/>
        <n v="9.609323204926707E-3" u="1"/>
        <n v="5.0564006712850596E-3" u="1"/>
        <n v="5.1325900218408251E-2" u="1"/>
        <n v="5.0225660658554687E-3" u="1"/>
        <n v="5.2513290447341578E-2" u="1"/>
        <n v="1.908816037204692E-3" u="1"/>
        <n v="7.9463162455456079E-2" u="1"/>
        <n v="4.5019279904685277E-3" u="1"/>
        <n v="7.6631563539910133E-4" u="1"/>
        <n v="7.4447221435435963E-3" u="1"/>
        <n v="6.824507939986321E-3" u="1"/>
        <n v="-6.7458451695827511E-4" u="1"/>
        <n v="2.9875608223274264E-3" u="1"/>
        <n v="1.7086697238155313E-3" u="1"/>
        <n v="3.6594479268967821E-3" u="1"/>
        <n v="1.4679733804170473E-3" u="1"/>
        <n v="5.4447079497089833E-3" u="1"/>
        <n v="5.6307264663139596E-3" u="1"/>
        <n v="1.1020285877273691E-2" u="1"/>
        <n v="0.1126318129036238" u="1"/>
        <n v="1.6043900495543743E-3" u="1"/>
        <n v="6.2356132001528215E-3" u="1"/>
        <n v="4.862955255972962E-3" u="1"/>
        <n v="-4.3213698365118299E-5" u="1"/>
        <n v="9.612198470910683E-6" u="1"/>
        <n v="1.3975788245495008E-4" u="1"/>
        <n v="3.4130381094696349E-3" u="1"/>
        <n v="1.1872367502800654E-2" u="1"/>
        <n v="5.1379068314596653E-3" u="1"/>
        <n v="2.4235288025594534E-2" u="1"/>
        <n v="1.604674512282624E-2" u="1"/>
        <n v="1.9032052205707931E-2" u="1"/>
        <n v="3.8929332752921916E-2" u="1"/>
        <n v="2.1529686669783943E-2" u="1"/>
        <n v="9.6812246574888502E-3" u="1"/>
        <n v="2.6356060434889993E-3" u="1"/>
        <n v="4.941138848175735E-4" u="1"/>
        <n v="1.344771557278664E-2" u="1"/>
        <n v="2.4129997222222224E-4" u="1"/>
        <n v="-1.5321164244301599E-3" u="1"/>
        <n v="4.6450871966053709E-3" u="1"/>
        <n v="1.6053615574831911E-2" u="1"/>
        <n v="1.3749813116174004E-3" u="1"/>
        <n v="1.7693488193155645E-2" u="1"/>
        <n v="6.370041952321031E-4" u="1"/>
        <n v="5.6632315911660518E-4" u="1"/>
        <n v="1.8725321695637554E-2" u="1"/>
        <n v="2.2019439929698501E-2" u="1"/>
        <n v="5.8812520253989163E-2" u="1"/>
        <n v="4.6065866131923041E-4" u="1"/>
        <n v="0.1197557862276112" u="1"/>
        <n v="4.5963492732902914E-2" u="1"/>
        <n v="2.9686868788649217E-3" u="1"/>
        <n v="4.7184858656262234E-4" u="1"/>
        <n v="3.9222039424806334E-5" u="1"/>
        <n v="1.2331254503060112E-2" u="1"/>
        <n v="1.656129743829533E-3" u="1"/>
        <n v="2.7335761448194587E-3" u="1"/>
        <n v="2.0756630689197928E-3" u="1"/>
        <n v="3.4707084922717332E-3" u="1"/>
        <n v="7.4167129306704259E-3" u="1"/>
        <n v="1.3400499858378474E-2" u="1"/>
        <n v="3.1749201092602625E-2" u="1"/>
        <n v="6.710735453335073E-4" u="1"/>
        <n v="4.0811990016341986E-3" u="1"/>
        <n v="-8.3884193162782246E-9" u="1"/>
        <n v="1.1469209962396264E-4" u="1"/>
        <n v="-2.0971048291679428E-7" u="1"/>
        <n v="1.1555269135331406E-2" u="1"/>
        <n v="8.5480802118484654E-3" u="1"/>
        <n v="7.1450145931060735E-2" u="1"/>
        <n v="3.2056361195488625E-5" u="1"/>
        <n v="2.3173008362297673E-3" u="1"/>
        <n v="2.2407565099651643E-3" u="1"/>
        <n v="5.8074208165535476E-3" u="1"/>
        <n v="5.4527418115121835E-3" u="1"/>
        <n v="1.9240936807609153E-2" u="1"/>
        <n v="2.2795714760725155E-2" u="1"/>
        <n v="3.4534439791348917E-2" u="1"/>
        <n v="5.5887843697306153E-3" u="1"/>
        <n v="0.10633158136858685" u="1"/>
        <n v="2.0233327330875409E-2" u="1"/>
        <n v="1.5939045254085382E-3" u="1"/>
        <n v="5.7235189010914733E-2" u="1"/>
        <n v="2.6197777679543354E-2" u="1"/>
        <n v="2.3540001707401937E-2" u="1"/>
        <n v="2.85378841825091E-4" u="1"/>
        <n v="3.8151625101313742E-3" u="1"/>
        <n v="1.4487540175753681E-2" u="1"/>
        <n v="6.9512513853213194E-3" u="1"/>
        <n v="1.5391952542058029E-2" u="1"/>
        <n v="1.206911639941421E-2" u="1"/>
        <n v="1.4235078079403267E-3" u="1"/>
        <n v="1.513369987454956E-3" u="1"/>
        <n v="9.4900520529355109E-4" u="1"/>
        <n v="1.3501900906045092E-2" u="1"/>
        <n v="2.2019600706255709E-4" u="1"/>
        <n v="3.6393257918827184E-3" u="1"/>
        <n v="1.558168476364997E-2" u="1"/>
        <n v="3.2819690576466843E-3" u="1"/>
        <n v="2.6617548540894087E-3" u="1"/>
        <n v="1.9187734496791963E-2" u="1"/>
        <n v="1.5628704595120536E-2" u="1"/>
        <n v="3.2706699742649998E-3" u="1"/>
        <n v="4.9027725581763104E-2" u="1"/>
        <n v="3.4888368352678625E-2" u="1"/>
        <n v="7.0633842637739539E-3" u="1"/>
        <n v="7.8812779446445266E-3" u="1"/>
        <n v="4.5657069448016896E-2" u="1"/>
        <n v="1.5287894204628963E-2" u="1"/>
        <n v="8.498560527546288E-2" u="1"/>
        <n v="4.3883245388548887E-4" u="1"/>
        <n v="1.9398219669796695E-3" u="1"/>
        <n v="1.9398219669796699E-3" u="1"/>
        <n v="2.2405312255927724E-2" u="1"/>
        <n v="2.287127809385578E-3" u="1"/>
        <n v="1.2581352027091142E-2" u="1"/>
        <n v="2.1285614016047171E-3" u="1"/>
        <n v="1.4302254934920374E-2" u="1"/>
        <n v="5.7041251353348119E-3" u="1"/>
        <n v="5.0839109317775367E-3" u="1"/>
        <n v="1.0307491761976916E-2" u="1"/>
        <n v="2.3384935231269138E-2" u="1"/>
        <n v="2.4401605038632866E-6" u="1"/>
        <n v="-1.3074708503916068E-4" u="1"/>
        <n v="1.5072971815391226E-2" u="1"/>
        <n v="2.7891494227923895E-3" u="1"/>
        <n v="-3.1456572437508156E-4" u="1"/>
        <n v="2.5534467681165528E-2" u="1"/>
        <n v="1.9201344642813163E-3" u="1"/>
        <n v="1.8627169921745304E-2" u="1"/>
        <n v="1.1692407975021782E-3" u="1"/>
        <n v="1.3316615665211785E-2" u="1"/>
        <n v="3.3919015456882144E-3" u="1"/>
        <n v="8.440690942255577E-2" u="1"/>
        <n v="3.3138762727467231E-3" u="1"/>
        <n v="3.8051182445233783E-2" u="1"/>
        <n v="1.4995348080960138E-3" u="1"/>
        <n v="1.0923795753151687E-2" u="1"/>
        <n v="4.7184858656262232E-3" u="1"/>
        <n v="4.718485865626224E-3" u="1"/>
        <n v="4.7184858656262249E-3" u="1"/>
        <n v="4.7071867822445386E-3" u="1"/>
        <n v="4.550385780557388E-2" u="1"/>
        <n v="4.3818529738700776E-2" u="1"/>
        <n v="4.9838271420238868E-2" u="1"/>
        <n v="2.5800758114396936E-2" u="1"/>
        <n v="1.8510766388923759E-2" u="1"/>
        <n v="1.9179993892721142E-3" u="1"/>
        <n v="3.251796030802495E-3" u="1"/>
        <n v="1.0730546452792575E-2" u="1"/>
        <n v="1.5389295252295581E-2" u="1"/>
        <n v="7.6334615781686451E-3" u="1"/>
        <n v="1.3158535898994949E-2" u="1"/>
        <n v="9.48872763462511E-3" u="1"/>
        <n v="1.0538173293185309E-2" u="1"/>
        <n v="2.687449373064886E-3" u="1"/>
        <n v="1.0045353658331015E-2" u="1"/>
        <n v="8.5726505424018204E-2" u="1"/>
        <n v="1.3631181389586866E-4" u="1"/>
        <n v="2.1182093884292334E-4" u="1"/>
        <n v="5.3266462660847141E-3" u="1"/>
        <n v="5.3606304866061199E-3" u="1"/>
        <n v="4.7064320625274389E-3" u="1"/>
        <n v="7.8387829957247329E-2" u="1"/>
        <n v="5.5077541376800508E-2" u="1"/>
        <n v="4.4854444296781186E-10" u="1"/>
        <n v="7.8351163275273434E-3" u="1"/>
        <n v="9.4606636975641933E-3" u="1"/>
        <n v="6.6478223084600564E-3" u="1"/>
        <n v="2.6004099881673406E-3" u="1"/>
        <n v="6.8357837405849589E-19" u="1"/>
        <n v="1.2687484216461623E-3" u="1"/>
        <n v="3.2609980093550135E-3" u="1"/>
        <n v="4.8338266312304198E-3" u="1"/>
        <n v="6.8500864679780366E-2" u="1"/>
        <n v="1.8370638303504761E-2" u="1"/>
        <n v="3.0763264053302753E-2" u="1"/>
        <n v="-8.8100432768806201" u="1"/>
        <n v="6.1864592460432704E-4" u="1"/>
        <n v="1.4051650907834893E-3" u="1"/>
        <n v="3.0782011938872746E-4" u="1"/>
        <n v="3.7424103185429818E-3" u="1"/>
        <n v="5.5516804509672737E-3" u="1"/>
        <n v="2.9336944939619358E-2" u="1"/>
        <n v="0.12069255560088424" u="1"/>
        <n v="0.1245610653061669" u="1"/>
        <n v="1.0674284478110669E-3" u="1"/>
        <n v="8.5802446221760649E-3" u="1"/>
        <n v="1.2187800967211966E-3" u="1"/>
        <n v="1.723827150564421E-2" u="1"/>
        <n v="-1.0724854230615723E-3" u="1"/>
        <n v="4.0984198619908443E-2" u="1"/>
        <n v="9.9806594265962958E-3" u="1"/>
        <n v="4.3167380258317983E-2" u="1"/>
        <n v="1.8705378172142222E-2" u="1"/>
        <n v="2.1305830459201713E-2" u="1"/>
        <n v="5.6960176441810586E-3" u="1"/>
        <n v="3.3143642187077401E-3" u="1"/>
        <n v="2.1075903533130463E-3" u="1"/>
        <n v="1.262301151134698E-2" u="1"/>
        <n v="1.1083199022148707E-2" u="1"/>
        <n v="1.512715714864968E-2" u="1"/>
        <n v="2.0640863215134735E-3" u="1"/>
        <n v="4.3311812583911855E-2" u="1"/>
        <n v="4.6975757407487747E-10" u="1"/>
        <n v="-1.5624648549908476E-18" u="1"/>
        <n v="8.5942707890660167E-3" u="1"/>
        <n v="0.12719801187576982" u="1"/>
        <n v="5.0534527181881599E-3" u="1"/>
        <n v="4.4956770808997687E-3" u="1"/>
        <n v="1.4070788723706736E-2" u="1"/>
        <n v="5.9893830873924102E-2" u="1"/>
        <n v="6.3084265252737583E-3" u="1"/>
        <n v="1.5650640157496437E-3" u="1"/>
        <n v="1.8848353697292135E-4" u="1"/>
        <n v="1.7510825323546206E-3" u="1"/>
        <n v="5.1430928175649855E-3" u="1"/>
        <n v="4.0021628568824179E-2" u="1"/>
        <n v="8.598129799585562E-4" u="1"/>
        <n v="5.7347115954911244E-2" u="1"/>
        <n v="1.1932748004581504E-2" u="1"/>
        <n v="6.2703434392099603E-3" u="1"/>
        <n v="4.0253142515859354E-2" u="1"/>
        <n v="9.7225106737778323E-3" u="1"/>
        <n v="3.1801179293416298E-4" u="1"/>
        <n v="3.226617697998074E-3" u="1"/>
        <n v="3.0722585747299633E-3" u="1"/>
        <n v="-8.8078402825022834E-4" u="1"/>
        <n v="1.1743787043336379E-3" u="1"/>
        <n v="6.0239336217828114E-3" u="1"/>
        <n v="3.0609594913482787E-3" u="1"/>
        <n v="5.8384562494478171E-3" u="1"/>
        <n v="2.4730656488585842E-2" u="1"/>
        <n v="9.8834811646191893E-3" u="1"/>
        <n v="1.045428910001862E-2" u="1"/>
        <n v="8.0582579898975069E-4" u="1"/>
        <n v="3.2311524387061267E-3" u="1"/>
        <n v="3.984499175417637E-4" u="1"/>
        <n v="4.6729550945117958E-2" u="1"/>
        <n v="5.531113986928517E-3" u="1"/>
        <n v="2.1741008612222241E-2" u="1"/>
        <n v="9.253475058700316E-3" u="1"/>
        <n v="4.335889481137175E-2" u="1"/>
        <n v="4.4490078950782358E-2" u="1"/>
        <n v="2.3094422504481877E-5" u="1"/>
        <n v="7.8350166458435056E-3" u="1"/>
        <n v="1.0154690271375822E-2" u="1"/>
        <n v="1.4277593725553027E-2" u="1"/>
        <n v="2.4873228347949413E-2" u="1"/>
        <n v="9.9645546555822868E-3" u="1"/>
        <n v="1.2141440056848852E-2" u="1"/>
        <n v="2.0701666388447785E-2" u="1"/>
        <n v="-6.8945239099354363E-2" u="1"/>
        <n v="7.5204509214684238E-3" u="1"/>
        <n v="1.1790312227260607E-2" u="1"/>
        <n v="2.095536550214262E-3" u="1"/>
        <n v="9.3426020139399223E-3" u="1"/>
        <n v="5.1626404930085077E-3" u="1"/>
        <n v="1.6723843252932525E-3" u="1"/>
        <n v="4.9411388481757348E-3" u="1"/>
        <n v="5.7327815826559825E-2" u="1"/>
        <n v="1.3231163193092147E-2" u="1"/>
        <n v="2.7283899652189593E-3" u="1"/>
        <n v="8.9680991900240575E-3" u="1"/>
        <n v="-1.1848642284794739E-4" u="1"/>
        <n v="2.400985270566495E-3" u="1"/>
        <n v="1.2738343558237853E-2" u="1"/>
        <n v="1.1085919940168781E-2" u="1"/>
        <n v="4.4891011235801845E-2" u="1"/>
        <n v="1.4679733804170472E-2" u="1"/>
        <n v="1.9770103148796851E-2" u="1"/>
        <n v="8.2093807261843805E-3" u="1"/>
        <n v="2.8835191401049144E-3" u="1"/>
        <n v="2.806974813840311E-3" u="1"/>
        <n v="3.6371539388975731E-3" u="1"/>
        <n v="3.5441071612925855E-3" u="1"/>
        <n v="2.7506095442895563E-3" u="1"/>
        <n v="6.152585938544064E-3" u="1"/>
        <n v="5.242762072918026E-4" u="1"/>
        <n v="8.4046796701850116E-3" u="1"/>
        <n v="2.0447820636794885E-3" u="1"/>
        <n v="5.4000449351055664E-3" u="1"/>
        <n v="0.28154033144884388" u="1"/>
        <n v="1.7405970082087845E-3" u="1"/>
        <n v="5.2427620729180412E-4" u="1"/>
        <n v="1.546719666752276E-3" u="1"/>
        <n v="6.7550555829104996E-3" u="1"/>
        <n v="2.0906192179172856E-4" u="1"/>
        <n v="6.7212209774809087E-3" u="1"/>
        <n v="1.0205500864780654E-2" u="1"/>
        <n v="2.1019000795551151E-4" u="1"/>
        <n v="1.8087807259124105E-2" u="1"/>
        <n v="-1.1219510836044575E-3" u="1"/>
        <n v="3.2423964764116506E-2" u="1"/>
        <n v="-4.7450260264677553E-3" u="1"/>
        <n v="3.8909213417035599E-3" u="1"/>
        <n v="4.9072253002512721E-3" u="1"/>
        <n v="0.13179474616839629" u="1"/>
        <n v="2.3312561900760961E-2" u="1"/>
        <n v="6.2284013426266143E-3" u="1"/>
        <n v="2.3906995052506196E-3" u="1"/>
        <n v="6.1423967426504477E-3" u="1"/>
        <n v="8.5876442754397198E-3" u="1"/>
        <n v="1.0865601889993581E-2" u="1"/>
        <n v="-2.7067489248696827E-3" u="1"/>
        <n v="1.2943961418878193E-2" u="1"/>
        <n v="7.0263497301247381E-4" u="1"/>
        <n v="1.4851214719851147E-2" u="1"/>
        <n v="4.9461782658827879E-3" u="1"/>
        <n v="6.1685338344080829E-4" u="1"/>
        <n v="2.6213289807375671E-3" u="1"/>
        <n v="2.8479723375249566E-2" u="1"/>
        <n v="2.0808552561640968E-3" u="1"/>
        <n v="1.8349667255213091E-4" u="1"/>
        <n v="7.4785088248850795E-3" u="1"/>
        <n v="2.7414432773517679E-3" u="1"/>
        <n v="0.55018303345332642" u="1"/>
        <n v="5.9752540552773783E-3" u="1"/>
        <n v="1.2726049610479569E-2" u="1"/>
        <n v="3.3553677266675366E-3" u="1"/>
        <n v="0.1285203348642823" u="1"/>
        <n v="1.2726049610479583E-2" u="1"/>
        <n v="1.1371550936159198E-2" u="1"/>
        <n v="-1.8873943462504892E-4" u="1"/>
        <n v="7.3398669020852363E-6" u="1"/>
        <n v="6.7848286282767942E-2" u="1"/>
        <n v="9.6746845928149337E-3" u="1"/>
        <n v="3.9528603750296508E-2" u="1"/>
        <n v="8.0738535922937594E-4" u="1"/>
        <n v="9.471432416843261E-4" u="1"/>
        <n v="3.5320533581938009E-3" u="1"/>
        <n v="3.1089579092403894E-3" u="1"/>
        <n v="2.4957763853144545E-2" u="1"/>
        <n v="1.1953497526253099E-2" u="1"/>
        <n v="2.0289489222192762E-2" u="1"/>
        <n v="5.8280066667615645E-3" u="1"/>
        <n v="5.1346331648400353E-3" u="1"/>
        <n v="3.8533733476271512E-3" u="1"/>
        <n v="1.0834284689507601E-5" u="1"/>
        <n v="5.8509224733765165E-3" u="1"/>
        <n v="2.2019600706255707E-3" u="1"/>
        <n v="4.0978592412390319E-3" u="1"/>
        <n v="2.8625480918132423E-3" u="1"/>
        <n v="1.0695234628752773E-3" u="1"/>
        <n v="5.6045126559493693E-3" u="1"/>
        <n v="4.9838271420238865E-4" u="1"/>
        <n v="4.0369267961468799E-3" u="1"/>
        <n v="1.1738575137015364E-2" u="1"/>
        <n v="1.2203029698943685E-2" u="1"/>
        <n v="7.2124395602309885E-3" u="1"/>
        <n v="7.9818139838852102E-3" u="1"/>
        <n v="1.1538715620683641E-2" u="1"/>
        <n v="9.9822189868359213E-3" u="1"/>
        <n v="4.2510450431979992E-3" u="1"/>
        <n v="1.5235744691456698E-2" u="1"/>
        <n v="0.1017579430055213" u="1"/>
        <n v="1.7525128959583825E-3" u="1"/>
        <n v="7.2748587421460091E-3" u="1"/>
        <n v="0.21652581894330894" u="1"/>
        <n v="4.3615917744770413E-3" u="1"/>
        <n v="8.8157130289842241E-3" u="1"/>
        <n v="1.436359980084244E-2" u="1"/>
        <n v="0.36851230298604909" u="1"/>
        <n v="8.6253389797862816E-4" u="1"/>
        <n v="0.1048650751849374" u="1"/>
        <n v="1.0135642838503918E-2" u="1"/>
        <n v="2.6620632805698423E-2" u="1"/>
        <n v="6.1641829834219661E-3" u="1"/>
        <n v="1.7678331149366576E-4" u="1"/>
        <n v="1.1817407238977307E-2" u="1"/>
        <n v="8.5548738772082186E-3" u="1"/>
        <n v="4.6915706500602901E-2" u="1"/>
        <n v="8.3884193166688413E-5" u="1"/>
        <n v="1.8173449681371503E-3" u="1"/>
        <n v="1.9067971155892129E-3" u="1"/>
        <n v="3.1666282920424877E-3" u="1"/>
        <n v="1.5518575735837341E-3" u="1"/>
        <n v="0.11379803169094881" u="1"/>
        <n v="5.966263238980707E-3" u="1"/>
        <n v="3.8272163132301589E-3" u="1"/>
        <n v="1.5518575735837356E-3" u="1"/>
        <n v="1.6349115840091692E-2" u="1"/>
        <n v="5.9662632389807131E-3" u="1"/>
        <n v="8.5016075050948115E-4" u="1"/>
        <n v="1.2462076303078051E-2" u="1"/>
        <n v="9.2895026758542248E-3" u="1"/>
        <n v="1.1198539787752903E-2" u="1"/>
        <n v="1.7496505506602703E-2" u="1"/>
        <n v="0.16111769138589691" u="1"/>
        <n v="1.1969256668223757E-2" u="1"/>
        <n v="8.7966830409999305E-3" u="1"/>
        <n v="1.0603463784250575E-2" u="1"/>
        <n v="5.7075752205608933E-11" u="1"/>
        <n v="2.6738086571881934E-3" u="1"/>
        <n v="1.3348072237649293E-2" u="1"/>
        <n v="2.6213810364590123E-2" u="1"/>
        <n v="4.324612708603208E-2" u="1"/>
        <n v="5.0415564143642773E-3" u="1"/>
        <n v="3.7536852398537379E-2" u="1"/>
        <n v="6.1657574534290348E-3" u="1"/>
        <n v="1.4418644252939155E-3" u="1"/>
        <n v="-3.0334023490287952E-3" u="1"/>
        <n v="2.3962381433662167E-3" u="1"/>
        <n v="2.4273988397610457E-3" u="1"/>
        <n v="2.5112262569601364E-3" u="1"/>
        <n v="5.0991363165277725E-3" u="1"/>
        <n v="-1.5212525305621108E-3" u="1"/>
        <n v="5.9010517714347045E-2" u="1"/>
        <n v="5.7177563618936453E-3" u="1"/>
        <n v="-1.4235078079403266E-4" u="1"/>
        <n v="6.7134345429432094E-3" u="1"/>
        <n v="2.8879269042393122E-3" u="1"/>
        <n v="5.3437323418442047E-2" u="1"/>
        <n v="4.866123280741522E-3" u="1"/>
        <n v="0.51934916497119221" u="1"/>
        <n v="1.9663599498010016E-2" u="1"/>
        <n v="6.8018715219260159E-2" u="1"/>
        <n v="0.27921164763888889" u="1"/>
        <n v="4.4124953023586794E-2" u="1"/>
        <n v="3.63847687860511E-3" u="1"/>
        <n v="1.4574878562712112E-3" u="1"/>
        <n v="1.44351125550245E-2" u="1"/>
        <n v="5.2195286291145315E-3" u="1"/>
        <n v="7.0706397689398464E-18" u="1"/>
        <n v="1.8304591905484312E-3" u="1"/>
        <n v="7.1301564191685149E-4" u="1"/>
        <n v="1.3942292920170206E-2" u="1"/>
        <n v="6.2897462085486824E-3" u="1"/>
        <n v="1.4913742192965312E-3" u="1"/>
        <n v="3.8216531765576738E-3" u="1"/>
        <n v="8.0163576921156526E-2" u="1"/>
        <n v="1.9076305176309524E-2" u="1"/>
        <n v="5.095964734876321E-3" u="1"/>
        <n v="0.12379500709395184" u="1"/>
        <n v="9.9507624143984133E-3" u="1"/>
        <n v="1.2890726743915261E-2" u="1"/>
        <n v="7.4198498874523662E-4" u="1"/>
        <n v="2.485069222563144E-3" u="1"/>
        <n v="3.14565724375081E-3" u="1"/>
        <n v="0.14308089339453572" u="1"/>
        <n v="2.7839066607194717E-2" u="1"/>
        <n v="1.3363831379619951E-2" u="1"/>
        <n v="4.3823808821990395E-3" u="1"/>
        <n v="4.51714050004586E-3" u="1"/>
        <n v="1.1415153673003641E-2" u="1"/>
        <n v="1.347494707981391E-3" u="1"/>
        <n v="2.8982261800544688E-5" u="1"/>
        <n v="5.9243211423973688E-3" u="1"/>
        <n v="-0.19856228860614059" u="1"/>
        <n v="1.4068960626048083E-2" u="1"/>
        <n v="4.7243280060821416E-2" u="1"/>
        <n v="1.9597444628567582E-2" u="1"/>
        <n v="9.8172047702167874E-3" u="1"/>
        <n v="2.3260134280031781E-2" u="1"/>
        <n v="7.9794838749812358E-3" u="1"/>
        <n v="1.5064008036490731E-2" u="1"/>
        <n v="2.8257607763105097E-2" u="1"/>
        <n v="8.913744076375227E-4" u="1"/>
        <n v="1.021414688630069E-3" u="1"/>
        <n v="1.1494220531954455E-4" u="1"/>
        <n v="1.9377883612412133E-2" u="1"/>
        <n v="4.223073163556303E-3" u="1"/>
        <n v="1.8594414523489761E-3" u="1"/>
        <n v="2.3068153120839313E-4" u="1"/>
        <n v="0.11337661540782719" u="1"/>
        <n v="8.2752404956418033E-3" u="1"/>
        <n v="4.9141661466838613E-2" u="1"/>
        <n v="3.4497374439800611E-3" u="1"/>
        <n v="4.6131964883100951E-2" u="1"/>
        <n v="7.3990063876031454E-3" u="1"/>
        <n v="3.757515530914813E-2" u="1"/>
        <n v="5.8532525822804909E-3" u="1"/>
        <n v="3.7155926300255762E-3" u="1"/>
        <n v="5.5342617339372248E-3" u="1"/>
        <n v="1.6212638544857536E-2" u="1"/>
        <n v="-8.5152941588334578E-7" u="1"/>
        <n v="1.2694515546815716E-2" u="1"/>
        <n v="3.0449962119507894E-2" u="1"/>
        <n v="1.1553365344892324E-2" u="1"/>
        <n v="3.2505124852091828E-4" u="1"/>
        <n v="8.3362132225597383E-3" u="1"/>
        <n v="2.4179618680297936E-2" u="1"/>
        <n v="5.1836312620382942E-2" u="1"/>
        <n v="1.8197723222422135E-2" u="1"/>
        <n v="4.2133201671827672E-2" u="1"/>
        <n v="6.0396619080015654E-3" u="1"/>
        <n v="2.2963297879380951E-3" u="1"/>
        <n v="2.342993359809998E-3" u="1"/>
        <n v="2.2197854616734921E-3" u="1"/>
        <n v="3.8762545538081457E-2" u="1"/>
        <n v="0.59233588131612669" u="1"/>
        <n v="6.1817521264858179E-4" u="1"/>
        <n v="2.2368589042785901E-2" u="1"/>
        <n v="6.6871516273795048E-3" u="1"/>
        <n v="1.0604286256694861E-2" u="1"/>
        <n v="8.210165406189629E-3" u="1"/>
        <n v="1.6226444683004958E-2" u="1"/>
        <n v="0.25739555930425628" u="1"/>
        <n v="5.546842273147271E-3" u="1"/>
        <n v="1.2392329980138587E-2" u="1"/>
        <n v="2.3725130132338777E-5" u="1"/>
        <n v="1.5314204082317222E-2" u="1"/>
        <n v="4.7558806944677254E-4" u="1"/>
        <n v="2.4905336232415365E-2" u="1"/>
        <n v="4.9201701202013226E-3" u="1"/>
        <n v="9.4369612457283E-5" u="1"/>
        <n v="1.1781491575206292E-2" u="1"/>
        <n v="6.4090332860979099E-3" u="1"/>
        <n v="0.43324422191822071" u="1"/>
        <n v="0.14164267545910481" u="1"/>
        <n v="6.7049590267002626E-3" u="1"/>
        <n v="-1.8873943462504894E-3" u="1"/>
        <n v="2.5821340156869224E-5" u="1"/>
        <n v="3.5238677761892233E-2" u="1"/>
        <n v="1.532116424430097E-2" u="1"/>
        <n v="4.4804046811541699E-3" u="1"/>
        <n v="1.6979956771805648E-2" u="1"/>
        <n v="1.9293364428338334E-3" u="1"/>
        <n v="1.5074729527920501E-2" u="1"/>
        <n v="1.6012822783967564E-2" u="1"/>
        <n v="1.4679733804170473E-4" u="1"/>
        <n v="2.9267447822815774E-3" u="1"/>
        <n v="3.6751762131155361E-3" u="1"/>
        <n v="1.4581909893066207E-2" u="1"/>
        <n v="1.1446738173461226E-2" u="1"/>
        <n v="1.4218370741753686E-2" u="1"/>
        <n v="5.6621830387514676E-3" u="1"/>
        <n v="-6.3961697289599919E-4" u="1"/>
        <n v="1.5639190119266372E-2" u="1"/>
        <n v="1.2420973078721498E-2" u="1"/>
        <n v="3.8882155937565999E-2" u="1"/>
        <n v="9.4181483589884762E-2" u="1"/>
        <n v="0.5365088689248092" u="1"/>
        <n v="6.9833590811268107E-3" u="1"/>
        <n v="2.7681783745007178E-3" u="1"/>
        <n v="5.4157732213243204E-3" u="1"/>
        <n v="3.3416580772774249E-2" u="1"/>
        <n v="3.4287663956883889E-3" u="1"/>
        <n v="1.3526326148128507E-3" u="1"/>
        <n v="5.1693634038971733E-3" u="1"/>
        <n v="7.7175672979554102E-3" u="1"/>
        <n v="6.6058802118767123E-4" u="1"/>
        <n v="1.4890492839501777E-3" u="1"/>
        <n v="6.4905394462725164E-3" u="1"/>
        <n v="9.9682792688983429E-3" u="1"/>
        <n v="3.5136987364805224E-3" u="1"/>
        <n v="9.6047401175858253E-3" u="1"/>
        <n v="1.5435161615586461E-2" u="1"/>
        <n v="2.3544399981968903E-2" u="1"/>
        <n v="9.1119204827315291E-3" u="1"/>
        <n v="1.2203061270322875E-2" u="1"/>
        <n v="9.8826373632023828E-3" u="1"/>
        <n v="1.0819711336126967E-2" u="1"/>
        <n v="2.1254018762737032E-3" u="1"/>
        <n v="0.11919865782066155" u="1"/>
        <n v="9.7581639692538198E-3" u="1"/>
        <n v="3.7056859458683318E-3" u="1"/>
        <n v="4.1837241341885845E-3" u="1"/>
        <n v="1.5305411059128894E-2" u="1"/>
        <n v="9.3614526554221152E-3" u="1"/>
        <n v="0.32346808010780426" u="1"/>
        <n v="9.1732740673669197E-3" u="1"/>
        <n v="2.1474538718349812E-2" u="1"/>
        <n v="6.6439632979405118E-3" u="1"/>
        <n v="5.2597173516847513E-2" u="1"/>
        <n v="1.4319771789420304E-2" u="1"/>
        <n v="4.5761479763710783E-2" u="1"/>
        <n v="4.3383942187122278E-3" u="1"/>
        <n v="1.3004770858856778E-2" u="1"/>
        <n v="2.923677807362466E-2" u="1"/>
        <n v="3.830291061075243E-2" u="1"/>
        <n v="3.6617582543879319E-2" u="1"/>
        <n v="1.4234129883724342E-2" u="1"/>
        <n v="6.6058802118767121E-3" u="1"/>
        <n v="2.4384000939736321E-3" u="1"/>
        <n v="1.7626444196707319E-2" u="1"/>
        <n v="3.3898284122583507E-4" u="1"/>
        <n v="9.9645546555822873E-4" u="1"/>
        <n v="-2.4780825082244069E-3" u="1"/>
        <n v="6.8660526602988423E-2" u="1"/>
        <n v="3.0743556795591303E-2" u="1"/>
        <n v="4.1716703310898003E-3" u="1"/>
        <n v="1.0529925538223611E-2" u="1"/>
        <n v="0.10996774062987356" u="1"/>
        <n v="1.1224017262669883E-3" u="1"/>
        <n v="5.7029681639760854E-3" u="1"/>
        <n v="8.8470868444787978E-2" u="1"/>
        <n v="8.849782379085628E-3" u="1"/>
        <n v="-2.6045979215311651E-2" u="1"/>
        <n v="5.1432779304094491E-3" u="1"/>
        <n v="4.7450260271748195E-8" u="1"/>
        <n v="2.289438810042373E-2" u="1"/>
        <n v="4.2990648997927811E-3" u="1"/>
        <n v="4.3450840236271326E-2" u="1"/>
        <n v="0.2248763881957275" u="1"/>
        <n v="-8.3284582303682535E-4" u="1"/>
        <n v="5.6202409421681233E-3" u="1"/>
        <n v="1.5228797331277074E-2" u="1"/>
        <n v="3.4567149995017726E-3" u="1"/>
        <n v="1.8669571808984757E-2" u="1"/>
        <n v="3.8149698968309415E-2" u="1"/>
        <n v="5.9576148340372309E-2" u="1"/>
        <n v="1.9924371492177521E-2" u="1"/>
        <n v="1.9545017007838401E-2" u="1"/>
        <n v="1.6829451521744442E-2" u="1"/>
        <n v="2.8599037369933793E-4" u="1"/>
        <n v="2.1577468950741155E-2" u="1"/>
        <n v="5.9416020296133663E-3" u="1"/>
        <n v="2.2057067929053896E-2" u="1"/>
        <n v="-3.9061621374771189E-18" u="1"/>
        <n v="0.11352982705027019" u="1"/>
        <n v="0.10341785864903155" u="1"/>
        <n v="1.5913501971559531E-4" u="1"/>
        <n v="1.3240384793026886E-2" u="1"/>
        <n v="7.812324274954238E-19" u="1"/>
        <n v="4.1942096583344208E-4" u="1"/>
        <n v="8.0707830734925501E-4" u="1"/>
        <n v="3.2595776929750318E-2" u="1"/>
        <n v="-9.549673772763287E-4" u="1"/>
        <n v="1.2579174781211519E-2" u="1"/>
        <n v="5.6081871390693391E-3" u="1"/>
        <n v="4.9323120902007536E-2" u="1"/>
        <n v="-4.3244724524401848E-4" u="1"/>
        <n v="2.5755584057207091E-2" u="1"/>
        <n v="7.5495773850019574E-3" u="1"/>
        <n v="3.0512875264382911E-3" u="1"/>
        <n v="2.7758402254836372E-2" u="1"/>
        <n v="7.5733026030078716E-3" u="1"/>
        <n v="1.2086355146357225E-2" u="1"/>
        <n v="2.9233641318590912E-2" u="1"/>
        <n v="3.7118755476259623E-3" u="1"/>
        <n v="1.2493532875515559E-2" u="1"/>
        <n v="1.4941871907816374E-3" u="1"/>
        <n v="5.6621830387514678E-4" u="1"/>
        <n v="4.1155114512730524E-3" u="1"/>
        <n v="6.3775287895722942E-3" u="1"/>
        <n v="3.9224125511752098E-3" u="1"/>
        <n v="1.1229996360190411E-2" u="1"/>
        <n v="2.5627019995893174E-2" u="1"/>
        <n v="1.8244812013754729E-3" u="1"/>
        <n v="1.6306038599189644E-3" u="1"/>
        <n v="4.6544457003360983E-2" u="1"/>
        <n v="3.9215860305426833E-3" u="1"/>
        <n v="1.9663494528476343E-2" u="1"/>
        <n v="5.2427620729180256E-3" u="1"/>
        <n v="1.3286072874109716E-3" u="1"/>
        <n v="-5.8718935216681893E-4" u="1"/>
        <n v="0.11490873183225728" u="1"/>
        <n v="1.10880891560446E-2" u="1"/>
        <n v="6.2783345201520022E-3" u="1"/>
        <n v="4.3416988142179966E-3" u="1"/>
        <n v="2.9082929057115884E-3" u="1"/>
        <n v="1.2477773733544902E-3" u="1"/>
        <n v="1.146922044792041E-4" u="1"/>
        <n v="4.7499424380637312E-3" u="1"/>
        <n v="5.0781393438284E-2" u="1"/>
        <n v="1.8018635218500769E-3" u="1"/>
        <n v="9.9049613072955244E-3" u="1"/>
        <n v="1.0485524145836052E-5" u="1"/>
        <n v="1.676778052246776E-2" u="1"/>
        <n v="1.1753487887476969E-2" u="1"/>
        <n v="2.2486236424974736E-3" u="1"/>
        <n v="0.1047892068190649" u="1"/>
        <n v="1.0865601887896476E-2" u="1"/>
        <n v="3.9263244678756262E-2" u="1"/>
        <n v="3.5231361130009134E-3" u="1"/>
        <n v="3.9688163858882149E-4" u="1"/>
        <n v="3.4465917867363104E-3" u="1"/>
        <n v="-1.9910067296632587E-3" u="1"/>
        <n v="0.28264870552777777" u="1"/>
        <n v="1.4380927221766046E-2" u="1"/>
        <n v="-2.9380438656632618E-2" u="1"/>
        <n v="1.7301114840629485E-3" u="1"/>
        <n v="2.5165257950006523E-4" u="1"/>
        <n v="-1.9922495877088499E-4" u="1"/>
        <n v="2.2977145482497973E-2" u="1"/>
        <n v="4.9794969488570158E-2" u="1"/>
        <n v="4.9744274556695941E-3" u="1"/>
        <n v="1.4673248192920547E-3" u="1"/>
        <n v="-2.9464322849799304E-3" u="1"/>
        <n v="2.5165257950006593E-4" u="1"/>
        <n v="8.4932745581272023E-4" u="1"/>
        <n v="1.8665281532002755E-3" u="1"/>
        <n v="-3.84960280242628E-5" u="1"/>
        <n v="4.427967946660015E-2" u="1"/>
        <n v="8.757790694765186E-3" u="1"/>
        <n v="1.5649740854983975E-2" u="1"/>
        <n v="2.4992942295931305E-3" u="1"/>
        <n v="2.2179099954497992E-2" u="1"/>
        <n v="-2.747186428559478E-4" u="1"/>
        <n v="3.030316478146619E-3" u="1"/>
        <n v="3.2634079840361069E-2" u="1"/>
        <n v="1.1534076560419657E-3" u="1"/>
        <n v="1.0231751159526507E-2" u="1"/>
        <n v="4.3724635688136334E-3" u="1"/>
        <n v="1.0071345942075528E-2" u="1"/>
        <n v="2.2795529493047577E-2" u="1"/>
        <n v="8.5037600822730382E-3" u="1"/>
        <n v="1.2874103244277194E-2" u="1"/>
        <n v="1.9786758530370541E-2" u="1"/>
        <n v="1.1757807979892107E-2" u="1"/>
        <n v="2.3725130132338777E-3" u="1"/>
        <n v="1.4248682747199915E-2" u="1"/>
        <n v="1.6201183357731283E-3" u="1"/>
        <n v="1.4367888997815464E-2" u="1"/>
        <n v="1.6607591092637145E-3" u="1"/>
        <n v="1.5190070293524698E-2" u="1"/>
        <n v="4.6975757662030784E-2" u="1"/>
        <n v="0.10923990106186592" u="1"/>
        <n v="0.1024985887943735" u="1"/>
        <n v="8.3874519171497686E-2" u="1"/>
        <n v="6.6152387156074396E-2" u="1"/>
        <n v="3.2050002459080799E-3" u="1"/>
        <n v="0.11353205217568246" u="1"/>
        <n v="1.4372116884703547E-2" u="1"/>
        <n v="8.6702427007543824E-4" u="1"/>
        <n v="1.3897135764755895E-2" u="1"/>
        <n v="5.2427620729175178E-5" u="1"/>
        <n v="5.1200216540501697E-3" u="1"/>
        <n v="0.27777777777777779" u="1"/>
        <n v="2.152968666978406E-3" u="1"/>
        <n v="1.031389674898313E-2" u="1"/>
        <n v="6.0143659118019888E-3" u="1"/>
        <n v="1.3218791754107518E-2" u="1"/>
        <n v="5.1720783688498535E-3" u="1"/>
        <n v="2.2633136552609617E-3" u="1"/>
        <n v="1.635741766750424E-3" u="1"/>
        <n v="3.1330767045407689E-3" u="1"/>
        <n v="1.0800367977768049E-2" u="1"/>
        <n v="6.3018000116474666E-3" u="1"/>
        <n v="5.9260018375983832E-2" u="1"/>
        <n v="2.3395554301147586E-3" u="1"/>
        <n v="6.0553901942203194E-3" u="1"/>
        <n v="1.6072893074662217E-4" u="1"/>
        <n v="9.6798530939942215E-2" u="1"/>
        <n v="0.10387749357636059" u="1"/>
        <n v="2.1809890223338986E-3" u="1"/>
        <n v="9.0752468667362508E-3" u="1"/>
        <n v="2.6744624304851774E-2" u="1"/>
        <n v="3.5485149254269833E-3" u="1"/>
        <n v="2.8415770435215701E-3" u="1"/>
        <n v="1.0590379387294413E-3" u="1"/>
        <n v="1.0883974063377821E-2" u="1"/>
        <n v="2.6453538176900106E-4" u="1"/>
        <n v="1.3893319493232768E-3" u="1"/>
        <n v="5.1379068314596653E-4" u="1"/>
        <n v="1.0391154428523527E-2" u="1"/>
        <n v="1.1161871308994381E-2" u="1"/>
        <n v="3.0607685725302262E-2" u="1"/>
        <n v="8.491154151317723E-3" u="1"/>
        <n v="3.4187300211751384E-2" u="1"/>
        <n v="8.9792187011865435E-2" u="1"/>
        <n v="4.8233411070845835E-3" u="1"/>
        <n v="7.9983345164634286E-3" u="1"/>
        <n v="1.5014740959414951E-2" u="1"/>
        <n v="1.4166221228581421E-2" u="1"/>
        <n v="1.9596095046191742E-2" u="1"/>
        <n v="0.10188574222460145" u="1"/>
        <n v="9.8515086090855242E-2" u="1"/>
        <n v="1.5714072132770289E-5" u="1"/>
        <n v="-4.1942096579438042E-9" u="1"/>
        <n v="3.8062452649384867E-3" u="1"/>
        <n v="1.5413720494378996E-3" u="1"/>
        <n v="5.6779113249702216E-3" u="1"/>
        <n v="9.4278474435415659E-3" u="1"/>
        <n v="2.801732051767393E-2" u="1"/>
        <n v="2.1354989632118133E-3" u="1"/>
        <n v="4.9217107372930198E-4" u="1"/>
        <n v="5.4315015075430744E-3" u="1"/>
        <n v="1.3214532875912826E-3" u="1"/>
        <n v="2.6528376088965173E-3" u="1"/>
        <n v="3.2174444913032035E-2" u="1"/>
        <n v="1.5914412875715229E-2" u="1"/>
        <n v="3.5815503047374971E-2" u="1"/>
        <n v="6.7526775499184176E-3" u="1"/>
        <n v="2.6528376088965212E-3" u="1"/>
        <n v="2.5901422094437226E-2" u="1"/>
        <n v="2.3102158290855794E-4" u="1"/>
        <n v="1.4555106032085922E-2" u="1"/>
        <n v="1.1473917585258883E-2" u="1"/>
        <n v="9.9997358413358509E-3" u="1"/>
        <n v="1.0485524138511998E-10" u="1"/>
        <n v="1.1203782549825821E-2" u="1"/>
        <n v="4.2789498026625248E-3" u="1"/>
        <n v="1.7227994279165548E-2" u="1"/>
        <n v="0.10157931893971543" u="1"/>
        <n v="1.761672911741915E-3" u="1"/>
        <n v="4.4458622378344857E-3" u="1"/>
        <n v="9.2925045021147162E-3" u="1"/>
        <n v="3.7343354828301235E-2" u="1"/>
        <n v="2.1600179740422268E-3" u="1"/>
        <n v="1.2832721994263703E-2" u="1"/>
        <n v="8.1577377854604484E-3" u="1"/>
        <n v="-1.7577729618647036E-18" u="1"/>
        <n v="6.6979074428837312E-2" u="1"/>
        <n v="9.2968009068370334E-3" u="1"/>
        <n v="3.9530426029801913E-3" u="1"/>
        <n v="5.4928550921784659E-3" u="1"/>
        <n v="8.708947053571163E-2" u="1"/>
        <n v="4.012810090611457E-3" u="1"/>
        <n v="3.0035813809976691E-3" u="1"/>
        <n v="2.4116705535422918E-4" u="1"/>
        <n v="1.0697861567117027E-4" u="1"/>
        <n v="3.6175058303134378E-3" u="1"/>
        <n v="1.4351228361857813E-2" u="1"/>
        <n v="1.8317413778746287E-2" u="1"/>
        <n v="1.6715352901738579E-2" u="1"/>
        <n v="-3.3763249644755102E-7" u="1"/>
        <n v="3.4602229681258973E-4" u="1"/>
        <n v="2.5178880229186108E-2" u="1"/>
        <n v="2.6949368063498281E-2" u="1"/>
        <n v="2.4640981742714723E-3" u="1"/>
        <n v="1.2509230305982409E-2" u="1"/>
        <n v="2.040361191381135E-3" u="1"/>
        <n v="1.2497786608777125E-2" u="1"/>
        <n v="3.1246861954591434E-3" u="1"/>
        <n v="2.0314716271336562E-3" u="1"/>
        <n v="1.4349572477399138E-3" u="1"/>
        <n v="8.1496302943066951E-3" u="1"/>
        <n v="1.2638884887120122E-2" u="1"/>
        <n v="3.0166068287565073E-2" u="1"/>
        <n v="4.9478178144587775E-3" u="1"/>
        <n v="-7.2677583614062596E-4" u="1"/>
        <n v="1.0116410393922311E-2" u="1"/>
        <n v="5.8823790458140245E-3" u="1"/>
        <n v="1.6673031944293905E-3" u="1"/>
        <n v="1.1862565066169397E-2" u="1"/>
        <n v="-1.2417476243073539E-2" u="1"/>
        <n v="7.7742466298452662E-2" u="1"/>
        <n v="1.1030771401419526E-2" u="1"/>
        <n v="4.0683833685843888E-3" u="1"/>
        <n v="5.5960362556403943E-2" u="1"/>
        <n v="1.9957194174093425E-2" u="1"/>
        <n v="8.5410468476419604E-4" u="1"/>
        <n v="2.1660681248131648E-2" u="1"/>
        <n v="-4.7450260264677555E-4" u="1"/>
        <n v="1.0537951766565232E-2" u="1"/>
        <n v="4.0265461272425019E-3" u="1"/>
        <n v="7.3257408948989314E-2" u="1"/>
        <n v="2.5042697779841634E-4" u="1"/>
        <n v="8.4775462719084479E-3" u="1"/>
        <n v="9.9281144303070293E-2" u="1"/>
        <n v="4.5077747251443681E-3" u="1"/>
        <n v="2.1791180839862277E-2" u="1"/>
        <n v="3.9797920558602473E-4" u="1"/>
        <n v="-5.2681812732818245E-3" u="1"/>
        <n v="2.5684095764258192E-3" u="1"/>
        <n v="1.3505430437876057E-2" u="1"/>
        <n v="1.1880320383852323E-2" u="1"/>
        <n v="9.3168949268235601E-2" u="1"/>
        <n v="3.3400138052576113E-2" u="1"/>
        <n v="1.1387500748998029E-2" u="1"/>
        <n v="-1.1534076560419657E-4" u="1"/>
        <n v="1.5728286218754078E-4" u="1"/>
        <n v="3.8429445994489129E-3" u="1"/>
        <n v="5.9977198114182211E-3" u="1"/>
        <n v="1.0894681114143734E-2" u="1"/>
        <n v="4.6645978353191276E-3" u="1"/>
        <n v="3.7884247676123514E-2" u="1"/>
        <n v="2.9359467608340928E-3" u="1"/>
        <n v="1.5728286218754146E-4" u="1"/>
        <n v="5.7513099939910739E-3" u="1"/>
        <n v="1.9203884844921703E-2" u="1"/>
        <n v="4.6693852154479068E-3" u="1"/>
        <n v="3.6609183810968629E-2" u="1"/>
        <n v="8.0917834516672955E-3" u="1"/>
        <n v="8.3544803361376457E-2" u="1"/>
        <n v="6.3425582882320239E-2" u="1"/>
        <n v="3.5965347820217657E-3" u="1"/>
        <n v="0.10234537715193048" u="1"/>
        <n v="0.10066004908505738" u="1"/>
        <n v="3.8753871624405301E-2" u="1"/>
        <n v="5.3188816599589505E-3" u="1"/>
        <n v="1.5091128541662294E-2" u="1"/>
        <n v="9.9090418444351454E-3" u="1"/>
        <n v="1.3815608652472684E-2" u="1"/>
        <n v="2.3758118421614544E-2" u="1"/>
        <n v="7.0253011777101542E-4" u="1"/>
        <n v="8.4228800022596558E-4" u="1"/>
        <n v="4.5444261648053451E-2" u="1"/>
        <n v="5.0120805417096324E-3" u="1"/>
        <n v="3.1904779420603116E-2" u="1"/>
        <n v="8.3894678690834244E-4" u="1"/>
        <n v="1.5948482225816636E-2" u="1"/>
        <n v="7.882993750859232E-3" u="1"/>
        <n v="3.5737536577374135E-2" u="1"/>
        <n v="8.4265991204337171E-2" u="1"/>
        <n v="2.1233186395317998E-2" u="1"/>
        <n v="9.4303793868036907E-3" u="1"/>
        <n v="0.2655540792643466" u="1"/>
        <n v="1.5658585887343595E-3" u="1"/>
        <n v="3.1595972783512163E-3" u="1"/>
        <n v="1.2348493250003126E-2" u="1"/>
        <n v="5.242762072918026E-5" u="1"/>
        <n v="5.242762072918028E-5" u="1"/>
        <n v="1.5184083298838098E-10" u="1"/>
        <n v="9.4369717312524468E-4" u="1"/>
        <n v="1.4498025699899518E-2" u="1"/>
        <n v="5.7672235478874075E-3" u="1"/>
        <n v="1.4134486548586997E-2" u="1"/>
        <n v="9.0902777170833414E-3" u="1"/>
        <n v="3.312259487659066E-3" u="1"/>
        <n v="2.5704233602137656E-2" u="1"/>
        <n v="4.9988968846644062E-2" u="1"/>
        <n v="3.1097777425064178E-2" u="1"/>
        <n v="9.4369717312524663E-4" u="1"/>
        <n v="1.7717818839809506E-2" u="1"/>
        <n v="2.7472073262090457E-3" u="1"/>
        <n v="4.4481923467384601E-3" u="1"/>
        <n v="1.1207457032945789E-2" u="1"/>
        <n v="3.4077953473967168E-3" u="1"/>
        <n v="2.67356867801925E-3" u="1"/>
        <n v="4.8285270931899037E-3" u="1"/>
        <n v="1.0637989055697648E-2" u="1"/>
        <n v="9.5208559244191349E-3" u="1"/>
        <n v="5.2427620729180944E-5" u="1"/>
        <n v="5.9932051227300992E-3" u="1"/>
        <n v="6.2021875322620249E-3" u="1"/>
        <n v="2.537718481897799E-2" u="1"/>
        <n v="9.0119780285398493E-2" u="1"/>
        <n v="8.5065279489681678E-2" u="1"/>
        <n v="4.2325632156092384E-2" u="1"/>
        <n v="-5.2951896936472061E-3" u="1"/>
        <n v="0.10004720251528534" u="1"/>
        <n v="2.2543876913547513E-3" u="1"/>
        <n v="9.162056218091981E-2" u="1"/>
        <n v="1.6465240311843113E-2" u="1"/>
        <n v="9.7703880971097209E-3" u="1"/>
        <n v="2.9679399549809467E-2" u="1"/>
        <n v="7.1175390397016335E-3" u="1"/>
        <n v="4.1304829542235556E-3" u="1"/>
        <n v="5.5238905250727353E-3" u="1"/>
        <n v="8.1499016341084925E-3" u="1"/>
        <n v="1.4728707231107911E-2" u="1"/>
        <n v="1.8385397093161164E-3" u="1"/>
        <n v="3.1255175058373982E-2" u="1"/>
        <n v="2.8470156158806534E-3" u="1"/>
        <n v="5.3821597576960709E-3" u="1"/>
        <n v="1.8980104105871022E-3" u="1"/>
        <n v="1.8980104105871024E-3" u="1"/>
        <n v="2.0304864880234488E-2" u="1"/>
        <n v="4.4039201412511417E-4" u="1"/>
        <n v="1.3482624534984866E-2" u="1"/>
        <n v="0.61449359492830113" u="1"/>
        <n v="4.5631403445306499E-3" u="1"/>
        <n v="2.4819235653193933E-3" u="1"/>
        <n v="3.1456572437508153E-5" u="1"/>
        <n v="1.2686699536456377E-2" u="1"/>
        <n v="9.8055451163526208E-2" u="1"/>
        <n v="3.2190559127716679E-3" u="1"/>
        <n v="9.6222569720857531E-3" u="1"/>
        <n v="3.879643933959339E-3" u="1"/>
        <n v="6.0816040045849097E-4" u="1"/>
        <n v="6.0711184804390743E-3" u="1"/>
        <n v="0.20342675825370615" u="1"/>
        <n v="2.9726460953445207E-3" u="1"/>
        <n v="8.1525810571131591E-4" u="1"/>
        <n v="4.2571228032094368E-3" u="1"/>
        <n v="5.4335106313799356E-2" u="1"/>
        <n v="4.2458237198277522E-3" u="1"/>
        <n v="-4.9822773277911434E-3" u="1"/>
        <n v="2.726236277917367E-3" u="1"/>
        <n v="2.065648256729702E-3" u="1"/>
        <n v="1.1686147516286183E-2" u="1"/>
        <n v="1.3557782720566014E-2" u="1"/>
        <n v="2.5540350955161453E-2" u="1"/>
        <n v="5.3318890281576319E-3" u="1"/>
        <n v="4.3674477744185342E-2" u="1"/>
        <n v="1.0422611000961035E-2" u="1"/>
        <n v="7.9293863631560296E-3" u="1"/>
        <n v="1.153278575732988E-3" u="1"/>
        <n v="3.7093498482841237E-3" u="1"/>
        <n v="1.13778422506467E-3" u="1"/>
        <n v="1.3022989607655825E-2" u="1"/>
        <n v="1.4159273868401797E-2" u="1"/>
        <n v="2.3487878831015391E-3" u="1"/>
        <n v="6.4675876981979798E-3" u="1"/>
        <n v="0.13309798004242054" u="1"/>
        <n v="1.3898658322629355E-2" u="1"/>
        <n v="7.3212259626975387E-3" u="1"/>
        <n v="9.8905371407597004E-2" u="1"/>
        <n v="5.0694797253082582E-2" u="1"/>
        <n v="-1.7720535806462928E-3" u="1"/>
        <n v="1.6526517601674045E-2" u="1"/>
        <n v="7.5076352884186131E-3" u="1"/>
        <n v="1.0779340348539538E-2" u="1"/>
        <n v="1.6138649073717596E-2" u="1"/>
        <n v="1.9530810687385595E-18" u="1"/>
        <n v="1.5544820401953848E-2" u="1"/>
        <n v="3.0190173947649344E-3" u="1"/>
        <n v="3.5113192595861392E-3" u="1"/>
        <n v="4.6690654908492267E-3" u="1"/>
        <n v="5.6936396111889756E-3" u="1"/>
        <n v="1.7180663996774872E-3" u="1"/>
        <n v="2.6699652935629994E-2" u="1"/>
        <n v="2.916906385889585E-3" u="1"/>
        <n v="1.8139956772296368E-3" u="1"/>
        <n v="2.7262362779173732E-4" u="1"/>
        <n v="0.55566032423018541" u="1"/>
        <n v="1.0653292532169428E-2" u="1"/>
        <n v="8.9126955239606442E-4" u="1"/>
        <n v="2.074294002761605E-2" u="1"/>
        <n v="1.1998193792550686E-2" u="1"/>
        <n v="1.1888463974568605E-2" u="1"/>
        <n v="2.2135183850778423E-2" u="1"/>
        <n v="1.8276546693749153E-2" u="1"/>
        <n v="1.4530816059319289E-2" u="1"/>
        <n v="6.5558306241396153E-3" u="1"/>
        <n v="4.0202516702434136E-3" u="1"/>
        <n v="4.028771380905018E-3" u="1"/>
        <n v="4.6813645004261342E-2" u="1"/>
        <n v="2.7408607589341983E-2" u="1"/>
        <n v="2.610001565858589E-3" u="1"/>
        <n v="1.2372918492086541E-3" u="1"/>
        <n v="0.19208909671292343" u="1"/>
        <n v="4.7080003414803869E-3" u="1"/>
        <n v="9.1748336276065452E-3" u="1"/>
        <n v="7.4496908615543766E-3" u="1"/>
        <n v="2.2910870258651774E-3" u="1"/>
        <n v="1.7040025289398167E-3" u="1"/>
        <n v="2.0433125074676518E-2" u="1"/>
        <n v="-5.913969398300175E-2" u="1"/>
        <n v="2.244229191239857E-2" u="1"/>
        <n v="3.7960208211742044E-4" u="1"/>
        <n v="4.2151807066260925E-3" u="1"/>
        <n v="4.1281726430269471E-3" u="1"/>
        <n v="-3.9482800779129651E-5" u="1"/>
        <n v="3.1510293809401631E-2" u="1"/>
        <n v="1.4382684934295321E-2" u="1"/>
        <n v="9.029376479854993E-3" u="1"/>
        <n v="9.436971731252446E-5" u="1"/>
        <n v="6.7751969850752408E-4" u="1"/>
        <n v="7.6269132939517969E-3" u="1"/>
        <n v="3.5021650647092412E-3" u="1"/>
        <n v="1.3889865299441027E-2" u="1"/>
        <n v="6.8837466017413682E-3" u="1"/>
        <n v="-3.9627912232650893E-4" u="1"/>
        <n v="8.4821173166248504E-3" u="1"/>
        <n v="-1.8078973808275146E-2" u="1"/>
        <n v="0.11831715613733973" u="1"/>
        <n v="0.36320213687096808" u="1"/>
        <n v="5.4085710844538171E-2" u="1"/>
        <n v="6.159892807501656E-3" u="1"/>
        <n v="5.8577178364466777E-3" u="1"/>
        <n v="4.7843898118670264E-2" u="1"/>
        <n v="1.0873219168739744E-2" u="1"/>
        <n v="3.2088820595273473E-2" u="1"/>
        <n v="7.989297681770556E-3" u="1"/>
        <n v="1.5837647886837744E-3" u="1"/>
        <n v="3.255755247282094E-3" u="1"/>
        <n v="9.4369717312525151E-5" u="1"/>
        <n v="5.5573277972930562E-4" u="1"/>
        <n v="1.0973101018617428E-2" u="1"/>
        <n v="1.7121445489245825E-4" u="1"/>
        <n v="6.2054495945520786E-3" u="1"/>
        <n v="7.712103009262416E-3" u="1"/>
        <n v="6.1445171494599266E-3" u="1"/>
        <n v="-1.7615680565004567E-3" u="1"/>
        <n v="2.3487574086672757E-3" u="1"/>
        <n v="2.2722130824026723E-3" u="1"/>
        <n v="2.8537892260217986E-18" u="1"/>
        <n v="2.1988986960668477E-2" u="1"/>
        <n v="1.1429221318961296E-3" u="1"/>
        <n v="1.4690219328316309E-2" u="1"/>
        <n v="1.3510532120714612E-2" u="1"/>
        <n v="2.5837731704972104E-2" u="1"/>
        <n v="5.5573277972931071E-4" u="1"/>
        <n v="5.6855321200352232E-3" u="1"/>
        <n v="9.5144429957109034E-2" u="1"/>
        <n v="4.5454747172199279E-2" u="1"/>
        <n v="7.6283048498213565E-4" u="1"/>
        <n v="5.9550076632170334E-3" u="1"/>
        <n v="3.3957502630112555E-3" u="1"/>
        <n v="4.464736181296991E-2" u="1"/>
        <n v="5.7637646135901988E-3" u="1"/>
        <n v="1.2194942689164243E-2" u="1"/>
        <n v="7.4090014855531742E-3" u="1"/>
        <n v="-4.6053847436878003E-3" u="1"/>
        <n v="1.5140841566045858E-2" u="1"/>
        <n v="-2.1612901999634057E-4" u="1"/>
        <n v="7.394624631718391E-3" u="1"/>
        <n v="6.9794213910397271E-3" u="1"/>
        <n v="3.2368813038195893E-3" u="1"/>
        <n v="-9.6379622613605703E-3" u="1"/>
        <n v="0.19604823496564447" u="1"/>
        <n v="1.6252562426045879E-3" u="1"/>
        <n v="1.2071188223644648E-3" u="1"/>
        <n v="4.585259922612531E-3" u="1"/>
        <n v="4.2247262923346247E-2" u="1"/>
        <n v="7.9689983508353997E-4" u="1"/>
        <n v="7.1035899806269004E-3" u="1"/>
        <n v="9.3152678605349898E-2" u="1"/>
        <n v="7.5507471737678441E-19" u="1"/>
        <n v="5.7692797788836464E-3" u="1"/>
        <n v="1.3074708503917367E-2" u="1"/>
        <n v="2.9791724030107576E-3" u="1"/>
        <n v="3.7276038338447163E-3" u="1"/>
        <n v="2.0242400430860168E-2" u="1"/>
        <n v="4.829943554088429E-2" u="1"/>
        <n v="2.054141990924974E-2" u="1"/>
        <n v="4.0584509169562539E-3" u="1"/>
        <n v="7.088214322585171E-3" u="1"/>
        <n v="1.0485524145836052E-3" u="1"/>
        <n v="4.1281726430269478E-2" u="1"/>
        <n v="7.2309284556284159E-2" u="1"/>
        <n v="2.7449610955316093E-3" u="1"/>
        <n v="4.1271023038010696E-2" u="1"/>
        <n v="3.4811940164175691E-3" u="1"/>
        <n v="3.4811940164175708E-3" u="1"/>
        <n v="5.2742186453555336E-3" u="1"/>
        <n v="2.1705313089437541E-2" u="1"/>
        <n v="9.4476787820183591E-3" u="1"/>
        <n v="4.5570087937803483E-2" u="1"/>
        <n v="7.5255060841764948E-2" u="1"/>
        <n v="2.6716869042026697E-3" u="1"/>
        <n v="1.1354263089700818E-2" u="1"/>
        <n v="4.4656515083342253E-4" u="1"/>
        <n v="2.2662828073456768E-2" u="1"/>
        <n v="0.17814683725060954" u="1"/>
        <n v="1.8160927820588042E-2" u="1"/>
        <n v="3.9224125511752098E-2" u="1"/>
        <n v="0.80095216378144396" u="1"/>
        <n v="9.1160927253590776E-2" u="1"/>
        <n v="1.7650856480288444E-2" u="1"/>
        <n v="9.9678744521705404E-3" u="1"/>
        <n v="0.14845349842197031" u="1"/>
        <n v="4.2885793756469448E-3" u="1"/>
        <n v="-3.5353198844699232E-18" u="1"/>
        <n v="1.5515121542045615E-2" u="1"/>
        <n v="5.0189646210859465E-3" u="1"/>
        <n v="5.21141992745519E-3" u="1"/>
        <n v="1.7715828686905475E-3" u="1"/>
        <n v="6.6211550031400612E-2" u="1"/>
        <n v="0.23655877593200694" u="1"/>
        <n v="1.2337067668816166E-3" u="1"/>
        <n v="4.7103304503843613E-3" u="1"/>
        <n v="3.6699334510426182E-4" u="1"/>
        <n v="3.5975198707454928E-2" u="1"/>
        <n v="2.6318665606048491E-3" u="1"/>
        <n v="3.2924545817925141E-3" u="1"/>
        <n v="2.5553222343402456E-3" u="1"/>
        <n v="4.4192957992928716E-3" u="1"/>
        <n v="6.4643256359079261E-3" u="1"/>
        <n v="8.748384783495855E-2" u="1"/>
        <n v="8.5798519768085432E-2" u="1"/>
        <n v="6.2039819200090948E-5" u="1"/>
        <n v="1.6147707184587519E-3" u="1"/>
        <n v="6.2179158184807789E-3" u="1"/>
        <n v="1.8310135019423996E-20" u="1"/>
        <n v="1.7511873875960789E-3" u="1"/>
        <n v="1.4789095472254139E-3" u="1"/>
        <n v="8.2679198432164206E-3" u="1"/>
        <n v="4.4039201412511414E-3" u="1"/>
        <n v="9.8240463634700247E-5" u="1"/>
        <n v="3.3553677297924664E-10" u="1"/>
        <n v="0.12762828285503541" u="1"/>
        <n v="2.1390469257505547E-3" u="1"/>
        <n v="5.639091583650317E-3" u="1"/>
        <n v="1.0380668904377691E-3" u="1"/>
        <n v="-1.1415156904087194E-17" u="1"/>
        <n v="3.9111005063968488E-3" u="1"/>
        <n v="5.8160751916655012E-2" u="1"/>
        <n v="0.14638405291653026" u="1"/>
        <n v="5.6643956656469215E-2" u="1"/>
        <n v="1.7441907820475479E-2" u="1"/>
        <n v="3.2168540518269548E-2" u="1"/>
        <n v="2.0722973588413192E-2" u="1"/>
        <n v="1.4267344168691125E-2" u="1"/>
        <n v="0.10570407490498088" u="1"/>
        <n v="1.8275760821752241E-2" u="1"/>
        <n v="1.377452453383683E-2" u="1"/>
        <n v="0.23392503664402711" u="1"/>
        <n v="8.0436112282580102E-2" u="1"/>
        <n v="5.7889317522906618E-3" u="1"/>
        <n v="2.254384346528767E-2" u="1"/>
        <n v="7.3771090864274483E-2" u="1"/>
        <n v="1.2727552987663168E-2" u="1"/>
        <n v="9.0189658670305432E-3" u="1"/>
        <n v="1.4105704263567022E-3" u="1"/>
        <n v="1.3281704898982536E-2" u="1"/>
        <n v="1.6776838633337683E-4" u="1"/>
        <n v="5.5536376362174322E-3" u="1"/>
        <n v="3.9382280171862561E-3" u="1"/>
        <n v="1.8618358975453983E-2" u="1"/>
        <n v="2.5901461026269793E-2" u="1"/>
        <n v="4.0756447674859482E-2" u="1"/>
        <n v="3.1037151471674713E-3" u="1"/>
        <n v="1.1901069905523919E-3" u="1"/>
        <n v="2.1827119721751676E-3" u="1"/>
        <n v="3.0271708209028683E-3" u="1"/>
        <n v="2.3382718845214395E-2" u="1"/>
        <n v="1.5204010011462274E-3" u="1"/>
        <n v="1.5774745949145793E-2" u="1"/>
        <n v="1.0580115389768652E-2" u="1"/>
        <n v="1.5740199156175826E-2" u="1"/>
        <n v="6.0687734895291598E-3" u="1"/>
        <n v="1.2988555931962893E-17" u="1"/>
        <n v="8.8423009680930976E-4" u="1"/>
        <n v="0.12698519454270676" u="1"/>
        <n v="1.6568176702835545E-3" u="1"/>
        <n v="3.1030641515963884E-2" u="1"/>
        <n v="2.8573053297403241E-3" u="1"/>
        <n v="2.7681783745007175E-2" u="1"/>
        <n v="0.11596366582397828" u="1"/>
        <n v="0.73966750680424009" u="1"/>
        <n v="9.436971731252446E-6" u="1"/>
        <n v="8.3500345131440293E-2" u="1"/>
        <n v="2.6108955123131769E-3" u="1"/>
        <n v="2.2357751541698695E-2" u="1"/>
        <n v="4.8547976795220915E-3" u="1"/>
        <n v="1.0607491425066539E-2" u="1"/>
        <n v="2.6129529021311739E-2" u="1"/>
        <n v="3.2408527760774773E-3" u="1"/>
        <n v="5.3084123307446433E-2" u="1"/>
        <n v="8.97560866883566E-3" u="1"/>
        <n v="2.3725130132338777E-4" u="1"/>
        <n v="1.6853280668731067E-3" u="1"/>
        <n v="1.0980308551501634E-2" u="1"/>
        <n v="2.5582846305998313E-2" u="1"/>
        <n v="2.6572145748219433E-2" u="1"/>
        <n v="7.7697733920645143E-3" u="1"/>
        <n v="0.18961334598303806" u="1"/>
        <n v="3.6634478397926931E-4" u="1"/>
        <n v="9.7613512624168484E-3" u="1"/>
        <n v="1.4676279610378731E-2" u="1"/>
        <n v="8.3193921846554275E-2" u="1"/>
        <n v="2.9149757125424237E-3" u="1"/>
        <n v="3.4963810495413896E-4" u="1"/>
        <n v="7.8137937645934949E-2" u="1"/>
        <n v="1.3916753287116782E-2" u="1"/>
        <n v="3.8092493780917926E-4" u="1"/>
        <n v="1.426031283833703E-3" u="1"/>
        <n v="4.6116645743492647E-2" u="1"/>
        <n v="3.0036928041652079E-2" u="1"/>
        <n v="6.1124595415111387E-5" u="1"/>
        <n v="1.2467509736019141E-2" u="1"/>
        <n v="8.8944786453832147E-3" u="1"/>
        <n v="8.7556964614566635E-2" u="1"/>
        <n v="1.6379816129071828E-2" u="1"/>
        <n v="-6.1015306351614373E-3" u="1"/>
        <n v="0.20257745695402846" u="1"/>
        <n v="9.460320812536201E-3" u="1"/>
        <n v="1.8611628819782101E-2" u="1"/>
        <n v="4.9701384451262881E-3" u="1"/>
        <n v="2.3582779351544746E-2" u="1"/>
        <n v="4.996104357357401E-3" u="1"/>
        <n v="7.9418998221553877E-2" u="1"/>
        <n v="6.2913144875016312E-3" u="1"/>
        <n v="2.422156077688128E-3" u="1"/>
        <n v="9.5698293513565725E-3" u="1"/>
        <n v="1.2341461919649032E-2" u="1"/>
        <n v="1.3112178800119886E-2" u="1"/>
        <n v="4.5382512553641466E-3" u="1"/>
        <n v="2.2208361038530324E-3" u="1"/>
        <n v="1.1848642284794738E-2" u="1"/>
        <n v="1.9699979732773421E-2" u="1"/>
        <n v="2.4711199072403822E-2" u="1"/>
        <n v="5.6223290567522434E-2" u="1"/>
        <n v="8.2206509303354644E-3" u="1"/>
        <n v="7.7831514361048931E-2" u="1"/>
        <n v="7.6146186294175827E-2" u="1"/>
        <n v="3.9844991754176993E-3" u="1"/>
        <n v="9.2676437846794437E-3" u="1"/>
        <n v="1.4836231986352769E-2" u="1"/>
        <n v="2.0384876066803998E-3" u="1"/>
        <n v="1.4141279221797463E-19" u="1"/>
        <n v="8.9630027378803448E-3" u="1"/>
        <n v="3.9738292463041273E-2" u="1"/>
        <n v="4.2977051248460144E-2" u="1"/>
        <n v="3.6614181568837844E-4" u="1"/>
        <n v="4.6136306241678627E-4" u="1"/>
        <n v="1.3921321871878535E-2" u="1"/>
        <n v="4.1253940766544529E-3" u="1"/>
        <n v="3.3868242991050446E-3" u="1"/>
        <n v="1.3316615665211785E-3" u="1"/>
        <n v="1.8189038493681611E-3" u="1"/>
        <n v="4.0058006988542984E-4" u="1"/>
        <n v="4.0877765094299447E-2" u="1"/>
        <n v="0.18121107009946974" u="1"/>
        <n v="6.5010249704183516E-4" u="1"/>
        <n v="3.4207106621303648E-3" u="1"/>
        <n v="1.0630753204924806E-2" u="1"/>
        <n v="7.0486023349058012E-3" u="1"/>
        <n v="8.4266403343655275E-2" u="1"/>
        <n v="2.3919830508439387E-3" u="1"/>
        <n v="4.5926595758761903E-3" u="1"/>
        <n v="5.2346066576761646E-3" u="1"/>
        <n v="8.0845606430596725E-3" u="1"/>
        <n v="1.5843905091915189E-2" u="1"/>
        <n v="7.7875987831124358E-3" u="1"/>
        <n v="9.1549532457489202E-2" u="1"/>
        <n v="1.7448553477599316E-2" u="1"/>
        <n v="1.6717546619586715E-2" u="1"/>
        <n v="2.2334166430630791E-3" u="1"/>
        <n v="1.0886059499863506E-4" u="1"/>
        <n v="8.4513324615438576E-3" u="1"/>
        <n v="2.8940046642507503E-3" u="1"/>
        <n v="1.0852517490940313E-3" u="1"/>
        <n v="1.1864401426765396E-2" u="1"/>
        <n v="1.2216684182313584E-3" u="1"/>
        <n v="7.4022406012896986E-3" u="1"/>
        <n v="1.1785998395597158E-2" u="1"/>
        <n v="1.0600864911440248E-2" u="1"/>
        <n v="1.7584223992567052E-2" u="1"/>
        <n v="7.3019095136538051E-2" u="1"/>
        <n v="1.5519624288251939E-3" u="1"/>
        <n v="1.8957920452560343E-4" u="1"/>
        <n v="6.0165958446456828E-3" u="1"/>
        <n v="6.4680088377412183E-3" u="1"/>
        <n v="8.2080449993801492E-3" u="1"/>
        <n v="2.2402899335758099E-2" u="1"/>
        <n v="1.3958582569895137E-3" u="1"/>
        <n v="0.30099821003910615" u="1"/>
        <n v="0.24437256969660048" u="1"/>
        <n v="2.989366396674686E-3" u="1"/>
        <n v="1.4164267545910479E-2" u="1"/>
        <n v="0.24549364419656902" u="1"/>
        <n v="0.24886430033031526" u="1"/>
        <n v="1.1428424414932001E-2" u="1"/>
        <n v="7.3884355122948711E-3" u="1"/>
        <n v="8.8368480515583631E-3" u="1"/>
        <n v="8.9360446052443986E-3" u="1"/>
        <n v="1.6634624382636864E-2" u="1"/>
        <n v="3.064232848860194E-2" u="1"/>
        <n v="3.0642328488601954E-2" u="1"/>
        <n v="4.7631101144533844E-3" u="1"/>
        <n v="3.8586728856676669E-3" u="1"/>
        <n v="2.3593477880545699E-3" u="1"/>
        <n v="7.2118555265137302E-2" u="1"/>
        <n v="8.0665442449951851E-4" u="1"/>
        <n v="1.8978798703963254E-3" u="1"/>
        <n v="2.9359467608340947E-4" u="1"/>
        <n v="5.7827665664285828E-3" u="1"/>
        <n v="0.68144708267589638" u="1"/>
        <n v="6.016595739790442E-3" u="1"/>
        <n v="1.3946355737511858E-2" u="1"/>
        <n v="5.5363567490014313E-3" u="1"/>
        <n v="1.2559537519902112E-2" u="1"/>
        <n v="2.0446772084380302E-3" u="1"/>
        <n v="6.8575327913767779E-3" u="1"/>
        <n v="2.7052652296257014E-3" u="1"/>
        <n v="1.8982476618884256E-3" u="1"/>
        <n v="8.7711409479918571E-3" u="1"/>
        <n v="3.5545142174378964E-2" u="1"/>
        <n v="0.2336477547255898" u="1"/>
        <n v="1.3211760423753425E-3" u="1"/>
        <n v="0.13464173757307793" u="1"/>
        <n v="9.8459071729400521E-3" u="1"/>
        <n v="7.0273974729610448E-3" u="1"/>
        <n v="1.9209480235171647E-2" u="1"/>
        <n v="7.1856260305771552E-2" u="1"/>
        <n v="-1.1785554099577717E-5" u="1"/>
        <n v="1.3728443929113234E-2" u="1"/>
        <n v="2.8812090134467595E-2" u="1"/>
        <n v="4.1783121171172825E-2" u="1"/>
        <n v="3.9844111944253933E-2" u="1"/>
        <n v="1.0588258980484934E-2" u="1"/>
        <n v="0.18980104105871023" u="1"/>
        <n v="5.9131813946823028E-2" u="1"/>
        <n v="1.0400080392429739E-2" u="1"/>
        <n v="5.1070734431503444E-5" u="1"/>
        <n v="9.7020654231224787E-2" u="1"/>
        <n v="1.4978616739016069E-3" u="1"/>
        <n v="7.8746286335228677E-3" u="1"/>
        <n v="5.4023118073388034E-3" u="1"/>
        <n v="1.1895857037680323E-3" u="1"/>
        <n v="9.9612479385442496E-5" u="1"/>
        <n v="0.17263121812266119" u="1"/>
        <n v="3.669933451042618E-3" u="1"/>
        <n v="0.16521577462841952" u="1"/>
        <n v="3.593389124778015E-3" u="1"/>
        <n v="1.803510153083801E-3" u="1"/>
        <n v="1.406811920992024E-2" u="1"/>
        <n v="2.532475719824881E-2" u="1"/>
        <n v="7.6605821221504861E-2" u="1"/>
        <n v="1.9094417577124365E-2" u="1"/>
        <n v="7.3235165087758639E-2" u="1"/>
        <n v="5.011971593168324E-3" u="1"/>
        <n v="4.1606580708327019E-3" u="1"/>
        <n v="1.47870936784513E-2" u="1"/>
        <n v="2.3725130132338777E-7" u="1"/>
        <n v="1.3211760423753424E-2" u="1"/>
        <n v="3.3166177238270388E-2" u="1"/>
        <n v="-4.9561650164488139E-3" u="1"/>
        <n v="2.5165257950006525E-3" u="1"/>
        <n v="1.4709580682050042E-3" u="1"/>
        <n v="0.15041552996842478" u="1"/>
        <n v="1.4497245164714625E-2" u="1"/>
        <n v="8.5835625978512766E-3" u="1"/>
        <n v="3.1771138161883236E-3" u="1"/>
        <n v="9.849989866386711E-4" u="1"/>
        <n v="1.226806325062818E-3" u="1"/>
        <n v="3.1771138161883253E-3" u="1"/>
        <n v="4.6660582448970426E-3" u="1"/>
        <n v="5.772051466712355E-4" u="1"/>
        <n v="2.5512868459163136E-2" u="1"/>
        <n v="5.976748763126549E-4" u="1"/>
        <n v="1.363222994200145E-3" u="1"/>
        <n v="5.2709449787359045E-3" u="1"/>
        <n v="1.2504018399661395E-2" u="1"/>
        <n v="5.7408244698452385E-3" u="1"/>
        <n v="8.1053101647312609E-3" u="1"/>
        <n v="4.1732386100427482E-3" u="1"/>
        <n v="5.5553470975102433E-3" u="1"/>
        <n v="2.2418235891475059E-2" u="1"/>
        <n v="2.7306440420517713E-3" u="1"/>
        <n v="0.21893943705106086" u="1"/>
        <n v="4.1314013687008631E-3" u="1"/>
        <n v="1.4791620375982927E-2" u="1"/>
        <n v="0.12842912453857838" u="1"/>
        <n v="2.2168060954604336E-2" u="1"/>
        <n v="7.7301614043851444E-3" u="1"/>
        <n v="2.9569846991500875E-2" u="1"/>
        <n v="8.9328696682230199E-3" u="1"/>
        <n v="1.8086680097085691E-2" u="1"/>
        <n v="-5.0117653705999653E-3" u="1"/>
        <n v="4.2759988364368985E-3" u="1"/>
        <n v="5.4230346202258813E-2" u="1"/>
        <n v="2.6323746454553629E-2" u="1"/>
        <n v="1.5624648549908476E-18" u="1"/>
        <n v="6.2484638594669108E-2" u="1"/>
        <n v="2.0063390778325252E-2" u="1"/>
        <n v="2.2894388057718495E-2" u="1"/>
        <n v="6.8606071487485997E-3" u="1"/>
        <n v="2.7566442979402979E-2" u="1"/>
        <n v="1.1104391597060455E-2" u="1"/>
        <n v="1.6788751570759434E-2" u="1"/>
        <n v="2.658080370969439E-2" u="1"/>
        <n v="1.3455381666168441E-3" u="1"/>
        <n v="-5.4686269924679671E-18" u="1"/>
        <n v="0.10943378598492805" u="1"/>
        <n v="1.1324366077502936E-3" u="1"/>
        <n v="9.6152256417316589E-4" u="1"/>
        <n v="7.8448251023504195E-3" u="1"/>
        <n v="7.4307646584859707E-2" u="1"/>
        <n v="3.7420091803559339E-3" u="1"/>
        <n v="-2.9155388780839737E-2" u="1"/>
        <n v="8.6589479293963673E-3" u="1"/>
        <n v="7.0936990451113499E-2" u="1"/>
        <n v="3.6489624027509458E-3" u="1"/>
        <n v="6.9832862847088215E-2" u="1"/>
        <n v="5.6097554180222879E-3" u="1"/>
        <n v="4.0421695582197976E-3" u="1"/>
        <n v="0.13726664782242673" u="1"/>
        <n v="3.1351110603299419E-2" u="1"/>
        <n v="0.16267246136386557" u="1"/>
        <n v="6.8449268604214636E-3" u="1"/>
        <n v="2.1189676019781709E-2" u="1"/>
        <n v="1.494721073721296E-2" u="1"/>
        <n v="9.4573724845002285E-3" u="1"/>
        <n v="2.5581830824415772E-2" u="1"/>
        <n v="2.4955547467089786E-3" u="1"/>
        <n v="2.4955547467089803E-3" u="1"/>
        <n v="2.8526711292642504E-2" u="1"/>
        <n v="1.3729367378422518E-2" u="1"/>
        <n v="4.5064266253076804E-7" u="1"/>
        <n v="5.5111840232039119E-2" u="1"/>
        <n v="3.6037270437001539E-3" u="1"/>
        <n v="8.6870317364291828E-3" u="1"/>
        <n v="8.6355465966486949E-3" u="1"/>
        <n v="4.4080224724672254E-2" u="1"/>
        <n v="1.0265180043681651E-2" u="1"/>
        <n v="-1.7038976736983583E-2" u="1"/>
        <n v="4.7490498470788449E-2" u="1"/>
        <n v="7.7371879433719898E-2" u="1"/>
        <n v="1.246359804832339E-2" u="1"/>
        <n v="2.0971048291672103E-5" u="1"/>
        <n v="6.8945239099354363E-2" u="1"/>
        <n v="2.0971048291672127E-5" u="1"/>
        <n v="6.3643889379541253E-3" u="1"/>
        <n v="9.1604890929411643E-3" u="1"/>
        <n v="5.0627684210493738E-3" u="1"/>
        <n v="1.0842253493414554E-2" u="1"/>
        <n v="3.8796439339593391E-4" u="1"/>
        <n v="5.8720787893457678E-3" u="1"/>
        <n v="1.2255994177853067E-2" u="1"/>
        <n v="3.8796439339593462E-4" u="1"/>
        <n v="1.4502907306967173E-2" u="1"/>
        <n v="1.6827916671691024E-2" u="1"/>
        <n v="1.4214916547961944E-2" u="1"/>
        <n v="2.7230906206736228E-3" u="1"/>
        <n v="1.7001020204320823E-2" u="1"/>
        <n v="2.4024846958001027E-3" u="1"/>
        <n v="3.2556024174754242E-2" u="1"/>
        <n v="3.4602229681258969E-3" u="1"/>
        <n v="5.0330515900013045E-4" u="1"/>
        <n v="1.9608978705127999E-3" u="1"/>
        <n v="4.6120623452149141E-3" u="1"/>
        <n v="1.4059519600613196E-2" u="1"/>
        <n v="1.6986549116254405E-3" u="1"/>
        <n v="6.1313779452814562E-2" u="1"/>
        <n v="6.5534525911475324E-3" u="1"/>
        <n v="1.7416733713790596E-2" u="1"/>
        <n v="2.3161589066330795E-2" u="1"/>
        <n v="2.5796605784811431E-2" u="1"/>
        <n v="1.2372918492086542E-2" u="1"/>
        <n v="4.7394569139178958E-3" u="1"/>
        <n v="-5.242762072918026E-4" u="1"/>
        <n v="1.3143635372557394E-2" u="1"/>
        <n v="7.2009471948214568E-2" u="1"/>
        <n v="1.8694121273072729E-2" u="1"/>
        <n v="2.2609686453425197E-2" u="1"/>
        <n v="2.3068153120839314E-3" u="1"/>
        <n v="6.3582831613849033E-2" u="1"/>
        <n v="1.1219510836044575E-3" u="1"/>
        <n v="2.8497365494399806E-2" u="1"/>
        <n v="4.7450260264677553E-3" u="1"/>
        <n v="4.3619780446677976E-2" u="1"/>
        <n v="6.850051380384248E-4" u="1"/>
        <n v="3.3215182185274291E-3" u="1"/>
        <n v="4.2048000377217154E-3" u="1"/>
        <n v="9.4670787213141164E-3" u="1"/>
        <n v="7.0846729209123429E-5" u="1"/>
        <n v="1.0416184441454169E-2" u="1"/>
        <n v="6.8166392472080166E-4" u="1"/>
        <n v="-5.6312697236218101E-5" u="1"/>
        <n v="1.4445598079170337E-2" u="1"/>
        <n v="3.6911671931707157E-4" u="1"/>
        <n v="4.5846038423181662E-3" u="1"/>
        <n v="1.4370506909191977E-2" u="1"/>
        <n v="1.7825391047921287E-4" u="1"/>
        <n v="1.782539104792129E-4" u="1"/>
        <n v="1.6885587054493122E-2" u="1"/>
        <n v="1.3193847588104494E-3" u="1"/>
        <n v="0.55555555555555558" u="1"/>
        <n v="2.0441893802997886E-2" u="1"/>
        <n v="3.2714835335008428E-3" u="1"/>
        <n v="-8.066544244995184E-3" u="1"/>
        <n v="-0.14666184472857105" u="1"/>
        <n v="3.271483533500848E-3" u="1"/>
        <n v="7.0700887794369564E-3" u="1"/>
        <n v="3.0948751773487961E-2" u="1"/>
        <n v="7.1292766092454539E-3" u="1"/>
        <n v="8.6088368503514749E-3" u="1"/>
        <n v="-6.1685338344080829E-4" u="1"/>
        <n v="0.14115472581235594" u="1"/>
        <n v="2.9243764687095174E-2" u="1"/>
        <n v="1.6042851943129158E-3" u="1"/>
        <n v="7.743559581699924E-3" u="1"/>
        <n v="1.383877146569411E-2" u="1"/>
        <n v="-2.3032955493183669E-4" u="1"/>
        <n v="7.6747319573954734E-3" u="1"/>
        <n v="8.6754592819385606E-2" u="1"/>
        <n v="7.864143109377039E-4" u="1"/>
        <n v="4.5660614692014562E-4" u="1"/>
        <n v="0.21449629942021359" u="1"/>
        <n v="1.3509044443365639E-2" u="1"/>
        <n v="2.1191522406291574E-2" u="1"/>
        <n v="1.1617960753586344E-2" u="1"/>
        <n v="6.2077084018918576E-3" u="1"/>
        <n v="8.4827890339813656E-3" u="1"/>
        <n v="1.093833902519897E-2" u="1"/>
        <n v="5.6831540870431359E-3" u="1"/>
        <n v="5.2362764616681009E-4" u="1"/>
        <n v="2.1180758774588825E-3" u="1"/>
        <n v="8.6319164809270446E-3" u="1"/>
        <n v="6.2880408208820012E-3" u="1"/>
        <n v="6.5718610466578417E-3" u="1"/>
        <n v="2.7786638986465537E-3" u="1"/>
        <n v="1.0275813662919331E-3" u="1"/>
        <n v="9.3383805775695914E-3" u="1"/>
        <n v="8.1390968460727502E-3" u="1"/>
        <n v="1.1639980354292601E-3" u="1"/>
        <n v="3.5569227943423962E-3" u="1"/>
        <n v="5.1903344521888458E-3" u="1"/>
        <n v="1.6661497867733487E-2" u="1"/>
        <n v="1.4942920460230956E-3" u="1"/>
        <n v="0.18039785391059382" u="1"/>
        <n v="7.3081953445315637E-2" u="1"/>
        <n v="6.9711297311569415E-2" u="1"/>
        <n v="9.6466822141691669E-3" u="1"/>
      </sharedItems>
    </cacheField>
    <cacheField name="p1" numFmtId="0">
      <sharedItems containsBlank="1" containsMixedTypes="1" containsNumber="1" containsInteger="1" minValue="1" maxValue="1"/>
    </cacheField>
    <cacheField name="p2" numFmtId="0">
      <sharedItems containsBlank="1" containsMixedTypes="1" containsNumber="1" containsInteger="1" minValue="1" maxValue="1"/>
    </cacheField>
    <cacheField name="ALERTA" numFmtId="0">
      <sharedItems containsBlank="1" containsMixedTypes="1" containsNumber="1" containsInteger="1" minValue="2" maxValue="2"/>
    </cacheField>
    <cacheField name="DETALLE" numFmtId="0">
      <sharedItems containsBlank="1" count="9">
        <s v="cumple politica"/>
        <e v="#VALUE!"/>
        <e v="#N/A"/>
        <s v="FCI"/>
        <s v="Bonos"/>
        <m/>
        <s v="supera maximo de participacion" u="1"/>
        <s v="supera minimo de participacion" u="1"/>
        <s v="supera minimo de participacion y bajo rendimien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Mauriño" refreshedDate="46273.70382638889" createdVersion="6" refreshedVersion="8" minRefreshableVersion="3" recordCount="1538" xr:uid="{00000000-000A-0000-FFFF-FFFF1F000000}">
  <cacheSource type="worksheet">
    <worksheetSource name="Tabla14"/>
  </cacheSource>
  <cacheFields count="13">
    <cacheField name="FECHA" numFmtId="170">
      <sharedItems containsSemiMixedTypes="0" containsNonDate="0" containsDate="1" containsString="0" minDate="2025-12-07T00:00:00" maxDate="2027-09-09T00:00:00"/>
    </cacheField>
    <cacheField name="EMPRESA" numFmtId="0">
      <sharedItems containsBlank="1" count="16">
        <s v="VILUCO"/>
        <s v="ALCOVIL"/>
        <s v="AGROGANADERA"/>
        <s v="CITRUSVIL"/>
        <s v="NUECES DE CATAMARCA"/>
        <s v="VILUCO S.A." u="1"/>
        <s v="CITRUSVIL S.A." u="1"/>
        <s v="ENGORDAR S.A." u="1"/>
        <s v="COVIL S.A." u="1"/>
        <m u="1"/>
        <s v="Ceng" u="1"/>
        <s v="COVIL" u="1"/>
        <s v="FCTSP" u="1"/>
        <s v="CITRUSVIL SA" u="1"/>
        <s v="VILUCO SA" u="1"/>
        <s v="Engordar" u="1"/>
      </sharedItems>
    </cacheField>
    <cacheField name="INVERSION" numFmtId="0">
      <sharedItems containsBlank="1" count="8">
        <s v="FCI"/>
        <s v="PLAZO FIJO"/>
        <s v="PAGARÉ"/>
        <s v="FCI " u="1"/>
        <m u="1"/>
        <s v="CAUCION" u="1"/>
        <s v="BONOS" u="1"/>
        <s v="Fi" u="1"/>
      </sharedItems>
    </cacheField>
    <cacheField name="OPERACIÓN" numFmtId="164">
      <sharedItems/>
    </cacheField>
    <cacheField name="FONDO" numFmtId="165">
      <sharedItems containsMixedTypes="1" containsNumber="1" containsInteger="1" minValue="3490000" maxValue="3490000" count="28">
        <s v="FCI VARIOS EN MAX CAP T+0"/>
        <s v="Pionero Pesos"/>
        <s v="FCI VARIOS EN GMA T+0"/>
        <s v="FCI Intagro Margenes"/>
        <s v="FCI Intagro Disponibilidad"/>
        <s v="FCI VARIOS EN LATIN SEC."/>
        <s v="FBA Renta Pesos B"/>
        <s v="Plazo Fijo BBVA"/>
        <s v="Pagare GMA ENG U$S"/>
        <s v="Super Ahorro $ B"/>
        <s v="Premier Renta CP en Pesos A"/>
        <s v="Zofingen Securities SA"/>
        <s v="FCI PP Inversiones"/>
        <s v="FCI VARIOS EN PARAKEET"/>
        <s v="FCI COCOS CAPITAL"/>
        <s v="FCI VARIOS EN FACIMEX"/>
        <s v="FCI VARIOS EN INVIU"/>
        <s v="FCI VARIOS EN MAX CAP - USD"/>
        <s v="Pagare GMA VLC U$S"/>
        <s v="Delta Ahorro A"/>
        <s v="FCI varios en Allaria"/>
        <s v="Balanz Money Market (T+1)"/>
        <s v="Super Ahorro $ B (SAN Valores)"/>
        <s v="Supergestion MIX VI B"/>
        <s v="FCI BLACK TORO T+1"/>
        <s v="BLACK TORO MONEY MARKET"/>
        <s v="Balanz Capital Money Market"/>
        <n v="3490000" u="1"/>
      </sharedItems>
    </cacheField>
    <cacheField name="CAPITAL" numFmtId="0">
      <sharedItems containsSemiMixedTypes="0" containsString="0" containsNumber="1" minValue="-41800384.18" maxValue="16000000000"/>
    </cacheField>
    <cacheField name="BANCO" numFmtId="0">
      <sharedItems containsBlank="1" count="36">
        <s v="Max Capital"/>
        <s v="Banco Macro S.A."/>
        <s v="Gma Capital"/>
        <s v="INTAGRO"/>
        <s v="Latin Securities"/>
        <s v="BBVA Banco Frances SA"/>
        <s v="Banco Santander Rio S.A."/>
        <s v="Banco Supervielle, S.A."/>
        <s v="Zofingen"/>
        <s v="PP Inversiones"/>
        <s v="Parakeet"/>
        <s v="COCOS CAPITAL"/>
        <s v="Facimex"/>
        <s v="Inviu inversiones"/>
        <s v="Banco Comafi"/>
        <s v="Allaria Ledesma y Cía. Inversiones"/>
        <s v="Balanz"/>
        <s v="Black Toro"/>
        <e v="#N/A" u="1"/>
        <s v="Macro Securities" u="1"/>
        <m u="1"/>
        <s v="Banco de Galicia y Buenos Aires SA" u="1"/>
        <s v="Banco Industrial SA" u="1"/>
        <s v="HSBC Bank Argentina SA" u="1"/>
        <s v="Banco de Servicios y Transacciones S.A." u="1"/>
        <s v="Stonex" u="1"/>
        <s v="Pagaré Bursátil" u="1"/>
        <s v="Atanor" u="1"/>
        <s v="CPS" u="1"/>
        <s v="Syngenta" u="1"/>
        <s v="Syngenta " u="1"/>
        <s v="Prisma" u="1"/>
        <s v="Galicia Securities" u="1"/>
        <s v="Macro Securities USD" u="1"/>
        <s v="Supervielle" u="1"/>
        <s v="Allaria Ledesma y Cía. S.A. AC y DI- Inversiones" u="1"/>
      </sharedItems>
    </cacheField>
    <cacheField name="TIPO" numFmtId="0">
      <sharedItems containsBlank="1" count="8">
        <s v="(T+0)"/>
        <s v="(T+1)"/>
        <s v="PLAZO"/>
        <s v="USD DL"/>
        <e v="#N/A" u="1"/>
        <m u="1"/>
        <s v="PLAZO (DL)" u="1"/>
        <s v="(T+2)" u="1"/>
      </sharedItems>
    </cacheField>
    <cacheField name="MONEDA DOC" numFmtId="165">
      <sharedItems containsBlank="1" count="3">
        <s v="ARS"/>
        <s v="USD"/>
        <m u="1"/>
      </sharedItems>
    </cacheField>
    <cacheField name="VENCIMIENTO" numFmtId="0">
      <sharedItems containsDate="1" containsBlank="1" containsMixedTypes="1" minDate="2026-05-08T00:00:00" maxDate="2026-12-10T00:00:00"/>
    </cacheField>
    <cacheField name="TASA" numFmtId="0">
      <sharedItems containsBlank="1" containsMixedTypes="1" containsNumber="1" minValue="0.05" maxValue="29.75"/>
    </cacheField>
    <cacheField name="DATOS" numFmtId="0">
      <sharedItems containsDate="1" containsBlank="1" containsMixedTypes="1" minDate="2023-01-13T00:00:00" maxDate="2024-02-22T00:00:00" count="160">
        <s v=""/>
        <s v="VENCE EL 22-01-2026"/>
        <s v="VENCE EL 20-05-2026"/>
        <m/>
        <s v="VENCE EL 10-06-2026"/>
        <s v="VENCE EL 04-11-2026"/>
        <s v="VENCE EL 24-06-2026"/>
        <s v="VENCE EL 18-11-2026"/>
        <s v="VENCE EL 01-07-2026"/>
        <s v="VENCE EL 05-08-2026"/>
        <s v="VENCE EL 25-11-2026"/>
        <s v="VENCE EL 02-12-2026"/>
        <s v="VENCE EL 08-12-2026"/>
        <s v="VENCE EL 26-08-2026"/>
        <s v="VENCE EL 16-12-2026"/>
        <s v="VENCE EL 19-08-2026"/>
        <s v="VENCE EL 09-12-2026"/>
        <s v="VENCE EL 11-11-2026"/>
        <s v="VENCE EL 09-12-YYYY" u="1"/>
        <s v="VENCE EL 25-11-YYYY" u="1"/>
        <s v="VENCE EL 18-11-YYYY" u="1"/>
        <s v="VENCE EL 11-11-YYYY" u="1"/>
        <s v="VENCE EL 00-01-1900" u="1"/>
        <s v="VENCE EL 12-09-2026" u="1"/>
        <s v="VENCE EL 29-06-2022" u="1"/>
        <s v="VENCE EL 30-06-2022" u="1"/>
        <s v="VENCE EL 27-06-2022" u="1"/>
        <s v="VENCE EL 28-06-2022" u="1"/>
        <s v="VENCE EL 07-07-2022" u="1"/>
        <s v="VENCE EL 04-07-2022" u="1"/>
        <s v="VENCE EL 05-07-2022" u="1"/>
        <s v="VENCE EL 06-07-2022" u="1"/>
        <s v="VENCE EL 10-08-2022" u="1"/>
        <s v="VENCE EL 18-08-2022" u="1"/>
        <s v="VENCE EL 19-08-2022" u="1"/>
        <s v="VENCE EL 22-08-2022" u="1"/>
        <s v="VENCE EL 23-08-2022" u="1"/>
        <s v="VENCE EL 29-08-2022" u="1"/>
        <s v="VENCE EL 31-08-2022" u="1"/>
        <s v="VENCE EL 02-09-2022" u="1"/>
        <s v="VENCE EL 06-09-2022" u="1"/>
        <s v="VENCE EL 07-09-2022" u="1"/>
        <s v="VENCE EL 08-09-2022" u="1"/>
        <s v="VENCE EL 09-09-2022" u="1"/>
        <s v="VENCE EL 12-09-2022" u="1"/>
        <s v="VENCE EL 16-01-2023" u="1"/>
        <s v="VENCE EL 26-01-2023" u="1"/>
        <s v="VENCE EL 08-02-2023" u="1"/>
        <s v="VENCE EL 08-03-2023" u="1"/>
        <s v="VENCE EL 15-03-2023" u="1"/>
        <s v="VENCE EL 23-03-2023" u="1"/>
        <s v="VENCE EL 27-03-2023" u="1"/>
        <s v="VENCE EL 30-03-2023" u="1"/>
        <s v="VENCE EL 31-03-2023" u="1"/>
        <s v="VENCE EL 03-04-2023" u="1"/>
        <s v="venc 21/02/2024" u="1"/>
        <s v="VENCE EL 01-07-2024" u="1"/>
        <s v="VENCE EL 13-05-2026" u="1"/>
        <s v="VENCE EL 19-11-2025" u="1"/>
        <s v="VENCE EL 28-11-2025" u="1"/>
        <s v="VENCE EL 26-11-2025" u="1"/>
        <s v="VENCE EL 29-06-YYYY" u="1"/>
        <s v="VENCE EL 30-06-YYYY" u="1"/>
        <s v="VENCE EL 27-06-YYYY" u="1"/>
        <s v="VENCE EL 28-06-YYYY" u="1"/>
        <s v="VENCE EL 07-07-YYYY" u="1"/>
        <s v="VENCE EL 04-07-YYYY" u="1"/>
        <s v="VENCE EL 05-07-YYYY" u="1"/>
        <s v="VENCE EL 06-07-YYYY" u="1"/>
        <s v="VENCE EL 10-08-YYYY" u="1"/>
        <s v="VENCE EL 18-08-YYYY" u="1"/>
        <s v="VENCE EL 19-08-YYYY" u="1"/>
        <s v="VENCE EL 22-08-YYYY" u="1"/>
        <s v="VENCE EL 23-08-YYYY" u="1"/>
        <s v="VENCE EL 29-08-YYYY" u="1"/>
        <s v="VENCE EL 31-08-YYYY" u="1"/>
        <s v="VENCE EL 02-09-YYYY" u="1"/>
        <s v="VENCE EL 06-09-YYYY" u="1"/>
        <s v="VENCE EL 07-09-YYYY" u="1"/>
        <s v="VENCE EL 08-09-YYYY" u="1"/>
        <s v="VENCE EL 09-09-YYYY" u="1"/>
        <s v="VENCE EL 12-09-YYYY" u="1"/>
        <s v="VENCE EL 16-01-YYYY" u="1"/>
        <s v="VENCE EL 26-01-YYYY" u="1"/>
        <s v="VENCE EL 08-02-YYYY" u="1"/>
        <s v="VENCE EL 08-03-YYYY" u="1"/>
        <s v="VENCE EL 15-03-YYYY" u="1"/>
        <s v="VENCE EL 23-03-YYYY" u="1"/>
        <s v="VENCE EL 27-03-YYYY" u="1"/>
        <s v="VENCE EL 30-03-YYYY" u="1"/>
        <s v="VENCE EL 31-03-YYYY" u="1"/>
        <s v="VENCE EL 03-04-YYYY" u="1"/>
        <s v="VENCE EL 05-11-2024" u="1"/>
        <s v="VENCE EL 11-06-2025" u="1"/>
        <s v="VENCE EL 16-04-2025" u="1"/>
        <s v="VENCE EL 18-06-2025" u="1"/>
        <s v="VENCE EL 17-09-2025" u="1"/>
        <s v="VENCE EL 17-12-2025" u="1"/>
        <s v="VENCE EL 05-11-YYYY" u="1"/>
        <s v="VENCE EL 11-06-YYYY" u="1"/>
        <s v="VENCE EL 16-04-YYYY" u="1"/>
        <s v="VENCE EL 18-06-YYYY" u="1"/>
        <s v="VENCE EL 17-09-YYYY" u="1"/>
        <s v="VENCE EL 17-12-YYYY" u="1"/>
        <s v="VENCE EL 09-05-2025" u="1"/>
        <s v="VENCE EL 29-09-2025" u="1"/>
        <s v="VENCE EL 09-05-YYYY" u="1"/>
        <s v="VENCE EL 29-09-YYYY" u="1"/>
        <s v="VENCE EL 20-05-YYYY" u="1"/>
        <s v="VENCE EL 11-12-2024" u="1"/>
        <s v="VENCE EL 19-03-2025" u="1"/>
        <s v="VENCE EL 23-05-2025" u="1"/>
        <s v="VENCE EL 12-03-2025" u="1"/>
        <s v="VENCE EL 16-07-2025" u="1"/>
        <s v="VENCE EL 11-12-YYYY" u="1"/>
        <s v="VENCE EL 19-03-YYYY" u="1"/>
        <s v="VENCE EL 23-05-YYYY" u="1"/>
        <s v="VENCE EL 12-03-YYYY" u="1"/>
        <s v="VENCE EL 16-07-YYYY" u="1"/>
        <s v="VENCE EL 08-12-YYYY" u="1"/>
        <s v="VENCE EL 26-08-YYYY" u="1"/>
        <s v="VENCE EL 11-04-2026" u="1"/>
        <s v="VENCE EL 16-12-YYYY" u="1"/>
        <s v="VENCE EL 12-02-YYYY" u="1"/>
        <s v="VENCE EL 12-02-2026" u="1"/>
        <s v="VENCE EL 04-11-2024" u="1"/>
        <s v="VENCE EL 08-11-2024" u="1"/>
        <s v="VENCE EL 11-07-2025" u="1"/>
        <s v="VENCE EL 24-07-2025" u="1"/>
        <s v="VENCE EL 31-07-2025" u="1"/>
        <s v="VENCE EL 25/11/2026" u="1"/>
        <s v="VENCE EL 07-07-2026" u="1"/>
        <s v="VENCE EL 07-01-2026" u="1"/>
        <s v="VENCE EL 22-01-YYYY" u="1"/>
        <s v="VENCE EL 13-05-YYYY" u="1"/>
        <s v="VENCE EL 10-06-YYYY" u="1"/>
        <s v="VENCE EL 11-04-YYYY" u="1"/>
        <s v="VENCE EL 24-06-YYYY" u="1"/>
        <s v="VENCE EL 06-10-YYYY" u="1"/>
        <s v="VENCE EL 06-10-2026" u="1"/>
        <e v="#VALUE!" u="1"/>
        <s v="VENCE EL 19-08-2025" u="1"/>
        <s v="VENCE EL 30-05-2025" u="1"/>
        <s v="VENCE EL 07-11-2025" u="1"/>
        <s v="VENCE EL 06-11-2025" u="1"/>
        <s v="VENCE EL 13-05-2025" u="1"/>
        <s v="VENCE EL 12-11-2024" u="1"/>
        <s v="VENCE EL 11-08-2024" u="1"/>
        <s v="VENCE EL 11-04-2024" u="1"/>
        <s v="VENCE EL 16-05-2024" u="1"/>
        <s v="VENCE EL 31-05-YYYY" u="1"/>
        <s v="VENCE EL 27-05-2024" u="1"/>
        <d v="2024-02-21T00:00:00" u="1"/>
        <d v="2023-10-04T00:00:00" u="1"/>
        <s v="VENCE EL 00-01-YYYY" u="1"/>
        <s v="VENCE EL 12-06-YYYY" u="1"/>
        <s v="VENCE EL 31-05-2024" u="1"/>
        <s v="VENCE EL 12-06-2024" u="1"/>
        <s v="VENCE EL 27-05-YYYY" u="1"/>
        <d v="2023-01-13T00:00:00" u="1"/>
      </sharedItems>
    </cacheField>
    <cacheField name="IMPORTE" numFmtId="165">
      <sharedItems containsSemiMixedTypes="0" containsString="0" containsNumber="1" minValue="-16000000000" maxValue="1600000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5">
  <r>
    <x v="0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0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0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0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0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0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0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0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0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0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0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0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0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0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0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0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0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0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0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0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0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0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0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0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0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0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0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0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0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0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0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0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0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0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0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0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0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0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0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0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0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0"/>
    <x v="16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3"/>
  </r>
  <r>
    <x v="0"/>
    <x v="16"/>
    <x v="4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4"/>
  </r>
  <r>
    <x v="0"/>
    <x v="16"/>
    <x v="4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0"/>
  </r>
  <r>
    <x v="0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0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0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0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9"/>
    <x v="49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9"/>
    <x v="50"/>
    <x v="3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9"/>
    <x v="51"/>
    <x v="3"/>
    <m/>
    <m/>
    <m/>
    <m/>
    <m/>
    <m/>
    <m/>
    <m/>
    <m/>
    <x v="1"/>
    <m/>
    <x v="43"/>
    <x v="2"/>
    <m/>
    <m/>
    <m/>
    <x v="5"/>
  </r>
  <r>
    <x v="0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2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2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2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2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2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2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2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2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2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2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2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2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2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2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2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2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2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2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2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2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2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2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2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2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2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2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2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2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2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2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2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2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2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2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2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2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2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2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2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2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2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2"/>
    <x v="16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2"/>
    <x v="16"/>
    <x v="4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6"/>
    <x v="4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2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2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2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3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3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3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3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3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3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3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3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3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3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3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3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3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3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3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3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3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3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3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3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3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3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3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3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3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3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3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3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3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3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3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3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3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3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3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3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3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3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3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3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3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3"/>
    <x v="16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3"/>
    <x v="16"/>
    <x v="4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6"/>
    <x v="4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3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3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3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4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4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4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4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4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4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4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4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4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4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4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4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4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4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4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4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4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4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4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4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4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4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4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4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4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4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4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4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4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4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4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4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4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4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4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4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4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4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4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4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4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4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4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4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4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4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4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5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5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5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5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5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5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5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5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5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5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5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5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5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5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5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5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5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5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5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5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5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5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5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5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5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5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5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5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5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5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5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5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5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5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5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5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5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5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5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5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5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5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5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5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5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5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5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6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6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6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6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6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6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6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6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6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6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6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6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6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6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6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6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6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6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6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6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6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6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6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6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6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6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6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6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6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6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6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6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6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6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6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6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6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6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6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6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6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6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6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6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6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6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6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7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7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7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7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7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7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7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7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7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7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7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7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7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7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7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7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7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7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7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7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7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7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7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7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7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7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7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7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7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7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7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7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7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7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7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7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7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7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7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7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7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7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7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7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7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7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7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7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7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7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7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7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8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8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8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8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8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8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8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8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8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8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8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8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8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8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8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8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8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8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8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8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8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8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8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8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8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8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8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8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8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8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8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8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8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8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8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8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8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8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8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8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8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8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8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8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8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8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8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8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8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8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8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8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9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9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9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9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9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9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9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9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9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9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9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9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9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9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9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9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9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9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9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9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9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9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9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9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9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9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9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9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9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9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9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9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9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9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9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9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9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9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9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9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9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9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9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9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9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9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9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9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9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9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9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9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10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10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10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10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10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10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10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10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10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10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10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10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10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10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10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10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10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10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10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10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10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10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10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10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10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10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10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10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10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10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10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10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10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0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10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10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10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10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10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0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10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10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10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10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10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10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10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10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10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0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0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0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">
  <r>
    <x v="0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0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0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0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0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0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0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0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0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0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0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0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0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0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0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0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0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0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0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0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0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0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0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0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0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0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0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0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0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0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0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0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0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0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0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0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0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0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0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0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0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0"/>
    <x v="16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3"/>
  </r>
  <r>
    <x v="0"/>
    <x v="16"/>
    <x v="4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4"/>
  </r>
  <r>
    <x v="0"/>
    <x v="16"/>
    <x v="4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0"/>
  </r>
  <r>
    <x v="0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0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0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0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9"/>
    <x v="49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9"/>
    <x v="50"/>
    <x v="3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9"/>
    <x v="51"/>
    <x v="3"/>
    <m/>
    <m/>
    <m/>
    <m/>
    <m/>
    <m/>
    <m/>
    <m/>
    <m/>
    <x v="1"/>
    <m/>
    <x v="43"/>
    <x v="2"/>
    <m/>
    <m/>
    <m/>
    <x v="5"/>
  </r>
  <r>
    <x v="0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0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2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2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2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2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2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2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2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2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2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2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2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2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2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2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2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2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2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2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2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2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2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2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2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2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2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2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2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2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2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2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2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2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2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2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2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2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2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2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2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2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2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2"/>
    <x v="16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2"/>
    <x v="16"/>
    <x v="4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6"/>
    <x v="4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2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2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2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2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3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3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3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3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3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3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3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3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3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3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3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3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3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3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3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3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3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3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3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3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3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3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3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3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3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3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3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3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3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3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3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3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3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3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3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3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3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3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3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3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3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3"/>
    <x v="16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3"/>
    <x v="16"/>
    <x v="4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6"/>
    <x v="4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3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3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3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3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4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4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4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4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4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4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4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4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4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4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4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4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4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4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4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4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4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4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4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4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4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4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4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4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4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4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4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4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4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4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4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4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4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4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4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4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4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4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4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4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4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4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4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4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4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4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4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4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5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5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5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5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5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5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5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5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5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5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5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5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5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5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5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5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5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5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5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5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5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5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5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5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5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5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5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5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5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5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5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5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5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5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5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5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5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5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5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5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5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5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5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5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5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5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  <r>
    <x v="5"/>
    <x v="18"/>
    <x v="47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8"/>
    <x v="48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9"/>
    <x v="52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5"/>
    <x v="19"/>
    <x v="53"/>
    <x v="1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1"/>
    <x v="20"/>
    <x v="54"/>
    <x v="4"/>
    <m/>
    <m/>
    <m/>
    <m/>
    <m/>
    <m/>
    <m/>
    <m/>
    <m/>
    <x v="1"/>
    <m/>
    <x v="43"/>
    <x v="2"/>
    <m/>
    <m/>
    <m/>
    <x v="5"/>
  </r>
  <r>
    <x v="6"/>
    <x v="0"/>
    <x v="0"/>
    <x v="0"/>
    <n v="0"/>
    <n v="0"/>
    <n v="0"/>
    <n v="0"/>
    <n v="0"/>
    <n v="0"/>
    <n v="110.147666"/>
    <n v="0"/>
    <n v="0"/>
    <x v="0"/>
    <n v="1817778903"/>
    <x v="0"/>
    <x v="0"/>
    <n v="1"/>
    <n v="1"/>
    <n v="2"/>
    <x v="0"/>
  </r>
  <r>
    <x v="6"/>
    <x v="0"/>
    <x v="1"/>
    <x v="1"/>
    <n v="0"/>
    <n v="0"/>
    <n v="0"/>
    <n v="0"/>
    <n v="0"/>
    <n v="0"/>
    <n v="26.386479000000001"/>
    <n v="0"/>
    <n v="0"/>
    <x v="0"/>
    <n v="6506463370"/>
    <x v="1"/>
    <x v="0"/>
    <n v="1"/>
    <e v="#VALUE!"/>
    <e v="#VALUE!"/>
    <x v="1"/>
  </r>
  <r>
    <x v="6"/>
    <x v="0"/>
    <x v="2"/>
    <x v="1"/>
    <n v="0"/>
    <n v="0"/>
    <n v="0"/>
    <n v="0"/>
    <n v="0"/>
    <n v="0"/>
    <n v="36.737233000000003"/>
    <n v="0"/>
    <n v="0"/>
    <x v="0"/>
    <n v="39848036"/>
    <x v="1"/>
    <x v="0"/>
    <n v="1"/>
    <e v="#VALUE!"/>
    <e v="#VALUE!"/>
    <x v="1"/>
  </r>
  <r>
    <x v="6"/>
    <x v="1"/>
    <x v="3"/>
    <x v="0"/>
    <n v="0"/>
    <n v="0"/>
    <n v="0"/>
    <n v="0"/>
    <n v="0"/>
    <n v="0"/>
    <n v="17.065574000000002"/>
    <n v="0"/>
    <n v="0"/>
    <x v="0"/>
    <n v="3875956517"/>
    <x v="2"/>
    <x v="0"/>
    <n v="1"/>
    <n v="1"/>
    <n v="2"/>
    <x v="0"/>
  </r>
  <r>
    <x v="6"/>
    <x v="1"/>
    <x v="4"/>
    <x v="1"/>
    <n v="0"/>
    <n v="0"/>
    <n v="0"/>
    <n v="0"/>
    <n v="0"/>
    <n v="0"/>
    <n v="41.729677000000002"/>
    <n v="0"/>
    <n v="0"/>
    <x v="0"/>
    <n v="8775783683"/>
    <x v="3"/>
    <x v="0"/>
    <n v="1"/>
    <n v="1"/>
    <n v="2"/>
    <x v="0"/>
  </r>
  <r>
    <x v="6"/>
    <x v="2"/>
    <x v="5"/>
    <x v="1"/>
    <n v="0"/>
    <n v="0"/>
    <n v="0"/>
    <n v="0"/>
    <n v="0"/>
    <n v="0"/>
    <n v="5.0778309999999998"/>
    <n v="0"/>
    <n v="0"/>
    <x v="0"/>
    <n v="14114977659"/>
    <x v="4"/>
    <x v="0"/>
    <n v="1"/>
    <n v="1"/>
    <n v="2"/>
    <x v="0"/>
  </r>
  <r>
    <x v="6"/>
    <x v="2"/>
    <x v="6"/>
    <x v="0"/>
    <n v="0"/>
    <n v="0"/>
    <n v="0"/>
    <n v="0"/>
    <n v="0"/>
    <n v="0"/>
    <n v="47.570337000000002"/>
    <n v="0"/>
    <n v="0"/>
    <x v="0"/>
    <n v="1977335292"/>
    <x v="5"/>
    <x v="0"/>
    <n v="1"/>
    <n v="1"/>
    <n v="2"/>
    <x v="0"/>
  </r>
  <r>
    <x v="6"/>
    <x v="2"/>
    <x v="7"/>
    <x v="0"/>
    <n v="0"/>
    <n v="0"/>
    <n v="0"/>
    <n v="0"/>
    <n v="0"/>
    <n v="0"/>
    <n v="3784.412703"/>
    <n v="0"/>
    <n v="0"/>
    <x v="0"/>
    <n v="2171371244"/>
    <x v="6"/>
    <x v="0"/>
    <n v="1"/>
    <n v="1"/>
    <n v="2"/>
    <x v="0"/>
  </r>
  <r>
    <x v="6"/>
    <x v="2"/>
    <x v="8"/>
    <x v="1"/>
    <n v="0"/>
    <n v="0"/>
    <n v="0"/>
    <n v="0"/>
    <n v="0"/>
    <n v="0"/>
    <n v="119.64041899999999"/>
    <n v="0"/>
    <n v="0"/>
    <x v="0"/>
    <n v="234619684"/>
    <x v="7"/>
    <x v="0"/>
    <n v="1"/>
    <n v="1"/>
    <n v="2"/>
    <x v="0"/>
  </r>
  <r>
    <x v="6"/>
    <x v="3"/>
    <x v="9"/>
    <x v="1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6"/>
    <x v="4"/>
    <x v="9"/>
    <x v="2"/>
    <n v="0"/>
    <n v="0"/>
    <n v="0"/>
    <n v="0"/>
    <n v="0"/>
    <n v="0"/>
    <n v="119.12962"/>
    <n v="0"/>
    <n v="0"/>
    <x v="0"/>
    <n v="1696672499"/>
    <x v="8"/>
    <x v="0"/>
    <n v="1"/>
    <n v="1"/>
    <n v="2"/>
    <x v="0"/>
  </r>
  <r>
    <x v="6"/>
    <x v="3"/>
    <x v="10"/>
    <x v="1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6"/>
    <x v="4"/>
    <x v="10"/>
    <x v="2"/>
    <n v="0"/>
    <n v="0"/>
    <n v="0"/>
    <n v="0"/>
    <n v="0"/>
    <n v="0"/>
    <n v="163.43722500000001"/>
    <n v="0"/>
    <n v="0"/>
    <x v="0"/>
    <n v="3357048174"/>
    <x v="9"/>
    <x v="0"/>
    <n v="1"/>
    <n v="1"/>
    <n v="2"/>
    <x v="0"/>
  </r>
  <r>
    <x v="6"/>
    <x v="5"/>
    <x v="11"/>
    <x v="1"/>
    <n v="0"/>
    <n v="0"/>
    <n v="0"/>
    <n v="0"/>
    <n v="0"/>
    <n v="0"/>
    <n v="101.48248100000001"/>
    <n v="0"/>
    <n v="0"/>
    <x v="0"/>
    <n v="15268657582.66"/>
    <x v="10"/>
    <x v="0"/>
    <n v="1"/>
    <n v="1"/>
    <n v="2"/>
    <x v="0"/>
  </r>
  <r>
    <x v="6"/>
    <x v="5"/>
    <x v="12"/>
    <x v="0"/>
    <n v="0"/>
    <n v="0"/>
    <n v="0"/>
    <n v="0"/>
    <n v="0"/>
    <n v="0"/>
    <n v="90.302875"/>
    <n v="0"/>
    <n v="0"/>
    <x v="0"/>
    <n v="4231508416.6700001"/>
    <x v="11"/>
    <x v="0"/>
    <n v="1"/>
    <n v="1"/>
    <n v="2"/>
    <x v="0"/>
  </r>
  <r>
    <x v="6"/>
    <x v="5"/>
    <x v="13"/>
    <x v="1"/>
    <n v="0"/>
    <n v="0"/>
    <n v="0"/>
    <n v="0"/>
    <n v="0"/>
    <n v="0"/>
    <n v="6.9274959999999997"/>
    <n v="0"/>
    <n v="0"/>
    <x v="0"/>
    <n v="415179361.94999999"/>
    <x v="12"/>
    <x v="0"/>
    <n v="1"/>
    <n v="1"/>
    <n v="2"/>
    <x v="0"/>
  </r>
  <r>
    <x v="6"/>
    <x v="6"/>
    <x v="14"/>
    <x v="1"/>
    <n v="0"/>
    <n v="0"/>
    <n v="0"/>
    <n v="0"/>
    <n v="0"/>
    <n v="0"/>
    <n v="256.07352400000002"/>
    <n v="0"/>
    <n v="0"/>
    <x v="0"/>
    <n v="25454891426"/>
    <x v="13"/>
    <x v="0"/>
    <n v="1"/>
    <n v="1"/>
    <n v="2"/>
    <x v="0"/>
  </r>
  <r>
    <x v="6"/>
    <x v="6"/>
    <x v="15"/>
    <x v="1"/>
    <n v="0"/>
    <n v="0"/>
    <n v="0"/>
    <n v="0"/>
    <n v="0"/>
    <n v="0"/>
    <n v="283.11787299999997"/>
    <n v="0"/>
    <n v="0"/>
    <x v="0"/>
    <n v="25454891426"/>
    <x v="14"/>
    <x v="0"/>
    <n v="1"/>
    <n v="1"/>
    <n v="2"/>
    <x v="0"/>
  </r>
  <r>
    <x v="6"/>
    <x v="6"/>
    <x v="16"/>
    <x v="1"/>
    <n v="0"/>
    <n v="0"/>
    <n v="0"/>
    <n v="0"/>
    <n v="0"/>
    <n v="0"/>
    <n v="297.74690399999997"/>
    <n v="0"/>
    <n v="0"/>
    <x v="0"/>
    <n v="25454891426"/>
    <x v="15"/>
    <x v="0"/>
    <n v="1"/>
    <n v="1"/>
    <n v="2"/>
    <x v="0"/>
  </r>
  <r>
    <x v="6"/>
    <x v="6"/>
    <x v="17"/>
    <x v="1"/>
    <n v="0"/>
    <n v="0"/>
    <n v="0"/>
    <n v="0"/>
    <n v="0"/>
    <n v="0"/>
    <n v="68.198673999999997"/>
    <n v="0"/>
    <n v="0"/>
    <x v="0"/>
    <n v="26527515773"/>
    <x v="16"/>
    <x v="0"/>
    <n v="1"/>
    <n v="1"/>
    <n v="2"/>
    <x v="0"/>
  </r>
  <r>
    <x v="6"/>
    <x v="6"/>
    <x v="18"/>
    <x v="0"/>
    <n v="0"/>
    <n v="0"/>
    <n v="0"/>
    <n v="0"/>
    <n v="0"/>
    <n v="0"/>
    <n v="40.556916000000001"/>
    <n v="0"/>
    <n v="0"/>
    <x v="0"/>
    <n v="9536957677"/>
    <x v="17"/>
    <x v="0"/>
    <n v="1"/>
    <n v="1"/>
    <n v="2"/>
    <x v="0"/>
  </r>
  <r>
    <x v="6"/>
    <x v="6"/>
    <x v="19"/>
    <x v="0"/>
    <n v="0"/>
    <n v="0"/>
    <n v="0"/>
    <n v="0"/>
    <n v="0"/>
    <n v="0"/>
    <n v="47.179119999999998"/>
    <n v="0"/>
    <n v="0"/>
    <x v="0"/>
    <n v="9536957677"/>
    <x v="18"/>
    <x v="0"/>
    <n v="1"/>
    <n v="1"/>
    <n v="2"/>
    <x v="0"/>
  </r>
  <r>
    <x v="6"/>
    <x v="7"/>
    <x v="20"/>
    <x v="1"/>
    <n v="0"/>
    <n v="0"/>
    <n v="0"/>
    <n v="0"/>
    <n v="0"/>
    <n v="0"/>
    <n v="20.323364999999999"/>
    <n v="0"/>
    <n v="0"/>
    <x v="0"/>
    <n v="5558283453.2200003"/>
    <x v="19"/>
    <x v="0"/>
    <n v="1"/>
    <n v="1"/>
    <n v="2"/>
    <x v="0"/>
  </r>
  <r>
    <x v="6"/>
    <x v="7"/>
    <x v="21"/>
    <x v="0"/>
    <n v="0"/>
    <n v="0"/>
    <n v="0"/>
    <n v="0"/>
    <n v="0"/>
    <n v="0"/>
    <n v="114.96623"/>
    <n v="0"/>
    <n v="0"/>
    <x v="0"/>
    <n v="4289905534.3099999"/>
    <x v="20"/>
    <x v="0"/>
    <n v="1"/>
    <n v="1"/>
    <n v="2"/>
    <x v="0"/>
  </r>
  <r>
    <x v="6"/>
    <x v="8"/>
    <x v="22"/>
    <x v="0"/>
    <n v="0"/>
    <n v="0"/>
    <n v="0"/>
    <n v="0"/>
    <n v="0"/>
    <n v="0"/>
    <n v="48.448925000000003"/>
    <n v="0"/>
    <n v="0"/>
    <x v="0"/>
    <n v="2107469999.9999998"/>
    <x v="21"/>
    <x v="0"/>
    <n v="1"/>
    <n v="1"/>
    <n v="2"/>
    <x v="0"/>
  </r>
  <r>
    <x v="6"/>
    <x v="8"/>
    <x v="23"/>
    <x v="0"/>
    <n v="0"/>
    <n v="0"/>
    <n v="0"/>
    <n v="0"/>
    <n v="0"/>
    <n v="0"/>
    <n v="53.327151000000001"/>
    <n v="0"/>
    <n v="0"/>
    <x v="0"/>
    <n v="2107469999.9999998"/>
    <x v="22"/>
    <x v="0"/>
    <n v="1"/>
    <n v="1"/>
    <n v="2"/>
    <x v="0"/>
  </r>
  <r>
    <x v="6"/>
    <x v="8"/>
    <x v="24"/>
    <x v="1"/>
    <n v="0"/>
    <n v="0"/>
    <n v="0"/>
    <n v="0"/>
    <n v="0"/>
    <n v="0"/>
    <n v="115.184451"/>
    <n v="0"/>
    <n v="0"/>
    <x v="0"/>
    <n v="8673260000"/>
    <x v="23"/>
    <x v="0"/>
    <n v="1"/>
    <n v="1"/>
    <n v="2"/>
    <x v="0"/>
  </r>
  <r>
    <x v="6"/>
    <x v="8"/>
    <x v="25"/>
    <x v="1"/>
    <n v="0"/>
    <n v="0"/>
    <n v="0"/>
    <n v="0"/>
    <n v="0"/>
    <n v="0"/>
    <n v="133.25773699999999"/>
    <n v="0"/>
    <n v="0"/>
    <x v="0"/>
    <n v="8673260000"/>
    <x v="24"/>
    <x v="0"/>
    <n v="1"/>
    <n v="1"/>
    <n v="2"/>
    <x v="0"/>
  </r>
  <r>
    <x v="6"/>
    <x v="9"/>
    <x v="26"/>
    <x v="0"/>
    <n v="0"/>
    <n v="0"/>
    <n v="0"/>
    <n v="0"/>
    <n v="0"/>
    <n v="0"/>
    <n v="23.465851000000001"/>
    <n v="0"/>
    <n v="0"/>
    <x v="0"/>
    <n v="652691913"/>
    <x v="25"/>
    <x v="0"/>
    <n v="1"/>
    <n v="1"/>
    <n v="2"/>
    <x v="0"/>
  </r>
  <r>
    <x v="6"/>
    <x v="9"/>
    <x v="27"/>
    <x v="1"/>
    <n v="0"/>
    <n v="0"/>
    <n v="0"/>
    <n v="0"/>
    <n v="0"/>
    <n v="0"/>
    <n v="85.728483999999995"/>
    <n v="0"/>
    <n v="0"/>
    <x v="0"/>
    <n v="2006490136"/>
    <x v="26"/>
    <x v="0"/>
    <n v="1"/>
    <n v="1"/>
    <n v="2"/>
    <x v="0"/>
  </r>
  <r>
    <x v="6"/>
    <x v="10"/>
    <x v="28"/>
    <x v="1"/>
    <n v="0"/>
    <n v="0"/>
    <n v="0"/>
    <n v="0"/>
    <n v="0"/>
    <n v="0"/>
    <n v="109.008824"/>
    <n v="0"/>
    <n v="0"/>
    <x v="0"/>
    <n v="10383624192"/>
    <x v="27"/>
    <x v="0"/>
    <n v="1"/>
    <n v="1"/>
    <n v="2"/>
    <x v="0"/>
  </r>
  <r>
    <x v="6"/>
    <x v="10"/>
    <x v="29"/>
    <x v="0"/>
    <n v="0"/>
    <n v="0"/>
    <n v="0"/>
    <n v="0"/>
    <n v="0"/>
    <n v="0"/>
    <n v="109.84371"/>
    <n v="0"/>
    <n v="0"/>
    <x v="0"/>
    <n v="4530803420"/>
    <x v="28"/>
    <x v="0"/>
    <n v="1"/>
    <n v="1"/>
    <n v="2"/>
    <x v="0"/>
  </r>
  <r>
    <x v="6"/>
    <x v="11"/>
    <x v="30"/>
    <x v="0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2"/>
    <x v="31"/>
    <x v="0"/>
    <n v="0"/>
    <n v="0"/>
    <n v="0"/>
    <n v="0"/>
    <n v="0"/>
    <n v="0"/>
    <n v="4.2629720000000004"/>
    <n v="0"/>
    <n v="0"/>
    <x v="0"/>
    <n v="9591427.7400000002"/>
    <x v="30"/>
    <x v="0"/>
    <n v="1"/>
    <n v="1"/>
    <n v="2"/>
    <x v="0"/>
  </r>
  <r>
    <x v="6"/>
    <x v="12"/>
    <x v="32"/>
    <x v="1"/>
    <n v="0"/>
    <n v="0"/>
    <n v="0"/>
    <n v="0"/>
    <n v="0"/>
    <n v="0"/>
    <n v="15.474659000000001"/>
    <n v="0"/>
    <n v="0"/>
    <x v="0"/>
    <n v="5034893543.9799995"/>
    <x v="31"/>
    <x v="0"/>
    <n v="1"/>
    <n v="1"/>
    <n v="2"/>
    <x v="0"/>
  </r>
  <r>
    <x v="6"/>
    <x v="12"/>
    <x v="33"/>
    <x v="1"/>
    <n v="0"/>
    <n v="0"/>
    <n v="0"/>
    <n v="0"/>
    <n v="0"/>
    <n v="0"/>
    <n v="11.998374999999999"/>
    <n v="0"/>
    <n v="0"/>
    <x v="0"/>
    <n v="11465050695.200001"/>
    <x v="32"/>
    <x v="0"/>
    <n v="1"/>
    <n v="1"/>
    <n v="2"/>
    <x v="0"/>
  </r>
  <r>
    <x v="6"/>
    <x v="13"/>
    <x v="34"/>
    <x v="0"/>
    <n v="0"/>
    <n v="0"/>
    <n v="0"/>
    <n v="0"/>
    <n v="0"/>
    <n v="0"/>
    <n v="46.853228000000001"/>
    <n v="0"/>
    <n v="0"/>
    <x v="0"/>
    <n v="1752057008.8599999"/>
    <x v="33"/>
    <x v="0"/>
    <n v="1"/>
    <n v="1"/>
    <n v="2"/>
    <x v="0"/>
  </r>
  <r>
    <x v="6"/>
    <x v="13"/>
    <x v="35"/>
    <x v="1"/>
    <n v="0"/>
    <n v="0"/>
    <n v="0"/>
    <n v="0"/>
    <n v="0"/>
    <n v="0"/>
    <n v="122.301312"/>
    <n v="0"/>
    <n v="0"/>
    <x v="0"/>
    <n v="15968105687.34"/>
    <x v="34"/>
    <x v="0"/>
    <n v="1"/>
    <n v="1"/>
    <n v="2"/>
    <x v="0"/>
  </r>
  <r>
    <x v="6"/>
    <x v="13"/>
    <x v="36"/>
    <x v="2"/>
    <n v="0"/>
    <n v="0"/>
    <n v="0"/>
    <n v="0"/>
    <n v="0"/>
    <n v="0"/>
    <e v="#N/A"/>
    <e v="#N/A"/>
    <e v="#N/A"/>
    <x v="0"/>
    <e v="#N/A"/>
    <x v="29"/>
    <x v="1"/>
    <e v="#N/A"/>
    <e v="#N/A"/>
    <e v="#N/A"/>
    <x v="2"/>
  </r>
  <r>
    <x v="6"/>
    <x v="14"/>
    <x v="37"/>
    <x v="0"/>
    <n v="0"/>
    <n v="0"/>
    <n v="0"/>
    <n v="0"/>
    <n v="0"/>
    <n v="0"/>
    <n v="84.930115000000001"/>
    <n v="0"/>
    <n v="0"/>
    <x v="0"/>
    <n v="2294506221"/>
    <x v="35"/>
    <x v="0"/>
    <n v="1"/>
    <n v="1"/>
    <n v="2"/>
    <x v="0"/>
  </r>
  <r>
    <x v="6"/>
    <x v="14"/>
    <x v="38"/>
    <x v="1"/>
    <n v="0"/>
    <n v="0"/>
    <n v="0"/>
    <n v="0"/>
    <n v="0"/>
    <n v="0"/>
    <n v="361.33525800000001"/>
    <n v="0"/>
    <n v="0"/>
    <x v="0"/>
    <n v="8324714840"/>
    <x v="36"/>
    <x v="0"/>
    <n v="1"/>
    <n v="1"/>
    <n v="2"/>
    <x v="0"/>
  </r>
  <r>
    <x v="6"/>
    <x v="14"/>
    <x v="39"/>
    <x v="1"/>
    <n v="0"/>
    <n v="0"/>
    <n v="0"/>
    <n v="0"/>
    <n v="0"/>
    <n v="0"/>
    <n v="94.028818999999999"/>
    <n v="0"/>
    <n v="0"/>
    <x v="0"/>
    <n v="2635564025"/>
    <x v="37"/>
    <x v="0"/>
    <n v="1"/>
    <n v="1"/>
    <n v="2"/>
    <x v="0"/>
  </r>
  <r>
    <x v="6"/>
    <x v="15"/>
    <x v="40"/>
    <x v="1"/>
    <n v="0"/>
    <n v="0"/>
    <n v="0"/>
    <n v="0"/>
    <n v="0"/>
    <n v="0"/>
    <n v="39.005795999999997"/>
    <n v="0"/>
    <n v="0"/>
    <x v="0"/>
    <n v="240000000"/>
    <x v="38"/>
    <x v="0"/>
    <n v="1"/>
    <n v="1"/>
    <n v="2"/>
    <x v="0"/>
  </r>
  <r>
    <x v="6"/>
    <x v="15"/>
    <x v="41"/>
    <x v="0"/>
    <n v="0"/>
    <n v="0"/>
    <n v="0"/>
    <n v="0"/>
    <n v="0"/>
    <n v="0"/>
    <n v="25.086724"/>
    <n v="0"/>
    <n v="0"/>
    <x v="0"/>
    <n v="360000000"/>
    <x v="39"/>
    <x v="0"/>
    <n v="1"/>
    <n v="1"/>
    <n v="2"/>
    <x v="0"/>
  </r>
  <r>
    <x v="6"/>
    <x v="4"/>
    <x v="55"/>
    <x v="1"/>
    <n v="0"/>
    <n v="0"/>
    <n v="0"/>
    <n v="0"/>
    <n v="0"/>
    <n v="0"/>
    <n v="27.371027999999999"/>
    <n v="0"/>
    <n v="0"/>
    <x v="0"/>
    <n v="601998365.54999995"/>
    <x v="44"/>
    <x v="0"/>
    <n v="1"/>
    <n v="1"/>
    <n v="2"/>
    <x v="0"/>
  </r>
  <r>
    <x v="6"/>
    <x v="17"/>
    <x v="44"/>
    <x v="0"/>
    <n v="0"/>
    <n v="0"/>
    <n v="0"/>
    <n v="0"/>
    <n v="0"/>
    <n v="0"/>
    <n v="10.982521999999999"/>
    <n v="0"/>
    <n v="0"/>
    <x v="0"/>
    <n v="3553303148"/>
    <x v="40"/>
    <x v="0"/>
    <n v="1"/>
    <n v="1"/>
    <n v="2"/>
    <x v="0"/>
  </r>
  <r>
    <x v="6"/>
    <x v="17"/>
    <x v="45"/>
    <x v="0"/>
    <n v="0"/>
    <n v="0"/>
    <n v="0"/>
    <n v="0"/>
    <n v="0"/>
    <n v="0"/>
    <n v="321.06502599999999"/>
    <n v="0"/>
    <n v="0"/>
    <x v="0"/>
    <n v="4553606100"/>
    <x v="41"/>
    <x v="0"/>
    <n v="1"/>
    <n v="1"/>
    <n v="2"/>
    <x v="0"/>
  </r>
  <r>
    <x v="6"/>
    <x v="17"/>
    <x v="46"/>
    <x v="1"/>
    <n v="0"/>
    <n v="0"/>
    <n v="0"/>
    <n v="0"/>
    <n v="0"/>
    <n v="0"/>
    <n v="70.229930999999993"/>
    <n v="0"/>
    <n v="0"/>
    <x v="0"/>
    <n v="35515968834"/>
    <x v="42"/>
    <x v="0"/>
    <n v="1"/>
    <n v="1"/>
    <n v="2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8">
  <r>
    <d v="2025-12-07T00:00:00"/>
    <x v="0"/>
    <x v="0"/>
    <s v="RESCATE"/>
    <x v="0"/>
    <n v="704144264.25"/>
    <x v="0"/>
    <x v="0"/>
    <x v="0"/>
    <m/>
    <m/>
    <x v="0"/>
    <n v="-704144264.25"/>
  </r>
  <r>
    <d v="2025-12-30T00:00:00"/>
    <x v="1"/>
    <x v="0"/>
    <s v="SUSCRIPCION"/>
    <x v="1"/>
    <n v="811951650"/>
    <x v="1"/>
    <x v="0"/>
    <x v="0"/>
    <m/>
    <m/>
    <x v="0"/>
    <n v="811951650"/>
  </r>
  <r>
    <d v="2025-12-30T00:00:00"/>
    <x v="2"/>
    <x v="0"/>
    <s v="SUSCRIPCION"/>
    <x v="1"/>
    <n v="47603200"/>
    <x v="1"/>
    <x v="0"/>
    <x v="0"/>
    <m/>
    <m/>
    <x v="0"/>
    <n v="47603200"/>
  </r>
  <r>
    <d v="2025-12-30T00:00:00"/>
    <x v="2"/>
    <x v="0"/>
    <s v="RESCATE"/>
    <x v="2"/>
    <n v="18151583.9400004"/>
    <x v="2"/>
    <x v="0"/>
    <x v="0"/>
    <m/>
    <m/>
    <x v="0"/>
    <n v="-18151583.940000001"/>
  </r>
  <r>
    <d v="2025-12-30T00:00:00"/>
    <x v="0"/>
    <x v="0"/>
    <s v="SUSCRIPCION"/>
    <x v="1"/>
    <n v="347900000"/>
    <x v="1"/>
    <x v="0"/>
    <x v="0"/>
    <m/>
    <m/>
    <x v="0"/>
    <n v="347900000"/>
  </r>
  <r>
    <d v="2025-12-30T00:00:00"/>
    <x v="0"/>
    <x v="0"/>
    <s v="SUSCRIPCION"/>
    <x v="2"/>
    <n v="1040459511.04"/>
    <x v="2"/>
    <x v="0"/>
    <x v="0"/>
    <m/>
    <m/>
    <x v="0"/>
    <n v="1040459511.04"/>
  </r>
  <r>
    <d v="2025-12-30T00:00:00"/>
    <x v="0"/>
    <x v="0"/>
    <s v="SUSCRIPCION"/>
    <x v="3"/>
    <n v="530908495.68000001"/>
    <x v="3"/>
    <x v="1"/>
    <x v="0"/>
    <m/>
    <m/>
    <x v="0"/>
    <n v="530908495.68000001"/>
  </r>
  <r>
    <d v="2025-12-30T00:00:00"/>
    <x v="0"/>
    <x v="0"/>
    <s v="SUSCRIPCION"/>
    <x v="4"/>
    <n v="268829488.17000002"/>
    <x v="3"/>
    <x v="0"/>
    <x v="0"/>
    <m/>
    <m/>
    <x v="0"/>
    <n v="268829488.17000002"/>
  </r>
  <r>
    <d v="2025-12-30T00:00:00"/>
    <x v="0"/>
    <x v="0"/>
    <s v="SUSCRIPCION"/>
    <x v="0"/>
    <n v="547981230.25"/>
    <x v="0"/>
    <x v="0"/>
    <x v="0"/>
    <m/>
    <m/>
    <x v="0"/>
    <n v="547981230.25"/>
  </r>
  <r>
    <d v="2025-12-30T00:00:00"/>
    <x v="0"/>
    <x v="0"/>
    <s v="SUSCRIPCION"/>
    <x v="5"/>
    <n v="345668515.70999998"/>
    <x v="4"/>
    <x v="0"/>
    <x v="0"/>
    <m/>
    <m/>
    <x v="0"/>
    <n v="345668515.70999998"/>
  </r>
  <r>
    <d v="2025-12-30T00:00:00"/>
    <x v="0"/>
    <x v="0"/>
    <s v="SUSCRIPCION"/>
    <x v="6"/>
    <n v="3298742491.2799997"/>
    <x v="5"/>
    <x v="0"/>
    <x v="0"/>
    <m/>
    <m/>
    <x v="0"/>
    <n v="3298742491.2800002"/>
  </r>
  <r>
    <d v="2025-12-30T00:00:00"/>
    <x v="3"/>
    <x v="1"/>
    <s v="SUSCRIPCION"/>
    <x v="7"/>
    <n v="2000000000"/>
    <x v="5"/>
    <x v="2"/>
    <x v="0"/>
    <s v="22/01/2026"/>
    <n v="29.75"/>
    <x v="1"/>
    <n v="2000000000"/>
  </r>
  <r>
    <d v="2025-12-30T00:00:00"/>
    <x v="3"/>
    <x v="2"/>
    <s v="SUSCRIPCION"/>
    <x v="8"/>
    <n v="769000"/>
    <x v="2"/>
    <x v="3"/>
    <x v="1"/>
    <s v="20/05/2026"/>
    <n v="8"/>
    <x v="2"/>
    <n v="769000"/>
  </r>
  <r>
    <d v="2025-12-30T00:00:00"/>
    <x v="3"/>
    <x v="0"/>
    <s v="SUSCRIPCION"/>
    <x v="9"/>
    <n v="349051286.69"/>
    <x v="6"/>
    <x v="0"/>
    <x v="0"/>
    <m/>
    <m/>
    <x v="0"/>
    <n v="349051286.69"/>
  </r>
  <r>
    <d v="2025-12-30T00:00:00"/>
    <x v="4"/>
    <x v="0"/>
    <s v="SUSCRIPCION"/>
    <x v="6"/>
    <n v="62377.73"/>
    <x v="5"/>
    <x v="0"/>
    <x v="0"/>
    <m/>
    <m/>
    <x v="0"/>
    <n v="62377.73"/>
  </r>
  <r>
    <d v="2025-12-30T00:00:00"/>
    <x v="3"/>
    <x v="0"/>
    <s v="SUSCRIPCION"/>
    <x v="10"/>
    <n v="32200938.93"/>
    <x v="7"/>
    <x v="0"/>
    <x v="0"/>
    <m/>
    <m/>
    <x v="0"/>
    <n v="32200938.93"/>
  </r>
  <r>
    <d v="2025-12-30T00:00:00"/>
    <x v="3"/>
    <x v="0"/>
    <s v="SUSCRIPCION"/>
    <x v="2"/>
    <n v="1621141113.9300001"/>
    <x v="2"/>
    <x v="0"/>
    <x v="0"/>
    <m/>
    <m/>
    <x v="0"/>
    <n v="1621141113.9300001"/>
  </r>
  <r>
    <d v="2025-12-30T00:00:00"/>
    <x v="3"/>
    <x v="0"/>
    <s v="SUSCRIPCION"/>
    <x v="0"/>
    <n v="313432231.31999999"/>
    <x v="0"/>
    <x v="0"/>
    <x v="0"/>
    <m/>
    <m/>
    <x v="0"/>
    <n v="313432231.31999999"/>
  </r>
  <r>
    <d v="2025-12-30T00:00:00"/>
    <x v="3"/>
    <x v="0"/>
    <s v="SUSCRIPCION"/>
    <x v="11"/>
    <n v="22884269"/>
    <x v="8"/>
    <x v="0"/>
    <x v="0"/>
    <m/>
    <m/>
    <x v="0"/>
    <n v="22884269"/>
  </r>
  <r>
    <d v="2025-12-30T00:00:00"/>
    <x v="3"/>
    <x v="0"/>
    <s v="SUSCRIPCION"/>
    <x v="12"/>
    <n v="10779798.560000001"/>
    <x v="9"/>
    <x v="0"/>
    <x v="0"/>
    <m/>
    <m/>
    <x v="0"/>
    <n v="10779798.560000001"/>
  </r>
  <r>
    <d v="2025-12-30T00:00:00"/>
    <x v="3"/>
    <x v="0"/>
    <s v="SUSCRIPCION"/>
    <x v="5"/>
    <n v="514387765.33999979"/>
    <x v="4"/>
    <x v="0"/>
    <x v="0"/>
    <m/>
    <m/>
    <x v="0"/>
    <n v="514387765.33999997"/>
  </r>
  <r>
    <d v="2025-12-30T00:00:00"/>
    <x v="3"/>
    <x v="0"/>
    <s v="SUSCRIPCION"/>
    <x v="13"/>
    <n v="6865289.3899999717"/>
    <x v="10"/>
    <x v="0"/>
    <x v="0"/>
    <m/>
    <m/>
    <x v="0"/>
    <n v="6865289.3899999997"/>
  </r>
  <r>
    <d v="2025-12-30T00:00:00"/>
    <x v="3"/>
    <x v="0"/>
    <s v="RESCATE"/>
    <x v="14"/>
    <n v="-41800384.18"/>
    <x v="11"/>
    <x v="0"/>
    <x v="0"/>
    <m/>
    <m/>
    <x v="0"/>
    <n v="41800384.18"/>
  </r>
  <r>
    <d v="2025-12-30T00:00:00"/>
    <x v="3"/>
    <x v="0"/>
    <s v="SUSCRIPCION"/>
    <x v="15"/>
    <n v="1008786229"/>
    <x v="12"/>
    <x v="0"/>
    <x v="0"/>
    <m/>
    <m/>
    <x v="0"/>
    <n v="1008786229"/>
  </r>
  <r>
    <d v="2025-12-30T00:00:00"/>
    <x v="3"/>
    <x v="0"/>
    <s v="SUSCRIPCION"/>
    <x v="6"/>
    <n v="6454536126.8999996"/>
    <x v="5"/>
    <x v="0"/>
    <x v="0"/>
    <m/>
    <m/>
    <x v="0"/>
    <n v="6454536126.8999996"/>
  </r>
  <r>
    <d v="2025-12-30T00:00:00"/>
    <x v="3"/>
    <x v="0"/>
    <s v="SUSCRIPCION"/>
    <x v="16"/>
    <n v="35422099.119999997"/>
    <x v="13"/>
    <x v="0"/>
    <x v="0"/>
    <m/>
    <m/>
    <x v="0"/>
    <n v="35422099.119999997"/>
  </r>
  <r>
    <d v="2025-12-30T00:00:00"/>
    <x v="3"/>
    <x v="0"/>
    <s v="SUSCRIPCION"/>
    <x v="17"/>
    <n v="1050404.6499999999"/>
    <x v="0"/>
    <x v="3"/>
    <x v="1"/>
    <m/>
    <m/>
    <x v="3"/>
    <n v="1050404.6499999999"/>
  </r>
  <r>
    <d v="2026-01-02T00:00:00"/>
    <x v="0"/>
    <x v="0"/>
    <s v="RESCATE"/>
    <x v="2"/>
    <n v="11014158.949999999"/>
    <x v="2"/>
    <x v="0"/>
    <x v="0"/>
    <m/>
    <m/>
    <x v="0"/>
    <n v="-11014158.949999999"/>
  </r>
  <r>
    <d v="2026-01-02T00:00:00"/>
    <x v="2"/>
    <x v="0"/>
    <s v="RESCATE"/>
    <x v="1"/>
    <n v="50000000"/>
    <x v="1"/>
    <x v="0"/>
    <x v="0"/>
    <m/>
    <m/>
    <x v="0"/>
    <n v="-50000000"/>
  </r>
  <r>
    <d v="2026-01-02T00:00:00"/>
    <x v="1"/>
    <x v="0"/>
    <s v="RESCATE"/>
    <x v="1"/>
    <n v="4700000"/>
    <x v="1"/>
    <x v="0"/>
    <x v="0"/>
    <m/>
    <m/>
    <x v="0"/>
    <n v="-4700000"/>
  </r>
  <r>
    <d v="2026-01-02T00:00:00"/>
    <x v="3"/>
    <x v="0"/>
    <s v="RESCATE"/>
    <x v="6"/>
    <n v="999400000"/>
    <x v="5"/>
    <x v="0"/>
    <x v="0"/>
    <m/>
    <m/>
    <x v="0"/>
    <n v="-999400000"/>
  </r>
  <r>
    <d v="2026-01-02T00:00:00"/>
    <x v="0"/>
    <x v="0"/>
    <s v="RESCATE"/>
    <x v="1"/>
    <n v="38600000"/>
    <x v="1"/>
    <x v="0"/>
    <x v="0"/>
    <m/>
    <m/>
    <x v="0"/>
    <n v="-38600000"/>
  </r>
  <r>
    <d v="2026-01-02T00:00:00"/>
    <x v="0"/>
    <x v="0"/>
    <s v="RESCATE"/>
    <x v="6"/>
    <n v="498742491.27999997"/>
    <x v="5"/>
    <x v="0"/>
    <x v="0"/>
    <m/>
    <m/>
    <x v="0"/>
    <n v="-498742491.27999997"/>
  </r>
  <r>
    <d v="2026-01-02T00:00:00"/>
    <x v="0"/>
    <x v="0"/>
    <s v="RESCATE"/>
    <x v="5"/>
    <n v="67061942.869999997"/>
    <x v="4"/>
    <x v="0"/>
    <x v="0"/>
    <m/>
    <m/>
    <x v="0"/>
    <n v="-67061942.869999997"/>
  </r>
  <r>
    <d v="2026-01-02T00:00:00"/>
    <x v="3"/>
    <x v="0"/>
    <s v="RESCATE"/>
    <x v="5"/>
    <n v="89201072.5"/>
    <x v="4"/>
    <x v="0"/>
    <x v="0"/>
    <m/>
    <m/>
    <x v="0"/>
    <n v="-89201072.5"/>
  </r>
  <r>
    <d v="2026-01-02T00:00:00"/>
    <x v="3"/>
    <x v="0"/>
    <s v="RESCATE"/>
    <x v="5"/>
    <n v="79218317.5"/>
    <x v="4"/>
    <x v="0"/>
    <x v="0"/>
    <m/>
    <m/>
    <x v="0"/>
    <n v="-79218317.5"/>
  </r>
  <r>
    <d v="2026-01-02T00:00:00"/>
    <x v="3"/>
    <x v="2"/>
    <s v="SUSCRIPCION"/>
    <x v="8"/>
    <n v="1300000"/>
    <x v="2"/>
    <x v="3"/>
    <x v="1"/>
    <d v="2026-06-10T00:00:00"/>
    <n v="5"/>
    <x v="4"/>
    <n v="1300000"/>
  </r>
  <r>
    <d v="2026-01-02T00:00:00"/>
    <x v="2"/>
    <x v="0"/>
    <s v="SUSCRIPCION"/>
    <x v="2"/>
    <n v="1853941082"/>
    <x v="2"/>
    <x v="0"/>
    <x v="0"/>
    <m/>
    <m/>
    <x v="0"/>
    <n v="1853941082"/>
  </r>
  <r>
    <d v="2026-01-02T00:00:00"/>
    <x v="3"/>
    <x v="0"/>
    <s v="SUSCRIPCION"/>
    <x v="2"/>
    <n v="35348713.07"/>
    <x v="2"/>
    <x v="0"/>
    <x v="0"/>
    <m/>
    <m/>
    <x v="0"/>
    <n v="35348713.07"/>
  </r>
  <r>
    <d v="2026-01-05T00:00:00"/>
    <x v="3"/>
    <x v="0"/>
    <s v="RESCATE"/>
    <x v="6"/>
    <n v="1000000000"/>
    <x v="5"/>
    <x v="0"/>
    <x v="0"/>
    <m/>
    <m/>
    <x v="0"/>
    <n v="-1000000000"/>
  </r>
  <r>
    <d v="2026-01-05T00:00:00"/>
    <x v="3"/>
    <x v="0"/>
    <s v="RESCATE"/>
    <x v="6"/>
    <n v="248200000"/>
    <x v="5"/>
    <x v="0"/>
    <x v="0"/>
    <m/>
    <m/>
    <x v="0"/>
    <n v="-248200000"/>
  </r>
  <r>
    <d v="2026-01-05T00:00:00"/>
    <x v="0"/>
    <x v="0"/>
    <s v="RESCATE"/>
    <x v="1"/>
    <n v="6500000"/>
    <x v="1"/>
    <x v="0"/>
    <x v="0"/>
    <m/>
    <m/>
    <x v="0"/>
    <n v="-6500000"/>
  </r>
  <r>
    <d v="2026-01-05T00:00:00"/>
    <x v="2"/>
    <x v="0"/>
    <s v="SUSCRIPCION"/>
    <x v="1"/>
    <n v="115100000"/>
    <x v="1"/>
    <x v="0"/>
    <x v="0"/>
    <m/>
    <m/>
    <x v="0"/>
    <n v="115100000"/>
  </r>
  <r>
    <d v="2026-01-05T00:00:00"/>
    <x v="0"/>
    <x v="0"/>
    <s v="RESCATE"/>
    <x v="2"/>
    <n v="1020000000"/>
    <x v="2"/>
    <x v="0"/>
    <x v="0"/>
    <m/>
    <m/>
    <x v="0"/>
    <n v="-1020000000"/>
  </r>
  <r>
    <d v="2026-01-05T00:00:00"/>
    <x v="3"/>
    <x v="0"/>
    <s v="SUSCRIPCION"/>
    <x v="2"/>
    <n v="1000000000"/>
    <x v="2"/>
    <x v="0"/>
    <x v="0"/>
    <m/>
    <m/>
    <x v="0"/>
    <n v="1000000000"/>
  </r>
  <r>
    <d v="2026-01-06T00:00:00"/>
    <x v="3"/>
    <x v="0"/>
    <s v="RESCATE"/>
    <x v="6"/>
    <n v="1000000000"/>
    <x v="5"/>
    <x v="0"/>
    <x v="0"/>
    <m/>
    <m/>
    <x v="0"/>
    <n v="-1000000000"/>
  </r>
  <r>
    <d v="2026-01-06T00:00:00"/>
    <x v="3"/>
    <x v="0"/>
    <s v="SUSCRIPCION"/>
    <x v="2"/>
    <n v="1000000000"/>
    <x v="2"/>
    <x v="0"/>
    <x v="0"/>
    <m/>
    <m/>
    <x v="0"/>
    <n v="1000000000"/>
  </r>
  <r>
    <d v="2026-01-06T00:00:00"/>
    <x v="3"/>
    <x v="0"/>
    <s v="RESCATE"/>
    <x v="5"/>
    <n v="127373018.62"/>
    <x v="4"/>
    <x v="0"/>
    <x v="0"/>
    <m/>
    <m/>
    <x v="0"/>
    <n v="-127373018.62"/>
  </r>
  <r>
    <d v="2026-01-06T00:00:00"/>
    <x v="3"/>
    <x v="0"/>
    <s v="RESCATE"/>
    <x v="5"/>
    <n v="164348663.56999999"/>
    <x v="4"/>
    <x v="0"/>
    <x v="0"/>
    <m/>
    <m/>
    <x v="0"/>
    <n v="-164348663.56999999"/>
  </r>
  <r>
    <d v="2026-01-06T00:00:00"/>
    <x v="3"/>
    <x v="0"/>
    <s v="RESCATE"/>
    <x v="15"/>
    <n v="184839974.12"/>
    <x v="12"/>
    <x v="0"/>
    <x v="0"/>
    <m/>
    <m/>
    <x v="0"/>
    <n v="-184839974.12"/>
  </r>
  <r>
    <d v="2026-01-06T00:00:00"/>
    <x v="3"/>
    <x v="0"/>
    <s v="RESCATE"/>
    <x v="15"/>
    <n v="161178895.16"/>
    <x v="12"/>
    <x v="0"/>
    <x v="0"/>
    <m/>
    <m/>
    <x v="0"/>
    <n v="-161178895.16"/>
  </r>
  <r>
    <d v="2026-01-06T00:00:00"/>
    <x v="3"/>
    <x v="0"/>
    <s v="RESCATE"/>
    <x v="0"/>
    <n v="83540319.450000003"/>
    <x v="0"/>
    <x v="0"/>
    <x v="0"/>
    <m/>
    <m/>
    <x v="0"/>
    <n v="-83540319.450000003"/>
  </r>
  <r>
    <d v="2026-01-06T00:00:00"/>
    <x v="3"/>
    <x v="0"/>
    <s v="RESCATE"/>
    <x v="6"/>
    <n v="124100000"/>
    <x v="5"/>
    <x v="0"/>
    <x v="0"/>
    <m/>
    <m/>
    <x v="0"/>
    <n v="-124100000"/>
  </r>
  <r>
    <d v="2026-01-06T00:00:00"/>
    <x v="0"/>
    <x v="0"/>
    <s v="SUSCRIPCION"/>
    <x v="1"/>
    <n v="8300000"/>
    <x v="1"/>
    <x v="0"/>
    <x v="0"/>
    <m/>
    <m/>
    <x v="0"/>
    <n v="8300000"/>
  </r>
  <r>
    <d v="2026-01-06T00:00:00"/>
    <x v="2"/>
    <x v="0"/>
    <s v="SUSCRIPCION"/>
    <x v="1"/>
    <n v="1629000000"/>
    <x v="1"/>
    <x v="0"/>
    <x v="0"/>
    <m/>
    <m/>
    <x v="0"/>
    <n v="1629000000"/>
  </r>
  <r>
    <d v="2026-01-06T00:00:00"/>
    <x v="1"/>
    <x v="0"/>
    <s v="RESCATE"/>
    <x v="1"/>
    <n v="11300000"/>
    <x v="1"/>
    <x v="0"/>
    <x v="0"/>
    <m/>
    <m/>
    <x v="0"/>
    <n v="-11300000"/>
  </r>
  <r>
    <d v="2026-01-06T00:00:00"/>
    <x v="2"/>
    <x v="0"/>
    <s v="RESCATE"/>
    <x v="2"/>
    <n v="1854189498.0599999"/>
    <x v="2"/>
    <x v="0"/>
    <x v="0"/>
    <m/>
    <m/>
    <x v="0"/>
    <n v="-1854189498.0599999"/>
  </r>
  <r>
    <d v="2026-01-06T00:00:00"/>
    <x v="2"/>
    <x v="0"/>
    <s v="SUSCRIPCION"/>
    <x v="2"/>
    <n v="987541739.46000004"/>
    <x v="2"/>
    <x v="0"/>
    <x v="0"/>
    <m/>
    <m/>
    <x v="0"/>
    <n v="987541739.46000004"/>
  </r>
  <r>
    <d v="2026-01-06T00:00:00"/>
    <x v="3"/>
    <x v="2"/>
    <s v="SUSCRIPCION"/>
    <x v="8"/>
    <n v="700000"/>
    <x v="2"/>
    <x v="3"/>
    <x v="1"/>
    <d v="2026-11-04T00:00:00"/>
    <n v="5"/>
    <x v="5"/>
    <n v="700000"/>
  </r>
  <r>
    <d v="2026-01-06T00:00:00"/>
    <x v="3"/>
    <x v="2"/>
    <s v="SUSCRIPCION"/>
    <x v="18"/>
    <n v="600000"/>
    <x v="2"/>
    <x v="3"/>
    <x v="1"/>
    <s v="24/06/2026"/>
    <n v="5"/>
    <x v="6"/>
    <n v="600000"/>
  </r>
  <r>
    <d v="2026-01-07T00:00:00"/>
    <x v="0"/>
    <x v="0"/>
    <s v="RESCATE"/>
    <x v="1"/>
    <n v="127100000"/>
    <x v="1"/>
    <x v="0"/>
    <x v="0"/>
    <m/>
    <m/>
    <x v="0"/>
    <n v="-127100000"/>
  </r>
  <r>
    <d v="2026-01-07T00:00:00"/>
    <x v="2"/>
    <x v="0"/>
    <s v="SUSCRIPCION"/>
    <x v="1"/>
    <n v="214500000"/>
    <x v="1"/>
    <x v="0"/>
    <x v="0"/>
    <m/>
    <m/>
    <x v="0"/>
    <n v="214500000"/>
  </r>
  <r>
    <d v="2026-01-07T00:00:00"/>
    <x v="3"/>
    <x v="0"/>
    <s v="RESCATE"/>
    <x v="6"/>
    <n v="346700000"/>
    <x v="5"/>
    <x v="0"/>
    <x v="0"/>
    <m/>
    <m/>
    <x v="0"/>
    <n v="-346700000"/>
  </r>
  <r>
    <d v="2026-01-07T00:00:00"/>
    <x v="2"/>
    <x v="0"/>
    <s v="RESCATE"/>
    <x v="2"/>
    <n v="300000000"/>
    <x v="2"/>
    <x v="0"/>
    <x v="0"/>
    <m/>
    <m/>
    <x v="0"/>
    <n v="-300000000"/>
  </r>
  <r>
    <d v="2026-01-07T00:00:00"/>
    <x v="0"/>
    <x v="0"/>
    <s v="SUSCRIPCION"/>
    <x v="2"/>
    <n v="862287908.55999994"/>
    <x v="2"/>
    <x v="0"/>
    <x v="0"/>
    <m/>
    <m/>
    <x v="0"/>
    <n v="862287908.55999994"/>
  </r>
  <r>
    <d v="2026-01-07T00:00:00"/>
    <x v="3"/>
    <x v="0"/>
    <s v="RESCATE"/>
    <x v="2"/>
    <n v="1853397369.52"/>
    <x v="2"/>
    <x v="0"/>
    <x v="0"/>
    <m/>
    <m/>
    <x v="0"/>
    <n v="-1853397369.52"/>
  </r>
  <r>
    <d v="2026-01-08T00:00:00"/>
    <x v="3"/>
    <x v="0"/>
    <s v="RESCATE"/>
    <x v="6"/>
    <n v="181800000"/>
    <x v="5"/>
    <x v="0"/>
    <x v="0"/>
    <m/>
    <m/>
    <x v="0"/>
    <n v="-181800000"/>
  </r>
  <r>
    <d v="2026-01-08T00:00:00"/>
    <x v="0"/>
    <x v="0"/>
    <s v="SUSCRIPCION"/>
    <x v="1"/>
    <n v="7300000"/>
    <x v="1"/>
    <x v="0"/>
    <x v="0"/>
    <m/>
    <m/>
    <x v="0"/>
    <n v="7300000"/>
  </r>
  <r>
    <d v="2026-01-08T00:00:00"/>
    <x v="2"/>
    <x v="0"/>
    <s v="SUSCRIPCION"/>
    <x v="1"/>
    <n v="46800000"/>
    <x v="1"/>
    <x v="0"/>
    <x v="0"/>
    <m/>
    <m/>
    <x v="0"/>
    <n v="46800000"/>
  </r>
  <r>
    <d v="2026-01-08T00:00:00"/>
    <x v="2"/>
    <x v="0"/>
    <s v="RESCATE"/>
    <x v="1"/>
    <n v="1660000000"/>
    <x v="1"/>
    <x v="0"/>
    <x v="0"/>
    <m/>
    <m/>
    <x v="0"/>
    <n v="-1660000000"/>
  </r>
  <r>
    <d v="2026-01-08T00:00:00"/>
    <x v="2"/>
    <x v="0"/>
    <s v="SUSCRIPCION"/>
    <x v="2"/>
    <n v="1323681118"/>
    <x v="2"/>
    <x v="0"/>
    <x v="0"/>
    <m/>
    <m/>
    <x v="0"/>
    <n v="1323681118"/>
  </r>
  <r>
    <d v="2026-01-08T00:00:00"/>
    <x v="3"/>
    <x v="2"/>
    <s v="SUSCRIPCION"/>
    <x v="8"/>
    <n v="900000"/>
    <x v="2"/>
    <x v="3"/>
    <x v="1"/>
    <s v="18/11/2026"/>
    <n v="0.05"/>
    <x v="7"/>
    <n v="900000"/>
  </r>
  <r>
    <d v="2026-01-08T00:00:00"/>
    <x v="3"/>
    <x v="0"/>
    <s v="RESCATE"/>
    <x v="2"/>
    <n v="1323681118"/>
    <x v="2"/>
    <x v="0"/>
    <x v="0"/>
    <m/>
    <m/>
    <x v="0"/>
    <n v="-1323681118"/>
  </r>
  <r>
    <d v="2026-01-08T00:00:00"/>
    <x v="2"/>
    <x v="0"/>
    <s v="RESCATE"/>
    <x v="2"/>
    <n v="61173854"/>
    <x v="2"/>
    <x v="0"/>
    <x v="0"/>
    <m/>
    <m/>
    <x v="0"/>
    <n v="-61173854"/>
  </r>
  <r>
    <d v="2026-01-08T00:00:00"/>
    <x v="3"/>
    <x v="0"/>
    <s v="RESCATE"/>
    <x v="0"/>
    <n v="137412617.91999999"/>
    <x v="0"/>
    <x v="0"/>
    <x v="0"/>
    <m/>
    <m/>
    <x v="0"/>
    <n v="-137412617.91999999"/>
  </r>
  <r>
    <d v="2026-01-08T00:00:00"/>
    <x v="0"/>
    <x v="0"/>
    <s v="RESCATE"/>
    <x v="0"/>
    <n v="75732240.549999997"/>
    <x v="0"/>
    <x v="0"/>
    <x v="0"/>
    <m/>
    <m/>
    <x v="0"/>
    <n v="-75732240.549999997"/>
  </r>
  <r>
    <d v="2026-01-08T00:00:00"/>
    <x v="0"/>
    <x v="0"/>
    <s v="RESCATE"/>
    <x v="0"/>
    <n v="83415452.920000002"/>
    <x v="0"/>
    <x v="0"/>
    <x v="0"/>
    <m/>
    <m/>
    <x v="0"/>
    <n v="-83415452.920000002"/>
  </r>
  <r>
    <d v="2026-01-09T00:00:00"/>
    <x v="2"/>
    <x v="0"/>
    <s v="RESCATE"/>
    <x v="1"/>
    <n v="183500000"/>
    <x v="1"/>
    <x v="0"/>
    <x v="0"/>
    <m/>
    <m/>
    <x v="0"/>
    <n v="-183500000"/>
  </r>
  <r>
    <d v="2026-01-09T00:00:00"/>
    <x v="0"/>
    <x v="0"/>
    <s v="RESCATE"/>
    <x v="1"/>
    <n v="32200000"/>
    <x v="1"/>
    <x v="0"/>
    <x v="0"/>
    <m/>
    <m/>
    <x v="0"/>
    <n v="-32200000"/>
  </r>
  <r>
    <d v="2026-01-09T00:00:00"/>
    <x v="3"/>
    <x v="0"/>
    <s v="RESCATE"/>
    <x v="6"/>
    <n v="1488600000"/>
    <x v="5"/>
    <x v="0"/>
    <x v="0"/>
    <m/>
    <m/>
    <x v="0"/>
    <n v="-1488600000"/>
  </r>
  <r>
    <d v="2026-01-09T00:00:00"/>
    <x v="3"/>
    <x v="0"/>
    <s v="SUSCRIPCION"/>
    <x v="12"/>
    <n v="500000000"/>
    <x v="9"/>
    <x v="0"/>
    <x v="0"/>
    <m/>
    <m/>
    <x v="0"/>
    <n v="500000000"/>
  </r>
  <r>
    <d v="2026-01-09T00:00:00"/>
    <x v="2"/>
    <x v="0"/>
    <s v="RESCATE"/>
    <x v="2"/>
    <n v="500000000"/>
    <x v="2"/>
    <x v="0"/>
    <x v="0"/>
    <m/>
    <m/>
    <x v="0"/>
    <n v="-500000000"/>
  </r>
  <r>
    <d v="2026-01-09T00:00:00"/>
    <x v="0"/>
    <x v="0"/>
    <s v="RESCATE"/>
    <x v="2"/>
    <n v="100000000"/>
    <x v="2"/>
    <x v="0"/>
    <x v="0"/>
    <m/>
    <m/>
    <x v="0"/>
    <n v="-100000000"/>
  </r>
  <r>
    <d v="2026-01-09T00:00:00"/>
    <x v="0"/>
    <x v="0"/>
    <s v="RESCATE"/>
    <x v="0"/>
    <n v="300000000"/>
    <x v="0"/>
    <x v="0"/>
    <x v="0"/>
    <m/>
    <m/>
    <x v="0"/>
    <n v="-300000000"/>
  </r>
  <r>
    <d v="2026-01-09T00:00:00"/>
    <x v="0"/>
    <x v="0"/>
    <s v="RESCATE"/>
    <x v="0"/>
    <n v="37769603.630000003"/>
    <x v="0"/>
    <x v="0"/>
    <x v="0"/>
    <m/>
    <m/>
    <x v="0"/>
    <n v="-37769603.630000003"/>
  </r>
  <r>
    <d v="2026-01-09T00:00:00"/>
    <x v="0"/>
    <x v="0"/>
    <s v="RESCATE"/>
    <x v="2"/>
    <n v="56200759.789999999"/>
    <x v="2"/>
    <x v="0"/>
    <x v="0"/>
    <m/>
    <m/>
    <x v="0"/>
    <n v="-56200759.789999999"/>
  </r>
  <r>
    <d v="2026-01-09T00:00:00"/>
    <x v="0"/>
    <x v="0"/>
    <s v="RESCATE"/>
    <x v="2"/>
    <n v="485703782.20999998"/>
    <x v="2"/>
    <x v="0"/>
    <x v="0"/>
    <m/>
    <m/>
    <x v="0"/>
    <n v="-485703782.20999998"/>
  </r>
  <r>
    <d v="2026-01-09T00:00:00"/>
    <x v="0"/>
    <x v="0"/>
    <s v="SUSCRIPCION"/>
    <x v="4"/>
    <n v="30000000"/>
    <x v="3"/>
    <x v="0"/>
    <x v="0"/>
    <m/>
    <m/>
    <x v="0"/>
    <n v="30000000"/>
  </r>
  <r>
    <d v="2026-01-12T00:00:00"/>
    <x v="0"/>
    <x v="0"/>
    <s v="SUSCRIPCION"/>
    <x v="2"/>
    <n v="7652694"/>
    <x v="2"/>
    <x v="0"/>
    <x v="0"/>
    <m/>
    <m/>
    <x v="0"/>
    <n v="7652694"/>
  </r>
  <r>
    <d v="2026-01-12T00:00:00"/>
    <x v="0"/>
    <x v="0"/>
    <s v="SUSCRIPCION"/>
    <x v="0"/>
    <n v="5327548.7"/>
    <x v="0"/>
    <x v="0"/>
    <x v="0"/>
    <m/>
    <m/>
    <x v="0"/>
    <n v="5327548.7"/>
  </r>
  <r>
    <d v="2026-01-12T00:00:00"/>
    <x v="0"/>
    <x v="0"/>
    <s v="SUSCRIPCION"/>
    <x v="4"/>
    <n v="9404989"/>
    <x v="3"/>
    <x v="0"/>
    <x v="0"/>
    <m/>
    <m/>
    <x v="0"/>
    <n v="9404989"/>
  </r>
  <r>
    <d v="2026-01-12T00:00:00"/>
    <x v="2"/>
    <x v="0"/>
    <s v="RESCATE"/>
    <x v="2"/>
    <n v="57782885.020000003"/>
    <x v="2"/>
    <x v="0"/>
    <x v="0"/>
    <m/>
    <m/>
    <x v="0"/>
    <n v="-57782885.020000003"/>
  </r>
  <r>
    <d v="2026-01-12T00:00:00"/>
    <x v="3"/>
    <x v="0"/>
    <s v="SUSCRIPCION"/>
    <x v="2"/>
    <n v="60779267.520000003"/>
    <x v="2"/>
    <x v="0"/>
    <x v="0"/>
    <m/>
    <m/>
    <x v="0"/>
    <n v="60779267.520000003"/>
  </r>
  <r>
    <d v="2026-01-12T00:00:00"/>
    <x v="3"/>
    <x v="0"/>
    <s v="SUSCRIPCION"/>
    <x v="0"/>
    <n v="15387032"/>
    <x v="0"/>
    <x v="0"/>
    <x v="0"/>
    <m/>
    <m/>
    <x v="0"/>
    <n v="15387032"/>
  </r>
  <r>
    <d v="2026-01-12T00:00:00"/>
    <x v="0"/>
    <x v="0"/>
    <s v="RESCATE"/>
    <x v="2"/>
    <n v="100000000"/>
    <x v="2"/>
    <x v="0"/>
    <x v="0"/>
    <m/>
    <m/>
    <x v="0"/>
    <n v="-100000000"/>
  </r>
  <r>
    <d v="2026-01-12T00:00:00"/>
    <x v="2"/>
    <x v="0"/>
    <s v="RESCATE"/>
    <x v="2"/>
    <n v="100000000"/>
    <x v="2"/>
    <x v="0"/>
    <x v="0"/>
    <m/>
    <m/>
    <x v="0"/>
    <n v="-100000000"/>
  </r>
  <r>
    <d v="2026-01-12T00:00:00"/>
    <x v="3"/>
    <x v="0"/>
    <s v="RESCATE"/>
    <x v="6"/>
    <n v="631200000"/>
    <x v="5"/>
    <x v="0"/>
    <x v="0"/>
    <m/>
    <m/>
    <x v="0"/>
    <n v="-631200000"/>
  </r>
  <r>
    <d v="2026-01-12T00:00:00"/>
    <x v="1"/>
    <x v="0"/>
    <s v="RESCATE"/>
    <x v="1"/>
    <n v="1300000"/>
    <x v="1"/>
    <x v="0"/>
    <x v="0"/>
    <m/>
    <m/>
    <x v="0"/>
    <n v="-1300000"/>
  </r>
  <r>
    <d v="2026-01-12T00:00:00"/>
    <x v="0"/>
    <x v="0"/>
    <s v="RESCATE"/>
    <x v="1"/>
    <n v="86500000"/>
    <x v="1"/>
    <x v="0"/>
    <x v="0"/>
    <m/>
    <m/>
    <x v="0"/>
    <n v="-86500000"/>
  </r>
  <r>
    <d v="2026-01-12T00:00:00"/>
    <x v="2"/>
    <x v="0"/>
    <s v="RESCATE"/>
    <x v="1"/>
    <n v="97800000"/>
    <x v="1"/>
    <x v="0"/>
    <x v="0"/>
    <m/>
    <m/>
    <x v="0"/>
    <n v="-97800000"/>
  </r>
  <r>
    <d v="2026-01-13T00:00:00"/>
    <x v="3"/>
    <x v="0"/>
    <s v="RESCATE"/>
    <x v="6"/>
    <n v="75900000"/>
    <x v="5"/>
    <x v="0"/>
    <x v="0"/>
    <m/>
    <m/>
    <x v="0"/>
    <n v="-75900000"/>
  </r>
  <r>
    <d v="2026-01-13T00:00:00"/>
    <x v="1"/>
    <x v="0"/>
    <s v="SUSCRIPCION"/>
    <x v="1"/>
    <n v="123600000"/>
    <x v="1"/>
    <x v="0"/>
    <x v="0"/>
    <m/>
    <m/>
    <x v="0"/>
    <n v="123600000"/>
  </r>
  <r>
    <d v="2026-01-13T00:00:00"/>
    <x v="2"/>
    <x v="0"/>
    <s v="RESCATE"/>
    <x v="1"/>
    <n v="17500000"/>
    <x v="1"/>
    <x v="0"/>
    <x v="0"/>
    <m/>
    <m/>
    <x v="0"/>
    <n v="-17500000"/>
  </r>
  <r>
    <d v="2026-01-13T00:00:00"/>
    <x v="0"/>
    <x v="0"/>
    <s v="RESCATE"/>
    <x v="1"/>
    <n v="14700000"/>
    <x v="1"/>
    <x v="0"/>
    <x v="0"/>
    <m/>
    <m/>
    <x v="0"/>
    <n v="-14700000"/>
  </r>
  <r>
    <d v="2026-01-13T00:00:00"/>
    <x v="2"/>
    <x v="0"/>
    <s v="RESCATE"/>
    <x v="2"/>
    <n v="300000000"/>
    <x v="2"/>
    <x v="0"/>
    <x v="0"/>
    <m/>
    <m/>
    <x v="0"/>
    <n v="-300000000"/>
  </r>
  <r>
    <d v="2026-01-13T00:00:00"/>
    <x v="3"/>
    <x v="0"/>
    <s v="RESCATE"/>
    <x v="15"/>
    <n v="128100069.63"/>
    <x v="12"/>
    <x v="0"/>
    <x v="0"/>
    <m/>
    <m/>
    <x v="0"/>
    <n v="-128100069.63"/>
  </r>
  <r>
    <d v="2026-01-13T00:00:00"/>
    <x v="3"/>
    <x v="0"/>
    <s v="RESCATE"/>
    <x v="15"/>
    <n v="123438878.06"/>
    <x v="12"/>
    <x v="0"/>
    <x v="0"/>
    <m/>
    <m/>
    <x v="0"/>
    <n v="-123438878.06"/>
  </r>
  <r>
    <d v="2026-01-14T00:00:00"/>
    <x v="3"/>
    <x v="0"/>
    <s v="RESCATE"/>
    <x v="15"/>
    <n v="90552958.280000001"/>
    <x v="12"/>
    <x v="0"/>
    <x v="0"/>
    <m/>
    <m/>
    <x v="0"/>
    <n v="-90552958.280000001"/>
  </r>
  <r>
    <d v="2026-01-14T00:00:00"/>
    <x v="3"/>
    <x v="0"/>
    <s v="RESCATE"/>
    <x v="15"/>
    <n v="82081410.560000002"/>
    <x v="12"/>
    <x v="0"/>
    <x v="0"/>
    <m/>
    <m/>
    <x v="0"/>
    <n v="-82081410.560000002"/>
  </r>
  <r>
    <d v="2026-01-14T00:00:00"/>
    <x v="3"/>
    <x v="0"/>
    <s v="RESCATE"/>
    <x v="2"/>
    <n v="150000000"/>
    <x v="2"/>
    <x v="0"/>
    <x v="0"/>
    <m/>
    <m/>
    <x v="0"/>
    <n v="-150000000"/>
  </r>
  <r>
    <d v="2026-01-14T00:00:00"/>
    <x v="0"/>
    <x v="0"/>
    <s v="RESCATE"/>
    <x v="4"/>
    <n v="63149319.899999999"/>
    <x v="3"/>
    <x v="0"/>
    <x v="0"/>
    <m/>
    <m/>
    <x v="0"/>
    <n v="-63149319.899999999"/>
  </r>
  <r>
    <d v="2026-01-14T00:00:00"/>
    <x v="2"/>
    <x v="0"/>
    <s v="RESCATE"/>
    <x v="2"/>
    <n v="75721873.799999997"/>
    <x v="2"/>
    <x v="0"/>
    <x v="0"/>
    <m/>
    <m/>
    <x v="0"/>
    <n v="-75721873.799999997"/>
  </r>
  <r>
    <d v="2026-01-14T00:00:00"/>
    <x v="2"/>
    <x v="0"/>
    <s v="RESCATE"/>
    <x v="2"/>
    <n v="99789813.439999998"/>
    <x v="2"/>
    <x v="0"/>
    <x v="0"/>
    <m/>
    <m/>
    <x v="0"/>
    <n v="-99789813.439999998"/>
  </r>
  <r>
    <d v="2026-01-14T00:00:00"/>
    <x v="2"/>
    <x v="0"/>
    <s v="SUSCRIPCION"/>
    <x v="1"/>
    <n v="27200000"/>
    <x v="1"/>
    <x v="0"/>
    <x v="0"/>
    <m/>
    <m/>
    <x v="0"/>
    <n v="27200000"/>
  </r>
  <r>
    <d v="2026-01-14T00:00:00"/>
    <x v="1"/>
    <x v="0"/>
    <s v="SUSCRIPCION"/>
    <x v="1"/>
    <n v="1400000"/>
    <x v="1"/>
    <x v="0"/>
    <x v="0"/>
    <m/>
    <m/>
    <x v="0"/>
    <n v="1400000"/>
  </r>
  <r>
    <d v="2026-01-14T00:00:00"/>
    <x v="0"/>
    <x v="0"/>
    <s v="RESCATE"/>
    <x v="5"/>
    <n v="81200000"/>
    <x v="4"/>
    <x v="0"/>
    <x v="0"/>
    <m/>
    <m/>
    <x v="0"/>
    <n v="-81200000"/>
  </r>
  <r>
    <d v="2026-01-14T00:00:00"/>
    <x v="3"/>
    <x v="0"/>
    <s v="SUSCRIPCION"/>
    <x v="6"/>
    <n v="1220000000"/>
    <x v="5"/>
    <x v="0"/>
    <x v="0"/>
    <m/>
    <m/>
    <x v="0"/>
    <n v="1220000000"/>
  </r>
  <r>
    <d v="2026-01-15T00:00:00"/>
    <x v="3"/>
    <x v="0"/>
    <s v="RESCATE"/>
    <x v="6"/>
    <n v="1000000000"/>
    <x v="5"/>
    <x v="0"/>
    <x v="0"/>
    <m/>
    <m/>
    <x v="0"/>
    <n v="-1000000000"/>
  </r>
  <r>
    <d v="2026-01-15T00:00:00"/>
    <x v="3"/>
    <x v="0"/>
    <s v="SUSCRIPCION"/>
    <x v="5"/>
    <n v="500000000"/>
    <x v="4"/>
    <x v="0"/>
    <x v="0"/>
    <m/>
    <m/>
    <x v="0"/>
    <n v="500000000"/>
  </r>
  <r>
    <d v="2026-01-15T00:00:00"/>
    <x v="3"/>
    <x v="0"/>
    <s v="SUSCRIPCION"/>
    <x v="0"/>
    <n v="500000000"/>
    <x v="0"/>
    <x v="0"/>
    <x v="0"/>
    <m/>
    <m/>
    <x v="0"/>
    <n v="500000000"/>
  </r>
  <r>
    <d v="2026-01-15T00:00:00"/>
    <x v="2"/>
    <x v="0"/>
    <s v="RESCATE"/>
    <x v="2"/>
    <n v="100000000"/>
    <x v="2"/>
    <x v="0"/>
    <x v="0"/>
    <m/>
    <m/>
    <x v="0"/>
    <n v="-100000000"/>
  </r>
  <r>
    <d v="2026-01-15T00:00:00"/>
    <x v="1"/>
    <x v="0"/>
    <s v="RESCATE"/>
    <x v="1"/>
    <n v="800000"/>
    <x v="1"/>
    <x v="0"/>
    <x v="0"/>
    <m/>
    <m/>
    <x v="0"/>
    <n v="-800000"/>
  </r>
  <r>
    <d v="2026-01-15T00:00:00"/>
    <x v="2"/>
    <x v="0"/>
    <s v="RESCATE"/>
    <x v="1"/>
    <n v="14100000"/>
    <x v="1"/>
    <x v="0"/>
    <x v="0"/>
    <m/>
    <m/>
    <x v="0"/>
    <n v="-14100000"/>
  </r>
  <r>
    <d v="2026-01-15T00:00:00"/>
    <x v="0"/>
    <x v="0"/>
    <s v="RESCATE"/>
    <x v="1"/>
    <n v="53200000"/>
    <x v="1"/>
    <x v="0"/>
    <x v="0"/>
    <m/>
    <m/>
    <x v="0"/>
    <n v="-53200000"/>
  </r>
  <r>
    <d v="2026-01-15T00:00:00"/>
    <x v="3"/>
    <x v="0"/>
    <s v="SUSCRIPCION"/>
    <x v="6"/>
    <n v="1100000000"/>
    <x v="5"/>
    <x v="0"/>
    <x v="0"/>
    <m/>
    <m/>
    <x v="0"/>
    <n v="1100000000"/>
  </r>
  <r>
    <d v="2026-01-15T00:00:00"/>
    <x v="3"/>
    <x v="0"/>
    <s v="SUSCRIPCION"/>
    <x v="9"/>
    <n v="1445900000"/>
    <x v="6"/>
    <x v="0"/>
    <x v="0"/>
    <m/>
    <m/>
    <x v="0"/>
    <n v="1445900000"/>
  </r>
  <r>
    <d v="2026-01-16T00:00:00"/>
    <x v="3"/>
    <x v="0"/>
    <s v="RESCATE"/>
    <x v="6"/>
    <n v="536300000"/>
    <x v="5"/>
    <x v="0"/>
    <x v="0"/>
    <m/>
    <m/>
    <x v="0"/>
    <n v="-536300000"/>
  </r>
  <r>
    <d v="2026-01-16T00:00:00"/>
    <x v="0"/>
    <x v="0"/>
    <s v="RESCATE"/>
    <x v="1"/>
    <n v="5600000"/>
    <x v="1"/>
    <x v="0"/>
    <x v="0"/>
    <m/>
    <m/>
    <x v="0"/>
    <n v="-5600000"/>
  </r>
  <r>
    <d v="2026-01-16T00:00:00"/>
    <x v="2"/>
    <x v="0"/>
    <s v="RESCATE"/>
    <x v="1"/>
    <n v="3400000"/>
    <x v="1"/>
    <x v="0"/>
    <x v="0"/>
    <m/>
    <m/>
    <x v="0"/>
    <n v="-3400000"/>
  </r>
  <r>
    <d v="2026-01-16T00:00:00"/>
    <x v="2"/>
    <x v="0"/>
    <s v="SUSCRIPCION"/>
    <x v="1"/>
    <n v="4388552"/>
    <x v="1"/>
    <x v="0"/>
    <x v="0"/>
    <m/>
    <m/>
    <x v="0"/>
    <n v="4388552"/>
  </r>
  <r>
    <d v="2026-01-16T00:00:00"/>
    <x v="2"/>
    <x v="0"/>
    <s v="SUSCRIPCION"/>
    <x v="2"/>
    <n v="7592031.7999999998"/>
    <x v="2"/>
    <x v="0"/>
    <x v="0"/>
    <m/>
    <m/>
    <x v="0"/>
    <n v="7592031.7999999998"/>
  </r>
  <r>
    <d v="2026-01-16T00:00:00"/>
    <x v="0"/>
    <x v="0"/>
    <s v="SUSCRIPCION"/>
    <x v="1"/>
    <n v="2881143"/>
    <x v="1"/>
    <x v="0"/>
    <x v="0"/>
    <m/>
    <m/>
    <x v="0"/>
    <n v="2881143"/>
  </r>
  <r>
    <d v="2026-01-16T00:00:00"/>
    <x v="0"/>
    <x v="0"/>
    <s v="SUSCRIPCION"/>
    <x v="2"/>
    <n v="1198031.3500000001"/>
    <x v="2"/>
    <x v="0"/>
    <x v="0"/>
    <m/>
    <m/>
    <x v="0"/>
    <n v="1198031.3500000001"/>
  </r>
  <r>
    <d v="2026-01-16T00:00:00"/>
    <x v="0"/>
    <x v="0"/>
    <s v="SUSCRIPCION"/>
    <x v="5"/>
    <n v="17383506.16"/>
    <x v="4"/>
    <x v="0"/>
    <x v="0"/>
    <m/>
    <m/>
    <x v="0"/>
    <n v="17383506.16"/>
  </r>
  <r>
    <d v="2026-01-16T00:00:00"/>
    <x v="0"/>
    <x v="0"/>
    <s v="SUSCRIPCION"/>
    <x v="4"/>
    <n v="134066409.73"/>
    <x v="3"/>
    <x v="0"/>
    <x v="0"/>
    <m/>
    <m/>
    <x v="0"/>
    <n v="134066409.73"/>
  </r>
  <r>
    <d v="2026-01-16T00:00:00"/>
    <x v="1"/>
    <x v="0"/>
    <s v="SUSCRIPCION"/>
    <x v="1"/>
    <n v="16096570"/>
    <x v="1"/>
    <x v="0"/>
    <x v="0"/>
    <m/>
    <m/>
    <x v="0"/>
    <n v="16096570"/>
  </r>
  <r>
    <d v="2026-01-16T00:00:00"/>
    <x v="3"/>
    <x v="0"/>
    <s v="SUSCRIPCION"/>
    <x v="2"/>
    <n v="9060393"/>
    <x v="2"/>
    <x v="0"/>
    <x v="0"/>
    <m/>
    <m/>
    <x v="0"/>
    <n v="9060393"/>
  </r>
  <r>
    <d v="2026-01-16T00:00:00"/>
    <x v="3"/>
    <x v="0"/>
    <s v="SUSCRIPCION"/>
    <x v="0"/>
    <n v="2660659.0499999998"/>
    <x v="0"/>
    <x v="0"/>
    <x v="0"/>
    <m/>
    <m/>
    <x v="0"/>
    <n v="2660659.0499999998"/>
  </r>
  <r>
    <d v="2026-01-16T00:00:00"/>
    <x v="3"/>
    <x v="0"/>
    <s v="SUSCRIPCION"/>
    <x v="5"/>
    <n v="7686613.8499999996"/>
    <x v="4"/>
    <x v="0"/>
    <x v="0"/>
    <m/>
    <m/>
    <x v="0"/>
    <n v="7686613.8499999996"/>
  </r>
  <r>
    <d v="2026-01-16T00:00:00"/>
    <x v="3"/>
    <x v="0"/>
    <s v="SUSCRIPCION"/>
    <x v="15"/>
    <n v="21426285.809999999"/>
    <x v="12"/>
    <x v="0"/>
    <x v="0"/>
    <m/>
    <m/>
    <x v="0"/>
    <n v="21426285.809999999"/>
  </r>
  <r>
    <d v="2026-01-16T00:00:00"/>
    <x v="3"/>
    <x v="0"/>
    <s v="SUSCRIPCION"/>
    <x v="11"/>
    <n v="1561731"/>
    <x v="8"/>
    <x v="0"/>
    <x v="0"/>
    <m/>
    <m/>
    <x v="0"/>
    <n v="1561731"/>
  </r>
  <r>
    <d v="2026-01-16T00:00:00"/>
    <x v="3"/>
    <x v="0"/>
    <s v="SUSCRIPCION"/>
    <x v="12"/>
    <n v="28071295"/>
    <x v="9"/>
    <x v="0"/>
    <x v="0"/>
    <m/>
    <m/>
    <x v="0"/>
    <n v="28071295"/>
  </r>
  <r>
    <d v="2026-01-19T00:00:00"/>
    <x v="3"/>
    <x v="0"/>
    <s v="RESCATE"/>
    <x v="9"/>
    <n v="213900000"/>
    <x v="6"/>
    <x v="0"/>
    <x v="0"/>
    <m/>
    <m/>
    <x v="0"/>
    <n v="-213900000"/>
  </r>
  <r>
    <d v="2026-01-19T00:00:00"/>
    <x v="0"/>
    <x v="0"/>
    <s v="SUSCRIPCION"/>
    <x v="1"/>
    <n v="14000000"/>
    <x v="1"/>
    <x v="0"/>
    <x v="0"/>
    <m/>
    <m/>
    <x v="0"/>
    <n v="14000000"/>
  </r>
  <r>
    <d v="2026-01-19T00:00:00"/>
    <x v="0"/>
    <x v="0"/>
    <s v="RESCATE"/>
    <x v="5"/>
    <n v="180000000"/>
    <x v="4"/>
    <x v="0"/>
    <x v="0"/>
    <m/>
    <m/>
    <x v="0"/>
    <n v="-180000000"/>
  </r>
  <r>
    <d v="2026-01-19T00:00:00"/>
    <x v="0"/>
    <x v="0"/>
    <s v="RESCATE"/>
    <x v="2"/>
    <n v="110000000"/>
    <x v="2"/>
    <x v="0"/>
    <x v="0"/>
    <m/>
    <m/>
    <x v="0"/>
    <n v="-110000000"/>
  </r>
  <r>
    <d v="2026-01-19T00:00:00"/>
    <x v="3"/>
    <x v="0"/>
    <s v="RESCATE"/>
    <x v="6"/>
    <n v="1000000000"/>
    <x v="5"/>
    <x v="0"/>
    <x v="0"/>
    <m/>
    <m/>
    <x v="0"/>
    <n v="-1000000000"/>
  </r>
  <r>
    <d v="2026-01-19T00:00:00"/>
    <x v="3"/>
    <x v="0"/>
    <s v="SUSCRIPCION"/>
    <x v="2"/>
    <n v="1000000000"/>
    <x v="2"/>
    <x v="0"/>
    <x v="0"/>
    <m/>
    <m/>
    <x v="0"/>
    <n v="1000000000"/>
  </r>
  <r>
    <d v="2026-01-19T00:00:00"/>
    <x v="2"/>
    <x v="0"/>
    <s v="RESCATE"/>
    <x v="2"/>
    <n v="109500000"/>
    <x v="2"/>
    <x v="0"/>
    <x v="0"/>
    <m/>
    <m/>
    <x v="0"/>
    <n v="-109500000"/>
  </r>
  <r>
    <d v="2026-01-20T00:00:00"/>
    <x v="1"/>
    <x v="0"/>
    <s v="RESCATE"/>
    <x v="1"/>
    <n v="7300000"/>
    <x v="1"/>
    <x v="0"/>
    <x v="0"/>
    <m/>
    <m/>
    <x v="0"/>
    <n v="-7300000"/>
  </r>
  <r>
    <d v="2026-01-20T00:00:00"/>
    <x v="2"/>
    <x v="0"/>
    <s v="RESCATE"/>
    <x v="1"/>
    <n v="7700000"/>
    <x v="1"/>
    <x v="0"/>
    <x v="0"/>
    <m/>
    <m/>
    <x v="0"/>
    <n v="-7700000"/>
  </r>
  <r>
    <d v="2026-01-20T00:00:00"/>
    <x v="0"/>
    <x v="0"/>
    <s v="SUSCRIPCION"/>
    <x v="1"/>
    <n v="11000000"/>
    <x v="1"/>
    <x v="0"/>
    <x v="0"/>
    <m/>
    <m/>
    <x v="0"/>
    <n v="11000000"/>
  </r>
  <r>
    <d v="2026-01-20T00:00:00"/>
    <x v="3"/>
    <x v="0"/>
    <s v="RESCATE"/>
    <x v="9"/>
    <n v="197200000"/>
    <x v="6"/>
    <x v="0"/>
    <x v="0"/>
    <m/>
    <m/>
    <x v="0"/>
    <n v="-197200000"/>
  </r>
  <r>
    <d v="2026-01-20T00:00:00"/>
    <x v="0"/>
    <x v="0"/>
    <s v="RESCATE"/>
    <x v="4"/>
    <n v="150000000"/>
    <x v="3"/>
    <x v="0"/>
    <x v="0"/>
    <m/>
    <m/>
    <x v="0"/>
    <n v="-150000000"/>
  </r>
  <r>
    <d v="2026-01-20T00:00:00"/>
    <x v="2"/>
    <x v="0"/>
    <s v="RESCATE"/>
    <x v="2"/>
    <n v="70000000"/>
    <x v="2"/>
    <x v="0"/>
    <x v="0"/>
    <m/>
    <m/>
    <x v="0"/>
    <n v="-70000000"/>
  </r>
  <r>
    <d v="2026-01-20T00:00:00"/>
    <x v="2"/>
    <x v="0"/>
    <s v="RESCATE"/>
    <x v="2"/>
    <n v="51547588.32"/>
    <x v="2"/>
    <x v="0"/>
    <x v="0"/>
    <m/>
    <m/>
    <x v="0"/>
    <n v="-51547588.32"/>
  </r>
  <r>
    <d v="2026-01-20T00:00:00"/>
    <x v="3"/>
    <x v="0"/>
    <s v="RESCATE"/>
    <x v="0"/>
    <n v="84297753.840000004"/>
    <x v="0"/>
    <x v="0"/>
    <x v="0"/>
    <m/>
    <m/>
    <x v="0"/>
    <n v="-84297753.840000004"/>
  </r>
  <r>
    <d v="2026-01-20T00:00:00"/>
    <x v="3"/>
    <x v="0"/>
    <s v="RESCATE"/>
    <x v="0"/>
    <n v="65905267.700000003"/>
    <x v="0"/>
    <x v="0"/>
    <x v="0"/>
    <m/>
    <m/>
    <x v="0"/>
    <n v="-65905267.700000003"/>
  </r>
  <r>
    <d v="2026-01-20T00:00:00"/>
    <x v="3"/>
    <x v="2"/>
    <s v="SUSCRIPCION"/>
    <x v="18"/>
    <n v="800000"/>
    <x v="2"/>
    <x v="3"/>
    <x v="1"/>
    <d v="2026-07-01T00:00:00"/>
    <n v="5"/>
    <x v="8"/>
    <n v="800000"/>
  </r>
  <r>
    <d v="2026-01-20T00:00:00"/>
    <x v="3"/>
    <x v="0"/>
    <s v="RESCATE"/>
    <x v="2"/>
    <n v="1122146114.05"/>
    <x v="2"/>
    <x v="0"/>
    <x v="0"/>
    <m/>
    <m/>
    <x v="0"/>
    <n v="-1122146114.05"/>
  </r>
  <r>
    <d v="2026-01-20T00:00:00"/>
    <x v="0"/>
    <x v="0"/>
    <s v="SUSCRIPCION"/>
    <x v="2"/>
    <n v="1119532658.7"/>
    <x v="2"/>
    <x v="0"/>
    <x v="0"/>
    <m/>
    <m/>
    <x v="0"/>
    <n v="1119532658.7"/>
  </r>
  <r>
    <d v="2026-01-21T00:00:00"/>
    <x v="3"/>
    <x v="0"/>
    <s v="RESCATE"/>
    <x v="9"/>
    <n v="430500000"/>
    <x v="6"/>
    <x v="0"/>
    <x v="0"/>
    <m/>
    <m/>
    <x v="0"/>
    <n v="-430500000"/>
  </r>
  <r>
    <d v="2026-01-21T00:00:00"/>
    <x v="0"/>
    <x v="0"/>
    <s v="RESCATE"/>
    <x v="2"/>
    <n v="127000000"/>
    <x v="2"/>
    <x v="0"/>
    <x v="0"/>
    <m/>
    <m/>
    <x v="0"/>
    <n v="-127000000"/>
  </r>
  <r>
    <d v="2026-01-21T00:00:00"/>
    <x v="2"/>
    <x v="0"/>
    <s v="RESCATE"/>
    <x v="2"/>
    <n v="119000000"/>
    <x v="2"/>
    <x v="0"/>
    <x v="0"/>
    <m/>
    <m/>
    <x v="0"/>
    <n v="-119000000"/>
  </r>
  <r>
    <d v="2026-01-21T00:00:00"/>
    <x v="0"/>
    <x v="0"/>
    <s v="RESCATE"/>
    <x v="2"/>
    <n v="114455823.54000001"/>
    <x v="2"/>
    <x v="0"/>
    <x v="0"/>
    <m/>
    <m/>
    <x v="0"/>
    <n v="-114455823.54000001"/>
  </r>
  <r>
    <d v="2026-01-21T00:00:00"/>
    <x v="0"/>
    <x v="0"/>
    <s v="RESCATE"/>
    <x v="2"/>
    <n v="100066399.40000001"/>
    <x v="2"/>
    <x v="0"/>
    <x v="0"/>
    <m/>
    <m/>
    <x v="0"/>
    <n v="-100066399.40000001"/>
  </r>
  <r>
    <d v="2026-01-21T00:00:00"/>
    <x v="3"/>
    <x v="0"/>
    <s v="SUSCRIPCION"/>
    <x v="6"/>
    <n v="1900000000"/>
    <x v="5"/>
    <x v="0"/>
    <x v="0"/>
    <m/>
    <m/>
    <x v="0"/>
    <n v="1900000000"/>
  </r>
  <r>
    <d v="2026-01-22T00:00:00"/>
    <x v="3"/>
    <x v="1"/>
    <s v="RESCATE"/>
    <x v="7"/>
    <n v="2000000000"/>
    <x v="5"/>
    <x v="2"/>
    <x v="0"/>
    <s v="22/01/2026"/>
    <n v="29.75"/>
    <x v="1"/>
    <n v="-2000000000"/>
  </r>
  <r>
    <d v="2026-01-22T00:00:00"/>
    <x v="1"/>
    <x v="0"/>
    <s v="RESCATE"/>
    <x v="1"/>
    <n v="4800000"/>
    <x v="1"/>
    <x v="0"/>
    <x v="0"/>
    <m/>
    <m/>
    <x v="0"/>
    <n v="-4800000"/>
  </r>
  <r>
    <d v="2026-01-22T00:00:00"/>
    <x v="2"/>
    <x v="0"/>
    <s v="RESCATE"/>
    <x v="1"/>
    <n v="52800000"/>
    <x v="1"/>
    <x v="0"/>
    <x v="0"/>
    <m/>
    <m/>
    <x v="0"/>
    <n v="-52800000"/>
  </r>
  <r>
    <d v="2026-01-22T00:00:00"/>
    <x v="3"/>
    <x v="0"/>
    <s v="SUSCRIPCION"/>
    <x v="6"/>
    <n v="621400000"/>
    <x v="5"/>
    <x v="0"/>
    <x v="0"/>
    <m/>
    <m/>
    <x v="0"/>
    <n v="621400000"/>
  </r>
  <r>
    <d v="2026-01-22T00:00:00"/>
    <x v="0"/>
    <x v="0"/>
    <s v="RESCATE"/>
    <x v="2"/>
    <n v="57400000"/>
    <x v="2"/>
    <x v="0"/>
    <x v="0"/>
    <m/>
    <m/>
    <x v="0"/>
    <n v="-57400000"/>
  </r>
  <r>
    <d v="2026-01-22T00:00:00"/>
    <x v="0"/>
    <x v="0"/>
    <s v="RESCATE"/>
    <x v="2"/>
    <n v="129849630.90000001"/>
    <x v="2"/>
    <x v="0"/>
    <x v="0"/>
    <m/>
    <m/>
    <x v="0"/>
    <n v="-129849630.90000001"/>
  </r>
  <r>
    <d v="2026-01-22T00:00:00"/>
    <x v="3"/>
    <x v="0"/>
    <s v="SUSCRIPCION"/>
    <x v="2"/>
    <n v="600000000"/>
    <x v="2"/>
    <x v="0"/>
    <x v="0"/>
    <m/>
    <m/>
    <x v="0"/>
    <n v="600000000"/>
  </r>
  <r>
    <d v="2026-01-22T00:00:00"/>
    <x v="3"/>
    <x v="0"/>
    <s v="SUSCRIPCION"/>
    <x v="0"/>
    <n v="600000000"/>
    <x v="0"/>
    <x v="0"/>
    <x v="0"/>
    <m/>
    <m/>
    <x v="0"/>
    <n v="600000000"/>
  </r>
  <r>
    <d v="2026-01-22T00:00:00"/>
    <x v="3"/>
    <x v="0"/>
    <s v="SUSCRIPCION"/>
    <x v="19"/>
    <n v="20000000"/>
    <x v="14"/>
    <x v="0"/>
    <x v="0"/>
    <m/>
    <m/>
    <x v="0"/>
    <n v="20000000"/>
  </r>
  <r>
    <d v="2026-01-22T00:00:00"/>
    <x v="2"/>
    <x v="0"/>
    <s v="SUSCRIPCION"/>
    <x v="19"/>
    <n v="20000000"/>
    <x v="14"/>
    <x v="0"/>
    <x v="0"/>
    <m/>
    <m/>
    <x v="0"/>
    <n v="20000000"/>
  </r>
  <r>
    <d v="2026-01-23T00:00:00"/>
    <x v="1"/>
    <x v="0"/>
    <s v="RESCATE"/>
    <x v="1"/>
    <n v="300000"/>
    <x v="1"/>
    <x v="0"/>
    <x v="0"/>
    <m/>
    <m/>
    <x v="0"/>
    <n v="-300000"/>
  </r>
  <r>
    <d v="2026-01-23T00:00:00"/>
    <x v="2"/>
    <x v="0"/>
    <s v="RESCATE"/>
    <x v="1"/>
    <n v="1600000"/>
    <x v="1"/>
    <x v="0"/>
    <x v="0"/>
    <m/>
    <m/>
    <x v="0"/>
    <n v="-1600000"/>
  </r>
  <r>
    <d v="2026-01-23T00:00:00"/>
    <x v="0"/>
    <x v="0"/>
    <s v="SUSCRIPCION"/>
    <x v="1"/>
    <n v="49000000"/>
    <x v="1"/>
    <x v="0"/>
    <x v="0"/>
    <m/>
    <m/>
    <x v="0"/>
    <n v="49000000"/>
  </r>
  <r>
    <d v="2026-01-23T00:00:00"/>
    <x v="3"/>
    <x v="0"/>
    <s v="SUSCRIPCION"/>
    <x v="9"/>
    <n v="54800000"/>
    <x v="6"/>
    <x v="0"/>
    <x v="0"/>
    <m/>
    <m/>
    <x v="0"/>
    <n v="54800000"/>
  </r>
  <r>
    <d v="2026-01-23T00:00:00"/>
    <x v="0"/>
    <x v="0"/>
    <s v="RESCATE"/>
    <x v="2"/>
    <n v="167761362.31"/>
    <x v="2"/>
    <x v="0"/>
    <x v="0"/>
    <m/>
    <m/>
    <x v="0"/>
    <n v="-167761362.31"/>
  </r>
  <r>
    <d v="2026-01-23T00:00:00"/>
    <x v="0"/>
    <x v="0"/>
    <s v="RESCATE"/>
    <x v="2"/>
    <n v="185902186.5"/>
    <x v="2"/>
    <x v="0"/>
    <x v="0"/>
    <m/>
    <m/>
    <x v="0"/>
    <n v="-185902186.5"/>
  </r>
  <r>
    <d v="2026-01-23T00:00:00"/>
    <x v="0"/>
    <x v="0"/>
    <s v="SUSCRIPCION"/>
    <x v="4"/>
    <n v="27976013"/>
    <x v="3"/>
    <x v="0"/>
    <x v="0"/>
    <m/>
    <m/>
    <x v="0"/>
    <n v="27976013"/>
  </r>
  <r>
    <d v="2026-01-23T00:00:00"/>
    <x v="0"/>
    <x v="0"/>
    <s v="RESCATE"/>
    <x v="3"/>
    <n v="93812706.650000006"/>
    <x v="3"/>
    <x v="1"/>
    <x v="0"/>
    <m/>
    <m/>
    <x v="0"/>
    <n v="-93812706.650000006"/>
  </r>
  <r>
    <d v="2026-01-23T00:00:00"/>
    <x v="3"/>
    <x v="0"/>
    <s v="RESCATE"/>
    <x v="19"/>
    <n v="7000000"/>
    <x v="14"/>
    <x v="0"/>
    <x v="0"/>
    <m/>
    <m/>
    <x v="0"/>
    <n v="-7000000"/>
  </r>
  <r>
    <d v="2026-01-26T00:00:00"/>
    <x v="3"/>
    <x v="0"/>
    <s v="SUSCRIPCION"/>
    <x v="6"/>
    <n v="153760685.09999999"/>
    <x v="5"/>
    <x v="0"/>
    <x v="0"/>
    <m/>
    <m/>
    <x v="0"/>
    <n v="153760685.09999999"/>
  </r>
  <r>
    <d v="2026-01-26T00:00:00"/>
    <x v="3"/>
    <x v="0"/>
    <s v="RESCATE"/>
    <x v="19"/>
    <n v="10000000"/>
    <x v="14"/>
    <x v="0"/>
    <x v="0"/>
    <m/>
    <m/>
    <x v="0"/>
    <n v="-10000000"/>
  </r>
  <r>
    <d v="2026-01-26T00:00:00"/>
    <x v="2"/>
    <x v="0"/>
    <s v="RESCATE"/>
    <x v="19"/>
    <n v="8000000"/>
    <x v="14"/>
    <x v="0"/>
    <x v="0"/>
    <m/>
    <m/>
    <x v="0"/>
    <n v="-8000000"/>
  </r>
  <r>
    <d v="2026-01-26T00:00:00"/>
    <x v="0"/>
    <x v="0"/>
    <s v="RESCATE"/>
    <x v="1"/>
    <n v="41500000"/>
    <x v="1"/>
    <x v="0"/>
    <x v="0"/>
    <m/>
    <m/>
    <x v="0"/>
    <n v="-41500000"/>
  </r>
  <r>
    <d v="2026-01-26T00:00:00"/>
    <x v="3"/>
    <x v="0"/>
    <s v="RESCATE"/>
    <x v="9"/>
    <n v="297100000"/>
    <x v="6"/>
    <x v="0"/>
    <x v="0"/>
    <m/>
    <m/>
    <x v="0"/>
    <n v="-297100000"/>
  </r>
  <r>
    <d v="2026-01-26T00:00:00"/>
    <x v="2"/>
    <x v="0"/>
    <s v="RESCATE"/>
    <x v="2"/>
    <n v="58100000"/>
    <x v="2"/>
    <x v="0"/>
    <x v="0"/>
    <m/>
    <m/>
    <x v="0"/>
    <n v="-58100000"/>
  </r>
  <r>
    <d v="2026-01-26T00:00:00"/>
    <x v="0"/>
    <x v="0"/>
    <s v="RESCATE"/>
    <x v="4"/>
    <n v="38221737.5"/>
    <x v="3"/>
    <x v="0"/>
    <x v="0"/>
    <m/>
    <m/>
    <x v="0"/>
    <n v="-38221737.5"/>
  </r>
  <r>
    <d v="2026-01-27T00:00:00"/>
    <x v="0"/>
    <x v="0"/>
    <s v="RESCATE"/>
    <x v="1"/>
    <n v="5800000"/>
    <x v="1"/>
    <x v="0"/>
    <x v="0"/>
    <m/>
    <m/>
    <x v="0"/>
    <n v="-5800000"/>
  </r>
  <r>
    <d v="2026-01-27T00:00:00"/>
    <x v="2"/>
    <x v="0"/>
    <s v="SUSCRIPCION"/>
    <x v="1"/>
    <n v="8200000"/>
    <x v="1"/>
    <x v="0"/>
    <x v="0"/>
    <m/>
    <m/>
    <x v="0"/>
    <n v="8200000"/>
  </r>
  <r>
    <d v="2026-01-27T00:00:00"/>
    <x v="3"/>
    <x v="0"/>
    <s v="RESCATE"/>
    <x v="9"/>
    <n v="13200000"/>
    <x v="6"/>
    <x v="0"/>
    <x v="0"/>
    <m/>
    <m/>
    <x v="0"/>
    <n v="-13200000"/>
  </r>
  <r>
    <d v="2026-01-27T00:00:00"/>
    <x v="3"/>
    <x v="0"/>
    <s v="RESCATE"/>
    <x v="6"/>
    <n v="1200000000"/>
    <x v="5"/>
    <x v="0"/>
    <x v="0"/>
    <m/>
    <m/>
    <x v="0"/>
    <n v="-1200000000"/>
  </r>
  <r>
    <d v="2026-01-27T00:00:00"/>
    <x v="3"/>
    <x v="0"/>
    <s v="SUSCRIPCION"/>
    <x v="6"/>
    <n v="7190000000"/>
    <x v="5"/>
    <x v="0"/>
    <x v="0"/>
    <m/>
    <m/>
    <x v="0"/>
    <n v="7190000000"/>
  </r>
  <r>
    <d v="2026-01-27T00:00:00"/>
    <x v="3"/>
    <x v="0"/>
    <s v="SUSCRIPCION"/>
    <x v="2"/>
    <n v="1000000000"/>
    <x v="2"/>
    <x v="0"/>
    <x v="0"/>
    <m/>
    <m/>
    <x v="0"/>
    <n v="1000000000"/>
  </r>
  <r>
    <d v="2026-01-27T00:00:00"/>
    <x v="3"/>
    <x v="2"/>
    <s v="SUSCRIPCION"/>
    <x v="18"/>
    <n v="600000"/>
    <x v="2"/>
    <x v="3"/>
    <x v="1"/>
    <d v="2026-05-08T00:00:00"/>
    <n v="5"/>
    <x v="9"/>
    <n v="600000"/>
  </r>
  <r>
    <d v="2026-01-27T00:00:00"/>
    <x v="0"/>
    <x v="0"/>
    <s v="SUSCRIPCION"/>
    <x v="2"/>
    <n v="839797959"/>
    <x v="2"/>
    <x v="0"/>
    <x v="0"/>
    <m/>
    <m/>
    <x v="0"/>
    <n v="839797959"/>
  </r>
  <r>
    <d v="2026-01-27T00:00:00"/>
    <x v="0"/>
    <x v="0"/>
    <s v="SUSCRIPCION"/>
    <x v="4"/>
    <n v="20444805"/>
    <x v="3"/>
    <x v="0"/>
    <x v="0"/>
    <m/>
    <m/>
    <x v="0"/>
    <n v="20444805"/>
  </r>
  <r>
    <d v="2026-01-27T00:00:00"/>
    <x v="3"/>
    <x v="0"/>
    <s v="RESCATE"/>
    <x v="0"/>
    <n v="291596108.12"/>
    <x v="0"/>
    <x v="0"/>
    <x v="0"/>
    <m/>
    <m/>
    <x v="0"/>
    <n v="-291596108.12"/>
  </r>
  <r>
    <d v="2026-01-28T00:00:00"/>
    <x v="3"/>
    <x v="0"/>
    <s v="RESCATE"/>
    <x v="2"/>
    <n v="840263166"/>
    <x v="2"/>
    <x v="0"/>
    <x v="0"/>
    <m/>
    <m/>
    <x v="0"/>
    <n v="-840263166"/>
  </r>
  <r>
    <d v="2026-01-28T00:00:00"/>
    <x v="3"/>
    <x v="0"/>
    <s v="RESCATE"/>
    <x v="9"/>
    <n v="93500000"/>
    <x v="6"/>
    <x v="0"/>
    <x v="0"/>
    <m/>
    <m/>
    <x v="0"/>
    <n v="-93500000"/>
  </r>
  <r>
    <d v="2026-01-28T00:00:00"/>
    <x v="0"/>
    <x v="0"/>
    <s v="RESCATE"/>
    <x v="2"/>
    <n v="114000000"/>
    <x v="2"/>
    <x v="0"/>
    <x v="0"/>
    <m/>
    <m/>
    <x v="0"/>
    <n v="-114000000"/>
  </r>
  <r>
    <d v="2026-01-28T00:00:00"/>
    <x v="2"/>
    <x v="0"/>
    <s v="RESCATE"/>
    <x v="2"/>
    <n v="52100000"/>
    <x v="2"/>
    <x v="0"/>
    <x v="0"/>
    <m/>
    <m/>
    <x v="0"/>
    <n v="-52100000"/>
  </r>
  <r>
    <d v="2026-01-28T00:00:00"/>
    <x v="0"/>
    <x v="0"/>
    <s v="RESCATE"/>
    <x v="2"/>
    <n v="173277851.5"/>
    <x v="2"/>
    <x v="0"/>
    <x v="0"/>
    <m/>
    <m/>
    <x v="0"/>
    <n v="-173277851.5"/>
  </r>
  <r>
    <d v="2026-01-28T00:00:00"/>
    <x v="0"/>
    <x v="0"/>
    <s v="RESCATE"/>
    <x v="2"/>
    <n v="119330169.75"/>
    <x v="2"/>
    <x v="0"/>
    <x v="0"/>
    <m/>
    <m/>
    <x v="0"/>
    <n v="-119330169.75"/>
  </r>
  <r>
    <d v="2026-01-28T00:00:00"/>
    <x v="3"/>
    <x v="0"/>
    <s v="RESCATE"/>
    <x v="6"/>
    <n v="2000000000"/>
    <x v="5"/>
    <x v="0"/>
    <x v="0"/>
    <m/>
    <m/>
    <x v="0"/>
    <n v="-2000000000"/>
  </r>
  <r>
    <d v="2026-01-28T00:00:00"/>
    <x v="3"/>
    <x v="0"/>
    <s v="SUSCRIPCION"/>
    <x v="2"/>
    <n v="2000000000"/>
    <x v="2"/>
    <x v="0"/>
    <x v="0"/>
    <m/>
    <m/>
    <x v="0"/>
    <n v="2000000000"/>
  </r>
  <r>
    <d v="2026-01-28T00:00:00"/>
    <x v="0"/>
    <x v="0"/>
    <s v="RESCATE"/>
    <x v="4"/>
    <n v="44770401"/>
    <x v="3"/>
    <x v="0"/>
    <x v="0"/>
    <m/>
    <m/>
    <x v="0"/>
    <n v="-44770401"/>
  </r>
  <r>
    <d v="2026-01-28T00:00:00"/>
    <x v="0"/>
    <x v="0"/>
    <s v="SUSCRIPCION"/>
    <x v="0"/>
    <n v="841484.07"/>
    <x v="0"/>
    <x v="0"/>
    <x v="0"/>
    <m/>
    <m/>
    <x v="0"/>
    <n v="841484.07"/>
  </r>
  <r>
    <d v="2026-01-28T00:00:00"/>
    <x v="0"/>
    <x v="0"/>
    <s v="SUSCRIPCION"/>
    <x v="2"/>
    <n v="4552489.0199999996"/>
    <x v="2"/>
    <x v="0"/>
    <x v="0"/>
    <m/>
    <m/>
    <x v="0"/>
    <n v="4552489.0199999996"/>
  </r>
  <r>
    <d v="2026-01-28T00:00:00"/>
    <x v="2"/>
    <x v="0"/>
    <s v="RESCATE"/>
    <x v="19"/>
    <n v="12000000"/>
    <x v="14"/>
    <x v="0"/>
    <x v="0"/>
    <m/>
    <m/>
    <x v="0"/>
    <n v="-12000000"/>
  </r>
  <r>
    <d v="2026-01-28T00:00:00"/>
    <x v="2"/>
    <x v="0"/>
    <s v="SUSCRIPCION"/>
    <x v="2"/>
    <n v="5338509.32"/>
    <x v="2"/>
    <x v="0"/>
    <x v="0"/>
    <m/>
    <m/>
    <x v="0"/>
    <n v="5338509.32"/>
  </r>
  <r>
    <d v="2026-01-28T00:00:00"/>
    <x v="1"/>
    <x v="0"/>
    <s v="SUSCRIPCION"/>
    <x v="1"/>
    <n v="7994560"/>
    <x v="1"/>
    <x v="0"/>
    <x v="0"/>
    <m/>
    <m/>
    <x v="0"/>
    <n v="7994560"/>
  </r>
  <r>
    <d v="2026-01-28T00:00:00"/>
    <x v="3"/>
    <x v="0"/>
    <s v="SUSCRIPCION"/>
    <x v="0"/>
    <n v="5954960.3300000001"/>
    <x v="0"/>
    <x v="0"/>
    <x v="0"/>
    <m/>
    <m/>
    <x v="0"/>
    <n v="5954960.3300000001"/>
  </r>
  <r>
    <d v="2026-01-28T00:00:00"/>
    <x v="3"/>
    <x v="0"/>
    <s v="SUSCRIPCION"/>
    <x v="6"/>
    <n v="7044780"/>
    <x v="5"/>
    <x v="0"/>
    <x v="0"/>
    <m/>
    <m/>
    <x v="0"/>
    <n v="7044780"/>
  </r>
  <r>
    <d v="2026-01-28T00:00:00"/>
    <x v="3"/>
    <x v="0"/>
    <s v="RESCATE"/>
    <x v="19"/>
    <n v="3000000"/>
    <x v="14"/>
    <x v="0"/>
    <x v="0"/>
    <m/>
    <m/>
    <x v="0"/>
    <n v="-3000000"/>
  </r>
  <r>
    <d v="2026-01-29T00:00:00"/>
    <x v="3"/>
    <x v="0"/>
    <s v="RESCATE"/>
    <x v="6"/>
    <n v="600000000"/>
    <x v="5"/>
    <x v="0"/>
    <x v="0"/>
    <m/>
    <m/>
    <x v="0"/>
    <n v="-600000000"/>
  </r>
  <r>
    <d v="2026-01-29T00:00:00"/>
    <x v="3"/>
    <x v="0"/>
    <s v="SUSCRIPCION"/>
    <x v="16"/>
    <n v="600000000"/>
    <x v="13"/>
    <x v="0"/>
    <x v="0"/>
    <m/>
    <m/>
    <x v="0"/>
    <n v="600000000"/>
  </r>
  <r>
    <d v="2026-01-29T00:00:00"/>
    <x v="3"/>
    <x v="0"/>
    <s v="RESCATE"/>
    <x v="6"/>
    <n v="405800000"/>
    <x v="5"/>
    <x v="0"/>
    <x v="0"/>
    <m/>
    <m/>
    <x v="0"/>
    <n v="-405800000"/>
  </r>
  <r>
    <d v="2026-01-29T00:00:00"/>
    <x v="2"/>
    <x v="0"/>
    <s v="SUSCRIPCION"/>
    <x v="1"/>
    <n v="79100000"/>
    <x v="1"/>
    <x v="0"/>
    <x v="0"/>
    <m/>
    <m/>
    <x v="0"/>
    <n v="79100000"/>
  </r>
  <r>
    <d v="2026-01-29T00:00:00"/>
    <x v="0"/>
    <x v="0"/>
    <s v="RESCATE"/>
    <x v="2"/>
    <n v="103100000"/>
    <x v="2"/>
    <x v="0"/>
    <x v="0"/>
    <m/>
    <m/>
    <x v="0"/>
    <n v="-103100000"/>
  </r>
  <r>
    <d v="2026-01-29T00:00:00"/>
    <x v="0"/>
    <x v="0"/>
    <s v="RESCATE"/>
    <x v="2"/>
    <n v="54680202.5"/>
    <x v="2"/>
    <x v="0"/>
    <x v="0"/>
    <m/>
    <m/>
    <x v="0"/>
    <n v="-54680202.5"/>
  </r>
  <r>
    <d v="2026-01-29T00:00:00"/>
    <x v="2"/>
    <x v="0"/>
    <s v="RESCATE"/>
    <x v="2"/>
    <n v="53862180"/>
    <x v="2"/>
    <x v="0"/>
    <x v="0"/>
    <m/>
    <m/>
    <x v="0"/>
    <n v="-53862180"/>
  </r>
  <r>
    <d v="2026-01-29T00:00:00"/>
    <x v="3"/>
    <x v="2"/>
    <s v="SUSCRIPCION"/>
    <x v="8"/>
    <n v="1000000"/>
    <x v="2"/>
    <x v="3"/>
    <x v="1"/>
    <s v="25/11/2026"/>
    <n v="5"/>
    <x v="10"/>
    <n v="1000000"/>
  </r>
  <r>
    <d v="2026-01-29T00:00:00"/>
    <x v="3"/>
    <x v="0"/>
    <s v="RESCATE"/>
    <x v="2"/>
    <n v="1387507600"/>
    <x v="2"/>
    <x v="0"/>
    <x v="0"/>
    <m/>
    <m/>
    <x v="0"/>
    <n v="-1387507600"/>
  </r>
  <r>
    <d v="2026-01-29T00:00:00"/>
    <x v="2"/>
    <x v="0"/>
    <s v="SUSCRIPCION"/>
    <x v="2"/>
    <n v="1382932659"/>
    <x v="2"/>
    <x v="0"/>
    <x v="0"/>
    <m/>
    <m/>
    <x v="0"/>
    <n v="1382932659"/>
  </r>
  <r>
    <d v="2026-01-30T00:00:00"/>
    <x v="3"/>
    <x v="0"/>
    <s v="SUSCRIPCION"/>
    <x v="9"/>
    <n v="138100000"/>
    <x v="6"/>
    <x v="0"/>
    <x v="0"/>
    <m/>
    <m/>
    <x v="0"/>
    <n v="138100000"/>
  </r>
  <r>
    <d v="2026-01-30T00:00:00"/>
    <x v="0"/>
    <x v="0"/>
    <s v="RESCATE"/>
    <x v="1"/>
    <n v="14000000"/>
    <x v="1"/>
    <x v="0"/>
    <x v="0"/>
    <m/>
    <m/>
    <x v="0"/>
    <n v="-14000000"/>
  </r>
  <r>
    <d v="2026-01-30T00:00:00"/>
    <x v="2"/>
    <x v="0"/>
    <s v="SUSCRIPCION"/>
    <x v="1"/>
    <n v="5500000"/>
    <x v="1"/>
    <x v="0"/>
    <x v="0"/>
    <m/>
    <m/>
    <x v="0"/>
    <n v="5500000"/>
  </r>
  <r>
    <d v="2026-01-30T00:00:00"/>
    <x v="3"/>
    <x v="0"/>
    <s v="SUSCRIPCION"/>
    <x v="6"/>
    <n v="8033141"/>
    <x v="5"/>
    <x v="0"/>
    <x v="0"/>
    <m/>
    <m/>
    <x v="0"/>
    <n v="8033141"/>
  </r>
  <r>
    <d v="2026-01-30T00:00:00"/>
    <x v="3"/>
    <x v="0"/>
    <s v="SUSCRIPCION"/>
    <x v="9"/>
    <n v="32177163.73"/>
    <x v="6"/>
    <x v="0"/>
    <x v="0"/>
    <m/>
    <m/>
    <x v="0"/>
    <n v="32177163.73"/>
  </r>
  <r>
    <d v="2026-01-30T00:00:00"/>
    <x v="3"/>
    <x v="0"/>
    <s v="SUSCRIPCION"/>
    <x v="6"/>
    <n v="1442000000"/>
    <x v="5"/>
    <x v="0"/>
    <x v="0"/>
    <m/>
    <m/>
    <x v="0"/>
    <n v="1442000000"/>
  </r>
  <r>
    <d v="2026-02-02T00:00:00"/>
    <x v="3"/>
    <x v="0"/>
    <s v="RESCATE"/>
    <x v="6"/>
    <n v="993700000"/>
    <x v="5"/>
    <x v="0"/>
    <x v="0"/>
    <m/>
    <m/>
    <x v="0"/>
    <n v="-993700000"/>
  </r>
  <r>
    <d v="2026-02-02T00:00:00"/>
    <x v="1"/>
    <x v="0"/>
    <s v="RESCATE"/>
    <x v="1"/>
    <n v="70600000"/>
    <x v="1"/>
    <x v="0"/>
    <x v="0"/>
    <m/>
    <m/>
    <x v="0"/>
    <n v="-70600000"/>
  </r>
  <r>
    <d v="2026-02-02T00:00:00"/>
    <x v="0"/>
    <x v="0"/>
    <s v="SUSCRIPCION"/>
    <x v="1"/>
    <n v="93100000"/>
    <x v="1"/>
    <x v="0"/>
    <x v="0"/>
    <m/>
    <m/>
    <x v="0"/>
    <n v="93100000"/>
  </r>
  <r>
    <d v="2026-02-02T00:00:00"/>
    <x v="2"/>
    <x v="0"/>
    <s v="RESCATE"/>
    <x v="2"/>
    <n v="279000000"/>
    <x v="2"/>
    <x v="0"/>
    <x v="0"/>
    <m/>
    <m/>
    <x v="0"/>
    <n v="-279000000"/>
  </r>
  <r>
    <d v="2026-02-02T00:00:00"/>
    <x v="0"/>
    <x v="0"/>
    <s v="RESCATE"/>
    <x v="2"/>
    <n v="100000000"/>
    <x v="2"/>
    <x v="0"/>
    <x v="0"/>
    <m/>
    <m/>
    <x v="0"/>
    <n v="-100000000"/>
  </r>
  <r>
    <d v="2026-02-02T00:00:00"/>
    <x v="0"/>
    <x v="0"/>
    <s v="SUSCRIPCION"/>
    <x v="6"/>
    <n v="32400000"/>
    <x v="5"/>
    <x v="0"/>
    <x v="0"/>
    <m/>
    <m/>
    <x v="0"/>
    <n v="32400000"/>
  </r>
  <r>
    <d v="2026-02-02T00:00:00"/>
    <x v="3"/>
    <x v="0"/>
    <s v="RESCATE"/>
    <x v="9"/>
    <n v="1000000"/>
    <x v="6"/>
    <x v="0"/>
    <x v="0"/>
    <m/>
    <m/>
    <x v="0"/>
    <n v="-1000000"/>
  </r>
  <r>
    <d v="2026-02-02T00:00:00"/>
    <x v="3"/>
    <x v="0"/>
    <s v="RESCATE"/>
    <x v="6"/>
    <n v="2000000000"/>
    <x v="5"/>
    <x v="0"/>
    <x v="0"/>
    <m/>
    <m/>
    <x v="0"/>
    <n v="-2000000000"/>
  </r>
  <r>
    <d v="2026-02-02T00:00:00"/>
    <x v="3"/>
    <x v="0"/>
    <s v="SUSCRIPCION"/>
    <x v="2"/>
    <n v="2000000000"/>
    <x v="2"/>
    <x v="0"/>
    <x v="0"/>
    <m/>
    <m/>
    <x v="0"/>
    <n v="2000000000"/>
  </r>
  <r>
    <d v="2026-02-03T00:00:00"/>
    <x v="3"/>
    <x v="0"/>
    <s v="SUSCRIPCION"/>
    <x v="6"/>
    <n v="4400000"/>
    <x v="5"/>
    <x v="0"/>
    <x v="0"/>
    <m/>
    <m/>
    <x v="0"/>
    <n v="4400000"/>
  </r>
  <r>
    <d v="2026-02-03T00:00:00"/>
    <x v="0"/>
    <x v="0"/>
    <s v="RESCATE"/>
    <x v="1"/>
    <n v="3900000"/>
    <x v="1"/>
    <x v="0"/>
    <x v="0"/>
    <m/>
    <m/>
    <x v="0"/>
    <n v="-3900000"/>
  </r>
  <r>
    <d v="2026-02-03T00:00:00"/>
    <x v="2"/>
    <x v="0"/>
    <s v="RESCATE"/>
    <x v="1"/>
    <n v="35400000"/>
    <x v="1"/>
    <x v="0"/>
    <x v="0"/>
    <m/>
    <m/>
    <x v="0"/>
    <n v="-35400000"/>
  </r>
  <r>
    <d v="2026-02-03T00:00:00"/>
    <x v="3"/>
    <x v="0"/>
    <s v="RESCATE"/>
    <x v="2"/>
    <n v="842754192"/>
    <x v="2"/>
    <x v="0"/>
    <x v="0"/>
    <m/>
    <m/>
    <x v="0"/>
    <n v="-842754192"/>
  </r>
  <r>
    <d v="2026-02-03T00:00:00"/>
    <x v="2"/>
    <x v="0"/>
    <s v="SUSCRIPCION"/>
    <x v="2"/>
    <n v="417356613"/>
    <x v="2"/>
    <x v="0"/>
    <x v="0"/>
    <m/>
    <m/>
    <x v="0"/>
    <n v="417356613"/>
  </r>
  <r>
    <d v="2026-02-03T00:00:00"/>
    <x v="0"/>
    <x v="0"/>
    <s v="SUSCRIPCION"/>
    <x v="2"/>
    <n v="423764054"/>
    <x v="2"/>
    <x v="0"/>
    <x v="0"/>
    <m/>
    <m/>
    <x v="0"/>
    <n v="423764054"/>
  </r>
  <r>
    <d v="2026-02-03T00:00:00"/>
    <x v="3"/>
    <x v="2"/>
    <s v="SUSCRIPCION"/>
    <x v="8"/>
    <n v="300000"/>
    <x v="2"/>
    <x v="3"/>
    <x v="1"/>
    <d v="2026-12-02T00:00:00"/>
    <n v="5"/>
    <x v="11"/>
    <n v="300000"/>
  </r>
  <r>
    <d v="2026-02-03T00:00:00"/>
    <x v="3"/>
    <x v="2"/>
    <s v="SUSCRIPCION"/>
    <x v="18"/>
    <n v="300000"/>
    <x v="2"/>
    <x v="3"/>
    <x v="1"/>
    <d v="2026-12-08T00:00:00"/>
    <n v="5"/>
    <x v="12"/>
    <n v="300000"/>
  </r>
  <r>
    <d v="2026-02-03T00:00:00"/>
    <x v="0"/>
    <x v="0"/>
    <s v="SUSCRIPCION"/>
    <x v="6"/>
    <n v="20777801"/>
    <x v="5"/>
    <x v="0"/>
    <x v="0"/>
    <m/>
    <m/>
    <x v="0"/>
    <n v="20777801"/>
  </r>
  <r>
    <d v="2026-02-04T00:00:00"/>
    <x v="0"/>
    <x v="0"/>
    <s v="RESCATE"/>
    <x v="2"/>
    <n v="200000000"/>
    <x v="2"/>
    <x v="0"/>
    <x v="0"/>
    <m/>
    <m/>
    <x v="0"/>
    <n v="-200000000"/>
  </r>
  <r>
    <d v="2026-02-04T00:00:00"/>
    <x v="3"/>
    <x v="0"/>
    <s v="RESCATE"/>
    <x v="6"/>
    <n v="189300000"/>
    <x v="5"/>
    <x v="0"/>
    <x v="0"/>
    <m/>
    <m/>
    <x v="0"/>
    <n v="-189300000"/>
  </r>
  <r>
    <d v="2026-02-04T00:00:00"/>
    <x v="0"/>
    <x v="0"/>
    <s v="SUSCRIPCION"/>
    <x v="1"/>
    <n v="22800000"/>
    <x v="1"/>
    <x v="0"/>
    <x v="0"/>
    <m/>
    <m/>
    <x v="0"/>
    <n v="22800000"/>
  </r>
  <r>
    <d v="2026-02-04T00:00:00"/>
    <x v="2"/>
    <x v="0"/>
    <s v="SUSCRIPCION"/>
    <x v="1"/>
    <n v="11800000"/>
    <x v="1"/>
    <x v="0"/>
    <x v="0"/>
    <m/>
    <m/>
    <x v="0"/>
    <n v="11800000"/>
  </r>
  <r>
    <d v="2026-02-04T00:00:00"/>
    <x v="3"/>
    <x v="0"/>
    <s v="RESCATE"/>
    <x v="12"/>
    <n v="122962263.92"/>
    <x v="9"/>
    <x v="0"/>
    <x v="0"/>
    <m/>
    <m/>
    <x v="0"/>
    <n v="-122962263.92"/>
  </r>
  <r>
    <d v="2026-02-05T00:00:00"/>
    <x v="3"/>
    <x v="0"/>
    <s v="RESCATE"/>
    <x v="6"/>
    <n v="357300000"/>
    <x v="5"/>
    <x v="0"/>
    <x v="0"/>
    <m/>
    <m/>
    <x v="0"/>
    <n v="-357300000"/>
  </r>
  <r>
    <d v="2026-02-05T00:00:00"/>
    <x v="0"/>
    <x v="0"/>
    <s v="RESCATE"/>
    <x v="1"/>
    <n v="38000000"/>
    <x v="1"/>
    <x v="0"/>
    <x v="0"/>
    <m/>
    <m/>
    <x v="0"/>
    <n v="-38000000"/>
  </r>
  <r>
    <d v="2026-02-05T00:00:00"/>
    <x v="1"/>
    <x v="0"/>
    <s v="RESCATE"/>
    <x v="1"/>
    <n v="312000000"/>
    <x v="1"/>
    <x v="0"/>
    <x v="0"/>
    <m/>
    <m/>
    <x v="0"/>
    <n v="-312000000"/>
  </r>
  <r>
    <d v="2026-02-05T00:00:00"/>
    <x v="2"/>
    <x v="0"/>
    <s v="SUSCRIPCION"/>
    <x v="1"/>
    <n v="900000"/>
    <x v="1"/>
    <x v="0"/>
    <x v="0"/>
    <m/>
    <m/>
    <x v="0"/>
    <n v="900000"/>
  </r>
  <r>
    <d v="2026-02-06T00:00:00"/>
    <x v="3"/>
    <x v="0"/>
    <s v="SUSCRIPCION"/>
    <x v="2"/>
    <n v="310077941"/>
    <x v="2"/>
    <x v="0"/>
    <x v="0"/>
    <m/>
    <m/>
    <x v="0"/>
    <n v="310077941"/>
  </r>
  <r>
    <d v="2026-02-06T00:00:00"/>
    <x v="0"/>
    <x v="0"/>
    <s v="RESCATE"/>
    <x v="2"/>
    <n v="62528924"/>
    <x v="2"/>
    <x v="0"/>
    <x v="0"/>
    <m/>
    <m/>
    <x v="0"/>
    <n v="-62528924"/>
  </r>
  <r>
    <d v="2026-02-06T00:00:00"/>
    <x v="0"/>
    <x v="0"/>
    <s v="RESCATE"/>
    <x v="2"/>
    <n v="77721262"/>
    <x v="2"/>
    <x v="0"/>
    <x v="0"/>
    <m/>
    <m/>
    <x v="0"/>
    <n v="-77721262"/>
  </r>
  <r>
    <d v="2026-02-06T00:00:00"/>
    <x v="2"/>
    <x v="0"/>
    <s v="RESCATE"/>
    <x v="2"/>
    <n v="83066080"/>
    <x v="2"/>
    <x v="0"/>
    <x v="0"/>
    <m/>
    <m/>
    <x v="0"/>
    <n v="-83066080"/>
  </r>
  <r>
    <d v="2026-02-06T00:00:00"/>
    <x v="2"/>
    <x v="0"/>
    <s v="RESCATE"/>
    <x v="2"/>
    <n v="481500000"/>
    <x v="2"/>
    <x v="0"/>
    <x v="0"/>
    <m/>
    <m/>
    <x v="0"/>
    <n v="-481500000"/>
  </r>
  <r>
    <d v="2026-02-06T00:00:00"/>
    <x v="3"/>
    <x v="0"/>
    <s v="RESCATE"/>
    <x v="6"/>
    <n v="105900000"/>
    <x v="5"/>
    <x v="0"/>
    <x v="0"/>
    <m/>
    <m/>
    <x v="0"/>
    <n v="-105900000"/>
  </r>
  <r>
    <d v="2026-02-06T00:00:00"/>
    <x v="0"/>
    <x v="0"/>
    <s v="RESCATE"/>
    <x v="1"/>
    <n v="26100000"/>
    <x v="1"/>
    <x v="0"/>
    <x v="0"/>
    <m/>
    <m/>
    <x v="0"/>
    <n v="-26100000"/>
  </r>
  <r>
    <d v="2026-02-06T00:00:00"/>
    <x v="2"/>
    <x v="0"/>
    <s v="SUSCRIPCION"/>
    <x v="1"/>
    <n v="52600000"/>
    <x v="1"/>
    <x v="0"/>
    <x v="0"/>
    <m/>
    <m/>
    <x v="0"/>
    <n v="52600000"/>
  </r>
  <r>
    <d v="2026-02-06T00:00:00"/>
    <x v="1"/>
    <x v="0"/>
    <s v="RESCATE"/>
    <x v="1"/>
    <n v="99900000"/>
    <x v="1"/>
    <x v="0"/>
    <x v="0"/>
    <m/>
    <m/>
    <x v="0"/>
    <n v="-99900000"/>
  </r>
  <r>
    <d v="2026-02-09T00:00:00"/>
    <x v="2"/>
    <x v="0"/>
    <s v="RESCATE"/>
    <x v="2"/>
    <n v="824000000"/>
    <x v="2"/>
    <x v="0"/>
    <x v="0"/>
    <m/>
    <m/>
    <x v="0"/>
    <n v="-824000000"/>
  </r>
  <r>
    <d v="2026-02-09T00:00:00"/>
    <x v="2"/>
    <x v="0"/>
    <s v="RESCATE"/>
    <x v="2"/>
    <n v="200000000"/>
    <x v="2"/>
    <x v="0"/>
    <x v="0"/>
    <m/>
    <m/>
    <x v="0"/>
    <n v="-200000000"/>
  </r>
  <r>
    <d v="2026-02-09T00:00:00"/>
    <x v="0"/>
    <x v="0"/>
    <s v="RESCATE"/>
    <x v="2"/>
    <n v="200000000"/>
    <x v="2"/>
    <x v="0"/>
    <x v="0"/>
    <m/>
    <m/>
    <x v="0"/>
    <n v="-200000000"/>
  </r>
  <r>
    <d v="2026-02-09T00:00:00"/>
    <x v="3"/>
    <x v="0"/>
    <s v="RESCATE"/>
    <x v="6"/>
    <n v="1636400000"/>
    <x v="5"/>
    <x v="0"/>
    <x v="0"/>
    <m/>
    <m/>
    <x v="0"/>
    <n v="-1636400000"/>
  </r>
  <r>
    <d v="2026-02-09T00:00:00"/>
    <x v="2"/>
    <x v="0"/>
    <s v="RESCATE"/>
    <x v="1"/>
    <n v="57700000"/>
    <x v="1"/>
    <x v="0"/>
    <x v="0"/>
    <m/>
    <m/>
    <x v="0"/>
    <n v="-57700000"/>
  </r>
  <r>
    <d v="2026-02-09T00:00:00"/>
    <x v="1"/>
    <x v="0"/>
    <s v="RESCATE"/>
    <x v="1"/>
    <n v="7200000"/>
    <x v="1"/>
    <x v="0"/>
    <x v="0"/>
    <m/>
    <m/>
    <x v="0"/>
    <n v="-7200000"/>
  </r>
  <r>
    <d v="2026-02-09T00:00:00"/>
    <x v="0"/>
    <x v="0"/>
    <s v="SUSCRIPCION"/>
    <x v="1"/>
    <n v="100000000"/>
    <x v="1"/>
    <x v="0"/>
    <x v="0"/>
    <m/>
    <m/>
    <x v="0"/>
    <n v="100000000"/>
  </r>
  <r>
    <d v="2026-02-10T00:00:00"/>
    <x v="3"/>
    <x v="0"/>
    <s v="RESCATE"/>
    <x v="6"/>
    <n v="1000000000"/>
    <x v="5"/>
    <x v="0"/>
    <x v="0"/>
    <m/>
    <m/>
    <x v="0"/>
    <n v="-1000000000"/>
  </r>
  <r>
    <d v="2026-02-10T00:00:00"/>
    <x v="3"/>
    <x v="0"/>
    <s v="SUSCRIPCION"/>
    <x v="2"/>
    <n v="1000000000"/>
    <x v="2"/>
    <x v="0"/>
    <x v="0"/>
    <m/>
    <m/>
    <x v="0"/>
    <n v="1000000000"/>
  </r>
  <r>
    <d v="2026-02-10T00:00:00"/>
    <x v="3"/>
    <x v="0"/>
    <s v="RESCATE"/>
    <x v="0"/>
    <n v="128105336"/>
    <x v="0"/>
    <x v="0"/>
    <x v="0"/>
    <m/>
    <m/>
    <x v="0"/>
    <n v="-128105336"/>
  </r>
  <r>
    <d v="2026-02-10T00:00:00"/>
    <x v="3"/>
    <x v="0"/>
    <s v="RESCATE"/>
    <x v="0"/>
    <n v="138762850"/>
    <x v="0"/>
    <x v="0"/>
    <x v="0"/>
    <m/>
    <m/>
    <x v="0"/>
    <n v="-138762850"/>
  </r>
  <r>
    <d v="2026-02-10T00:00:00"/>
    <x v="3"/>
    <x v="0"/>
    <s v="RESCATE"/>
    <x v="5"/>
    <n v="97129895"/>
    <x v="4"/>
    <x v="0"/>
    <x v="0"/>
    <m/>
    <m/>
    <x v="0"/>
    <n v="-97129895"/>
  </r>
  <r>
    <d v="2026-02-10T00:00:00"/>
    <x v="3"/>
    <x v="0"/>
    <s v="RESCATE"/>
    <x v="16"/>
    <n v="114371768"/>
    <x v="13"/>
    <x v="0"/>
    <x v="0"/>
    <m/>
    <m/>
    <x v="0"/>
    <n v="-114371768"/>
  </r>
  <r>
    <d v="2026-02-10T00:00:00"/>
    <x v="3"/>
    <x v="0"/>
    <s v="RESCATE"/>
    <x v="16"/>
    <n v="98120250"/>
    <x v="13"/>
    <x v="0"/>
    <x v="0"/>
    <m/>
    <m/>
    <x v="0"/>
    <n v="-98120250"/>
  </r>
  <r>
    <d v="2026-02-10T00:00:00"/>
    <x v="0"/>
    <x v="0"/>
    <s v="RESCATE"/>
    <x v="1"/>
    <n v="104700000"/>
    <x v="1"/>
    <x v="0"/>
    <x v="0"/>
    <m/>
    <m/>
    <x v="0"/>
    <n v="-104700000"/>
  </r>
  <r>
    <d v="2026-02-10T00:00:00"/>
    <x v="2"/>
    <x v="0"/>
    <s v="RESCATE"/>
    <x v="1"/>
    <n v="45000000"/>
    <x v="1"/>
    <x v="0"/>
    <x v="0"/>
    <m/>
    <m/>
    <x v="0"/>
    <n v="-45000000"/>
  </r>
  <r>
    <d v="2026-02-10T00:00:00"/>
    <x v="1"/>
    <x v="0"/>
    <s v="RESCATE"/>
    <x v="1"/>
    <n v="71900000"/>
    <x v="1"/>
    <x v="0"/>
    <x v="0"/>
    <m/>
    <m/>
    <x v="0"/>
    <n v="-71900000"/>
  </r>
  <r>
    <d v="2026-02-10T00:00:00"/>
    <x v="3"/>
    <x v="0"/>
    <s v="RESCATE"/>
    <x v="6"/>
    <n v="218800000"/>
    <x v="5"/>
    <x v="0"/>
    <x v="0"/>
    <m/>
    <m/>
    <x v="0"/>
    <n v="-218800000"/>
  </r>
  <r>
    <d v="2026-02-10T00:00:00"/>
    <x v="3"/>
    <x v="0"/>
    <s v="RESCATE"/>
    <x v="2"/>
    <n v="2774428759"/>
    <x v="2"/>
    <x v="0"/>
    <x v="0"/>
    <m/>
    <m/>
    <x v="0"/>
    <n v="-2774428759"/>
  </r>
  <r>
    <d v="2026-02-10T00:00:00"/>
    <x v="0"/>
    <x v="0"/>
    <s v="SUSCRIPCION"/>
    <x v="2"/>
    <n v="2767294687"/>
    <x v="2"/>
    <x v="0"/>
    <x v="0"/>
    <m/>
    <m/>
    <x v="0"/>
    <n v="2767294687"/>
  </r>
  <r>
    <d v="2026-02-10T00:00:00"/>
    <x v="3"/>
    <x v="2"/>
    <s v="SUSCRIPCION"/>
    <x v="18"/>
    <n v="2000000"/>
    <x v="2"/>
    <x v="3"/>
    <x v="1"/>
    <s v="26/08/2026"/>
    <n v="5"/>
    <x v="13"/>
    <n v="2000000"/>
  </r>
  <r>
    <d v="2026-02-11T00:00:00"/>
    <x v="3"/>
    <x v="0"/>
    <s v="RESCATE"/>
    <x v="9"/>
    <n v="210200000"/>
    <x v="6"/>
    <x v="0"/>
    <x v="0"/>
    <m/>
    <m/>
    <x v="0"/>
    <n v="-210200000"/>
  </r>
  <r>
    <d v="2026-02-11T00:00:00"/>
    <x v="0"/>
    <x v="0"/>
    <s v="SUSCRIPCION"/>
    <x v="1"/>
    <n v="62600000"/>
    <x v="1"/>
    <x v="0"/>
    <x v="0"/>
    <m/>
    <m/>
    <x v="0"/>
    <n v="62600000"/>
  </r>
  <r>
    <d v="2026-02-11T00:00:00"/>
    <x v="1"/>
    <x v="0"/>
    <s v="RESCATE"/>
    <x v="1"/>
    <n v="2600000"/>
    <x v="1"/>
    <x v="0"/>
    <x v="0"/>
    <m/>
    <m/>
    <x v="0"/>
    <n v="-2600000"/>
  </r>
  <r>
    <d v="2026-02-11T00:00:00"/>
    <x v="2"/>
    <x v="0"/>
    <s v="RESCATE"/>
    <x v="2"/>
    <n v="43600000"/>
    <x v="2"/>
    <x v="0"/>
    <x v="0"/>
    <m/>
    <m/>
    <x v="0"/>
    <n v="-43600000"/>
  </r>
  <r>
    <d v="2026-02-11T00:00:00"/>
    <x v="0"/>
    <x v="0"/>
    <s v="SUSCRIPCION"/>
    <x v="2"/>
    <n v="410312474"/>
    <x v="2"/>
    <x v="0"/>
    <x v="0"/>
    <m/>
    <m/>
    <x v="0"/>
    <n v="410312474"/>
  </r>
  <r>
    <d v="2026-02-11T00:00:00"/>
    <x v="2"/>
    <x v="0"/>
    <s v="SUSCRIPCION"/>
    <x v="2"/>
    <n v="538301044"/>
    <x v="2"/>
    <x v="0"/>
    <x v="0"/>
    <m/>
    <m/>
    <x v="0"/>
    <n v="538301044"/>
  </r>
  <r>
    <d v="2026-02-11T00:00:00"/>
    <x v="3"/>
    <x v="0"/>
    <s v="RESCATE"/>
    <x v="2"/>
    <n v="951337614"/>
    <x v="2"/>
    <x v="0"/>
    <x v="0"/>
    <m/>
    <m/>
    <x v="0"/>
    <n v="-951337614"/>
  </r>
  <r>
    <d v="2026-02-11T00:00:00"/>
    <x v="3"/>
    <x v="2"/>
    <s v="SUSCRIPCION"/>
    <x v="8"/>
    <n v="400000"/>
    <x v="2"/>
    <x v="3"/>
    <x v="1"/>
    <s v="16/12/2026"/>
    <n v="5"/>
    <x v="14"/>
    <n v="400000"/>
  </r>
  <r>
    <d v="2026-02-11T00:00:00"/>
    <x v="3"/>
    <x v="2"/>
    <s v="SUSCRIPCION"/>
    <x v="18"/>
    <n v="300000"/>
    <x v="2"/>
    <x v="3"/>
    <x v="1"/>
    <s v="19/8/2026"/>
    <n v="5"/>
    <x v="15"/>
    <n v="300000"/>
  </r>
  <r>
    <d v="2026-02-12T00:00:00"/>
    <x v="0"/>
    <x v="0"/>
    <s v="RESCATE"/>
    <x v="1"/>
    <n v="16300000"/>
    <x v="1"/>
    <x v="0"/>
    <x v="0"/>
    <m/>
    <m/>
    <x v="0"/>
    <n v="-16300000"/>
  </r>
  <r>
    <d v="2026-02-12T00:00:00"/>
    <x v="1"/>
    <x v="0"/>
    <s v="SUSCRIPCION"/>
    <x v="1"/>
    <n v="129900000"/>
    <x v="1"/>
    <x v="0"/>
    <x v="0"/>
    <m/>
    <m/>
    <x v="0"/>
    <n v="129900000"/>
  </r>
  <r>
    <d v="2026-02-12T00:00:00"/>
    <x v="2"/>
    <x v="0"/>
    <s v="SUSCRIPCION"/>
    <x v="1"/>
    <n v="23500000"/>
    <x v="1"/>
    <x v="0"/>
    <x v="0"/>
    <m/>
    <m/>
    <x v="0"/>
    <n v="23500000"/>
  </r>
  <r>
    <d v="2026-02-12T00:00:00"/>
    <x v="3"/>
    <x v="0"/>
    <s v="RESCATE"/>
    <x v="9"/>
    <n v="190900000"/>
    <x v="6"/>
    <x v="0"/>
    <x v="0"/>
    <m/>
    <m/>
    <x v="0"/>
    <n v="-190900000"/>
  </r>
  <r>
    <d v="2026-02-13T00:00:00"/>
    <x v="3"/>
    <x v="0"/>
    <s v="RESCATE"/>
    <x v="6"/>
    <n v="443700000"/>
    <x v="5"/>
    <x v="0"/>
    <x v="0"/>
    <m/>
    <m/>
    <x v="0"/>
    <n v="-443700000"/>
  </r>
  <r>
    <d v="2026-02-13T00:00:00"/>
    <x v="0"/>
    <x v="0"/>
    <s v="RESCATE"/>
    <x v="1"/>
    <n v="18400000"/>
    <x v="1"/>
    <x v="0"/>
    <x v="0"/>
    <m/>
    <m/>
    <x v="0"/>
    <n v="-18400000"/>
  </r>
  <r>
    <d v="2026-02-13T00:00:00"/>
    <x v="2"/>
    <x v="0"/>
    <s v="SUSCRIPCION"/>
    <x v="1"/>
    <n v="88200000"/>
    <x v="1"/>
    <x v="0"/>
    <x v="0"/>
    <m/>
    <m/>
    <x v="0"/>
    <n v="88200000"/>
  </r>
  <r>
    <d v="2026-02-13T00:00:00"/>
    <x v="2"/>
    <x v="0"/>
    <s v="RESCATE"/>
    <x v="2"/>
    <n v="173219788"/>
    <x v="2"/>
    <x v="0"/>
    <x v="0"/>
    <m/>
    <m/>
    <x v="0"/>
    <n v="-173219788"/>
  </r>
  <r>
    <d v="2026-02-13T00:00:00"/>
    <x v="2"/>
    <x v="0"/>
    <s v="RESCATE"/>
    <x v="2"/>
    <n v="117047252"/>
    <x v="2"/>
    <x v="0"/>
    <x v="0"/>
    <m/>
    <m/>
    <x v="0"/>
    <n v="-117047252"/>
  </r>
  <r>
    <d v="2026-02-13T00:00:00"/>
    <x v="3"/>
    <x v="0"/>
    <s v="SUSCRIPCION"/>
    <x v="6"/>
    <n v="6960000000"/>
    <x v="5"/>
    <x v="0"/>
    <x v="0"/>
    <m/>
    <m/>
    <x v="0"/>
    <n v="6960000000"/>
  </r>
  <r>
    <d v="2026-02-13T00:00:00"/>
    <x v="3"/>
    <x v="0"/>
    <s v="RESCATE"/>
    <x v="14"/>
    <n v="41800384.18"/>
    <x v="11"/>
    <x v="0"/>
    <x v="0"/>
    <m/>
    <m/>
    <x v="0"/>
    <n v="-41800384.18"/>
  </r>
  <r>
    <d v="2026-02-13T00:00:00"/>
    <x v="0"/>
    <x v="0"/>
    <s v="SUSCRIPCION"/>
    <x v="0"/>
    <n v="106865873.13"/>
    <x v="0"/>
    <x v="0"/>
    <x v="0"/>
    <m/>
    <m/>
    <x v="0"/>
    <n v="106865873.13"/>
  </r>
  <r>
    <d v="2026-02-18T00:00:00"/>
    <x v="3"/>
    <x v="0"/>
    <s v="RESCATE"/>
    <x v="6"/>
    <n v="1000000000"/>
    <x v="5"/>
    <x v="0"/>
    <x v="0"/>
    <m/>
    <m/>
    <x v="0"/>
    <n v="-1000000000"/>
  </r>
  <r>
    <d v="2026-02-18T00:00:00"/>
    <x v="3"/>
    <x v="0"/>
    <s v="SUSCRIPCION"/>
    <x v="2"/>
    <n v="1000000000"/>
    <x v="2"/>
    <x v="0"/>
    <x v="0"/>
    <m/>
    <m/>
    <x v="0"/>
    <n v="1000000000"/>
  </r>
  <r>
    <d v="2026-02-18T00:00:00"/>
    <x v="0"/>
    <x v="0"/>
    <s v="RESCATE"/>
    <x v="2"/>
    <n v="3000000000"/>
    <x v="2"/>
    <x v="0"/>
    <x v="0"/>
    <m/>
    <m/>
    <x v="0"/>
    <n v="-3000000000"/>
  </r>
  <r>
    <d v="2026-02-18T00:00:00"/>
    <x v="0"/>
    <x v="0"/>
    <s v="SUSCRIPCION"/>
    <x v="1"/>
    <n v="26900000"/>
    <x v="1"/>
    <x v="0"/>
    <x v="0"/>
    <m/>
    <m/>
    <x v="0"/>
    <n v="26900000"/>
  </r>
  <r>
    <d v="2026-02-18T00:00:00"/>
    <x v="2"/>
    <x v="0"/>
    <s v="SUSCRIPCION"/>
    <x v="1"/>
    <n v="75700000"/>
    <x v="1"/>
    <x v="0"/>
    <x v="0"/>
    <m/>
    <m/>
    <x v="0"/>
    <n v="75700000"/>
  </r>
  <r>
    <d v="2026-02-18T00:00:00"/>
    <x v="3"/>
    <x v="0"/>
    <s v="RESCATE"/>
    <x v="6"/>
    <n v="355600000"/>
    <x v="5"/>
    <x v="0"/>
    <x v="0"/>
    <m/>
    <m/>
    <x v="0"/>
    <n v="-355600000"/>
  </r>
  <r>
    <d v="2026-02-18T00:00:00"/>
    <x v="3"/>
    <x v="0"/>
    <s v="SUSCRIPCION"/>
    <x v="6"/>
    <n v="5591500000"/>
    <x v="5"/>
    <x v="0"/>
    <x v="0"/>
    <m/>
    <m/>
    <x v="0"/>
    <n v="5591500000"/>
  </r>
  <r>
    <d v="2026-02-19T00:00:00"/>
    <x v="2"/>
    <x v="0"/>
    <s v="RESCATE"/>
    <x v="2"/>
    <n v="300000000"/>
    <x v="2"/>
    <x v="0"/>
    <x v="0"/>
    <m/>
    <m/>
    <x v="0"/>
    <n v="-300000000"/>
  </r>
  <r>
    <d v="2026-02-19T00:00:00"/>
    <x v="2"/>
    <x v="0"/>
    <s v="RESCATE"/>
    <x v="1"/>
    <n v="67200000"/>
    <x v="1"/>
    <x v="0"/>
    <x v="0"/>
    <m/>
    <m/>
    <x v="0"/>
    <n v="-67200000"/>
  </r>
  <r>
    <d v="2026-02-19T00:00:00"/>
    <x v="1"/>
    <x v="0"/>
    <s v="RESCATE"/>
    <x v="1"/>
    <n v="2000000"/>
    <x v="1"/>
    <x v="0"/>
    <x v="0"/>
    <m/>
    <m/>
    <x v="0"/>
    <n v="-2000000"/>
  </r>
  <r>
    <d v="2026-02-19T00:00:00"/>
    <x v="0"/>
    <x v="0"/>
    <s v="RESCATE"/>
    <x v="6"/>
    <n v="145900000"/>
    <x v="5"/>
    <x v="0"/>
    <x v="0"/>
    <m/>
    <m/>
    <x v="0"/>
    <n v="-145900000"/>
  </r>
  <r>
    <d v="2026-02-19T00:00:00"/>
    <x v="3"/>
    <x v="0"/>
    <s v="RESCATE"/>
    <x v="6"/>
    <n v="604000000"/>
    <x v="5"/>
    <x v="0"/>
    <x v="0"/>
    <m/>
    <m/>
    <x v="0"/>
    <n v="-604000000"/>
  </r>
  <r>
    <d v="2026-02-20T00:00:00"/>
    <x v="1"/>
    <x v="0"/>
    <s v="RESCATE"/>
    <x v="1"/>
    <n v="4600000"/>
    <x v="1"/>
    <x v="0"/>
    <x v="0"/>
    <m/>
    <m/>
    <x v="0"/>
    <n v="-4600000"/>
  </r>
  <r>
    <d v="2026-02-20T00:00:00"/>
    <x v="2"/>
    <x v="0"/>
    <s v="RESCATE"/>
    <x v="1"/>
    <n v="67000000"/>
    <x v="1"/>
    <x v="0"/>
    <x v="0"/>
    <m/>
    <m/>
    <x v="0"/>
    <n v="-67000000"/>
  </r>
  <r>
    <d v="2026-02-20T00:00:00"/>
    <x v="3"/>
    <x v="0"/>
    <s v="RESCATE"/>
    <x v="6"/>
    <n v="381400000"/>
    <x v="5"/>
    <x v="0"/>
    <x v="0"/>
    <m/>
    <m/>
    <x v="0"/>
    <n v="-381400000"/>
  </r>
  <r>
    <d v="2026-02-20T00:00:00"/>
    <x v="0"/>
    <x v="0"/>
    <s v="RESCATE"/>
    <x v="6"/>
    <n v="323700000"/>
    <x v="5"/>
    <x v="0"/>
    <x v="0"/>
    <m/>
    <m/>
    <x v="0"/>
    <n v="-323700000"/>
  </r>
  <r>
    <d v="2026-02-20T00:00:00"/>
    <x v="3"/>
    <x v="0"/>
    <s v="RESCATE"/>
    <x v="6"/>
    <n v="250000000"/>
    <x v="5"/>
    <x v="0"/>
    <x v="0"/>
    <m/>
    <m/>
    <x v="0"/>
    <n v="-250000000"/>
  </r>
  <r>
    <d v="2026-02-20T00:00:00"/>
    <x v="3"/>
    <x v="0"/>
    <s v="SUSCRIPCION"/>
    <x v="20"/>
    <n v="250000000"/>
    <x v="15"/>
    <x v="0"/>
    <x v="0"/>
    <m/>
    <m/>
    <x v="0"/>
    <n v="250000000"/>
  </r>
  <r>
    <d v="2026-02-20T00:00:00"/>
    <x v="3"/>
    <x v="0"/>
    <s v="RESCATE"/>
    <x v="2"/>
    <n v="300000000"/>
    <x v="2"/>
    <x v="0"/>
    <x v="0"/>
    <m/>
    <m/>
    <x v="0"/>
    <n v="-300000000"/>
  </r>
  <r>
    <d v="2026-02-20T00:00:00"/>
    <x v="3"/>
    <x v="0"/>
    <s v="RESCATE"/>
    <x v="2"/>
    <n v="289135318.25999999"/>
    <x v="2"/>
    <x v="0"/>
    <x v="0"/>
    <m/>
    <m/>
    <x v="0"/>
    <n v="-289135318.25999999"/>
  </r>
  <r>
    <d v="2026-02-20T00:00:00"/>
    <x v="0"/>
    <x v="0"/>
    <s v="RESCATE"/>
    <x v="2"/>
    <n v="153424390.38"/>
    <x v="2"/>
    <x v="0"/>
    <x v="0"/>
    <m/>
    <m/>
    <x v="0"/>
    <n v="-153424390.38"/>
  </r>
  <r>
    <d v="2026-02-20T00:00:00"/>
    <x v="0"/>
    <x v="0"/>
    <s v="RESCATE"/>
    <x v="2"/>
    <n v="73125625.329999998"/>
    <x v="2"/>
    <x v="0"/>
    <x v="0"/>
    <m/>
    <m/>
    <x v="0"/>
    <n v="-73125625.329999998"/>
  </r>
  <r>
    <d v="2026-02-20T00:00:00"/>
    <x v="3"/>
    <x v="0"/>
    <s v="RESCATE"/>
    <x v="0"/>
    <n v="68736026.099999994"/>
    <x v="0"/>
    <x v="0"/>
    <x v="0"/>
    <m/>
    <m/>
    <x v="0"/>
    <n v="-68736026.099999994"/>
  </r>
  <r>
    <d v="2026-02-20T00:00:00"/>
    <x v="0"/>
    <x v="0"/>
    <s v="RESCATE"/>
    <x v="0"/>
    <n v="53164235.600000001"/>
    <x v="0"/>
    <x v="0"/>
    <x v="0"/>
    <m/>
    <m/>
    <x v="0"/>
    <n v="-53164235.600000001"/>
  </r>
  <r>
    <d v="2026-02-20T00:00:00"/>
    <x v="4"/>
    <x v="0"/>
    <s v="RESCATE"/>
    <x v="6"/>
    <n v="62377.73"/>
    <x v="5"/>
    <x v="0"/>
    <x v="0"/>
    <m/>
    <m/>
    <x v="0"/>
    <n v="-62377.73"/>
  </r>
  <r>
    <d v="2026-02-23T00:00:00"/>
    <x v="3"/>
    <x v="0"/>
    <s v="RESCATE"/>
    <x v="6"/>
    <n v="472000000"/>
    <x v="5"/>
    <x v="0"/>
    <x v="0"/>
    <m/>
    <m/>
    <x v="0"/>
    <n v="-472000000"/>
  </r>
  <r>
    <d v="2026-02-23T00:00:00"/>
    <x v="1"/>
    <x v="0"/>
    <s v="RESCATE"/>
    <x v="1"/>
    <n v="19600000"/>
    <x v="1"/>
    <x v="0"/>
    <x v="0"/>
    <m/>
    <m/>
    <x v="0"/>
    <n v="-19600000"/>
  </r>
  <r>
    <d v="2026-02-23T00:00:00"/>
    <x v="2"/>
    <x v="0"/>
    <s v="RESCATE"/>
    <x v="1"/>
    <n v="21800000"/>
    <x v="1"/>
    <x v="0"/>
    <x v="0"/>
    <m/>
    <m/>
    <x v="0"/>
    <n v="-21800000"/>
  </r>
  <r>
    <d v="2026-02-23T00:00:00"/>
    <x v="0"/>
    <x v="0"/>
    <s v="SUSCRIPCION"/>
    <x v="1"/>
    <n v="192800000"/>
    <x v="1"/>
    <x v="0"/>
    <x v="0"/>
    <m/>
    <m/>
    <x v="0"/>
    <n v="192800000"/>
  </r>
  <r>
    <d v="2026-02-23T00:00:00"/>
    <x v="0"/>
    <x v="0"/>
    <s v="RESCATE"/>
    <x v="4"/>
    <n v="45573901"/>
    <x v="3"/>
    <x v="0"/>
    <x v="0"/>
    <m/>
    <m/>
    <x v="0"/>
    <n v="-45573901"/>
  </r>
  <r>
    <d v="2026-02-23T00:00:00"/>
    <x v="0"/>
    <x v="0"/>
    <s v="SUSCRIPCION"/>
    <x v="3"/>
    <n v="8035131.9000000004"/>
    <x v="3"/>
    <x v="1"/>
    <x v="0"/>
    <m/>
    <m/>
    <x v="0"/>
    <n v="8035131.9000000004"/>
  </r>
  <r>
    <d v="2026-02-24T00:00:00"/>
    <x v="3"/>
    <x v="0"/>
    <s v="RESCATE"/>
    <x v="6"/>
    <n v="181700000"/>
    <x v="5"/>
    <x v="0"/>
    <x v="0"/>
    <m/>
    <m/>
    <x v="0"/>
    <n v="-181700000"/>
  </r>
  <r>
    <d v="2026-02-24T00:00:00"/>
    <x v="0"/>
    <x v="0"/>
    <s v="RESCATE"/>
    <x v="6"/>
    <n v="155600000"/>
    <x v="5"/>
    <x v="0"/>
    <x v="0"/>
    <m/>
    <m/>
    <x v="0"/>
    <n v="-155600000"/>
  </r>
  <r>
    <d v="2026-02-24T00:00:00"/>
    <x v="1"/>
    <x v="0"/>
    <s v="RESCATE"/>
    <x v="1"/>
    <n v="8000000"/>
    <x v="1"/>
    <x v="0"/>
    <x v="0"/>
    <m/>
    <m/>
    <x v="0"/>
    <n v="-8000000"/>
  </r>
  <r>
    <d v="2026-02-24T00:00:00"/>
    <x v="2"/>
    <x v="0"/>
    <s v="SUSCRIPCION"/>
    <x v="1"/>
    <n v="76200000"/>
    <x v="1"/>
    <x v="0"/>
    <x v="0"/>
    <m/>
    <m/>
    <x v="0"/>
    <n v="76200000"/>
  </r>
  <r>
    <d v="2026-02-24T00:00:00"/>
    <x v="0"/>
    <x v="0"/>
    <s v="RESCATE"/>
    <x v="4"/>
    <n v="86588947"/>
    <x v="3"/>
    <x v="0"/>
    <x v="0"/>
    <m/>
    <m/>
    <x v="0"/>
    <n v="-86588947"/>
  </r>
  <r>
    <d v="2026-02-25T00:00:00"/>
    <x v="3"/>
    <x v="0"/>
    <s v="RESCATE"/>
    <x v="6"/>
    <n v="839900000"/>
    <x v="5"/>
    <x v="0"/>
    <x v="0"/>
    <m/>
    <m/>
    <x v="0"/>
    <n v="-839900000"/>
  </r>
  <r>
    <d v="2026-02-25T00:00:00"/>
    <x v="0"/>
    <x v="0"/>
    <s v="RESCATE"/>
    <x v="1"/>
    <n v="46900000"/>
    <x v="1"/>
    <x v="0"/>
    <x v="0"/>
    <m/>
    <m/>
    <x v="0"/>
    <n v="-46900000"/>
  </r>
  <r>
    <d v="2026-02-25T00:00:00"/>
    <x v="2"/>
    <x v="0"/>
    <s v="RESCATE"/>
    <x v="1"/>
    <n v="131200000"/>
    <x v="1"/>
    <x v="0"/>
    <x v="0"/>
    <m/>
    <m/>
    <x v="0"/>
    <n v="-131200000"/>
  </r>
  <r>
    <d v="2026-02-25T00:00:00"/>
    <x v="2"/>
    <x v="0"/>
    <s v="SUSCRIPCION"/>
    <x v="2"/>
    <n v="17545495"/>
    <x v="2"/>
    <x v="0"/>
    <x v="0"/>
    <m/>
    <m/>
    <x v="0"/>
    <n v="17545495"/>
  </r>
  <r>
    <d v="2026-02-26T00:00:00"/>
    <x v="0"/>
    <x v="0"/>
    <s v="RESCATE"/>
    <x v="6"/>
    <n v="157600000"/>
    <x v="5"/>
    <x v="0"/>
    <x v="0"/>
    <m/>
    <m/>
    <x v="0"/>
    <n v="-157600000"/>
  </r>
  <r>
    <d v="2026-02-26T00:00:00"/>
    <x v="3"/>
    <x v="0"/>
    <s v="RESCATE"/>
    <x v="6"/>
    <n v="806100000"/>
    <x v="5"/>
    <x v="0"/>
    <x v="0"/>
    <m/>
    <m/>
    <x v="0"/>
    <n v="-806100000"/>
  </r>
  <r>
    <d v="2026-02-27T00:00:00"/>
    <x v="3"/>
    <x v="0"/>
    <s v="RESCATE"/>
    <x v="6"/>
    <n v="159800000"/>
    <x v="5"/>
    <x v="0"/>
    <x v="0"/>
    <m/>
    <m/>
    <x v="0"/>
    <n v="-159800000"/>
  </r>
  <r>
    <d v="2026-02-27T00:00:00"/>
    <x v="0"/>
    <x v="0"/>
    <s v="RESCATE"/>
    <x v="6"/>
    <n v="110700000"/>
    <x v="5"/>
    <x v="0"/>
    <x v="0"/>
    <m/>
    <m/>
    <x v="0"/>
    <n v="-110700000"/>
  </r>
  <r>
    <d v="2026-02-27T00:00:00"/>
    <x v="3"/>
    <x v="0"/>
    <s v="RESCATE"/>
    <x v="2"/>
    <n v="64830706.600000001"/>
    <x v="2"/>
    <x v="0"/>
    <x v="0"/>
    <m/>
    <m/>
    <x v="0"/>
    <n v="-64830706.600000001"/>
  </r>
  <r>
    <d v="2026-02-27T00:00:00"/>
    <x v="3"/>
    <x v="0"/>
    <s v="RESCATE"/>
    <x v="2"/>
    <n v="69788334.590000004"/>
    <x v="2"/>
    <x v="0"/>
    <x v="0"/>
    <m/>
    <m/>
    <x v="0"/>
    <n v="-69788334.590000004"/>
  </r>
  <r>
    <d v="2026-02-27T00:00:00"/>
    <x v="0"/>
    <x v="0"/>
    <s v="RESCATE"/>
    <x v="4"/>
    <n v="20143917.5"/>
    <x v="3"/>
    <x v="0"/>
    <x v="0"/>
    <m/>
    <m/>
    <x v="0"/>
    <n v="-20143917.5"/>
  </r>
  <r>
    <d v="2026-03-02T00:00:00"/>
    <x v="0"/>
    <x v="0"/>
    <s v="SUSCRIPCION"/>
    <x v="2"/>
    <n v="33457497.390000001"/>
    <x v="2"/>
    <x v="0"/>
    <x v="0"/>
    <m/>
    <m/>
    <x v="0"/>
    <n v="33457497.390000001"/>
  </r>
  <r>
    <d v="2026-03-02T00:00:00"/>
    <x v="0"/>
    <x v="0"/>
    <s v="SUSCRIPCION"/>
    <x v="1"/>
    <n v="3182073"/>
    <x v="1"/>
    <x v="0"/>
    <x v="0"/>
    <m/>
    <m/>
    <x v="0"/>
    <n v="3182073"/>
  </r>
  <r>
    <d v="2026-03-02T00:00:00"/>
    <x v="1"/>
    <x v="0"/>
    <s v="SUSCRIPCION"/>
    <x v="1"/>
    <n v="13633252"/>
    <x v="1"/>
    <x v="0"/>
    <x v="0"/>
    <m/>
    <m/>
    <x v="0"/>
    <n v="13633252"/>
  </r>
  <r>
    <d v="2026-03-02T00:00:00"/>
    <x v="2"/>
    <x v="0"/>
    <s v="SUSCRIPCION"/>
    <x v="1"/>
    <n v="2609919"/>
    <x v="1"/>
    <x v="0"/>
    <x v="0"/>
    <m/>
    <m/>
    <x v="0"/>
    <n v="2609919"/>
  </r>
  <r>
    <d v="2026-03-02T00:00:00"/>
    <x v="3"/>
    <x v="0"/>
    <s v="SUSCRIPCION"/>
    <x v="2"/>
    <n v="31384799.5"/>
    <x v="2"/>
    <x v="0"/>
    <x v="0"/>
    <m/>
    <m/>
    <x v="0"/>
    <n v="31384799.5"/>
  </r>
  <r>
    <d v="2026-03-02T00:00:00"/>
    <x v="3"/>
    <x v="0"/>
    <s v="SUSCRIPCION"/>
    <x v="0"/>
    <n v="14019113.43"/>
    <x v="0"/>
    <x v="0"/>
    <x v="0"/>
    <m/>
    <m/>
    <x v="0"/>
    <n v="14019113.43"/>
  </r>
  <r>
    <d v="2026-03-02T00:00:00"/>
    <x v="3"/>
    <x v="0"/>
    <s v="SUSCRIPCION"/>
    <x v="6"/>
    <n v="152224290"/>
    <x v="5"/>
    <x v="0"/>
    <x v="0"/>
    <m/>
    <m/>
    <x v="0"/>
    <n v="152224290"/>
  </r>
  <r>
    <d v="2026-03-02T00:00:00"/>
    <x v="1"/>
    <x v="0"/>
    <s v="RESCATE"/>
    <x v="1"/>
    <n v="3500000"/>
    <x v="1"/>
    <x v="0"/>
    <x v="0"/>
    <m/>
    <m/>
    <x v="0"/>
    <n v="-3500000"/>
  </r>
  <r>
    <d v="2026-03-02T00:00:00"/>
    <x v="3"/>
    <x v="0"/>
    <s v="RESCATE"/>
    <x v="6"/>
    <n v="687400000"/>
    <x v="5"/>
    <x v="0"/>
    <x v="0"/>
    <m/>
    <m/>
    <x v="0"/>
    <n v="-687400000"/>
  </r>
  <r>
    <d v="2026-03-02T00:00:00"/>
    <x v="0"/>
    <x v="0"/>
    <s v="RESCATE"/>
    <x v="6"/>
    <n v="163600000"/>
    <x v="5"/>
    <x v="0"/>
    <x v="0"/>
    <m/>
    <m/>
    <x v="0"/>
    <n v="-163600000"/>
  </r>
  <r>
    <d v="2026-03-02T00:00:00"/>
    <x v="2"/>
    <x v="0"/>
    <s v="RESCATE"/>
    <x v="2"/>
    <n v="27100000"/>
    <x v="2"/>
    <x v="0"/>
    <x v="0"/>
    <m/>
    <m/>
    <x v="0"/>
    <n v="-27100000"/>
  </r>
  <r>
    <d v="2026-03-03T00:00:00"/>
    <x v="1"/>
    <x v="0"/>
    <s v="RESCATE"/>
    <x v="1"/>
    <n v="7200000"/>
    <x v="1"/>
    <x v="0"/>
    <x v="0"/>
    <m/>
    <m/>
    <x v="0"/>
    <n v="-7200000"/>
  </r>
  <r>
    <d v="2026-03-03T00:00:00"/>
    <x v="0"/>
    <x v="0"/>
    <s v="RESCATE"/>
    <x v="6"/>
    <n v="246200000"/>
    <x v="5"/>
    <x v="0"/>
    <x v="0"/>
    <m/>
    <m/>
    <x v="0"/>
    <n v="-246200000"/>
  </r>
  <r>
    <d v="2026-03-03T00:00:00"/>
    <x v="3"/>
    <x v="0"/>
    <s v="SUSCRIPCION"/>
    <x v="6"/>
    <n v="27600000"/>
    <x v="5"/>
    <x v="0"/>
    <x v="0"/>
    <m/>
    <m/>
    <x v="0"/>
    <n v="27600000"/>
  </r>
  <r>
    <d v="2026-03-03T00:00:00"/>
    <x v="3"/>
    <x v="0"/>
    <s v="RESCATE"/>
    <x v="6"/>
    <n v="100000000"/>
    <x v="5"/>
    <x v="0"/>
    <x v="0"/>
    <m/>
    <m/>
    <x v="0"/>
    <n v="-100000000"/>
  </r>
  <r>
    <d v="2026-03-03T00:00:00"/>
    <x v="3"/>
    <x v="0"/>
    <s v="SUSCRIPCION"/>
    <x v="20"/>
    <n v="100000000"/>
    <x v="15"/>
    <x v="0"/>
    <x v="0"/>
    <m/>
    <m/>
    <x v="0"/>
    <n v="100000000"/>
  </r>
  <r>
    <d v="2026-03-03T00:00:00"/>
    <x v="2"/>
    <x v="0"/>
    <s v="RESCATE"/>
    <x v="2"/>
    <n v="18000000"/>
    <x v="2"/>
    <x v="0"/>
    <x v="0"/>
    <m/>
    <m/>
    <x v="0"/>
    <n v="-18000000"/>
  </r>
  <r>
    <d v="2026-03-04T00:00:00"/>
    <x v="3"/>
    <x v="0"/>
    <s v="SUSCRIPCION"/>
    <x v="6"/>
    <n v="99400000"/>
    <x v="5"/>
    <x v="0"/>
    <x v="0"/>
    <m/>
    <m/>
    <x v="0"/>
    <n v="99400000"/>
  </r>
  <r>
    <d v="2026-03-04T00:00:00"/>
    <x v="0"/>
    <x v="0"/>
    <s v="RESCATE"/>
    <x v="1"/>
    <n v="21800000"/>
    <x v="1"/>
    <x v="0"/>
    <x v="0"/>
    <m/>
    <m/>
    <x v="0"/>
    <n v="-21800000"/>
  </r>
  <r>
    <d v="2026-03-04T00:00:00"/>
    <x v="2"/>
    <x v="0"/>
    <s v="SUSCRIPCION"/>
    <x v="1"/>
    <n v="6200000"/>
    <x v="1"/>
    <x v="0"/>
    <x v="0"/>
    <m/>
    <m/>
    <x v="0"/>
    <n v="6200000"/>
  </r>
  <r>
    <d v="2026-03-04T00:00:00"/>
    <x v="3"/>
    <x v="0"/>
    <s v="RESCATE"/>
    <x v="20"/>
    <n v="233736326"/>
    <x v="15"/>
    <x v="0"/>
    <x v="0"/>
    <m/>
    <m/>
    <x v="0"/>
    <n v="-233736326"/>
  </r>
  <r>
    <d v="2026-03-05T00:00:00"/>
    <x v="1"/>
    <x v="0"/>
    <s v="RESCATE"/>
    <x v="1"/>
    <n v="33700000"/>
    <x v="1"/>
    <x v="0"/>
    <x v="0"/>
    <m/>
    <m/>
    <x v="0"/>
    <n v="-33700000"/>
  </r>
  <r>
    <d v="2026-03-05T00:00:00"/>
    <x v="0"/>
    <x v="0"/>
    <s v="RESCATE"/>
    <x v="1"/>
    <n v="7000000"/>
    <x v="1"/>
    <x v="0"/>
    <x v="0"/>
    <m/>
    <m/>
    <x v="0"/>
    <n v="-7000000"/>
  </r>
  <r>
    <d v="2026-03-05T00:00:00"/>
    <x v="2"/>
    <x v="0"/>
    <s v="SUSCRIPCION"/>
    <x v="1"/>
    <n v="36300000"/>
    <x v="1"/>
    <x v="0"/>
    <x v="0"/>
    <m/>
    <m/>
    <x v="0"/>
    <n v="36300000"/>
  </r>
  <r>
    <d v="2026-03-05T00:00:00"/>
    <x v="3"/>
    <x v="0"/>
    <s v="RESCATE"/>
    <x v="6"/>
    <n v="522700000"/>
    <x v="5"/>
    <x v="0"/>
    <x v="0"/>
    <m/>
    <m/>
    <x v="0"/>
    <n v="-522700000"/>
  </r>
  <r>
    <d v="2026-03-05T00:00:00"/>
    <x v="3"/>
    <x v="0"/>
    <s v="RESCATE"/>
    <x v="0"/>
    <n v="72809898.769999996"/>
    <x v="0"/>
    <x v="0"/>
    <x v="0"/>
    <m/>
    <m/>
    <x v="0"/>
    <n v="-72809898.769999996"/>
  </r>
  <r>
    <d v="2026-03-05T00:00:00"/>
    <x v="0"/>
    <x v="0"/>
    <s v="RESCATE"/>
    <x v="0"/>
    <n v="20741315.129999999"/>
    <x v="0"/>
    <x v="0"/>
    <x v="0"/>
    <m/>
    <m/>
    <x v="0"/>
    <n v="-20741315.129999999"/>
  </r>
  <r>
    <d v="2026-03-06T00:00:00"/>
    <x v="1"/>
    <x v="0"/>
    <s v="RESCATE"/>
    <x v="1"/>
    <n v="300000"/>
    <x v="1"/>
    <x v="0"/>
    <x v="0"/>
    <m/>
    <m/>
    <x v="0"/>
    <n v="-300000"/>
  </r>
  <r>
    <d v="2026-03-06T00:00:00"/>
    <x v="2"/>
    <x v="0"/>
    <s v="SUSCRIPCION"/>
    <x v="1"/>
    <n v="193700000"/>
    <x v="1"/>
    <x v="0"/>
    <x v="0"/>
    <m/>
    <m/>
    <x v="0"/>
    <n v="193700000"/>
  </r>
  <r>
    <d v="2026-03-06T00:00:00"/>
    <x v="0"/>
    <x v="0"/>
    <s v="RESCATE"/>
    <x v="6"/>
    <n v="179700000"/>
    <x v="5"/>
    <x v="0"/>
    <x v="0"/>
    <m/>
    <m/>
    <x v="0"/>
    <n v="-179700000"/>
  </r>
  <r>
    <d v="2026-03-06T00:00:00"/>
    <x v="3"/>
    <x v="0"/>
    <s v="RESCATE"/>
    <x v="6"/>
    <n v="522400000"/>
    <x v="5"/>
    <x v="0"/>
    <x v="0"/>
    <m/>
    <m/>
    <x v="0"/>
    <n v="-522400000"/>
  </r>
  <r>
    <d v="2026-03-06T00:00:00"/>
    <x v="3"/>
    <x v="0"/>
    <s v="RESCATE"/>
    <x v="9"/>
    <n v="16200000"/>
    <x v="6"/>
    <x v="0"/>
    <x v="0"/>
    <m/>
    <m/>
    <x v="0"/>
    <n v="-16200000"/>
  </r>
  <r>
    <d v="2026-03-06T00:00:00"/>
    <x v="0"/>
    <x v="0"/>
    <s v="SUSCRIPCION"/>
    <x v="4"/>
    <n v="129508814.18000001"/>
    <x v="3"/>
    <x v="0"/>
    <x v="0"/>
    <m/>
    <m/>
    <x v="0"/>
    <n v="129508814.18000001"/>
  </r>
  <r>
    <d v="2026-03-06T00:00:00"/>
    <x v="0"/>
    <x v="0"/>
    <s v="RESCATE"/>
    <x v="4"/>
    <n v="59826440"/>
    <x v="3"/>
    <x v="0"/>
    <x v="0"/>
    <m/>
    <m/>
    <x v="0"/>
    <n v="-59826440"/>
  </r>
  <r>
    <d v="2026-03-09T00:00:00"/>
    <x v="0"/>
    <x v="0"/>
    <s v="RESCATE"/>
    <x v="6"/>
    <n v="500000000"/>
    <x v="5"/>
    <x v="0"/>
    <x v="0"/>
    <m/>
    <m/>
    <x v="0"/>
    <n v="-500000000"/>
  </r>
  <r>
    <d v="2026-03-09T00:00:00"/>
    <x v="0"/>
    <x v="0"/>
    <s v="SUSCRIPCION"/>
    <x v="2"/>
    <n v="500000000"/>
    <x v="2"/>
    <x v="0"/>
    <x v="0"/>
    <m/>
    <m/>
    <x v="0"/>
    <n v="500000000"/>
  </r>
  <r>
    <d v="2026-03-09T00:00:00"/>
    <x v="3"/>
    <x v="0"/>
    <s v="RESCATE"/>
    <x v="6"/>
    <n v="1052100000"/>
    <x v="5"/>
    <x v="0"/>
    <x v="0"/>
    <m/>
    <m/>
    <x v="0"/>
    <n v="-1052100000"/>
  </r>
  <r>
    <d v="2026-03-09T00:00:00"/>
    <x v="0"/>
    <x v="0"/>
    <s v="RESCATE"/>
    <x v="6"/>
    <n v="71500000"/>
    <x v="5"/>
    <x v="0"/>
    <x v="0"/>
    <m/>
    <m/>
    <x v="0"/>
    <n v="-71500000"/>
  </r>
  <r>
    <d v="2026-03-09T00:00:00"/>
    <x v="2"/>
    <x v="0"/>
    <s v="RESCATE"/>
    <x v="1"/>
    <n v="147900000"/>
    <x v="1"/>
    <x v="0"/>
    <x v="0"/>
    <m/>
    <m/>
    <x v="0"/>
    <n v="-147900000"/>
  </r>
  <r>
    <d v="2026-03-10T00:00:00"/>
    <x v="1"/>
    <x v="0"/>
    <s v="RESCATE"/>
    <x v="1"/>
    <n v="200000"/>
    <x v="1"/>
    <x v="0"/>
    <x v="0"/>
    <m/>
    <m/>
    <x v="0"/>
    <n v="-200000"/>
  </r>
  <r>
    <d v="2026-03-10T00:00:00"/>
    <x v="2"/>
    <x v="0"/>
    <s v="RESCATE"/>
    <x v="1"/>
    <n v="59100000"/>
    <x v="1"/>
    <x v="0"/>
    <x v="0"/>
    <m/>
    <m/>
    <x v="0"/>
    <n v="-59100000"/>
  </r>
  <r>
    <d v="2026-03-10T00:00:00"/>
    <x v="0"/>
    <x v="0"/>
    <s v="RESCATE"/>
    <x v="6"/>
    <n v="72700000"/>
    <x v="5"/>
    <x v="0"/>
    <x v="0"/>
    <m/>
    <m/>
    <x v="0"/>
    <n v="-72700000"/>
  </r>
  <r>
    <d v="2026-03-10T00:00:00"/>
    <x v="3"/>
    <x v="0"/>
    <s v="RESCATE"/>
    <x v="6"/>
    <n v="257200000"/>
    <x v="5"/>
    <x v="0"/>
    <x v="0"/>
    <m/>
    <m/>
    <x v="0"/>
    <n v="-257200000"/>
  </r>
  <r>
    <d v="2026-03-10T00:00:00"/>
    <x v="0"/>
    <x v="0"/>
    <s v="RESCATE"/>
    <x v="2"/>
    <n v="260639892.46000001"/>
    <x v="2"/>
    <x v="0"/>
    <x v="0"/>
    <m/>
    <m/>
    <x v="0"/>
    <n v="-260639892.46000001"/>
  </r>
  <r>
    <d v="2026-03-10T00:00:00"/>
    <x v="0"/>
    <x v="0"/>
    <s v="RESCATE"/>
    <x v="2"/>
    <n v="250000000"/>
    <x v="2"/>
    <x v="0"/>
    <x v="0"/>
    <m/>
    <m/>
    <x v="0"/>
    <n v="-250000000"/>
  </r>
  <r>
    <d v="2026-03-11T00:00:00"/>
    <x v="1"/>
    <x v="0"/>
    <s v="RESCATE"/>
    <x v="1"/>
    <n v="6500000"/>
    <x v="1"/>
    <x v="0"/>
    <x v="0"/>
    <m/>
    <m/>
    <x v="0"/>
    <n v="-6500000"/>
  </r>
  <r>
    <d v="2026-03-11T00:00:00"/>
    <x v="2"/>
    <x v="0"/>
    <s v="RESCATE"/>
    <x v="1"/>
    <n v="41101671"/>
    <x v="1"/>
    <x v="0"/>
    <x v="0"/>
    <m/>
    <m/>
    <x v="0"/>
    <n v="-41101671"/>
  </r>
  <r>
    <d v="2026-03-11T00:00:00"/>
    <x v="3"/>
    <x v="0"/>
    <s v="RESCATE"/>
    <x v="6"/>
    <n v="327700000"/>
    <x v="5"/>
    <x v="0"/>
    <x v="0"/>
    <m/>
    <m/>
    <x v="0"/>
    <n v="-327700000"/>
  </r>
  <r>
    <d v="2026-03-11T00:00:00"/>
    <x v="0"/>
    <x v="0"/>
    <s v="RESCATE"/>
    <x v="6"/>
    <n v="66800000"/>
    <x v="5"/>
    <x v="0"/>
    <x v="0"/>
    <m/>
    <m/>
    <x v="0"/>
    <n v="-66800000"/>
  </r>
  <r>
    <d v="2026-03-11T00:00:00"/>
    <x v="3"/>
    <x v="0"/>
    <s v="SUSCRIPCION"/>
    <x v="9"/>
    <n v="6978000000"/>
    <x v="6"/>
    <x v="0"/>
    <x v="0"/>
    <m/>
    <m/>
    <x v="0"/>
    <n v="6978000000"/>
  </r>
  <r>
    <d v="2026-03-11T00:00:00"/>
    <x v="3"/>
    <x v="0"/>
    <s v="RESCATE"/>
    <x v="2"/>
    <n v="81739863.170000002"/>
    <x v="2"/>
    <x v="0"/>
    <x v="0"/>
    <m/>
    <m/>
    <x v="0"/>
    <n v="-81739863.170000002"/>
  </r>
  <r>
    <d v="2026-03-11T00:00:00"/>
    <x v="3"/>
    <x v="0"/>
    <s v="RESCATE"/>
    <x v="2"/>
    <n v="67824932"/>
    <x v="2"/>
    <x v="0"/>
    <x v="0"/>
    <m/>
    <m/>
    <x v="0"/>
    <n v="-67824932"/>
  </r>
  <r>
    <d v="2026-03-12T00:00:00"/>
    <x v="3"/>
    <x v="0"/>
    <s v="RESCATE"/>
    <x v="6"/>
    <n v="114900000"/>
    <x v="5"/>
    <x v="0"/>
    <x v="0"/>
    <m/>
    <m/>
    <x v="0"/>
    <n v="-114900000"/>
  </r>
  <r>
    <d v="2026-03-12T00:00:00"/>
    <x v="0"/>
    <x v="0"/>
    <s v="SUSCRIPCION"/>
    <x v="1"/>
    <n v="8800000"/>
    <x v="1"/>
    <x v="0"/>
    <x v="0"/>
    <m/>
    <m/>
    <x v="0"/>
    <n v="8800000"/>
  </r>
  <r>
    <d v="2026-03-12T00:00:00"/>
    <x v="2"/>
    <x v="0"/>
    <s v="SUSCRIPCION"/>
    <x v="2"/>
    <n v="182889787.97999999"/>
    <x v="2"/>
    <x v="0"/>
    <x v="0"/>
    <m/>
    <m/>
    <x v="0"/>
    <n v="182889787.97999999"/>
  </r>
  <r>
    <d v="2026-03-13T00:00:00"/>
    <x v="3"/>
    <x v="0"/>
    <s v="RESCATE"/>
    <x v="6"/>
    <n v="257700000"/>
    <x v="5"/>
    <x v="0"/>
    <x v="0"/>
    <m/>
    <m/>
    <x v="0"/>
    <n v="-257700000"/>
  </r>
  <r>
    <d v="2026-03-13T00:00:00"/>
    <x v="0"/>
    <x v="0"/>
    <s v="SUSCRIPCION"/>
    <x v="6"/>
    <n v="600000000"/>
    <x v="5"/>
    <x v="0"/>
    <x v="0"/>
    <m/>
    <m/>
    <x v="0"/>
    <n v="600000000"/>
  </r>
  <r>
    <d v="2026-03-13T00:00:00"/>
    <x v="0"/>
    <x v="0"/>
    <s v="SUSCRIPCION"/>
    <x v="1"/>
    <n v="1987200000"/>
    <x v="1"/>
    <x v="0"/>
    <x v="0"/>
    <m/>
    <m/>
    <x v="0"/>
    <n v="1987200000"/>
  </r>
  <r>
    <d v="2026-03-13T00:00:00"/>
    <x v="2"/>
    <x v="0"/>
    <s v="SUSCRIPCION"/>
    <x v="1"/>
    <n v="7400000"/>
    <x v="1"/>
    <x v="0"/>
    <x v="0"/>
    <m/>
    <m/>
    <x v="0"/>
    <n v="7400000"/>
  </r>
  <r>
    <d v="2026-03-13T00:00:00"/>
    <x v="1"/>
    <x v="0"/>
    <s v="SUSCRIPCION"/>
    <x v="1"/>
    <n v="96800000"/>
    <x v="1"/>
    <x v="0"/>
    <x v="0"/>
    <m/>
    <m/>
    <x v="0"/>
    <n v="96800000"/>
  </r>
  <r>
    <d v="2026-03-13T00:00:00"/>
    <x v="0"/>
    <x v="0"/>
    <s v="RESCATE"/>
    <x v="4"/>
    <n v="107975730.31"/>
    <x v="3"/>
    <x v="0"/>
    <x v="0"/>
    <m/>
    <m/>
    <x v="0"/>
    <n v="-107975730.31"/>
  </r>
  <r>
    <d v="2026-03-16T00:00:00"/>
    <x v="0"/>
    <x v="0"/>
    <s v="RESCATE"/>
    <x v="6"/>
    <n v="19900000"/>
    <x v="5"/>
    <x v="0"/>
    <x v="0"/>
    <m/>
    <m/>
    <x v="0"/>
    <n v="-19900000"/>
  </r>
  <r>
    <d v="2026-03-16T00:00:00"/>
    <x v="3"/>
    <x v="0"/>
    <s v="RESCATE"/>
    <x v="6"/>
    <n v="389200000"/>
    <x v="5"/>
    <x v="0"/>
    <x v="0"/>
    <m/>
    <m/>
    <x v="0"/>
    <n v="-389200000"/>
  </r>
  <r>
    <d v="2026-03-16T00:00:00"/>
    <x v="2"/>
    <x v="0"/>
    <s v="SUSCRIPCION"/>
    <x v="1"/>
    <n v="36700000"/>
    <x v="1"/>
    <x v="0"/>
    <x v="0"/>
    <m/>
    <m/>
    <x v="0"/>
    <n v="36700000"/>
  </r>
  <r>
    <d v="2026-03-17T00:00:00"/>
    <x v="0"/>
    <x v="0"/>
    <s v="RESCATE"/>
    <x v="1"/>
    <n v="44300000"/>
    <x v="1"/>
    <x v="0"/>
    <x v="0"/>
    <m/>
    <m/>
    <x v="0"/>
    <n v="-44300000"/>
  </r>
  <r>
    <d v="2026-03-17T00:00:00"/>
    <x v="2"/>
    <x v="0"/>
    <s v="SUSCRIPCION"/>
    <x v="1"/>
    <n v="173700000"/>
    <x v="1"/>
    <x v="0"/>
    <x v="0"/>
    <m/>
    <m/>
    <x v="0"/>
    <n v="173700000"/>
  </r>
  <r>
    <d v="2026-03-17T00:00:00"/>
    <x v="3"/>
    <x v="0"/>
    <s v="SUSCRIPCION"/>
    <x v="6"/>
    <n v="40000000"/>
    <x v="5"/>
    <x v="0"/>
    <x v="0"/>
    <m/>
    <m/>
    <x v="0"/>
    <n v="40000000"/>
  </r>
  <r>
    <d v="2026-03-17T00:00:00"/>
    <x v="3"/>
    <x v="0"/>
    <s v="SUSCRIPCION"/>
    <x v="9"/>
    <n v="6480000000"/>
    <x v="6"/>
    <x v="0"/>
    <x v="0"/>
    <m/>
    <m/>
    <x v="0"/>
    <n v="6480000000"/>
  </r>
  <r>
    <d v="2026-03-17T00:00:00"/>
    <x v="3"/>
    <x v="0"/>
    <s v="RESCATE"/>
    <x v="6"/>
    <n v="1500000000"/>
    <x v="5"/>
    <x v="0"/>
    <x v="0"/>
    <m/>
    <m/>
    <x v="0"/>
    <n v="-1500000000"/>
  </r>
  <r>
    <d v="2026-03-17T00:00:00"/>
    <x v="3"/>
    <x v="0"/>
    <s v="RESCATE"/>
    <x v="2"/>
    <n v="124001246.67"/>
    <x v="2"/>
    <x v="0"/>
    <x v="0"/>
    <m/>
    <m/>
    <x v="0"/>
    <n v="-124001246.67"/>
  </r>
  <r>
    <d v="2026-03-17T00:00:00"/>
    <x v="3"/>
    <x v="0"/>
    <s v="RESCATE"/>
    <x v="2"/>
    <n v="161796792.74000001"/>
    <x v="2"/>
    <x v="0"/>
    <x v="0"/>
    <m/>
    <m/>
    <x v="0"/>
    <n v="-161796792.74000001"/>
  </r>
  <r>
    <d v="2026-03-17T00:00:00"/>
    <x v="3"/>
    <x v="0"/>
    <s v="RESCATE"/>
    <x v="5"/>
    <n v="105568230.81999999"/>
    <x v="4"/>
    <x v="0"/>
    <x v="0"/>
    <m/>
    <m/>
    <x v="0"/>
    <n v="-105568230.81999999"/>
  </r>
  <r>
    <d v="2026-03-17T00:00:00"/>
    <x v="3"/>
    <x v="0"/>
    <s v="RESCATE"/>
    <x v="5"/>
    <n v="165011410.41999999"/>
    <x v="4"/>
    <x v="0"/>
    <x v="0"/>
    <m/>
    <m/>
    <x v="0"/>
    <n v="-165011410.41999999"/>
  </r>
  <r>
    <d v="2026-03-17T00:00:00"/>
    <x v="3"/>
    <x v="0"/>
    <s v="SUSCRIPCION"/>
    <x v="2"/>
    <n v="500000000"/>
    <x v="2"/>
    <x v="0"/>
    <x v="0"/>
    <m/>
    <m/>
    <x v="0"/>
    <n v="500000000"/>
  </r>
  <r>
    <d v="2026-03-17T00:00:00"/>
    <x v="3"/>
    <x v="0"/>
    <s v="SUSCRIPCION"/>
    <x v="0"/>
    <n v="500000000"/>
    <x v="0"/>
    <x v="0"/>
    <x v="0"/>
    <m/>
    <m/>
    <x v="0"/>
    <n v="500000000"/>
  </r>
  <r>
    <d v="2026-03-17T00:00:00"/>
    <x v="3"/>
    <x v="0"/>
    <s v="SUSCRIPCION"/>
    <x v="5"/>
    <n v="500000000"/>
    <x v="4"/>
    <x v="0"/>
    <x v="0"/>
    <m/>
    <m/>
    <x v="0"/>
    <n v="500000000"/>
  </r>
  <r>
    <d v="2026-03-18T00:00:00"/>
    <x v="1"/>
    <x v="0"/>
    <s v="RESCATE"/>
    <x v="1"/>
    <n v="213100000"/>
    <x v="1"/>
    <x v="0"/>
    <x v="0"/>
    <m/>
    <m/>
    <x v="0"/>
    <n v="-213100000"/>
  </r>
  <r>
    <d v="2026-03-18T00:00:00"/>
    <x v="2"/>
    <x v="0"/>
    <s v="SUSCRIPCION"/>
    <x v="1"/>
    <n v="27100000"/>
    <x v="1"/>
    <x v="0"/>
    <x v="0"/>
    <m/>
    <m/>
    <x v="0"/>
    <n v="27100000"/>
  </r>
  <r>
    <d v="2026-03-18T00:00:00"/>
    <x v="0"/>
    <x v="0"/>
    <s v="SUSCRIPCION"/>
    <x v="1"/>
    <n v="24300000"/>
    <x v="1"/>
    <x v="0"/>
    <x v="0"/>
    <m/>
    <m/>
    <x v="0"/>
    <n v="24300000"/>
  </r>
  <r>
    <d v="2026-03-18T00:00:00"/>
    <x v="3"/>
    <x v="0"/>
    <s v="RESCATE"/>
    <x v="9"/>
    <n v="117300000"/>
    <x v="6"/>
    <x v="0"/>
    <x v="0"/>
    <m/>
    <m/>
    <x v="0"/>
    <n v="-117300000"/>
  </r>
  <r>
    <d v="2026-03-19T00:00:00"/>
    <x v="2"/>
    <x v="0"/>
    <s v="RESCATE"/>
    <x v="1"/>
    <n v="140700000"/>
    <x v="1"/>
    <x v="0"/>
    <x v="0"/>
    <m/>
    <m/>
    <x v="0"/>
    <n v="-140700000"/>
  </r>
  <r>
    <d v="2026-03-19T00:00:00"/>
    <x v="1"/>
    <x v="0"/>
    <s v="RESCATE"/>
    <x v="1"/>
    <n v="1800000"/>
    <x v="1"/>
    <x v="0"/>
    <x v="0"/>
    <m/>
    <m/>
    <x v="0"/>
    <n v="-1800000"/>
  </r>
  <r>
    <d v="2026-03-19T00:00:00"/>
    <x v="3"/>
    <x v="0"/>
    <s v="RESCATE"/>
    <x v="9"/>
    <n v="310700000"/>
    <x v="6"/>
    <x v="0"/>
    <x v="0"/>
    <m/>
    <m/>
    <x v="0"/>
    <n v="-310700000"/>
  </r>
  <r>
    <d v="2026-03-19T00:00:00"/>
    <x v="0"/>
    <x v="0"/>
    <s v="SUSCRIPCION"/>
    <x v="6"/>
    <n v="27000000"/>
    <x v="5"/>
    <x v="0"/>
    <x v="0"/>
    <m/>
    <m/>
    <x v="0"/>
    <n v="27000000"/>
  </r>
  <r>
    <d v="2026-03-19T00:00:00"/>
    <x v="3"/>
    <x v="0"/>
    <s v="RESCATE"/>
    <x v="0"/>
    <n v="166710152"/>
    <x v="0"/>
    <x v="0"/>
    <x v="0"/>
    <m/>
    <m/>
    <x v="0"/>
    <n v="-166710152"/>
  </r>
  <r>
    <d v="2026-03-19T00:00:00"/>
    <x v="3"/>
    <x v="0"/>
    <s v="RESCATE"/>
    <x v="0"/>
    <n v="72624872.290000007"/>
    <x v="0"/>
    <x v="0"/>
    <x v="0"/>
    <m/>
    <m/>
    <x v="0"/>
    <n v="-72624872.290000007"/>
  </r>
  <r>
    <d v="2026-03-20T00:00:00"/>
    <x v="2"/>
    <x v="0"/>
    <s v="RESCATE"/>
    <x v="1"/>
    <n v="60400000"/>
    <x v="1"/>
    <x v="0"/>
    <x v="0"/>
    <m/>
    <m/>
    <x v="0"/>
    <n v="-60400000"/>
  </r>
  <r>
    <d v="2026-03-20T00:00:00"/>
    <x v="0"/>
    <x v="0"/>
    <s v="RESCATE"/>
    <x v="1"/>
    <n v="141000000"/>
    <x v="1"/>
    <x v="0"/>
    <x v="0"/>
    <m/>
    <m/>
    <x v="0"/>
    <n v="-141000000"/>
  </r>
  <r>
    <d v="2026-03-20T00:00:00"/>
    <x v="3"/>
    <x v="0"/>
    <s v="RESCATE"/>
    <x v="9"/>
    <n v="473900000"/>
    <x v="6"/>
    <x v="0"/>
    <x v="0"/>
    <m/>
    <m/>
    <x v="0"/>
    <n v="-473900000"/>
  </r>
  <r>
    <d v="2026-03-20T00:00:00"/>
    <x v="2"/>
    <x v="0"/>
    <s v="RESCATE"/>
    <x v="2"/>
    <n v="150000000"/>
    <x v="2"/>
    <x v="0"/>
    <x v="0"/>
    <m/>
    <m/>
    <x v="0"/>
    <n v="-150000000"/>
  </r>
  <r>
    <d v="2026-03-25T00:00:00"/>
    <x v="3"/>
    <x v="0"/>
    <s v="SUSCRIPCION"/>
    <x v="6"/>
    <n v="63684418.57"/>
    <x v="5"/>
    <x v="0"/>
    <x v="0"/>
    <m/>
    <m/>
    <x v="0"/>
    <n v="63684418.57"/>
  </r>
  <r>
    <d v="2026-03-25T00:00:00"/>
    <x v="0"/>
    <x v="0"/>
    <s v="SUSCRIPCION"/>
    <x v="6"/>
    <n v="17603657"/>
    <x v="5"/>
    <x v="0"/>
    <x v="0"/>
    <m/>
    <m/>
    <x v="0"/>
    <n v="17603657"/>
  </r>
  <r>
    <d v="2026-03-25T00:00:00"/>
    <x v="0"/>
    <x v="0"/>
    <s v="SUSCRIPCION"/>
    <x v="1"/>
    <n v="17362734"/>
    <x v="1"/>
    <x v="0"/>
    <x v="0"/>
    <m/>
    <m/>
    <x v="0"/>
    <n v="17362734"/>
  </r>
  <r>
    <d v="2026-03-25T00:00:00"/>
    <x v="1"/>
    <x v="0"/>
    <s v="SUSCRIPCION"/>
    <x v="1"/>
    <n v="5889024"/>
    <x v="1"/>
    <x v="0"/>
    <x v="0"/>
    <m/>
    <m/>
    <x v="0"/>
    <n v="5889024"/>
  </r>
  <r>
    <d v="2026-03-25T00:00:00"/>
    <x v="1"/>
    <x v="0"/>
    <s v="RESCATE"/>
    <x v="1"/>
    <n v="4200000"/>
    <x v="1"/>
    <x v="0"/>
    <x v="0"/>
    <m/>
    <m/>
    <x v="0"/>
    <n v="-4200000"/>
  </r>
  <r>
    <d v="2026-03-25T00:00:00"/>
    <x v="0"/>
    <x v="0"/>
    <s v="RESCATE"/>
    <x v="1"/>
    <n v="19500000"/>
    <x v="1"/>
    <x v="0"/>
    <x v="0"/>
    <m/>
    <m/>
    <x v="0"/>
    <n v="-19500000"/>
  </r>
  <r>
    <d v="2026-03-25T00:00:00"/>
    <x v="2"/>
    <x v="0"/>
    <s v="SUSCRIPCION"/>
    <x v="1"/>
    <n v="172400000"/>
    <x v="1"/>
    <x v="0"/>
    <x v="0"/>
    <m/>
    <m/>
    <x v="0"/>
    <n v="172400000"/>
  </r>
  <r>
    <d v="2026-03-25T00:00:00"/>
    <x v="3"/>
    <x v="0"/>
    <s v="RESCATE"/>
    <x v="9"/>
    <n v="750000000"/>
    <x v="6"/>
    <x v="0"/>
    <x v="0"/>
    <m/>
    <m/>
    <x v="0"/>
    <n v="-750000000"/>
  </r>
  <r>
    <d v="2026-03-25T00:00:00"/>
    <x v="0"/>
    <x v="0"/>
    <s v="RESCATE"/>
    <x v="6"/>
    <n v="600000000"/>
    <x v="5"/>
    <x v="0"/>
    <x v="0"/>
    <m/>
    <m/>
    <x v="0"/>
    <n v="-600000000"/>
  </r>
  <r>
    <d v="2026-03-25T00:00:00"/>
    <x v="0"/>
    <x v="0"/>
    <s v="SUSCRIPCION"/>
    <x v="2"/>
    <n v="200000000"/>
    <x v="2"/>
    <x v="0"/>
    <x v="0"/>
    <m/>
    <m/>
    <x v="0"/>
    <n v="200000000"/>
  </r>
  <r>
    <d v="2026-03-25T00:00:00"/>
    <x v="0"/>
    <x v="0"/>
    <s v="SUSCRIPCION"/>
    <x v="0"/>
    <n v="400000000"/>
    <x v="0"/>
    <x v="0"/>
    <x v="0"/>
    <m/>
    <m/>
    <x v="0"/>
    <n v="400000000"/>
  </r>
  <r>
    <d v="2026-03-25T00:00:00"/>
    <x v="2"/>
    <x v="0"/>
    <s v="SUSCRIPCION"/>
    <x v="2"/>
    <n v="52983411.210000001"/>
    <x v="2"/>
    <x v="0"/>
    <x v="0"/>
    <m/>
    <m/>
    <x v="0"/>
    <n v="52983411.210000001"/>
  </r>
  <r>
    <d v="2026-03-26T00:00:00"/>
    <x v="1"/>
    <x v="0"/>
    <s v="RESCATE"/>
    <x v="1"/>
    <n v="1100000"/>
    <x v="1"/>
    <x v="0"/>
    <x v="0"/>
    <m/>
    <m/>
    <x v="0"/>
    <n v="-1100000"/>
  </r>
  <r>
    <d v="2026-03-26T00:00:00"/>
    <x v="0"/>
    <x v="0"/>
    <s v="RESCATE"/>
    <x v="1"/>
    <n v="145500000"/>
    <x v="1"/>
    <x v="0"/>
    <x v="0"/>
    <m/>
    <m/>
    <x v="0"/>
    <n v="-145500000"/>
  </r>
  <r>
    <d v="2026-03-26T00:00:00"/>
    <x v="2"/>
    <x v="0"/>
    <s v="RESCATE"/>
    <x v="1"/>
    <n v="79700000"/>
    <x v="1"/>
    <x v="0"/>
    <x v="0"/>
    <m/>
    <m/>
    <x v="0"/>
    <n v="-79700000"/>
  </r>
  <r>
    <d v="2026-03-26T00:00:00"/>
    <x v="3"/>
    <x v="0"/>
    <s v="RESCATE"/>
    <x v="9"/>
    <n v="1290300000"/>
    <x v="6"/>
    <x v="0"/>
    <x v="0"/>
    <m/>
    <m/>
    <x v="0"/>
    <n v="-1290300000"/>
  </r>
  <r>
    <d v="2026-03-26T00:00:00"/>
    <x v="3"/>
    <x v="0"/>
    <s v="RESCATE"/>
    <x v="2"/>
    <n v="137699380"/>
    <x v="2"/>
    <x v="0"/>
    <x v="0"/>
    <m/>
    <m/>
    <x v="0"/>
    <n v="-137699380"/>
  </r>
  <r>
    <d v="2026-03-26T00:00:00"/>
    <x v="3"/>
    <x v="0"/>
    <s v="RESCATE"/>
    <x v="2"/>
    <n v="103724510.26000001"/>
    <x v="2"/>
    <x v="0"/>
    <x v="0"/>
    <m/>
    <m/>
    <x v="0"/>
    <n v="-103724510.26000001"/>
  </r>
  <r>
    <d v="2026-03-26T00:00:00"/>
    <x v="0"/>
    <x v="0"/>
    <s v="RESCATE"/>
    <x v="2"/>
    <n v="100000000"/>
    <x v="2"/>
    <x v="0"/>
    <x v="0"/>
    <m/>
    <m/>
    <x v="0"/>
    <n v="-100000000"/>
  </r>
  <r>
    <d v="2026-03-26T00:00:00"/>
    <x v="0"/>
    <x v="0"/>
    <s v="RESCATE"/>
    <x v="2"/>
    <n v="124888815.34999999"/>
    <x v="2"/>
    <x v="0"/>
    <x v="0"/>
    <m/>
    <m/>
    <x v="0"/>
    <n v="-124888815.34999999"/>
  </r>
  <r>
    <d v="2026-03-26T00:00:00"/>
    <x v="3"/>
    <x v="0"/>
    <s v="RESCATE"/>
    <x v="0"/>
    <n v="165118950"/>
    <x v="0"/>
    <x v="0"/>
    <x v="0"/>
    <m/>
    <m/>
    <x v="0"/>
    <n v="-165118950"/>
  </r>
  <r>
    <d v="2026-03-26T00:00:00"/>
    <x v="0"/>
    <x v="0"/>
    <s v="RESCATE"/>
    <x v="0"/>
    <n v="82199925.5"/>
    <x v="0"/>
    <x v="0"/>
    <x v="0"/>
    <m/>
    <m/>
    <x v="0"/>
    <n v="-82199925.5"/>
  </r>
  <r>
    <d v="2026-03-26T00:00:00"/>
    <x v="0"/>
    <x v="0"/>
    <s v="RESCATE"/>
    <x v="0"/>
    <n v="132374121"/>
    <x v="0"/>
    <x v="0"/>
    <x v="0"/>
    <m/>
    <m/>
    <x v="0"/>
    <n v="-132374121"/>
  </r>
  <r>
    <d v="2026-03-27T00:00:00"/>
    <x v="0"/>
    <x v="0"/>
    <s v="RESCATE"/>
    <x v="1"/>
    <n v="9500000"/>
    <x v="1"/>
    <x v="0"/>
    <x v="0"/>
    <m/>
    <m/>
    <x v="0"/>
    <n v="-9500000"/>
  </r>
  <r>
    <d v="2026-03-27T00:00:00"/>
    <x v="2"/>
    <x v="0"/>
    <s v="SUSCRIPCION"/>
    <x v="1"/>
    <n v="21000000"/>
    <x v="1"/>
    <x v="0"/>
    <x v="0"/>
    <m/>
    <m/>
    <x v="0"/>
    <n v="21000000"/>
  </r>
  <r>
    <d v="2026-03-27T00:00:00"/>
    <x v="3"/>
    <x v="0"/>
    <s v="SUSCRIPCION"/>
    <x v="9"/>
    <n v="3000000000"/>
    <x v="6"/>
    <x v="0"/>
    <x v="0"/>
    <m/>
    <m/>
    <x v="0"/>
    <n v="3000000000"/>
  </r>
  <r>
    <d v="2026-03-27T00:00:00"/>
    <x v="3"/>
    <x v="0"/>
    <s v="SUSCRIPCION"/>
    <x v="6"/>
    <n v="3513400000"/>
    <x v="5"/>
    <x v="0"/>
    <x v="0"/>
    <m/>
    <m/>
    <x v="0"/>
    <n v="3513400000"/>
  </r>
  <r>
    <d v="2026-03-30T00:00:00"/>
    <x v="0"/>
    <x v="0"/>
    <s v="SUSCRIPCION"/>
    <x v="4"/>
    <n v="71387429.439999998"/>
    <x v="3"/>
    <x v="0"/>
    <x v="0"/>
    <m/>
    <m/>
    <x v="0"/>
    <n v="71387429.439999998"/>
  </r>
  <r>
    <d v="2026-03-30T00:00:00"/>
    <x v="0"/>
    <x v="0"/>
    <s v="RESCATE"/>
    <x v="1"/>
    <n v="44700000"/>
    <x v="1"/>
    <x v="0"/>
    <x v="0"/>
    <m/>
    <m/>
    <x v="0"/>
    <n v="-44700000"/>
  </r>
  <r>
    <d v="2026-03-30T00:00:00"/>
    <x v="2"/>
    <x v="0"/>
    <s v="SUSCRIPCION"/>
    <x v="1"/>
    <n v="65500000"/>
    <x v="1"/>
    <x v="0"/>
    <x v="0"/>
    <m/>
    <m/>
    <x v="0"/>
    <n v="65500000"/>
  </r>
  <r>
    <d v="2026-03-30T00:00:00"/>
    <x v="3"/>
    <x v="0"/>
    <s v="RESCATE"/>
    <x v="9"/>
    <n v="426400000"/>
    <x v="6"/>
    <x v="0"/>
    <x v="0"/>
    <m/>
    <m/>
    <x v="0"/>
    <n v="-426400000"/>
  </r>
  <r>
    <d v="2026-03-31T00:00:00"/>
    <x v="0"/>
    <x v="0"/>
    <s v="RESCATE"/>
    <x v="1"/>
    <n v="126500000"/>
    <x v="1"/>
    <x v="0"/>
    <x v="0"/>
    <m/>
    <m/>
    <x v="0"/>
    <n v="-126500000"/>
  </r>
  <r>
    <d v="2026-03-31T00:00:00"/>
    <x v="2"/>
    <x v="0"/>
    <s v="SUSCRIPCION"/>
    <x v="1"/>
    <n v="29600000"/>
    <x v="1"/>
    <x v="0"/>
    <x v="0"/>
    <m/>
    <m/>
    <x v="0"/>
    <n v="29600000"/>
  </r>
  <r>
    <d v="2026-03-31T00:00:00"/>
    <x v="3"/>
    <x v="0"/>
    <s v="SUSCRIPCION"/>
    <x v="9"/>
    <n v="22800000"/>
    <x v="6"/>
    <x v="0"/>
    <x v="0"/>
    <m/>
    <m/>
    <x v="0"/>
    <n v="22800000"/>
  </r>
  <r>
    <d v="2026-03-31T00:00:00"/>
    <x v="0"/>
    <x v="0"/>
    <s v="RESCATE"/>
    <x v="2"/>
    <n v="100882988.68000001"/>
    <x v="2"/>
    <x v="0"/>
    <x v="0"/>
    <m/>
    <m/>
    <x v="0"/>
    <n v="-100882988.68000001"/>
  </r>
  <r>
    <d v="2026-03-31T00:00:00"/>
    <x v="3"/>
    <x v="0"/>
    <s v="RESCATE"/>
    <x v="2"/>
    <n v="139744080"/>
    <x v="2"/>
    <x v="0"/>
    <x v="0"/>
    <m/>
    <m/>
    <x v="0"/>
    <n v="-139744080"/>
  </r>
  <r>
    <d v="2026-03-31T00:00:00"/>
    <x v="3"/>
    <x v="0"/>
    <s v="RESCATE"/>
    <x v="2"/>
    <n v="94105976.090000004"/>
    <x v="2"/>
    <x v="0"/>
    <x v="0"/>
    <m/>
    <m/>
    <x v="0"/>
    <n v="-94105976.090000004"/>
  </r>
  <r>
    <d v="2026-03-31T00:00:00"/>
    <x v="2"/>
    <x v="0"/>
    <s v="SUSCRIPCION"/>
    <x v="2"/>
    <n v="80618376.129999995"/>
    <x v="2"/>
    <x v="0"/>
    <x v="0"/>
    <m/>
    <m/>
    <x v="0"/>
    <n v="80618376.129999995"/>
  </r>
  <r>
    <d v="2026-04-01T00:00:00"/>
    <x v="1"/>
    <x v="0"/>
    <s v="RESCATE"/>
    <x v="1"/>
    <n v="4300000"/>
    <x v="1"/>
    <x v="0"/>
    <x v="0"/>
    <m/>
    <m/>
    <x v="0"/>
    <n v="-4300000"/>
  </r>
  <r>
    <d v="2026-04-01T00:00:00"/>
    <x v="2"/>
    <x v="0"/>
    <s v="RESCATE"/>
    <x v="1"/>
    <n v="223500000"/>
    <x v="1"/>
    <x v="0"/>
    <x v="0"/>
    <m/>
    <m/>
    <x v="0"/>
    <n v="-223500000"/>
  </r>
  <r>
    <d v="2026-04-01T00:00:00"/>
    <x v="0"/>
    <x v="0"/>
    <s v="RESCATE"/>
    <x v="1"/>
    <n v="126800000"/>
    <x v="1"/>
    <x v="0"/>
    <x v="0"/>
    <m/>
    <m/>
    <x v="0"/>
    <n v="-126800000"/>
  </r>
  <r>
    <d v="2026-04-01T00:00:00"/>
    <x v="3"/>
    <x v="0"/>
    <s v="RESCATE"/>
    <x v="9"/>
    <n v="1294500000"/>
    <x v="6"/>
    <x v="0"/>
    <x v="0"/>
    <m/>
    <m/>
    <x v="0"/>
    <n v="-1294500000"/>
  </r>
  <r>
    <d v="2026-04-01T00:00:00"/>
    <x v="2"/>
    <x v="0"/>
    <s v="RESCATE"/>
    <x v="2"/>
    <n v="90000000"/>
    <x v="2"/>
    <x v="0"/>
    <x v="0"/>
    <m/>
    <m/>
    <x v="0"/>
    <n v="-90000000"/>
  </r>
  <r>
    <d v="2026-04-01T00:00:00"/>
    <x v="2"/>
    <x v="0"/>
    <s v="SUSCRIPCION"/>
    <x v="6"/>
    <n v="1380000000"/>
    <x v="5"/>
    <x v="0"/>
    <x v="0"/>
    <m/>
    <m/>
    <x v="0"/>
    <n v="1380000000"/>
  </r>
  <r>
    <d v="2026-04-06T00:00:00"/>
    <x v="0"/>
    <x v="0"/>
    <s v="SUSCRIPCION"/>
    <x v="4"/>
    <n v="63801302.5"/>
    <x v="3"/>
    <x v="0"/>
    <x v="0"/>
    <m/>
    <m/>
    <x v="0"/>
    <n v="63801302.5"/>
  </r>
  <r>
    <d v="2026-04-06T00:00:00"/>
    <x v="0"/>
    <x v="0"/>
    <s v="SUSCRIPCION"/>
    <x v="1"/>
    <n v="12268190"/>
    <x v="1"/>
    <x v="0"/>
    <x v="0"/>
    <m/>
    <m/>
    <x v="0"/>
    <n v="12268190"/>
  </r>
  <r>
    <d v="2026-04-06T00:00:00"/>
    <x v="0"/>
    <x v="0"/>
    <s v="SUSCRIPCION"/>
    <x v="2"/>
    <n v="7676133.3200000003"/>
    <x v="2"/>
    <x v="0"/>
    <x v="0"/>
    <m/>
    <m/>
    <x v="0"/>
    <n v="7676133.3200000003"/>
  </r>
  <r>
    <d v="2026-04-06T00:00:00"/>
    <x v="0"/>
    <x v="0"/>
    <s v="SUSCRIPCION"/>
    <x v="0"/>
    <n v="4703738.17"/>
    <x v="0"/>
    <x v="0"/>
    <x v="0"/>
    <m/>
    <m/>
    <x v="0"/>
    <n v="4703738.17"/>
  </r>
  <r>
    <d v="2026-04-06T00:00:00"/>
    <x v="3"/>
    <x v="0"/>
    <s v="SUSCRIPCION"/>
    <x v="2"/>
    <n v="15542223.279999999"/>
    <x v="2"/>
    <x v="0"/>
    <x v="0"/>
    <m/>
    <m/>
    <x v="0"/>
    <n v="15542223.279999999"/>
  </r>
  <r>
    <d v="2026-04-06T00:00:00"/>
    <x v="3"/>
    <x v="0"/>
    <s v="SUSCRIPCION"/>
    <x v="0"/>
    <n v="10605680.27"/>
    <x v="0"/>
    <x v="0"/>
    <x v="0"/>
    <m/>
    <m/>
    <x v="0"/>
    <n v="10605680.27"/>
  </r>
  <r>
    <d v="2026-04-06T00:00:00"/>
    <x v="3"/>
    <x v="0"/>
    <s v="SUSCRIPCION"/>
    <x v="9"/>
    <n v="195971831.66999999"/>
    <x v="6"/>
    <x v="0"/>
    <x v="0"/>
    <m/>
    <m/>
    <x v="0"/>
    <n v="195971831.66999999"/>
  </r>
  <r>
    <d v="2026-04-06T00:00:00"/>
    <x v="0"/>
    <x v="0"/>
    <s v="RESCATE"/>
    <x v="1"/>
    <n v="8800000"/>
    <x v="1"/>
    <x v="0"/>
    <x v="0"/>
    <m/>
    <m/>
    <x v="0"/>
    <n v="-8800000"/>
  </r>
  <r>
    <d v="2026-04-06T00:00:00"/>
    <x v="2"/>
    <x v="0"/>
    <s v="SUSCRIPCION"/>
    <x v="1"/>
    <n v="205400000"/>
    <x v="1"/>
    <x v="0"/>
    <x v="0"/>
    <m/>
    <m/>
    <x v="0"/>
    <n v="205400000"/>
  </r>
  <r>
    <d v="2026-04-06T00:00:00"/>
    <x v="3"/>
    <x v="0"/>
    <s v="RESCATE"/>
    <x v="9"/>
    <n v="427000000"/>
    <x v="6"/>
    <x v="0"/>
    <x v="0"/>
    <m/>
    <m/>
    <x v="0"/>
    <n v="-427000000"/>
  </r>
  <r>
    <d v="2026-04-07T00:00:00"/>
    <x v="1"/>
    <x v="0"/>
    <s v="RESCATE"/>
    <x v="1"/>
    <n v="3600000"/>
    <x v="1"/>
    <x v="0"/>
    <x v="0"/>
    <m/>
    <m/>
    <x v="0"/>
    <n v="-3600000"/>
  </r>
  <r>
    <d v="2026-04-07T00:00:00"/>
    <x v="2"/>
    <x v="0"/>
    <s v="RESCATE"/>
    <x v="1"/>
    <n v="15300000"/>
    <x v="1"/>
    <x v="0"/>
    <x v="0"/>
    <m/>
    <m/>
    <x v="0"/>
    <n v="-15300000"/>
  </r>
  <r>
    <d v="2026-04-07T00:00:00"/>
    <x v="0"/>
    <x v="0"/>
    <s v="SUSCRIPCION"/>
    <x v="1"/>
    <n v="3100000"/>
    <x v="1"/>
    <x v="0"/>
    <x v="0"/>
    <m/>
    <m/>
    <x v="0"/>
    <n v="3100000"/>
  </r>
  <r>
    <d v="2026-04-07T00:00:00"/>
    <x v="3"/>
    <x v="0"/>
    <s v="RESCATE"/>
    <x v="9"/>
    <n v="155500000"/>
    <x v="6"/>
    <x v="0"/>
    <x v="0"/>
    <m/>
    <m/>
    <x v="0"/>
    <n v="-155500000"/>
  </r>
  <r>
    <d v="2026-04-07T00:00:00"/>
    <x v="3"/>
    <x v="0"/>
    <s v="SUSCRIPCION"/>
    <x v="2"/>
    <n v="400000000"/>
    <x v="2"/>
    <x v="0"/>
    <x v="0"/>
    <m/>
    <m/>
    <x v="0"/>
    <n v="400000000"/>
  </r>
  <r>
    <d v="2026-04-07T00:00:00"/>
    <x v="3"/>
    <x v="0"/>
    <s v="SUSCRIPCION"/>
    <x v="0"/>
    <n v="300000000"/>
    <x v="0"/>
    <x v="0"/>
    <x v="0"/>
    <m/>
    <m/>
    <x v="0"/>
    <n v="300000000"/>
  </r>
  <r>
    <d v="2026-04-07T00:00:00"/>
    <x v="3"/>
    <x v="0"/>
    <s v="RESCATE"/>
    <x v="6"/>
    <n v="700000000"/>
    <x v="5"/>
    <x v="0"/>
    <x v="0"/>
    <m/>
    <m/>
    <x v="0"/>
    <n v="-700000000"/>
  </r>
  <r>
    <d v="2026-04-07T00:00:00"/>
    <x v="2"/>
    <x v="0"/>
    <s v="SUSCRIPCION"/>
    <x v="2"/>
    <n v="400000000"/>
    <x v="2"/>
    <x v="0"/>
    <x v="0"/>
    <m/>
    <m/>
    <x v="0"/>
    <n v="400000000"/>
  </r>
  <r>
    <d v="2026-04-07T00:00:00"/>
    <x v="2"/>
    <x v="0"/>
    <s v="RESCATE"/>
    <x v="6"/>
    <n v="400000000"/>
    <x v="5"/>
    <x v="0"/>
    <x v="0"/>
    <m/>
    <m/>
    <x v="0"/>
    <n v="-400000000"/>
  </r>
  <r>
    <d v="2026-04-08T00:00:00"/>
    <x v="2"/>
    <x v="0"/>
    <s v="RESCATE"/>
    <x v="1"/>
    <n v="40800000"/>
    <x v="1"/>
    <x v="0"/>
    <x v="0"/>
    <m/>
    <m/>
    <x v="0"/>
    <n v="-40800000"/>
  </r>
  <r>
    <d v="2026-04-08T00:00:00"/>
    <x v="0"/>
    <x v="0"/>
    <s v="RESCATE"/>
    <x v="1"/>
    <n v="143600000"/>
    <x v="1"/>
    <x v="0"/>
    <x v="0"/>
    <m/>
    <m/>
    <x v="0"/>
    <n v="-143600000"/>
  </r>
  <r>
    <d v="2026-04-08T00:00:00"/>
    <x v="3"/>
    <x v="0"/>
    <s v="RESCATE"/>
    <x v="9"/>
    <n v="586700000"/>
    <x v="6"/>
    <x v="0"/>
    <x v="0"/>
    <m/>
    <m/>
    <x v="0"/>
    <n v="-586700000"/>
  </r>
  <r>
    <d v="2026-04-08T00:00:00"/>
    <x v="3"/>
    <x v="0"/>
    <s v="RESCATE"/>
    <x v="9"/>
    <n v="40000000"/>
    <x v="6"/>
    <x v="0"/>
    <x v="0"/>
    <m/>
    <m/>
    <x v="0"/>
    <n v="-40000000"/>
  </r>
  <r>
    <d v="2026-04-08T00:00:00"/>
    <x v="3"/>
    <x v="0"/>
    <s v="RESCATE"/>
    <x v="0"/>
    <n v="96260385.650000006"/>
    <x v="0"/>
    <x v="0"/>
    <x v="0"/>
    <m/>
    <m/>
    <x v="0"/>
    <n v="-96260385.650000006"/>
  </r>
  <r>
    <d v="2026-04-08T00:00:00"/>
    <x v="3"/>
    <x v="0"/>
    <s v="RESCATE"/>
    <x v="0"/>
    <n v="170794151.75"/>
    <x v="0"/>
    <x v="0"/>
    <x v="0"/>
    <m/>
    <m/>
    <x v="0"/>
    <n v="-170794151.75"/>
  </r>
  <r>
    <d v="2026-04-08T00:00:00"/>
    <x v="3"/>
    <x v="0"/>
    <s v="RESCATE"/>
    <x v="2"/>
    <n v="58104960.590000004"/>
    <x v="2"/>
    <x v="0"/>
    <x v="0"/>
    <m/>
    <m/>
    <x v="0"/>
    <n v="-58104960.590000004"/>
  </r>
  <r>
    <d v="2026-04-08T00:00:00"/>
    <x v="3"/>
    <x v="0"/>
    <s v="RESCATE"/>
    <x v="2"/>
    <n v="156290176.34999999"/>
    <x v="2"/>
    <x v="0"/>
    <x v="0"/>
    <m/>
    <m/>
    <x v="0"/>
    <n v="-156290176.34999999"/>
  </r>
  <r>
    <d v="2026-04-08T00:00:00"/>
    <x v="2"/>
    <x v="0"/>
    <s v="RESCATE"/>
    <x v="2"/>
    <n v="132598330"/>
    <x v="2"/>
    <x v="0"/>
    <x v="0"/>
    <m/>
    <m/>
    <x v="0"/>
    <n v="-132598330"/>
  </r>
  <r>
    <d v="2026-04-08T00:00:00"/>
    <x v="2"/>
    <x v="0"/>
    <s v="RESCATE"/>
    <x v="2"/>
    <n v="155145646.47"/>
    <x v="2"/>
    <x v="0"/>
    <x v="0"/>
    <m/>
    <m/>
    <x v="0"/>
    <n v="-155145646.47"/>
  </r>
  <r>
    <d v="2026-04-09T00:00:00"/>
    <x v="3"/>
    <x v="0"/>
    <s v="RESCATE"/>
    <x v="9"/>
    <n v="799000000"/>
    <x v="6"/>
    <x v="0"/>
    <x v="0"/>
    <m/>
    <m/>
    <x v="0"/>
    <n v="-799000000"/>
  </r>
  <r>
    <d v="2026-04-09T00:00:00"/>
    <x v="0"/>
    <x v="0"/>
    <s v="RESCATE"/>
    <x v="1"/>
    <n v="4600000"/>
    <x v="1"/>
    <x v="0"/>
    <x v="0"/>
    <m/>
    <m/>
    <x v="0"/>
    <n v="-4600000"/>
  </r>
  <r>
    <d v="2026-04-09T00:00:00"/>
    <x v="2"/>
    <x v="0"/>
    <s v="RESCATE"/>
    <x v="6"/>
    <n v="272700000"/>
    <x v="5"/>
    <x v="0"/>
    <x v="0"/>
    <m/>
    <m/>
    <x v="0"/>
    <n v="-272700000"/>
  </r>
  <r>
    <d v="2026-04-10T00:00:00"/>
    <x v="0"/>
    <x v="0"/>
    <s v="RESCATE"/>
    <x v="1"/>
    <n v="27600000"/>
    <x v="1"/>
    <x v="0"/>
    <x v="0"/>
    <m/>
    <m/>
    <x v="0"/>
    <n v="-27600000"/>
  </r>
  <r>
    <d v="2026-04-10T00:00:00"/>
    <x v="3"/>
    <x v="0"/>
    <s v="RESCATE"/>
    <x v="9"/>
    <n v="135900000"/>
    <x v="6"/>
    <x v="0"/>
    <x v="0"/>
    <m/>
    <m/>
    <x v="0"/>
    <n v="-135900000"/>
  </r>
  <r>
    <d v="2026-04-10T00:00:00"/>
    <x v="2"/>
    <x v="0"/>
    <s v="SUSCRIPCION"/>
    <x v="1"/>
    <n v="6100000"/>
    <x v="1"/>
    <x v="0"/>
    <x v="0"/>
    <m/>
    <m/>
    <x v="0"/>
    <n v="6100000"/>
  </r>
  <r>
    <d v="2026-04-10T00:00:00"/>
    <x v="0"/>
    <x v="0"/>
    <s v="RESCATE"/>
    <x v="6"/>
    <n v="400000000"/>
    <x v="5"/>
    <x v="0"/>
    <x v="0"/>
    <m/>
    <m/>
    <x v="0"/>
    <n v="-400000000"/>
  </r>
  <r>
    <d v="2026-04-10T00:00:00"/>
    <x v="3"/>
    <x v="0"/>
    <s v="RESCATE"/>
    <x v="6"/>
    <n v="28000000"/>
    <x v="5"/>
    <x v="0"/>
    <x v="0"/>
    <m/>
    <m/>
    <x v="0"/>
    <n v="-28000000"/>
  </r>
  <r>
    <d v="2026-04-10T00:00:00"/>
    <x v="3"/>
    <x v="0"/>
    <s v="RESCATE"/>
    <x v="0"/>
    <n v="63632414.380000003"/>
    <x v="0"/>
    <x v="0"/>
    <x v="0"/>
    <m/>
    <m/>
    <x v="0"/>
    <n v="-63632414.380000003"/>
  </r>
  <r>
    <d v="2026-04-10T00:00:00"/>
    <x v="3"/>
    <x v="0"/>
    <s v="RESCATE"/>
    <x v="0"/>
    <n v="138049240"/>
    <x v="0"/>
    <x v="0"/>
    <x v="0"/>
    <m/>
    <m/>
    <x v="0"/>
    <n v="-138049240"/>
  </r>
  <r>
    <d v="2026-04-10T00:00:00"/>
    <x v="0"/>
    <x v="0"/>
    <s v="SUSCRIPCION"/>
    <x v="16"/>
    <n v="400000000"/>
    <x v="13"/>
    <x v="0"/>
    <x v="0"/>
    <m/>
    <m/>
    <x v="0"/>
    <n v="400000000"/>
  </r>
  <r>
    <d v="2026-04-13T00:00:00"/>
    <x v="0"/>
    <x v="0"/>
    <s v="RESCATE"/>
    <x v="1"/>
    <n v="43400000"/>
    <x v="1"/>
    <x v="0"/>
    <x v="0"/>
    <m/>
    <m/>
    <x v="0"/>
    <n v="-43400000"/>
  </r>
  <r>
    <d v="2026-04-13T00:00:00"/>
    <x v="3"/>
    <x v="0"/>
    <s v="RESCATE"/>
    <x v="9"/>
    <n v="491600000"/>
    <x v="6"/>
    <x v="0"/>
    <x v="0"/>
    <m/>
    <m/>
    <x v="0"/>
    <n v="-491600000"/>
  </r>
  <r>
    <d v="2026-04-13T00:00:00"/>
    <x v="2"/>
    <x v="0"/>
    <s v="SUSCRIPCION"/>
    <x v="1"/>
    <n v="10600000"/>
    <x v="1"/>
    <x v="0"/>
    <x v="0"/>
    <m/>
    <m/>
    <x v="0"/>
    <n v="10600000"/>
  </r>
  <r>
    <d v="2026-04-13T00:00:00"/>
    <x v="1"/>
    <x v="0"/>
    <s v="SUSCRIPCION"/>
    <x v="1"/>
    <n v="36800000"/>
    <x v="1"/>
    <x v="0"/>
    <x v="0"/>
    <m/>
    <m/>
    <x v="0"/>
    <n v="36800000"/>
  </r>
  <r>
    <d v="2026-04-13T00:00:00"/>
    <x v="3"/>
    <x v="0"/>
    <s v="RESCATE"/>
    <x v="5"/>
    <n v="95553598.359999999"/>
    <x v="4"/>
    <x v="0"/>
    <x v="0"/>
    <m/>
    <m/>
    <x v="0"/>
    <n v="-95553598.359999999"/>
  </r>
  <r>
    <d v="2026-04-13T00:00:00"/>
    <x v="3"/>
    <x v="0"/>
    <s v="RESCATE"/>
    <x v="5"/>
    <n v="101316477.63"/>
    <x v="4"/>
    <x v="0"/>
    <x v="0"/>
    <m/>
    <m/>
    <x v="0"/>
    <n v="-101316477.63"/>
  </r>
  <r>
    <d v="2026-04-13T00:00:00"/>
    <x v="3"/>
    <x v="0"/>
    <s v="RESCATE"/>
    <x v="2"/>
    <n v="83974169.280000001"/>
    <x v="2"/>
    <x v="0"/>
    <x v="0"/>
    <m/>
    <m/>
    <x v="0"/>
    <n v="-83974169.280000001"/>
  </r>
  <r>
    <d v="2026-04-13T00:00:00"/>
    <x v="3"/>
    <x v="0"/>
    <s v="RESCATE"/>
    <x v="2"/>
    <n v="68265511.189999998"/>
    <x v="2"/>
    <x v="0"/>
    <x v="0"/>
    <m/>
    <m/>
    <x v="0"/>
    <n v="-68265511.189999998"/>
  </r>
  <r>
    <d v="2026-04-13T00:00:00"/>
    <x v="3"/>
    <x v="0"/>
    <s v="RESCATE"/>
    <x v="0"/>
    <n v="51774950.450000003"/>
    <x v="0"/>
    <x v="0"/>
    <x v="0"/>
    <m/>
    <m/>
    <x v="0"/>
    <n v="-51774950.450000003"/>
  </r>
  <r>
    <d v="2026-04-13T00:00:00"/>
    <x v="3"/>
    <x v="0"/>
    <s v="RESCATE"/>
    <x v="0"/>
    <n v="54712008.560000002"/>
    <x v="0"/>
    <x v="0"/>
    <x v="0"/>
    <m/>
    <m/>
    <x v="0"/>
    <n v="-54712008.560000002"/>
  </r>
  <r>
    <d v="2026-04-13T00:00:00"/>
    <x v="3"/>
    <x v="0"/>
    <s v="SUSCRIPCION"/>
    <x v="6"/>
    <n v="8160000000"/>
    <x v="5"/>
    <x v="0"/>
    <x v="0"/>
    <m/>
    <m/>
    <x v="0"/>
    <n v="8160000000"/>
  </r>
  <r>
    <d v="2026-04-14T00:00:00"/>
    <x v="2"/>
    <x v="0"/>
    <s v="RESCATE"/>
    <x v="6"/>
    <n v="71600000"/>
    <x v="5"/>
    <x v="0"/>
    <x v="0"/>
    <m/>
    <m/>
    <x v="0"/>
    <n v="-71600000"/>
  </r>
  <r>
    <d v="2026-04-14T00:00:00"/>
    <x v="0"/>
    <x v="0"/>
    <s v="RESCATE"/>
    <x v="1"/>
    <n v="97800000"/>
    <x v="1"/>
    <x v="0"/>
    <x v="0"/>
    <m/>
    <m/>
    <x v="0"/>
    <n v="-97800000"/>
  </r>
  <r>
    <d v="2026-04-14T00:00:00"/>
    <x v="3"/>
    <x v="0"/>
    <s v="RESCATE"/>
    <x v="9"/>
    <n v="235500000"/>
    <x v="6"/>
    <x v="0"/>
    <x v="0"/>
    <m/>
    <m/>
    <x v="0"/>
    <n v="-235500000"/>
  </r>
  <r>
    <d v="2026-04-14T00:00:00"/>
    <x v="0"/>
    <x v="0"/>
    <s v="RESCATE"/>
    <x v="0"/>
    <n v="50000000"/>
    <x v="0"/>
    <x v="0"/>
    <x v="0"/>
    <m/>
    <m/>
    <x v="0"/>
    <n v="-50000000"/>
  </r>
  <r>
    <d v="2026-04-14T00:00:00"/>
    <x v="0"/>
    <x v="0"/>
    <s v="RESCATE"/>
    <x v="0"/>
    <n v="47830818.93"/>
    <x v="0"/>
    <x v="0"/>
    <x v="0"/>
    <m/>
    <m/>
    <x v="0"/>
    <n v="-47830818.93"/>
  </r>
  <r>
    <d v="2026-04-14T00:00:00"/>
    <x v="3"/>
    <x v="0"/>
    <s v="RESCATE"/>
    <x v="6"/>
    <n v="1500100000"/>
    <x v="5"/>
    <x v="0"/>
    <x v="0"/>
    <m/>
    <m/>
    <x v="0"/>
    <n v="-1500100000"/>
  </r>
  <r>
    <d v="2026-04-14T00:00:00"/>
    <x v="3"/>
    <x v="0"/>
    <s v="SUSCRIPCION"/>
    <x v="2"/>
    <n v="200000000"/>
    <x v="2"/>
    <x v="0"/>
    <x v="0"/>
    <m/>
    <m/>
    <x v="0"/>
    <n v="200000000"/>
  </r>
  <r>
    <d v="2026-04-14T00:00:00"/>
    <x v="3"/>
    <x v="0"/>
    <s v="SUSCRIPCION"/>
    <x v="0"/>
    <n v="300000000"/>
    <x v="0"/>
    <x v="0"/>
    <x v="0"/>
    <m/>
    <m/>
    <x v="0"/>
    <n v="300000000"/>
  </r>
  <r>
    <d v="2026-04-14T00:00:00"/>
    <x v="3"/>
    <x v="0"/>
    <s v="SUSCRIPCION"/>
    <x v="21"/>
    <n v="1000000000"/>
    <x v="16"/>
    <x v="1"/>
    <x v="0"/>
    <m/>
    <m/>
    <x v="0"/>
    <n v="1000000000"/>
  </r>
  <r>
    <d v="2026-04-15T00:00:00"/>
    <x v="0"/>
    <x v="0"/>
    <s v="RESCATE"/>
    <x v="1"/>
    <n v="46400000"/>
    <x v="1"/>
    <x v="0"/>
    <x v="0"/>
    <m/>
    <m/>
    <x v="0"/>
    <n v="-46400000"/>
  </r>
  <r>
    <d v="2026-04-15T00:00:00"/>
    <x v="3"/>
    <x v="0"/>
    <s v="RESCATE"/>
    <x v="9"/>
    <n v="299800000"/>
    <x v="6"/>
    <x v="0"/>
    <x v="0"/>
    <m/>
    <m/>
    <x v="0"/>
    <n v="-299800000"/>
  </r>
  <r>
    <d v="2026-04-15T00:00:00"/>
    <x v="2"/>
    <x v="0"/>
    <s v="SUSCRIPCION"/>
    <x v="1"/>
    <n v="191800000"/>
    <x v="1"/>
    <x v="0"/>
    <x v="0"/>
    <m/>
    <m/>
    <x v="0"/>
    <n v="191800000"/>
  </r>
  <r>
    <d v="2026-04-15T00:00:00"/>
    <x v="3"/>
    <x v="0"/>
    <s v="RESCATE"/>
    <x v="2"/>
    <n v="84276199.480000004"/>
    <x v="2"/>
    <x v="0"/>
    <x v="0"/>
    <m/>
    <m/>
    <x v="0"/>
    <n v="-84276199.480000004"/>
  </r>
  <r>
    <d v="2026-04-15T00:00:00"/>
    <x v="3"/>
    <x v="0"/>
    <s v="RESCATE"/>
    <x v="2"/>
    <n v="69443146.140000001"/>
    <x v="2"/>
    <x v="0"/>
    <x v="0"/>
    <m/>
    <m/>
    <x v="0"/>
    <n v="-69443146.140000001"/>
  </r>
  <r>
    <d v="2026-04-15T00:00:00"/>
    <x v="0"/>
    <x v="0"/>
    <s v="RESCATE"/>
    <x v="2"/>
    <n v="161335089.63"/>
    <x v="2"/>
    <x v="0"/>
    <x v="0"/>
    <m/>
    <m/>
    <x v="0"/>
    <n v="-161335089.63"/>
  </r>
  <r>
    <d v="2026-04-15T00:00:00"/>
    <x v="3"/>
    <x v="0"/>
    <s v="RESCATE"/>
    <x v="0"/>
    <n v="62501896.68"/>
    <x v="0"/>
    <x v="0"/>
    <x v="0"/>
    <m/>
    <m/>
    <x v="0"/>
    <n v="-62501896.68"/>
  </r>
  <r>
    <d v="2026-04-15T00:00:00"/>
    <x v="3"/>
    <x v="0"/>
    <s v="RESCATE"/>
    <x v="0"/>
    <n v="172558629.88999999"/>
    <x v="0"/>
    <x v="0"/>
    <x v="0"/>
    <m/>
    <m/>
    <x v="0"/>
    <n v="-172558629.88999999"/>
  </r>
  <r>
    <d v="2026-04-15T00:00:00"/>
    <x v="0"/>
    <x v="0"/>
    <s v="RESCATE"/>
    <x v="0"/>
    <n v="127946602.44"/>
    <x v="0"/>
    <x v="0"/>
    <x v="0"/>
    <m/>
    <m/>
    <x v="0"/>
    <n v="-127946602.44"/>
  </r>
  <r>
    <d v="2026-04-15T00:00:00"/>
    <x v="3"/>
    <x v="0"/>
    <s v="RESCATE"/>
    <x v="5"/>
    <n v="64349969.020000003"/>
    <x v="4"/>
    <x v="0"/>
    <x v="0"/>
    <m/>
    <m/>
    <x v="0"/>
    <n v="-64349969.020000003"/>
  </r>
  <r>
    <d v="2026-04-15T00:00:00"/>
    <x v="3"/>
    <x v="0"/>
    <s v="RESCATE"/>
    <x v="5"/>
    <n v="139485093.22"/>
    <x v="4"/>
    <x v="0"/>
    <x v="0"/>
    <m/>
    <m/>
    <x v="0"/>
    <n v="-139485093.22"/>
  </r>
  <r>
    <d v="2026-04-15T00:00:00"/>
    <x v="0"/>
    <x v="0"/>
    <s v="RESCATE"/>
    <x v="16"/>
    <n v="309000000"/>
    <x v="13"/>
    <x v="0"/>
    <x v="0"/>
    <m/>
    <m/>
    <x v="0"/>
    <n v="-309000000"/>
  </r>
  <r>
    <d v="2026-04-16T00:00:00"/>
    <x v="3"/>
    <x v="0"/>
    <s v="RESCATE"/>
    <x v="6"/>
    <n v="630800000"/>
    <x v="5"/>
    <x v="0"/>
    <x v="0"/>
    <m/>
    <m/>
    <x v="0"/>
    <n v="-630800000"/>
  </r>
  <r>
    <d v="2026-04-16T00:00:00"/>
    <x v="0"/>
    <x v="0"/>
    <s v="SUSCRIPCION"/>
    <x v="1"/>
    <n v="49700000"/>
    <x v="1"/>
    <x v="0"/>
    <x v="0"/>
    <m/>
    <m/>
    <x v="0"/>
    <n v="49700000"/>
  </r>
  <r>
    <d v="2026-04-16T00:00:00"/>
    <x v="2"/>
    <x v="0"/>
    <s v="SUSCRIPCION"/>
    <x v="1"/>
    <n v="40300000"/>
    <x v="1"/>
    <x v="0"/>
    <x v="0"/>
    <m/>
    <m/>
    <x v="0"/>
    <n v="40300000"/>
  </r>
  <r>
    <d v="2026-04-17T00:00:00"/>
    <x v="0"/>
    <x v="0"/>
    <s v="RESCATE"/>
    <x v="1"/>
    <n v="138700000"/>
    <x v="1"/>
    <x v="0"/>
    <x v="0"/>
    <m/>
    <m/>
    <x v="0"/>
    <n v="-138700000"/>
  </r>
  <r>
    <d v="2026-04-17T00:00:00"/>
    <x v="2"/>
    <x v="0"/>
    <s v="SUSCRIPCION"/>
    <x v="1"/>
    <n v="101700000"/>
    <x v="1"/>
    <x v="0"/>
    <x v="0"/>
    <m/>
    <m/>
    <x v="0"/>
    <n v="101700000"/>
  </r>
  <r>
    <d v="2026-04-17T00:00:00"/>
    <x v="3"/>
    <x v="0"/>
    <s v="RESCATE"/>
    <x v="9"/>
    <n v="332700000"/>
    <x v="6"/>
    <x v="0"/>
    <x v="0"/>
    <m/>
    <m/>
    <x v="0"/>
    <n v="-332700000"/>
  </r>
  <r>
    <d v="2026-04-17T00:00:00"/>
    <x v="3"/>
    <x v="0"/>
    <s v="RESCATE"/>
    <x v="9"/>
    <n v="1900000000"/>
    <x v="6"/>
    <x v="0"/>
    <x v="0"/>
    <m/>
    <m/>
    <x v="0"/>
    <n v="-1900000000"/>
  </r>
  <r>
    <d v="2026-04-17T00:00:00"/>
    <x v="3"/>
    <x v="0"/>
    <s v="RESCATE"/>
    <x v="6"/>
    <n v="7000000"/>
    <x v="5"/>
    <x v="0"/>
    <x v="0"/>
    <m/>
    <m/>
    <x v="0"/>
    <n v="-7000000"/>
  </r>
  <r>
    <d v="2026-04-17T00:00:00"/>
    <x v="3"/>
    <x v="0"/>
    <s v="SUSCRIPCION"/>
    <x v="2"/>
    <n v="1900000000"/>
    <x v="2"/>
    <x v="0"/>
    <x v="0"/>
    <m/>
    <m/>
    <x v="0"/>
    <n v="1900000000"/>
  </r>
  <r>
    <d v="2026-04-17T00:00:00"/>
    <x v="3"/>
    <x v="0"/>
    <s v="SUSCRIPCION"/>
    <x v="2"/>
    <n v="4339957"/>
    <x v="2"/>
    <x v="0"/>
    <x v="0"/>
    <m/>
    <m/>
    <x v="0"/>
    <n v="4339957"/>
  </r>
  <r>
    <d v="2026-04-17T00:00:00"/>
    <x v="0"/>
    <x v="0"/>
    <s v="SUSCRIPCION"/>
    <x v="2"/>
    <n v="1737723.7"/>
    <x v="2"/>
    <x v="0"/>
    <x v="0"/>
    <m/>
    <m/>
    <x v="0"/>
    <n v="1737723.7"/>
  </r>
  <r>
    <d v="2026-04-17T00:00:00"/>
    <x v="2"/>
    <x v="0"/>
    <s v="SUSCRIPCION"/>
    <x v="2"/>
    <n v="2846000.75"/>
    <x v="2"/>
    <x v="0"/>
    <x v="0"/>
    <m/>
    <m/>
    <x v="0"/>
    <n v="2846000.75"/>
  </r>
  <r>
    <d v="2026-04-17T00:00:00"/>
    <x v="0"/>
    <x v="0"/>
    <s v="SUSCRIPCION"/>
    <x v="0"/>
    <n v="2316703.96"/>
    <x v="0"/>
    <x v="0"/>
    <x v="0"/>
    <m/>
    <m/>
    <x v="0"/>
    <n v="2316703.96"/>
  </r>
  <r>
    <d v="2026-04-17T00:00:00"/>
    <x v="3"/>
    <x v="0"/>
    <s v="SUSCRIPCION"/>
    <x v="0"/>
    <n v="4089940.06"/>
    <x v="0"/>
    <x v="0"/>
    <x v="0"/>
    <m/>
    <m/>
    <x v="0"/>
    <n v="4089940.06"/>
  </r>
  <r>
    <d v="2026-04-17T00:00:00"/>
    <x v="0"/>
    <x v="0"/>
    <s v="SUSCRIPCION"/>
    <x v="4"/>
    <n v="66123143.219999999"/>
    <x v="3"/>
    <x v="0"/>
    <x v="0"/>
    <m/>
    <m/>
    <x v="0"/>
    <n v="66123143.219999999"/>
  </r>
  <r>
    <d v="2026-04-17T00:00:00"/>
    <x v="3"/>
    <x v="0"/>
    <s v="SUSCRIPCION"/>
    <x v="9"/>
    <n v="63391023.600000001"/>
    <x v="6"/>
    <x v="0"/>
    <x v="0"/>
    <m/>
    <m/>
    <x v="0"/>
    <n v="63391023.600000001"/>
  </r>
  <r>
    <d v="2026-04-17T00:00:00"/>
    <x v="3"/>
    <x v="0"/>
    <s v="SUSCRIPCION"/>
    <x v="6"/>
    <n v="83090609.620000005"/>
    <x v="5"/>
    <x v="0"/>
    <x v="0"/>
    <m/>
    <m/>
    <x v="0"/>
    <n v="83090609.620000005"/>
  </r>
  <r>
    <d v="2026-04-17T00:00:00"/>
    <x v="0"/>
    <x v="0"/>
    <s v="SUSCRIPCION"/>
    <x v="6"/>
    <n v="7267117.29"/>
    <x v="5"/>
    <x v="0"/>
    <x v="0"/>
    <m/>
    <m/>
    <x v="0"/>
    <n v="7267117.29"/>
  </r>
  <r>
    <d v="2026-04-17T00:00:00"/>
    <x v="0"/>
    <x v="0"/>
    <s v="SUSCRIPCION"/>
    <x v="1"/>
    <n v="8479780"/>
    <x v="1"/>
    <x v="0"/>
    <x v="0"/>
    <m/>
    <m/>
    <x v="0"/>
    <n v="8479780"/>
  </r>
  <r>
    <d v="2026-04-17T00:00:00"/>
    <x v="2"/>
    <x v="0"/>
    <s v="SUSCRIPCION"/>
    <x v="1"/>
    <n v="2474144"/>
    <x v="1"/>
    <x v="0"/>
    <x v="0"/>
    <m/>
    <m/>
    <x v="0"/>
    <n v="2474144"/>
  </r>
  <r>
    <d v="2026-04-17T00:00:00"/>
    <x v="3"/>
    <x v="0"/>
    <s v="SUSCRIPCION"/>
    <x v="5"/>
    <n v="32023124.48"/>
    <x v="4"/>
    <x v="0"/>
    <x v="0"/>
    <m/>
    <m/>
    <x v="0"/>
    <n v="32023124.48"/>
  </r>
  <r>
    <d v="2026-04-17T00:00:00"/>
    <x v="0"/>
    <x v="0"/>
    <s v="SUSCRIPCION"/>
    <x v="5"/>
    <n v="2386576.4"/>
    <x v="4"/>
    <x v="0"/>
    <x v="0"/>
    <m/>
    <m/>
    <x v="0"/>
    <n v="2386576.4"/>
  </r>
  <r>
    <d v="2026-04-20T00:00:00"/>
    <x v="3"/>
    <x v="0"/>
    <s v="RESCATE"/>
    <x v="9"/>
    <n v="16900000"/>
    <x v="6"/>
    <x v="0"/>
    <x v="0"/>
    <m/>
    <m/>
    <x v="0"/>
    <n v="-16900000"/>
  </r>
  <r>
    <d v="2026-04-20T00:00:00"/>
    <x v="3"/>
    <x v="0"/>
    <s v="RESCATE"/>
    <x v="6"/>
    <n v="104000000"/>
    <x v="5"/>
    <x v="0"/>
    <x v="0"/>
    <m/>
    <m/>
    <x v="0"/>
    <n v="-104000000"/>
  </r>
  <r>
    <d v="2026-04-20T00:00:00"/>
    <x v="2"/>
    <x v="0"/>
    <s v="SUSCRIPCION"/>
    <x v="1"/>
    <n v="119700000"/>
    <x v="1"/>
    <x v="0"/>
    <x v="0"/>
    <m/>
    <m/>
    <x v="0"/>
    <n v="119700000"/>
  </r>
  <r>
    <d v="2026-04-20T00:00:00"/>
    <x v="0"/>
    <x v="0"/>
    <s v="SUSCRIPCION"/>
    <x v="1"/>
    <n v="42800000"/>
    <x v="1"/>
    <x v="0"/>
    <x v="0"/>
    <m/>
    <m/>
    <x v="0"/>
    <n v="42800000"/>
  </r>
  <r>
    <d v="2026-04-20T00:00:00"/>
    <x v="1"/>
    <x v="0"/>
    <s v="RESCATE"/>
    <x v="1"/>
    <n v="2000000"/>
    <x v="1"/>
    <x v="0"/>
    <x v="0"/>
    <m/>
    <m/>
    <x v="0"/>
    <n v="-2000000"/>
  </r>
  <r>
    <d v="2026-04-20T00:00:00"/>
    <x v="3"/>
    <x v="0"/>
    <s v="RESCATE"/>
    <x v="6"/>
    <n v="2000000000"/>
    <x v="5"/>
    <x v="0"/>
    <x v="0"/>
    <m/>
    <m/>
    <x v="0"/>
    <n v="-2000000000"/>
  </r>
  <r>
    <d v="2026-04-20T00:00:00"/>
    <x v="3"/>
    <x v="0"/>
    <s v="SUSCRIPCION"/>
    <x v="2"/>
    <n v="1000000000"/>
    <x v="2"/>
    <x v="0"/>
    <x v="0"/>
    <m/>
    <m/>
    <x v="0"/>
    <n v="1000000000"/>
  </r>
  <r>
    <d v="2026-04-20T00:00:00"/>
    <x v="3"/>
    <x v="0"/>
    <s v="SUSCRIPCION"/>
    <x v="2"/>
    <n v="1000000000"/>
    <x v="2"/>
    <x v="0"/>
    <x v="0"/>
    <m/>
    <m/>
    <x v="0"/>
    <n v="1000000000"/>
  </r>
  <r>
    <d v="2026-04-20T00:00:00"/>
    <x v="3"/>
    <x v="0"/>
    <s v="RESCATE"/>
    <x v="6"/>
    <n v="1000000000"/>
    <x v="5"/>
    <x v="0"/>
    <x v="0"/>
    <m/>
    <m/>
    <x v="0"/>
    <n v="-1000000000"/>
  </r>
  <r>
    <d v="2026-04-20T00:00:00"/>
    <x v="3"/>
    <x v="1"/>
    <s v="SUSCRIPCION"/>
    <x v="7"/>
    <n v="1000000000"/>
    <x v="5"/>
    <x v="2"/>
    <x v="0"/>
    <s v="20/05/2026"/>
    <n v="23.25"/>
    <x v="0"/>
    <n v="1000000000"/>
  </r>
  <r>
    <d v="2026-04-21T00:00:00"/>
    <x v="0"/>
    <x v="0"/>
    <s v="RESCATE"/>
    <x v="6"/>
    <n v="100000000"/>
    <x v="5"/>
    <x v="0"/>
    <x v="0"/>
    <m/>
    <m/>
    <x v="0"/>
    <n v="-100000000"/>
  </r>
  <r>
    <d v="2026-04-21T00:00:00"/>
    <x v="0"/>
    <x v="0"/>
    <s v="SUSCRIPCION"/>
    <x v="16"/>
    <n v="100000000"/>
    <x v="13"/>
    <x v="0"/>
    <x v="0"/>
    <m/>
    <m/>
    <x v="0"/>
    <n v="100000000"/>
  </r>
  <r>
    <d v="2026-04-21T00:00:00"/>
    <x v="1"/>
    <x v="0"/>
    <s v="RESCATE"/>
    <x v="1"/>
    <n v="17700000"/>
    <x v="1"/>
    <x v="0"/>
    <x v="0"/>
    <m/>
    <m/>
    <x v="0"/>
    <n v="-17700000"/>
  </r>
  <r>
    <d v="2026-04-21T00:00:00"/>
    <x v="0"/>
    <x v="0"/>
    <s v="RESCATE"/>
    <x v="1"/>
    <n v="48400000"/>
    <x v="1"/>
    <x v="0"/>
    <x v="0"/>
    <m/>
    <m/>
    <x v="0"/>
    <n v="-48400000"/>
  </r>
  <r>
    <d v="2026-04-21T00:00:00"/>
    <x v="3"/>
    <x v="0"/>
    <s v="RESCATE"/>
    <x v="6"/>
    <n v="1338200000"/>
    <x v="5"/>
    <x v="0"/>
    <x v="0"/>
    <m/>
    <m/>
    <x v="0"/>
    <n v="-1338200000"/>
  </r>
  <r>
    <d v="2026-04-21T00:00:00"/>
    <x v="2"/>
    <x v="0"/>
    <s v="SUSCRIPCION"/>
    <x v="1"/>
    <n v="17200000"/>
    <x v="1"/>
    <x v="0"/>
    <x v="0"/>
    <m/>
    <m/>
    <x v="0"/>
    <n v="17200000"/>
  </r>
  <r>
    <d v="2026-04-21T00:00:00"/>
    <x v="3"/>
    <x v="0"/>
    <s v="RESCATE"/>
    <x v="5"/>
    <n v="137644920"/>
    <x v="4"/>
    <x v="0"/>
    <x v="0"/>
    <m/>
    <m/>
    <x v="0"/>
    <n v="-137644920"/>
  </r>
  <r>
    <d v="2026-04-21T00:00:00"/>
    <x v="3"/>
    <x v="0"/>
    <s v="RESCATE"/>
    <x v="5"/>
    <n v="74299817.409999996"/>
    <x v="4"/>
    <x v="0"/>
    <x v="0"/>
    <m/>
    <m/>
    <x v="0"/>
    <n v="-74299817.409999996"/>
  </r>
  <r>
    <d v="2026-04-22T00:00:00"/>
    <x v="2"/>
    <x v="0"/>
    <s v="RESCATE"/>
    <x v="1"/>
    <n v="203400000"/>
    <x v="1"/>
    <x v="0"/>
    <x v="0"/>
    <m/>
    <m/>
    <x v="0"/>
    <n v="-203400000"/>
  </r>
  <r>
    <d v="2026-04-22T00:00:00"/>
    <x v="0"/>
    <x v="0"/>
    <s v="RESCATE"/>
    <x v="1"/>
    <n v="9200000"/>
    <x v="1"/>
    <x v="0"/>
    <x v="0"/>
    <m/>
    <m/>
    <x v="0"/>
    <n v="-9200000"/>
  </r>
  <r>
    <d v="2026-04-22T00:00:00"/>
    <x v="3"/>
    <x v="0"/>
    <s v="SUSCRIPCION"/>
    <x v="1"/>
    <n v="186000000"/>
    <x v="1"/>
    <x v="0"/>
    <x v="0"/>
    <m/>
    <m/>
    <x v="0"/>
    <n v="186000000"/>
  </r>
  <r>
    <d v="2026-04-22T00:00:00"/>
    <x v="3"/>
    <x v="0"/>
    <s v="SUSCRIPCION"/>
    <x v="6"/>
    <n v="6686100000"/>
    <x v="5"/>
    <x v="0"/>
    <x v="0"/>
    <m/>
    <m/>
    <x v="0"/>
    <n v="6686100000"/>
  </r>
  <r>
    <d v="2026-04-22T00:00:00"/>
    <x v="0"/>
    <x v="0"/>
    <s v="RESCATE"/>
    <x v="16"/>
    <n v="64873343.399999999"/>
    <x v="13"/>
    <x v="0"/>
    <x v="0"/>
    <m/>
    <m/>
    <x v="0"/>
    <n v="-64873343.399999999"/>
  </r>
  <r>
    <d v="2026-04-22T00:00:00"/>
    <x v="0"/>
    <x v="0"/>
    <s v="RESCATE"/>
    <x v="16"/>
    <n v="70660961.799999997"/>
    <x v="13"/>
    <x v="0"/>
    <x v="0"/>
    <m/>
    <m/>
    <x v="0"/>
    <n v="-70660961.799999997"/>
  </r>
  <r>
    <d v="2026-04-23T00:00:00"/>
    <x v="3"/>
    <x v="0"/>
    <s v="RESCATE"/>
    <x v="6"/>
    <n v="577900000"/>
    <x v="5"/>
    <x v="0"/>
    <x v="0"/>
    <m/>
    <m/>
    <x v="0"/>
    <n v="-577900000"/>
  </r>
  <r>
    <d v="2026-04-23T00:00:00"/>
    <x v="0"/>
    <x v="0"/>
    <s v="RESCATE"/>
    <x v="1"/>
    <n v="15300000"/>
    <x v="1"/>
    <x v="0"/>
    <x v="0"/>
    <m/>
    <m/>
    <x v="0"/>
    <n v="-15300000"/>
  </r>
  <r>
    <d v="2026-04-23T00:00:00"/>
    <x v="2"/>
    <x v="0"/>
    <s v="RESCATE"/>
    <x v="1"/>
    <n v="300000"/>
    <x v="1"/>
    <x v="0"/>
    <x v="0"/>
    <m/>
    <m/>
    <x v="0"/>
    <n v="-300000"/>
  </r>
  <r>
    <d v="2026-04-23T00:00:00"/>
    <x v="3"/>
    <x v="0"/>
    <s v="RESCATE"/>
    <x v="6"/>
    <n v="3000000000"/>
    <x v="5"/>
    <x v="0"/>
    <x v="0"/>
    <m/>
    <m/>
    <x v="0"/>
    <n v="-3000000000"/>
  </r>
  <r>
    <d v="2026-04-23T00:00:00"/>
    <x v="3"/>
    <x v="0"/>
    <s v="RESCATE"/>
    <x v="9"/>
    <n v="1990000000"/>
    <x v="6"/>
    <x v="0"/>
    <x v="0"/>
    <m/>
    <m/>
    <x v="0"/>
    <n v="-1990000000"/>
  </r>
  <r>
    <d v="2026-04-23T00:00:00"/>
    <x v="3"/>
    <x v="0"/>
    <s v="SUSCRIPCION"/>
    <x v="2"/>
    <n v="4990000000"/>
    <x v="2"/>
    <x v="0"/>
    <x v="0"/>
    <m/>
    <m/>
    <x v="0"/>
    <n v="4990000000"/>
  </r>
  <r>
    <d v="2026-04-23T00:00:00"/>
    <x v="3"/>
    <x v="0"/>
    <s v="RESCATE"/>
    <x v="16"/>
    <n v="130103485.18000001"/>
    <x v="13"/>
    <x v="0"/>
    <x v="0"/>
    <m/>
    <m/>
    <x v="0"/>
    <n v="-130103485.18000001"/>
  </r>
  <r>
    <d v="2026-04-23T00:00:00"/>
    <x v="2"/>
    <x v="0"/>
    <s v="SUSCRIPCION"/>
    <x v="2"/>
    <n v="82994170.549999997"/>
    <x v="2"/>
    <x v="0"/>
    <x v="0"/>
    <m/>
    <m/>
    <x v="0"/>
    <n v="82994170.549999997"/>
  </r>
  <r>
    <d v="2026-04-24T00:00:00"/>
    <x v="2"/>
    <x v="0"/>
    <s v="SUSCRIPCION"/>
    <x v="2"/>
    <n v="275569777"/>
    <x v="2"/>
    <x v="0"/>
    <x v="0"/>
    <m/>
    <m/>
    <x v="0"/>
    <n v="275569777"/>
  </r>
  <r>
    <d v="2026-04-24T00:00:00"/>
    <x v="0"/>
    <x v="0"/>
    <s v="RESCATE"/>
    <x v="1"/>
    <n v="50900000"/>
    <x v="1"/>
    <x v="0"/>
    <x v="0"/>
    <m/>
    <m/>
    <x v="0"/>
    <n v="-50900000"/>
  </r>
  <r>
    <d v="2026-04-24T00:00:00"/>
    <x v="2"/>
    <x v="0"/>
    <s v="SUSCRIPCION"/>
    <x v="1"/>
    <n v="49300000"/>
    <x v="1"/>
    <x v="0"/>
    <x v="0"/>
    <m/>
    <m/>
    <x v="0"/>
    <n v="49300000"/>
  </r>
  <r>
    <d v="2026-04-24T00:00:00"/>
    <x v="3"/>
    <x v="0"/>
    <s v="RESCATE"/>
    <x v="6"/>
    <n v="189100000"/>
    <x v="5"/>
    <x v="0"/>
    <x v="0"/>
    <m/>
    <m/>
    <x v="0"/>
    <n v="-189100000"/>
  </r>
  <r>
    <d v="2026-04-24T00:00:00"/>
    <x v="3"/>
    <x v="0"/>
    <s v="RESCATE"/>
    <x v="6"/>
    <n v="3003700000"/>
    <x v="5"/>
    <x v="0"/>
    <x v="0"/>
    <m/>
    <m/>
    <x v="0"/>
    <n v="-3003700000"/>
  </r>
  <r>
    <d v="2026-04-24T00:00:00"/>
    <x v="3"/>
    <x v="0"/>
    <s v="RESCATE"/>
    <x v="9"/>
    <n v="1990000000"/>
    <x v="6"/>
    <x v="0"/>
    <x v="0"/>
    <m/>
    <m/>
    <x v="0"/>
    <n v="-1990000000"/>
  </r>
  <r>
    <d v="2026-04-24T00:00:00"/>
    <x v="3"/>
    <x v="0"/>
    <s v="SUSCRIPCION"/>
    <x v="2"/>
    <n v="4990000000"/>
    <x v="2"/>
    <x v="0"/>
    <x v="0"/>
    <m/>
    <m/>
    <x v="0"/>
    <n v="4990000000"/>
  </r>
  <r>
    <d v="2026-04-27T00:00:00"/>
    <x v="1"/>
    <x v="0"/>
    <s v="RESCATE"/>
    <x v="1"/>
    <n v="200000"/>
    <x v="1"/>
    <x v="0"/>
    <x v="0"/>
    <m/>
    <m/>
    <x v="0"/>
    <n v="-200000"/>
  </r>
  <r>
    <d v="2026-04-27T00:00:00"/>
    <x v="0"/>
    <x v="0"/>
    <s v="RESCATE"/>
    <x v="1"/>
    <n v="158000000"/>
    <x v="1"/>
    <x v="0"/>
    <x v="0"/>
    <m/>
    <m/>
    <x v="0"/>
    <n v="-158000000"/>
  </r>
  <r>
    <d v="2026-04-27T00:00:00"/>
    <x v="3"/>
    <x v="0"/>
    <s v="RESCATE"/>
    <x v="6"/>
    <n v="616700000"/>
    <x v="5"/>
    <x v="0"/>
    <x v="0"/>
    <m/>
    <m/>
    <x v="0"/>
    <n v="-616700000"/>
  </r>
  <r>
    <d v="2026-04-27T00:00:00"/>
    <x v="2"/>
    <x v="0"/>
    <s v="SUSCRIPCION"/>
    <x v="1"/>
    <n v="14000000"/>
    <x v="1"/>
    <x v="0"/>
    <x v="0"/>
    <m/>
    <m/>
    <x v="0"/>
    <n v="14000000"/>
  </r>
  <r>
    <d v="2026-04-27T00:00:00"/>
    <x v="0"/>
    <x v="0"/>
    <s v="RESCATE"/>
    <x v="6"/>
    <n v="900000"/>
    <x v="5"/>
    <x v="0"/>
    <x v="0"/>
    <m/>
    <m/>
    <x v="0"/>
    <n v="-900000"/>
  </r>
  <r>
    <d v="2026-04-27T00:00:00"/>
    <x v="3"/>
    <x v="0"/>
    <s v="RESCATE"/>
    <x v="6"/>
    <n v="2000000000"/>
    <x v="5"/>
    <x v="0"/>
    <x v="0"/>
    <m/>
    <m/>
    <x v="0"/>
    <n v="-2000000000"/>
  </r>
  <r>
    <d v="2026-04-27T00:00:00"/>
    <x v="3"/>
    <x v="0"/>
    <s v="SUSCRIPCION"/>
    <x v="2"/>
    <n v="2000000000"/>
    <x v="2"/>
    <x v="0"/>
    <x v="0"/>
    <m/>
    <m/>
    <x v="0"/>
    <n v="2000000000"/>
  </r>
  <r>
    <d v="2026-04-28T00:00:00"/>
    <x v="1"/>
    <x v="0"/>
    <s v="RESCATE"/>
    <x v="1"/>
    <n v="500000"/>
    <x v="1"/>
    <x v="0"/>
    <x v="0"/>
    <m/>
    <m/>
    <x v="0"/>
    <n v="-500000"/>
  </r>
  <r>
    <d v="2026-04-28T00:00:00"/>
    <x v="2"/>
    <x v="0"/>
    <s v="RESCATE"/>
    <x v="1"/>
    <n v="9600000"/>
    <x v="1"/>
    <x v="0"/>
    <x v="0"/>
    <m/>
    <m/>
    <x v="0"/>
    <n v="-9600000"/>
  </r>
  <r>
    <d v="2026-04-28T00:00:00"/>
    <x v="0"/>
    <x v="0"/>
    <s v="RESCATE"/>
    <x v="1"/>
    <n v="88200000"/>
    <x v="1"/>
    <x v="0"/>
    <x v="0"/>
    <m/>
    <m/>
    <x v="0"/>
    <n v="-88200000"/>
  </r>
  <r>
    <d v="2026-04-28T00:00:00"/>
    <x v="3"/>
    <x v="0"/>
    <s v="RESCATE"/>
    <x v="6"/>
    <n v="139700000"/>
    <x v="5"/>
    <x v="0"/>
    <x v="0"/>
    <m/>
    <m/>
    <x v="0"/>
    <n v="-139700000"/>
  </r>
  <r>
    <d v="2026-04-28T00:00:00"/>
    <x v="3"/>
    <x v="0"/>
    <s v="SUSCRIPCION"/>
    <x v="2"/>
    <n v="53310768.200000003"/>
    <x v="2"/>
    <x v="0"/>
    <x v="0"/>
    <m/>
    <m/>
    <x v="0"/>
    <n v="53310768.200000003"/>
  </r>
  <r>
    <d v="2026-04-28T00:00:00"/>
    <x v="3"/>
    <x v="0"/>
    <s v="RESCATE"/>
    <x v="2"/>
    <n v="16000000000"/>
    <x v="2"/>
    <x v="0"/>
    <x v="0"/>
    <m/>
    <m/>
    <x v="0"/>
    <n v="-16000000000"/>
  </r>
  <r>
    <d v="2026-04-28T00:00:00"/>
    <x v="0"/>
    <x v="0"/>
    <s v="SUSCRIPCION"/>
    <x v="2"/>
    <n v="6000012107"/>
    <x v="2"/>
    <x v="0"/>
    <x v="0"/>
    <m/>
    <m/>
    <x v="0"/>
    <n v="6000012107"/>
  </r>
  <r>
    <d v="2026-04-28T00:00:00"/>
    <x v="2"/>
    <x v="0"/>
    <s v="SUSCRIPCION"/>
    <x v="2"/>
    <n v="16000000000"/>
    <x v="2"/>
    <x v="0"/>
    <x v="0"/>
    <m/>
    <m/>
    <x v="0"/>
    <n v="16000000000"/>
  </r>
  <r>
    <d v="2026-04-28T00:00:00"/>
    <x v="2"/>
    <x v="0"/>
    <s v="RESCATE"/>
    <x v="2"/>
    <n v="6000000000.5699997"/>
    <x v="2"/>
    <x v="0"/>
    <x v="0"/>
    <m/>
    <m/>
    <x v="0"/>
    <n v="-6000000000.5699997"/>
  </r>
  <r>
    <d v="2026-04-28T00:00:00"/>
    <x v="2"/>
    <x v="0"/>
    <s v="RESCATE"/>
    <x v="2"/>
    <n v="2878974797.7800002"/>
    <x v="2"/>
    <x v="0"/>
    <x v="0"/>
    <m/>
    <m/>
    <x v="0"/>
    <n v="-2878974797.7800002"/>
  </r>
  <r>
    <d v="2026-04-29T00:00:00"/>
    <x v="2"/>
    <x v="0"/>
    <s v="RESCATE"/>
    <x v="1"/>
    <n v="27400000"/>
    <x v="1"/>
    <x v="0"/>
    <x v="0"/>
    <m/>
    <m/>
    <x v="0"/>
    <n v="-27400000"/>
  </r>
  <r>
    <d v="2026-04-29T00:00:00"/>
    <x v="0"/>
    <x v="0"/>
    <s v="RESCATE"/>
    <x v="1"/>
    <n v="4800000"/>
    <x v="1"/>
    <x v="0"/>
    <x v="0"/>
    <m/>
    <m/>
    <x v="0"/>
    <n v="-4800000"/>
  </r>
  <r>
    <d v="2026-04-29T00:00:00"/>
    <x v="3"/>
    <x v="0"/>
    <s v="RESCATE"/>
    <x v="9"/>
    <n v="440300000"/>
    <x v="6"/>
    <x v="0"/>
    <x v="0"/>
    <m/>
    <m/>
    <x v="0"/>
    <n v="-440300000"/>
  </r>
  <r>
    <d v="2026-04-29T00:00:00"/>
    <x v="3"/>
    <x v="0"/>
    <s v="RESCATE"/>
    <x v="12"/>
    <n v="384164646.70999998"/>
    <x v="9"/>
    <x v="0"/>
    <x v="0"/>
    <m/>
    <m/>
    <x v="0"/>
    <n v="-384164646.70999998"/>
  </r>
  <r>
    <d v="2026-04-29T00:00:00"/>
    <x v="3"/>
    <x v="0"/>
    <s v="RESCATE"/>
    <x v="0"/>
    <n v="56416042.859999999"/>
    <x v="0"/>
    <x v="0"/>
    <x v="0"/>
    <m/>
    <m/>
    <x v="0"/>
    <n v="-56416042.859999999"/>
  </r>
  <r>
    <d v="2026-04-29T00:00:00"/>
    <x v="3"/>
    <x v="0"/>
    <s v="RESCATE"/>
    <x v="0"/>
    <n v="64167637.490000002"/>
    <x v="0"/>
    <x v="0"/>
    <x v="0"/>
    <m/>
    <m/>
    <x v="0"/>
    <n v="-64167637.490000002"/>
  </r>
  <r>
    <d v="2026-04-29T00:00:00"/>
    <x v="3"/>
    <x v="0"/>
    <s v="RESCATE"/>
    <x v="6"/>
    <n v="1000000000"/>
    <x v="5"/>
    <x v="0"/>
    <x v="0"/>
    <m/>
    <m/>
    <x v="0"/>
    <n v="-1000000000"/>
  </r>
  <r>
    <d v="2026-04-29T00:00:00"/>
    <x v="3"/>
    <x v="0"/>
    <s v="SUSCRIPCION"/>
    <x v="12"/>
    <n v="300000000"/>
    <x v="9"/>
    <x v="0"/>
    <x v="0"/>
    <m/>
    <m/>
    <x v="0"/>
    <n v="300000000"/>
  </r>
  <r>
    <d v="2026-04-29T00:00:00"/>
    <x v="3"/>
    <x v="0"/>
    <s v="SUSCRIPCION"/>
    <x v="0"/>
    <n v="500000000"/>
    <x v="0"/>
    <x v="0"/>
    <x v="0"/>
    <m/>
    <m/>
    <x v="0"/>
    <n v="500000000"/>
  </r>
  <r>
    <d v="2026-04-29T00:00:00"/>
    <x v="3"/>
    <x v="0"/>
    <s v="SUSCRIPCION"/>
    <x v="16"/>
    <n v="200000000"/>
    <x v="13"/>
    <x v="0"/>
    <x v="0"/>
    <m/>
    <m/>
    <x v="0"/>
    <n v="200000000"/>
  </r>
  <r>
    <d v="2026-04-29T00:00:00"/>
    <x v="3"/>
    <x v="0"/>
    <s v="RESCATE"/>
    <x v="16"/>
    <n v="70450195.760000005"/>
    <x v="13"/>
    <x v="0"/>
    <x v="0"/>
    <m/>
    <m/>
    <x v="0"/>
    <n v="-70450195.760000005"/>
  </r>
  <r>
    <d v="2026-04-29T00:00:00"/>
    <x v="2"/>
    <x v="0"/>
    <s v="RESCATE"/>
    <x v="6"/>
    <n v="88300000"/>
    <x v="5"/>
    <x v="0"/>
    <x v="0"/>
    <m/>
    <m/>
    <x v="0"/>
    <n v="-88300000"/>
  </r>
  <r>
    <d v="2026-04-29T00:00:00"/>
    <x v="0"/>
    <x v="0"/>
    <s v="RESCATE"/>
    <x v="6"/>
    <n v="147500000"/>
    <x v="5"/>
    <x v="0"/>
    <x v="0"/>
    <m/>
    <m/>
    <x v="0"/>
    <n v="-147500000"/>
  </r>
  <r>
    <d v="2026-04-29T00:00:00"/>
    <x v="3"/>
    <x v="0"/>
    <s v="RESCATE"/>
    <x v="6"/>
    <n v="17000000"/>
    <x v="5"/>
    <x v="0"/>
    <x v="0"/>
    <m/>
    <m/>
    <x v="0"/>
    <n v="-17000000"/>
  </r>
  <r>
    <d v="2026-04-29T00:00:00"/>
    <x v="3"/>
    <x v="0"/>
    <s v="SUSCRIPCION"/>
    <x v="2"/>
    <n v="2878057449"/>
    <x v="2"/>
    <x v="0"/>
    <x v="0"/>
    <m/>
    <m/>
    <x v="0"/>
    <n v="2878057449"/>
  </r>
  <r>
    <d v="2026-04-29T00:00:00"/>
    <x v="3"/>
    <x v="0"/>
    <s v="SUSCRIPCION"/>
    <x v="2"/>
    <n v="1759583.48"/>
    <x v="2"/>
    <x v="0"/>
    <x v="0"/>
    <m/>
    <m/>
    <x v="0"/>
    <n v="1759583.48"/>
  </r>
  <r>
    <d v="2026-04-29T00:00:00"/>
    <x v="0"/>
    <x v="0"/>
    <s v="SUSCRIPCION"/>
    <x v="2"/>
    <n v="4014366.1"/>
    <x v="2"/>
    <x v="0"/>
    <x v="0"/>
    <m/>
    <m/>
    <x v="0"/>
    <n v="4014366.1"/>
  </r>
  <r>
    <d v="2026-04-29T00:00:00"/>
    <x v="2"/>
    <x v="0"/>
    <s v="SUSCRIPCION"/>
    <x v="2"/>
    <n v="6302986.2000000002"/>
    <x v="2"/>
    <x v="0"/>
    <x v="0"/>
    <m/>
    <m/>
    <x v="0"/>
    <n v="6302986.2000000002"/>
  </r>
  <r>
    <d v="2026-04-30T00:00:00"/>
    <x v="3"/>
    <x v="0"/>
    <s v="SUSCRIPCION"/>
    <x v="0"/>
    <n v="1779590.31"/>
    <x v="0"/>
    <x v="0"/>
    <x v="0"/>
    <m/>
    <m/>
    <x v="0"/>
    <n v="1779590.31"/>
  </r>
  <r>
    <d v="2026-04-30T00:00:00"/>
    <x v="0"/>
    <x v="0"/>
    <s v="SUSCRIPCION"/>
    <x v="0"/>
    <n v="361085.42"/>
    <x v="0"/>
    <x v="0"/>
    <x v="0"/>
    <m/>
    <m/>
    <x v="0"/>
    <n v="361085.42"/>
  </r>
  <r>
    <d v="2026-04-30T00:00:00"/>
    <x v="1"/>
    <x v="0"/>
    <s v="SUSCRIPCION"/>
    <x v="1"/>
    <n v="6110880"/>
    <x v="1"/>
    <x v="0"/>
    <x v="0"/>
    <m/>
    <m/>
    <x v="0"/>
    <n v="6110880"/>
  </r>
  <r>
    <d v="2026-04-30T00:00:00"/>
    <x v="0"/>
    <x v="0"/>
    <s v="SUSCRIPCION"/>
    <x v="1"/>
    <n v="7136320"/>
    <x v="1"/>
    <x v="0"/>
    <x v="0"/>
    <m/>
    <m/>
    <x v="0"/>
    <n v="7136320"/>
  </r>
  <r>
    <d v="2026-04-30T00:00:00"/>
    <x v="3"/>
    <x v="0"/>
    <s v="SUSCRIPCION"/>
    <x v="1"/>
    <n v="747872"/>
    <x v="1"/>
    <x v="0"/>
    <x v="0"/>
    <m/>
    <m/>
    <x v="0"/>
    <n v="747872"/>
  </r>
  <r>
    <d v="2026-04-30T00:00:00"/>
    <x v="2"/>
    <x v="0"/>
    <s v="SUSCRIPCION"/>
    <x v="1"/>
    <n v="3388096"/>
    <x v="1"/>
    <x v="0"/>
    <x v="0"/>
    <m/>
    <m/>
    <x v="0"/>
    <n v="3388096"/>
  </r>
  <r>
    <d v="2026-04-30T00:00:00"/>
    <x v="3"/>
    <x v="0"/>
    <s v="SUSCRIPCION"/>
    <x v="9"/>
    <n v="32182445.460000001"/>
    <x v="6"/>
    <x v="0"/>
    <x v="0"/>
    <m/>
    <m/>
    <x v="0"/>
    <n v="32182445.460000001"/>
  </r>
  <r>
    <d v="2026-04-30T00:00:00"/>
    <x v="3"/>
    <x v="0"/>
    <s v="SUSCRIPCION"/>
    <x v="10"/>
    <n v="5386663.9000000004"/>
    <x v="7"/>
    <x v="0"/>
    <x v="0"/>
    <m/>
    <m/>
    <x v="0"/>
    <n v="5386663.9000000004"/>
  </r>
  <r>
    <d v="2026-04-30T00:00:00"/>
    <x v="0"/>
    <x v="0"/>
    <s v="SUSCRIPCION"/>
    <x v="6"/>
    <n v="1418824.69"/>
    <x v="5"/>
    <x v="0"/>
    <x v="0"/>
    <m/>
    <m/>
    <x v="0"/>
    <n v="1418824.69"/>
  </r>
  <r>
    <d v="2026-04-30T00:00:00"/>
    <x v="3"/>
    <x v="0"/>
    <s v="SUSCRIPCION"/>
    <x v="6"/>
    <n v="54286848.979999997"/>
    <x v="5"/>
    <x v="0"/>
    <x v="0"/>
    <m/>
    <m/>
    <x v="0"/>
    <n v="54286848.979999997"/>
  </r>
  <r>
    <d v="2026-04-30T00:00:00"/>
    <x v="2"/>
    <x v="0"/>
    <s v="SUSCRIPCION"/>
    <x v="6"/>
    <n v="12958862.060000001"/>
    <x v="5"/>
    <x v="0"/>
    <x v="0"/>
    <m/>
    <m/>
    <x v="0"/>
    <n v="12958862.060000001"/>
  </r>
  <r>
    <d v="2026-04-30T00:00:00"/>
    <x v="0"/>
    <x v="0"/>
    <s v="SUSCRIPCION"/>
    <x v="5"/>
    <n v="223636.08"/>
    <x v="4"/>
    <x v="0"/>
    <x v="0"/>
    <m/>
    <m/>
    <x v="0"/>
    <n v="223636.08"/>
  </r>
  <r>
    <d v="2026-04-30T00:00:00"/>
    <x v="3"/>
    <x v="0"/>
    <s v="SUSCRIPCION"/>
    <x v="16"/>
    <n v="37911663.130000003"/>
    <x v="13"/>
    <x v="0"/>
    <x v="0"/>
    <m/>
    <m/>
    <x v="0"/>
    <n v="37911663.130000003"/>
  </r>
  <r>
    <d v="2026-04-30T00:00:00"/>
    <x v="3"/>
    <x v="0"/>
    <s v="SUSCRIPCION"/>
    <x v="5"/>
    <n v="1116905.94"/>
    <x v="4"/>
    <x v="0"/>
    <x v="0"/>
    <m/>
    <m/>
    <x v="0"/>
    <n v="1116905.94"/>
  </r>
  <r>
    <d v="2026-04-30T00:00:00"/>
    <x v="3"/>
    <x v="0"/>
    <s v="SUSCRIPCION"/>
    <x v="11"/>
    <n v="1375791.61"/>
    <x v="8"/>
    <x v="0"/>
    <x v="0"/>
    <m/>
    <m/>
    <x v="0"/>
    <n v="1375791.61"/>
  </r>
  <r>
    <d v="2026-04-30T00:00:00"/>
    <x v="3"/>
    <x v="0"/>
    <s v="SUSCRIPCION"/>
    <x v="12"/>
    <n v="36871554.229999997"/>
    <x v="9"/>
    <x v="0"/>
    <x v="0"/>
    <m/>
    <m/>
    <x v="0"/>
    <n v="36871554.229999997"/>
  </r>
  <r>
    <d v="2026-04-30T00:00:00"/>
    <x v="3"/>
    <x v="0"/>
    <s v="SUSCRIPCION"/>
    <x v="13"/>
    <n v="5872813.8899999997"/>
    <x v="10"/>
    <x v="0"/>
    <x v="0"/>
    <m/>
    <m/>
    <x v="0"/>
    <n v="5872813.8899999997"/>
  </r>
  <r>
    <d v="2026-04-30T00:00:00"/>
    <x v="3"/>
    <x v="0"/>
    <s v="SUSCRIPCION"/>
    <x v="15"/>
    <n v="17539994"/>
    <x v="12"/>
    <x v="0"/>
    <x v="0"/>
    <m/>
    <m/>
    <x v="0"/>
    <n v="17539994"/>
  </r>
  <r>
    <d v="2026-04-30T00:00:00"/>
    <x v="3"/>
    <x v="0"/>
    <s v="SUSCRIPCION"/>
    <x v="20"/>
    <n v="6027531.7999999998"/>
    <x v="15"/>
    <x v="0"/>
    <x v="0"/>
    <m/>
    <m/>
    <x v="0"/>
    <n v="6027531.7999999998"/>
  </r>
  <r>
    <d v="2026-04-30T00:00:00"/>
    <x v="0"/>
    <x v="0"/>
    <s v="SUSCRIPCION"/>
    <x v="16"/>
    <n v="1847380.77"/>
    <x v="13"/>
    <x v="0"/>
    <x v="0"/>
    <m/>
    <m/>
    <x v="0"/>
    <n v="1847380.77"/>
  </r>
  <r>
    <d v="2026-04-30T00:00:00"/>
    <x v="3"/>
    <x v="0"/>
    <s v="SUSCRIPCION"/>
    <x v="2"/>
    <n v="1816769.38"/>
    <x v="2"/>
    <x v="0"/>
    <x v="0"/>
    <m/>
    <m/>
    <x v="0"/>
    <n v="1816769.38"/>
  </r>
  <r>
    <d v="2026-04-30T00:00:00"/>
    <x v="2"/>
    <x v="0"/>
    <s v="SUSCRIPCION"/>
    <x v="2"/>
    <n v="4660714"/>
    <x v="2"/>
    <x v="0"/>
    <x v="0"/>
    <m/>
    <m/>
    <x v="0"/>
    <n v="4660714"/>
  </r>
  <r>
    <d v="2026-04-30T00:00:00"/>
    <x v="0"/>
    <x v="0"/>
    <s v="SUSCRIPCION"/>
    <x v="2"/>
    <n v="3877500"/>
    <x v="2"/>
    <x v="0"/>
    <x v="0"/>
    <m/>
    <m/>
    <x v="0"/>
    <n v="3877500"/>
  </r>
  <r>
    <d v="2026-04-30T00:00:00"/>
    <x v="3"/>
    <x v="0"/>
    <s v="SUSCRIPCION"/>
    <x v="9"/>
    <n v="2423500000"/>
    <x v="6"/>
    <x v="0"/>
    <x v="0"/>
    <m/>
    <m/>
    <x v="0"/>
    <n v="2423500000"/>
  </r>
  <r>
    <d v="2026-04-30T00:00:00"/>
    <x v="0"/>
    <x v="0"/>
    <s v="SUSCRIPCION"/>
    <x v="1"/>
    <n v="15900000"/>
    <x v="1"/>
    <x v="0"/>
    <x v="0"/>
    <m/>
    <m/>
    <x v="0"/>
    <n v="15900000"/>
  </r>
  <r>
    <d v="2026-04-30T00:00:00"/>
    <x v="2"/>
    <x v="0"/>
    <s v="SUSCRIPCION"/>
    <x v="1"/>
    <n v="45700000"/>
    <x v="1"/>
    <x v="0"/>
    <x v="0"/>
    <m/>
    <m/>
    <x v="0"/>
    <n v="45700000"/>
  </r>
  <r>
    <d v="2026-05-04T00:00:00"/>
    <x v="1"/>
    <x v="0"/>
    <s v="RESCATE"/>
    <x v="1"/>
    <n v="132000000"/>
    <x v="1"/>
    <x v="0"/>
    <x v="0"/>
    <m/>
    <m/>
    <x v="0"/>
    <n v="-132000000"/>
  </r>
  <r>
    <d v="2026-05-04T00:00:00"/>
    <x v="2"/>
    <x v="0"/>
    <s v="RESCATE"/>
    <x v="1"/>
    <n v="357700000"/>
    <x v="1"/>
    <x v="0"/>
    <x v="0"/>
    <m/>
    <m/>
    <x v="0"/>
    <n v="-357700000"/>
  </r>
  <r>
    <d v="2026-05-04T00:00:00"/>
    <x v="0"/>
    <x v="0"/>
    <s v="RESCATE"/>
    <x v="1"/>
    <n v="142600000"/>
    <x v="1"/>
    <x v="0"/>
    <x v="0"/>
    <m/>
    <m/>
    <x v="0"/>
    <n v="-142600000"/>
  </r>
  <r>
    <d v="2026-05-04T00:00:00"/>
    <x v="3"/>
    <x v="0"/>
    <s v="RESCATE"/>
    <x v="9"/>
    <n v="1201200000"/>
    <x v="6"/>
    <x v="0"/>
    <x v="0"/>
    <m/>
    <m/>
    <x v="0"/>
    <n v="-1201200000"/>
  </r>
  <r>
    <d v="2026-05-04T00:00:00"/>
    <x v="3"/>
    <x v="0"/>
    <s v="RESCATE"/>
    <x v="15"/>
    <n v="79006863.849999994"/>
    <x v="12"/>
    <x v="0"/>
    <x v="0"/>
    <m/>
    <m/>
    <x v="0"/>
    <n v="-79006863.849999994"/>
  </r>
  <r>
    <d v="2026-05-04T00:00:00"/>
    <x v="3"/>
    <x v="0"/>
    <s v="RESCATE"/>
    <x v="15"/>
    <n v="79006863.849999994"/>
    <x v="12"/>
    <x v="0"/>
    <x v="0"/>
    <m/>
    <m/>
    <x v="0"/>
    <n v="-79006863.849999994"/>
  </r>
  <r>
    <d v="2026-05-04T00:00:00"/>
    <x v="3"/>
    <x v="0"/>
    <s v="RESCATE"/>
    <x v="12"/>
    <n v="122962263.92"/>
    <x v="9"/>
    <x v="0"/>
    <x v="0"/>
    <m/>
    <m/>
    <x v="0"/>
    <n v="-122962263.92"/>
  </r>
  <r>
    <d v="2026-05-04T00:00:00"/>
    <x v="3"/>
    <x v="0"/>
    <s v="RESCATE"/>
    <x v="16"/>
    <n v="85861102.310000002"/>
    <x v="13"/>
    <x v="0"/>
    <x v="0"/>
    <m/>
    <m/>
    <x v="0"/>
    <n v="-85861102.310000002"/>
  </r>
  <r>
    <d v="2026-05-04T00:00:00"/>
    <x v="3"/>
    <x v="0"/>
    <s v="RESCATE"/>
    <x v="16"/>
    <n v="85861102.310000002"/>
    <x v="13"/>
    <x v="0"/>
    <x v="0"/>
    <m/>
    <m/>
    <x v="0"/>
    <n v="-85861102.310000002"/>
  </r>
  <r>
    <d v="2026-05-04T00:00:00"/>
    <x v="3"/>
    <x v="0"/>
    <s v="RESCATE"/>
    <x v="0"/>
    <n v="102225768.34999999"/>
    <x v="0"/>
    <x v="0"/>
    <x v="0"/>
    <m/>
    <m/>
    <x v="0"/>
    <n v="-102225768.34999999"/>
  </r>
  <r>
    <d v="2026-05-04T00:00:00"/>
    <x v="3"/>
    <x v="0"/>
    <s v="RESCATE"/>
    <x v="0"/>
    <n v="102225768.34999999"/>
    <x v="0"/>
    <x v="0"/>
    <x v="0"/>
    <m/>
    <m/>
    <x v="0"/>
    <n v="-102225768.34999999"/>
  </r>
  <r>
    <d v="2026-05-04T00:00:00"/>
    <x v="3"/>
    <x v="2"/>
    <s v="RESCATE"/>
    <x v="8"/>
    <n v="769000"/>
    <x v="2"/>
    <x v="3"/>
    <x v="1"/>
    <s v="20/05/2026"/>
    <n v="8"/>
    <x v="2"/>
    <n v="-769000"/>
  </r>
  <r>
    <d v="2026-05-04T00:00:00"/>
    <x v="3"/>
    <x v="2"/>
    <s v="RESCATE"/>
    <x v="8"/>
    <n v="1300000"/>
    <x v="2"/>
    <x v="3"/>
    <x v="1"/>
    <d v="2026-06-10T00:00:00"/>
    <n v="5"/>
    <x v="4"/>
    <n v="-1300000"/>
  </r>
  <r>
    <d v="2026-05-04T00:00:00"/>
    <x v="3"/>
    <x v="2"/>
    <s v="RESCATE"/>
    <x v="18"/>
    <n v="600000"/>
    <x v="2"/>
    <x v="3"/>
    <x v="1"/>
    <s v="24/06/2026"/>
    <n v="5"/>
    <x v="6"/>
    <n v="-600000"/>
  </r>
  <r>
    <d v="2026-05-04T00:00:00"/>
    <x v="3"/>
    <x v="2"/>
    <s v="RESCATE"/>
    <x v="18"/>
    <n v="800000"/>
    <x v="2"/>
    <x v="3"/>
    <x v="1"/>
    <d v="2026-07-01T00:00:00"/>
    <n v="5"/>
    <x v="8"/>
    <n v="-800000"/>
  </r>
  <r>
    <d v="2026-05-04T00:00:00"/>
    <x v="3"/>
    <x v="0"/>
    <s v="SUSCRIPCION"/>
    <x v="2"/>
    <n v="4761627868.0600004"/>
    <x v="2"/>
    <x v="0"/>
    <x v="0"/>
    <m/>
    <m/>
    <x v="0"/>
    <n v="4761627868.0600004"/>
  </r>
  <r>
    <d v="2026-05-04T00:00:00"/>
    <x v="2"/>
    <x v="0"/>
    <s v="RESCATE"/>
    <x v="2"/>
    <n v="2845986357.54"/>
    <x v="2"/>
    <x v="0"/>
    <x v="0"/>
    <m/>
    <m/>
    <x v="0"/>
    <n v="-2845986357.54"/>
  </r>
  <r>
    <d v="2026-05-04T00:00:00"/>
    <x v="0"/>
    <x v="0"/>
    <s v="RESCATE"/>
    <x v="2"/>
    <n v="1919359922.8299999"/>
    <x v="2"/>
    <x v="0"/>
    <x v="0"/>
    <m/>
    <m/>
    <x v="0"/>
    <n v="-1919359922.8299999"/>
  </r>
  <r>
    <d v="2026-05-05T00:00:00"/>
    <x v="0"/>
    <x v="0"/>
    <s v="RESCATE"/>
    <x v="1"/>
    <n v="153500000"/>
    <x v="1"/>
    <x v="0"/>
    <x v="0"/>
    <m/>
    <m/>
    <x v="0"/>
    <n v="-153500000"/>
  </r>
  <r>
    <d v="2026-05-05T00:00:00"/>
    <x v="3"/>
    <x v="0"/>
    <s v="RESCATE"/>
    <x v="1"/>
    <n v="73300000"/>
    <x v="1"/>
    <x v="0"/>
    <x v="0"/>
    <m/>
    <m/>
    <x v="0"/>
    <n v="-73300000"/>
  </r>
  <r>
    <d v="2026-05-05T00:00:00"/>
    <x v="2"/>
    <x v="0"/>
    <s v="SUSCRIPCION"/>
    <x v="1"/>
    <n v="572000000"/>
    <x v="1"/>
    <x v="0"/>
    <x v="0"/>
    <m/>
    <m/>
    <x v="0"/>
    <n v="572000000"/>
  </r>
  <r>
    <d v="2026-05-05T00:00:00"/>
    <x v="3"/>
    <x v="0"/>
    <s v="RESCATE"/>
    <x v="6"/>
    <n v="21200000"/>
    <x v="5"/>
    <x v="0"/>
    <x v="0"/>
    <m/>
    <m/>
    <x v="0"/>
    <n v="-21200000"/>
  </r>
  <r>
    <d v="2026-05-06T00:00:00"/>
    <x v="1"/>
    <x v="0"/>
    <s v="RESCATE"/>
    <x v="1"/>
    <n v="600000"/>
    <x v="1"/>
    <x v="0"/>
    <x v="0"/>
    <m/>
    <m/>
    <x v="0"/>
    <n v="-600000"/>
  </r>
  <r>
    <d v="2026-05-06T00:00:00"/>
    <x v="2"/>
    <x v="0"/>
    <s v="RESCATE"/>
    <x v="1"/>
    <n v="103600000"/>
    <x v="1"/>
    <x v="0"/>
    <x v="0"/>
    <m/>
    <m/>
    <x v="0"/>
    <n v="-103600000"/>
  </r>
  <r>
    <d v="2026-05-06T00:00:00"/>
    <x v="0"/>
    <x v="0"/>
    <s v="SUSCRIPCION"/>
    <x v="1"/>
    <n v="65400000"/>
    <x v="1"/>
    <x v="0"/>
    <x v="0"/>
    <m/>
    <m/>
    <x v="0"/>
    <n v="65400000"/>
  </r>
  <r>
    <d v="2026-05-06T00:00:00"/>
    <x v="3"/>
    <x v="0"/>
    <s v="RESCATE"/>
    <x v="6"/>
    <n v="1235700000"/>
    <x v="5"/>
    <x v="0"/>
    <x v="0"/>
    <m/>
    <m/>
    <x v="0"/>
    <n v="-1235700000"/>
  </r>
  <r>
    <d v="2026-05-06T00:00:00"/>
    <x v="3"/>
    <x v="0"/>
    <s v="SUSCRIPCION"/>
    <x v="2"/>
    <n v="16384430.560000001"/>
    <x v="2"/>
    <x v="0"/>
    <x v="0"/>
    <m/>
    <m/>
    <x v="0"/>
    <n v="16384430.560000001"/>
  </r>
  <r>
    <d v="2026-05-07T00:00:00"/>
    <x v="2"/>
    <x v="0"/>
    <s v="RESCATE"/>
    <x v="1"/>
    <n v="30200000"/>
    <x v="1"/>
    <x v="0"/>
    <x v="0"/>
    <m/>
    <m/>
    <x v="0"/>
    <n v="-30200000"/>
  </r>
  <r>
    <d v="2026-05-07T00:00:00"/>
    <x v="0"/>
    <x v="0"/>
    <s v="RESCATE"/>
    <x v="1"/>
    <n v="5000000"/>
    <x v="1"/>
    <x v="0"/>
    <x v="0"/>
    <m/>
    <m/>
    <x v="0"/>
    <n v="-5000000"/>
  </r>
  <r>
    <d v="2026-05-07T00:00:00"/>
    <x v="3"/>
    <x v="0"/>
    <s v="RESCATE"/>
    <x v="9"/>
    <n v="391000000"/>
    <x v="6"/>
    <x v="0"/>
    <x v="0"/>
    <m/>
    <m/>
    <x v="0"/>
    <n v="-391000000"/>
  </r>
  <r>
    <d v="2026-05-07T00:00:00"/>
    <x v="0"/>
    <x v="0"/>
    <s v="SUSCRIPCION"/>
    <x v="2"/>
    <n v="23995118"/>
    <x v="2"/>
    <x v="0"/>
    <x v="0"/>
    <m/>
    <m/>
    <x v="0"/>
    <n v="23995118"/>
  </r>
  <r>
    <d v="2026-05-07T00:00:00"/>
    <x v="0"/>
    <x v="0"/>
    <s v="SUSCRIPCION"/>
    <x v="0"/>
    <n v="243849"/>
    <x v="0"/>
    <x v="0"/>
    <x v="0"/>
    <m/>
    <m/>
    <x v="0"/>
    <n v="243849"/>
  </r>
  <r>
    <d v="2026-05-07T00:00:00"/>
    <x v="2"/>
    <x v="0"/>
    <s v="SUSCRIPCION"/>
    <x v="2"/>
    <n v="26833209.649999999"/>
    <x v="2"/>
    <x v="0"/>
    <x v="0"/>
    <m/>
    <m/>
    <x v="0"/>
    <n v="26833209.649999999"/>
  </r>
  <r>
    <d v="2026-05-07T00:00:00"/>
    <x v="3"/>
    <x v="0"/>
    <s v="SUSCRIPCION"/>
    <x v="2"/>
    <n v="4586225.46"/>
    <x v="2"/>
    <x v="0"/>
    <x v="0"/>
    <m/>
    <m/>
    <x v="0"/>
    <n v="4586225.46"/>
  </r>
  <r>
    <d v="2026-05-07T00:00:00"/>
    <x v="3"/>
    <x v="0"/>
    <s v="SUSCRIPCION"/>
    <x v="0"/>
    <n v="2498561.5499999998"/>
    <x v="0"/>
    <x v="0"/>
    <x v="0"/>
    <m/>
    <m/>
    <x v="0"/>
    <n v="2498561.5499999998"/>
  </r>
  <r>
    <d v="2026-05-08T00:00:00"/>
    <x v="3"/>
    <x v="0"/>
    <s v="RESCATE"/>
    <x v="9"/>
    <n v="302000000"/>
    <x v="6"/>
    <x v="0"/>
    <x v="0"/>
    <m/>
    <m/>
    <x v="0"/>
    <n v="-302000000"/>
  </r>
  <r>
    <d v="2026-05-08T00:00:00"/>
    <x v="2"/>
    <x v="0"/>
    <s v="SUSCRIPCION"/>
    <x v="1"/>
    <n v="354600000"/>
    <x v="1"/>
    <x v="0"/>
    <x v="0"/>
    <m/>
    <m/>
    <x v="0"/>
    <n v="354600000"/>
  </r>
  <r>
    <d v="2026-05-08T00:00:00"/>
    <x v="0"/>
    <x v="0"/>
    <s v="SUSCRIPCION"/>
    <x v="1"/>
    <n v="32300000"/>
    <x v="1"/>
    <x v="0"/>
    <x v="0"/>
    <m/>
    <m/>
    <x v="0"/>
    <n v="32300000"/>
  </r>
  <r>
    <d v="2026-05-08T00:00:00"/>
    <x v="3"/>
    <x v="0"/>
    <s v="RESCATE"/>
    <x v="2"/>
    <n v="72704297.480000004"/>
    <x v="2"/>
    <x v="0"/>
    <x v="0"/>
    <m/>
    <m/>
    <x v="0"/>
    <n v="-72704297.480000004"/>
  </r>
  <r>
    <d v="2026-05-08T00:00:00"/>
    <x v="3"/>
    <x v="0"/>
    <s v="RESCATE"/>
    <x v="2"/>
    <n v="125057027.92"/>
    <x v="2"/>
    <x v="0"/>
    <x v="0"/>
    <m/>
    <m/>
    <x v="0"/>
    <n v="-125057027.92"/>
  </r>
  <r>
    <d v="2026-05-11T00:00:00"/>
    <x v="2"/>
    <x v="0"/>
    <s v="RESCATE"/>
    <x v="1"/>
    <n v="356800000"/>
    <x v="1"/>
    <x v="0"/>
    <x v="0"/>
    <m/>
    <m/>
    <x v="0"/>
    <n v="-356800000"/>
  </r>
  <r>
    <d v="2026-05-11T00:00:00"/>
    <x v="0"/>
    <x v="0"/>
    <s v="RESCATE"/>
    <x v="1"/>
    <n v="110300000"/>
    <x v="1"/>
    <x v="0"/>
    <x v="0"/>
    <m/>
    <m/>
    <x v="0"/>
    <n v="-110300000"/>
  </r>
  <r>
    <d v="2026-05-11T00:00:00"/>
    <x v="3"/>
    <x v="0"/>
    <s v="RESCATE"/>
    <x v="9"/>
    <n v="1202100000"/>
    <x v="6"/>
    <x v="0"/>
    <x v="0"/>
    <m/>
    <m/>
    <x v="0"/>
    <n v="-1202100000"/>
  </r>
  <r>
    <d v="2026-05-11T00:00:00"/>
    <x v="3"/>
    <x v="0"/>
    <s v="RESCATE"/>
    <x v="9"/>
    <n v="13300000"/>
    <x v="6"/>
    <x v="0"/>
    <x v="0"/>
    <m/>
    <m/>
    <x v="0"/>
    <n v="-13300000"/>
  </r>
  <r>
    <d v="2026-05-11T00:00:00"/>
    <x v="3"/>
    <x v="0"/>
    <s v="RESCATE"/>
    <x v="2"/>
    <n v="65062411.549999997"/>
    <x v="2"/>
    <x v="0"/>
    <x v="0"/>
    <m/>
    <m/>
    <x v="0"/>
    <n v="-65062411.549999997"/>
  </r>
  <r>
    <d v="2026-05-11T00:00:00"/>
    <x v="3"/>
    <x v="0"/>
    <s v="RESCATE"/>
    <x v="2"/>
    <n v="69745699.829999998"/>
    <x v="2"/>
    <x v="0"/>
    <x v="0"/>
    <m/>
    <m/>
    <x v="0"/>
    <n v="-69745699.829999998"/>
  </r>
  <r>
    <d v="2026-05-11T00:00:00"/>
    <x v="3"/>
    <x v="0"/>
    <s v="RESCATE"/>
    <x v="0"/>
    <n v="65476155.75"/>
    <x v="0"/>
    <x v="0"/>
    <x v="0"/>
    <m/>
    <m/>
    <x v="0"/>
    <n v="-65476155.75"/>
  </r>
  <r>
    <d v="2026-05-11T00:00:00"/>
    <x v="3"/>
    <x v="0"/>
    <s v="RESCATE"/>
    <x v="0"/>
    <n v="42886881.920000002"/>
    <x v="0"/>
    <x v="0"/>
    <x v="0"/>
    <m/>
    <m/>
    <x v="0"/>
    <n v="-42886881.920000002"/>
  </r>
  <r>
    <d v="2026-05-11T00:00:00"/>
    <x v="3"/>
    <x v="0"/>
    <s v="RESCATE"/>
    <x v="12"/>
    <n v="21929233.91"/>
    <x v="9"/>
    <x v="0"/>
    <x v="0"/>
    <m/>
    <m/>
    <x v="0"/>
    <n v="-21929233.91"/>
  </r>
  <r>
    <d v="2026-05-11T00:00:00"/>
    <x v="0"/>
    <x v="0"/>
    <s v="SUSCRIPCION"/>
    <x v="0"/>
    <n v="249777021.33000001"/>
    <x v="0"/>
    <x v="0"/>
    <x v="0"/>
    <m/>
    <m/>
    <x v="0"/>
    <n v="249777021.33000001"/>
  </r>
  <r>
    <d v="2026-05-11T00:00:00"/>
    <x v="2"/>
    <x v="0"/>
    <s v="SUSCRIPCION"/>
    <x v="2"/>
    <n v="86379069.209999993"/>
    <x v="2"/>
    <x v="0"/>
    <x v="0"/>
    <m/>
    <m/>
    <x v="0"/>
    <n v="86379069.209999993"/>
  </r>
  <r>
    <d v="2026-05-11T00:00:00"/>
    <x v="3"/>
    <x v="2"/>
    <s v="RESCATE"/>
    <x v="8"/>
    <n v="700000"/>
    <x v="2"/>
    <x v="3"/>
    <x v="1"/>
    <d v="2026-11-04T00:00:00"/>
    <n v="5"/>
    <x v="5"/>
    <n v="-700000"/>
  </r>
  <r>
    <d v="2026-05-11T00:00:00"/>
    <x v="3"/>
    <x v="2"/>
    <s v="RESCATE"/>
    <x v="8"/>
    <n v="900000"/>
    <x v="2"/>
    <x v="3"/>
    <x v="1"/>
    <s v="18/11/2026"/>
    <n v="0.05"/>
    <x v="7"/>
    <n v="-900000"/>
  </r>
  <r>
    <d v="2026-05-11T00:00:00"/>
    <x v="3"/>
    <x v="2"/>
    <s v="RESCATE"/>
    <x v="8"/>
    <n v="1000000"/>
    <x v="2"/>
    <x v="3"/>
    <x v="1"/>
    <s v="25/11/2026"/>
    <n v="5"/>
    <x v="10"/>
    <n v="-1000000"/>
  </r>
  <r>
    <d v="2026-05-11T00:00:00"/>
    <x v="3"/>
    <x v="2"/>
    <s v="RESCATE"/>
    <x v="8"/>
    <n v="300000"/>
    <x v="2"/>
    <x v="3"/>
    <x v="1"/>
    <d v="2026-12-02T00:00:00"/>
    <n v="5"/>
    <x v="11"/>
    <n v="-300000"/>
  </r>
  <r>
    <d v="2026-05-11T00:00:00"/>
    <x v="3"/>
    <x v="2"/>
    <s v="RESCATE"/>
    <x v="8"/>
    <n v="400000"/>
    <x v="2"/>
    <x v="3"/>
    <x v="1"/>
    <s v="16/12/2026"/>
    <n v="5"/>
    <x v="14"/>
    <n v="-400000"/>
  </r>
  <r>
    <d v="2026-05-11T00:00:00"/>
    <x v="2"/>
    <x v="0"/>
    <s v="RESCATE"/>
    <x v="2"/>
    <n v="4484092131"/>
    <x v="2"/>
    <x v="0"/>
    <x v="0"/>
    <m/>
    <m/>
    <x v="0"/>
    <n v="-4484092131"/>
  </r>
  <r>
    <d v="2026-05-11T00:00:00"/>
    <x v="3"/>
    <x v="0"/>
    <s v="SUSCRIPCION"/>
    <x v="2"/>
    <n v="4473191117"/>
    <x v="2"/>
    <x v="0"/>
    <x v="0"/>
    <m/>
    <m/>
    <x v="0"/>
    <n v="4473191117"/>
  </r>
  <r>
    <d v="2026-05-12T00:00:00"/>
    <x v="3"/>
    <x v="0"/>
    <s v="RESCATE"/>
    <x v="9"/>
    <n v="729000000"/>
    <x v="6"/>
    <x v="0"/>
    <x v="0"/>
    <m/>
    <m/>
    <x v="0"/>
    <n v="-729000000"/>
  </r>
  <r>
    <d v="2026-05-12T00:00:00"/>
    <x v="3"/>
    <x v="0"/>
    <s v="RESCATE"/>
    <x v="9"/>
    <n v="600000"/>
    <x v="6"/>
    <x v="0"/>
    <x v="0"/>
    <m/>
    <m/>
    <x v="0"/>
    <n v="-600000"/>
  </r>
  <r>
    <d v="2026-05-12T00:00:00"/>
    <x v="2"/>
    <x v="0"/>
    <s v="SUSCRIPCION"/>
    <x v="1"/>
    <n v="86600000"/>
    <x v="1"/>
    <x v="0"/>
    <x v="0"/>
    <m/>
    <m/>
    <x v="0"/>
    <n v="86600000"/>
  </r>
  <r>
    <d v="2026-05-12T00:00:00"/>
    <x v="0"/>
    <x v="0"/>
    <s v="SUSCRIPCION"/>
    <x v="1"/>
    <n v="1341600000"/>
    <x v="1"/>
    <x v="0"/>
    <x v="0"/>
    <m/>
    <m/>
    <x v="0"/>
    <n v="1341600000"/>
  </r>
  <r>
    <d v="2026-05-12T00:00:00"/>
    <x v="1"/>
    <x v="0"/>
    <s v="RESCATE"/>
    <x v="1"/>
    <n v="200000"/>
    <x v="1"/>
    <x v="0"/>
    <x v="0"/>
    <m/>
    <m/>
    <x v="0"/>
    <n v="-200000"/>
  </r>
  <r>
    <d v="2026-05-12T00:00:00"/>
    <x v="0"/>
    <x v="0"/>
    <s v="SUSCRIPCION"/>
    <x v="0"/>
    <n v="504868361.19"/>
    <x v="0"/>
    <x v="0"/>
    <x v="0"/>
    <m/>
    <m/>
    <x v="0"/>
    <n v="504868361.19"/>
  </r>
  <r>
    <d v="2026-05-13T00:00:00"/>
    <x v="0"/>
    <x v="0"/>
    <s v="RESCATE"/>
    <x v="1"/>
    <n v="90800000"/>
    <x v="1"/>
    <x v="0"/>
    <x v="0"/>
    <m/>
    <m/>
    <x v="0"/>
    <n v="-90800000"/>
  </r>
  <r>
    <d v="2026-05-13T00:00:00"/>
    <x v="3"/>
    <x v="0"/>
    <s v="RESCATE"/>
    <x v="9"/>
    <n v="267000000"/>
    <x v="6"/>
    <x v="0"/>
    <x v="0"/>
    <m/>
    <m/>
    <x v="0"/>
    <n v="-267000000"/>
  </r>
  <r>
    <d v="2026-05-13T00:00:00"/>
    <x v="2"/>
    <x v="0"/>
    <s v="SUSCRIPCION"/>
    <x v="1"/>
    <n v="69500000"/>
    <x v="1"/>
    <x v="0"/>
    <x v="0"/>
    <m/>
    <m/>
    <x v="0"/>
    <n v="69500000"/>
  </r>
  <r>
    <d v="2026-05-13T00:00:00"/>
    <x v="1"/>
    <x v="0"/>
    <s v="SUSCRIPCION"/>
    <x v="1"/>
    <n v="16000000"/>
    <x v="1"/>
    <x v="0"/>
    <x v="0"/>
    <m/>
    <m/>
    <x v="0"/>
    <n v="16000000"/>
  </r>
  <r>
    <d v="2026-05-13T00:00:00"/>
    <x v="3"/>
    <x v="0"/>
    <s v="RESCATE"/>
    <x v="0"/>
    <n v="57276934.130000003"/>
    <x v="0"/>
    <x v="0"/>
    <x v="0"/>
    <m/>
    <m/>
    <x v="0"/>
    <n v="-57276934.130000003"/>
  </r>
  <r>
    <d v="2026-05-13T00:00:00"/>
    <x v="3"/>
    <x v="0"/>
    <s v="RESCATE"/>
    <x v="0"/>
    <n v="54788817.159999996"/>
    <x v="0"/>
    <x v="0"/>
    <x v="0"/>
    <m/>
    <m/>
    <x v="0"/>
    <n v="-54788817.159999996"/>
  </r>
  <r>
    <d v="2026-05-13T00:00:00"/>
    <x v="3"/>
    <x v="0"/>
    <s v="RESCATE"/>
    <x v="2"/>
    <n v="85378844.579999998"/>
    <x v="2"/>
    <x v="0"/>
    <x v="0"/>
    <m/>
    <m/>
    <x v="0"/>
    <n v="-85378844.579999998"/>
  </r>
  <r>
    <d v="2026-05-13T00:00:00"/>
    <x v="3"/>
    <x v="0"/>
    <s v="RESCATE"/>
    <x v="2"/>
    <n v="231035189.59999999"/>
    <x v="2"/>
    <x v="0"/>
    <x v="0"/>
    <m/>
    <m/>
    <x v="0"/>
    <n v="-231035189.59999999"/>
  </r>
  <r>
    <d v="2026-05-14T00:00:00"/>
    <x v="1"/>
    <x v="0"/>
    <s v="RESCATE"/>
    <x v="1"/>
    <n v="200000"/>
    <x v="1"/>
    <x v="0"/>
    <x v="0"/>
    <m/>
    <m/>
    <x v="0"/>
    <n v="-200000"/>
  </r>
  <r>
    <d v="2026-05-14T00:00:00"/>
    <x v="3"/>
    <x v="0"/>
    <s v="RESCATE"/>
    <x v="9"/>
    <n v="829100000"/>
    <x v="6"/>
    <x v="0"/>
    <x v="0"/>
    <m/>
    <m/>
    <x v="0"/>
    <n v="-829100000"/>
  </r>
  <r>
    <d v="2026-05-14T00:00:00"/>
    <x v="3"/>
    <x v="0"/>
    <s v="RESCATE"/>
    <x v="2"/>
    <n v="62136387.200000003"/>
    <x v="2"/>
    <x v="0"/>
    <x v="0"/>
    <m/>
    <m/>
    <x v="0"/>
    <n v="-62136387.200000003"/>
  </r>
  <r>
    <d v="2026-05-14T00:00:00"/>
    <x v="3"/>
    <x v="0"/>
    <s v="RESCATE"/>
    <x v="2"/>
    <n v="139148800"/>
    <x v="2"/>
    <x v="0"/>
    <x v="0"/>
    <m/>
    <m/>
    <x v="0"/>
    <n v="-139148800"/>
  </r>
  <r>
    <d v="2026-05-14T00:00:00"/>
    <x v="0"/>
    <x v="0"/>
    <s v="RESCATE"/>
    <x v="2"/>
    <n v="63054814.380000003"/>
    <x v="2"/>
    <x v="0"/>
    <x v="0"/>
    <m/>
    <m/>
    <x v="0"/>
    <n v="-63054814.380000003"/>
  </r>
  <r>
    <d v="2026-05-14T00:00:00"/>
    <x v="0"/>
    <x v="0"/>
    <s v="RESCATE"/>
    <x v="2"/>
    <n v="55323060.240000002"/>
    <x v="2"/>
    <x v="0"/>
    <x v="0"/>
    <m/>
    <m/>
    <x v="0"/>
    <n v="-55323060.240000002"/>
  </r>
  <r>
    <d v="2026-05-15T00:00:00"/>
    <x v="2"/>
    <x v="0"/>
    <s v="SUSCRIPCION"/>
    <x v="1"/>
    <n v="75500000"/>
    <x v="1"/>
    <x v="0"/>
    <x v="0"/>
    <m/>
    <m/>
    <x v="0"/>
    <n v="75500000"/>
  </r>
  <r>
    <d v="2026-05-15T00:00:00"/>
    <x v="0"/>
    <x v="0"/>
    <s v="SUSCRIPCION"/>
    <x v="1"/>
    <n v="380500000"/>
    <x v="1"/>
    <x v="0"/>
    <x v="0"/>
    <m/>
    <m/>
    <x v="0"/>
    <n v="380500000"/>
  </r>
  <r>
    <d v="2026-05-15T00:00:00"/>
    <x v="0"/>
    <x v="0"/>
    <s v="RESCATE"/>
    <x v="1"/>
    <n v="1900000"/>
    <x v="1"/>
    <x v="0"/>
    <x v="0"/>
    <m/>
    <m/>
    <x v="0"/>
    <n v="-1900000"/>
  </r>
  <r>
    <d v="2026-05-15T00:00:00"/>
    <x v="3"/>
    <x v="0"/>
    <s v="RESCATE"/>
    <x v="6"/>
    <n v="556200000"/>
    <x v="5"/>
    <x v="0"/>
    <x v="0"/>
    <m/>
    <m/>
    <x v="0"/>
    <n v="-556200000"/>
  </r>
  <r>
    <d v="2026-05-15T00:00:00"/>
    <x v="2"/>
    <x v="0"/>
    <s v="SUSCRIPCION"/>
    <x v="1"/>
    <n v="252500000"/>
    <x v="1"/>
    <x v="0"/>
    <x v="0"/>
    <m/>
    <m/>
    <x v="0"/>
    <n v="252500000"/>
  </r>
  <r>
    <d v="2026-05-18T00:00:00"/>
    <x v="3"/>
    <x v="0"/>
    <s v="RESCATE"/>
    <x v="6"/>
    <n v="500000"/>
    <x v="5"/>
    <x v="0"/>
    <x v="0"/>
    <m/>
    <m/>
    <x v="0"/>
    <n v="-500000"/>
  </r>
  <r>
    <d v="2026-05-18T00:00:00"/>
    <x v="0"/>
    <x v="0"/>
    <s v="RESCATE"/>
    <x v="1"/>
    <n v="42000000"/>
    <x v="1"/>
    <x v="0"/>
    <x v="0"/>
    <m/>
    <m/>
    <x v="0"/>
    <n v="-42000000"/>
  </r>
  <r>
    <d v="2026-05-18T00:00:00"/>
    <x v="2"/>
    <x v="0"/>
    <s v="SUSCRIPCION"/>
    <x v="1"/>
    <n v="26100000"/>
    <x v="1"/>
    <x v="0"/>
    <x v="0"/>
    <m/>
    <m/>
    <x v="0"/>
    <n v="26100000"/>
  </r>
  <r>
    <d v="2026-05-18T00:00:00"/>
    <x v="3"/>
    <x v="0"/>
    <s v="RESCATE"/>
    <x v="6"/>
    <n v="362100000"/>
    <x v="5"/>
    <x v="0"/>
    <x v="0"/>
    <m/>
    <m/>
    <x v="0"/>
    <n v="-362100000"/>
  </r>
  <r>
    <d v="2026-05-18T00:00:00"/>
    <x v="0"/>
    <x v="0"/>
    <s v="SUSCRIPCION"/>
    <x v="2"/>
    <n v="9964934.25"/>
    <x v="2"/>
    <x v="0"/>
    <x v="0"/>
    <m/>
    <m/>
    <x v="0"/>
    <n v="9964934.25"/>
  </r>
  <r>
    <d v="2026-05-18T00:00:00"/>
    <x v="0"/>
    <x v="0"/>
    <s v="SUSCRIPCION"/>
    <x v="2"/>
    <n v="13825.37"/>
    <x v="2"/>
    <x v="0"/>
    <x v="0"/>
    <m/>
    <m/>
    <x v="0"/>
    <n v="13825.37"/>
  </r>
  <r>
    <d v="2026-05-18T00:00:00"/>
    <x v="0"/>
    <x v="0"/>
    <s v="SUSCRIPCION"/>
    <x v="2"/>
    <n v="399800000"/>
    <x v="2"/>
    <x v="0"/>
    <x v="0"/>
    <m/>
    <m/>
    <x v="0"/>
    <n v="399800000"/>
  </r>
  <r>
    <d v="2026-05-18T00:00:00"/>
    <x v="0"/>
    <x v="0"/>
    <s v="SUSCRIPCION"/>
    <x v="2"/>
    <n v="394813409.44999999"/>
    <x v="2"/>
    <x v="0"/>
    <x v="0"/>
    <m/>
    <m/>
    <x v="0"/>
    <n v="394813409.44999999"/>
  </r>
  <r>
    <d v="2026-05-18T00:00:00"/>
    <x v="0"/>
    <x v="0"/>
    <s v="SUSCRIPCION"/>
    <x v="2"/>
    <n v="260130342.38999999"/>
    <x v="2"/>
    <x v="0"/>
    <x v="0"/>
    <m/>
    <m/>
    <x v="0"/>
    <n v="260130342.38999999"/>
  </r>
  <r>
    <d v="2026-05-18T00:00:00"/>
    <x v="0"/>
    <x v="0"/>
    <s v="SUSCRIPCION"/>
    <x v="2"/>
    <n v="122962263.92"/>
    <x v="2"/>
    <x v="0"/>
    <x v="0"/>
    <m/>
    <m/>
    <x v="0"/>
    <n v="122962263.92"/>
  </r>
  <r>
    <d v="2026-05-18T00:00:00"/>
    <x v="0"/>
    <x v="0"/>
    <s v="SUSCRIPCION"/>
    <x v="2"/>
    <n v="122962263.92"/>
    <x v="2"/>
    <x v="0"/>
    <x v="0"/>
    <m/>
    <m/>
    <x v="0"/>
    <n v="122962263.92"/>
  </r>
  <r>
    <d v="2026-05-18T00:00:00"/>
    <x v="0"/>
    <x v="0"/>
    <s v="RESCATE"/>
    <x v="2"/>
    <n v="1333578949.03"/>
    <x v="2"/>
    <x v="0"/>
    <x v="0"/>
    <m/>
    <m/>
    <x v="0"/>
    <n v="-1333578949.03"/>
  </r>
  <r>
    <d v="2026-05-18T00:00:00"/>
    <x v="0"/>
    <x v="0"/>
    <s v="RESCATE"/>
    <x v="2"/>
    <n v="322333168.80000001"/>
    <x v="2"/>
    <x v="0"/>
    <x v="0"/>
    <m/>
    <m/>
    <x v="0"/>
    <n v="-322333168.80000001"/>
  </r>
  <r>
    <d v="2026-05-18T00:00:00"/>
    <x v="3"/>
    <x v="0"/>
    <s v="SUSCRIPCION"/>
    <x v="2"/>
    <n v="1333578949.05"/>
    <x v="2"/>
    <x v="0"/>
    <x v="0"/>
    <m/>
    <m/>
    <x v="0"/>
    <n v="1333578949.05"/>
  </r>
  <r>
    <d v="2026-05-18T00:00:00"/>
    <x v="3"/>
    <x v="0"/>
    <s v="SUSCRIPCION"/>
    <x v="2"/>
    <n v="319673686.29000002"/>
    <x v="2"/>
    <x v="0"/>
    <x v="0"/>
    <m/>
    <m/>
    <x v="0"/>
    <n v="319673686.29000002"/>
  </r>
  <r>
    <d v="2026-05-18T00:00:00"/>
    <x v="3"/>
    <x v="2"/>
    <s v="RESCATE"/>
    <x v="18"/>
    <n v="600000"/>
    <x v="2"/>
    <x v="3"/>
    <x v="1"/>
    <d v="2026-05-08T00:00:00"/>
    <n v="5"/>
    <x v="9"/>
    <n v="-600000"/>
  </r>
  <r>
    <d v="2026-05-18T00:00:00"/>
    <x v="3"/>
    <x v="2"/>
    <s v="RESCATE"/>
    <x v="18"/>
    <n v="300000"/>
    <x v="2"/>
    <x v="3"/>
    <x v="1"/>
    <d v="2026-12-08T00:00:00"/>
    <n v="5"/>
    <x v="12"/>
    <n v="-300000"/>
  </r>
  <r>
    <d v="2026-05-18T00:00:00"/>
    <x v="3"/>
    <x v="2"/>
    <s v="RESCATE"/>
    <x v="18"/>
    <n v="300000"/>
    <x v="2"/>
    <x v="3"/>
    <x v="1"/>
    <s v="19/8/2026"/>
    <n v="5"/>
    <x v="15"/>
    <n v="-300000"/>
  </r>
  <r>
    <d v="2026-05-19T00:00:00"/>
    <x v="0"/>
    <x v="0"/>
    <s v="RESCATE"/>
    <x v="1"/>
    <n v="2004700000"/>
    <x v="1"/>
    <x v="0"/>
    <x v="0"/>
    <m/>
    <m/>
    <x v="0"/>
    <n v="-2004700000"/>
  </r>
  <r>
    <d v="2026-05-19T00:00:00"/>
    <x v="3"/>
    <x v="0"/>
    <s v="RESCATE"/>
    <x v="6"/>
    <n v="244400000"/>
    <x v="5"/>
    <x v="0"/>
    <x v="0"/>
    <m/>
    <m/>
    <x v="0"/>
    <n v="-244400000"/>
  </r>
  <r>
    <d v="2026-05-19T00:00:00"/>
    <x v="2"/>
    <x v="0"/>
    <s v="SUSCRIPCION"/>
    <x v="1"/>
    <n v="51200000"/>
    <x v="1"/>
    <x v="0"/>
    <x v="0"/>
    <m/>
    <m/>
    <x v="0"/>
    <n v="51200000"/>
  </r>
  <r>
    <d v="2026-05-19T00:00:00"/>
    <x v="3"/>
    <x v="0"/>
    <s v="RESCATE"/>
    <x v="2"/>
    <n v="58323368.359999999"/>
    <x v="2"/>
    <x v="0"/>
    <x v="0"/>
    <m/>
    <m/>
    <x v="0"/>
    <n v="-58323368.359999999"/>
  </r>
  <r>
    <d v="2026-05-19T00:00:00"/>
    <x v="3"/>
    <x v="0"/>
    <s v="RESCATE"/>
    <x v="2"/>
    <n v="103899370"/>
    <x v="2"/>
    <x v="0"/>
    <x v="0"/>
    <m/>
    <m/>
    <x v="0"/>
    <n v="-103899370"/>
  </r>
  <r>
    <d v="2026-05-19T00:00:00"/>
    <x v="0"/>
    <x v="0"/>
    <s v="RESCATE"/>
    <x v="2"/>
    <n v="900000000"/>
    <x v="2"/>
    <x v="0"/>
    <x v="0"/>
    <m/>
    <m/>
    <x v="0"/>
    <n v="-900000000"/>
  </r>
  <r>
    <d v="2026-05-19T00:00:00"/>
    <x v="2"/>
    <x v="0"/>
    <s v="SUSCRIPCION"/>
    <x v="0"/>
    <n v="337341638.58999997"/>
    <x v="0"/>
    <x v="0"/>
    <x v="0"/>
    <m/>
    <m/>
    <x v="0"/>
    <n v="337341638.58999997"/>
  </r>
  <r>
    <d v="2026-05-19T00:00:00"/>
    <x v="3"/>
    <x v="0"/>
    <s v="SUSCRIPCION"/>
    <x v="6"/>
    <n v="93000000"/>
    <x v="5"/>
    <x v="0"/>
    <x v="0"/>
    <m/>
    <m/>
    <x v="0"/>
    <n v="93000000"/>
  </r>
  <r>
    <d v="2026-05-20T00:00:00"/>
    <x v="3"/>
    <x v="1"/>
    <s v="RESCATE"/>
    <x v="7"/>
    <n v="1000000000"/>
    <x v="5"/>
    <x v="2"/>
    <x v="0"/>
    <s v="20/05/2026"/>
    <n v="23.25"/>
    <x v="0"/>
    <n v="-1000000000"/>
  </r>
  <r>
    <d v="2026-05-20T00:00:00"/>
    <x v="0"/>
    <x v="0"/>
    <s v="RESCATE"/>
    <x v="6"/>
    <n v="40000000"/>
    <x v="5"/>
    <x v="0"/>
    <x v="0"/>
    <m/>
    <m/>
    <x v="0"/>
    <n v="-40000000"/>
  </r>
  <r>
    <d v="2026-05-20T00:00:00"/>
    <x v="2"/>
    <x v="0"/>
    <s v="RESCATE"/>
    <x v="6"/>
    <n v="87000000"/>
    <x v="5"/>
    <x v="0"/>
    <x v="0"/>
    <m/>
    <m/>
    <x v="0"/>
    <n v="-87000000"/>
  </r>
  <r>
    <d v="2026-05-20T00:00:00"/>
    <x v="1"/>
    <x v="0"/>
    <s v="RESCATE"/>
    <x v="1"/>
    <n v="1100000"/>
    <x v="1"/>
    <x v="0"/>
    <x v="0"/>
    <m/>
    <m/>
    <x v="0"/>
    <n v="-1100000"/>
  </r>
  <r>
    <d v="2026-05-20T00:00:00"/>
    <x v="2"/>
    <x v="0"/>
    <s v="RESCATE"/>
    <x v="1"/>
    <n v="7600000"/>
    <x v="1"/>
    <x v="0"/>
    <x v="0"/>
    <m/>
    <m/>
    <x v="0"/>
    <n v="-7600000"/>
  </r>
  <r>
    <d v="2026-05-20T00:00:00"/>
    <x v="3"/>
    <x v="0"/>
    <s v="RESCATE"/>
    <x v="6"/>
    <n v="578800000"/>
    <x v="5"/>
    <x v="0"/>
    <x v="0"/>
    <m/>
    <m/>
    <x v="0"/>
    <n v="-578800000"/>
  </r>
  <r>
    <d v="2026-05-20T00:00:00"/>
    <x v="0"/>
    <x v="0"/>
    <s v="SUSCRIPCION"/>
    <x v="6"/>
    <n v="498000000"/>
    <x v="5"/>
    <x v="0"/>
    <x v="0"/>
    <m/>
    <m/>
    <x v="0"/>
    <n v="498000000"/>
  </r>
  <r>
    <d v="2026-05-20T00:00:00"/>
    <x v="0"/>
    <x v="0"/>
    <s v="RESCATE"/>
    <x v="0"/>
    <n v="500000000"/>
    <x v="0"/>
    <x v="0"/>
    <x v="0"/>
    <m/>
    <m/>
    <x v="0"/>
    <n v="-500000000"/>
  </r>
  <r>
    <d v="2026-05-20T00:00:00"/>
    <x v="3"/>
    <x v="0"/>
    <s v="RESCATE"/>
    <x v="2"/>
    <n v="495645905.73000002"/>
    <x v="2"/>
    <x v="0"/>
    <x v="0"/>
    <m/>
    <m/>
    <x v="0"/>
    <n v="-495645905.73000002"/>
  </r>
  <r>
    <d v="2026-05-20T00:00:00"/>
    <x v="0"/>
    <x v="0"/>
    <s v="SUSCRIPCION"/>
    <x v="2"/>
    <n v="792986727.91999996"/>
    <x v="2"/>
    <x v="0"/>
    <x v="0"/>
    <m/>
    <m/>
    <x v="0"/>
    <n v="792986727.91999996"/>
  </r>
  <r>
    <d v="2026-05-21T00:00:00"/>
    <x v="3"/>
    <x v="0"/>
    <s v="RESCATE"/>
    <x v="6"/>
    <n v="187700000"/>
    <x v="5"/>
    <x v="0"/>
    <x v="0"/>
    <m/>
    <m/>
    <x v="0"/>
    <n v="-187700000"/>
  </r>
  <r>
    <d v="2026-05-21T00:00:00"/>
    <x v="0"/>
    <x v="0"/>
    <s v="RESCATE"/>
    <x v="6"/>
    <n v="142400000"/>
    <x v="5"/>
    <x v="0"/>
    <x v="0"/>
    <m/>
    <m/>
    <x v="0"/>
    <n v="-142400000"/>
  </r>
  <r>
    <d v="2026-05-21T00:00:00"/>
    <x v="2"/>
    <x v="0"/>
    <s v="RESCATE"/>
    <x v="1"/>
    <n v="188900000"/>
    <x v="1"/>
    <x v="0"/>
    <x v="0"/>
    <m/>
    <m/>
    <x v="0"/>
    <n v="-188900000"/>
  </r>
  <r>
    <d v="2026-05-21T00:00:00"/>
    <x v="1"/>
    <x v="0"/>
    <s v="RESCATE"/>
    <x v="1"/>
    <n v="6900000"/>
    <x v="1"/>
    <x v="0"/>
    <x v="0"/>
    <m/>
    <m/>
    <x v="0"/>
    <n v="-6900000"/>
  </r>
  <r>
    <d v="2026-05-21T00:00:00"/>
    <x v="3"/>
    <x v="0"/>
    <s v="RESCATE"/>
    <x v="2"/>
    <n v="2000000000"/>
    <x v="2"/>
    <x v="0"/>
    <x v="0"/>
    <m/>
    <m/>
    <x v="0"/>
    <n v="-2000000000"/>
  </r>
  <r>
    <d v="2026-05-21T00:00:00"/>
    <x v="0"/>
    <x v="0"/>
    <s v="RESCATE"/>
    <x v="6"/>
    <n v="92700000"/>
    <x v="5"/>
    <x v="0"/>
    <x v="0"/>
    <m/>
    <m/>
    <x v="0"/>
    <n v="-92700000"/>
  </r>
  <r>
    <d v="2026-05-21T00:00:00"/>
    <x v="0"/>
    <x v="0"/>
    <s v="RESCATE"/>
    <x v="2"/>
    <n v="2762156001"/>
    <x v="2"/>
    <x v="0"/>
    <x v="0"/>
    <m/>
    <m/>
    <x v="0"/>
    <n v="-2762156001"/>
  </r>
  <r>
    <d v="2026-05-21T00:00:00"/>
    <x v="3"/>
    <x v="0"/>
    <s v="SUSCRIPCION"/>
    <x v="2"/>
    <n v="2757313761"/>
    <x v="2"/>
    <x v="0"/>
    <x v="0"/>
    <m/>
    <m/>
    <x v="0"/>
    <n v="2757313761"/>
  </r>
  <r>
    <d v="2026-05-21T00:00:00"/>
    <x v="3"/>
    <x v="2"/>
    <s v="RESCATE"/>
    <x v="18"/>
    <n v="2000000"/>
    <x v="2"/>
    <x v="3"/>
    <x v="1"/>
    <s v="26/08/2026"/>
    <n v="5"/>
    <x v="13"/>
    <n v="-2000000"/>
  </r>
  <r>
    <d v="2026-05-21T00:00:00"/>
    <x v="3"/>
    <x v="0"/>
    <s v="SUSCRIPCION"/>
    <x v="15"/>
    <n v="1709156.87"/>
    <x v="12"/>
    <x v="0"/>
    <x v="0"/>
    <m/>
    <m/>
    <x v="0"/>
    <n v="1709156.87"/>
  </r>
  <r>
    <d v="2026-05-22T00:00:00"/>
    <x v="0"/>
    <x v="0"/>
    <s v="SUSCRIPCION"/>
    <x v="2"/>
    <n v="28430334.98"/>
    <x v="2"/>
    <x v="0"/>
    <x v="0"/>
    <m/>
    <m/>
    <x v="0"/>
    <n v="28430334.98"/>
  </r>
  <r>
    <d v="2026-05-22T00:00:00"/>
    <x v="0"/>
    <x v="0"/>
    <s v="SUSCRIPCION"/>
    <x v="1"/>
    <n v="11536832"/>
    <x v="1"/>
    <x v="0"/>
    <x v="0"/>
    <m/>
    <m/>
    <x v="0"/>
    <n v="11536832"/>
  </r>
  <r>
    <d v="2026-05-22T00:00:00"/>
    <x v="0"/>
    <x v="0"/>
    <s v="RESCATE"/>
    <x v="4"/>
    <n v="44337055.68"/>
    <x v="3"/>
    <x v="0"/>
    <x v="0"/>
    <m/>
    <m/>
    <x v="0"/>
    <n v="-44337055.68"/>
  </r>
  <r>
    <d v="2026-05-22T00:00:00"/>
    <x v="3"/>
    <x v="0"/>
    <s v="RESCATE"/>
    <x v="2"/>
    <n v="295167470"/>
    <x v="2"/>
    <x v="0"/>
    <x v="0"/>
    <m/>
    <m/>
    <x v="0"/>
    <n v="-295167470"/>
  </r>
  <r>
    <d v="2026-05-22T00:00:00"/>
    <x v="3"/>
    <x v="0"/>
    <s v="RESCATE"/>
    <x v="2"/>
    <n v="93191187.75"/>
    <x v="2"/>
    <x v="0"/>
    <x v="0"/>
    <m/>
    <m/>
    <x v="0"/>
    <n v="-93191187.75"/>
  </r>
  <r>
    <d v="2026-05-22T00:00:00"/>
    <x v="3"/>
    <x v="0"/>
    <s v="RESCATE"/>
    <x v="2"/>
    <n v="51878150.259999998"/>
    <x v="2"/>
    <x v="0"/>
    <x v="0"/>
    <m/>
    <m/>
    <x v="0"/>
    <n v="-51878150.259999998"/>
  </r>
  <r>
    <d v="2026-05-22T00:00:00"/>
    <x v="3"/>
    <x v="0"/>
    <s v="RESCATE"/>
    <x v="2"/>
    <n v="72005346.200000003"/>
    <x v="2"/>
    <x v="0"/>
    <x v="0"/>
    <m/>
    <m/>
    <x v="0"/>
    <n v="-72005346.200000003"/>
  </r>
  <r>
    <d v="2026-05-22T00:00:00"/>
    <x v="3"/>
    <x v="0"/>
    <s v="SUSCRIPCION"/>
    <x v="22"/>
    <n v="1000000000"/>
    <x v="6"/>
    <x v="0"/>
    <x v="0"/>
    <m/>
    <m/>
    <x v="0"/>
    <n v="1000000000"/>
  </r>
  <r>
    <d v="2026-05-22T00:00:00"/>
    <x v="3"/>
    <x v="0"/>
    <s v="SUSCRIPCION"/>
    <x v="1"/>
    <n v="5644700000"/>
    <x v="1"/>
    <x v="0"/>
    <x v="0"/>
    <m/>
    <m/>
    <x v="0"/>
    <n v="5644700000"/>
  </r>
  <r>
    <d v="2026-05-22T00:00:00"/>
    <x v="0"/>
    <x v="0"/>
    <s v="SUSCRIPCION"/>
    <x v="1"/>
    <n v="11700000"/>
    <x v="1"/>
    <x v="0"/>
    <x v="0"/>
    <m/>
    <m/>
    <x v="0"/>
    <n v="11700000"/>
  </r>
  <r>
    <d v="2026-05-22T00:00:00"/>
    <x v="2"/>
    <x v="0"/>
    <s v="SUSCRIPCION"/>
    <x v="1"/>
    <n v="274100000"/>
    <x v="1"/>
    <x v="0"/>
    <x v="0"/>
    <m/>
    <m/>
    <x v="0"/>
    <n v="274100000"/>
  </r>
  <r>
    <d v="2026-05-22T00:00:00"/>
    <x v="3"/>
    <x v="0"/>
    <s v="SUSCRIPCION"/>
    <x v="6"/>
    <n v="93000000"/>
    <x v="5"/>
    <x v="0"/>
    <x v="0"/>
    <m/>
    <m/>
    <x v="0"/>
    <n v="93000000"/>
  </r>
  <r>
    <d v="2026-05-26T00:00:00"/>
    <x v="1"/>
    <x v="0"/>
    <s v="RESCATE"/>
    <x v="1"/>
    <n v="66500000"/>
    <x v="1"/>
    <x v="0"/>
    <x v="0"/>
    <m/>
    <m/>
    <x v="0"/>
    <n v="-66500000"/>
  </r>
  <r>
    <d v="2026-05-26T00:00:00"/>
    <x v="2"/>
    <x v="0"/>
    <s v="RESCATE"/>
    <x v="1"/>
    <n v="114500000"/>
    <x v="1"/>
    <x v="0"/>
    <x v="0"/>
    <m/>
    <m/>
    <x v="0"/>
    <n v="-114500000"/>
  </r>
  <r>
    <d v="2026-05-26T00:00:00"/>
    <x v="3"/>
    <x v="0"/>
    <s v="RESCATE"/>
    <x v="1"/>
    <n v="366500000"/>
    <x v="1"/>
    <x v="0"/>
    <x v="0"/>
    <m/>
    <m/>
    <x v="0"/>
    <n v="-366500000"/>
  </r>
  <r>
    <d v="2026-05-26T00:00:00"/>
    <x v="0"/>
    <x v="0"/>
    <s v="SUSCRIPCION"/>
    <x v="1"/>
    <n v="40100000"/>
    <x v="1"/>
    <x v="0"/>
    <x v="0"/>
    <m/>
    <m/>
    <x v="0"/>
    <n v="40100000"/>
  </r>
  <r>
    <d v="2026-05-26T00:00:00"/>
    <x v="3"/>
    <x v="0"/>
    <s v="RESCATE"/>
    <x v="22"/>
    <n v="777384775.75999999"/>
    <x v="6"/>
    <x v="0"/>
    <x v="0"/>
    <m/>
    <m/>
    <x v="0"/>
    <n v="-777384775.75999999"/>
  </r>
  <r>
    <d v="2026-05-27T00:00:00"/>
    <x v="3"/>
    <x v="0"/>
    <s v="RESCATE"/>
    <x v="1"/>
    <n v="621400000"/>
    <x v="1"/>
    <x v="0"/>
    <x v="0"/>
    <m/>
    <m/>
    <x v="0"/>
    <n v="-621400000"/>
  </r>
  <r>
    <d v="2026-05-27T00:00:00"/>
    <x v="0"/>
    <x v="0"/>
    <s v="RESCATE"/>
    <x v="1"/>
    <n v="44300000"/>
    <x v="1"/>
    <x v="0"/>
    <x v="0"/>
    <m/>
    <m/>
    <x v="0"/>
    <n v="-44300000"/>
  </r>
  <r>
    <d v="2026-05-27T00:00:00"/>
    <x v="2"/>
    <x v="0"/>
    <s v="RESCATE"/>
    <x v="1"/>
    <n v="53900000"/>
    <x v="1"/>
    <x v="0"/>
    <x v="0"/>
    <m/>
    <m/>
    <x v="0"/>
    <n v="-53900000"/>
  </r>
  <r>
    <d v="2026-05-27T00:00:00"/>
    <x v="2"/>
    <x v="0"/>
    <s v="RESCATE"/>
    <x v="2"/>
    <n v="156378678.19"/>
    <x v="2"/>
    <x v="0"/>
    <x v="0"/>
    <m/>
    <m/>
    <x v="0"/>
    <n v="-156378678.19"/>
  </r>
  <r>
    <d v="2026-05-27T00:00:00"/>
    <x v="2"/>
    <x v="0"/>
    <s v="RESCATE"/>
    <x v="2"/>
    <n v="150409955.88"/>
    <x v="2"/>
    <x v="0"/>
    <x v="0"/>
    <m/>
    <m/>
    <x v="0"/>
    <n v="-150409955.88"/>
  </r>
  <r>
    <d v="2026-05-27T00:00:00"/>
    <x v="0"/>
    <x v="0"/>
    <s v="RESCATE"/>
    <x v="2"/>
    <n v="84904299.459999993"/>
    <x v="2"/>
    <x v="0"/>
    <x v="0"/>
    <m/>
    <m/>
    <x v="0"/>
    <n v="-84904299.459999993"/>
  </r>
  <r>
    <d v="2026-05-27T00:00:00"/>
    <x v="0"/>
    <x v="0"/>
    <s v="RESCATE"/>
    <x v="2"/>
    <n v="124245224.03"/>
    <x v="2"/>
    <x v="0"/>
    <x v="0"/>
    <m/>
    <m/>
    <x v="0"/>
    <n v="-124245224.03"/>
  </r>
  <r>
    <d v="2026-05-27T00:00:00"/>
    <x v="0"/>
    <x v="0"/>
    <s v="RESCATE"/>
    <x v="0"/>
    <n v="110672702.22"/>
    <x v="0"/>
    <x v="0"/>
    <x v="0"/>
    <m/>
    <m/>
    <x v="0"/>
    <n v="-110672702.22"/>
  </r>
  <r>
    <d v="2026-05-27T00:00:00"/>
    <x v="0"/>
    <x v="0"/>
    <s v="RESCATE"/>
    <x v="0"/>
    <n v="61170370.520000003"/>
    <x v="0"/>
    <x v="0"/>
    <x v="0"/>
    <m/>
    <m/>
    <x v="0"/>
    <n v="-61170370.520000003"/>
  </r>
  <r>
    <d v="2026-05-27T00:00:00"/>
    <x v="3"/>
    <x v="0"/>
    <s v="RESCATE"/>
    <x v="2"/>
    <n v="2000000000"/>
    <x v="2"/>
    <x v="0"/>
    <x v="0"/>
    <m/>
    <m/>
    <x v="0"/>
    <n v="-2000000000"/>
  </r>
  <r>
    <d v="2026-05-27T00:00:00"/>
    <x v="3"/>
    <x v="0"/>
    <s v="SUSCRIPCION"/>
    <x v="15"/>
    <n v="500000000"/>
    <x v="12"/>
    <x v="0"/>
    <x v="0"/>
    <m/>
    <m/>
    <x v="0"/>
    <n v="500000000"/>
  </r>
  <r>
    <d v="2026-05-27T00:00:00"/>
    <x v="3"/>
    <x v="0"/>
    <s v="SUSCRIPCION"/>
    <x v="5"/>
    <n v="500000000"/>
    <x v="4"/>
    <x v="0"/>
    <x v="0"/>
    <m/>
    <m/>
    <x v="0"/>
    <n v="500000000"/>
  </r>
  <r>
    <d v="2026-05-27T00:00:00"/>
    <x v="3"/>
    <x v="0"/>
    <s v="SUSCRIPCION"/>
    <x v="0"/>
    <n v="1000000000"/>
    <x v="0"/>
    <x v="0"/>
    <x v="0"/>
    <m/>
    <m/>
    <x v="0"/>
    <n v="1000000000"/>
  </r>
  <r>
    <d v="2026-05-28T00:00:00"/>
    <x v="3"/>
    <x v="0"/>
    <s v="RESCATE"/>
    <x v="2"/>
    <n v="101297359.95999999"/>
    <x v="2"/>
    <x v="0"/>
    <x v="0"/>
    <m/>
    <m/>
    <x v="0"/>
    <n v="-101297359.95999999"/>
  </r>
  <r>
    <d v="2026-05-28T00:00:00"/>
    <x v="3"/>
    <x v="0"/>
    <s v="RESCATE"/>
    <x v="2"/>
    <n v="120821714.09999999"/>
    <x v="2"/>
    <x v="0"/>
    <x v="0"/>
    <m/>
    <m/>
    <x v="0"/>
    <n v="-120821714.09999999"/>
  </r>
  <r>
    <d v="2026-05-28T00:00:00"/>
    <x v="3"/>
    <x v="0"/>
    <s v="RESCATE"/>
    <x v="0"/>
    <n v="63963947.049999997"/>
    <x v="0"/>
    <x v="0"/>
    <x v="0"/>
    <m/>
    <m/>
    <x v="0"/>
    <n v="-63963947.049999997"/>
  </r>
  <r>
    <d v="2026-05-28T00:00:00"/>
    <x v="3"/>
    <x v="0"/>
    <s v="RESCATE"/>
    <x v="0"/>
    <n v="61615049.990000002"/>
    <x v="0"/>
    <x v="0"/>
    <x v="0"/>
    <m/>
    <m/>
    <x v="0"/>
    <n v="-61615049.990000002"/>
  </r>
  <r>
    <d v="2026-05-28T00:00:00"/>
    <x v="3"/>
    <x v="0"/>
    <s v="RESCATE"/>
    <x v="5"/>
    <n v="113097456.13"/>
    <x v="4"/>
    <x v="0"/>
    <x v="0"/>
    <m/>
    <m/>
    <x v="0"/>
    <n v="-113097456.13"/>
  </r>
  <r>
    <d v="2026-05-28T00:00:00"/>
    <x v="3"/>
    <x v="0"/>
    <s v="RESCATE"/>
    <x v="22"/>
    <n v="95674034.689999998"/>
    <x v="6"/>
    <x v="0"/>
    <x v="0"/>
    <m/>
    <m/>
    <x v="0"/>
    <n v="-95674034.689999998"/>
  </r>
  <r>
    <d v="2026-05-28T00:00:00"/>
    <x v="2"/>
    <x v="0"/>
    <s v="SUSCRIPCION"/>
    <x v="22"/>
    <n v="95674034.689999998"/>
    <x v="6"/>
    <x v="0"/>
    <x v="0"/>
    <m/>
    <m/>
    <x v="0"/>
    <n v="95674034.689999998"/>
  </r>
  <r>
    <d v="2026-05-28T00:00:00"/>
    <x v="3"/>
    <x v="0"/>
    <s v="RESCATE"/>
    <x v="2"/>
    <n v="1304000000"/>
    <x v="2"/>
    <x v="0"/>
    <x v="0"/>
    <m/>
    <m/>
    <x v="0"/>
    <n v="-1304000000"/>
  </r>
  <r>
    <d v="2026-05-28T00:00:00"/>
    <x v="3"/>
    <x v="0"/>
    <s v="SUSCRIPCION"/>
    <x v="22"/>
    <n v="1000000000"/>
    <x v="6"/>
    <x v="0"/>
    <x v="0"/>
    <m/>
    <m/>
    <x v="0"/>
    <n v="1000000000"/>
  </r>
  <r>
    <d v="2026-05-28T00:00:00"/>
    <x v="3"/>
    <x v="0"/>
    <s v="RESCATE"/>
    <x v="6"/>
    <n v="200000"/>
    <x v="5"/>
    <x v="0"/>
    <x v="0"/>
    <m/>
    <m/>
    <x v="0"/>
    <n v="-200000"/>
  </r>
  <r>
    <d v="2026-05-28T00:00:00"/>
    <x v="0"/>
    <x v="0"/>
    <s v="SUSCRIPCION"/>
    <x v="1"/>
    <n v="381300000"/>
    <x v="1"/>
    <x v="0"/>
    <x v="0"/>
    <m/>
    <m/>
    <x v="0"/>
    <n v="381300000"/>
  </r>
  <r>
    <d v="2026-05-28T00:00:00"/>
    <x v="2"/>
    <x v="0"/>
    <s v="SUSCRIPCION"/>
    <x v="1"/>
    <n v="89300000"/>
    <x v="1"/>
    <x v="0"/>
    <x v="0"/>
    <m/>
    <m/>
    <x v="0"/>
    <n v="89300000"/>
  </r>
  <r>
    <d v="2026-05-28T00:00:00"/>
    <x v="0"/>
    <x v="0"/>
    <s v="SUSCRIPCION"/>
    <x v="2"/>
    <n v="2504522.0499999998"/>
    <x v="2"/>
    <x v="0"/>
    <x v="0"/>
    <m/>
    <m/>
    <x v="0"/>
    <n v="2504522.0499999998"/>
  </r>
  <r>
    <d v="2026-05-28T00:00:00"/>
    <x v="0"/>
    <x v="0"/>
    <s v="SUSCRIPCION"/>
    <x v="0"/>
    <n v="3972553.83"/>
    <x v="0"/>
    <x v="0"/>
    <x v="0"/>
    <m/>
    <m/>
    <x v="0"/>
    <n v="3972553.83"/>
  </r>
  <r>
    <d v="2026-05-28T00:00:00"/>
    <x v="2"/>
    <x v="0"/>
    <s v="SUSCRIPCION"/>
    <x v="2"/>
    <n v="14255111.65"/>
    <x v="2"/>
    <x v="0"/>
    <x v="0"/>
    <m/>
    <m/>
    <x v="0"/>
    <n v="14255111.65"/>
  </r>
  <r>
    <d v="2026-05-29T00:00:00"/>
    <x v="3"/>
    <x v="0"/>
    <s v="SUSCRIPCION"/>
    <x v="6"/>
    <n v="146800000"/>
    <x v="5"/>
    <x v="0"/>
    <x v="0"/>
    <m/>
    <m/>
    <x v="0"/>
    <n v="146800000"/>
  </r>
  <r>
    <d v="2026-05-29T00:00:00"/>
    <x v="0"/>
    <x v="0"/>
    <s v="RESCATE"/>
    <x v="1"/>
    <n v="138900000"/>
    <x v="1"/>
    <x v="0"/>
    <x v="0"/>
    <m/>
    <m/>
    <x v="0"/>
    <n v="-138900000"/>
  </r>
  <r>
    <d v="2026-05-29T00:00:00"/>
    <x v="3"/>
    <x v="0"/>
    <s v="RESCATE"/>
    <x v="2"/>
    <n v="500000000"/>
    <x v="2"/>
    <x v="0"/>
    <x v="0"/>
    <m/>
    <m/>
    <x v="0"/>
    <n v="-500000000"/>
  </r>
  <r>
    <d v="2026-05-29T00:00:00"/>
    <x v="3"/>
    <x v="0"/>
    <s v="SUSCRIPCION"/>
    <x v="22"/>
    <n v="1064800000"/>
    <x v="6"/>
    <x v="0"/>
    <x v="0"/>
    <m/>
    <m/>
    <x v="0"/>
    <n v="1064800000"/>
  </r>
  <r>
    <d v="2026-05-29T00:00:00"/>
    <x v="2"/>
    <x v="0"/>
    <s v="SUSCRIPCION"/>
    <x v="1"/>
    <n v="142900000"/>
    <x v="1"/>
    <x v="0"/>
    <x v="0"/>
    <m/>
    <m/>
    <x v="0"/>
    <n v="142900000"/>
  </r>
  <r>
    <d v="2026-06-01T00:00:00"/>
    <x v="1"/>
    <x v="0"/>
    <s v="RESCATE"/>
    <x v="1"/>
    <n v="14100000"/>
    <x v="1"/>
    <x v="0"/>
    <x v="0"/>
    <m/>
    <m/>
    <x v="0"/>
    <n v="-14100000"/>
  </r>
  <r>
    <d v="2026-06-01T00:00:00"/>
    <x v="3"/>
    <x v="0"/>
    <s v="RESCATE"/>
    <x v="9"/>
    <n v="1177673751.1500001"/>
    <x v="6"/>
    <x v="0"/>
    <x v="0"/>
    <m/>
    <m/>
    <x v="0"/>
    <n v="-1177673751.1500001"/>
  </r>
  <r>
    <d v="2026-06-01T00:00:00"/>
    <x v="2"/>
    <x v="0"/>
    <s v="RESCATE"/>
    <x v="1"/>
    <n v="315400000"/>
    <x v="1"/>
    <x v="0"/>
    <x v="0"/>
    <m/>
    <m/>
    <x v="0"/>
    <n v="-315400000"/>
  </r>
  <r>
    <d v="2026-06-01T00:00:00"/>
    <x v="3"/>
    <x v="0"/>
    <s v="SUSCRIPCION"/>
    <x v="9"/>
    <n v="1064800000"/>
    <x v="6"/>
    <x v="0"/>
    <x v="0"/>
    <m/>
    <m/>
    <x v="0"/>
    <n v="1064800000"/>
  </r>
  <r>
    <d v="2026-06-01T00:00:00"/>
    <x v="3"/>
    <x v="0"/>
    <s v="SUSCRIPCION"/>
    <x v="23"/>
    <n v="499985384.81"/>
    <x v="6"/>
    <x v="1"/>
    <x v="0"/>
    <m/>
    <m/>
    <x v="0"/>
    <n v="499985384.81"/>
  </r>
  <r>
    <d v="2026-06-01T00:00:00"/>
    <x v="3"/>
    <x v="0"/>
    <s v="RESCATE"/>
    <x v="6"/>
    <n v="200000"/>
    <x v="5"/>
    <x v="0"/>
    <x v="0"/>
    <m/>
    <m/>
    <x v="0"/>
    <n v="-200000"/>
  </r>
  <r>
    <d v="2026-06-01T00:00:00"/>
    <x v="0"/>
    <x v="0"/>
    <s v="RESCATE"/>
    <x v="1"/>
    <n v="101400000"/>
    <x v="1"/>
    <x v="0"/>
    <x v="0"/>
    <m/>
    <m/>
    <x v="0"/>
    <n v="-101400000"/>
  </r>
  <r>
    <d v="2026-06-01T00:00:00"/>
    <x v="0"/>
    <x v="0"/>
    <s v="SUSCRIPCION"/>
    <x v="4"/>
    <n v="46601867.5"/>
    <x v="3"/>
    <x v="0"/>
    <x v="0"/>
    <m/>
    <m/>
    <x v="0"/>
    <n v="46601867.5"/>
  </r>
  <r>
    <d v="2026-06-02T00:00:00"/>
    <x v="2"/>
    <x v="0"/>
    <s v="RESCATE"/>
    <x v="1"/>
    <n v="65700000"/>
    <x v="1"/>
    <x v="0"/>
    <x v="0"/>
    <m/>
    <m/>
    <x v="0"/>
    <n v="-65700000"/>
  </r>
  <r>
    <d v="2026-06-02T00:00:00"/>
    <x v="3"/>
    <x v="0"/>
    <s v="RESCATE"/>
    <x v="1"/>
    <n v="19500000"/>
    <x v="1"/>
    <x v="0"/>
    <x v="0"/>
    <m/>
    <m/>
    <x v="0"/>
    <n v="-19500000"/>
  </r>
  <r>
    <d v="2026-06-02T00:00:00"/>
    <x v="0"/>
    <x v="0"/>
    <s v="SUSCRIPCION"/>
    <x v="0"/>
    <n v="3448695485.77"/>
    <x v="0"/>
    <x v="0"/>
    <x v="0"/>
    <m/>
    <m/>
    <x v="0"/>
    <n v="3448695485.77"/>
  </r>
  <r>
    <d v="2026-06-02T00:00:00"/>
    <x v="0"/>
    <x v="0"/>
    <s v="SUSCRIPCION"/>
    <x v="1"/>
    <n v="14900000"/>
    <x v="1"/>
    <x v="0"/>
    <x v="0"/>
    <m/>
    <m/>
    <x v="0"/>
    <n v="14900000"/>
  </r>
  <r>
    <d v="2026-06-02T00:00:00"/>
    <x v="0"/>
    <x v="0"/>
    <s v="SUSCRIPCION"/>
    <x v="4"/>
    <n v="82232400"/>
    <x v="3"/>
    <x v="0"/>
    <x v="0"/>
    <m/>
    <m/>
    <x v="0"/>
    <n v="82232400"/>
  </r>
  <r>
    <d v="2026-06-03T00:00:00"/>
    <x v="2"/>
    <x v="0"/>
    <s v="SUSCRIPCION"/>
    <x v="1"/>
    <n v="2200000"/>
    <x v="1"/>
    <x v="0"/>
    <x v="0"/>
    <m/>
    <m/>
    <x v="0"/>
    <n v="2200000"/>
  </r>
  <r>
    <d v="2026-06-03T00:00:00"/>
    <x v="3"/>
    <x v="0"/>
    <s v="SUSCRIPCION"/>
    <x v="6"/>
    <n v="267400000"/>
    <x v="5"/>
    <x v="0"/>
    <x v="0"/>
    <m/>
    <m/>
    <x v="0"/>
    <n v="267400000"/>
  </r>
  <r>
    <d v="2026-06-03T00:00:00"/>
    <x v="3"/>
    <x v="0"/>
    <s v="RESCATE"/>
    <x v="2"/>
    <n v="1000000000"/>
    <x v="2"/>
    <x v="0"/>
    <x v="0"/>
    <m/>
    <m/>
    <x v="0"/>
    <n v="-1000000000"/>
  </r>
  <r>
    <d v="2026-06-03T00:00:00"/>
    <x v="3"/>
    <x v="0"/>
    <s v="SUSCRIPCION"/>
    <x v="17"/>
    <n v="20153.240000000002"/>
    <x v="0"/>
    <x v="3"/>
    <x v="1"/>
    <m/>
    <m/>
    <x v="3"/>
    <n v="20153.240000000002"/>
  </r>
  <r>
    <d v="2026-06-03T00:00:00"/>
    <x v="3"/>
    <x v="0"/>
    <s v="SUSCRIPCION"/>
    <x v="5"/>
    <n v="500000000"/>
    <x v="4"/>
    <x v="0"/>
    <x v="0"/>
    <m/>
    <m/>
    <x v="0"/>
    <n v="500000000"/>
  </r>
  <r>
    <d v="2026-06-03T00:00:00"/>
    <x v="3"/>
    <x v="0"/>
    <s v="SUSCRIPCION"/>
    <x v="22"/>
    <n v="6012609.7599999998"/>
    <x v="6"/>
    <x v="0"/>
    <x v="0"/>
    <m/>
    <m/>
    <x v="0"/>
    <n v="6012609.7599999998"/>
  </r>
  <r>
    <d v="2026-06-03T00:00:00"/>
    <x v="0"/>
    <x v="0"/>
    <s v="SUSCRIPCION"/>
    <x v="1"/>
    <n v="10000000"/>
    <x v="1"/>
    <x v="0"/>
    <x v="0"/>
    <m/>
    <m/>
    <x v="0"/>
    <n v="10000000"/>
  </r>
  <r>
    <d v="2026-06-03T00:00:00"/>
    <x v="3"/>
    <x v="0"/>
    <s v="SUSCRIPCION"/>
    <x v="1"/>
    <n v="31373628"/>
    <x v="1"/>
    <x v="0"/>
    <x v="0"/>
    <m/>
    <m/>
    <x v="0"/>
    <n v="31373628"/>
  </r>
  <r>
    <d v="2026-06-03T00:00:00"/>
    <x v="3"/>
    <x v="0"/>
    <s v="RESCATE"/>
    <x v="6"/>
    <n v="11800000"/>
    <x v="5"/>
    <x v="0"/>
    <x v="0"/>
    <m/>
    <m/>
    <x v="0"/>
    <n v="-11800000"/>
  </r>
  <r>
    <d v="2026-06-03T00:00:00"/>
    <x v="3"/>
    <x v="0"/>
    <s v="SUSCRIPCION"/>
    <x v="6"/>
    <n v="22177303.030000001"/>
    <x v="5"/>
    <x v="0"/>
    <x v="0"/>
    <m/>
    <m/>
    <x v="0"/>
    <n v="22177303.030000001"/>
  </r>
  <r>
    <d v="2026-06-03T00:00:00"/>
    <x v="0"/>
    <x v="0"/>
    <s v="SUSCRIPCION"/>
    <x v="6"/>
    <n v="2356177.7799999998"/>
    <x v="5"/>
    <x v="0"/>
    <x v="0"/>
    <m/>
    <m/>
    <x v="0"/>
    <n v="2356177.7799999998"/>
  </r>
  <r>
    <d v="2026-06-03T00:00:00"/>
    <x v="2"/>
    <x v="0"/>
    <s v="SUSCRIPCION"/>
    <x v="6"/>
    <n v="5302889.68"/>
    <x v="5"/>
    <x v="0"/>
    <x v="0"/>
    <m/>
    <m/>
    <x v="0"/>
    <n v="5302889.68"/>
  </r>
  <r>
    <d v="2026-06-03T00:00:00"/>
    <x v="2"/>
    <x v="0"/>
    <s v="SUSCRIPCION"/>
    <x v="1"/>
    <n v="15554270"/>
    <x v="1"/>
    <x v="0"/>
    <x v="0"/>
    <m/>
    <m/>
    <x v="0"/>
    <n v="15554270"/>
  </r>
  <r>
    <d v="2026-06-03T00:00:00"/>
    <x v="0"/>
    <x v="0"/>
    <s v="SUSCRIPCION"/>
    <x v="1"/>
    <n v="1602048"/>
    <x v="1"/>
    <x v="0"/>
    <x v="0"/>
    <m/>
    <m/>
    <x v="0"/>
    <n v="1602048"/>
  </r>
  <r>
    <d v="2026-06-03T00:00:00"/>
    <x v="0"/>
    <x v="0"/>
    <s v="SUSCRIPCION"/>
    <x v="4"/>
    <n v="12297750"/>
    <x v="3"/>
    <x v="0"/>
    <x v="0"/>
    <m/>
    <m/>
    <x v="0"/>
    <n v="12297750"/>
  </r>
  <r>
    <d v="2026-06-04T00:00:00"/>
    <x v="3"/>
    <x v="0"/>
    <s v="RESCATE"/>
    <x v="6"/>
    <n v="105000000"/>
    <x v="5"/>
    <x v="0"/>
    <x v="0"/>
    <m/>
    <m/>
    <x v="0"/>
    <n v="-105000000"/>
  </r>
  <r>
    <d v="2026-06-04T00:00:00"/>
    <x v="0"/>
    <x v="0"/>
    <s v="RESCATE"/>
    <x v="6"/>
    <n v="55000000"/>
    <x v="5"/>
    <x v="0"/>
    <x v="0"/>
    <m/>
    <m/>
    <x v="0"/>
    <n v="-55000000"/>
  </r>
  <r>
    <d v="2026-06-04T00:00:00"/>
    <x v="3"/>
    <x v="0"/>
    <s v="RESCATE"/>
    <x v="22"/>
    <n v="194912578.63999999"/>
    <x v="6"/>
    <x v="0"/>
    <x v="0"/>
    <m/>
    <m/>
    <x v="0"/>
    <n v="-194912578.63999999"/>
  </r>
  <r>
    <d v="2026-06-04T00:00:00"/>
    <x v="3"/>
    <x v="0"/>
    <s v="RESCATE"/>
    <x v="22"/>
    <n v="75369652.799999997"/>
    <x v="6"/>
    <x v="0"/>
    <x v="0"/>
    <m/>
    <m/>
    <x v="0"/>
    <n v="-75369652.799999997"/>
  </r>
  <r>
    <d v="2026-06-04T00:00:00"/>
    <x v="0"/>
    <x v="0"/>
    <s v="SUSCRIPCION"/>
    <x v="4"/>
    <n v="53310206"/>
    <x v="3"/>
    <x v="0"/>
    <x v="0"/>
    <m/>
    <m/>
    <x v="0"/>
    <n v="53310206"/>
  </r>
  <r>
    <d v="2026-06-04T00:00:00"/>
    <x v="0"/>
    <x v="0"/>
    <s v="SUSCRIPCION"/>
    <x v="4"/>
    <n v="51799160.719999999"/>
    <x v="3"/>
    <x v="0"/>
    <x v="0"/>
    <m/>
    <m/>
    <x v="0"/>
    <n v="51799160.719999999"/>
  </r>
  <r>
    <d v="2026-06-04T00:00:00"/>
    <x v="3"/>
    <x v="0"/>
    <s v="SUSCRIPCION"/>
    <x v="0"/>
    <n v="7548654.4299999997"/>
    <x v="0"/>
    <x v="0"/>
    <x v="0"/>
    <m/>
    <m/>
    <x v="0"/>
    <n v="7548654.4299999997"/>
  </r>
  <r>
    <d v="2026-06-04T00:00:00"/>
    <x v="3"/>
    <x v="0"/>
    <s v="SUSCRIPCION"/>
    <x v="17"/>
    <n v="5993.02"/>
    <x v="0"/>
    <x v="3"/>
    <x v="1"/>
    <m/>
    <m/>
    <x v="3"/>
    <n v="5993.02"/>
  </r>
  <r>
    <d v="2026-06-04T00:00:00"/>
    <x v="2"/>
    <x v="0"/>
    <s v="RESCATE"/>
    <x v="1"/>
    <n v="18500000"/>
    <x v="1"/>
    <x v="0"/>
    <x v="0"/>
    <m/>
    <m/>
    <x v="0"/>
    <n v="-18500000"/>
  </r>
  <r>
    <d v="2026-06-04T00:00:00"/>
    <x v="0"/>
    <x v="0"/>
    <s v="RESCATE"/>
    <x v="1"/>
    <n v="102100000"/>
    <x v="1"/>
    <x v="0"/>
    <x v="0"/>
    <m/>
    <m/>
    <x v="0"/>
    <n v="-102100000"/>
  </r>
  <r>
    <d v="2026-06-04T00:00:00"/>
    <x v="3"/>
    <x v="0"/>
    <s v="RESCATE"/>
    <x v="1"/>
    <n v="1869400000"/>
    <x v="1"/>
    <x v="0"/>
    <x v="0"/>
    <m/>
    <m/>
    <x v="0"/>
    <n v="-1869400000"/>
  </r>
  <r>
    <d v="2026-06-04T00:00:00"/>
    <x v="2"/>
    <x v="0"/>
    <s v="SUSCRIPCION"/>
    <x v="2"/>
    <n v="25540106.460000001"/>
    <x v="2"/>
    <x v="0"/>
    <x v="0"/>
    <m/>
    <m/>
    <x v="0"/>
    <n v="25540106.460000001"/>
  </r>
  <r>
    <d v="2026-06-04T00:00:00"/>
    <x v="3"/>
    <x v="0"/>
    <s v="SUSCRIPCION"/>
    <x v="6"/>
    <n v="1700000"/>
    <x v="5"/>
    <x v="0"/>
    <x v="0"/>
    <m/>
    <m/>
    <x v="0"/>
    <n v="1700000"/>
  </r>
  <r>
    <d v="2026-06-05T00:00:00"/>
    <x v="2"/>
    <x v="0"/>
    <s v="RESCATE"/>
    <x v="1"/>
    <n v="41000000"/>
    <x v="1"/>
    <x v="0"/>
    <x v="0"/>
    <m/>
    <m/>
    <x v="0"/>
    <n v="-41000000"/>
  </r>
  <r>
    <d v="2026-06-05T00:00:00"/>
    <x v="0"/>
    <x v="0"/>
    <s v="RESCATE"/>
    <x v="1"/>
    <n v="96500000"/>
    <x v="1"/>
    <x v="0"/>
    <x v="0"/>
    <m/>
    <m/>
    <x v="0"/>
    <n v="-96500000"/>
  </r>
  <r>
    <d v="2026-06-05T00:00:00"/>
    <x v="3"/>
    <x v="0"/>
    <s v="RESCATE"/>
    <x v="1"/>
    <n v="208900000"/>
    <x v="1"/>
    <x v="0"/>
    <x v="0"/>
    <m/>
    <m/>
    <x v="0"/>
    <n v="-208900000"/>
  </r>
  <r>
    <d v="2026-06-05T00:00:00"/>
    <x v="4"/>
    <x v="0"/>
    <s v="SUSCRIPCION"/>
    <x v="6"/>
    <n v="11000000"/>
    <x v="5"/>
    <x v="0"/>
    <x v="0"/>
    <m/>
    <m/>
    <x v="0"/>
    <n v="11000000"/>
  </r>
  <r>
    <d v="2026-06-05T00:00:00"/>
    <x v="3"/>
    <x v="0"/>
    <s v="RESCATE"/>
    <x v="22"/>
    <n v="9300000"/>
    <x v="6"/>
    <x v="0"/>
    <x v="0"/>
    <m/>
    <m/>
    <x v="0"/>
    <n v="-9300000"/>
  </r>
  <r>
    <d v="2026-06-07T00:00:00"/>
    <x v="3"/>
    <x v="0"/>
    <s v="RESCATE"/>
    <x v="22"/>
    <n v="397437330.37"/>
    <x v="6"/>
    <x v="0"/>
    <x v="0"/>
    <m/>
    <m/>
    <x v="0"/>
    <n v="-397437330.37"/>
  </r>
  <r>
    <d v="2026-06-07T00:00:00"/>
    <x v="0"/>
    <x v="0"/>
    <s v="RESCATE"/>
    <x v="2"/>
    <n v="278631104.14999998"/>
    <x v="2"/>
    <x v="0"/>
    <x v="0"/>
    <m/>
    <m/>
    <x v="0"/>
    <n v="-278631104.14999998"/>
  </r>
  <r>
    <d v="2026-06-07T00:00:00"/>
    <x v="3"/>
    <x v="0"/>
    <s v="RESCATE"/>
    <x v="22"/>
    <n v="63085527.299999997"/>
    <x v="6"/>
    <x v="0"/>
    <x v="0"/>
    <m/>
    <m/>
    <x v="0"/>
    <n v="-63085527.299999997"/>
  </r>
  <r>
    <d v="2026-06-08T00:00:00"/>
    <x v="3"/>
    <x v="0"/>
    <s v="RESCATE"/>
    <x v="1"/>
    <n v="465000000"/>
    <x v="1"/>
    <x v="0"/>
    <x v="0"/>
    <m/>
    <m/>
    <x v="0"/>
    <n v="-465000000"/>
  </r>
  <r>
    <d v="2026-06-08T00:00:00"/>
    <x v="0"/>
    <x v="0"/>
    <s v="RESCATE"/>
    <x v="1"/>
    <n v="38500000"/>
    <x v="1"/>
    <x v="0"/>
    <x v="0"/>
    <m/>
    <m/>
    <x v="0"/>
    <n v="-38500000"/>
  </r>
  <r>
    <d v="2026-06-08T00:00:00"/>
    <x v="2"/>
    <x v="0"/>
    <s v="RESCATE"/>
    <x v="1"/>
    <n v="109400000"/>
    <x v="1"/>
    <x v="0"/>
    <x v="0"/>
    <m/>
    <m/>
    <x v="0"/>
    <n v="-109400000"/>
  </r>
  <r>
    <d v="2026-06-08T00:00:00"/>
    <x v="1"/>
    <x v="0"/>
    <s v="RESCATE"/>
    <x v="1"/>
    <n v="200000"/>
    <x v="1"/>
    <x v="0"/>
    <x v="0"/>
    <m/>
    <m/>
    <x v="0"/>
    <n v="-200000"/>
  </r>
  <r>
    <d v="2026-06-08T00:00:00"/>
    <x v="3"/>
    <x v="0"/>
    <s v="RESCATE"/>
    <x v="6"/>
    <n v="200000"/>
    <x v="5"/>
    <x v="0"/>
    <x v="0"/>
    <m/>
    <m/>
    <x v="0"/>
    <n v="-200000"/>
  </r>
  <r>
    <d v="2026-06-08T00:00:00"/>
    <x v="3"/>
    <x v="0"/>
    <s v="RESCATE"/>
    <x v="0"/>
    <n v="86022309.290000007"/>
    <x v="0"/>
    <x v="0"/>
    <x v="0"/>
    <m/>
    <m/>
    <x v="0"/>
    <n v="-86022309.290000007"/>
  </r>
  <r>
    <d v="2026-06-08T00:00:00"/>
    <x v="3"/>
    <x v="0"/>
    <s v="RESCATE"/>
    <x v="0"/>
    <n v="76458763.629999995"/>
    <x v="0"/>
    <x v="0"/>
    <x v="0"/>
    <m/>
    <m/>
    <x v="0"/>
    <n v="-76458763.629999995"/>
  </r>
  <r>
    <d v="2026-06-08T00:00:00"/>
    <x v="3"/>
    <x v="0"/>
    <s v="RESCATE"/>
    <x v="2"/>
    <n v="192270839.88999999"/>
    <x v="2"/>
    <x v="0"/>
    <x v="0"/>
    <m/>
    <m/>
    <x v="0"/>
    <n v="-192270839.88999999"/>
  </r>
  <r>
    <d v="2026-06-08T00:00:00"/>
    <x v="3"/>
    <x v="0"/>
    <s v="RESCATE"/>
    <x v="2"/>
    <n v="131891912.45"/>
    <x v="2"/>
    <x v="0"/>
    <x v="0"/>
    <m/>
    <m/>
    <x v="0"/>
    <n v="-131891912.45"/>
  </r>
  <r>
    <d v="2026-06-08T00:00:00"/>
    <x v="0"/>
    <x v="0"/>
    <s v="RESCATE"/>
    <x v="2"/>
    <n v="300000000"/>
    <x v="2"/>
    <x v="0"/>
    <x v="0"/>
    <m/>
    <m/>
    <x v="0"/>
    <n v="-300000000"/>
  </r>
  <r>
    <d v="2026-06-08T00:00:00"/>
    <x v="0"/>
    <x v="0"/>
    <s v="SUSCRIPCION"/>
    <x v="0"/>
    <n v="300000000"/>
    <x v="0"/>
    <x v="0"/>
    <x v="0"/>
    <m/>
    <m/>
    <x v="0"/>
    <n v="300000000"/>
  </r>
  <r>
    <d v="2026-06-08T00:00:00"/>
    <x v="2"/>
    <x v="0"/>
    <s v="RESCATE"/>
    <x v="6"/>
    <n v="80200000"/>
    <x v="5"/>
    <x v="0"/>
    <x v="0"/>
    <m/>
    <m/>
    <x v="0"/>
    <n v="-80200000"/>
  </r>
  <r>
    <d v="2026-06-09T00:00:00"/>
    <x v="2"/>
    <x v="0"/>
    <s v="RESCATE"/>
    <x v="1"/>
    <n v="379000000"/>
    <x v="1"/>
    <x v="0"/>
    <x v="0"/>
    <m/>
    <m/>
    <x v="0"/>
    <n v="-379000000"/>
  </r>
  <r>
    <d v="2026-06-09T00:00:00"/>
    <x v="3"/>
    <x v="0"/>
    <s v="RESCATE"/>
    <x v="1"/>
    <n v="1073400000"/>
    <x v="1"/>
    <x v="0"/>
    <x v="0"/>
    <m/>
    <m/>
    <x v="0"/>
    <n v="-1073400000"/>
  </r>
  <r>
    <d v="2026-06-09T00:00:00"/>
    <x v="0"/>
    <x v="0"/>
    <s v="SUSCRIPCION"/>
    <x v="1"/>
    <n v="271500000"/>
    <x v="1"/>
    <x v="0"/>
    <x v="0"/>
    <m/>
    <m/>
    <x v="0"/>
    <n v="271500000"/>
  </r>
  <r>
    <d v="2026-06-09T00:00:00"/>
    <x v="2"/>
    <x v="0"/>
    <s v="SUSCRIPCION"/>
    <x v="2"/>
    <n v="90800000"/>
    <x v="2"/>
    <x v="0"/>
    <x v="0"/>
    <m/>
    <m/>
    <x v="0"/>
    <n v="90800000"/>
  </r>
  <r>
    <d v="2026-06-09T00:00:00"/>
    <x v="2"/>
    <x v="0"/>
    <s v="RESCATE"/>
    <x v="6"/>
    <n v="400000"/>
    <x v="5"/>
    <x v="0"/>
    <x v="0"/>
    <m/>
    <m/>
    <x v="0"/>
    <n v="-400000"/>
  </r>
  <r>
    <d v="2026-06-10T00:00:00"/>
    <x v="0"/>
    <x v="0"/>
    <s v="RESCATE"/>
    <x v="0"/>
    <n v="759998979.52999997"/>
    <x v="0"/>
    <x v="0"/>
    <x v="0"/>
    <m/>
    <m/>
    <x v="0"/>
    <n v="-759998979.52999997"/>
  </r>
  <r>
    <d v="2026-06-10T00:00:00"/>
    <x v="0"/>
    <x v="0"/>
    <s v="RESCATE"/>
    <x v="0"/>
    <n v="759999388.49000001"/>
    <x v="0"/>
    <x v="0"/>
    <x v="0"/>
    <m/>
    <m/>
    <x v="0"/>
    <n v="-759999388.49000001"/>
  </r>
  <r>
    <d v="2026-06-10T00:00:00"/>
    <x v="3"/>
    <x v="0"/>
    <s v="RESCATE"/>
    <x v="1"/>
    <n v="334600000"/>
    <x v="1"/>
    <x v="0"/>
    <x v="0"/>
    <m/>
    <m/>
    <x v="0"/>
    <n v="-334600000"/>
  </r>
  <r>
    <d v="2026-06-10T00:00:00"/>
    <x v="1"/>
    <x v="0"/>
    <s v="SUSCRIPCION"/>
    <x v="1"/>
    <n v="335100000"/>
    <x v="1"/>
    <x v="0"/>
    <x v="0"/>
    <m/>
    <m/>
    <x v="0"/>
    <n v="335100000"/>
  </r>
  <r>
    <d v="2026-06-10T00:00:00"/>
    <x v="2"/>
    <x v="0"/>
    <s v="SUSCRIPCION"/>
    <x v="1"/>
    <n v="102500000"/>
    <x v="1"/>
    <x v="0"/>
    <x v="0"/>
    <m/>
    <m/>
    <x v="0"/>
    <n v="102500000"/>
  </r>
  <r>
    <d v="2026-06-10T00:00:00"/>
    <x v="0"/>
    <x v="0"/>
    <s v="SUSCRIPCION"/>
    <x v="1"/>
    <n v="69200000"/>
    <x v="1"/>
    <x v="0"/>
    <x v="0"/>
    <m/>
    <m/>
    <x v="0"/>
    <n v="69200000"/>
  </r>
  <r>
    <d v="2026-06-10T00:00:00"/>
    <x v="0"/>
    <x v="0"/>
    <s v="SUSCRIPCION"/>
    <x v="5"/>
    <n v="691462655.96000004"/>
    <x v="4"/>
    <x v="0"/>
    <x v="0"/>
    <m/>
    <m/>
    <x v="0"/>
    <n v="691462655.96000004"/>
  </r>
  <r>
    <d v="2026-06-10T00:00:00"/>
    <x v="3"/>
    <x v="0"/>
    <s v="RESCATE"/>
    <x v="2"/>
    <n v="559999505.86000001"/>
    <x v="2"/>
    <x v="0"/>
    <x v="0"/>
    <m/>
    <m/>
    <x v="0"/>
    <n v="-559999505.86000001"/>
  </r>
  <r>
    <d v="2026-06-10T00:00:00"/>
    <x v="3"/>
    <x v="0"/>
    <s v="RESCATE"/>
    <x v="2"/>
    <n v="49399053.380000003"/>
    <x v="2"/>
    <x v="0"/>
    <x v="0"/>
    <m/>
    <m/>
    <x v="0"/>
    <n v="-49399053.380000003"/>
  </r>
  <r>
    <d v="2026-06-10T00:00:00"/>
    <x v="0"/>
    <x v="0"/>
    <s v="RESCATE"/>
    <x v="0"/>
    <n v="1511499239.1099999"/>
    <x v="0"/>
    <x v="0"/>
    <x v="0"/>
    <m/>
    <m/>
    <x v="0"/>
    <n v="-1511499239.1099999"/>
  </r>
  <r>
    <d v="2026-06-11T00:00:00"/>
    <x v="3"/>
    <x v="0"/>
    <s v="RESCATE"/>
    <x v="1"/>
    <n v="133000000"/>
    <x v="1"/>
    <x v="0"/>
    <x v="0"/>
    <m/>
    <m/>
    <x v="0"/>
    <n v="-133000000"/>
  </r>
  <r>
    <d v="2026-06-11T00:00:00"/>
    <x v="0"/>
    <x v="0"/>
    <s v="RESCATE"/>
    <x v="1"/>
    <n v="88100000"/>
    <x v="1"/>
    <x v="0"/>
    <x v="0"/>
    <m/>
    <m/>
    <x v="0"/>
    <n v="-88100000"/>
  </r>
  <r>
    <d v="2026-06-11T00:00:00"/>
    <x v="2"/>
    <x v="0"/>
    <s v="RESCATE"/>
    <x v="1"/>
    <n v="117600000"/>
    <x v="1"/>
    <x v="0"/>
    <x v="0"/>
    <m/>
    <m/>
    <x v="0"/>
    <n v="-117600000"/>
  </r>
  <r>
    <d v="2026-06-11T00:00:00"/>
    <x v="1"/>
    <x v="0"/>
    <s v="RESCATE"/>
    <x v="1"/>
    <n v="4700000"/>
    <x v="1"/>
    <x v="0"/>
    <x v="0"/>
    <m/>
    <m/>
    <x v="0"/>
    <n v="-4700000"/>
  </r>
  <r>
    <d v="2026-06-11T00:00:00"/>
    <x v="4"/>
    <x v="0"/>
    <s v="RESCATE"/>
    <x v="6"/>
    <n v="11000000"/>
    <x v="5"/>
    <x v="0"/>
    <x v="0"/>
    <m/>
    <m/>
    <x v="0"/>
    <n v="-11000000"/>
  </r>
  <r>
    <d v="2026-06-11T00:00:00"/>
    <x v="0"/>
    <x v="0"/>
    <s v="RESCATE"/>
    <x v="6"/>
    <n v="29600000"/>
    <x v="5"/>
    <x v="0"/>
    <x v="0"/>
    <m/>
    <m/>
    <x v="0"/>
    <n v="-29600000"/>
  </r>
  <r>
    <d v="2026-06-12T00:00:00"/>
    <x v="3"/>
    <x v="0"/>
    <s v="RESCATE"/>
    <x v="2"/>
    <n v="696100000"/>
    <x v="2"/>
    <x v="0"/>
    <x v="0"/>
    <m/>
    <m/>
    <x v="0"/>
    <n v="-696100000"/>
  </r>
  <r>
    <d v="2026-06-12T00:00:00"/>
    <x v="0"/>
    <x v="0"/>
    <s v="RESCATE"/>
    <x v="1"/>
    <n v="2100000"/>
    <x v="1"/>
    <x v="0"/>
    <x v="0"/>
    <m/>
    <m/>
    <x v="0"/>
    <n v="-2100000"/>
  </r>
  <r>
    <d v="2026-06-12T00:00:00"/>
    <x v="2"/>
    <x v="0"/>
    <s v="SUSCRIPCION"/>
    <x v="1"/>
    <n v="23300000"/>
    <x v="1"/>
    <x v="0"/>
    <x v="0"/>
    <m/>
    <m/>
    <x v="0"/>
    <n v="23300000"/>
  </r>
  <r>
    <d v="2026-06-12T00:00:00"/>
    <x v="1"/>
    <x v="0"/>
    <s v="SUSCRIPCION"/>
    <x v="1"/>
    <n v="6700000"/>
    <x v="1"/>
    <x v="0"/>
    <x v="0"/>
    <m/>
    <m/>
    <x v="0"/>
    <n v="6700000"/>
  </r>
  <r>
    <d v="2026-06-16T00:00:00"/>
    <x v="1"/>
    <x v="0"/>
    <s v="RESCATE"/>
    <x v="1"/>
    <n v="4000000"/>
    <x v="1"/>
    <x v="0"/>
    <x v="0"/>
    <m/>
    <m/>
    <x v="0"/>
    <n v="-4000000"/>
  </r>
  <r>
    <d v="2026-06-16T00:00:00"/>
    <x v="3"/>
    <x v="0"/>
    <s v="RESCATE"/>
    <x v="1"/>
    <n v="500000000"/>
    <x v="1"/>
    <x v="0"/>
    <x v="0"/>
    <m/>
    <m/>
    <x v="0"/>
    <n v="-500000000"/>
  </r>
  <r>
    <d v="2026-06-16T00:00:00"/>
    <x v="3"/>
    <x v="0"/>
    <s v="RESCATE"/>
    <x v="6"/>
    <n v="280000000"/>
    <x v="5"/>
    <x v="0"/>
    <x v="0"/>
    <m/>
    <m/>
    <x v="0"/>
    <n v="-280000000"/>
  </r>
  <r>
    <d v="2026-06-16T00:00:00"/>
    <x v="0"/>
    <x v="0"/>
    <s v="SUSCRIPCION"/>
    <x v="1"/>
    <n v="256000000"/>
    <x v="1"/>
    <x v="0"/>
    <x v="0"/>
    <m/>
    <m/>
    <x v="0"/>
    <n v="256000000"/>
  </r>
  <r>
    <d v="2026-06-16T00:00:00"/>
    <x v="2"/>
    <x v="0"/>
    <s v="SUSCRIPCION"/>
    <x v="1"/>
    <n v="40500000"/>
    <x v="1"/>
    <x v="0"/>
    <x v="0"/>
    <m/>
    <m/>
    <x v="0"/>
    <n v="40500000"/>
  </r>
  <r>
    <d v="2026-06-17T00:00:00"/>
    <x v="1"/>
    <x v="0"/>
    <s v="RESCATE"/>
    <x v="1"/>
    <n v="200000"/>
    <x v="1"/>
    <x v="0"/>
    <x v="0"/>
    <m/>
    <m/>
    <x v="0"/>
    <n v="-200000"/>
  </r>
  <r>
    <d v="2026-06-17T00:00:00"/>
    <x v="0"/>
    <x v="0"/>
    <s v="RESCATE"/>
    <x v="1"/>
    <n v="30100000"/>
    <x v="1"/>
    <x v="0"/>
    <x v="0"/>
    <m/>
    <m/>
    <x v="0"/>
    <n v="-30100000"/>
  </r>
  <r>
    <d v="2026-06-17T00:00:00"/>
    <x v="2"/>
    <x v="0"/>
    <s v="SUSCRIPCION"/>
    <x v="1"/>
    <n v="61400000"/>
    <x v="1"/>
    <x v="0"/>
    <x v="0"/>
    <m/>
    <m/>
    <x v="0"/>
    <n v="61400000"/>
  </r>
  <r>
    <d v="2026-06-17T00:00:00"/>
    <x v="3"/>
    <x v="0"/>
    <s v="SUSCRIPCION"/>
    <x v="6"/>
    <n v="9356800000"/>
    <x v="5"/>
    <x v="0"/>
    <x v="0"/>
    <m/>
    <m/>
    <x v="0"/>
    <n v="9356800000"/>
  </r>
  <r>
    <d v="2026-06-17T00:00:00"/>
    <x v="3"/>
    <x v="0"/>
    <s v="RESCATE"/>
    <x v="2"/>
    <n v="63029840.130000003"/>
    <x v="2"/>
    <x v="0"/>
    <x v="0"/>
    <m/>
    <m/>
    <x v="0"/>
    <n v="-63029840.130000003"/>
  </r>
  <r>
    <d v="2026-06-17T00:00:00"/>
    <x v="3"/>
    <x v="0"/>
    <s v="RESCATE"/>
    <x v="2"/>
    <n v="55942343.399999999"/>
    <x v="2"/>
    <x v="0"/>
    <x v="0"/>
    <m/>
    <m/>
    <x v="0"/>
    <n v="-55942343.399999999"/>
  </r>
  <r>
    <d v="2026-06-17T00:00:00"/>
    <x v="3"/>
    <x v="0"/>
    <s v="RESCATE"/>
    <x v="22"/>
    <n v="226903966.38"/>
    <x v="6"/>
    <x v="0"/>
    <x v="0"/>
    <m/>
    <m/>
    <x v="0"/>
    <n v="-226903966.38"/>
  </r>
  <r>
    <d v="2026-06-17T00:00:00"/>
    <x v="3"/>
    <x v="0"/>
    <s v="SUSCRIPCION"/>
    <x v="2"/>
    <n v="204121426.59999999"/>
    <x v="2"/>
    <x v="0"/>
    <x v="0"/>
    <m/>
    <m/>
    <x v="0"/>
    <n v="204121426.59999999"/>
  </r>
  <r>
    <d v="2026-06-17T00:00:00"/>
    <x v="3"/>
    <x v="0"/>
    <s v="SUSCRIPCION"/>
    <x v="0"/>
    <n v="6585704.7300000004"/>
    <x v="0"/>
    <x v="0"/>
    <x v="0"/>
    <m/>
    <m/>
    <x v="0"/>
    <n v="6585704.7300000004"/>
  </r>
  <r>
    <d v="2026-06-17T00:00:00"/>
    <x v="3"/>
    <x v="0"/>
    <s v="SUSCRIPCION"/>
    <x v="12"/>
    <n v="6658616.6399999997"/>
    <x v="9"/>
    <x v="0"/>
    <x v="0"/>
    <m/>
    <m/>
    <x v="0"/>
    <n v="6658616.6399999997"/>
  </r>
  <r>
    <d v="2026-06-17T00:00:00"/>
    <x v="3"/>
    <x v="0"/>
    <s v="SUSCRIPCION"/>
    <x v="15"/>
    <n v="6449491.4800000004"/>
    <x v="12"/>
    <x v="0"/>
    <x v="0"/>
    <m/>
    <m/>
    <x v="0"/>
    <n v="6449491.4800000004"/>
  </r>
  <r>
    <d v="2026-06-17T00:00:00"/>
    <x v="3"/>
    <x v="0"/>
    <s v="SUSCRIPCION"/>
    <x v="13"/>
    <n v="318471.02"/>
    <x v="10"/>
    <x v="0"/>
    <x v="0"/>
    <m/>
    <m/>
    <x v="0"/>
    <n v="318471.02"/>
  </r>
  <r>
    <d v="2026-06-17T00:00:00"/>
    <x v="3"/>
    <x v="0"/>
    <s v="SUSCRIPCION"/>
    <x v="20"/>
    <n v="2986574"/>
    <x v="15"/>
    <x v="0"/>
    <x v="0"/>
    <m/>
    <m/>
    <x v="0"/>
    <n v="2986574"/>
  </r>
  <r>
    <d v="2026-06-17T00:00:00"/>
    <x v="3"/>
    <x v="0"/>
    <s v="SUSCRIPCION"/>
    <x v="5"/>
    <n v="9901660.5600000005"/>
    <x v="4"/>
    <x v="0"/>
    <x v="0"/>
    <m/>
    <m/>
    <x v="0"/>
    <n v="9901660.5600000005"/>
  </r>
  <r>
    <d v="2026-06-17T00:00:00"/>
    <x v="2"/>
    <x v="0"/>
    <s v="SUSCRIPCION"/>
    <x v="1"/>
    <n v="4048034"/>
    <x v="1"/>
    <x v="0"/>
    <x v="0"/>
    <m/>
    <m/>
    <x v="0"/>
    <n v="4048034"/>
  </r>
  <r>
    <d v="2026-06-17T00:00:00"/>
    <x v="2"/>
    <x v="0"/>
    <s v="SUSCRIPCION"/>
    <x v="0"/>
    <n v="4605343.97"/>
    <x v="0"/>
    <x v="0"/>
    <x v="0"/>
    <m/>
    <m/>
    <x v="0"/>
    <n v="4605343.97"/>
  </r>
  <r>
    <d v="2026-06-17T00:00:00"/>
    <x v="2"/>
    <x v="0"/>
    <s v="SUSCRIPCION"/>
    <x v="2"/>
    <n v="2253773.64"/>
    <x v="2"/>
    <x v="0"/>
    <x v="0"/>
    <m/>
    <m/>
    <x v="0"/>
    <n v="2253773.64"/>
  </r>
  <r>
    <d v="2026-06-17T00:00:00"/>
    <x v="0"/>
    <x v="0"/>
    <s v="SUSCRIPCION"/>
    <x v="2"/>
    <n v="5069581.72"/>
    <x v="2"/>
    <x v="0"/>
    <x v="0"/>
    <m/>
    <m/>
    <x v="0"/>
    <n v="5069581.72"/>
  </r>
  <r>
    <d v="2026-06-17T00:00:00"/>
    <x v="0"/>
    <x v="0"/>
    <s v="SUSCRIPCION"/>
    <x v="0"/>
    <n v="11464330.050000001"/>
    <x v="0"/>
    <x v="0"/>
    <x v="0"/>
    <m/>
    <m/>
    <x v="0"/>
    <n v="11464330.050000001"/>
  </r>
  <r>
    <d v="2026-06-17T00:00:00"/>
    <x v="0"/>
    <x v="0"/>
    <s v="SUSCRIPCION"/>
    <x v="5"/>
    <n v="2509029.35"/>
    <x v="4"/>
    <x v="0"/>
    <x v="0"/>
    <m/>
    <m/>
    <x v="0"/>
    <n v="2509029.35"/>
  </r>
  <r>
    <d v="2026-06-17T00:00:00"/>
    <x v="0"/>
    <x v="0"/>
    <s v="SUSCRIPCION"/>
    <x v="6"/>
    <n v="961910.18"/>
    <x v="5"/>
    <x v="0"/>
    <x v="0"/>
    <m/>
    <m/>
    <x v="0"/>
    <n v="961910.18"/>
  </r>
  <r>
    <d v="2026-06-17T00:00:00"/>
    <x v="0"/>
    <x v="0"/>
    <s v="SUSCRIPCION"/>
    <x v="1"/>
    <n v="1895550"/>
    <x v="1"/>
    <x v="0"/>
    <x v="0"/>
    <m/>
    <m/>
    <x v="0"/>
    <n v="1895550"/>
  </r>
  <r>
    <d v="2026-06-17T00:00:00"/>
    <x v="1"/>
    <x v="0"/>
    <s v="SUSCRIPCION"/>
    <x v="1"/>
    <n v="4736896"/>
    <x v="1"/>
    <x v="0"/>
    <x v="0"/>
    <m/>
    <m/>
    <x v="0"/>
    <n v="4736896"/>
  </r>
  <r>
    <d v="2026-06-18T00:00:00"/>
    <x v="3"/>
    <x v="0"/>
    <s v="RESCATE"/>
    <x v="22"/>
    <n v="91057213.989999995"/>
    <x v="6"/>
    <x v="0"/>
    <x v="0"/>
    <m/>
    <m/>
    <x v="0"/>
    <n v="-91057213.989999995"/>
  </r>
  <r>
    <d v="2026-06-18T00:00:00"/>
    <x v="0"/>
    <x v="0"/>
    <s v="RESCATE"/>
    <x v="5"/>
    <n v="92505941.689999998"/>
    <x v="4"/>
    <x v="0"/>
    <x v="0"/>
    <m/>
    <m/>
    <x v="0"/>
    <n v="-92505941.689999998"/>
  </r>
  <r>
    <d v="2026-06-18T00:00:00"/>
    <x v="2"/>
    <x v="0"/>
    <s v="SUSCRIPCION"/>
    <x v="22"/>
    <n v="55470277.479999997"/>
    <x v="6"/>
    <x v="0"/>
    <x v="0"/>
    <m/>
    <m/>
    <x v="0"/>
    <n v="55470277.479999997"/>
  </r>
  <r>
    <d v="2026-06-18T00:00:00"/>
    <x v="2"/>
    <x v="0"/>
    <s v="RESCATE"/>
    <x v="1"/>
    <n v="120200000"/>
    <x v="1"/>
    <x v="0"/>
    <x v="0"/>
    <m/>
    <m/>
    <x v="0"/>
    <n v="-120200000"/>
  </r>
  <r>
    <d v="2026-06-18T00:00:00"/>
    <x v="1"/>
    <x v="0"/>
    <s v="RESCATE"/>
    <x v="1"/>
    <n v="19300000"/>
    <x v="1"/>
    <x v="0"/>
    <x v="0"/>
    <m/>
    <m/>
    <x v="0"/>
    <n v="-19300000"/>
  </r>
  <r>
    <d v="2026-06-18T00:00:00"/>
    <x v="3"/>
    <x v="0"/>
    <s v="RESCATE"/>
    <x v="6"/>
    <n v="1643700000"/>
    <x v="5"/>
    <x v="0"/>
    <x v="0"/>
    <m/>
    <m/>
    <x v="0"/>
    <n v="-1643700000"/>
  </r>
  <r>
    <d v="2026-06-18T00:00:00"/>
    <x v="0"/>
    <x v="0"/>
    <s v="SUSCRIPCION"/>
    <x v="6"/>
    <n v="2802900000"/>
    <x v="5"/>
    <x v="0"/>
    <x v="0"/>
    <m/>
    <m/>
    <x v="0"/>
    <n v="2802900000"/>
  </r>
  <r>
    <d v="2026-06-19T00:00:00"/>
    <x v="1"/>
    <x v="0"/>
    <s v="RESCATE"/>
    <x v="1"/>
    <n v="18500000"/>
    <x v="1"/>
    <x v="0"/>
    <x v="0"/>
    <m/>
    <m/>
    <x v="0"/>
    <n v="-18500000"/>
  </r>
  <r>
    <d v="2026-06-19T00:00:00"/>
    <x v="2"/>
    <x v="0"/>
    <s v="RESCATE"/>
    <x v="6"/>
    <n v="150000000"/>
    <x v="5"/>
    <x v="0"/>
    <x v="0"/>
    <m/>
    <m/>
    <x v="0"/>
    <n v="-150000000"/>
  </r>
  <r>
    <d v="2026-06-19T00:00:00"/>
    <x v="2"/>
    <x v="0"/>
    <s v="RESCATE"/>
    <x v="1"/>
    <n v="197300000"/>
    <x v="1"/>
    <x v="0"/>
    <x v="0"/>
    <m/>
    <m/>
    <x v="0"/>
    <n v="-197300000"/>
  </r>
  <r>
    <d v="2026-06-19T00:00:00"/>
    <x v="0"/>
    <x v="0"/>
    <s v="RESCATE"/>
    <x v="6"/>
    <n v="87100000"/>
    <x v="5"/>
    <x v="0"/>
    <x v="0"/>
    <m/>
    <m/>
    <x v="0"/>
    <n v="-87100000"/>
  </r>
  <r>
    <d v="2026-06-19T00:00:00"/>
    <x v="3"/>
    <x v="0"/>
    <s v="RESCATE"/>
    <x v="6"/>
    <n v="1408400000"/>
    <x v="5"/>
    <x v="0"/>
    <x v="0"/>
    <m/>
    <m/>
    <x v="0"/>
    <n v="-1408400000"/>
  </r>
  <r>
    <d v="2026-06-19T00:00:00"/>
    <x v="2"/>
    <x v="0"/>
    <s v="RESCATE"/>
    <x v="1"/>
    <n v="21000000"/>
    <x v="1"/>
    <x v="0"/>
    <x v="0"/>
    <m/>
    <m/>
    <x v="0"/>
    <n v="-21000000"/>
  </r>
  <r>
    <d v="2026-06-22T00:00:00"/>
    <x v="1"/>
    <x v="0"/>
    <s v="RESCATE"/>
    <x v="1"/>
    <n v="15800000"/>
    <x v="1"/>
    <x v="0"/>
    <x v="0"/>
    <m/>
    <m/>
    <x v="0"/>
    <n v="-15800000"/>
  </r>
  <r>
    <d v="2026-06-22T00:00:00"/>
    <x v="0"/>
    <x v="0"/>
    <s v="RESCATE"/>
    <x v="1"/>
    <n v="67300000"/>
    <x v="1"/>
    <x v="0"/>
    <x v="0"/>
    <m/>
    <m/>
    <x v="0"/>
    <n v="-67300000"/>
  </r>
  <r>
    <d v="2026-06-22T00:00:00"/>
    <x v="3"/>
    <x v="0"/>
    <s v="RESCATE"/>
    <x v="6"/>
    <n v="304100000"/>
    <x v="5"/>
    <x v="0"/>
    <x v="0"/>
    <m/>
    <m/>
    <x v="0"/>
    <n v="-304100000"/>
  </r>
  <r>
    <d v="2026-06-22T00:00:00"/>
    <x v="2"/>
    <x v="0"/>
    <s v="SUSCRIPCION"/>
    <x v="1"/>
    <n v="14100000"/>
    <x v="1"/>
    <x v="0"/>
    <x v="0"/>
    <m/>
    <m/>
    <x v="0"/>
    <n v="14100000"/>
  </r>
  <r>
    <d v="2026-06-23T00:00:00"/>
    <x v="0"/>
    <x v="0"/>
    <s v="SUSCRIPCION"/>
    <x v="0"/>
    <n v="1707594052"/>
    <x v="0"/>
    <x v="0"/>
    <x v="0"/>
    <m/>
    <m/>
    <x v="0"/>
    <n v="1707594052"/>
  </r>
  <r>
    <d v="2026-06-23T00:00:00"/>
    <x v="3"/>
    <x v="0"/>
    <s v="RESCATE"/>
    <x v="22"/>
    <n v="78818100"/>
    <x v="6"/>
    <x v="0"/>
    <x v="0"/>
    <m/>
    <m/>
    <x v="0"/>
    <n v="-78818100"/>
  </r>
  <r>
    <d v="2026-06-23T00:00:00"/>
    <x v="3"/>
    <x v="0"/>
    <s v="RESCATE"/>
    <x v="22"/>
    <n v="307518300"/>
    <x v="6"/>
    <x v="0"/>
    <x v="0"/>
    <m/>
    <m/>
    <x v="0"/>
    <n v="-307518300"/>
  </r>
  <r>
    <d v="2026-06-23T00:00:00"/>
    <x v="1"/>
    <x v="0"/>
    <s v="RESCATE"/>
    <x v="1"/>
    <n v="5900000"/>
    <x v="1"/>
    <x v="0"/>
    <x v="0"/>
    <m/>
    <m/>
    <x v="0"/>
    <n v="-5900000"/>
  </r>
  <r>
    <d v="2026-06-23T00:00:00"/>
    <x v="0"/>
    <x v="0"/>
    <s v="RESCATE"/>
    <x v="6"/>
    <n v="550400000"/>
    <x v="5"/>
    <x v="0"/>
    <x v="0"/>
    <m/>
    <m/>
    <x v="0"/>
    <n v="-550400000"/>
  </r>
  <r>
    <d v="2026-06-23T00:00:00"/>
    <x v="2"/>
    <x v="0"/>
    <s v="SUSCRIPCION"/>
    <x v="1"/>
    <n v="85500000"/>
    <x v="1"/>
    <x v="0"/>
    <x v="0"/>
    <m/>
    <m/>
    <x v="0"/>
    <n v="85500000"/>
  </r>
  <r>
    <d v="2026-06-24T00:00:00"/>
    <x v="2"/>
    <x v="0"/>
    <s v="RESCATE"/>
    <x v="1"/>
    <n v="13800000"/>
    <x v="1"/>
    <x v="0"/>
    <x v="0"/>
    <m/>
    <m/>
    <x v="0"/>
    <n v="-13800000"/>
  </r>
  <r>
    <d v="2026-06-24T00:00:00"/>
    <x v="3"/>
    <x v="0"/>
    <s v="RESCATE"/>
    <x v="6"/>
    <n v="130700000"/>
    <x v="5"/>
    <x v="0"/>
    <x v="0"/>
    <m/>
    <m/>
    <x v="0"/>
    <n v="-130700000"/>
  </r>
  <r>
    <d v="2026-06-24T00:00:00"/>
    <x v="0"/>
    <x v="0"/>
    <s v="SUSCRIPCION"/>
    <x v="1"/>
    <n v="81800000"/>
    <x v="1"/>
    <x v="0"/>
    <x v="0"/>
    <m/>
    <m/>
    <x v="0"/>
    <n v="81800000"/>
  </r>
  <r>
    <d v="2026-06-24T00:00:00"/>
    <x v="3"/>
    <x v="0"/>
    <s v="RESCATE"/>
    <x v="2"/>
    <n v="541619911.69000006"/>
    <x v="2"/>
    <x v="0"/>
    <x v="0"/>
    <m/>
    <m/>
    <x v="0"/>
    <n v="-541619911.69000006"/>
  </r>
  <r>
    <d v="2026-06-24T00:00:00"/>
    <x v="3"/>
    <x v="0"/>
    <s v="RESCATE"/>
    <x v="2"/>
    <n v="172538371.00999999"/>
    <x v="2"/>
    <x v="0"/>
    <x v="0"/>
    <m/>
    <m/>
    <x v="0"/>
    <n v="-172538371.00999999"/>
  </r>
  <r>
    <d v="2026-06-24T00:00:00"/>
    <x v="3"/>
    <x v="0"/>
    <s v="RESCATE"/>
    <x v="0"/>
    <n v="64750185.159999996"/>
    <x v="0"/>
    <x v="0"/>
    <x v="0"/>
    <m/>
    <m/>
    <x v="0"/>
    <n v="-64750185.159999996"/>
  </r>
  <r>
    <d v="2026-06-25T00:00:00"/>
    <x v="3"/>
    <x v="0"/>
    <s v="RESCATE"/>
    <x v="6"/>
    <n v="280000000"/>
    <x v="5"/>
    <x v="0"/>
    <x v="0"/>
    <m/>
    <m/>
    <x v="0"/>
    <n v="-280000000"/>
  </r>
  <r>
    <d v="2026-06-25T00:00:00"/>
    <x v="0"/>
    <x v="0"/>
    <s v="RESCATE"/>
    <x v="6"/>
    <n v="2000000000"/>
    <x v="5"/>
    <x v="0"/>
    <x v="0"/>
    <m/>
    <m/>
    <x v="0"/>
    <n v="-2000000000"/>
  </r>
  <r>
    <d v="2026-06-25T00:00:00"/>
    <x v="2"/>
    <x v="0"/>
    <s v="RESCATE"/>
    <x v="1"/>
    <n v="58500000"/>
    <x v="1"/>
    <x v="0"/>
    <x v="0"/>
    <m/>
    <m/>
    <x v="0"/>
    <n v="-58500000"/>
  </r>
  <r>
    <d v="2026-06-25T00:00:00"/>
    <x v="3"/>
    <x v="0"/>
    <s v="SUSCRIPCION"/>
    <x v="6"/>
    <n v="4200000000"/>
    <x v="5"/>
    <x v="0"/>
    <x v="0"/>
    <m/>
    <m/>
    <x v="0"/>
    <n v="4200000000"/>
  </r>
  <r>
    <d v="2026-06-25T00:00:00"/>
    <x v="0"/>
    <x v="0"/>
    <s v="SUSCRIPCION"/>
    <x v="1"/>
    <n v="93700000"/>
    <x v="1"/>
    <x v="0"/>
    <x v="0"/>
    <m/>
    <m/>
    <x v="0"/>
    <n v="93700000"/>
  </r>
  <r>
    <d v="2026-06-26T00:00:00"/>
    <x v="3"/>
    <x v="0"/>
    <s v="RESCATE"/>
    <x v="22"/>
    <n v="168987766.36000001"/>
    <x v="6"/>
    <x v="0"/>
    <x v="0"/>
    <m/>
    <m/>
    <x v="0"/>
    <n v="-168987766.36000001"/>
  </r>
  <r>
    <d v="2026-06-26T00:00:00"/>
    <x v="3"/>
    <x v="0"/>
    <s v="RESCATE"/>
    <x v="2"/>
    <n v="51398433.780000001"/>
    <x v="2"/>
    <x v="0"/>
    <x v="0"/>
    <m/>
    <m/>
    <x v="0"/>
    <n v="-51398433.780000001"/>
  </r>
  <r>
    <d v="2026-06-26T00:00:00"/>
    <x v="3"/>
    <x v="0"/>
    <s v="RESCATE"/>
    <x v="2"/>
    <n v="60088215.990000002"/>
    <x v="2"/>
    <x v="0"/>
    <x v="0"/>
    <m/>
    <m/>
    <x v="0"/>
    <n v="-60088215.990000002"/>
  </r>
  <r>
    <d v="2026-06-26T00:00:00"/>
    <x v="2"/>
    <x v="0"/>
    <s v="RESCATE"/>
    <x v="2"/>
    <n v="79113005.560000002"/>
    <x v="2"/>
    <x v="0"/>
    <x v="0"/>
    <m/>
    <m/>
    <x v="0"/>
    <n v="-79113005.560000002"/>
  </r>
  <r>
    <d v="2026-06-26T00:00:00"/>
    <x v="2"/>
    <x v="0"/>
    <s v="RESCATE"/>
    <x v="0"/>
    <n v="300000000"/>
    <x v="0"/>
    <x v="0"/>
    <x v="0"/>
    <m/>
    <m/>
    <x v="0"/>
    <n v="-300000000"/>
  </r>
  <r>
    <d v="2026-06-26T00:00:00"/>
    <x v="2"/>
    <x v="0"/>
    <s v="RESCATE"/>
    <x v="1"/>
    <n v="22600000"/>
    <x v="1"/>
    <x v="0"/>
    <x v="0"/>
    <m/>
    <m/>
    <x v="0"/>
    <n v="-22600000"/>
  </r>
  <r>
    <d v="2026-06-26T00:00:00"/>
    <x v="0"/>
    <x v="0"/>
    <s v="RESCATE"/>
    <x v="1"/>
    <n v="139000000"/>
    <x v="1"/>
    <x v="0"/>
    <x v="0"/>
    <m/>
    <m/>
    <x v="0"/>
    <n v="-139000000"/>
  </r>
  <r>
    <d v="2026-06-26T00:00:00"/>
    <x v="3"/>
    <x v="0"/>
    <s v="RESCATE"/>
    <x v="6"/>
    <n v="47100000"/>
    <x v="5"/>
    <x v="0"/>
    <x v="0"/>
    <m/>
    <m/>
    <x v="0"/>
    <n v="-47100000"/>
  </r>
  <r>
    <d v="2026-06-26T00:00:00"/>
    <x v="2"/>
    <x v="0"/>
    <s v="RESCATE"/>
    <x v="22"/>
    <n v="57100000"/>
    <x v="6"/>
    <x v="0"/>
    <x v="0"/>
    <m/>
    <m/>
    <x v="0"/>
    <n v="-57100000"/>
  </r>
  <r>
    <d v="2026-06-26T00:00:00"/>
    <x v="2"/>
    <x v="0"/>
    <s v="RESCATE"/>
    <x v="22"/>
    <n v="60100000"/>
    <x v="6"/>
    <x v="0"/>
    <x v="0"/>
    <m/>
    <m/>
    <x v="0"/>
    <n v="-60100000"/>
  </r>
  <r>
    <d v="2026-06-29T00:00:00"/>
    <x v="0"/>
    <x v="0"/>
    <s v="RESCATE"/>
    <x v="1"/>
    <n v="55300000"/>
    <x v="1"/>
    <x v="0"/>
    <x v="0"/>
    <m/>
    <m/>
    <x v="0"/>
    <n v="-55300000"/>
  </r>
  <r>
    <d v="2026-06-29T00:00:00"/>
    <x v="3"/>
    <x v="0"/>
    <s v="RESCATE"/>
    <x v="6"/>
    <n v="337400000"/>
    <x v="5"/>
    <x v="0"/>
    <x v="0"/>
    <m/>
    <m/>
    <x v="0"/>
    <n v="-337400000"/>
  </r>
  <r>
    <d v="2026-06-29T00:00:00"/>
    <x v="2"/>
    <x v="0"/>
    <s v="SUSCRIPCION"/>
    <x v="1"/>
    <n v="380700000"/>
    <x v="1"/>
    <x v="0"/>
    <x v="0"/>
    <m/>
    <m/>
    <x v="0"/>
    <n v="380700000"/>
  </r>
  <r>
    <d v="2026-06-29T00:00:00"/>
    <x v="3"/>
    <x v="0"/>
    <s v="RESCATE"/>
    <x v="2"/>
    <n v="1270654442.55"/>
    <x v="2"/>
    <x v="0"/>
    <x v="0"/>
    <m/>
    <m/>
    <x v="0"/>
    <n v="-1270654442.55"/>
  </r>
  <r>
    <d v="2026-06-29T00:00:00"/>
    <x v="2"/>
    <x v="0"/>
    <s v="RESCATE"/>
    <x v="2"/>
    <n v="100627005.54000001"/>
    <x v="2"/>
    <x v="0"/>
    <x v="0"/>
    <m/>
    <m/>
    <x v="0"/>
    <n v="-100627005.54000001"/>
  </r>
  <r>
    <d v="2026-06-29T00:00:00"/>
    <x v="0"/>
    <x v="0"/>
    <s v="RESCATE"/>
    <x v="2"/>
    <n v="3801952.23"/>
    <x v="2"/>
    <x v="0"/>
    <x v="0"/>
    <m/>
    <m/>
    <x v="0"/>
    <n v="-3801952.23"/>
  </r>
  <r>
    <d v="2026-06-29T00:00:00"/>
    <x v="0"/>
    <x v="0"/>
    <s v="RESCATE"/>
    <x v="6"/>
    <n v="400000"/>
    <x v="5"/>
    <x v="0"/>
    <x v="0"/>
    <m/>
    <m/>
    <x v="0"/>
    <n v="-400000"/>
  </r>
  <r>
    <d v="2026-06-30T00:00:00"/>
    <x v="0"/>
    <x v="0"/>
    <s v="SUSCRIPCION"/>
    <x v="2"/>
    <n v="1590538321"/>
    <x v="2"/>
    <x v="0"/>
    <x v="0"/>
    <m/>
    <m/>
    <x v="0"/>
    <n v="1590538321"/>
  </r>
  <r>
    <d v="2026-06-30T00:00:00"/>
    <x v="3"/>
    <x v="0"/>
    <s v="RESCATE"/>
    <x v="2"/>
    <n v="88910527.659999996"/>
    <x v="2"/>
    <x v="0"/>
    <x v="0"/>
    <m/>
    <m/>
    <x v="0"/>
    <n v="-88910527.659999996"/>
  </r>
  <r>
    <d v="2026-06-30T00:00:00"/>
    <x v="3"/>
    <x v="0"/>
    <s v="RESCATE"/>
    <x v="2"/>
    <n v="110689963.09999999"/>
    <x v="2"/>
    <x v="0"/>
    <x v="0"/>
    <m/>
    <m/>
    <x v="0"/>
    <n v="-110689963.09999999"/>
  </r>
  <r>
    <d v="2026-06-30T00:00:00"/>
    <x v="3"/>
    <x v="0"/>
    <s v="RESCATE"/>
    <x v="0"/>
    <n v="58790288.82"/>
    <x v="0"/>
    <x v="0"/>
    <x v="0"/>
    <m/>
    <m/>
    <x v="0"/>
    <n v="-58790288.82"/>
  </r>
  <r>
    <d v="2026-06-30T00:00:00"/>
    <x v="0"/>
    <x v="0"/>
    <s v="RESCATE"/>
    <x v="1"/>
    <n v="19200000"/>
    <x v="1"/>
    <x v="0"/>
    <x v="0"/>
    <m/>
    <m/>
    <x v="0"/>
    <n v="-19200000"/>
  </r>
  <r>
    <d v="2026-06-30T00:00:00"/>
    <x v="1"/>
    <x v="0"/>
    <s v="RESCATE"/>
    <x v="1"/>
    <n v="67600000"/>
    <x v="1"/>
    <x v="0"/>
    <x v="0"/>
    <m/>
    <m/>
    <x v="0"/>
    <n v="-67600000"/>
  </r>
  <r>
    <d v="2026-06-30T00:00:00"/>
    <x v="4"/>
    <x v="0"/>
    <s v="SUSCRIPCION"/>
    <x v="6"/>
    <n v="2900000"/>
    <x v="5"/>
    <x v="0"/>
    <x v="0"/>
    <m/>
    <m/>
    <x v="0"/>
    <n v="2900000"/>
  </r>
  <r>
    <d v="2026-06-30T00:00:00"/>
    <x v="3"/>
    <x v="0"/>
    <s v="SUSCRIPCION"/>
    <x v="1"/>
    <n v="328500000"/>
    <x v="1"/>
    <x v="0"/>
    <x v="0"/>
    <m/>
    <m/>
    <x v="0"/>
    <n v="328500000"/>
  </r>
  <r>
    <d v="2026-06-30T00:00:00"/>
    <x v="2"/>
    <x v="0"/>
    <s v="SUSCRIPCION"/>
    <x v="1"/>
    <n v="7000000"/>
    <x v="1"/>
    <x v="0"/>
    <x v="0"/>
    <m/>
    <m/>
    <x v="0"/>
    <n v="7000000"/>
  </r>
  <r>
    <d v="2026-06-30T00:00:00"/>
    <x v="3"/>
    <x v="0"/>
    <s v="SUSCRIPCION"/>
    <x v="23"/>
    <n v="8259887"/>
    <x v="6"/>
    <x v="1"/>
    <x v="0"/>
    <m/>
    <m/>
    <x v="0"/>
    <n v="8259887"/>
  </r>
  <r>
    <d v="2026-07-01T00:00:00"/>
    <x v="1"/>
    <x v="0"/>
    <s v="RESCATE"/>
    <x v="1"/>
    <n v="34900000"/>
    <x v="1"/>
    <x v="0"/>
    <x v="0"/>
    <m/>
    <m/>
    <x v="0"/>
    <n v="-34900000"/>
  </r>
  <r>
    <d v="2026-07-01T00:00:00"/>
    <x v="2"/>
    <x v="0"/>
    <s v="RESCATE"/>
    <x v="1"/>
    <n v="355200000"/>
    <x v="1"/>
    <x v="0"/>
    <x v="0"/>
    <m/>
    <m/>
    <x v="0"/>
    <n v="-355200000"/>
  </r>
  <r>
    <d v="2026-07-01T00:00:00"/>
    <x v="3"/>
    <x v="0"/>
    <s v="RESCATE"/>
    <x v="6"/>
    <n v="1148600000"/>
    <x v="5"/>
    <x v="0"/>
    <x v="0"/>
    <m/>
    <m/>
    <x v="0"/>
    <n v="-1148600000"/>
  </r>
  <r>
    <d v="2026-07-01T00:00:00"/>
    <x v="0"/>
    <x v="0"/>
    <s v="SUSCRIPCION"/>
    <x v="1"/>
    <n v="318500000"/>
    <x v="1"/>
    <x v="0"/>
    <x v="0"/>
    <m/>
    <m/>
    <x v="0"/>
    <n v="318500000"/>
  </r>
  <r>
    <d v="2026-07-01T00:00:00"/>
    <x v="2"/>
    <x v="0"/>
    <s v="SUSCRIPCION"/>
    <x v="22"/>
    <n v="2972000000"/>
    <x v="6"/>
    <x v="0"/>
    <x v="0"/>
    <m/>
    <m/>
    <x v="0"/>
    <n v="2972000000"/>
  </r>
  <r>
    <d v="2026-07-01T00:00:00"/>
    <x v="3"/>
    <x v="0"/>
    <s v="SUSCRIPCION"/>
    <x v="6"/>
    <n v="13000000"/>
    <x v="5"/>
    <x v="0"/>
    <x v="0"/>
    <m/>
    <m/>
    <x v="0"/>
    <n v="13000000"/>
  </r>
  <r>
    <d v="2026-07-02T00:00:00"/>
    <x v="2"/>
    <x v="0"/>
    <s v="RESCATE"/>
    <x v="2"/>
    <n v="58566775.549999997"/>
    <x v="2"/>
    <x v="0"/>
    <x v="0"/>
    <m/>
    <m/>
    <x v="0"/>
    <n v="-58566775.549999997"/>
  </r>
  <r>
    <d v="2026-07-02T00:00:00"/>
    <x v="3"/>
    <x v="0"/>
    <s v="RESCATE"/>
    <x v="2"/>
    <n v="114271763.48"/>
    <x v="2"/>
    <x v="0"/>
    <x v="0"/>
    <m/>
    <m/>
    <x v="0"/>
    <n v="-114271763.48"/>
  </r>
  <r>
    <d v="2026-07-02T00:00:00"/>
    <x v="3"/>
    <x v="0"/>
    <s v="RESCATE"/>
    <x v="2"/>
    <n v="96894061.730000004"/>
    <x v="2"/>
    <x v="0"/>
    <x v="0"/>
    <m/>
    <m/>
    <x v="0"/>
    <n v="-96894061.730000004"/>
  </r>
  <r>
    <d v="2026-07-02T00:00:00"/>
    <x v="2"/>
    <x v="0"/>
    <s v="RESCATE"/>
    <x v="22"/>
    <n v="184383343.40000001"/>
    <x v="6"/>
    <x v="0"/>
    <x v="0"/>
    <m/>
    <m/>
    <x v="0"/>
    <n v="-184383343.40000001"/>
  </r>
  <r>
    <d v="2026-07-02T00:00:00"/>
    <x v="2"/>
    <x v="0"/>
    <s v="RESCATE"/>
    <x v="22"/>
    <n v="170000000"/>
    <x v="6"/>
    <x v="0"/>
    <x v="0"/>
    <m/>
    <m/>
    <x v="0"/>
    <n v="-170000000"/>
  </r>
  <r>
    <d v="2026-07-02T00:00:00"/>
    <x v="3"/>
    <x v="0"/>
    <s v="RESCATE"/>
    <x v="22"/>
    <n v="79956206.180000007"/>
    <x v="6"/>
    <x v="0"/>
    <x v="0"/>
    <m/>
    <m/>
    <x v="0"/>
    <n v="-79956206.180000007"/>
  </r>
  <r>
    <d v="2026-07-02T00:00:00"/>
    <x v="1"/>
    <x v="0"/>
    <s v="RESCATE"/>
    <x v="1"/>
    <n v="58200000"/>
    <x v="1"/>
    <x v="0"/>
    <x v="0"/>
    <m/>
    <m/>
    <x v="0"/>
    <n v="-58200000"/>
  </r>
  <r>
    <d v="2026-07-02T00:00:00"/>
    <x v="4"/>
    <x v="0"/>
    <s v="RESCATE"/>
    <x v="6"/>
    <n v="200000"/>
    <x v="5"/>
    <x v="0"/>
    <x v="0"/>
    <m/>
    <m/>
    <x v="0"/>
    <n v="-200000"/>
  </r>
  <r>
    <d v="2026-07-02T00:00:00"/>
    <x v="2"/>
    <x v="0"/>
    <s v="RESCATE"/>
    <x v="1"/>
    <n v="58800000"/>
    <x v="1"/>
    <x v="0"/>
    <x v="0"/>
    <m/>
    <m/>
    <x v="0"/>
    <n v="-58800000"/>
  </r>
  <r>
    <d v="2026-07-02T00:00:00"/>
    <x v="0"/>
    <x v="0"/>
    <s v="RESCATE"/>
    <x v="1"/>
    <n v="17000000"/>
    <x v="1"/>
    <x v="0"/>
    <x v="0"/>
    <m/>
    <m/>
    <x v="0"/>
    <n v="-17000000"/>
  </r>
  <r>
    <d v="2026-07-02T00:00:00"/>
    <x v="3"/>
    <x v="0"/>
    <s v="RESCATE"/>
    <x v="6"/>
    <n v="267300000"/>
    <x v="5"/>
    <x v="0"/>
    <x v="0"/>
    <m/>
    <m/>
    <x v="0"/>
    <n v="-267300000"/>
  </r>
  <r>
    <d v="2026-07-02T00:00:00"/>
    <x v="0"/>
    <x v="0"/>
    <s v="SUSCRIPCION"/>
    <x v="0"/>
    <n v="48522311.560000002"/>
    <x v="0"/>
    <x v="0"/>
    <x v="0"/>
    <m/>
    <m/>
    <x v="0"/>
    <n v="48522311.560000002"/>
  </r>
  <r>
    <d v="2026-07-02T00:00:00"/>
    <x v="3"/>
    <x v="0"/>
    <s v="RESCATE"/>
    <x v="6"/>
    <n v="7800000"/>
    <x v="5"/>
    <x v="0"/>
    <x v="0"/>
    <m/>
    <m/>
    <x v="0"/>
    <n v="-7800000"/>
  </r>
  <r>
    <d v="2026-07-03T00:00:00"/>
    <x v="2"/>
    <x v="0"/>
    <s v="RESCATE"/>
    <x v="1"/>
    <n v="72400000"/>
    <x v="1"/>
    <x v="0"/>
    <x v="0"/>
    <m/>
    <m/>
    <x v="0"/>
    <n v="-72400000"/>
  </r>
  <r>
    <d v="2026-07-03T00:00:00"/>
    <x v="0"/>
    <x v="0"/>
    <s v="RESCATE"/>
    <x v="1"/>
    <n v="100400000"/>
    <x v="1"/>
    <x v="0"/>
    <x v="0"/>
    <m/>
    <m/>
    <x v="0"/>
    <n v="-100400000"/>
  </r>
  <r>
    <d v="2026-07-03T00:00:00"/>
    <x v="3"/>
    <x v="0"/>
    <s v="RESCATE"/>
    <x v="6"/>
    <n v="78100000"/>
    <x v="5"/>
    <x v="0"/>
    <x v="0"/>
    <m/>
    <m/>
    <x v="0"/>
    <n v="-78100000"/>
  </r>
  <r>
    <d v="2026-07-03T00:00:00"/>
    <x v="3"/>
    <x v="0"/>
    <s v="RESCATE"/>
    <x v="6"/>
    <n v="409000000"/>
    <x v="5"/>
    <x v="0"/>
    <x v="0"/>
    <m/>
    <m/>
    <x v="0"/>
    <n v="-409000000"/>
  </r>
  <r>
    <d v="2026-07-03T00:00:00"/>
    <x v="3"/>
    <x v="0"/>
    <s v="SUSCRIPCION"/>
    <x v="2"/>
    <n v="49000000"/>
    <x v="2"/>
    <x v="0"/>
    <x v="0"/>
    <m/>
    <m/>
    <x v="0"/>
    <n v="49000000"/>
  </r>
  <r>
    <d v="2026-07-06T00:00:00"/>
    <x v="3"/>
    <x v="0"/>
    <s v="SUSCRIPCION"/>
    <x v="24"/>
    <n v="300000000"/>
    <x v="17"/>
    <x v="1"/>
    <x v="0"/>
    <m/>
    <m/>
    <x v="0"/>
    <n v="300000000"/>
  </r>
  <r>
    <d v="2026-07-06T00:00:00"/>
    <x v="3"/>
    <x v="0"/>
    <s v="RESCATE"/>
    <x v="6"/>
    <n v="300000000"/>
    <x v="5"/>
    <x v="0"/>
    <x v="0"/>
    <m/>
    <m/>
    <x v="0"/>
    <n v="-300000000"/>
  </r>
  <r>
    <d v="2026-07-06T00:00:00"/>
    <x v="4"/>
    <x v="0"/>
    <s v="RESCATE"/>
    <x v="6"/>
    <n v="2700000"/>
    <x v="5"/>
    <x v="0"/>
    <x v="0"/>
    <m/>
    <m/>
    <x v="0"/>
    <n v="-2700000"/>
  </r>
  <r>
    <d v="2026-07-06T00:00:00"/>
    <x v="1"/>
    <x v="0"/>
    <s v="RESCATE"/>
    <x v="1"/>
    <n v="2300000"/>
    <x v="1"/>
    <x v="0"/>
    <x v="0"/>
    <m/>
    <m/>
    <x v="0"/>
    <n v="-2300000"/>
  </r>
  <r>
    <d v="2026-07-06T00:00:00"/>
    <x v="0"/>
    <x v="0"/>
    <s v="RESCATE"/>
    <x v="1"/>
    <n v="26200000"/>
    <x v="1"/>
    <x v="0"/>
    <x v="0"/>
    <m/>
    <m/>
    <x v="0"/>
    <n v="-26200000"/>
  </r>
  <r>
    <d v="2026-07-06T00:00:00"/>
    <x v="3"/>
    <x v="0"/>
    <s v="RESCATE"/>
    <x v="6"/>
    <n v="2047200000"/>
    <x v="5"/>
    <x v="0"/>
    <x v="0"/>
    <m/>
    <m/>
    <x v="0"/>
    <n v="-2047200000"/>
  </r>
  <r>
    <d v="2026-07-06T00:00:00"/>
    <x v="2"/>
    <x v="0"/>
    <s v="SUSCRIPCION"/>
    <x v="1"/>
    <n v="112200000"/>
    <x v="1"/>
    <x v="0"/>
    <x v="0"/>
    <m/>
    <m/>
    <x v="0"/>
    <n v="112200000"/>
  </r>
  <r>
    <d v="2026-07-06T00:00:00"/>
    <x v="0"/>
    <x v="0"/>
    <s v="RESCATE"/>
    <x v="0"/>
    <n v="59544646.649999999"/>
    <x v="0"/>
    <x v="0"/>
    <x v="0"/>
    <m/>
    <m/>
    <x v="0"/>
    <n v="-59544646.649999999"/>
  </r>
  <r>
    <d v="2026-07-06T00:00:00"/>
    <x v="0"/>
    <x v="0"/>
    <s v="RESCATE"/>
    <x v="0"/>
    <n v="118749310.72"/>
    <x v="0"/>
    <x v="0"/>
    <x v="0"/>
    <m/>
    <m/>
    <x v="0"/>
    <n v="-118749310.72"/>
  </r>
  <r>
    <d v="2026-07-06T00:00:00"/>
    <x v="3"/>
    <x v="0"/>
    <s v="RESCATE"/>
    <x v="2"/>
    <n v="67512164.450000003"/>
    <x v="2"/>
    <x v="0"/>
    <x v="0"/>
    <m/>
    <m/>
    <x v="0"/>
    <n v="-67512164.450000003"/>
  </r>
  <r>
    <d v="2026-07-06T00:00:00"/>
    <x v="3"/>
    <x v="0"/>
    <s v="RESCATE"/>
    <x v="2"/>
    <n v="175200834.68000001"/>
    <x v="2"/>
    <x v="0"/>
    <x v="0"/>
    <m/>
    <m/>
    <x v="0"/>
    <n v="-175200834.68000001"/>
  </r>
  <r>
    <d v="2026-07-06T00:00:00"/>
    <x v="0"/>
    <x v="0"/>
    <s v="RESCATE"/>
    <x v="2"/>
    <n v="54745277.829999998"/>
    <x v="2"/>
    <x v="0"/>
    <x v="0"/>
    <m/>
    <m/>
    <x v="0"/>
    <n v="-54745277.829999998"/>
  </r>
  <r>
    <d v="2026-07-06T00:00:00"/>
    <x v="3"/>
    <x v="0"/>
    <s v="RESCATE"/>
    <x v="22"/>
    <n v="49611166.710000001"/>
    <x v="6"/>
    <x v="0"/>
    <x v="0"/>
    <m/>
    <m/>
    <x v="0"/>
    <n v="-49611166.710000001"/>
  </r>
  <r>
    <d v="2026-07-06T00:00:00"/>
    <x v="2"/>
    <x v="0"/>
    <s v="RESCATE"/>
    <x v="22"/>
    <n v="71313156.799999997"/>
    <x v="6"/>
    <x v="0"/>
    <x v="0"/>
    <m/>
    <m/>
    <x v="0"/>
    <n v="-71313156.799999997"/>
  </r>
  <r>
    <d v="2026-07-06T00:00:00"/>
    <x v="2"/>
    <x v="0"/>
    <s v="RESCATE"/>
    <x v="22"/>
    <n v="100201205.65000001"/>
    <x v="6"/>
    <x v="0"/>
    <x v="0"/>
    <m/>
    <m/>
    <x v="0"/>
    <n v="-100201205.65000001"/>
  </r>
  <r>
    <d v="2026-07-07T00:00:00"/>
    <x v="0"/>
    <x v="0"/>
    <s v="RESCATE"/>
    <x v="1"/>
    <n v="73600000"/>
    <x v="1"/>
    <x v="0"/>
    <x v="0"/>
    <m/>
    <m/>
    <x v="0"/>
    <n v="-73600000"/>
  </r>
  <r>
    <d v="2026-07-07T00:00:00"/>
    <x v="3"/>
    <x v="0"/>
    <s v="RESCATE"/>
    <x v="6"/>
    <n v="330600000"/>
    <x v="5"/>
    <x v="0"/>
    <x v="0"/>
    <m/>
    <m/>
    <x v="0"/>
    <n v="-330600000"/>
  </r>
  <r>
    <d v="2026-07-07T00:00:00"/>
    <x v="2"/>
    <x v="0"/>
    <s v="SUSCRIPCION"/>
    <x v="1"/>
    <n v="52300000"/>
    <x v="1"/>
    <x v="0"/>
    <x v="0"/>
    <m/>
    <m/>
    <x v="0"/>
    <n v="52300000"/>
  </r>
  <r>
    <d v="2026-07-07T00:00:00"/>
    <x v="3"/>
    <x v="0"/>
    <s v="SUSCRIPCION"/>
    <x v="1"/>
    <n v="7443000000"/>
    <x v="1"/>
    <x v="0"/>
    <x v="0"/>
    <m/>
    <m/>
    <x v="0"/>
    <n v="7443000000"/>
  </r>
  <r>
    <d v="2026-07-07T00:00:00"/>
    <x v="0"/>
    <x v="0"/>
    <s v="SUSCRIPCION"/>
    <x v="2"/>
    <n v="6376000"/>
    <x v="2"/>
    <x v="0"/>
    <x v="0"/>
    <m/>
    <m/>
    <x v="0"/>
    <n v="6376000"/>
  </r>
  <r>
    <d v="2026-07-08T00:00:00"/>
    <x v="2"/>
    <x v="0"/>
    <s v="RESCATE"/>
    <x v="1"/>
    <n v="76500000"/>
    <x v="1"/>
    <x v="0"/>
    <x v="0"/>
    <m/>
    <m/>
    <x v="0"/>
    <n v="-76500000"/>
  </r>
  <r>
    <d v="2026-07-08T00:00:00"/>
    <x v="0"/>
    <x v="0"/>
    <s v="RESCATE"/>
    <x v="1"/>
    <n v="48100000"/>
    <x v="1"/>
    <x v="0"/>
    <x v="0"/>
    <m/>
    <m/>
    <x v="0"/>
    <n v="-48100000"/>
  </r>
  <r>
    <d v="2026-07-08T00:00:00"/>
    <x v="3"/>
    <x v="0"/>
    <s v="RESCATE"/>
    <x v="1"/>
    <n v="169400000"/>
    <x v="1"/>
    <x v="0"/>
    <x v="0"/>
    <m/>
    <m/>
    <x v="0"/>
    <n v="-169400000"/>
  </r>
  <r>
    <d v="2026-07-08T00:00:00"/>
    <x v="0"/>
    <x v="0"/>
    <s v="RESCATE"/>
    <x v="5"/>
    <n v="409809436.75999999"/>
    <x v="4"/>
    <x v="0"/>
    <x v="0"/>
    <m/>
    <m/>
    <x v="0"/>
    <n v="-409809436.75999999"/>
  </r>
  <r>
    <d v="2026-07-08T00:00:00"/>
    <x v="0"/>
    <x v="0"/>
    <s v="RESCATE"/>
    <x v="0"/>
    <n v="700000000"/>
    <x v="0"/>
    <x v="0"/>
    <x v="0"/>
    <m/>
    <m/>
    <x v="0"/>
    <n v="-700000000"/>
  </r>
  <r>
    <d v="2026-07-08T00:00:00"/>
    <x v="0"/>
    <x v="0"/>
    <s v="RESCATE"/>
    <x v="2"/>
    <n v="647017420.39999998"/>
    <x v="2"/>
    <x v="0"/>
    <x v="0"/>
    <m/>
    <m/>
    <x v="0"/>
    <n v="-647017420.39999998"/>
  </r>
  <r>
    <d v="2026-07-08T00:00:00"/>
    <x v="3"/>
    <x v="0"/>
    <s v="RESCATE"/>
    <x v="6"/>
    <n v="200200000"/>
    <x v="5"/>
    <x v="0"/>
    <x v="0"/>
    <m/>
    <m/>
    <x v="0"/>
    <n v="-200200000"/>
  </r>
  <r>
    <d v="2026-07-08T00:00:00"/>
    <x v="3"/>
    <x v="0"/>
    <s v="SUSCRIPCION"/>
    <x v="24"/>
    <n v="200000000"/>
    <x v="17"/>
    <x v="1"/>
    <x v="0"/>
    <m/>
    <m/>
    <x v="0"/>
    <n v="200000000"/>
  </r>
  <r>
    <d v="2026-07-08T00:00:00"/>
    <x v="0"/>
    <x v="0"/>
    <s v="RESCATE"/>
    <x v="4"/>
    <n v="116952168.59999999"/>
    <x v="3"/>
    <x v="0"/>
    <x v="0"/>
    <m/>
    <m/>
    <x v="0"/>
    <n v="-116952168.59999999"/>
  </r>
  <r>
    <d v="2026-07-08T00:00:00"/>
    <x v="0"/>
    <x v="0"/>
    <s v="SUSCRIPCION"/>
    <x v="1"/>
    <n v="5790000"/>
    <x v="1"/>
    <x v="0"/>
    <x v="0"/>
    <m/>
    <m/>
    <x v="0"/>
    <n v="5790000"/>
  </r>
  <r>
    <d v="2026-07-08T00:00:00"/>
    <x v="2"/>
    <x v="0"/>
    <s v="SUSCRIPCION"/>
    <x v="1"/>
    <n v="2330000"/>
    <x v="1"/>
    <x v="0"/>
    <x v="0"/>
    <m/>
    <m/>
    <x v="0"/>
    <n v="2330000"/>
  </r>
  <r>
    <d v="2026-07-08T00:00:00"/>
    <x v="1"/>
    <x v="0"/>
    <s v="SUSCRIPCION"/>
    <x v="1"/>
    <n v="2440000"/>
    <x v="1"/>
    <x v="0"/>
    <x v="0"/>
    <m/>
    <m/>
    <x v="0"/>
    <n v="2440000"/>
  </r>
  <r>
    <d v="2026-07-08T00:00:00"/>
    <x v="3"/>
    <x v="0"/>
    <s v="SUSCRIPCION"/>
    <x v="1"/>
    <n v="17980000"/>
    <x v="1"/>
    <x v="0"/>
    <x v="0"/>
    <m/>
    <m/>
    <x v="0"/>
    <n v="17980000"/>
  </r>
  <r>
    <d v="2026-07-08T00:00:00"/>
    <x v="3"/>
    <x v="0"/>
    <s v="SUSCRIPCION"/>
    <x v="23"/>
    <n v="2730000"/>
    <x v="6"/>
    <x v="1"/>
    <x v="0"/>
    <m/>
    <m/>
    <x v="0"/>
    <n v="2730000"/>
  </r>
  <r>
    <d v="2026-07-08T00:00:00"/>
    <x v="2"/>
    <x v="0"/>
    <s v="RESCATE"/>
    <x v="22"/>
    <n v="896950000"/>
    <x v="6"/>
    <x v="0"/>
    <x v="0"/>
    <m/>
    <m/>
    <x v="0"/>
    <n v="-896950000"/>
  </r>
  <r>
    <d v="2026-07-08T00:00:00"/>
    <x v="0"/>
    <x v="0"/>
    <s v="SUSCRIPCION"/>
    <x v="0"/>
    <n v="14180000"/>
    <x v="0"/>
    <x v="0"/>
    <x v="0"/>
    <m/>
    <m/>
    <x v="0"/>
    <n v="14180000"/>
  </r>
  <r>
    <d v="2026-07-13T00:00:00"/>
    <x v="2"/>
    <x v="0"/>
    <s v="RESCATE"/>
    <x v="6"/>
    <n v="189400000"/>
    <x v="5"/>
    <x v="0"/>
    <x v="0"/>
    <m/>
    <m/>
    <x v="0"/>
    <n v="-189400000"/>
  </r>
  <r>
    <d v="2026-07-13T00:00:00"/>
    <x v="3"/>
    <x v="0"/>
    <s v="RESCATE"/>
    <x v="1"/>
    <n v="3212000000"/>
    <x v="1"/>
    <x v="0"/>
    <x v="0"/>
    <m/>
    <m/>
    <x v="0"/>
    <n v="-3212000000"/>
  </r>
  <r>
    <d v="2026-07-13T00:00:00"/>
    <x v="0"/>
    <x v="0"/>
    <s v="SUSCRIPCION"/>
    <x v="1"/>
    <n v="5800000"/>
    <x v="1"/>
    <x v="0"/>
    <x v="0"/>
    <m/>
    <m/>
    <x v="0"/>
    <n v="5800000"/>
  </r>
  <r>
    <d v="2026-07-13T00:00:00"/>
    <x v="0"/>
    <x v="0"/>
    <s v="RESCATE"/>
    <x v="2"/>
    <n v="700000000"/>
    <x v="2"/>
    <x v="0"/>
    <x v="0"/>
    <m/>
    <m/>
    <x v="0"/>
    <n v="-700000000"/>
  </r>
  <r>
    <d v="2026-07-13T00:00:00"/>
    <x v="0"/>
    <x v="0"/>
    <s v="RESCATE"/>
    <x v="0"/>
    <n v="700000000"/>
    <x v="0"/>
    <x v="0"/>
    <x v="0"/>
    <m/>
    <m/>
    <x v="0"/>
    <n v="-700000000"/>
  </r>
  <r>
    <d v="2026-07-13T00:00:00"/>
    <x v="2"/>
    <x v="0"/>
    <s v="RESCATE"/>
    <x v="22"/>
    <n v="400000000"/>
    <x v="6"/>
    <x v="0"/>
    <x v="0"/>
    <m/>
    <m/>
    <x v="0"/>
    <n v="-400000000"/>
  </r>
  <r>
    <d v="2026-07-13T00:00:00"/>
    <x v="3"/>
    <x v="0"/>
    <s v="SUSCRIPCION"/>
    <x v="22"/>
    <n v="1000000000"/>
    <x v="6"/>
    <x v="0"/>
    <x v="0"/>
    <m/>
    <m/>
    <x v="0"/>
    <n v="1000000000"/>
  </r>
  <r>
    <d v="2026-07-13T00:00:00"/>
    <x v="3"/>
    <x v="0"/>
    <s v="RESCATE"/>
    <x v="22"/>
    <n v="332284833.60000002"/>
    <x v="6"/>
    <x v="0"/>
    <x v="0"/>
    <m/>
    <m/>
    <x v="0"/>
    <n v="-332284833.60000002"/>
  </r>
  <r>
    <d v="2026-07-14T00:00:00"/>
    <x v="0"/>
    <x v="0"/>
    <s v="SUSCRIPCION"/>
    <x v="6"/>
    <n v="12460000"/>
    <x v="5"/>
    <x v="0"/>
    <x v="0"/>
    <m/>
    <m/>
    <x v="0"/>
    <n v="12460000"/>
  </r>
  <r>
    <d v="2026-07-14T00:00:00"/>
    <x v="3"/>
    <x v="0"/>
    <s v="SUSCRIPCION"/>
    <x v="6"/>
    <n v="92950000"/>
    <x v="5"/>
    <x v="0"/>
    <x v="0"/>
    <m/>
    <m/>
    <x v="0"/>
    <n v="92950000"/>
  </r>
  <r>
    <d v="2026-07-14T00:00:00"/>
    <x v="2"/>
    <x v="0"/>
    <s v="SUSCRIPCION"/>
    <x v="6"/>
    <n v="6130000"/>
    <x v="5"/>
    <x v="0"/>
    <x v="0"/>
    <m/>
    <m/>
    <x v="0"/>
    <n v="6130000"/>
  </r>
  <r>
    <d v="2026-07-14T00:00:00"/>
    <x v="0"/>
    <x v="0"/>
    <s v="SUSCRIPCION"/>
    <x v="1"/>
    <n v="1440000"/>
    <x v="1"/>
    <x v="0"/>
    <x v="0"/>
    <m/>
    <m/>
    <x v="0"/>
    <n v="1440000"/>
  </r>
  <r>
    <d v="2026-07-14T00:00:00"/>
    <x v="3"/>
    <x v="0"/>
    <s v="SUSCRIPCION"/>
    <x v="1"/>
    <n v="20130000"/>
    <x v="1"/>
    <x v="0"/>
    <x v="0"/>
    <m/>
    <m/>
    <x v="0"/>
    <n v="20130000"/>
  </r>
  <r>
    <d v="2026-07-14T00:00:00"/>
    <x v="2"/>
    <x v="0"/>
    <s v="RESCATE"/>
    <x v="22"/>
    <n v="126020669.97"/>
    <x v="6"/>
    <x v="0"/>
    <x v="0"/>
    <m/>
    <m/>
    <x v="0"/>
    <n v="-126020669.97"/>
  </r>
  <r>
    <d v="2026-07-14T00:00:00"/>
    <x v="2"/>
    <x v="0"/>
    <s v="RESCATE"/>
    <x v="22"/>
    <n v="23034711.18"/>
    <x v="6"/>
    <x v="0"/>
    <x v="0"/>
    <m/>
    <m/>
    <x v="0"/>
    <n v="-23034711.18"/>
  </r>
  <r>
    <d v="2026-07-14T00:00:00"/>
    <x v="3"/>
    <x v="0"/>
    <s v="RESCATE"/>
    <x v="22"/>
    <n v="643673849.51999998"/>
    <x v="6"/>
    <x v="0"/>
    <x v="0"/>
    <m/>
    <m/>
    <x v="0"/>
    <n v="-643673849.51999998"/>
  </r>
  <r>
    <d v="2026-07-14T00:00:00"/>
    <x v="3"/>
    <x v="0"/>
    <s v="RESCATE"/>
    <x v="22"/>
    <n v="114828515.04000001"/>
    <x v="6"/>
    <x v="0"/>
    <x v="0"/>
    <m/>
    <m/>
    <x v="0"/>
    <n v="-114828515.04000001"/>
  </r>
  <r>
    <d v="2026-07-14T00:00:00"/>
    <x v="3"/>
    <x v="0"/>
    <s v="RESCATE"/>
    <x v="2"/>
    <n v="117470916.54000001"/>
    <x v="2"/>
    <x v="0"/>
    <x v="0"/>
    <m/>
    <m/>
    <x v="0"/>
    <n v="-117470916.54000001"/>
  </r>
  <r>
    <d v="2026-07-14T00:00:00"/>
    <x v="3"/>
    <x v="0"/>
    <s v="RESCATE"/>
    <x v="2"/>
    <n v="165357375.21000001"/>
    <x v="2"/>
    <x v="0"/>
    <x v="0"/>
    <m/>
    <m/>
    <x v="0"/>
    <n v="-165357375.21000001"/>
  </r>
  <r>
    <d v="2026-07-14T00:00:00"/>
    <x v="3"/>
    <x v="0"/>
    <s v="RESCATE"/>
    <x v="0"/>
    <n v="69303310.980000004"/>
    <x v="0"/>
    <x v="0"/>
    <x v="0"/>
    <m/>
    <m/>
    <x v="0"/>
    <n v="-69303310.980000004"/>
  </r>
  <r>
    <d v="2026-07-14T00:00:00"/>
    <x v="3"/>
    <x v="0"/>
    <s v="RESCATE"/>
    <x v="0"/>
    <n v="84391747.349999994"/>
    <x v="0"/>
    <x v="0"/>
    <x v="0"/>
    <m/>
    <m/>
    <x v="0"/>
    <n v="-84391747.349999994"/>
  </r>
  <r>
    <d v="2026-07-14T00:00:00"/>
    <x v="3"/>
    <x v="0"/>
    <s v="RESCATE"/>
    <x v="5"/>
    <n v="61647551.840000004"/>
    <x v="4"/>
    <x v="0"/>
    <x v="0"/>
    <m/>
    <m/>
    <x v="0"/>
    <n v="-61647551.840000004"/>
  </r>
  <r>
    <d v="2026-07-14T00:00:00"/>
    <x v="3"/>
    <x v="0"/>
    <s v="RESCATE"/>
    <x v="5"/>
    <n v="52084845.310000002"/>
    <x v="4"/>
    <x v="0"/>
    <x v="0"/>
    <m/>
    <m/>
    <x v="0"/>
    <n v="-52084845.310000002"/>
  </r>
  <r>
    <d v="2026-07-14T00:00:00"/>
    <x v="3"/>
    <x v="0"/>
    <s v="RESCATE"/>
    <x v="1"/>
    <n v="243600000"/>
    <x v="1"/>
    <x v="0"/>
    <x v="0"/>
    <m/>
    <m/>
    <x v="0"/>
    <n v="-243600000"/>
  </r>
  <r>
    <d v="2026-07-15T00:00:00"/>
    <x v="1"/>
    <x v="0"/>
    <s v="RESCATE"/>
    <x v="1"/>
    <n v="4000000"/>
    <x v="1"/>
    <x v="0"/>
    <x v="0"/>
    <m/>
    <m/>
    <x v="0"/>
    <n v="-4000000"/>
  </r>
  <r>
    <d v="2026-07-15T00:00:00"/>
    <x v="2"/>
    <x v="0"/>
    <s v="RESCATE"/>
    <x v="1"/>
    <n v="40200000"/>
    <x v="1"/>
    <x v="0"/>
    <x v="0"/>
    <m/>
    <m/>
    <x v="0"/>
    <n v="-40200000"/>
  </r>
  <r>
    <d v="2026-07-15T00:00:00"/>
    <x v="0"/>
    <x v="0"/>
    <s v="RESCATE"/>
    <x v="1"/>
    <n v="87700000"/>
    <x v="1"/>
    <x v="0"/>
    <x v="0"/>
    <m/>
    <m/>
    <x v="0"/>
    <n v="-87700000"/>
  </r>
  <r>
    <d v="2026-07-15T00:00:00"/>
    <x v="3"/>
    <x v="0"/>
    <s v="RESCATE"/>
    <x v="1"/>
    <n v="6200000"/>
    <x v="1"/>
    <x v="0"/>
    <x v="0"/>
    <m/>
    <m/>
    <x v="0"/>
    <n v="-6200000"/>
  </r>
  <r>
    <d v="2026-07-15T00:00:00"/>
    <x v="0"/>
    <x v="0"/>
    <s v="SUSCRIPCION"/>
    <x v="6"/>
    <n v="170000000"/>
    <x v="5"/>
    <x v="0"/>
    <x v="0"/>
    <m/>
    <m/>
    <x v="0"/>
    <n v="170000000"/>
  </r>
  <r>
    <d v="2026-07-15T00:00:00"/>
    <x v="3"/>
    <x v="0"/>
    <s v="SUSCRIPCION"/>
    <x v="22"/>
    <n v="21850000"/>
    <x v="6"/>
    <x v="0"/>
    <x v="0"/>
    <m/>
    <m/>
    <x v="0"/>
    <n v="21850000"/>
  </r>
  <r>
    <d v="2026-07-15T00:00:00"/>
    <x v="3"/>
    <x v="0"/>
    <s v="SUSCRIPCION"/>
    <x v="6"/>
    <n v="7380000000"/>
    <x v="5"/>
    <x v="0"/>
    <x v="0"/>
    <m/>
    <m/>
    <x v="0"/>
    <n v="7380000000"/>
  </r>
  <r>
    <d v="2026-07-16T00:00:00"/>
    <x v="3"/>
    <x v="0"/>
    <s v="RESCATE"/>
    <x v="6"/>
    <n v="500000000"/>
    <x v="5"/>
    <x v="0"/>
    <x v="0"/>
    <m/>
    <m/>
    <x v="0"/>
    <n v="-500000000"/>
  </r>
  <r>
    <d v="2026-07-16T00:00:00"/>
    <x v="3"/>
    <x v="0"/>
    <s v="SUSCRIPCION"/>
    <x v="16"/>
    <n v="300000000"/>
    <x v="13"/>
    <x v="0"/>
    <x v="0"/>
    <m/>
    <m/>
    <x v="0"/>
    <n v="300000000"/>
  </r>
  <r>
    <d v="2026-07-16T00:00:00"/>
    <x v="3"/>
    <x v="0"/>
    <s v="SUSCRIPCION"/>
    <x v="25"/>
    <n v="200000000"/>
    <x v="17"/>
    <x v="0"/>
    <x v="0"/>
    <m/>
    <m/>
    <x v="0"/>
    <n v="200000000"/>
  </r>
  <r>
    <d v="2026-07-16T00:00:00"/>
    <x v="3"/>
    <x v="0"/>
    <s v="RESCATE"/>
    <x v="22"/>
    <n v="57294644.899999999"/>
    <x v="6"/>
    <x v="0"/>
    <x v="0"/>
    <m/>
    <m/>
    <x v="0"/>
    <n v="-57294644.899999999"/>
  </r>
  <r>
    <d v="2026-07-16T00:00:00"/>
    <x v="3"/>
    <x v="0"/>
    <s v="RESCATE"/>
    <x v="2"/>
    <n v="434714936.83999997"/>
    <x v="2"/>
    <x v="0"/>
    <x v="0"/>
    <m/>
    <m/>
    <x v="0"/>
    <n v="-434714936.83999997"/>
  </r>
  <r>
    <d v="2026-07-16T00:00:00"/>
    <x v="3"/>
    <x v="0"/>
    <s v="RESCATE"/>
    <x v="2"/>
    <n v="310433562.61000001"/>
    <x v="2"/>
    <x v="0"/>
    <x v="0"/>
    <m/>
    <m/>
    <x v="0"/>
    <n v="-310433562.61000001"/>
  </r>
  <r>
    <d v="2026-07-16T00:00:00"/>
    <x v="3"/>
    <x v="0"/>
    <s v="RESCATE"/>
    <x v="5"/>
    <n v="64437391.520000003"/>
    <x v="4"/>
    <x v="0"/>
    <x v="0"/>
    <m/>
    <m/>
    <x v="0"/>
    <n v="-64437391.520000003"/>
  </r>
  <r>
    <d v="2026-07-16T00:00:00"/>
    <x v="3"/>
    <x v="0"/>
    <s v="RESCATE"/>
    <x v="5"/>
    <n v="149552951.53999999"/>
    <x v="4"/>
    <x v="0"/>
    <x v="0"/>
    <m/>
    <m/>
    <x v="0"/>
    <n v="-149552951.53999999"/>
  </r>
  <r>
    <d v="2026-07-16T00:00:00"/>
    <x v="2"/>
    <x v="0"/>
    <s v="RESCATE"/>
    <x v="22"/>
    <n v="68771446.75"/>
    <x v="6"/>
    <x v="0"/>
    <x v="0"/>
    <m/>
    <m/>
    <x v="0"/>
    <n v="-68771446.75"/>
  </r>
  <r>
    <d v="2026-07-16T00:00:00"/>
    <x v="2"/>
    <x v="0"/>
    <s v="RESCATE"/>
    <x v="22"/>
    <n v="55492307.780000001"/>
    <x v="6"/>
    <x v="0"/>
    <x v="0"/>
    <m/>
    <m/>
    <x v="0"/>
    <n v="-55492307.780000001"/>
  </r>
  <r>
    <d v="2026-07-16T00:00:00"/>
    <x v="2"/>
    <x v="0"/>
    <s v="RESCATE"/>
    <x v="1"/>
    <n v="47800000"/>
    <x v="1"/>
    <x v="0"/>
    <x v="0"/>
    <m/>
    <m/>
    <x v="0"/>
    <n v="-47800000"/>
  </r>
  <r>
    <d v="2026-07-16T00:00:00"/>
    <x v="0"/>
    <x v="0"/>
    <s v="RESCATE"/>
    <x v="1"/>
    <n v="30200000"/>
    <x v="1"/>
    <x v="0"/>
    <x v="0"/>
    <m/>
    <m/>
    <x v="0"/>
    <n v="-30200000"/>
  </r>
  <r>
    <d v="2026-07-16T00:00:00"/>
    <x v="3"/>
    <x v="0"/>
    <s v="RESCATE"/>
    <x v="6"/>
    <n v="1212100000"/>
    <x v="5"/>
    <x v="0"/>
    <x v="0"/>
    <m/>
    <m/>
    <x v="0"/>
    <n v="-1212100000"/>
  </r>
  <r>
    <d v="2026-07-17T00:00:00"/>
    <x v="2"/>
    <x v="0"/>
    <s v="RESCATE"/>
    <x v="1"/>
    <n v="70000000"/>
    <x v="1"/>
    <x v="0"/>
    <x v="0"/>
    <m/>
    <m/>
    <x v="0"/>
    <n v="-70000000"/>
  </r>
  <r>
    <d v="2026-07-17T00:00:00"/>
    <x v="2"/>
    <x v="0"/>
    <s v="RESCATE"/>
    <x v="6"/>
    <n v="39500000"/>
    <x v="5"/>
    <x v="0"/>
    <x v="0"/>
    <m/>
    <m/>
    <x v="0"/>
    <n v="-39500000"/>
  </r>
  <r>
    <d v="2026-07-17T00:00:00"/>
    <x v="3"/>
    <x v="0"/>
    <s v="RESCATE"/>
    <x v="6"/>
    <n v="413700000"/>
    <x v="5"/>
    <x v="0"/>
    <x v="0"/>
    <m/>
    <m/>
    <x v="0"/>
    <n v="-413700000"/>
  </r>
  <r>
    <d v="2026-07-17T00:00:00"/>
    <x v="0"/>
    <x v="0"/>
    <s v="SUSCRIPCION"/>
    <x v="1"/>
    <n v="1087500000"/>
    <x v="1"/>
    <x v="0"/>
    <x v="0"/>
    <m/>
    <m/>
    <x v="0"/>
    <n v="1087500000"/>
  </r>
  <r>
    <d v="2026-07-17T00:00:00"/>
    <x v="1"/>
    <x v="0"/>
    <s v="SUSCRIPCION"/>
    <x v="1"/>
    <n v="430900000"/>
    <x v="1"/>
    <x v="0"/>
    <x v="0"/>
    <m/>
    <m/>
    <x v="0"/>
    <n v="430900000"/>
  </r>
  <r>
    <d v="2026-07-17T00:00:00"/>
    <x v="3"/>
    <x v="0"/>
    <s v="RESCATE"/>
    <x v="6"/>
    <n v="13000000"/>
    <x v="5"/>
    <x v="0"/>
    <x v="0"/>
    <m/>
    <m/>
    <x v="0"/>
    <n v="-13000000"/>
  </r>
  <r>
    <d v="2026-07-17T00:00:00"/>
    <x v="3"/>
    <x v="0"/>
    <s v="SUSCRIPCION"/>
    <x v="2"/>
    <n v="23910000"/>
    <x v="2"/>
    <x v="0"/>
    <x v="0"/>
    <m/>
    <m/>
    <x v="0"/>
    <n v="23910000"/>
  </r>
  <r>
    <d v="2026-07-17T00:00:00"/>
    <x v="0"/>
    <x v="0"/>
    <s v="RESCATE"/>
    <x v="4"/>
    <n v="174500222"/>
    <x v="3"/>
    <x v="0"/>
    <x v="0"/>
    <m/>
    <m/>
    <x v="0"/>
    <n v="-174500222"/>
  </r>
  <r>
    <d v="2026-07-17T00:00:00"/>
    <x v="0"/>
    <x v="0"/>
    <s v="RESCATE"/>
    <x v="1"/>
    <n v="100900000"/>
    <x v="1"/>
    <x v="0"/>
    <x v="0"/>
    <m/>
    <m/>
    <x v="0"/>
    <n v="-100900000"/>
  </r>
  <r>
    <d v="2026-07-20T00:00:00"/>
    <x v="1"/>
    <x v="0"/>
    <s v="RESCATE"/>
    <x v="1"/>
    <n v="3600000"/>
    <x v="1"/>
    <x v="0"/>
    <x v="0"/>
    <m/>
    <m/>
    <x v="0"/>
    <n v="-3600000"/>
  </r>
  <r>
    <d v="2026-07-20T00:00:00"/>
    <x v="0"/>
    <x v="0"/>
    <s v="RESCATE"/>
    <x v="6"/>
    <n v="38700000"/>
    <x v="5"/>
    <x v="0"/>
    <x v="0"/>
    <m/>
    <m/>
    <x v="0"/>
    <n v="-38700000"/>
  </r>
  <r>
    <d v="2026-07-20T00:00:00"/>
    <x v="3"/>
    <x v="0"/>
    <s v="RESCATE"/>
    <x v="6"/>
    <n v="401300000"/>
    <x v="5"/>
    <x v="0"/>
    <x v="0"/>
    <m/>
    <m/>
    <x v="0"/>
    <n v="-401300000"/>
  </r>
  <r>
    <d v="2026-07-20T00:00:00"/>
    <x v="2"/>
    <x v="0"/>
    <s v="SUSCRIPCION"/>
    <x v="1"/>
    <n v="89100000"/>
    <x v="1"/>
    <x v="0"/>
    <x v="0"/>
    <m/>
    <m/>
    <x v="0"/>
    <n v="89100000"/>
  </r>
  <r>
    <d v="2026-07-20T00:00:00"/>
    <x v="0"/>
    <x v="0"/>
    <s v="RESCATE"/>
    <x v="1"/>
    <n v="1300000000"/>
    <x v="1"/>
    <x v="0"/>
    <x v="0"/>
    <m/>
    <m/>
    <x v="0"/>
    <n v="-1300000000"/>
  </r>
  <r>
    <d v="2026-07-20T00:00:00"/>
    <x v="0"/>
    <x v="0"/>
    <s v="RESCATE"/>
    <x v="6"/>
    <n v="115000000"/>
    <x v="5"/>
    <x v="0"/>
    <x v="0"/>
    <m/>
    <m/>
    <x v="0"/>
    <n v="-115000000"/>
  </r>
  <r>
    <d v="2026-07-20T00:00:00"/>
    <x v="3"/>
    <x v="0"/>
    <s v="SUSCRIPCION"/>
    <x v="1"/>
    <n v="12306900"/>
    <x v="1"/>
    <x v="0"/>
    <x v="0"/>
    <m/>
    <m/>
    <x v="0"/>
    <n v="12306900"/>
  </r>
  <r>
    <d v="2026-07-20T00:00:00"/>
    <x v="3"/>
    <x v="0"/>
    <s v="SUSCRIPCION"/>
    <x v="6"/>
    <n v="27007996.920000002"/>
    <x v="5"/>
    <x v="0"/>
    <x v="0"/>
    <m/>
    <m/>
    <x v="0"/>
    <n v="27007996.920000002"/>
  </r>
  <r>
    <d v="2026-07-20T00:00:00"/>
    <x v="2"/>
    <x v="0"/>
    <s v="SUSCRIPCION"/>
    <x v="1"/>
    <n v="14787008"/>
    <x v="1"/>
    <x v="0"/>
    <x v="0"/>
    <m/>
    <m/>
    <x v="0"/>
    <n v="14787008"/>
  </r>
  <r>
    <d v="2026-07-21T00:00:00"/>
    <x v="3"/>
    <x v="0"/>
    <s v="RESCATE"/>
    <x v="22"/>
    <n v="15000000"/>
    <x v="6"/>
    <x v="0"/>
    <x v="0"/>
    <m/>
    <m/>
    <x v="0"/>
    <n v="-15000000"/>
  </r>
  <r>
    <d v="2026-07-21T00:00:00"/>
    <x v="3"/>
    <x v="0"/>
    <s v="RESCATE"/>
    <x v="2"/>
    <n v="116272980"/>
    <x v="2"/>
    <x v="0"/>
    <x v="0"/>
    <m/>
    <m/>
    <x v="0"/>
    <n v="-116272980"/>
  </r>
  <r>
    <d v="2026-07-21T00:00:00"/>
    <x v="3"/>
    <x v="0"/>
    <s v="RESCATE"/>
    <x v="2"/>
    <n v="55942343.399999999"/>
    <x v="2"/>
    <x v="0"/>
    <x v="0"/>
    <m/>
    <m/>
    <x v="0"/>
    <n v="-55942343.399999999"/>
  </r>
  <r>
    <d v="2026-07-21T00:00:00"/>
    <x v="3"/>
    <x v="0"/>
    <s v="SUSCRIPCION"/>
    <x v="1"/>
    <n v="1500000"/>
    <x v="1"/>
    <x v="0"/>
    <x v="0"/>
    <m/>
    <m/>
    <x v="0"/>
    <n v="1500000"/>
  </r>
  <r>
    <d v="2026-07-21T00:00:00"/>
    <x v="0"/>
    <x v="0"/>
    <s v="SUSCRIPCION"/>
    <x v="1"/>
    <n v="2480000"/>
    <x v="1"/>
    <x v="0"/>
    <x v="0"/>
    <m/>
    <m/>
    <x v="0"/>
    <n v="2480000"/>
  </r>
  <r>
    <d v="2026-07-21T00:00:00"/>
    <x v="0"/>
    <x v="0"/>
    <s v="SUSCRIPCION"/>
    <x v="6"/>
    <n v="1600000"/>
    <x v="5"/>
    <x v="0"/>
    <x v="0"/>
    <m/>
    <m/>
    <x v="0"/>
    <n v="1600000"/>
  </r>
  <r>
    <d v="2026-07-21T00:00:00"/>
    <x v="3"/>
    <x v="0"/>
    <s v="SUSCRIPCION"/>
    <x v="6"/>
    <n v="4480000"/>
    <x v="5"/>
    <x v="0"/>
    <x v="0"/>
    <m/>
    <m/>
    <x v="0"/>
    <n v="4480000"/>
  </r>
  <r>
    <d v="2026-07-21T00:00:00"/>
    <x v="1"/>
    <x v="0"/>
    <s v="RESCATE"/>
    <x v="1"/>
    <n v="11800000"/>
    <x v="1"/>
    <x v="0"/>
    <x v="0"/>
    <m/>
    <m/>
    <x v="0"/>
    <n v="-11800000"/>
  </r>
  <r>
    <d v="2026-07-21T00:00:00"/>
    <x v="2"/>
    <x v="0"/>
    <s v="RESCATE"/>
    <x v="1"/>
    <n v="21200000"/>
    <x v="1"/>
    <x v="0"/>
    <x v="0"/>
    <m/>
    <m/>
    <x v="0"/>
    <n v="-21200000"/>
  </r>
  <r>
    <d v="2026-07-21T00:00:00"/>
    <x v="3"/>
    <x v="0"/>
    <s v="RESCATE"/>
    <x v="6"/>
    <n v="1966900000"/>
    <x v="5"/>
    <x v="0"/>
    <x v="0"/>
    <m/>
    <m/>
    <x v="0"/>
    <n v="-1966900000"/>
  </r>
  <r>
    <d v="2026-07-21T00:00:00"/>
    <x v="0"/>
    <x v="0"/>
    <s v="SUSCRIPCION"/>
    <x v="1"/>
    <n v="171400000"/>
    <x v="1"/>
    <x v="0"/>
    <x v="0"/>
    <m/>
    <m/>
    <x v="0"/>
    <n v="171400000"/>
  </r>
  <r>
    <d v="2026-07-21T00:00:00"/>
    <x v="0"/>
    <x v="0"/>
    <s v="SUSCRIPCION"/>
    <x v="2"/>
    <n v="3500000"/>
    <x v="2"/>
    <x v="0"/>
    <x v="0"/>
    <m/>
    <m/>
    <x v="0"/>
    <n v="3500000"/>
  </r>
  <r>
    <d v="2026-07-21T00:00:00"/>
    <x v="3"/>
    <x v="0"/>
    <s v="SUSCRIPCION"/>
    <x v="2"/>
    <n v="5000000"/>
    <x v="2"/>
    <x v="0"/>
    <x v="0"/>
    <m/>
    <m/>
    <x v="0"/>
    <n v="5000000"/>
  </r>
  <r>
    <d v="2026-07-21T00:00:00"/>
    <x v="2"/>
    <x v="0"/>
    <s v="SUSCRIPCION"/>
    <x v="2"/>
    <n v="2700000"/>
    <x v="2"/>
    <x v="0"/>
    <x v="0"/>
    <m/>
    <m/>
    <x v="0"/>
    <n v="2700000"/>
  </r>
  <r>
    <d v="2026-07-21T00:00:00"/>
    <x v="2"/>
    <x v="0"/>
    <s v="RESCATE"/>
    <x v="22"/>
    <n v="100000000"/>
    <x v="6"/>
    <x v="0"/>
    <x v="0"/>
    <m/>
    <m/>
    <x v="0"/>
    <n v="-100000000"/>
  </r>
  <r>
    <d v="2026-07-22T00:00:00"/>
    <x v="3"/>
    <x v="0"/>
    <s v="RESCATE"/>
    <x v="6"/>
    <n v="2000000000"/>
    <x v="5"/>
    <x v="0"/>
    <x v="0"/>
    <m/>
    <m/>
    <x v="0"/>
    <n v="-2000000000"/>
  </r>
  <r>
    <d v="2026-07-22T00:00:00"/>
    <x v="0"/>
    <x v="0"/>
    <s v="RESCATE"/>
    <x v="0"/>
    <n v="70269013.5"/>
    <x v="0"/>
    <x v="0"/>
    <x v="0"/>
    <m/>
    <m/>
    <x v="0"/>
    <n v="-70269013.5"/>
  </r>
  <r>
    <d v="2026-07-22T00:00:00"/>
    <x v="3"/>
    <x v="0"/>
    <s v="RESCATE"/>
    <x v="0"/>
    <n v="65037440.130000003"/>
    <x v="0"/>
    <x v="0"/>
    <x v="0"/>
    <m/>
    <m/>
    <x v="0"/>
    <n v="-65037440.130000003"/>
  </r>
  <r>
    <d v="2026-07-22T00:00:00"/>
    <x v="3"/>
    <x v="0"/>
    <s v="RESCATE"/>
    <x v="0"/>
    <n v="137332743.13"/>
    <x v="0"/>
    <x v="0"/>
    <x v="0"/>
    <m/>
    <m/>
    <x v="0"/>
    <n v="-137332743.13"/>
  </r>
  <r>
    <d v="2026-07-22T00:00:00"/>
    <x v="3"/>
    <x v="0"/>
    <s v="SUSCRIPCION"/>
    <x v="0"/>
    <n v="15660000"/>
    <x v="0"/>
    <x v="0"/>
    <x v="0"/>
    <m/>
    <m/>
    <x v="0"/>
    <n v="15660000"/>
  </r>
  <r>
    <d v="2026-07-22T00:00:00"/>
    <x v="0"/>
    <x v="0"/>
    <s v="SUSCRIPCION"/>
    <x v="0"/>
    <n v="4300000"/>
    <x v="0"/>
    <x v="0"/>
    <x v="0"/>
    <m/>
    <m/>
    <x v="0"/>
    <n v="4300000"/>
  </r>
  <r>
    <d v="2026-07-22T00:00:00"/>
    <x v="2"/>
    <x v="0"/>
    <s v="SUSCRIPCION"/>
    <x v="0"/>
    <n v="2000000"/>
    <x v="0"/>
    <x v="0"/>
    <x v="0"/>
    <m/>
    <m/>
    <x v="0"/>
    <n v="2000000"/>
  </r>
  <r>
    <d v="2026-07-22T00:00:00"/>
    <x v="2"/>
    <x v="0"/>
    <s v="RESCATE"/>
    <x v="1"/>
    <n v="39100000"/>
    <x v="1"/>
    <x v="0"/>
    <x v="0"/>
    <m/>
    <m/>
    <x v="0"/>
    <n v="-39100000"/>
  </r>
  <r>
    <d v="2026-07-22T00:00:00"/>
    <x v="0"/>
    <x v="0"/>
    <s v="RESCATE"/>
    <x v="1"/>
    <n v="7900000"/>
    <x v="1"/>
    <x v="0"/>
    <x v="0"/>
    <m/>
    <m/>
    <x v="0"/>
    <n v="-7900000"/>
  </r>
  <r>
    <d v="2026-07-22T00:00:00"/>
    <x v="3"/>
    <x v="0"/>
    <s v="RESCATE"/>
    <x v="1"/>
    <n v="511400000"/>
    <x v="1"/>
    <x v="0"/>
    <x v="0"/>
    <m/>
    <m/>
    <x v="0"/>
    <n v="-511400000"/>
  </r>
  <r>
    <d v="2026-07-22T00:00:00"/>
    <x v="3"/>
    <x v="0"/>
    <s v="SUSCRIPCION"/>
    <x v="2"/>
    <n v="2000000000"/>
    <x v="2"/>
    <x v="0"/>
    <x v="0"/>
    <m/>
    <m/>
    <x v="0"/>
    <n v="2000000000"/>
  </r>
  <r>
    <d v="2026-07-22T00:00:00"/>
    <x v="0"/>
    <x v="0"/>
    <s v="RESCATE"/>
    <x v="6"/>
    <n v="285000000"/>
    <x v="5"/>
    <x v="0"/>
    <x v="0"/>
    <m/>
    <m/>
    <x v="0"/>
    <n v="-285000000"/>
  </r>
  <r>
    <d v="2026-07-22T00:00:00"/>
    <x v="0"/>
    <x v="0"/>
    <s v="RESCATE"/>
    <x v="1"/>
    <n v="100000000"/>
    <x v="1"/>
    <x v="0"/>
    <x v="0"/>
    <m/>
    <m/>
    <x v="0"/>
    <n v="-100000000"/>
  </r>
  <r>
    <d v="2026-07-22T00:00:00"/>
    <x v="2"/>
    <x v="0"/>
    <s v="RESCATE"/>
    <x v="22"/>
    <n v="89100000"/>
    <x v="6"/>
    <x v="0"/>
    <x v="0"/>
    <m/>
    <m/>
    <x v="0"/>
    <n v="-89100000"/>
  </r>
  <r>
    <d v="2026-07-22T00:00:00"/>
    <x v="3"/>
    <x v="0"/>
    <s v="RESCATE"/>
    <x v="16"/>
    <n v="74507713"/>
    <x v="13"/>
    <x v="0"/>
    <x v="0"/>
    <m/>
    <m/>
    <x v="0"/>
    <n v="-74507713"/>
  </r>
  <r>
    <d v="2026-07-22T00:00:00"/>
    <x v="3"/>
    <x v="0"/>
    <s v="RESCATE"/>
    <x v="16"/>
    <n v="72516541.400000006"/>
    <x v="13"/>
    <x v="0"/>
    <x v="0"/>
    <m/>
    <m/>
    <x v="0"/>
    <n v="-72516541.400000006"/>
  </r>
  <r>
    <d v="2026-07-23T00:00:00"/>
    <x v="3"/>
    <x v="0"/>
    <s v="RESCATE"/>
    <x v="6"/>
    <n v="256200000"/>
    <x v="5"/>
    <x v="0"/>
    <x v="0"/>
    <m/>
    <m/>
    <x v="0"/>
    <n v="-256200000"/>
  </r>
  <r>
    <d v="2026-07-23T00:00:00"/>
    <x v="1"/>
    <x v="0"/>
    <s v="RESCATE"/>
    <x v="1"/>
    <n v="1500000"/>
    <x v="1"/>
    <x v="0"/>
    <x v="0"/>
    <m/>
    <m/>
    <x v="0"/>
    <n v="-1500000"/>
  </r>
  <r>
    <d v="2026-07-23T00:00:00"/>
    <x v="0"/>
    <x v="0"/>
    <s v="SUSCRIPCION"/>
    <x v="1"/>
    <n v="605100000"/>
    <x v="1"/>
    <x v="0"/>
    <x v="0"/>
    <m/>
    <m/>
    <x v="0"/>
    <n v="605100000"/>
  </r>
  <r>
    <d v="2026-07-23T00:00:00"/>
    <x v="3"/>
    <x v="0"/>
    <s v="SUSCRIPCION"/>
    <x v="1"/>
    <n v="4126300000"/>
    <x v="1"/>
    <x v="0"/>
    <x v="0"/>
    <m/>
    <m/>
    <x v="0"/>
    <n v="4126300000"/>
  </r>
  <r>
    <d v="2026-07-23T00:00:00"/>
    <x v="3"/>
    <x v="0"/>
    <s v="RESCATE"/>
    <x v="22"/>
    <n v="195446370"/>
    <x v="6"/>
    <x v="0"/>
    <x v="0"/>
    <m/>
    <m/>
    <x v="0"/>
    <n v="-195446370"/>
  </r>
  <r>
    <d v="2026-07-23T00:00:00"/>
    <x v="3"/>
    <x v="0"/>
    <s v="RESCATE"/>
    <x v="5"/>
    <n v="200000000"/>
    <x v="4"/>
    <x v="0"/>
    <x v="0"/>
    <m/>
    <m/>
    <x v="0"/>
    <n v="-200000000"/>
  </r>
  <r>
    <d v="2026-07-23T00:00:00"/>
    <x v="3"/>
    <x v="0"/>
    <s v="RESCATE"/>
    <x v="6"/>
    <n v="1000000000"/>
    <x v="5"/>
    <x v="0"/>
    <x v="0"/>
    <m/>
    <m/>
    <x v="0"/>
    <n v="-1000000000"/>
  </r>
  <r>
    <d v="2026-07-23T00:00:00"/>
    <x v="3"/>
    <x v="0"/>
    <s v="SUSCRIPCION"/>
    <x v="2"/>
    <n v="1000000000"/>
    <x v="2"/>
    <x v="0"/>
    <x v="0"/>
    <m/>
    <m/>
    <x v="0"/>
    <n v="1000000000"/>
  </r>
  <r>
    <d v="2026-07-23T00:00:00"/>
    <x v="2"/>
    <x v="0"/>
    <s v="RESCATE"/>
    <x v="22"/>
    <n v="93500000"/>
    <x v="6"/>
    <x v="0"/>
    <x v="0"/>
    <m/>
    <m/>
    <x v="0"/>
    <n v="-93500000"/>
  </r>
  <r>
    <d v="2026-07-23T00:00:00"/>
    <x v="3"/>
    <x v="0"/>
    <s v="RESCATE"/>
    <x v="2"/>
    <n v="1459728500"/>
    <x v="2"/>
    <x v="0"/>
    <x v="0"/>
    <m/>
    <m/>
    <x v="0"/>
    <n v="-1459728500"/>
  </r>
  <r>
    <d v="2026-07-23T00:00:00"/>
    <x v="3"/>
    <x v="0"/>
    <s v="RESCATE"/>
    <x v="2"/>
    <n v="1459728500"/>
    <x v="2"/>
    <x v="0"/>
    <x v="0"/>
    <m/>
    <m/>
    <x v="0"/>
    <n v="-1459728500"/>
  </r>
  <r>
    <d v="2026-07-23T00:00:00"/>
    <x v="3"/>
    <x v="2"/>
    <s v="SUSCRIPCION"/>
    <x v="8"/>
    <n v="1000000"/>
    <x v="2"/>
    <x v="3"/>
    <x v="1"/>
    <d v="2026-12-09T00:00:00"/>
    <n v="3.75"/>
    <x v="16"/>
    <n v="1000000"/>
  </r>
  <r>
    <d v="2026-07-23T00:00:00"/>
    <x v="2"/>
    <x v="0"/>
    <s v="SUSCRIPCION"/>
    <x v="2"/>
    <n v="1457963773.3499999"/>
    <x v="2"/>
    <x v="0"/>
    <x v="0"/>
    <m/>
    <m/>
    <x v="0"/>
    <n v="1457963773.3499999"/>
  </r>
  <r>
    <d v="2026-07-23T00:00:00"/>
    <x v="3"/>
    <x v="2"/>
    <s v="SUSCRIPCION"/>
    <x v="18"/>
    <n v="1000000"/>
    <x v="2"/>
    <x v="3"/>
    <x v="1"/>
    <d v="2026-12-09T00:00:00"/>
    <n v="3.75"/>
    <x v="16"/>
    <n v="1000000"/>
  </r>
  <r>
    <d v="2026-07-23T00:00:00"/>
    <x v="0"/>
    <x v="0"/>
    <s v="SUSCRIPCION"/>
    <x v="2"/>
    <n v="1456896088"/>
    <x v="2"/>
    <x v="0"/>
    <x v="0"/>
    <m/>
    <m/>
    <x v="0"/>
    <n v="1456896088"/>
  </r>
  <r>
    <d v="2026-07-24T00:00:00"/>
    <x v="3"/>
    <x v="0"/>
    <s v="RESCATE"/>
    <x v="1"/>
    <n v="1048800000"/>
    <x v="1"/>
    <x v="0"/>
    <x v="0"/>
    <m/>
    <m/>
    <x v="0"/>
    <n v="-1048800000"/>
  </r>
  <r>
    <d v="2026-07-24T00:00:00"/>
    <x v="0"/>
    <x v="0"/>
    <s v="SUSCRIPCION"/>
    <x v="1"/>
    <n v="499600000"/>
    <x v="1"/>
    <x v="0"/>
    <x v="0"/>
    <m/>
    <m/>
    <x v="0"/>
    <n v="499600000"/>
  </r>
  <r>
    <d v="2026-07-24T00:00:00"/>
    <x v="3"/>
    <x v="0"/>
    <s v="SUSCRIPCION"/>
    <x v="22"/>
    <n v="503000000"/>
    <x v="6"/>
    <x v="0"/>
    <x v="0"/>
    <m/>
    <m/>
    <x v="0"/>
    <n v="503000000"/>
  </r>
  <r>
    <d v="2026-07-24T00:00:00"/>
    <x v="0"/>
    <x v="0"/>
    <s v="SUSCRIPCION"/>
    <x v="0"/>
    <n v="591629010.72000003"/>
    <x v="0"/>
    <x v="0"/>
    <x v="0"/>
    <m/>
    <m/>
    <x v="0"/>
    <n v="591629010.72000003"/>
  </r>
  <r>
    <d v="2026-07-24T00:00:00"/>
    <x v="3"/>
    <x v="0"/>
    <s v="SUSCRIPCION"/>
    <x v="6"/>
    <n v="63000000"/>
    <x v="5"/>
    <x v="0"/>
    <x v="0"/>
    <m/>
    <m/>
    <x v="0"/>
    <n v="63000000"/>
  </r>
  <r>
    <d v="2026-07-27T00:00:00"/>
    <x v="0"/>
    <x v="0"/>
    <s v="RESCATE"/>
    <x v="1"/>
    <n v="14800000"/>
    <x v="1"/>
    <x v="0"/>
    <x v="0"/>
    <m/>
    <m/>
    <x v="0"/>
    <n v="-14800000"/>
  </r>
  <r>
    <d v="2026-07-27T00:00:00"/>
    <x v="3"/>
    <x v="0"/>
    <s v="RESCATE"/>
    <x v="1"/>
    <n v="2913300000"/>
    <x v="1"/>
    <x v="0"/>
    <x v="0"/>
    <m/>
    <m/>
    <x v="0"/>
    <n v="-2913300000"/>
  </r>
  <r>
    <d v="2026-07-27T00:00:00"/>
    <x v="3"/>
    <x v="0"/>
    <s v="SUSCRIPCION"/>
    <x v="6"/>
    <n v="2012000000"/>
    <x v="5"/>
    <x v="0"/>
    <x v="0"/>
    <m/>
    <m/>
    <x v="0"/>
    <n v="2012000000"/>
  </r>
  <r>
    <d v="2026-07-27T00:00:00"/>
    <x v="3"/>
    <x v="0"/>
    <s v="SUSCRIPCION"/>
    <x v="2"/>
    <n v="2000000000"/>
    <x v="2"/>
    <x v="0"/>
    <x v="0"/>
    <m/>
    <m/>
    <x v="0"/>
    <n v="2000000000"/>
  </r>
  <r>
    <d v="2026-07-27T00:00:00"/>
    <x v="3"/>
    <x v="0"/>
    <s v="RESCATE"/>
    <x v="6"/>
    <n v="2000000000"/>
    <x v="5"/>
    <x v="0"/>
    <x v="0"/>
    <m/>
    <m/>
    <x v="0"/>
    <n v="-2000000000"/>
  </r>
  <r>
    <d v="2026-07-27T00:00:00"/>
    <x v="0"/>
    <x v="0"/>
    <s v="RESCATE"/>
    <x v="1"/>
    <n v="705000000"/>
    <x v="1"/>
    <x v="0"/>
    <x v="0"/>
    <m/>
    <m/>
    <x v="0"/>
    <n v="-705000000"/>
  </r>
  <r>
    <d v="2026-07-27T00:00:00"/>
    <x v="2"/>
    <x v="0"/>
    <s v="RESCATE"/>
    <x v="22"/>
    <n v="287100000"/>
    <x v="6"/>
    <x v="0"/>
    <x v="0"/>
    <m/>
    <m/>
    <x v="0"/>
    <n v="-287100000"/>
  </r>
  <r>
    <d v="2026-07-28T00:00:00"/>
    <x v="3"/>
    <x v="0"/>
    <s v="RESCATE"/>
    <x v="12"/>
    <n v="157711027.30000001"/>
    <x v="9"/>
    <x v="0"/>
    <x v="0"/>
    <m/>
    <m/>
    <x v="0"/>
    <n v="-157711027.30000001"/>
  </r>
  <r>
    <d v="2026-07-28T00:00:00"/>
    <x v="0"/>
    <x v="0"/>
    <s v="RESCATE"/>
    <x v="0"/>
    <n v="117737122.8"/>
    <x v="0"/>
    <x v="0"/>
    <x v="0"/>
    <m/>
    <m/>
    <x v="0"/>
    <n v="-117737122.8"/>
  </r>
  <r>
    <d v="2026-07-28T00:00:00"/>
    <x v="0"/>
    <x v="0"/>
    <s v="RESCATE"/>
    <x v="0"/>
    <n v="50734175.299999997"/>
    <x v="0"/>
    <x v="0"/>
    <x v="0"/>
    <m/>
    <m/>
    <x v="0"/>
    <n v="-50734175.299999997"/>
  </r>
  <r>
    <d v="2026-07-28T00:00:00"/>
    <x v="3"/>
    <x v="0"/>
    <s v="RESCATE"/>
    <x v="0"/>
    <n v="300000000"/>
    <x v="0"/>
    <x v="0"/>
    <x v="0"/>
    <m/>
    <m/>
    <x v="0"/>
    <n v="-300000000"/>
  </r>
  <r>
    <d v="2026-07-28T00:00:00"/>
    <x v="3"/>
    <x v="0"/>
    <s v="RESCATE"/>
    <x v="0"/>
    <n v="62627278.329999998"/>
    <x v="0"/>
    <x v="0"/>
    <x v="0"/>
    <m/>
    <m/>
    <x v="0"/>
    <n v="-62627278.329999998"/>
  </r>
  <r>
    <d v="2026-07-28T00:00:00"/>
    <x v="3"/>
    <x v="0"/>
    <s v="RESCATE"/>
    <x v="5"/>
    <n v="233379922.63999999"/>
    <x v="4"/>
    <x v="0"/>
    <x v="0"/>
    <m/>
    <m/>
    <x v="0"/>
    <n v="-233379922.63999999"/>
  </r>
  <r>
    <d v="2026-07-28T00:00:00"/>
    <x v="0"/>
    <x v="0"/>
    <s v="RESCATE"/>
    <x v="2"/>
    <n v="141730496.03999999"/>
    <x v="2"/>
    <x v="0"/>
    <x v="0"/>
    <m/>
    <m/>
    <x v="0"/>
    <n v="-141730496.03999999"/>
  </r>
  <r>
    <d v="2026-07-28T00:00:00"/>
    <x v="0"/>
    <x v="0"/>
    <s v="RESCATE"/>
    <x v="2"/>
    <n v="128936949.98"/>
    <x v="2"/>
    <x v="0"/>
    <x v="0"/>
    <m/>
    <m/>
    <x v="0"/>
    <n v="-128936949.98"/>
  </r>
  <r>
    <d v="2026-07-28T00:00:00"/>
    <x v="3"/>
    <x v="0"/>
    <s v="RESCATE"/>
    <x v="22"/>
    <n v="614559313.14999998"/>
    <x v="6"/>
    <x v="0"/>
    <x v="0"/>
    <m/>
    <m/>
    <x v="0"/>
    <n v="-614559313.14999998"/>
  </r>
  <r>
    <d v="2026-07-28T00:00:00"/>
    <x v="3"/>
    <x v="0"/>
    <s v="RESCATE"/>
    <x v="16"/>
    <n v="113683646.87"/>
    <x v="13"/>
    <x v="0"/>
    <x v="0"/>
    <m/>
    <m/>
    <x v="0"/>
    <n v="-113683646.87"/>
  </r>
  <r>
    <d v="2026-07-28T00:00:00"/>
    <x v="3"/>
    <x v="0"/>
    <s v="RESCATE"/>
    <x v="16"/>
    <n v="74194350.819999993"/>
    <x v="13"/>
    <x v="0"/>
    <x v="0"/>
    <m/>
    <m/>
    <x v="0"/>
    <n v="-74194350.819999993"/>
  </r>
  <r>
    <d v="2026-07-28T00:00:00"/>
    <x v="2"/>
    <x v="0"/>
    <s v="RESCATE"/>
    <x v="2"/>
    <n v="396500000"/>
    <x v="2"/>
    <x v="0"/>
    <x v="0"/>
    <m/>
    <m/>
    <x v="0"/>
    <n v="-396500000"/>
  </r>
  <r>
    <d v="2026-07-28T00:00:00"/>
    <x v="1"/>
    <x v="0"/>
    <s v="RESCATE"/>
    <x v="1"/>
    <n v="5800000"/>
    <x v="1"/>
    <x v="0"/>
    <x v="0"/>
    <m/>
    <m/>
    <x v="0"/>
    <n v="-5800000"/>
  </r>
  <r>
    <d v="2026-07-28T00:00:00"/>
    <x v="3"/>
    <x v="0"/>
    <s v="RESCATE"/>
    <x v="1"/>
    <n v="2277800000"/>
    <x v="1"/>
    <x v="0"/>
    <x v="0"/>
    <m/>
    <m/>
    <x v="0"/>
    <n v="-2277800000"/>
  </r>
  <r>
    <d v="2026-07-28T00:00:00"/>
    <x v="0"/>
    <x v="0"/>
    <s v="SUSCRIPCION"/>
    <x v="1"/>
    <n v="37900000"/>
    <x v="1"/>
    <x v="0"/>
    <x v="0"/>
    <m/>
    <m/>
    <x v="0"/>
    <n v="37900000"/>
  </r>
  <r>
    <d v="2026-07-28T00:00:00"/>
    <x v="3"/>
    <x v="0"/>
    <s v="SUSCRIPCION"/>
    <x v="22"/>
    <n v="2012000000"/>
    <x v="6"/>
    <x v="0"/>
    <x v="0"/>
    <m/>
    <m/>
    <x v="0"/>
    <n v="2012000000"/>
  </r>
  <r>
    <d v="2026-07-29T00:00:00"/>
    <x v="3"/>
    <x v="0"/>
    <s v="RESCATE"/>
    <x v="1"/>
    <n v="597600000"/>
    <x v="1"/>
    <x v="0"/>
    <x v="0"/>
    <m/>
    <m/>
    <x v="0"/>
    <n v="-597600000"/>
  </r>
  <r>
    <d v="2026-07-29T00:00:00"/>
    <x v="0"/>
    <x v="0"/>
    <s v="SUSCRIPCION"/>
    <x v="1"/>
    <n v="114500000"/>
    <x v="1"/>
    <x v="0"/>
    <x v="0"/>
    <m/>
    <m/>
    <x v="0"/>
    <n v="114500000"/>
  </r>
  <r>
    <d v="2026-07-29T00:00:00"/>
    <x v="3"/>
    <x v="0"/>
    <s v="RESCATE"/>
    <x v="6"/>
    <n v="1000000000"/>
    <x v="5"/>
    <x v="0"/>
    <x v="0"/>
    <m/>
    <m/>
    <x v="0"/>
    <n v="-1000000000"/>
  </r>
  <r>
    <d v="2026-07-29T00:00:00"/>
    <x v="3"/>
    <x v="0"/>
    <s v="SUSCRIPCION"/>
    <x v="2"/>
    <n v="1000000000"/>
    <x v="2"/>
    <x v="0"/>
    <x v="0"/>
    <m/>
    <m/>
    <x v="0"/>
    <n v="1000000000"/>
  </r>
  <r>
    <d v="2026-07-29T00:00:00"/>
    <x v="2"/>
    <x v="0"/>
    <s v="RESCATE"/>
    <x v="2"/>
    <n v="61500000"/>
    <x v="2"/>
    <x v="0"/>
    <x v="0"/>
    <m/>
    <m/>
    <x v="0"/>
    <n v="-61500000"/>
  </r>
  <r>
    <d v="2026-07-30T00:00:00"/>
    <x v="3"/>
    <x v="0"/>
    <s v="RESCATE"/>
    <x v="2"/>
    <n v="590941913.20000005"/>
    <x v="2"/>
    <x v="0"/>
    <x v="0"/>
    <m/>
    <m/>
    <x v="0"/>
    <n v="-590941913.20000005"/>
  </r>
  <r>
    <d v="2026-07-30T00:00:00"/>
    <x v="0"/>
    <x v="0"/>
    <s v="SUSCRIPCION"/>
    <x v="0"/>
    <n v="46957493.82"/>
    <x v="0"/>
    <x v="0"/>
    <x v="0"/>
    <m/>
    <m/>
    <x v="0"/>
    <n v="46957493.82"/>
  </r>
  <r>
    <d v="2026-07-30T00:00:00"/>
    <x v="2"/>
    <x v="0"/>
    <s v="RESCATE"/>
    <x v="22"/>
    <n v="104100000"/>
    <x v="6"/>
    <x v="0"/>
    <x v="0"/>
    <m/>
    <m/>
    <x v="0"/>
    <n v="-104100000"/>
  </r>
  <r>
    <d v="2026-07-30T00:00:00"/>
    <x v="3"/>
    <x v="0"/>
    <s v="RESCATE"/>
    <x v="22"/>
    <n v="1500000000"/>
    <x v="6"/>
    <x v="0"/>
    <x v="0"/>
    <m/>
    <m/>
    <x v="0"/>
    <n v="-1500000000"/>
  </r>
  <r>
    <d v="2026-07-30T00:00:00"/>
    <x v="3"/>
    <x v="0"/>
    <s v="RESCATE"/>
    <x v="22"/>
    <n v="66067062.600000001"/>
    <x v="6"/>
    <x v="0"/>
    <x v="0"/>
    <m/>
    <m/>
    <x v="0"/>
    <n v="-66067062.600000001"/>
  </r>
  <r>
    <d v="2026-07-30T00:00:00"/>
    <x v="2"/>
    <x v="0"/>
    <s v="SUSCRIPCION"/>
    <x v="22"/>
    <n v="70000000"/>
    <x v="6"/>
    <x v="0"/>
    <x v="0"/>
    <m/>
    <m/>
    <x v="0"/>
    <n v="70000000"/>
  </r>
  <r>
    <d v="2026-07-30T00:00:00"/>
    <x v="0"/>
    <x v="0"/>
    <s v="SUSCRIPCION"/>
    <x v="2"/>
    <n v="6730000"/>
    <x v="2"/>
    <x v="0"/>
    <x v="0"/>
    <m/>
    <m/>
    <x v="0"/>
    <n v="6730000"/>
  </r>
  <r>
    <d v="2026-07-30T00:00:00"/>
    <x v="0"/>
    <x v="0"/>
    <s v="SUSCRIPCION"/>
    <x v="5"/>
    <n v="9370000"/>
    <x v="4"/>
    <x v="0"/>
    <x v="0"/>
    <m/>
    <m/>
    <x v="0"/>
    <n v="9370000"/>
  </r>
  <r>
    <d v="2026-07-30T00:00:00"/>
    <x v="2"/>
    <x v="0"/>
    <s v="SUSCRIPCION"/>
    <x v="2"/>
    <n v="4870000"/>
    <x v="2"/>
    <x v="0"/>
    <x v="0"/>
    <m/>
    <m/>
    <x v="0"/>
    <n v="4870000"/>
  </r>
  <r>
    <d v="2026-07-30T00:00:00"/>
    <x v="1"/>
    <x v="0"/>
    <s v="SUSCRIPCION"/>
    <x v="1"/>
    <n v="2240000"/>
    <x v="1"/>
    <x v="0"/>
    <x v="0"/>
    <m/>
    <m/>
    <x v="0"/>
    <n v="2240000"/>
  </r>
  <r>
    <d v="2026-07-30T00:00:00"/>
    <x v="1"/>
    <x v="0"/>
    <s v="RESCATE"/>
    <x v="1"/>
    <n v="300000"/>
    <x v="1"/>
    <x v="0"/>
    <x v="0"/>
    <m/>
    <m/>
    <x v="0"/>
    <n v="-300000"/>
  </r>
  <r>
    <d v="2026-07-30T00:00:00"/>
    <x v="0"/>
    <x v="0"/>
    <s v="RESCATE"/>
    <x v="1"/>
    <n v="9900000"/>
    <x v="1"/>
    <x v="0"/>
    <x v="0"/>
    <m/>
    <m/>
    <x v="0"/>
    <n v="-9900000"/>
  </r>
  <r>
    <d v="2026-07-30T00:00:00"/>
    <x v="3"/>
    <x v="0"/>
    <s v="RESCATE"/>
    <x v="1"/>
    <n v="86400000"/>
    <x v="1"/>
    <x v="0"/>
    <x v="0"/>
    <m/>
    <m/>
    <x v="0"/>
    <n v="-86400000"/>
  </r>
  <r>
    <d v="2026-07-30T00:00:00"/>
    <x v="3"/>
    <x v="0"/>
    <s v="SUSCRIPCION"/>
    <x v="1"/>
    <n v="22320000"/>
    <x v="1"/>
    <x v="0"/>
    <x v="0"/>
    <m/>
    <m/>
    <x v="0"/>
    <n v="22320000"/>
  </r>
  <r>
    <d v="2026-07-30T00:00:00"/>
    <x v="3"/>
    <x v="0"/>
    <s v="RESCATE"/>
    <x v="2"/>
    <n v="3490000"/>
    <x v="2"/>
    <x v="0"/>
    <x v="0"/>
    <m/>
    <m/>
    <x v="0"/>
    <n v="-3490000"/>
  </r>
  <r>
    <d v="2026-07-30T00:00:00"/>
    <x v="3"/>
    <x v="0"/>
    <s v="SUSCRIPCION"/>
    <x v="0"/>
    <n v="1640000"/>
    <x v="0"/>
    <x v="0"/>
    <x v="0"/>
    <m/>
    <m/>
    <x v="0"/>
    <n v="1640000"/>
  </r>
  <r>
    <d v="2026-07-30T00:00:00"/>
    <x v="3"/>
    <x v="0"/>
    <s v="SUSCRIPCION"/>
    <x v="12"/>
    <n v="4960000"/>
    <x v="9"/>
    <x v="0"/>
    <x v="0"/>
    <m/>
    <m/>
    <x v="0"/>
    <n v="4960000"/>
  </r>
  <r>
    <d v="2026-07-30T00:00:00"/>
    <x v="3"/>
    <x v="0"/>
    <s v="SUSCRIPCION"/>
    <x v="5"/>
    <n v="18400000"/>
    <x v="4"/>
    <x v="0"/>
    <x v="0"/>
    <m/>
    <m/>
    <x v="0"/>
    <n v="18400000"/>
  </r>
  <r>
    <d v="2026-07-30T00:00:00"/>
    <x v="3"/>
    <x v="0"/>
    <s v="SUSCRIPCION"/>
    <x v="15"/>
    <n v="13110000"/>
    <x v="12"/>
    <x v="0"/>
    <x v="0"/>
    <m/>
    <m/>
    <x v="0"/>
    <n v="13110000"/>
  </r>
  <r>
    <d v="2026-07-30T00:00:00"/>
    <x v="3"/>
    <x v="0"/>
    <s v="SUSCRIPCION"/>
    <x v="6"/>
    <n v="21105000"/>
    <x v="5"/>
    <x v="0"/>
    <x v="0"/>
    <m/>
    <m/>
    <x v="0"/>
    <n v="21105000"/>
  </r>
  <r>
    <d v="2026-07-31T00:00:00"/>
    <x v="1"/>
    <x v="0"/>
    <s v="RESCATE"/>
    <x v="1"/>
    <n v="18000000"/>
    <x v="1"/>
    <x v="0"/>
    <x v="0"/>
    <m/>
    <m/>
    <x v="0"/>
    <n v="-18000000"/>
  </r>
  <r>
    <d v="2026-07-31T00:00:00"/>
    <x v="0"/>
    <x v="0"/>
    <s v="RESCATE"/>
    <x v="1"/>
    <n v="60500000"/>
    <x v="1"/>
    <x v="0"/>
    <x v="0"/>
    <m/>
    <m/>
    <x v="0"/>
    <n v="-60500000"/>
  </r>
  <r>
    <d v="2026-07-31T00:00:00"/>
    <x v="3"/>
    <x v="0"/>
    <s v="SUSCRIPCION"/>
    <x v="6"/>
    <n v="861800000"/>
    <x v="5"/>
    <x v="0"/>
    <x v="0"/>
    <m/>
    <m/>
    <x v="0"/>
    <n v="861800000"/>
  </r>
  <r>
    <d v="2026-07-31T00:00:00"/>
    <x v="2"/>
    <x v="0"/>
    <s v="RESCATE"/>
    <x v="22"/>
    <n v="56700000"/>
    <x v="6"/>
    <x v="0"/>
    <x v="0"/>
    <m/>
    <m/>
    <x v="0"/>
    <n v="-56700000"/>
  </r>
  <r>
    <d v="2026-08-03T00:00:00"/>
    <x v="2"/>
    <x v="0"/>
    <s v="RESCATE"/>
    <x v="2"/>
    <n v="300000000"/>
    <x v="2"/>
    <x v="0"/>
    <x v="0"/>
    <m/>
    <m/>
    <x v="0"/>
    <n v="-300000000"/>
  </r>
  <r>
    <d v="2026-08-03T00:00:00"/>
    <x v="1"/>
    <x v="0"/>
    <s v="RESCATE"/>
    <x v="1"/>
    <n v="5300000"/>
    <x v="1"/>
    <x v="0"/>
    <x v="0"/>
    <m/>
    <m/>
    <x v="0"/>
    <n v="-5300000"/>
  </r>
  <r>
    <d v="2026-08-03T00:00:00"/>
    <x v="3"/>
    <x v="0"/>
    <s v="RESCATE"/>
    <x v="6"/>
    <n v="1572200000"/>
    <x v="5"/>
    <x v="0"/>
    <x v="0"/>
    <m/>
    <m/>
    <x v="0"/>
    <n v="-1572200000"/>
  </r>
  <r>
    <d v="2026-08-03T00:00:00"/>
    <x v="0"/>
    <x v="0"/>
    <s v="SUSCRIPCION"/>
    <x v="1"/>
    <n v="99100000"/>
    <x v="1"/>
    <x v="0"/>
    <x v="0"/>
    <m/>
    <m/>
    <x v="0"/>
    <n v="99100000"/>
  </r>
  <r>
    <d v="2026-08-03T00:00:00"/>
    <x v="2"/>
    <x v="0"/>
    <s v="SUSCRIPCION"/>
    <x v="1"/>
    <n v="5900000"/>
    <x v="1"/>
    <x v="0"/>
    <x v="0"/>
    <m/>
    <m/>
    <x v="0"/>
    <n v="5900000"/>
  </r>
  <r>
    <d v="2026-08-04T00:00:00"/>
    <x v="3"/>
    <x v="0"/>
    <s v="RESCATE"/>
    <x v="1"/>
    <n v="356200000"/>
    <x v="1"/>
    <x v="0"/>
    <x v="0"/>
    <m/>
    <m/>
    <x v="0"/>
    <n v="-356200000"/>
  </r>
  <r>
    <d v="2026-08-04T00:00:00"/>
    <x v="0"/>
    <x v="0"/>
    <s v="RESCATE"/>
    <x v="1"/>
    <n v="2300000"/>
    <x v="1"/>
    <x v="0"/>
    <x v="0"/>
    <m/>
    <m/>
    <x v="0"/>
    <n v="-2300000"/>
  </r>
  <r>
    <d v="2026-08-04T00:00:00"/>
    <x v="1"/>
    <x v="0"/>
    <s v="RESCATE"/>
    <x v="1"/>
    <n v="8100000"/>
    <x v="1"/>
    <x v="0"/>
    <x v="0"/>
    <m/>
    <m/>
    <x v="0"/>
    <n v="-8100000"/>
  </r>
  <r>
    <d v="2026-08-04T00:00:00"/>
    <x v="2"/>
    <x v="0"/>
    <s v="RESCATE"/>
    <x v="22"/>
    <n v="60900000"/>
    <x v="6"/>
    <x v="0"/>
    <x v="0"/>
    <m/>
    <m/>
    <x v="0"/>
    <n v="-60900000"/>
  </r>
  <r>
    <d v="2026-08-04T00:00:00"/>
    <x v="3"/>
    <x v="0"/>
    <s v="SUSCRIPCION"/>
    <x v="6"/>
    <n v="5966000000"/>
    <x v="5"/>
    <x v="0"/>
    <x v="0"/>
    <m/>
    <m/>
    <x v="0"/>
    <n v="5966000000"/>
  </r>
  <r>
    <d v="2026-08-05T00:00:00"/>
    <x v="0"/>
    <x v="0"/>
    <s v="RESCATE"/>
    <x v="1"/>
    <n v="105800000"/>
    <x v="1"/>
    <x v="0"/>
    <x v="0"/>
    <m/>
    <m/>
    <x v="0"/>
    <n v="-105800000"/>
  </r>
  <r>
    <d v="2026-08-05T00:00:00"/>
    <x v="3"/>
    <x v="0"/>
    <s v="RESCATE"/>
    <x v="6"/>
    <n v="133500000"/>
    <x v="5"/>
    <x v="0"/>
    <x v="0"/>
    <m/>
    <m/>
    <x v="0"/>
    <n v="-133500000"/>
  </r>
  <r>
    <d v="2026-08-05T00:00:00"/>
    <x v="2"/>
    <x v="0"/>
    <s v="SUSCRIPCION"/>
    <x v="6"/>
    <n v="4300000"/>
    <x v="5"/>
    <x v="0"/>
    <x v="0"/>
    <m/>
    <m/>
    <x v="0"/>
    <n v="4300000"/>
  </r>
  <r>
    <d v="2026-08-05T00:00:00"/>
    <x v="0"/>
    <x v="0"/>
    <s v="RESCATE"/>
    <x v="0"/>
    <n v="20342116.489999998"/>
    <x v="0"/>
    <x v="0"/>
    <x v="0"/>
    <m/>
    <m/>
    <x v="0"/>
    <n v="-20342116.489999998"/>
  </r>
  <r>
    <d v="2026-08-05T00:00:00"/>
    <x v="0"/>
    <x v="0"/>
    <s v="RESCATE"/>
    <x v="0"/>
    <n v="34933544.270000003"/>
    <x v="0"/>
    <x v="0"/>
    <x v="0"/>
    <m/>
    <m/>
    <x v="0"/>
    <n v="-34933544.270000003"/>
  </r>
  <r>
    <d v="2026-08-05T00:00:00"/>
    <x v="2"/>
    <x v="0"/>
    <s v="RESCATE"/>
    <x v="2"/>
    <n v="750000000"/>
    <x v="2"/>
    <x v="0"/>
    <x v="0"/>
    <m/>
    <m/>
    <x v="0"/>
    <n v="-750000000"/>
  </r>
  <r>
    <d v="2026-08-05T00:00:00"/>
    <x v="2"/>
    <x v="0"/>
    <s v="RESCATE"/>
    <x v="22"/>
    <n v="100000000"/>
    <x v="6"/>
    <x v="0"/>
    <x v="0"/>
    <m/>
    <m/>
    <x v="0"/>
    <n v="-100000000"/>
  </r>
  <r>
    <d v="2026-08-06T00:00:00"/>
    <x v="1"/>
    <x v="0"/>
    <s v="RESCATE"/>
    <x v="1"/>
    <n v="101600000"/>
    <x v="1"/>
    <x v="0"/>
    <x v="0"/>
    <m/>
    <m/>
    <x v="0"/>
    <n v="-101600000"/>
  </r>
  <r>
    <d v="2026-08-06T00:00:00"/>
    <x v="3"/>
    <x v="0"/>
    <s v="RESCATE"/>
    <x v="6"/>
    <n v="2002900000"/>
    <x v="5"/>
    <x v="0"/>
    <x v="0"/>
    <m/>
    <m/>
    <x v="0"/>
    <n v="-2002900000"/>
  </r>
  <r>
    <d v="2026-08-06T00:00:00"/>
    <x v="0"/>
    <x v="0"/>
    <s v="SUSCRIPCION"/>
    <x v="1"/>
    <n v="24500000"/>
    <x v="1"/>
    <x v="0"/>
    <x v="0"/>
    <m/>
    <m/>
    <x v="0"/>
    <n v="24500000"/>
  </r>
  <r>
    <d v="2026-08-06T00:00:00"/>
    <x v="2"/>
    <x v="0"/>
    <s v="SUSCRIPCION"/>
    <x v="6"/>
    <n v="218800000"/>
    <x v="5"/>
    <x v="0"/>
    <x v="0"/>
    <m/>
    <m/>
    <x v="0"/>
    <n v="218800000"/>
  </r>
  <r>
    <d v="2026-08-06T00:00:00"/>
    <x v="3"/>
    <x v="0"/>
    <s v="RESCATE"/>
    <x v="22"/>
    <n v="20338305.300000001"/>
    <x v="6"/>
    <x v="0"/>
    <x v="0"/>
    <m/>
    <m/>
    <x v="0"/>
    <n v="-20338305.300000001"/>
  </r>
  <r>
    <d v="2026-08-06T00:00:00"/>
    <x v="2"/>
    <x v="0"/>
    <s v="SUSCRIPCION"/>
    <x v="22"/>
    <n v="400000000"/>
    <x v="6"/>
    <x v="0"/>
    <x v="0"/>
    <m/>
    <m/>
    <x v="0"/>
    <n v="400000000"/>
  </r>
  <r>
    <d v="2026-08-06T00:00:00"/>
    <x v="0"/>
    <x v="0"/>
    <s v="SUSCRIPCION"/>
    <x v="1"/>
    <n v="5556000"/>
    <x v="1"/>
    <x v="0"/>
    <x v="0"/>
    <m/>
    <m/>
    <x v="0"/>
    <n v="5556000"/>
  </r>
  <r>
    <d v="2026-08-06T00:00:00"/>
    <x v="0"/>
    <x v="0"/>
    <s v="SUSCRIPCION"/>
    <x v="2"/>
    <n v="6140000"/>
    <x v="2"/>
    <x v="0"/>
    <x v="0"/>
    <m/>
    <m/>
    <x v="0"/>
    <n v="6140000"/>
  </r>
  <r>
    <d v="2026-08-06T00:00:00"/>
    <x v="0"/>
    <x v="0"/>
    <s v="SUSCRIPCION"/>
    <x v="0"/>
    <n v="4790000"/>
    <x v="0"/>
    <x v="0"/>
    <x v="0"/>
    <m/>
    <m/>
    <x v="0"/>
    <n v="4790000"/>
  </r>
  <r>
    <d v="2026-08-06T00:00:00"/>
    <x v="1"/>
    <x v="0"/>
    <s v="SUSCRIPCION"/>
    <x v="1"/>
    <n v="2750000"/>
    <x v="1"/>
    <x v="0"/>
    <x v="0"/>
    <m/>
    <m/>
    <x v="0"/>
    <n v="2750000"/>
  </r>
  <r>
    <d v="2026-08-06T00:00:00"/>
    <x v="3"/>
    <x v="0"/>
    <s v="SUSCRIPCION"/>
    <x v="1"/>
    <n v="3470000"/>
    <x v="1"/>
    <x v="0"/>
    <x v="0"/>
    <m/>
    <m/>
    <x v="0"/>
    <n v="3470000"/>
  </r>
  <r>
    <d v="2026-08-06T00:00:00"/>
    <x v="3"/>
    <x v="0"/>
    <s v="SUSCRIPCION"/>
    <x v="2"/>
    <n v="21000000"/>
    <x v="2"/>
    <x v="0"/>
    <x v="0"/>
    <m/>
    <m/>
    <x v="0"/>
    <n v="21000000"/>
  </r>
  <r>
    <d v="2026-08-06T00:00:00"/>
    <x v="3"/>
    <x v="0"/>
    <s v="SUSCRIPCION"/>
    <x v="5"/>
    <n v="1000000"/>
    <x v="4"/>
    <x v="0"/>
    <x v="0"/>
    <m/>
    <m/>
    <x v="0"/>
    <n v="1000000"/>
  </r>
  <r>
    <d v="2026-08-06T00:00:00"/>
    <x v="3"/>
    <x v="0"/>
    <s v="SUSCRIPCION"/>
    <x v="15"/>
    <n v="2280000"/>
    <x v="12"/>
    <x v="0"/>
    <x v="0"/>
    <m/>
    <m/>
    <x v="0"/>
    <n v="2280000"/>
  </r>
  <r>
    <d v="2026-08-06T00:00:00"/>
    <x v="3"/>
    <x v="0"/>
    <s v="SUSCRIPCION"/>
    <x v="6"/>
    <n v="18600000"/>
    <x v="5"/>
    <x v="0"/>
    <x v="0"/>
    <m/>
    <m/>
    <x v="0"/>
    <n v="18600000"/>
  </r>
  <r>
    <d v="2026-08-06T00:00:00"/>
    <x v="2"/>
    <x v="0"/>
    <s v="SUSCRIPCION"/>
    <x v="22"/>
    <n v="20640000"/>
    <x v="6"/>
    <x v="0"/>
    <x v="0"/>
    <m/>
    <m/>
    <x v="0"/>
    <n v="20640000"/>
  </r>
  <r>
    <d v="2026-08-06T00:00:00"/>
    <x v="3"/>
    <x v="0"/>
    <s v="SUSCRIPCION"/>
    <x v="23"/>
    <n v="6450000"/>
    <x v="6"/>
    <x v="1"/>
    <x v="0"/>
    <m/>
    <m/>
    <x v="0"/>
    <n v="6450000"/>
  </r>
  <r>
    <d v="2026-08-06T00:00:00"/>
    <x v="3"/>
    <x v="0"/>
    <s v="SUSCRIPCION"/>
    <x v="22"/>
    <n v="6130000"/>
    <x v="6"/>
    <x v="0"/>
    <x v="0"/>
    <m/>
    <m/>
    <x v="0"/>
    <n v="6130000"/>
  </r>
  <r>
    <d v="2026-08-07T00:00:00"/>
    <x v="1"/>
    <x v="0"/>
    <s v="RESCATE"/>
    <x v="1"/>
    <n v="200000"/>
    <x v="1"/>
    <x v="0"/>
    <x v="0"/>
    <m/>
    <m/>
    <x v="0"/>
    <n v="-200000"/>
  </r>
  <r>
    <d v="2026-08-07T00:00:00"/>
    <x v="2"/>
    <x v="0"/>
    <s v="RESCATE"/>
    <x v="6"/>
    <n v="41900000"/>
    <x v="5"/>
    <x v="0"/>
    <x v="0"/>
    <m/>
    <m/>
    <x v="0"/>
    <n v="-41900000"/>
  </r>
  <r>
    <d v="2026-08-07T00:00:00"/>
    <x v="3"/>
    <x v="0"/>
    <s v="RESCATE"/>
    <x v="6"/>
    <n v="224000000"/>
    <x v="5"/>
    <x v="0"/>
    <x v="0"/>
    <m/>
    <m/>
    <x v="0"/>
    <n v="-224000000"/>
  </r>
  <r>
    <d v="2026-08-07T00:00:00"/>
    <x v="0"/>
    <x v="0"/>
    <s v="SUSCRIPCION"/>
    <x v="1"/>
    <n v="116700000"/>
    <x v="1"/>
    <x v="0"/>
    <x v="0"/>
    <m/>
    <m/>
    <x v="0"/>
    <n v="116700000"/>
  </r>
  <r>
    <d v="2026-08-07T00:00:00"/>
    <x v="2"/>
    <x v="0"/>
    <s v="RESCATE"/>
    <x v="22"/>
    <n v="67261617"/>
    <x v="6"/>
    <x v="0"/>
    <x v="0"/>
    <m/>
    <m/>
    <x v="0"/>
    <n v="-67261617"/>
  </r>
  <r>
    <d v="2026-08-10T00:00:00"/>
    <x v="3"/>
    <x v="0"/>
    <s v="RESCATE"/>
    <x v="2"/>
    <n v="2292750000"/>
    <x v="2"/>
    <x v="0"/>
    <x v="0"/>
    <m/>
    <m/>
    <x v="0"/>
    <n v="-2292750000"/>
  </r>
  <r>
    <d v="2026-08-10T00:00:00"/>
    <x v="0"/>
    <x v="0"/>
    <s v="RESCATE"/>
    <x v="1"/>
    <n v="122200000"/>
    <x v="1"/>
    <x v="0"/>
    <x v="0"/>
    <m/>
    <m/>
    <x v="0"/>
    <n v="-122200000"/>
  </r>
  <r>
    <d v="2026-08-10T00:00:00"/>
    <x v="1"/>
    <x v="0"/>
    <s v="RESCATE"/>
    <x v="1"/>
    <n v="20100000"/>
    <x v="1"/>
    <x v="0"/>
    <x v="0"/>
    <m/>
    <m/>
    <x v="0"/>
    <n v="-20100000"/>
  </r>
  <r>
    <d v="2026-08-10T00:00:00"/>
    <x v="2"/>
    <x v="0"/>
    <s v="RESCATE"/>
    <x v="6"/>
    <n v="147700000"/>
    <x v="5"/>
    <x v="0"/>
    <x v="0"/>
    <m/>
    <m/>
    <x v="0"/>
    <n v="-147700000"/>
  </r>
  <r>
    <d v="2026-08-10T00:00:00"/>
    <x v="3"/>
    <x v="0"/>
    <s v="RESCATE"/>
    <x v="6"/>
    <n v="2507100000"/>
    <x v="5"/>
    <x v="0"/>
    <x v="0"/>
    <m/>
    <m/>
    <x v="0"/>
    <n v="-2507100000"/>
  </r>
  <r>
    <d v="2026-08-10T00:00:00"/>
    <x v="3"/>
    <x v="0"/>
    <s v="RESCATE"/>
    <x v="6"/>
    <n v="800000"/>
    <x v="5"/>
    <x v="0"/>
    <x v="0"/>
    <m/>
    <m/>
    <x v="0"/>
    <n v="-800000"/>
  </r>
  <r>
    <d v="2026-08-10T00:00:00"/>
    <x v="0"/>
    <x v="0"/>
    <s v="SUSCRIPCION"/>
    <x v="5"/>
    <n v="54467718.579999998"/>
    <x v="4"/>
    <x v="0"/>
    <x v="0"/>
    <m/>
    <m/>
    <x v="0"/>
    <n v="54467718.579999998"/>
  </r>
  <r>
    <d v="2026-08-11T00:00:00"/>
    <x v="3"/>
    <x v="0"/>
    <s v="SUSCRIPCION"/>
    <x v="2"/>
    <n v="10198049.15"/>
    <x v="2"/>
    <x v="0"/>
    <x v="0"/>
    <m/>
    <m/>
    <x v="0"/>
    <n v="10198049.15"/>
  </r>
  <r>
    <d v="2026-08-11T00:00:00"/>
    <x v="1"/>
    <x v="0"/>
    <s v="RESCATE"/>
    <x v="1"/>
    <n v="200000"/>
    <x v="1"/>
    <x v="0"/>
    <x v="0"/>
    <m/>
    <m/>
    <x v="0"/>
    <n v="-200000"/>
  </r>
  <r>
    <d v="2026-08-11T00:00:00"/>
    <x v="3"/>
    <x v="0"/>
    <s v="RESCATE"/>
    <x v="6"/>
    <n v="556300000"/>
    <x v="5"/>
    <x v="0"/>
    <x v="0"/>
    <m/>
    <m/>
    <x v="0"/>
    <n v="-556300000"/>
  </r>
  <r>
    <d v="2026-08-11T00:00:00"/>
    <x v="0"/>
    <x v="0"/>
    <s v="SUSCRIPCION"/>
    <x v="1"/>
    <n v="39500000"/>
    <x v="1"/>
    <x v="0"/>
    <x v="0"/>
    <m/>
    <m/>
    <x v="0"/>
    <n v="39500000"/>
  </r>
  <r>
    <d v="2026-08-11T00:00:00"/>
    <x v="3"/>
    <x v="0"/>
    <s v="RESCATE"/>
    <x v="16"/>
    <n v="62360058.359999999"/>
    <x v="13"/>
    <x v="0"/>
    <x v="0"/>
    <m/>
    <m/>
    <x v="0"/>
    <n v="-62360058.359999999"/>
  </r>
  <r>
    <d v="2026-08-11T00:00:00"/>
    <x v="3"/>
    <x v="0"/>
    <s v="RESCATE"/>
    <x v="16"/>
    <n v="81468627.400000006"/>
    <x v="13"/>
    <x v="0"/>
    <x v="0"/>
    <m/>
    <m/>
    <x v="0"/>
    <n v="-81468627.400000006"/>
  </r>
  <r>
    <d v="2026-08-11T00:00:00"/>
    <x v="3"/>
    <x v="0"/>
    <s v="RESCATE"/>
    <x v="2"/>
    <n v="174587664.81"/>
    <x v="2"/>
    <x v="0"/>
    <x v="0"/>
    <m/>
    <m/>
    <x v="0"/>
    <n v="-174587664.81"/>
  </r>
  <r>
    <d v="2026-08-11T00:00:00"/>
    <x v="3"/>
    <x v="0"/>
    <s v="RESCATE"/>
    <x v="2"/>
    <n v="110334753.45"/>
    <x v="2"/>
    <x v="0"/>
    <x v="0"/>
    <m/>
    <m/>
    <x v="0"/>
    <n v="-110334753.45"/>
  </r>
  <r>
    <d v="2026-08-11T00:00:00"/>
    <x v="3"/>
    <x v="0"/>
    <s v="RESCATE"/>
    <x v="22"/>
    <n v="96842331.650000006"/>
    <x v="6"/>
    <x v="0"/>
    <x v="0"/>
    <m/>
    <m/>
    <x v="0"/>
    <n v="-96842331.650000006"/>
  </r>
  <r>
    <d v="2026-08-11T00:00:00"/>
    <x v="3"/>
    <x v="0"/>
    <s v="RESCATE"/>
    <x v="22"/>
    <n v="93071809.319999993"/>
    <x v="6"/>
    <x v="0"/>
    <x v="0"/>
    <m/>
    <m/>
    <x v="0"/>
    <n v="-93071809.319999993"/>
  </r>
  <r>
    <d v="2026-08-11T00:00:00"/>
    <x v="3"/>
    <x v="0"/>
    <s v="RESCATE"/>
    <x v="6"/>
    <n v="1000000000"/>
    <x v="5"/>
    <x v="0"/>
    <x v="0"/>
    <m/>
    <m/>
    <x v="0"/>
    <n v="-1000000000"/>
  </r>
  <r>
    <d v="2026-08-11T00:00:00"/>
    <x v="3"/>
    <x v="0"/>
    <s v="SUSCRIPCION"/>
    <x v="0"/>
    <n v="500000000"/>
    <x v="0"/>
    <x v="0"/>
    <x v="0"/>
    <m/>
    <m/>
    <x v="0"/>
    <n v="500000000"/>
  </r>
  <r>
    <d v="2026-08-11T00:00:00"/>
    <x v="3"/>
    <x v="0"/>
    <s v="SUSCRIPCION"/>
    <x v="16"/>
    <n v="500000000"/>
    <x v="13"/>
    <x v="0"/>
    <x v="0"/>
    <m/>
    <m/>
    <x v="0"/>
    <n v="500000000"/>
  </r>
  <r>
    <d v="2026-08-11T00:00:00"/>
    <x v="2"/>
    <x v="0"/>
    <s v="RESCATE"/>
    <x v="22"/>
    <n v="317400000"/>
    <x v="6"/>
    <x v="0"/>
    <x v="0"/>
    <m/>
    <m/>
    <x v="0"/>
    <n v="-317400000"/>
  </r>
  <r>
    <d v="2026-08-12T00:00:00"/>
    <x v="0"/>
    <x v="0"/>
    <s v="RESCATE"/>
    <x v="1"/>
    <n v="57100000"/>
    <x v="1"/>
    <x v="0"/>
    <x v="0"/>
    <m/>
    <m/>
    <x v="0"/>
    <n v="-57100000"/>
  </r>
  <r>
    <d v="2026-08-12T00:00:00"/>
    <x v="1"/>
    <x v="0"/>
    <s v="SUSCRIPCION"/>
    <x v="1"/>
    <n v="366100000"/>
    <x v="1"/>
    <x v="0"/>
    <x v="0"/>
    <m/>
    <m/>
    <x v="0"/>
    <n v="366100000"/>
  </r>
  <r>
    <d v="2026-08-12T00:00:00"/>
    <x v="3"/>
    <x v="0"/>
    <s v="RESCATE"/>
    <x v="6"/>
    <n v="1320100000"/>
    <x v="5"/>
    <x v="0"/>
    <x v="0"/>
    <m/>
    <m/>
    <x v="0"/>
    <n v="-1320100000"/>
  </r>
  <r>
    <d v="2026-08-12T00:00:00"/>
    <x v="0"/>
    <x v="0"/>
    <s v="RESCATE"/>
    <x v="2"/>
    <n v="58665862.020000003"/>
    <x v="2"/>
    <x v="0"/>
    <x v="0"/>
    <m/>
    <m/>
    <x v="0"/>
    <n v="-58665862.020000003"/>
  </r>
  <r>
    <d v="2026-08-12T00:00:00"/>
    <x v="0"/>
    <x v="0"/>
    <s v="RESCATE"/>
    <x v="2"/>
    <n v="118942427.8"/>
    <x v="2"/>
    <x v="0"/>
    <x v="0"/>
    <m/>
    <m/>
    <x v="0"/>
    <n v="-118942427.8"/>
  </r>
  <r>
    <d v="2026-08-12T00:00:00"/>
    <x v="2"/>
    <x v="0"/>
    <s v="RESCATE"/>
    <x v="22"/>
    <n v="76900000"/>
    <x v="6"/>
    <x v="0"/>
    <x v="0"/>
    <m/>
    <m/>
    <x v="0"/>
    <n v="-76900000"/>
  </r>
  <r>
    <d v="2026-08-12T00:00:00"/>
    <x v="2"/>
    <x v="0"/>
    <s v="SUSCRIPCION"/>
    <x v="2"/>
    <n v="3500000"/>
    <x v="2"/>
    <x v="0"/>
    <x v="0"/>
    <m/>
    <m/>
    <x v="0"/>
    <n v="3500000"/>
  </r>
  <r>
    <d v="2026-08-12T00:00:00"/>
    <x v="0"/>
    <x v="0"/>
    <s v="SUSCRIPCION"/>
    <x v="1"/>
    <n v="2100000"/>
    <x v="1"/>
    <x v="0"/>
    <x v="0"/>
    <m/>
    <m/>
    <x v="0"/>
    <n v="2100000"/>
  </r>
  <r>
    <d v="2026-08-12T00:00:00"/>
    <x v="0"/>
    <x v="0"/>
    <s v="SUSCRIPCION"/>
    <x v="2"/>
    <n v="4500000"/>
    <x v="2"/>
    <x v="0"/>
    <x v="0"/>
    <m/>
    <m/>
    <x v="0"/>
    <n v="4500000"/>
  </r>
  <r>
    <d v="2026-08-12T00:00:00"/>
    <x v="0"/>
    <x v="0"/>
    <s v="SUSCRIPCION"/>
    <x v="0"/>
    <n v="2200000"/>
    <x v="0"/>
    <x v="0"/>
    <x v="0"/>
    <m/>
    <m/>
    <x v="0"/>
    <n v="2200000"/>
  </r>
  <r>
    <d v="2026-08-12T00:00:00"/>
    <x v="1"/>
    <x v="0"/>
    <s v="SUSCRIPCION"/>
    <x v="1"/>
    <n v="1500000"/>
    <x v="1"/>
    <x v="0"/>
    <x v="0"/>
    <m/>
    <m/>
    <x v="0"/>
    <n v="1500000"/>
  </r>
  <r>
    <d v="2026-08-12T00:00:00"/>
    <x v="3"/>
    <x v="0"/>
    <s v="SUSCRIPCION"/>
    <x v="1"/>
    <n v="2200000"/>
    <x v="1"/>
    <x v="0"/>
    <x v="0"/>
    <m/>
    <m/>
    <x v="0"/>
    <n v="2200000"/>
  </r>
  <r>
    <d v="2026-08-12T00:00:00"/>
    <x v="3"/>
    <x v="0"/>
    <s v="SUSCRIPCION"/>
    <x v="6"/>
    <n v="17200000"/>
    <x v="5"/>
    <x v="0"/>
    <x v="0"/>
    <m/>
    <m/>
    <x v="0"/>
    <n v="17200000"/>
  </r>
  <r>
    <d v="2026-08-13T00:00:00"/>
    <x v="3"/>
    <x v="0"/>
    <s v="RESCATE"/>
    <x v="23"/>
    <n v="517425271.81"/>
    <x v="6"/>
    <x v="1"/>
    <x v="0"/>
    <m/>
    <m/>
    <x v="0"/>
    <n v="-517425271.81"/>
  </r>
  <r>
    <d v="2026-08-13T00:00:00"/>
    <x v="3"/>
    <x v="0"/>
    <s v="SUSCRIPCION"/>
    <x v="22"/>
    <n v="517425271.81"/>
    <x v="6"/>
    <x v="0"/>
    <x v="0"/>
    <m/>
    <m/>
    <x v="0"/>
    <n v="517425271.81"/>
  </r>
  <r>
    <d v="2026-08-13T00:00:00"/>
    <x v="3"/>
    <x v="0"/>
    <s v="RESCATE"/>
    <x v="2"/>
    <n v="730174074.49000001"/>
    <x v="2"/>
    <x v="0"/>
    <x v="0"/>
    <m/>
    <m/>
    <x v="0"/>
    <n v="-730174074.49000001"/>
  </r>
  <r>
    <d v="2026-08-13T00:00:00"/>
    <x v="3"/>
    <x v="0"/>
    <s v="RESCATE"/>
    <x v="2"/>
    <n v="151386114.63"/>
    <x v="2"/>
    <x v="0"/>
    <x v="0"/>
    <m/>
    <m/>
    <x v="0"/>
    <n v="-151386114.63"/>
  </r>
  <r>
    <d v="2026-08-13T00:00:00"/>
    <x v="3"/>
    <x v="0"/>
    <s v="RESCATE"/>
    <x v="15"/>
    <n v="116043377.34"/>
    <x v="12"/>
    <x v="0"/>
    <x v="0"/>
    <m/>
    <m/>
    <x v="0"/>
    <n v="-116043377.34"/>
  </r>
  <r>
    <d v="2026-08-13T00:00:00"/>
    <x v="3"/>
    <x v="0"/>
    <s v="RESCATE"/>
    <x v="15"/>
    <n v="107925660"/>
    <x v="12"/>
    <x v="0"/>
    <x v="0"/>
    <m/>
    <m/>
    <x v="0"/>
    <n v="-107925660"/>
  </r>
  <r>
    <d v="2026-08-13T00:00:00"/>
    <x v="1"/>
    <x v="0"/>
    <s v="RESCATE"/>
    <x v="1"/>
    <n v="1700000"/>
    <x v="1"/>
    <x v="0"/>
    <x v="0"/>
    <m/>
    <m/>
    <x v="0"/>
    <n v="-1700000"/>
  </r>
  <r>
    <d v="2026-08-13T00:00:00"/>
    <x v="2"/>
    <x v="0"/>
    <s v="RESCATE"/>
    <x v="1"/>
    <n v="41900000"/>
    <x v="1"/>
    <x v="0"/>
    <x v="0"/>
    <m/>
    <m/>
    <x v="0"/>
    <n v="-41900000"/>
  </r>
  <r>
    <d v="2026-08-13T00:00:00"/>
    <x v="0"/>
    <x v="0"/>
    <s v="RESCATE"/>
    <x v="1"/>
    <n v="80800000"/>
    <x v="1"/>
    <x v="0"/>
    <x v="0"/>
    <m/>
    <m/>
    <x v="0"/>
    <n v="-80800000"/>
  </r>
  <r>
    <d v="2026-08-13T00:00:00"/>
    <x v="3"/>
    <x v="0"/>
    <s v="RESCATE"/>
    <x v="6"/>
    <n v="841900000"/>
    <x v="5"/>
    <x v="0"/>
    <x v="0"/>
    <m/>
    <m/>
    <x v="0"/>
    <n v="-841900000"/>
  </r>
  <r>
    <d v="2026-08-13T00:00:00"/>
    <x v="3"/>
    <x v="0"/>
    <s v="SUSCRIPCION"/>
    <x v="2"/>
    <n v="300000000"/>
    <x v="2"/>
    <x v="0"/>
    <x v="0"/>
    <m/>
    <m/>
    <x v="0"/>
    <n v="300000000"/>
  </r>
  <r>
    <d v="2026-08-13T00:00:00"/>
    <x v="3"/>
    <x v="0"/>
    <s v="RESCATE"/>
    <x v="16"/>
    <n v="70393976.969999999"/>
    <x v="13"/>
    <x v="0"/>
    <x v="0"/>
    <m/>
    <m/>
    <x v="0"/>
    <n v="-70393976.969999999"/>
  </r>
  <r>
    <d v="2026-08-13T00:00:00"/>
    <x v="3"/>
    <x v="0"/>
    <s v="RESCATE"/>
    <x v="16"/>
    <n v="84567920.189999998"/>
    <x v="13"/>
    <x v="0"/>
    <x v="0"/>
    <m/>
    <m/>
    <x v="0"/>
    <n v="-84567920.189999998"/>
  </r>
  <r>
    <d v="2026-08-13T00:00:00"/>
    <x v="3"/>
    <x v="0"/>
    <s v="RESCATE"/>
    <x v="22"/>
    <n v="61223567.920000002"/>
    <x v="6"/>
    <x v="0"/>
    <x v="0"/>
    <m/>
    <m/>
    <x v="0"/>
    <n v="-61223567.920000002"/>
  </r>
  <r>
    <d v="2026-08-13T00:00:00"/>
    <x v="2"/>
    <x v="0"/>
    <s v="SUSCRIPCION"/>
    <x v="1"/>
    <n v="670000"/>
    <x v="1"/>
    <x v="0"/>
    <x v="0"/>
    <m/>
    <m/>
    <x v="0"/>
    <n v="670000"/>
  </r>
  <r>
    <d v="2026-08-13T00:00:00"/>
    <x v="2"/>
    <x v="0"/>
    <s v="SUSCRIPCION"/>
    <x v="0"/>
    <n v="700000"/>
    <x v="0"/>
    <x v="0"/>
    <x v="0"/>
    <m/>
    <m/>
    <x v="0"/>
    <n v="700000"/>
  </r>
  <r>
    <d v="2026-08-13T00:00:00"/>
    <x v="2"/>
    <x v="0"/>
    <s v="SUSCRIPCION"/>
    <x v="6"/>
    <n v="870000"/>
    <x v="5"/>
    <x v="0"/>
    <x v="0"/>
    <m/>
    <m/>
    <x v="0"/>
    <n v="870000"/>
  </r>
  <r>
    <d v="2026-08-13T00:00:00"/>
    <x v="0"/>
    <x v="0"/>
    <s v="SUSCRIPCION"/>
    <x v="1"/>
    <n v="335000"/>
    <x v="1"/>
    <x v="0"/>
    <x v="0"/>
    <m/>
    <m/>
    <x v="0"/>
    <n v="335000"/>
  </r>
  <r>
    <d v="2026-08-13T00:00:00"/>
    <x v="0"/>
    <x v="0"/>
    <s v="SUSCRIPCION"/>
    <x v="2"/>
    <n v="760000"/>
    <x v="2"/>
    <x v="0"/>
    <x v="0"/>
    <m/>
    <m/>
    <x v="0"/>
    <n v="760000"/>
  </r>
  <r>
    <d v="2026-08-13T00:00:00"/>
    <x v="0"/>
    <x v="0"/>
    <s v="SUSCRIPCION"/>
    <x v="0"/>
    <n v="470000"/>
    <x v="0"/>
    <x v="0"/>
    <x v="0"/>
    <m/>
    <m/>
    <x v="0"/>
    <n v="470000"/>
  </r>
  <r>
    <d v="2026-08-13T00:00:00"/>
    <x v="0"/>
    <x v="0"/>
    <s v="SUSCRIPCION"/>
    <x v="5"/>
    <n v="1880000"/>
    <x v="4"/>
    <x v="0"/>
    <x v="0"/>
    <m/>
    <m/>
    <x v="0"/>
    <n v="1880000"/>
  </r>
  <r>
    <d v="2026-08-13T00:00:00"/>
    <x v="0"/>
    <x v="0"/>
    <s v="SUSCRIPCION"/>
    <x v="6"/>
    <n v="1250000"/>
    <x v="5"/>
    <x v="0"/>
    <x v="0"/>
    <m/>
    <m/>
    <x v="0"/>
    <n v="1250000"/>
  </r>
  <r>
    <d v="2026-08-13T00:00:00"/>
    <x v="1"/>
    <x v="0"/>
    <s v="SUSCRIPCION"/>
    <x v="1"/>
    <n v="435000"/>
    <x v="1"/>
    <x v="0"/>
    <x v="0"/>
    <m/>
    <m/>
    <x v="0"/>
    <n v="435000"/>
  </r>
  <r>
    <d v="2026-08-13T00:00:00"/>
    <x v="0"/>
    <x v="0"/>
    <s v="SUSCRIPCION"/>
    <x v="16"/>
    <n v="3180000"/>
    <x v="13"/>
    <x v="0"/>
    <x v="0"/>
    <m/>
    <m/>
    <x v="0"/>
    <n v="3180000"/>
  </r>
  <r>
    <d v="2026-08-13T00:00:00"/>
    <x v="3"/>
    <x v="0"/>
    <s v="SUSCRIPCION"/>
    <x v="1"/>
    <n v="420000"/>
    <x v="1"/>
    <x v="0"/>
    <x v="0"/>
    <m/>
    <m/>
    <x v="0"/>
    <n v="420000"/>
  </r>
  <r>
    <d v="2026-08-13T00:00:00"/>
    <x v="3"/>
    <x v="0"/>
    <s v="SUSCRIPCION"/>
    <x v="2"/>
    <n v="3970000"/>
    <x v="2"/>
    <x v="0"/>
    <x v="0"/>
    <m/>
    <m/>
    <x v="0"/>
    <n v="3970000"/>
  </r>
  <r>
    <d v="2026-08-13T00:00:00"/>
    <x v="3"/>
    <x v="0"/>
    <s v="SUSCRIPCION"/>
    <x v="0"/>
    <n v="1670000"/>
    <x v="0"/>
    <x v="0"/>
    <x v="0"/>
    <m/>
    <m/>
    <x v="0"/>
    <n v="1670000"/>
  </r>
  <r>
    <d v="2026-08-13T00:00:00"/>
    <x v="3"/>
    <x v="0"/>
    <s v="SUSCRIPCION"/>
    <x v="5"/>
    <n v="1000000"/>
    <x v="4"/>
    <x v="0"/>
    <x v="0"/>
    <m/>
    <m/>
    <x v="0"/>
    <n v="1000000"/>
  </r>
  <r>
    <d v="2026-08-13T00:00:00"/>
    <x v="3"/>
    <x v="0"/>
    <s v="SUSCRIPCION"/>
    <x v="13"/>
    <n v="395000"/>
    <x v="10"/>
    <x v="0"/>
    <x v="0"/>
    <m/>
    <m/>
    <x v="0"/>
    <n v="395000"/>
  </r>
  <r>
    <d v="2026-08-13T00:00:00"/>
    <x v="3"/>
    <x v="0"/>
    <s v="SUSCRIPCION"/>
    <x v="15"/>
    <n v="2240000"/>
    <x v="12"/>
    <x v="0"/>
    <x v="0"/>
    <m/>
    <m/>
    <x v="0"/>
    <n v="2240000"/>
  </r>
  <r>
    <d v="2026-08-13T00:00:00"/>
    <x v="3"/>
    <x v="0"/>
    <s v="SUSCRIPCION"/>
    <x v="6"/>
    <n v="670000"/>
    <x v="5"/>
    <x v="0"/>
    <x v="0"/>
    <m/>
    <m/>
    <x v="0"/>
    <n v="670000"/>
  </r>
  <r>
    <d v="2026-08-13T00:00:00"/>
    <x v="3"/>
    <x v="0"/>
    <s v="SUSCRIPCION"/>
    <x v="16"/>
    <n v="17000000"/>
    <x v="13"/>
    <x v="0"/>
    <x v="0"/>
    <m/>
    <m/>
    <x v="0"/>
    <n v="17000000"/>
  </r>
  <r>
    <d v="2026-08-14T00:00:00"/>
    <x v="2"/>
    <x v="0"/>
    <s v="RESCATE"/>
    <x v="6"/>
    <n v="17400000"/>
    <x v="5"/>
    <x v="0"/>
    <x v="0"/>
    <m/>
    <m/>
    <x v="0"/>
    <n v="-17400000"/>
  </r>
  <r>
    <d v="2026-08-14T00:00:00"/>
    <x v="3"/>
    <x v="0"/>
    <s v="RESCATE"/>
    <x v="6"/>
    <n v="10000000"/>
    <x v="5"/>
    <x v="0"/>
    <x v="0"/>
    <m/>
    <m/>
    <x v="0"/>
    <n v="-10000000"/>
  </r>
  <r>
    <d v="2026-08-14T00:00:00"/>
    <x v="3"/>
    <x v="0"/>
    <s v="RESCATE"/>
    <x v="1"/>
    <n v="572900000"/>
    <x v="1"/>
    <x v="0"/>
    <x v="0"/>
    <m/>
    <m/>
    <x v="0"/>
    <n v="-572900000"/>
  </r>
  <r>
    <d v="2026-08-14T00:00:00"/>
    <x v="1"/>
    <x v="0"/>
    <s v="SUSCRIPCION"/>
    <x v="1"/>
    <n v="2300000"/>
    <x v="1"/>
    <x v="0"/>
    <x v="0"/>
    <m/>
    <m/>
    <x v="0"/>
    <n v="2300000"/>
  </r>
  <r>
    <d v="2026-08-14T00:00:00"/>
    <x v="0"/>
    <x v="0"/>
    <s v="SUSCRIPCION"/>
    <x v="1"/>
    <n v="20600000"/>
    <x v="1"/>
    <x v="0"/>
    <x v="0"/>
    <m/>
    <m/>
    <x v="0"/>
    <n v="20600000"/>
  </r>
  <r>
    <d v="2026-08-14T00:00:00"/>
    <x v="2"/>
    <x v="0"/>
    <s v="RESCATE"/>
    <x v="1"/>
    <n v="10700000"/>
    <x v="1"/>
    <x v="0"/>
    <x v="0"/>
    <m/>
    <m/>
    <x v="0"/>
    <n v="-10700000"/>
  </r>
  <r>
    <d v="2026-08-14T00:00:00"/>
    <x v="2"/>
    <x v="0"/>
    <s v="SUSCRIPCION"/>
    <x v="0"/>
    <n v="54000000"/>
    <x v="0"/>
    <x v="0"/>
    <x v="0"/>
    <m/>
    <m/>
    <x v="0"/>
    <n v="54000000"/>
  </r>
  <r>
    <d v="2026-08-18T00:00:00"/>
    <x v="0"/>
    <x v="0"/>
    <s v="RESCATE"/>
    <x v="1"/>
    <n v="244300000"/>
    <x v="1"/>
    <x v="0"/>
    <x v="0"/>
    <m/>
    <m/>
    <x v="0"/>
    <n v="-244300000"/>
  </r>
  <r>
    <d v="2026-08-18T00:00:00"/>
    <x v="3"/>
    <x v="0"/>
    <s v="RESCATE"/>
    <x v="6"/>
    <n v="318600000"/>
    <x v="5"/>
    <x v="0"/>
    <x v="0"/>
    <m/>
    <m/>
    <x v="0"/>
    <n v="-318600000"/>
  </r>
  <r>
    <d v="2026-08-18T00:00:00"/>
    <x v="3"/>
    <x v="0"/>
    <s v="RESCATE"/>
    <x v="1"/>
    <n v="27200000"/>
    <x v="1"/>
    <x v="0"/>
    <x v="0"/>
    <m/>
    <m/>
    <x v="0"/>
    <n v="-27200000"/>
  </r>
  <r>
    <d v="2026-08-18T00:00:00"/>
    <x v="2"/>
    <x v="0"/>
    <s v="SUSCRIPCION"/>
    <x v="1"/>
    <n v="7500000"/>
    <x v="1"/>
    <x v="0"/>
    <x v="0"/>
    <m/>
    <m/>
    <x v="0"/>
    <n v="7500000"/>
  </r>
  <r>
    <d v="2026-08-18T00:00:00"/>
    <x v="3"/>
    <x v="0"/>
    <s v="SUSCRIPCION"/>
    <x v="6"/>
    <n v="748799.88"/>
    <x v="5"/>
    <x v="0"/>
    <x v="0"/>
    <m/>
    <m/>
    <x v="0"/>
    <n v="748799.88"/>
  </r>
  <r>
    <d v="2026-08-18T00:00:00"/>
    <x v="3"/>
    <x v="0"/>
    <s v="RESCATE"/>
    <x v="2"/>
    <n v="1473944103.5699999"/>
    <x v="2"/>
    <x v="0"/>
    <x v="0"/>
    <m/>
    <m/>
    <x v="0"/>
    <n v="-1473944103.5699999"/>
  </r>
  <r>
    <d v="2026-08-18T00:00:00"/>
    <x v="3"/>
    <x v="2"/>
    <s v="SUSCRIPCION"/>
    <x v="8"/>
    <n v="1000000"/>
    <x v="2"/>
    <x v="3"/>
    <x v="1"/>
    <s v="25/11/2026"/>
    <m/>
    <x v="10"/>
    <n v="1000000"/>
  </r>
  <r>
    <d v="2026-08-18T00:00:00"/>
    <x v="2"/>
    <x v="0"/>
    <s v="SUSCRIPCION"/>
    <x v="2"/>
    <n v="1471841112.03"/>
    <x v="2"/>
    <x v="0"/>
    <x v="0"/>
    <m/>
    <m/>
    <x v="0"/>
    <n v="1471841112.03"/>
  </r>
  <r>
    <d v="2026-08-18T00:00:00"/>
    <x v="3"/>
    <x v="0"/>
    <s v="RESCATE"/>
    <x v="22"/>
    <n v="3600000"/>
    <x v="6"/>
    <x v="0"/>
    <x v="0"/>
    <m/>
    <m/>
    <x v="0"/>
    <n v="-3600000"/>
  </r>
  <r>
    <d v="2026-08-19T00:00:00"/>
    <x v="0"/>
    <x v="0"/>
    <s v="RESCATE"/>
    <x v="4"/>
    <n v="115743937.97"/>
    <x v="3"/>
    <x v="0"/>
    <x v="0"/>
    <m/>
    <m/>
    <x v="0"/>
    <n v="-115743937.97"/>
  </r>
  <r>
    <d v="2026-08-19T00:00:00"/>
    <x v="0"/>
    <x v="0"/>
    <s v="RESCATE"/>
    <x v="1"/>
    <n v="82300000"/>
    <x v="1"/>
    <x v="0"/>
    <x v="0"/>
    <m/>
    <m/>
    <x v="0"/>
    <n v="-82300000"/>
  </r>
  <r>
    <d v="2026-08-19T00:00:00"/>
    <x v="3"/>
    <x v="0"/>
    <s v="RESCATE"/>
    <x v="1"/>
    <n v="99000000"/>
    <x v="1"/>
    <x v="0"/>
    <x v="0"/>
    <m/>
    <m/>
    <x v="0"/>
    <n v="-99000000"/>
  </r>
  <r>
    <d v="2026-08-19T00:00:00"/>
    <x v="3"/>
    <x v="0"/>
    <s v="RESCATE"/>
    <x v="22"/>
    <n v="439200000"/>
    <x v="6"/>
    <x v="0"/>
    <x v="0"/>
    <m/>
    <m/>
    <x v="0"/>
    <n v="-439200000"/>
  </r>
  <r>
    <d v="2026-08-19T00:00:00"/>
    <x v="2"/>
    <x v="0"/>
    <s v="RESCATE"/>
    <x v="2"/>
    <n v="1492000000"/>
    <x v="2"/>
    <x v="0"/>
    <x v="0"/>
    <m/>
    <m/>
    <x v="0"/>
    <n v="-1492000000"/>
  </r>
  <r>
    <d v="2026-08-19T00:00:00"/>
    <x v="0"/>
    <x v="0"/>
    <s v="RESCATE"/>
    <x v="0"/>
    <n v="57051089.079999998"/>
    <x v="0"/>
    <x v="0"/>
    <x v="0"/>
    <m/>
    <m/>
    <x v="0"/>
    <n v="-57051089.079999998"/>
  </r>
  <r>
    <d v="2026-08-20T00:00:00"/>
    <x v="3"/>
    <x v="0"/>
    <s v="RESCATE"/>
    <x v="0"/>
    <n v="124932510.5"/>
    <x v="0"/>
    <x v="0"/>
    <x v="0"/>
    <m/>
    <m/>
    <x v="0"/>
    <n v="-124932510.5"/>
  </r>
  <r>
    <d v="2026-08-20T00:00:00"/>
    <x v="1"/>
    <x v="0"/>
    <s v="RESCATE"/>
    <x v="1"/>
    <n v="24000000"/>
    <x v="1"/>
    <x v="0"/>
    <x v="0"/>
    <m/>
    <m/>
    <x v="0"/>
    <n v="-24000000"/>
  </r>
  <r>
    <d v="2026-08-20T00:00:00"/>
    <x v="0"/>
    <x v="0"/>
    <s v="RESCATE"/>
    <x v="1"/>
    <n v="165700000"/>
    <x v="1"/>
    <x v="0"/>
    <x v="0"/>
    <m/>
    <m/>
    <x v="0"/>
    <n v="-165700000"/>
  </r>
  <r>
    <d v="2026-08-20T00:00:00"/>
    <x v="2"/>
    <x v="0"/>
    <s v="SUSCRIPCION"/>
    <x v="1"/>
    <n v="10400000"/>
    <x v="1"/>
    <x v="0"/>
    <x v="0"/>
    <m/>
    <m/>
    <x v="0"/>
    <n v="10400000"/>
  </r>
  <r>
    <d v="2026-08-20T00:00:00"/>
    <x v="3"/>
    <x v="0"/>
    <s v="SUSCRIPCION"/>
    <x v="6"/>
    <n v="6099000000"/>
    <x v="5"/>
    <x v="0"/>
    <x v="0"/>
    <m/>
    <m/>
    <x v="0"/>
    <n v="6099000000"/>
  </r>
  <r>
    <d v="2026-08-20T00:00:00"/>
    <x v="2"/>
    <x v="0"/>
    <s v="RESCATE"/>
    <x v="2"/>
    <n v="579767"/>
    <x v="2"/>
    <x v="0"/>
    <x v="0"/>
    <m/>
    <m/>
    <x v="0"/>
    <n v="-579767"/>
  </r>
  <r>
    <d v="2026-08-20T00:00:00"/>
    <x v="1"/>
    <x v="0"/>
    <s v="SUSCRIPCION"/>
    <x v="1"/>
    <n v="3200000"/>
    <x v="1"/>
    <x v="0"/>
    <x v="0"/>
    <m/>
    <m/>
    <x v="0"/>
    <n v="3200000"/>
  </r>
  <r>
    <d v="2026-08-20T00:00:00"/>
    <x v="0"/>
    <x v="0"/>
    <s v="SUSCRIPCION"/>
    <x v="1"/>
    <n v="1800000"/>
    <x v="1"/>
    <x v="0"/>
    <x v="0"/>
    <m/>
    <m/>
    <x v="0"/>
    <n v="1800000"/>
  </r>
  <r>
    <d v="2026-08-20T00:00:00"/>
    <x v="0"/>
    <x v="0"/>
    <s v="SUSCRIPCION"/>
    <x v="2"/>
    <n v="4900000"/>
    <x v="2"/>
    <x v="0"/>
    <x v="0"/>
    <m/>
    <m/>
    <x v="0"/>
    <n v="4900000"/>
  </r>
  <r>
    <d v="2026-08-20T00:00:00"/>
    <x v="0"/>
    <x v="0"/>
    <s v="SUSCRIPCION"/>
    <x v="0"/>
    <n v="2600000"/>
    <x v="0"/>
    <x v="0"/>
    <x v="0"/>
    <m/>
    <m/>
    <x v="0"/>
    <n v="2600000"/>
  </r>
  <r>
    <d v="2026-08-20T00:00:00"/>
    <x v="0"/>
    <x v="0"/>
    <s v="SUSCRIPCION"/>
    <x v="5"/>
    <n v="1000000"/>
    <x v="4"/>
    <x v="0"/>
    <x v="0"/>
    <m/>
    <m/>
    <x v="0"/>
    <n v="1000000"/>
  </r>
  <r>
    <d v="2026-08-20T00:00:00"/>
    <x v="3"/>
    <x v="0"/>
    <s v="SUSCRIPCION"/>
    <x v="1"/>
    <n v="800000"/>
    <x v="1"/>
    <x v="0"/>
    <x v="0"/>
    <m/>
    <m/>
    <x v="0"/>
    <n v="800000"/>
  </r>
  <r>
    <d v="2026-08-20T00:00:00"/>
    <x v="3"/>
    <x v="0"/>
    <s v="RESCATE"/>
    <x v="2"/>
    <n v="850000"/>
    <x v="2"/>
    <x v="0"/>
    <x v="0"/>
    <m/>
    <m/>
    <x v="0"/>
    <n v="-850000"/>
  </r>
  <r>
    <d v="2026-08-20T00:00:00"/>
    <x v="3"/>
    <x v="0"/>
    <s v="SUSCRIPCION"/>
    <x v="0"/>
    <n v="2300000"/>
    <x v="0"/>
    <x v="0"/>
    <x v="0"/>
    <m/>
    <m/>
    <x v="0"/>
    <n v="2300000"/>
  </r>
  <r>
    <d v="2026-08-20T00:00:00"/>
    <x v="3"/>
    <x v="0"/>
    <s v="SUSCRIPCION"/>
    <x v="5"/>
    <n v="1000000"/>
    <x v="4"/>
    <x v="0"/>
    <x v="0"/>
    <m/>
    <m/>
    <x v="0"/>
    <n v="1000000"/>
  </r>
  <r>
    <d v="2026-08-20T00:00:00"/>
    <x v="3"/>
    <x v="0"/>
    <s v="SUSCRIPCION"/>
    <x v="15"/>
    <n v="1600000"/>
    <x v="12"/>
    <x v="0"/>
    <x v="0"/>
    <m/>
    <m/>
    <x v="0"/>
    <n v="1600000"/>
  </r>
  <r>
    <d v="2026-08-20T00:00:00"/>
    <x v="3"/>
    <x v="0"/>
    <s v="RESCATE"/>
    <x v="21"/>
    <n v="1000000000"/>
    <x v="16"/>
    <x v="1"/>
    <x v="0"/>
    <m/>
    <m/>
    <x v="0"/>
    <n v="-1000000000"/>
  </r>
  <r>
    <d v="2026-08-20T00:00:00"/>
    <x v="3"/>
    <x v="0"/>
    <s v="SUSCRIPCION"/>
    <x v="26"/>
    <n v="1074000000"/>
    <x v="16"/>
    <x v="0"/>
    <x v="0"/>
    <m/>
    <m/>
    <x v="0"/>
    <n v="1074000000"/>
  </r>
  <r>
    <d v="2026-08-20T00:00:00"/>
    <x v="2"/>
    <x v="0"/>
    <s v="SUSCRIPCION"/>
    <x v="22"/>
    <n v="148480593"/>
    <x v="6"/>
    <x v="0"/>
    <x v="0"/>
    <m/>
    <m/>
    <x v="0"/>
    <n v="148480593"/>
  </r>
  <r>
    <d v="2026-08-21T00:00:00"/>
    <x v="2"/>
    <x v="0"/>
    <s v="RESCATE"/>
    <x v="22"/>
    <n v="197400000"/>
    <x v="6"/>
    <x v="0"/>
    <x v="0"/>
    <m/>
    <m/>
    <x v="0"/>
    <n v="-197400000"/>
  </r>
  <r>
    <d v="2026-08-21T00:00:00"/>
    <x v="2"/>
    <x v="0"/>
    <s v="RESCATE"/>
    <x v="1"/>
    <n v="5600000"/>
    <x v="1"/>
    <x v="0"/>
    <x v="0"/>
    <m/>
    <m/>
    <x v="0"/>
    <n v="-5600000"/>
  </r>
  <r>
    <d v="2026-08-21T00:00:00"/>
    <x v="3"/>
    <x v="0"/>
    <s v="RESCATE"/>
    <x v="6"/>
    <n v="1147800000"/>
    <x v="5"/>
    <x v="0"/>
    <x v="0"/>
    <m/>
    <m/>
    <x v="0"/>
    <n v="-1147800000"/>
  </r>
  <r>
    <d v="2026-08-21T00:00:00"/>
    <x v="0"/>
    <x v="0"/>
    <s v="RESCATE"/>
    <x v="2"/>
    <n v="222500000"/>
    <x v="2"/>
    <x v="0"/>
    <x v="0"/>
    <m/>
    <m/>
    <x v="0"/>
    <n v="-222500000"/>
  </r>
  <r>
    <d v="2026-08-21T00:00:00"/>
    <x v="2"/>
    <x v="0"/>
    <s v="SUSCRIPCION"/>
    <x v="22"/>
    <n v="1463553.36"/>
    <x v="6"/>
    <x v="0"/>
    <x v="0"/>
    <m/>
    <m/>
    <x v="0"/>
    <n v="1463553.36"/>
  </r>
  <r>
    <d v="2026-08-21T00:00:00"/>
    <x v="3"/>
    <x v="0"/>
    <s v="RESCATE"/>
    <x v="6"/>
    <n v="600000"/>
    <x v="5"/>
    <x v="0"/>
    <x v="0"/>
    <m/>
    <m/>
    <x v="0"/>
    <n v="-600000"/>
  </r>
  <r>
    <d v="2026-08-24T00:00:00"/>
    <x v="1"/>
    <x v="0"/>
    <s v="RESCATE"/>
    <x v="1"/>
    <n v="83300000"/>
    <x v="1"/>
    <x v="0"/>
    <x v="0"/>
    <m/>
    <m/>
    <x v="0"/>
    <n v="-83300000"/>
  </r>
  <r>
    <d v="2026-08-24T00:00:00"/>
    <x v="0"/>
    <x v="0"/>
    <s v="RESCATE"/>
    <x v="1"/>
    <n v="34800000"/>
    <x v="1"/>
    <x v="0"/>
    <x v="0"/>
    <m/>
    <m/>
    <x v="0"/>
    <n v="-34800000"/>
  </r>
  <r>
    <d v="2026-08-24T00:00:00"/>
    <x v="3"/>
    <x v="0"/>
    <s v="RESCATE"/>
    <x v="6"/>
    <n v="433100000"/>
    <x v="5"/>
    <x v="0"/>
    <x v="0"/>
    <m/>
    <m/>
    <x v="0"/>
    <n v="-433100000"/>
  </r>
  <r>
    <d v="2026-08-24T00:00:00"/>
    <x v="2"/>
    <x v="0"/>
    <s v="SUSCRIPCION"/>
    <x v="1"/>
    <n v="119700000"/>
    <x v="1"/>
    <x v="0"/>
    <x v="0"/>
    <m/>
    <m/>
    <x v="0"/>
    <n v="119700000"/>
  </r>
  <r>
    <d v="2026-08-24T00:00:00"/>
    <x v="2"/>
    <x v="0"/>
    <s v="RESCATE"/>
    <x v="6"/>
    <n v="2500000"/>
    <x v="5"/>
    <x v="0"/>
    <x v="0"/>
    <m/>
    <m/>
    <x v="0"/>
    <n v="-2500000"/>
  </r>
  <r>
    <d v="2026-08-25T00:00:00"/>
    <x v="3"/>
    <x v="0"/>
    <s v="RESCATE"/>
    <x v="0"/>
    <n v="352424588"/>
    <x v="0"/>
    <x v="0"/>
    <x v="0"/>
    <m/>
    <m/>
    <x v="0"/>
    <n v="-352424588"/>
  </r>
  <r>
    <d v="2026-08-25T00:00:00"/>
    <x v="3"/>
    <x v="0"/>
    <s v="RESCATE"/>
    <x v="0"/>
    <n v="63791573.530000001"/>
    <x v="0"/>
    <x v="0"/>
    <x v="0"/>
    <m/>
    <m/>
    <x v="0"/>
    <n v="-63791573.530000001"/>
  </r>
  <r>
    <d v="2026-08-25T00:00:00"/>
    <x v="3"/>
    <x v="0"/>
    <s v="RESCATE"/>
    <x v="2"/>
    <n v="59614800"/>
    <x v="2"/>
    <x v="0"/>
    <x v="0"/>
    <m/>
    <m/>
    <x v="0"/>
    <n v="-59614800"/>
  </r>
  <r>
    <d v="2026-08-25T00:00:00"/>
    <x v="3"/>
    <x v="0"/>
    <s v="RESCATE"/>
    <x v="22"/>
    <n v="229796750.83000001"/>
    <x v="6"/>
    <x v="0"/>
    <x v="0"/>
    <m/>
    <m/>
    <x v="0"/>
    <n v="-229796750.83000001"/>
  </r>
  <r>
    <d v="2026-08-25T00:00:00"/>
    <x v="0"/>
    <x v="0"/>
    <s v="RESCATE"/>
    <x v="2"/>
    <n v="462100000"/>
    <x v="2"/>
    <x v="0"/>
    <x v="0"/>
    <m/>
    <m/>
    <x v="0"/>
    <n v="-462100000"/>
  </r>
  <r>
    <d v="2026-08-25T00:00:00"/>
    <x v="1"/>
    <x v="0"/>
    <s v="RESCATE"/>
    <x v="1"/>
    <n v="200000"/>
    <x v="1"/>
    <x v="0"/>
    <x v="0"/>
    <m/>
    <m/>
    <x v="0"/>
    <n v="-200000"/>
  </r>
  <r>
    <d v="2026-08-25T00:00:00"/>
    <x v="3"/>
    <x v="0"/>
    <s v="RESCATE"/>
    <x v="6"/>
    <n v="432900000"/>
    <x v="5"/>
    <x v="0"/>
    <x v="0"/>
    <m/>
    <m/>
    <x v="0"/>
    <n v="-432900000"/>
  </r>
  <r>
    <d v="2026-08-25T00:00:00"/>
    <x v="2"/>
    <x v="0"/>
    <s v="SUSCRIPCION"/>
    <x v="1"/>
    <n v="178500000"/>
    <x v="1"/>
    <x v="0"/>
    <x v="0"/>
    <m/>
    <m/>
    <x v="0"/>
    <n v="178500000"/>
  </r>
  <r>
    <d v="2026-08-26T00:00:00"/>
    <x v="1"/>
    <x v="0"/>
    <s v="RESCATE"/>
    <x v="1"/>
    <n v="6100000"/>
    <x v="1"/>
    <x v="0"/>
    <x v="0"/>
    <m/>
    <m/>
    <x v="0"/>
    <n v="-6100000"/>
  </r>
  <r>
    <d v="2026-08-26T00:00:00"/>
    <x v="2"/>
    <x v="0"/>
    <s v="RESCATE"/>
    <x v="1"/>
    <n v="42500000"/>
    <x v="1"/>
    <x v="0"/>
    <x v="0"/>
    <m/>
    <m/>
    <x v="0"/>
    <n v="-42500000"/>
  </r>
  <r>
    <d v="2026-08-26T00:00:00"/>
    <x v="3"/>
    <x v="0"/>
    <s v="SUSCRIPCION"/>
    <x v="6"/>
    <n v="95800000"/>
    <x v="5"/>
    <x v="0"/>
    <x v="0"/>
    <m/>
    <m/>
    <x v="0"/>
    <n v="95800000"/>
  </r>
  <r>
    <d v="2026-08-26T00:00:00"/>
    <x v="0"/>
    <x v="0"/>
    <s v="SUSCRIPCION"/>
    <x v="0"/>
    <n v="648866000.08500004"/>
    <x v="0"/>
    <x v="0"/>
    <x v="0"/>
    <m/>
    <m/>
    <x v="0"/>
    <n v="648866000.09000003"/>
  </r>
  <r>
    <d v="2026-08-26T00:00:00"/>
    <x v="2"/>
    <x v="0"/>
    <s v="RESCATE"/>
    <x v="0"/>
    <n v="8223825.7000000002"/>
    <x v="0"/>
    <x v="0"/>
    <x v="0"/>
    <m/>
    <m/>
    <x v="0"/>
    <n v="-8223825.7000000002"/>
  </r>
  <r>
    <d v="2026-08-26T00:00:00"/>
    <x v="3"/>
    <x v="0"/>
    <s v="RESCATE"/>
    <x v="2"/>
    <n v="63913221.810000002"/>
    <x v="2"/>
    <x v="0"/>
    <x v="0"/>
    <m/>
    <m/>
    <x v="0"/>
    <n v="-63913221.810000002"/>
  </r>
  <r>
    <d v="2026-08-26T00:00:00"/>
    <x v="3"/>
    <x v="0"/>
    <s v="RESCATE"/>
    <x v="2"/>
    <n v="72511596.109999999"/>
    <x v="2"/>
    <x v="0"/>
    <x v="0"/>
    <m/>
    <m/>
    <x v="0"/>
    <n v="-72511596.109999999"/>
  </r>
  <r>
    <d v="2026-08-26T00:00:00"/>
    <x v="0"/>
    <x v="0"/>
    <s v="RESCATE"/>
    <x v="2"/>
    <n v="281100000"/>
    <x v="2"/>
    <x v="0"/>
    <x v="0"/>
    <m/>
    <m/>
    <x v="0"/>
    <n v="-281100000"/>
  </r>
  <r>
    <d v="2026-08-26T00:00:00"/>
    <x v="3"/>
    <x v="0"/>
    <s v="SUSCRIPCION"/>
    <x v="22"/>
    <n v="603600000"/>
    <x v="6"/>
    <x v="0"/>
    <x v="0"/>
    <m/>
    <m/>
    <x v="0"/>
    <n v="603600000"/>
  </r>
  <r>
    <d v="2026-08-26T00:00:00"/>
    <x v="2"/>
    <x v="0"/>
    <s v="SUSCRIPCION"/>
    <x v="22"/>
    <n v="110000000"/>
    <x v="6"/>
    <x v="0"/>
    <x v="0"/>
    <m/>
    <m/>
    <x v="0"/>
    <n v="110000000"/>
  </r>
  <r>
    <d v="2026-08-26T00:00:00"/>
    <x v="2"/>
    <x v="0"/>
    <s v="SUSCRIPCION"/>
    <x v="1"/>
    <n v="307000"/>
    <x v="1"/>
    <x v="0"/>
    <x v="0"/>
    <m/>
    <m/>
    <x v="0"/>
    <n v="307000"/>
  </r>
  <r>
    <d v="2026-08-26T00:00:00"/>
    <x v="2"/>
    <x v="0"/>
    <s v="RESCATE"/>
    <x v="2"/>
    <n v="106823.73"/>
    <x v="2"/>
    <x v="0"/>
    <x v="0"/>
    <m/>
    <m/>
    <x v="0"/>
    <n v="-106823.73"/>
  </r>
  <r>
    <d v="2026-08-26T00:00:00"/>
    <x v="2"/>
    <x v="0"/>
    <s v="SUSCRIPCION"/>
    <x v="0"/>
    <n v="519000"/>
    <x v="0"/>
    <x v="0"/>
    <x v="0"/>
    <m/>
    <m/>
    <x v="0"/>
    <n v="519000"/>
  </r>
  <r>
    <d v="2026-08-26T00:00:00"/>
    <x v="2"/>
    <x v="0"/>
    <s v="SUSCRIPCION"/>
    <x v="6"/>
    <n v="295000"/>
    <x v="5"/>
    <x v="0"/>
    <x v="0"/>
    <m/>
    <m/>
    <x v="0"/>
    <n v="295000"/>
  </r>
  <r>
    <d v="2026-08-26T00:00:00"/>
    <x v="0"/>
    <x v="0"/>
    <s v="SUSCRIPCION"/>
    <x v="1"/>
    <n v="205000"/>
    <x v="1"/>
    <x v="0"/>
    <x v="0"/>
    <m/>
    <m/>
    <x v="0"/>
    <n v="205000"/>
  </r>
  <r>
    <d v="2026-08-26T00:00:00"/>
    <x v="0"/>
    <x v="0"/>
    <s v="SUSCRIPCION"/>
    <x v="2"/>
    <n v="3580000"/>
    <x v="2"/>
    <x v="0"/>
    <x v="0"/>
    <m/>
    <m/>
    <x v="0"/>
    <n v="3580000"/>
  </r>
  <r>
    <d v="2026-08-26T00:00:00"/>
    <x v="0"/>
    <x v="0"/>
    <s v="SUSCRIPCION"/>
    <x v="0"/>
    <n v="2210000"/>
    <x v="0"/>
    <x v="0"/>
    <x v="0"/>
    <m/>
    <m/>
    <x v="0"/>
    <n v="2210000"/>
  </r>
  <r>
    <d v="2026-08-26T00:00:00"/>
    <x v="0"/>
    <x v="0"/>
    <s v="SUSCRIPCION"/>
    <x v="5"/>
    <n v="1000000"/>
    <x v="4"/>
    <x v="0"/>
    <x v="0"/>
    <m/>
    <m/>
    <x v="0"/>
    <n v="1000000"/>
  </r>
  <r>
    <d v="2026-08-26T00:00:00"/>
    <x v="0"/>
    <x v="0"/>
    <s v="SUSCRIPCION"/>
    <x v="6"/>
    <n v="650000"/>
    <x v="5"/>
    <x v="0"/>
    <x v="0"/>
    <m/>
    <m/>
    <x v="0"/>
    <n v="650000"/>
  </r>
  <r>
    <d v="2026-08-26T00:00:00"/>
    <x v="1"/>
    <x v="0"/>
    <s v="SUSCRIPCION"/>
    <x v="1"/>
    <n v="2570000"/>
    <x v="1"/>
    <x v="0"/>
    <x v="0"/>
    <m/>
    <m/>
    <x v="0"/>
    <n v="2570000"/>
  </r>
  <r>
    <d v="2026-08-26T00:00:00"/>
    <x v="3"/>
    <x v="0"/>
    <s v="SUSCRIPCION"/>
    <x v="1"/>
    <n v="270000"/>
    <x v="1"/>
    <x v="0"/>
    <x v="0"/>
    <m/>
    <m/>
    <x v="0"/>
    <n v="270000"/>
  </r>
  <r>
    <d v="2026-08-26T00:00:00"/>
    <x v="3"/>
    <x v="0"/>
    <s v="SUSCRIPCION"/>
    <x v="22"/>
    <n v="6900000"/>
    <x v="6"/>
    <x v="0"/>
    <x v="0"/>
    <m/>
    <m/>
    <x v="0"/>
    <n v="6900000"/>
  </r>
  <r>
    <d v="2026-08-26T00:00:00"/>
    <x v="3"/>
    <x v="0"/>
    <s v="SUSCRIPCION"/>
    <x v="2"/>
    <n v="980000"/>
    <x v="2"/>
    <x v="0"/>
    <x v="0"/>
    <m/>
    <m/>
    <x v="0"/>
    <n v="980000"/>
  </r>
  <r>
    <d v="2026-08-26T00:00:00"/>
    <x v="3"/>
    <x v="0"/>
    <s v="SUSCRIPCION"/>
    <x v="0"/>
    <n v="1490000"/>
    <x v="0"/>
    <x v="0"/>
    <x v="0"/>
    <m/>
    <m/>
    <x v="0"/>
    <n v="1490000"/>
  </r>
  <r>
    <d v="2026-08-26T00:00:00"/>
    <x v="3"/>
    <x v="0"/>
    <s v="SUSCRIPCION"/>
    <x v="12"/>
    <n v="1130000"/>
    <x v="9"/>
    <x v="0"/>
    <x v="0"/>
    <m/>
    <m/>
    <x v="0"/>
    <n v="1130000"/>
  </r>
  <r>
    <d v="2026-08-26T00:00:00"/>
    <x v="3"/>
    <x v="0"/>
    <s v="SUSCRIPCION"/>
    <x v="5"/>
    <n v="860000"/>
    <x v="4"/>
    <x v="0"/>
    <x v="0"/>
    <m/>
    <m/>
    <x v="0"/>
    <n v="860000"/>
  </r>
  <r>
    <d v="2026-08-26T00:00:00"/>
    <x v="3"/>
    <x v="0"/>
    <s v="SUSCRIPCION"/>
    <x v="15"/>
    <n v="1400000"/>
    <x v="12"/>
    <x v="0"/>
    <x v="0"/>
    <m/>
    <m/>
    <x v="0"/>
    <n v="1400000"/>
  </r>
  <r>
    <d v="2026-08-26T00:00:00"/>
    <x v="3"/>
    <x v="0"/>
    <s v="SUSCRIPCION"/>
    <x v="6"/>
    <n v="15000000"/>
    <x v="5"/>
    <x v="0"/>
    <x v="0"/>
    <m/>
    <m/>
    <x v="0"/>
    <n v="15000000"/>
  </r>
  <r>
    <d v="2026-08-26T00:00:00"/>
    <x v="3"/>
    <x v="0"/>
    <s v="SUSCRIPCION"/>
    <x v="6"/>
    <n v="15250000"/>
    <x v="5"/>
    <x v="0"/>
    <x v="0"/>
    <m/>
    <m/>
    <x v="0"/>
    <n v="15250000"/>
  </r>
  <r>
    <d v="2026-08-27T00:00:00"/>
    <x v="3"/>
    <x v="0"/>
    <s v="RESCATE"/>
    <x v="26"/>
    <n v="728215189.89999998"/>
    <x v="16"/>
    <x v="0"/>
    <x v="0"/>
    <m/>
    <m/>
    <x v="0"/>
    <n v="-728215189.89999998"/>
  </r>
  <r>
    <d v="2026-08-27T00:00:00"/>
    <x v="3"/>
    <x v="0"/>
    <s v="RESCATE"/>
    <x v="6"/>
    <n v="2000000000"/>
    <x v="5"/>
    <x v="0"/>
    <x v="0"/>
    <m/>
    <m/>
    <x v="0"/>
    <n v="-2000000000"/>
  </r>
  <r>
    <d v="2026-08-27T00:00:00"/>
    <x v="3"/>
    <x v="0"/>
    <s v="SUSCRIPCION"/>
    <x v="2"/>
    <n v="2000000000"/>
    <x v="2"/>
    <x v="0"/>
    <x v="0"/>
    <m/>
    <m/>
    <x v="0"/>
    <n v="2000000000"/>
  </r>
  <r>
    <d v="2026-08-27T00:00:00"/>
    <x v="3"/>
    <x v="0"/>
    <s v="RESCATE"/>
    <x v="10"/>
    <n v="37587602.829999998"/>
    <x v="7"/>
    <x v="0"/>
    <x v="0"/>
    <m/>
    <m/>
    <x v="0"/>
    <n v="-37587602.829999998"/>
  </r>
  <r>
    <d v="2026-08-27T00:00:00"/>
    <x v="2"/>
    <x v="0"/>
    <s v="RESCATE"/>
    <x v="22"/>
    <n v="77000000"/>
    <x v="6"/>
    <x v="0"/>
    <x v="0"/>
    <m/>
    <m/>
    <x v="0"/>
    <n v="-77000000"/>
  </r>
  <r>
    <d v="2026-08-27T00:00:00"/>
    <x v="2"/>
    <x v="0"/>
    <s v="RESCATE"/>
    <x v="0"/>
    <n v="50000000"/>
    <x v="0"/>
    <x v="0"/>
    <x v="0"/>
    <m/>
    <m/>
    <x v="0"/>
    <n v="-50000000"/>
  </r>
  <r>
    <d v="2026-08-27T00:00:00"/>
    <x v="2"/>
    <x v="0"/>
    <s v="RESCATE"/>
    <x v="1"/>
    <n v="200000000"/>
    <x v="1"/>
    <x v="0"/>
    <x v="0"/>
    <m/>
    <m/>
    <x v="0"/>
    <n v="-200000000"/>
  </r>
  <r>
    <d v="2026-08-27T00:00:00"/>
    <x v="3"/>
    <x v="0"/>
    <s v="RESCATE"/>
    <x v="6"/>
    <n v="358000000"/>
    <x v="5"/>
    <x v="0"/>
    <x v="0"/>
    <m/>
    <m/>
    <x v="0"/>
    <n v="-358000000"/>
  </r>
  <r>
    <d v="2026-08-27T00:00:00"/>
    <x v="0"/>
    <x v="0"/>
    <s v="RESCATE"/>
    <x v="2"/>
    <n v="176200000"/>
    <x v="2"/>
    <x v="0"/>
    <x v="0"/>
    <m/>
    <m/>
    <x v="0"/>
    <n v="-176200000"/>
  </r>
  <r>
    <d v="2026-08-28T00:00:00"/>
    <x v="1"/>
    <x v="0"/>
    <s v="RESCATE"/>
    <x v="1"/>
    <n v="27800000"/>
    <x v="1"/>
    <x v="0"/>
    <x v="0"/>
    <m/>
    <m/>
    <x v="0"/>
    <n v="-27800000"/>
  </r>
  <r>
    <d v="2026-08-28T00:00:00"/>
    <x v="0"/>
    <x v="0"/>
    <s v="RESCATE"/>
    <x v="1"/>
    <n v="26200000"/>
    <x v="1"/>
    <x v="0"/>
    <x v="0"/>
    <m/>
    <m/>
    <x v="0"/>
    <n v="-26200000"/>
  </r>
  <r>
    <d v="2026-08-28T00:00:00"/>
    <x v="3"/>
    <x v="0"/>
    <s v="SUSCRIPCION"/>
    <x v="6"/>
    <n v="5862600000"/>
    <x v="5"/>
    <x v="0"/>
    <x v="0"/>
    <m/>
    <m/>
    <x v="0"/>
    <n v="5862600000"/>
  </r>
  <r>
    <d v="2026-08-28T00:00:00"/>
    <x v="2"/>
    <x v="0"/>
    <s v="SUSCRIPCION"/>
    <x v="1"/>
    <n v="243600000"/>
    <x v="1"/>
    <x v="0"/>
    <x v="0"/>
    <m/>
    <m/>
    <x v="0"/>
    <n v="243600000"/>
  </r>
  <r>
    <d v="2026-08-28T00:00:00"/>
    <x v="3"/>
    <x v="0"/>
    <s v="SUSCRIPCION"/>
    <x v="2"/>
    <n v="1500000000"/>
    <x v="2"/>
    <x v="0"/>
    <x v="0"/>
    <m/>
    <m/>
    <x v="0"/>
    <n v="1500000000"/>
  </r>
  <r>
    <d v="2026-08-28T00:00:00"/>
    <x v="3"/>
    <x v="0"/>
    <s v="RESCATE"/>
    <x v="6"/>
    <n v="144000000"/>
    <x v="5"/>
    <x v="0"/>
    <x v="0"/>
    <m/>
    <m/>
    <x v="0"/>
    <n v="-144000000"/>
  </r>
  <r>
    <d v="2026-08-31T00:00:00"/>
    <x v="3"/>
    <x v="0"/>
    <s v="RESCATE"/>
    <x v="6"/>
    <n v="1737500000"/>
    <x v="5"/>
    <x v="0"/>
    <x v="0"/>
    <m/>
    <m/>
    <x v="0"/>
    <n v="-1737500000"/>
  </r>
  <r>
    <d v="2026-08-31T00:00:00"/>
    <x v="0"/>
    <x v="0"/>
    <s v="SUSCRIPCION"/>
    <x v="1"/>
    <n v="303800000"/>
    <x v="1"/>
    <x v="0"/>
    <x v="0"/>
    <m/>
    <m/>
    <x v="0"/>
    <n v="303800000"/>
  </r>
  <r>
    <d v="2026-08-31T00:00:00"/>
    <x v="2"/>
    <x v="0"/>
    <s v="SUSCRIPCION"/>
    <x v="1"/>
    <n v="50900000"/>
    <x v="1"/>
    <x v="0"/>
    <x v="0"/>
    <m/>
    <m/>
    <x v="0"/>
    <n v="50900000"/>
  </r>
  <r>
    <d v="2026-08-31T00:00:00"/>
    <x v="0"/>
    <x v="0"/>
    <s v="RESCATE"/>
    <x v="0"/>
    <n v="500000000"/>
    <x v="0"/>
    <x v="0"/>
    <x v="0"/>
    <m/>
    <m/>
    <x v="0"/>
    <n v="-500000000"/>
  </r>
  <r>
    <d v="2026-08-31T00:00:00"/>
    <x v="3"/>
    <x v="0"/>
    <s v="RESCATE"/>
    <x v="2"/>
    <n v="1501987430.4400001"/>
    <x v="2"/>
    <x v="0"/>
    <x v="0"/>
    <m/>
    <m/>
    <x v="0"/>
    <n v="-1501987430.4400001"/>
  </r>
  <r>
    <d v="2026-08-31T00:00:00"/>
    <x v="3"/>
    <x v="2"/>
    <s v="SUSCRIPCION"/>
    <x v="8"/>
    <n v="1000000"/>
    <x v="2"/>
    <x v="3"/>
    <x v="1"/>
    <s v="18/11/2026"/>
    <s v="3,75"/>
    <x v="7"/>
    <n v="1000000"/>
  </r>
  <r>
    <d v="2026-08-31T00:00:00"/>
    <x v="2"/>
    <x v="0"/>
    <s v="SUSCRIPCION"/>
    <x v="2"/>
    <n v="1498754744.8399999"/>
    <x v="2"/>
    <x v="0"/>
    <x v="0"/>
    <m/>
    <m/>
    <x v="0"/>
    <n v="1498754744.8399999"/>
  </r>
  <r>
    <d v="2026-09-01T00:00:00"/>
    <x v="2"/>
    <x v="0"/>
    <s v="SUSCRIPCION"/>
    <x v="1"/>
    <n v="800000"/>
    <x v="1"/>
    <x v="0"/>
    <x v="0"/>
    <m/>
    <m/>
    <x v="0"/>
    <n v="800000"/>
  </r>
  <r>
    <d v="2026-09-01T00:00:00"/>
    <x v="0"/>
    <x v="0"/>
    <s v="SUSCRIPCION"/>
    <x v="1"/>
    <n v="200000"/>
    <x v="1"/>
    <x v="0"/>
    <x v="0"/>
    <m/>
    <m/>
    <x v="0"/>
    <n v="200000"/>
  </r>
  <r>
    <d v="2026-09-01T00:00:00"/>
    <x v="0"/>
    <x v="0"/>
    <s v="SUSCRIPCION"/>
    <x v="2"/>
    <n v="500000"/>
    <x v="2"/>
    <x v="0"/>
    <x v="0"/>
    <m/>
    <m/>
    <x v="0"/>
    <n v="500000"/>
  </r>
  <r>
    <d v="2026-09-01T00:00:00"/>
    <x v="3"/>
    <x v="0"/>
    <s v="SUSCRIPCION"/>
    <x v="0"/>
    <n v="47396710.18"/>
    <x v="0"/>
    <x v="0"/>
    <x v="0"/>
    <m/>
    <m/>
    <x v="0"/>
    <n v="47396710.18"/>
  </r>
  <r>
    <d v="2026-09-01T00:00:00"/>
    <x v="0"/>
    <x v="0"/>
    <s v="RESCATE"/>
    <x v="0"/>
    <n v="500000000"/>
    <x v="0"/>
    <x v="0"/>
    <x v="0"/>
    <m/>
    <m/>
    <x v="0"/>
    <n v="-500000000"/>
  </r>
  <r>
    <d v="2026-09-01T00:00:00"/>
    <x v="0"/>
    <x v="0"/>
    <s v="SUSCRIPCION"/>
    <x v="0"/>
    <n v="2700000"/>
    <x v="0"/>
    <x v="0"/>
    <x v="0"/>
    <m/>
    <m/>
    <x v="0"/>
    <n v="2700000"/>
  </r>
  <r>
    <d v="2026-09-01T00:00:00"/>
    <x v="1"/>
    <x v="0"/>
    <s v="SUSCRIPCION"/>
    <x v="1"/>
    <n v="2200000"/>
    <x v="1"/>
    <x v="0"/>
    <x v="0"/>
    <m/>
    <m/>
    <x v="0"/>
    <n v="2200000"/>
  </r>
  <r>
    <d v="2026-09-01T00:00:00"/>
    <x v="1"/>
    <x v="0"/>
    <s v="RESCATE"/>
    <x v="1"/>
    <n v="5500000"/>
    <x v="1"/>
    <x v="0"/>
    <x v="0"/>
    <m/>
    <m/>
    <x v="0"/>
    <n v="-5500000"/>
  </r>
  <r>
    <d v="2026-09-01T00:00:00"/>
    <x v="2"/>
    <x v="0"/>
    <s v="RESCATE"/>
    <x v="1"/>
    <n v="337600000"/>
    <x v="1"/>
    <x v="0"/>
    <x v="0"/>
    <m/>
    <m/>
    <x v="0"/>
    <n v="-337600000"/>
  </r>
  <r>
    <d v="2026-09-01T00:00:00"/>
    <x v="0"/>
    <x v="0"/>
    <s v="RESCATE"/>
    <x v="1"/>
    <n v="34100000"/>
    <x v="1"/>
    <x v="0"/>
    <x v="0"/>
    <m/>
    <m/>
    <x v="0"/>
    <n v="-34100000"/>
  </r>
  <r>
    <d v="2026-09-01T00:00:00"/>
    <x v="3"/>
    <x v="0"/>
    <s v="RESCATE"/>
    <x v="6"/>
    <n v="1288300000"/>
    <x v="5"/>
    <x v="0"/>
    <x v="0"/>
    <m/>
    <m/>
    <x v="0"/>
    <n v="-1288300000"/>
  </r>
  <r>
    <d v="2026-09-01T00:00:00"/>
    <x v="3"/>
    <x v="0"/>
    <s v="RESCATE"/>
    <x v="2"/>
    <n v="1499540364.4100001"/>
    <x v="2"/>
    <x v="0"/>
    <x v="0"/>
    <m/>
    <m/>
    <x v="0"/>
    <n v="-1499540364.4100001"/>
  </r>
  <r>
    <d v="2026-09-01T00:00:00"/>
    <x v="3"/>
    <x v="2"/>
    <s v="SUSCRIPCION"/>
    <x v="18"/>
    <n v="1000000"/>
    <x v="2"/>
    <x v="3"/>
    <x v="1"/>
    <d v="2026-11-11T00:00:00"/>
    <n v="3.75"/>
    <x v="17"/>
    <n v="1000000"/>
  </r>
  <r>
    <d v="2026-09-01T00:00:00"/>
    <x v="0"/>
    <x v="0"/>
    <s v="SUSCRIPCION"/>
    <x v="2"/>
    <n v="1496619019.4400001"/>
    <x v="2"/>
    <x v="0"/>
    <x v="0"/>
    <m/>
    <m/>
    <x v="0"/>
    <n v="1496619019.4400001"/>
  </r>
  <r>
    <d v="2026-09-02T00:00:00"/>
    <x v="3"/>
    <x v="0"/>
    <s v="RESCATE"/>
    <x v="6"/>
    <n v="484800000"/>
    <x v="5"/>
    <x v="0"/>
    <x v="0"/>
    <m/>
    <m/>
    <x v="0"/>
    <n v="-484800000"/>
  </r>
  <r>
    <d v="2026-09-02T00:00:00"/>
    <x v="0"/>
    <x v="0"/>
    <s v="SUSCRIPCION"/>
    <x v="1"/>
    <n v="10800000"/>
    <x v="1"/>
    <x v="0"/>
    <x v="0"/>
    <m/>
    <m/>
    <x v="0"/>
    <n v="10800000"/>
  </r>
  <r>
    <d v="2026-09-02T00:00:00"/>
    <x v="4"/>
    <x v="0"/>
    <s v="SUSCRIPCION"/>
    <x v="6"/>
    <n v="15500000"/>
    <x v="5"/>
    <x v="0"/>
    <x v="0"/>
    <m/>
    <m/>
    <x v="0"/>
    <n v="15500000"/>
  </r>
  <r>
    <d v="2026-09-02T00:00:00"/>
    <x v="2"/>
    <x v="0"/>
    <s v="RESCATE"/>
    <x v="2"/>
    <n v="257000000"/>
    <x v="2"/>
    <x v="0"/>
    <x v="0"/>
    <m/>
    <m/>
    <x v="0"/>
    <n v="-257000000"/>
  </r>
  <r>
    <d v="2026-09-03T00:00:00"/>
    <x v="3"/>
    <x v="0"/>
    <s v="SUSCRIPCION"/>
    <x v="25"/>
    <n v="800000000"/>
    <x v="17"/>
    <x v="0"/>
    <x v="0"/>
    <m/>
    <m/>
    <x v="0"/>
    <n v="800000000"/>
  </r>
  <r>
    <d v="2026-09-03T00:00:00"/>
    <x v="0"/>
    <x v="0"/>
    <s v="RESCATE"/>
    <x v="2"/>
    <n v="189022987.34"/>
    <x v="2"/>
    <x v="0"/>
    <x v="0"/>
    <m/>
    <m/>
    <x v="0"/>
    <n v="-189022987.34"/>
  </r>
  <r>
    <d v="2026-09-03T00:00:00"/>
    <x v="3"/>
    <x v="0"/>
    <s v="SUSCRIPCION"/>
    <x v="2"/>
    <n v="8100000"/>
    <x v="2"/>
    <x v="0"/>
    <x v="0"/>
    <m/>
    <m/>
    <x v="0"/>
    <n v="8100000"/>
  </r>
  <r>
    <d v="2026-09-03T00:00:00"/>
    <x v="3"/>
    <x v="0"/>
    <s v="SUSCRIPCION"/>
    <x v="11"/>
    <n v="1450000"/>
    <x v="8"/>
    <x v="0"/>
    <x v="0"/>
    <m/>
    <m/>
    <x v="0"/>
    <n v="1450000"/>
  </r>
  <r>
    <d v="2026-09-03T00:00:00"/>
    <x v="3"/>
    <x v="0"/>
    <s v="SUSCRIPCION"/>
    <x v="5"/>
    <n v="900000"/>
    <x v="4"/>
    <x v="0"/>
    <x v="0"/>
    <m/>
    <m/>
    <x v="0"/>
    <n v="900000"/>
  </r>
  <r>
    <d v="2026-09-03T00:00:00"/>
    <x v="3"/>
    <x v="0"/>
    <s v="SUSCRIPCION"/>
    <x v="15"/>
    <n v="1690000"/>
    <x v="12"/>
    <x v="0"/>
    <x v="0"/>
    <m/>
    <m/>
    <x v="0"/>
    <n v="1690000"/>
  </r>
  <r>
    <d v="2026-09-03T00:00:00"/>
    <x v="3"/>
    <x v="0"/>
    <s v="RESCATE"/>
    <x v="6"/>
    <n v="807000000"/>
    <x v="5"/>
    <x v="0"/>
    <x v="0"/>
    <m/>
    <m/>
    <x v="0"/>
    <n v="-807000000"/>
  </r>
  <r>
    <d v="2026-09-03T00:00:00"/>
    <x v="3"/>
    <x v="0"/>
    <s v="SUSCRIPCION"/>
    <x v="6"/>
    <n v="22200000"/>
    <x v="5"/>
    <x v="0"/>
    <x v="0"/>
    <m/>
    <m/>
    <x v="0"/>
    <n v="22200000"/>
  </r>
  <r>
    <d v="2026-09-03T00:00:00"/>
    <x v="3"/>
    <x v="0"/>
    <s v="SUSCRIPCION"/>
    <x v="20"/>
    <n v="4900000"/>
    <x v="15"/>
    <x v="0"/>
    <x v="0"/>
    <m/>
    <m/>
    <x v="0"/>
    <n v="4900000"/>
  </r>
  <r>
    <d v="2026-09-03T00:00:00"/>
    <x v="1"/>
    <x v="0"/>
    <s v="SUSCRIPCION"/>
    <x v="1"/>
    <n v="800000"/>
    <x v="1"/>
    <x v="0"/>
    <x v="0"/>
    <m/>
    <m/>
    <x v="0"/>
    <n v="800000"/>
  </r>
  <r>
    <d v="2026-09-03T00:00:00"/>
    <x v="0"/>
    <x v="0"/>
    <s v="SUSCRIPCION"/>
    <x v="0"/>
    <n v="600000"/>
    <x v="0"/>
    <x v="0"/>
    <x v="0"/>
    <m/>
    <m/>
    <x v="0"/>
    <n v="600000"/>
  </r>
  <r>
    <d v="2026-09-03T00:00:00"/>
    <x v="0"/>
    <x v="0"/>
    <s v="SUSCRIPCION"/>
    <x v="5"/>
    <n v="1000000"/>
    <x v="4"/>
    <x v="0"/>
    <x v="0"/>
    <m/>
    <m/>
    <x v="0"/>
    <n v="1000000"/>
  </r>
  <r>
    <d v="2026-09-03T00:00:00"/>
    <x v="0"/>
    <x v="0"/>
    <s v="RESCATE"/>
    <x v="1"/>
    <n v="244000000"/>
    <x v="1"/>
    <x v="0"/>
    <x v="0"/>
    <m/>
    <m/>
    <x v="0"/>
    <n v="-244000000"/>
  </r>
  <r>
    <d v="2026-09-03T00:00:00"/>
    <x v="3"/>
    <x v="0"/>
    <s v="RESCATE"/>
    <x v="6"/>
    <n v="1196900000"/>
    <x v="5"/>
    <x v="0"/>
    <x v="0"/>
    <m/>
    <m/>
    <x v="0"/>
    <n v="-1196900000"/>
  </r>
  <r>
    <d v="2026-09-03T00:00:00"/>
    <x v="2"/>
    <x v="0"/>
    <s v="SUSCRIPCION"/>
    <x v="1"/>
    <n v="47900000"/>
    <x v="1"/>
    <x v="0"/>
    <x v="0"/>
    <m/>
    <m/>
    <x v="0"/>
    <n v="47900000"/>
  </r>
  <r>
    <d v="2026-09-03T00:00:00"/>
    <x v="3"/>
    <x v="0"/>
    <s v="RESCATE"/>
    <x v="22"/>
    <n v="68551696.340000004"/>
    <x v="6"/>
    <x v="0"/>
    <x v="0"/>
    <m/>
    <m/>
    <x v="0"/>
    <n v="-68551696.340000004"/>
  </r>
  <r>
    <d v="2026-09-03T00:00:00"/>
    <x v="3"/>
    <x v="0"/>
    <s v="RESCATE"/>
    <x v="22"/>
    <n v="150046945.12"/>
    <x v="6"/>
    <x v="0"/>
    <x v="0"/>
    <m/>
    <m/>
    <x v="0"/>
    <n v="-150046945.12"/>
  </r>
  <r>
    <d v="2026-09-04T00:00:00"/>
    <x v="4"/>
    <x v="0"/>
    <s v="RESCATE"/>
    <x v="6"/>
    <n v="7300000"/>
    <x v="5"/>
    <x v="0"/>
    <x v="0"/>
    <m/>
    <m/>
    <x v="0"/>
    <n v="-7300000"/>
  </r>
  <r>
    <d v="2026-09-04T00:00:00"/>
    <x v="2"/>
    <x v="0"/>
    <s v="RESCATE"/>
    <x v="1"/>
    <n v="8100000"/>
    <x v="1"/>
    <x v="0"/>
    <x v="0"/>
    <m/>
    <m/>
    <x v="0"/>
    <n v="-8100000"/>
  </r>
  <r>
    <d v="2026-09-04T00:00:00"/>
    <x v="3"/>
    <x v="0"/>
    <s v="RESCATE"/>
    <x v="6"/>
    <n v="167000000"/>
    <x v="5"/>
    <x v="0"/>
    <x v="0"/>
    <m/>
    <m/>
    <x v="0"/>
    <n v="-167000000"/>
  </r>
  <r>
    <d v="2026-09-04T00:00:00"/>
    <x v="0"/>
    <x v="0"/>
    <s v="SUSCRIPCION"/>
    <x v="1"/>
    <n v="103400000"/>
    <x v="1"/>
    <x v="0"/>
    <x v="0"/>
    <m/>
    <m/>
    <x v="0"/>
    <n v="103400000"/>
  </r>
  <r>
    <d v="2026-09-04T00:00:00"/>
    <x v="3"/>
    <x v="0"/>
    <s v="RESCATE"/>
    <x v="5"/>
    <n v="200000000"/>
    <x v="4"/>
    <x v="0"/>
    <x v="0"/>
    <m/>
    <m/>
    <x v="0"/>
    <n v="-200000000"/>
  </r>
  <r>
    <d v="2026-09-04T00:00:00"/>
    <x v="3"/>
    <x v="0"/>
    <s v="RESCATE"/>
    <x v="6"/>
    <n v="300000000"/>
    <x v="5"/>
    <x v="0"/>
    <x v="0"/>
    <m/>
    <m/>
    <x v="0"/>
    <n v="-300000000"/>
  </r>
  <r>
    <d v="2026-09-07T00:00:00"/>
    <x v="3"/>
    <x v="0"/>
    <s v="RESCATE"/>
    <x v="25"/>
    <n v="300000000"/>
    <x v="17"/>
    <x v="0"/>
    <x v="0"/>
    <m/>
    <m/>
    <x v="0"/>
    <n v="-300000000"/>
  </r>
  <r>
    <d v="2026-09-07T00:00:00"/>
    <x v="3"/>
    <x v="0"/>
    <s v="SUSCRIPCION"/>
    <x v="6"/>
    <n v="300000000"/>
    <x v="5"/>
    <x v="0"/>
    <x v="0"/>
    <m/>
    <m/>
    <x v="0"/>
    <n v="300000000"/>
  </r>
  <r>
    <d v="2026-09-07T00:00:00"/>
    <x v="2"/>
    <x v="0"/>
    <s v="RESCATE"/>
    <x v="1"/>
    <n v="26700000"/>
    <x v="1"/>
    <x v="0"/>
    <x v="0"/>
    <m/>
    <m/>
    <x v="0"/>
    <n v="-26700000"/>
  </r>
  <r>
    <d v="2026-09-07T00:00:00"/>
    <x v="3"/>
    <x v="0"/>
    <s v="RESCATE"/>
    <x v="6"/>
    <n v="205100000"/>
    <x v="5"/>
    <x v="0"/>
    <x v="0"/>
    <m/>
    <m/>
    <x v="0"/>
    <n v="-205100000"/>
  </r>
  <r>
    <d v="2026-09-07T00:00:00"/>
    <x v="0"/>
    <x v="0"/>
    <s v="SUSCRIPCION"/>
    <x v="1"/>
    <n v="32900000"/>
    <x v="1"/>
    <x v="0"/>
    <x v="0"/>
    <m/>
    <m/>
    <x v="0"/>
    <n v="32900000"/>
  </r>
  <r>
    <d v="2026-09-08T00:00:00"/>
    <x v="3"/>
    <x v="0"/>
    <s v="RESCATE"/>
    <x v="0"/>
    <n v="60752767.640000001"/>
    <x v="0"/>
    <x v="0"/>
    <x v="0"/>
    <m/>
    <m/>
    <x v="0"/>
    <n v="-60752767.640000001"/>
  </r>
  <r>
    <d v="2026-09-08T00:00:00"/>
    <x v="3"/>
    <x v="0"/>
    <s v="RESCATE"/>
    <x v="0"/>
    <n v="58375800"/>
    <x v="0"/>
    <x v="0"/>
    <x v="0"/>
    <m/>
    <m/>
    <x v="0"/>
    <n v="-58375800"/>
  </r>
  <r>
    <d v="2026-09-08T00:00:00"/>
    <x v="3"/>
    <x v="0"/>
    <s v="RESCATE"/>
    <x v="25"/>
    <n v="700000000"/>
    <x v="17"/>
    <x v="0"/>
    <x v="0"/>
    <m/>
    <m/>
    <x v="0"/>
    <n v="-700000000"/>
  </r>
  <r>
    <d v="2026-09-08T00:00:00"/>
    <x v="3"/>
    <x v="0"/>
    <s v="SUSCRIPCION"/>
    <x v="6"/>
    <n v="14238600000"/>
    <x v="5"/>
    <x v="0"/>
    <x v="0"/>
    <m/>
    <m/>
    <x v="0"/>
    <n v="14238600000"/>
  </r>
  <r>
    <d v="2027-09-08T00:00:00"/>
    <x v="3"/>
    <x v="0"/>
    <s v="RESCATE"/>
    <x v="6"/>
    <n v="200000000"/>
    <x v="5"/>
    <x v="0"/>
    <x v="0"/>
    <m/>
    <m/>
    <x v="0"/>
    <n v="-200000000"/>
  </r>
  <r>
    <d v="2026-09-08T00:00:00"/>
    <x v="0"/>
    <x v="0"/>
    <s v="RESCATE"/>
    <x v="1"/>
    <n v="139300000"/>
    <x v="1"/>
    <x v="0"/>
    <x v="0"/>
    <m/>
    <m/>
    <x v="0"/>
    <n v="-139300000"/>
  </r>
  <r>
    <d v="2026-09-08T00:00:00"/>
    <x v="2"/>
    <x v="0"/>
    <s v="RESCATE"/>
    <x v="2"/>
    <n v="94000000"/>
    <x v="2"/>
    <x v="0"/>
    <x v="0"/>
    <m/>
    <m/>
    <x v="0"/>
    <n v="-940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3000000}" name="Tabla dinámica2" cacheId="6" dataOnRows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4" indent="0" outline="1" outlineData="1" multipleFieldFilters="0">
  <location ref="A4:C6" firstHeaderRow="1" firstDataRow="2" firstDataCol="2" rowPageCount="2" colPageCount="1"/>
  <pivotFields count="21">
    <pivotField name="    " axis="axisPage" multipleItemSelectionAllowed="1" showAll="0">
      <items count="12">
        <item x="0"/>
        <item h="1" x="6"/>
        <item h="1" x="3"/>
        <item h="1" x="2"/>
        <item h="1" x="1"/>
        <item h="1" x="4"/>
        <item h="1" x="5"/>
        <item h="1" x="7"/>
        <item h="1" x="8"/>
        <item h="1" x="9"/>
        <item h="1" x="10"/>
        <item t="default"/>
      </items>
    </pivotField>
    <pivotField axis="axisRow" outline="0" showAll="0" sortType="ascending" defaultSubtotal="0">
      <items count="21">
        <item x="11"/>
        <item x="3"/>
        <item x="0"/>
        <item x="6"/>
        <item x="1"/>
        <item x="15"/>
        <item x="4"/>
        <item x="9"/>
        <item x="7"/>
        <item x="13"/>
        <item x="12"/>
        <item x="10"/>
        <item x="17"/>
        <item x="14"/>
        <item x="5"/>
        <item x="19"/>
        <item x="8"/>
        <item x="2"/>
        <item x="18"/>
        <item x="16"/>
        <item x="20"/>
      </items>
    </pivotField>
    <pivotField axis="axisRow" outline="0" showAll="0" defaultSubtota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7"/>
        <item x="38"/>
        <item x="39"/>
        <item x="40"/>
        <item x="41"/>
        <item x="55"/>
        <item x="44"/>
        <item x="45"/>
        <item x="46"/>
        <item x="54"/>
        <item x="30"/>
        <item x="36"/>
        <item x="42"/>
        <item x="43"/>
        <item x="52"/>
        <item x="53"/>
        <item x="47"/>
        <item x="48"/>
        <item x="49"/>
        <item x="50"/>
        <item x="51"/>
      </items>
    </pivotField>
    <pivotField axis="axisCol" outline="0" showAll="0" defaultSubtotal="0">
      <items count="5">
        <item x="0"/>
        <item x="1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dataField="1" outline="0"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axis="axisPage" multipleItemSelectionAllowed="1" showAll="0" defaultSubtotal="0">
      <items count="3">
        <item h="1" x="0"/>
        <item m="1" x="2"/>
        <item h="1" x="1"/>
      </items>
    </pivotField>
    <pivotField outline="0" showAll="0" defaultSubtotal="0"/>
    <pivotField outline="0" showAll="0" sortType="ascending" defaultSubtotal="0">
      <items count="45">
        <item x="30"/>
        <item x="5"/>
        <item x="39"/>
        <item x="21"/>
        <item x="17"/>
        <item x="12"/>
        <item x="22"/>
        <item x="20"/>
        <item x="40"/>
        <item x="6"/>
        <item x="18"/>
        <item x="11"/>
        <item x="35"/>
        <item x="33"/>
        <item x="0"/>
        <item x="2"/>
        <item x="32"/>
        <item x="41"/>
        <item x="8"/>
        <item x="28"/>
        <item x="25"/>
        <item x="23"/>
        <item x="9"/>
        <item x="4"/>
        <item x="37"/>
        <item x="13"/>
        <item x="3"/>
        <item x="16"/>
        <item x="10"/>
        <item x="14"/>
        <item x="24"/>
        <item x="7"/>
        <item x="42"/>
        <item x="19"/>
        <item x="36"/>
        <item x="15"/>
        <item x="34"/>
        <item x="31"/>
        <item x="44"/>
        <item x="26"/>
        <item x="38"/>
        <item x="27"/>
        <item x="1"/>
        <item x="29"/>
        <item x="43"/>
      </items>
    </pivotField>
    <pivotField outline="0" showAll="0" defaultSubtotal="0">
      <items count="171">
        <item x="0"/>
        <item x="2"/>
        <item x="1"/>
        <item m="1" x="166"/>
        <item m="1" x="135"/>
        <item m="1" x="17"/>
        <item m="1" x="76"/>
        <item m="1" x="64"/>
        <item m="1" x="165"/>
        <item m="1" x="6"/>
        <item m="1" x="113"/>
        <item m="1" x="146"/>
        <item m="1" x="29"/>
        <item m="1" x="39"/>
        <item m="1" x="44"/>
        <item m="1" x="65"/>
        <item m="1" x="114"/>
        <item m="1" x="71"/>
        <item m="1" x="98"/>
        <item m="1" x="52"/>
        <item m="1" x="99"/>
        <item m="1" x="89"/>
        <item m="1" x="140"/>
        <item m="1" x="95"/>
        <item m="1" x="85"/>
        <item m="1" x="151"/>
        <item m="1" x="170"/>
        <item m="1" x="154"/>
        <item m="1" x="49"/>
        <item m="1" x="139"/>
        <item m="1" x="91"/>
        <item m="1" x="149"/>
        <item m="1" x="35"/>
        <item m="1" x="96"/>
        <item m="1" x="168"/>
        <item m="1" x="72"/>
        <item m="1" x="132"/>
        <item m="1" x="77"/>
        <item m="1" x="150"/>
        <item m="1" x="164"/>
        <item m="1" x="78"/>
        <item m="1" x="68"/>
        <item m="1" x="157"/>
        <item m="1" x="10"/>
        <item m="1" x="58"/>
        <item m="1" x="148"/>
        <item m="1" x="40"/>
        <item m="1" x="51"/>
        <item m="1" x="67"/>
        <item m="1" x="94"/>
        <item m="1" x="61"/>
        <item m="1" x="127"/>
        <item m="1" x="53"/>
        <item m="1" x="25"/>
        <item m="1" x="129"/>
        <item m="1" x="27"/>
        <item m="1" x="159"/>
        <item m="1" x="7"/>
        <item m="1" x="31"/>
        <item m="1" x="103"/>
        <item m="1" x="38"/>
        <item m="1" x="43"/>
        <item m="1" x="8"/>
        <item m="1" x="48"/>
        <item m="1" x="18"/>
        <item m="1" x="119"/>
        <item m="1" x="101"/>
        <item m="1" x="121"/>
        <item m="1" x="81"/>
        <item m="1" x="88"/>
        <item m="1" x="115"/>
        <item m="1" x="93"/>
        <item m="1" x="92"/>
        <item m="1" x="28"/>
        <item m="1" x="126"/>
        <item m="1" x="160"/>
        <item m="1" x="56"/>
        <item m="1" x="128"/>
        <item m="1" x="108"/>
        <item m="1" x="167"/>
        <item m="1" x="106"/>
        <item m="1" x="60"/>
        <item m="1" x="20"/>
        <item m="1" x="111"/>
        <item m="1" x="137"/>
        <item m="1" x="110"/>
        <item m="1" x="118"/>
        <item m="1" x="66"/>
        <item m="1" x="15"/>
        <item m="1" x="109"/>
        <item m="1" x="34"/>
        <item m="1" x="105"/>
        <item m="1" x="23"/>
        <item m="1" x="86"/>
        <item m="1" x="59"/>
        <item m="1" x="124"/>
        <item m="1" x="50"/>
        <item m="1" x="70"/>
        <item m="1" x="80"/>
        <item m="1" x="24"/>
        <item m="1" x="136"/>
        <item m="1" x="134"/>
        <item m="1" x="9"/>
        <item m="1" x="14"/>
        <item m="1" x="147"/>
        <item m="1" x="158"/>
        <item m="1" x="16"/>
        <item m="1" x="74"/>
        <item m="1" x="162"/>
        <item m="1" x="122"/>
        <item m="1" x="83"/>
        <item m="1" x="47"/>
        <item m="1" x="13"/>
        <item m="1" x="145"/>
        <item m="1" x="104"/>
        <item m="1" x="19"/>
        <item m="1" x="141"/>
        <item m="1" x="142"/>
        <item m="1" x="116"/>
        <item m="1" x="32"/>
        <item m="1" x="131"/>
        <item m="1" x="87"/>
        <item m="1" x="36"/>
        <item m="1" x="3"/>
        <item m="1" x="82"/>
        <item m="1" x="163"/>
        <item m="1" x="156"/>
        <item m="1" x="75"/>
        <item m="1" x="69"/>
        <item m="1" x="37"/>
        <item m="1" x="4"/>
        <item m="1" x="107"/>
        <item m="1" x="100"/>
        <item m="1" x="97"/>
        <item m="1" x="5"/>
        <item m="1" x="125"/>
        <item m="1" x="102"/>
        <item m="1" x="133"/>
        <item m="1" x="169"/>
        <item m="1" x="79"/>
        <item m="1" x="45"/>
        <item m="1" x="90"/>
        <item m="1" x="42"/>
        <item m="1" x="84"/>
        <item m="1" x="11"/>
        <item m="1" x="57"/>
        <item m="1" x="54"/>
        <item m="1" x="152"/>
        <item m="1" x="123"/>
        <item m="1" x="117"/>
        <item m="1" x="144"/>
        <item m="1" x="21"/>
        <item m="1" x="143"/>
        <item m="1" x="26"/>
        <item m="1" x="46"/>
        <item m="1" x="73"/>
        <item m="1" x="12"/>
        <item m="1" x="155"/>
        <item m="1" x="161"/>
        <item m="1" x="120"/>
        <item m="1" x="153"/>
        <item m="1" x="112"/>
        <item m="1" x="130"/>
        <item m="1" x="41"/>
        <item m="1" x="22"/>
        <item m="1" x="33"/>
        <item m="1" x="62"/>
        <item m="1" x="30"/>
        <item m="1" x="138"/>
        <item m="1" x="55"/>
        <item m="1" x="63"/>
      </items>
    </pivotField>
    <pivotField showAll="0"/>
    <pivotField showAll="0"/>
    <pivotField showAll="0"/>
    <pivotField outline="0" showAll="0" defaultSubtotal="0">
      <items count="7">
        <item x="0"/>
        <item x="5"/>
        <item x="1"/>
        <item x="2"/>
        <item x="4"/>
        <item x="3"/>
        <item m="1" x="6"/>
      </items>
    </pivotField>
  </pivotFields>
  <rowFields count="2">
    <field x="1"/>
    <field x="2"/>
  </rowFields>
  <rowItems count="1">
    <i t="grand">
      <x/>
    </i>
  </rowItems>
  <colFields count="1">
    <field x="3"/>
  </colFields>
  <colItems count="1">
    <i t="grand">
      <x/>
    </i>
  </colItems>
  <pageFields count="2">
    <pageField fld="0" hier="-1"/>
    <pageField fld="13" hier="-1"/>
  </pageFields>
  <dataFields count="1">
    <dataField name="DISPONIBLE" fld="6" baseField="8" baseItem="40" numFmtId="4"/>
  </dataFields>
  <formats count="121">
    <format dxfId="142">
      <pivotArea dataOnly="0" labelOnly="1" fieldPosition="0">
        <references count="1">
          <reference field="1" count="1">
            <x v="2"/>
          </reference>
        </references>
      </pivotArea>
    </format>
    <format dxfId="141">
      <pivotArea outline="0" fieldPosition="0">
        <references count="1">
          <reference field="4294967294" count="1">
            <x v="0"/>
          </reference>
        </references>
      </pivotArea>
    </format>
    <format dxfId="140">
      <pivotArea field="15" type="button" dataOnly="0" labelOnly="1" outline="0"/>
    </format>
    <format dxfId="139">
      <pivotArea field="16" type="button" dataOnly="0" labelOnly="1" outline="0"/>
    </format>
    <format dxfId="138">
      <pivotArea field="2" type="button" dataOnly="0" labelOnly="1" outline="0" axis="axisRow" fieldPosition="1"/>
    </format>
    <format dxfId="137">
      <pivotArea field="1" type="button" dataOnly="0" labelOnly="1" outline="0" axis="axisRow" fieldPosition="0"/>
    </format>
    <format dxfId="136">
      <pivotArea field="20" type="button" dataOnly="0" labelOnly="1" outline="0"/>
    </format>
    <format dxfId="135">
      <pivotArea field="15" type="button" dataOnly="0" labelOnly="1" outline="0"/>
    </format>
    <format dxfId="134">
      <pivotArea field="16" type="button" dataOnly="0" labelOnly="1" outline="0"/>
    </format>
    <format dxfId="133">
      <pivotArea field="3" type="button" dataOnly="0" labelOnly="1" outline="0" axis="axisCol" fieldPosition="0"/>
    </format>
    <format dxfId="132">
      <pivotArea dataOnly="0" labelOnly="1" outline="0" axis="axisValues" fieldPosition="0"/>
    </format>
    <format dxfId="131">
      <pivotArea dataOnly="0" labelOnly="1" grandRow="1" outline="0" fieldPosition="0"/>
    </format>
    <format dxfId="130">
      <pivotArea dataOnly="0" labelOnly="1" grandRow="1" outline="0" fieldPosition="0"/>
    </format>
    <format dxfId="129">
      <pivotArea dataOnly="0" labelOnly="1" grandRow="1" outline="0" fieldPosition="0"/>
    </format>
    <format dxfId="128">
      <pivotArea dataOnly="0" labelOnly="1" grandRow="1" outline="0" fieldPosition="0"/>
    </format>
    <format dxfId="127">
      <pivotArea dataOnly="0" labelOnly="1" grandRow="1" outline="0" fieldPosition="0"/>
    </format>
    <format dxfId="126">
      <pivotArea dataOnly="0" labelOnly="1" grandRow="1" outline="0" fieldPosition="0"/>
    </format>
    <format dxfId="125">
      <pivotArea dataOnly="0" labelOnly="1" grandRow="1" outline="0" fieldPosition="0"/>
    </format>
    <format dxfId="124">
      <pivotArea dataOnly="0" labelOnly="1" grandRow="1" outline="0" fieldPosition="0"/>
    </format>
    <format dxfId="123">
      <pivotArea dataOnly="0" labelOnly="1" grandRow="1" outline="0" fieldPosition="0"/>
    </format>
    <format dxfId="122">
      <pivotArea dataOnly="0" labelOnly="1" grandRow="1" outline="0" fieldPosition="0"/>
    </format>
    <format dxfId="121">
      <pivotArea dataOnly="0" labelOnly="1" grandRow="1" outline="0" fieldPosition="0"/>
    </format>
    <format dxfId="120">
      <pivotArea dataOnly="0" labelOnly="1" grandRow="1" outline="0" fieldPosition="0"/>
    </format>
    <format dxfId="119">
      <pivotArea dataOnly="0" labelOnly="1" grandRow="1" outline="0" fieldPosition="0"/>
    </format>
    <format dxfId="118">
      <pivotArea dataOnly="0" labelOnly="1" grandRow="1" outline="0" fieldPosition="0"/>
    </format>
    <format dxfId="117">
      <pivotArea dataOnly="0" labelOnly="1" grandRow="1" outline="0" fieldPosition="0"/>
    </format>
    <format dxfId="116">
      <pivotArea dataOnly="0" labelOnly="1" grandRow="1" outline="0" fieldPosition="0"/>
    </format>
    <format dxfId="115">
      <pivotArea dataOnly="0" labelOnly="1" grandRow="1" outline="0" fieldPosition="0"/>
    </format>
    <format dxfId="114">
      <pivotArea dataOnly="0" labelOnly="1" grandRow="1" outline="0" fieldPosition="0"/>
    </format>
    <format dxfId="113">
      <pivotArea dataOnly="0" labelOnly="1" grandRow="1" outline="0" fieldPosition="0"/>
    </format>
    <format dxfId="112">
      <pivotArea dataOnly="0" labelOnly="1" grandRow="1" outline="0" fieldPosition="0"/>
    </format>
    <format dxfId="111">
      <pivotArea dataOnly="0" labelOnly="1" grandRow="1" outline="0" fieldPosition="0"/>
    </format>
    <format dxfId="110">
      <pivotArea dataOnly="0" labelOnly="1" grandRow="1" outline="0" fieldPosition="0"/>
    </format>
    <format dxfId="109">
      <pivotArea dataOnly="0" labelOnly="1" grandRow="1" outline="0" fieldPosition="0"/>
    </format>
    <format dxfId="108">
      <pivotArea dataOnly="0" labelOnly="1" grandRow="1" outline="0" fieldPosition="0"/>
    </format>
    <format dxfId="107">
      <pivotArea dataOnly="0" labelOnly="1" grandRow="1" outline="0" fieldPosition="0"/>
    </format>
    <format dxfId="106">
      <pivotArea dataOnly="0" labelOnly="1" grandRow="1" outline="0" fieldPosition="0"/>
    </format>
    <format dxfId="105">
      <pivotArea dataOnly="0" labelOnly="1" grandRow="1" outline="0" fieldPosition="0"/>
    </format>
    <format dxfId="104">
      <pivotArea dataOnly="0" labelOnly="1" grandRow="1" outline="0" fieldPosition="0"/>
    </format>
    <format dxfId="103">
      <pivotArea dataOnly="0" labelOnly="1" grandRow="1" outline="0" fieldPosition="0"/>
    </format>
    <format dxfId="102">
      <pivotArea dataOnly="0" labelOnly="1" grandRow="1" outline="0" fieldPosition="0"/>
    </format>
    <format dxfId="101">
      <pivotArea dataOnly="0" labelOnly="1" grandRow="1" outline="0" fieldPosition="0"/>
    </format>
    <format dxfId="100">
      <pivotArea dataOnly="0" labelOnly="1" grandRow="1" outline="0" fieldPosition="0"/>
    </format>
    <format dxfId="99">
      <pivotArea dataOnly="0" labelOnly="1" grandRow="1" outline="0" fieldPosition="0"/>
    </format>
    <format dxfId="98">
      <pivotArea dataOnly="0" labelOnly="1" grandRow="1" outline="0" fieldPosition="0"/>
    </format>
    <format dxfId="97">
      <pivotArea dataOnly="0" labelOnly="1" grandRow="1" outline="0" fieldPosition="0"/>
    </format>
    <format dxfId="96">
      <pivotArea dataOnly="0" labelOnly="1" grandRow="1" outline="0" fieldPosition="0"/>
    </format>
    <format dxfId="95">
      <pivotArea dataOnly="0" labelOnly="1" grandRow="1" outline="0" fieldPosition="0"/>
    </format>
    <format dxfId="94">
      <pivotArea dataOnly="0" labelOnly="1" grandRow="1" outline="0" fieldPosition="0"/>
    </format>
    <format dxfId="93">
      <pivotArea dataOnly="0" labelOnly="1" grandRow="1" outline="0" fieldPosition="0"/>
    </format>
    <format dxfId="92">
      <pivotArea dataOnly="0" labelOnly="1" grandRow="1" outline="0" fieldPosition="0"/>
    </format>
    <format dxfId="91">
      <pivotArea dataOnly="0" labelOnly="1" grandRow="1" outline="0" fieldPosition="0"/>
    </format>
    <format dxfId="90">
      <pivotArea dataOnly="0" labelOnly="1" grandRow="1" outline="0" fieldPosition="0"/>
    </format>
    <format dxfId="89">
      <pivotArea dataOnly="0" labelOnly="1" grandRow="1" outline="0" fieldPosition="0"/>
    </format>
    <format dxfId="88">
      <pivotArea dataOnly="0" labelOnly="1" grandRow="1" outline="0" fieldPosition="0"/>
    </format>
    <format dxfId="87">
      <pivotArea dataOnly="0" labelOnly="1" grandRow="1" outline="0" fieldPosition="0"/>
    </format>
    <format dxfId="86">
      <pivotArea dataOnly="0" labelOnly="1" grandRow="1" outline="0" fieldPosition="0"/>
    </format>
    <format dxfId="85">
      <pivotArea dataOnly="0" labelOnly="1" grandRow="1" outline="0" fieldPosition="0"/>
    </format>
    <format dxfId="84">
      <pivotArea dataOnly="0" labelOnly="1" grandRow="1" outline="0" fieldPosition="0"/>
    </format>
    <format dxfId="83">
      <pivotArea dataOnly="0" labelOnly="1" grandRow="1" outline="0" fieldPosition="0"/>
    </format>
    <format dxfId="82">
      <pivotArea dataOnly="0" labelOnly="1" grandRow="1" outline="0" fieldPosition="0"/>
    </format>
    <format dxfId="81">
      <pivotArea dataOnly="0" labelOnly="1" grandRow="1" outline="0" fieldPosition="0"/>
    </format>
    <format dxfId="80">
      <pivotArea dataOnly="0" labelOnly="1" grandRow="1" outline="0" fieldPosition="0"/>
    </format>
    <format dxfId="79">
      <pivotArea dataOnly="0" labelOnly="1" grandRow="1" outline="0" fieldPosition="0"/>
    </format>
    <format dxfId="78">
      <pivotArea dataOnly="0" labelOnly="1" grandRow="1" outline="0" fieldPosition="0"/>
    </format>
    <format dxfId="77">
      <pivotArea dataOnly="0" labelOnly="1" grandRow="1" outline="0" fieldPosition="0"/>
    </format>
    <format dxfId="76">
      <pivotArea dataOnly="0" labelOnly="1" grandRow="1" outline="0" fieldPosition="0"/>
    </format>
    <format dxfId="75">
      <pivotArea dataOnly="0" labelOnly="1" grandRow="1" outline="0" fieldPosition="0"/>
    </format>
    <format dxfId="74">
      <pivotArea dataOnly="0" labelOnly="1" grandRow="1" outline="0" fieldPosition="0"/>
    </format>
    <format dxfId="73">
      <pivotArea dataOnly="0" labelOnly="1" grandRow="1" outline="0" fieldPosition="0"/>
    </format>
    <format dxfId="72">
      <pivotArea dataOnly="0" labelOnly="1" grandRow="1" outline="0" fieldPosition="0"/>
    </format>
    <format dxfId="71">
      <pivotArea dataOnly="0" labelOnly="1" grandRow="1" outline="0" fieldPosition="0"/>
    </format>
    <format dxfId="70">
      <pivotArea field="16" type="button" dataOnly="0" labelOnly="1" outline="0"/>
    </format>
    <format dxfId="69">
      <pivotArea field="15" type="button" dataOnly="0" labelOnly="1" outline="0"/>
    </format>
    <format dxfId="68">
      <pivotArea field="3" type="button" dataOnly="0" labelOnly="1" outline="0" axis="axisCol" fieldPosition="0"/>
    </format>
    <format dxfId="67">
      <pivotArea field="3" type="button" dataOnly="0" labelOnly="1" outline="0" axis="axisCol" fieldPosition="0"/>
    </format>
    <format dxfId="66">
      <pivotArea field="3" type="button" dataOnly="0" labelOnly="1" outline="0" axis="axisCol" fieldPosition="0"/>
    </format>
    <format dxfId="65">
      <pivotArea field="3" type="button" dataOnly="0" labelOnly="1" outline="0" axis="axisCol" fieldPosition="0"/>
    </format>
    <format dxfId="64">
      <pivotArea field="3" type="button" dataOnly="0" labelOnly="1" outline="0" axis="axisCol" fieldPosition="0"/>
    </format>
    <format dxfId="63">
      <pivotArea field="3" type="button" dataOnly="0" labelOnly="1" outline="0" axis="axisCol" fieldPosition="0"/>
    </format>
    <format dxfId="62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61">
      <pivotArea dataOnly="0" labelOnly="1" grandCol="1" outline="0" fieldPosition="0"/>
    </format>
    <format dxfId="60">
      <pivotArea type="origin" dataOnly="0" labelOnly="1" outline="0" fieldPosition="0"/>
    </format>
    <format dxfId="59">
      <pivotArea field="3" type="button" dataOnly="0" labelOnly="1" outline="0" axis="axisCol" fieldPosition="0"/>
    </format>
    <format dxfId="58">
      <pivotArea type="topRight" dataOnly="0" labelOnly="1" outline="0" fieldPosition="0"/>
    </format>
    <format dxfId="57">
      <pivotArea field="1" type="button" dataOnly="0" labelOnly="1" outline="0" axis="axisRow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54">
      <pivotArea dataOnly="0" labelOnly="1" grandCol="1" outline="0" fieldPosition="0"/>
    </format>
    <format dxfId="53">
      <pivotArea type="origin" dataOnly="0" labelOnly="1" outline="0" fieldPosition="0"/>
    </format>
    <format dxfId="52">
      <pivotArea field="3" type="button" dataOnly="0" labelOnly="1" outline="0" axis="axisCol" fieldPosition="0"/>
    </format>
    <format dxfId="51">
      <pivotArea type="topRight" dataOnly="0" labelOnly="1" outline="0" fieldPosition="0"/>
    </format>
    <format dxfId="50">
      <pivotArea field="1" type="button" dataOnly="0" labelOnly="1" outline="0" axis="axisRow" fieldPosition="0"/>
    </format>
    <format dxfId="49">
      <pivotArea field="2" type="button" dataOnly="0" labelOnly="1" outline="0" axis="axisRow" fieldPosition="1"/>
    </format>
    <format dxfId="48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47">
      <pivotArea dataOnly="0" labelOnly="1" grandCol="1" outline="0" fieldPosition="0"/>
    </format>
    <format dxfId="46">
      <pivotArea type="origin" dataOnly="0" labelOnly="1" outline="0" fieldPosition="0"/>
    </format>
    <format dxfId="45">
      <pivotArea field="3" type="button" dataOnly="0" labelOnly="1" outline="0" axis="axisCol" fieldPosition="0"/>
    </format>
    <format dxfId="44">
      <pivotArea type="topRight" dataOnly="0" labelOnly="1" outline="0" fieldPosition="0"/>
    </format>
    <format dxfId="43">
      <pivotArea field="1" type="button" dataOnly="0" labelOnly="1" outline="0" axis="axisRow" fieldPosition="0"/>
    </format>
    <format dxfId="42">
      <pivotArea field="2" type="button" dataOnly="0" labelOnly="1" outline="0" axis="axisRow" fieldPosition="1"/>
    </format>
    <format dxfId="41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40">
      <pivotArea dataOnly="0" labelOnly="1" grandCol="1" outline="0" fieldPosition="0"/>
    </format>
    <format dxfId="39">
      <pivotArea outline="0" collapsedLevelsAreSubtotals="1" fieldPosition="0">
        <references count="2">
          <reference field="1" count="8" selected="0">
            <x v="0"/>
            <x v="3"/>
            <x v="7"/>
            <x v="9"/>
            <x v="12"/>
            <x v="13"/>
            <x v="16"/>
            <x v="19"/>
          </reference>
          <reference field="2" count="8" selected="0">
            <x v="19"/>
            <x v="22"/>
            <x v="26"/>
            <x v="33"/>
            <x v="35"/>
            <x v="41"/>
            <x v="45"/>
            <x v="48"/>
          </reference>
        </references>
      </pivotArea>
    </format>
    <format dxfId="38">
      <pivotArea grandRow="1" outline="0" collapsedLevelsAreSubtotals="1" fieldPosition="0"/>
    </format>
    <format dxfId="37">
      <pivotArea outline="0" collapsedLevelsAreSubtotals="1" fieldPosition="0"/>
    </format>
    <format dxfId="36">
      <pivotArea outline="0" collapsedLevelsAreSubtotals="1" fieldPosition="0">
        <references count="2">
          <reference field="1" count="8" selected="0">
            <x v="0"/>
            <x v="3"/>
            <x v="7"/>
            <x v="9"/>
            <x v="12"/>
            <x v="13"/>
            <x v="16"/>
            <x v="19"/>
          </reference>
          <reference field="2" count="8" selected="0">
            <x v="19"/>
            <x v="22"/>
            <x v="26"/>
            <x v="33"/>
            <x v="35"/>
            <x v="41"/>
            <x v="45"/>
            <x v="48"/>
          </reference>
        </references>
      </pivotArea>
    </format>
    <format dxfId="35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34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33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32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31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30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9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8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7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6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5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4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3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  <format dxfId="22">
      <pivotArea outline="0" collapsedLevelsAreSubtotals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1" selected="0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2000000}" name="Tabla diná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M3:N55" firstHeaderRow="1" firstDataRow="1" firstDataCol="1" rowPageCount="1" colPageCount="1"/>
  <pivotFields count="21">
    <pivotField axis="axisPage" multipleItemSelectionAllowed="1" showAll="0">
      <items count="8">
        <item h="1" x="0"/>
        <item h="1" x="6"/>
        <item x="3"/>
        <item h="1" x="2"/>
        <item h="1" x="1"/>
        <item h="1" x="4"/>
        <item h="1" x="5"/>
        <item t="default"/>
      </items>
    </pivotField>
    <pivotField showAll="0"/>
    <pivotField axis="axisRow" showAll="0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7"/>
        <item x="38"/>
        <item x="39"/>
        <item x="40"/>
        <item x="41"/>
        <item x="55"/>
        <item x="44"/>
        <item x="45"/>
        <item x="46"/>
        <item x="54"/>
        <item x="30"/>
        <item x="36"/>
        <item x="42"/>
        <item x="43"/>
        <item x="47"/>
        <item x="48"/>
        <item x="49"/>
        <item x="50"/>
        <item x="51"/>
        <item x="52"/>
        <item x="53"/>
        <item t="default"/>
      </items>
    </pivotField>
    <pivotField showAll="0"/>
    <pivotField showAll="0" defaultSubtotal="0"/>
    <pivotField showAll="0" defaultSubtotal="0"/>
    <pivotField dataField="1"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4"/>
    </i>
    <i>
      <x v="55"/>
    </i>
    <i t="grand">
      <x/>
    </i>
  </rowItems>
  <colItems count="1">
    <i/>
  </colItems>
  <pageFields count="1">
    <pageField fld="0" hier="-1"/>
  </pageFields>
  <dataFields count="1">
    <dataField name="INVERSION" fld="6" baseField="1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6E7C4A-9B01-47FA-8A82-047EA32AE2A6}" name="Resumen" cacheId="1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6" indent="0" outline="1" outlineData="1" multipleFieldFilters="0" chartFormat="4">
  <location ref="A3:E12" firstHeaderRow="1" firstDataRow="2" firstDataCol="4" rowPageCount="1" colPageCount="1"/>
  <pivotFields count="13">
    <pivotField numFmtId="170" showAll="0"/>
    <pivotField axis="axisPage" multipleItemSelectionAllowed="1" showAll="0">
      <items count="17">
        <item h="1" x="1"/>
        <item h="1" m="1" x="6"/>
        <item m="1" x="8"/>
        <item m="1" x="7"/>
        <item h="1" x="4"/>
        <item h="1" m="1" x="5"/>
        <item m="1" x="14"/>
        <item m="1" x="13"/>
        <item m="1" x="15"/>
        <item m="1" x="9"/>
        <item m="1" x="12"/>
        <item m="1" x="11"/>
        <item m="1" x="10"/>
        <item x="2"/>
        <item h="1" x="0"/>
        <item h="1" x="3"/>
        <item t="default"/>
      </items>
    </pivotField>
    <pivotField axis="axisRow" outline="0" showAll="0" insertBlankRow="1" defaultSubtotal="0">
      <items count="8">
        <item m="1" x="5"/>
        <item x="0"/>
        <item x="1"/>
        <item m="1" x="4"/>
        <item x="2"/>
        <item m="1" x="7"/>
        <item m="1" x="6"/>
        <item m="1" x="3"/>
      </items>
    </pivotField>
    <pivotField showAll="0"/>
    <pivotField axis="axisRow" outline="0" showAll="0" measureFilter="1" defaultSubtotal="0">
      <items count="28">
        <item x="2"/>
        <item x="1"/>
        <item x="9"/>
        <item x="23"/>
        <item x="0"/>
        <item x="22"/>
        <item x="11"/>
        <item x="12"/>
        <item x="14"/>
        <item x="18"/>
        <item x="8"/>
        <item x="5"/>
        <item x="13"/>
        <item x="15"/>
        <item x="3"/>
        <item x="4"/>
        <item x="19"/>
        <item x="6"/>
        <item x="7"/>
        <item x="16"/>
        <item x="20"/>
        <item x="17"/>
        <item x="21"/>
        <item x="24"/>
        <item x="25"/>
        <item m="1" x="27"/>
        <item x="26"/>
        <item x="10"/>
      </items>
    </pivotField>
    <pivotField numFmtId="165" showAll="0"/>
    <pivotField axis="axisRow" outline="0" showAll="0" defaultSubtotal="0">
      <items count="36">
        <item sd="0" m="1" x="21"/>
        <item sd="0" m="1" x="22"/>
        <item x="1"/>
        <item x="6"/>
        <item x="7"/>
        <item x="2"/>
        <item sd="0" m="1" x="23"/>
        <item x="3"/>
        <item x="0"/>
        <item sd="0" m="1" x="24"/>
        <item sd="0" m="1" x="18"/>
        <item sd="0" m="1" x="25"/>
        <item sd="0" m="1" x="26"/>
        <item x="8"/>
        <item sd="0" m="1" x="19"/>
        <item x="9"/>
        <item sd="0" x="14"/>
        <item sd="0" m="1" x="29"/>
        <item sd="0" m="1" x="30"/>
        <item sd="0" m="1" x="27"/>
        <item sd="0" m="1" x="28"/>
        <item sd="0" m="1" x="31"/>
        <item x="11"/>
        <item x="4"/>
        <item x="10"/>
        <item x="12"/>
        <item sd="0" m="1" x="32"/>
        <item x="5"/>
        <item sd="0" m="1" x="33"/>
        <item x="13"/>
        <item sd="0" m="1" x="35"/>
        <item x="16"/>
        <item x="15"/>
        <item sd="0" m="1" x="34"/>
        <item m="1" x="20"/>
        <item x="17"/>
      </items>
    </pivotField>
    <pivotField axis="axisCol" showAll="0">
      <items count="9">
        <item x="0"/>
        <item x="1"/>
        <item x="2"/>
        <item h="1" m="1" x="4"/>
        <item m="1" x="7"/>
        <item m="1" x="6"/>
        <item x="3"/>
        <item h="1" m="1" x="5"/>
        <item t="default"/>
      </items>
    </pivotField>
    <pivotField axis="axisRow" showAll="0" defaultSubtotal="0">
      <items count="3">
        <item x="0"/>
        <item x="1"/>
        <item m="1" x="2"/>
      </items>
    </pivotField>
    <pivotField outline="0" showAll="0" defaultSubtotal="0"/>
    <pivotField outline="0" showAll="0" defaultSubtotal="0"/>
    <pivotField axis="axisRow" outline="0" showAll="0" defaultSubtotal="0">
      <items count="160">
        <item x="0"/>
        <item m="1" x="29"/>
        <item m="1" x="26"/>
        <item m="1" x="24"/>
        <item m="1" x="25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37"/>
        <item x="3"/>
        <item m="1" x="38"/>
        <item m="1" x="39"/>
        <item m="1" x="40"/>
        <item m="1" x="41"/>
        <item m="1" x="42"/>
        <item m="1" x="43"/>
        <item m="1" x="44"/>
        <item m="1" x="1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153"/>
        <item n="21/02/2024" sd="0" m="1" x="55"/>
        <item sd="0" m="1" x="152"/>
        <item m="1" x="149"/>
        <item m="1" x="151"/>
        <item m="1" x="157"/>
        <item m="1" x="156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158"/>
        <item m="1" x="155"/>
        <item m="1" x="150"/>
        <item m="1" x="56"/>
        <item m="1" x="140"/>
        <item m="1" x="154"/>
        <item m="1" x="22"/>
        <item m="1" x="148"/>
        <item m="1" x="125"/>
        <item m="1" x="92"/>
        <item m="1" x="147"/>
        <item m="1" x="126"/>
        <item m="1" x="146"/>
        <item m="1" x="109"/>
        <item m="1" x="110"/>
        <item m="1" x="93"/>
        <item m="1" x="111"/>
        <item m="1" x="113"/>
        <item m="1" x="144"/>
        <item m="1" x="112"/>
        <item m="1" x="94"/>
        <item m="1" x="145"/>
        <item m="1" x="104"/>
        <item m="1" x="142"/>
        <item m="1" x="143"/>
        <item m="1" x="128"/>
        <item m="1" x="129"/>
        <item m="1" x="127"/>
        <item m="1" x="95"/>
        <item m="1" x="97"/>
        <item m="1" x="96"/>
        <item m="1" x="141"/>
        <item m="1" x="105"/>
        <item m="1" x="57"/>
        <item x="2"/>
        <item m="1" x="58"/>
        <item m="1" x="59"/>
        <item m="1" x="60"/>
        <item x="1"/>
        <item m="1" x="139"/>
        <item m="1" x="114"/>
        <item m="1" x="115"/>
        <item m="1" x="116"/>
        <item m="1" x="99"/>
        <item m="1" x="117"/>
        <item m="1" x="118"/>
        <item m="1" x="106"/>
        <item m="1" x="107"/>
        <item m="1" x="134"/>
        <item m="1" x="108"/>
        <item m="1" x="133"/>
        <item m="1" x="138"/>
        <item m="1" x="98"/>
        <item m="1" x="100"/>
        <item m="1" x="101"/>
        <item m="1" x="102"/>
        <item m="1" x="103"/>
        <item m="1" x="136"/>
        <item m="1" x="137"/>
        <item m="1" x="135"/>
        <item x="4"/>
        <item m="1" x="121"/>
        <item x="6"/>
        <item x="7"/>
        <item m="1" x="20"/>
        <item m="1" x="132"/>
        <item m="1" x="131"/>
        <item x="8"/>
        <item x="9"/>
        <item m="1" x="130"/>
        <item x="10"/>
        <item m="1" x="124"/>
        <item x="12"/>
        <item x="13"/>
        <item x="14"/>
        <item x="15"/>
        <item m="1" x="123"/>
        <item m="1" x="119"/>
        <item m="1" x="120"/>
        <item m="1" x="122"/>
        <item x="11"/>
        <item x="5"/>
        <item m="1" x="23"/>
        <item x="16"/>
        <item m="1" x="18"/>
        <item x="17"/>
        <item m="1" x="19"/>
        <item m="1" x="21"/>
      </items>
    </pivotField>
    <pivotField dataField="1" numFmtId="165" showAll="0"/>
  </pivotFields>
  <rowFields count="5">
    <field x="8"/>
    <field x="2"/>
    <field x="11"/>
    <field x="6"/>
    <field x="4"/>
  </rowFields>
  <rowItems count="8">
    <i>
      <x/>
    </i>
    <i r="1">
      <x v="1"/>
      <x/>
      <x v="2"/>
      <x v="1"/>
    </i>
    <i r="3">
      <x v="3"/>
      <x v="5"/>
    </i>
    <i r="3">
      <x v="5"/>
      <x/>
    </i>
    <i r="3">
      <x v="8"/>
      <x v="4"/>
    </i>
    <i r="3">
      <x v="27"/>
      <x v="17"/>
    </i>
    <i t="blank" r="1">
      <x v="1"/>
    </i>
    <i t="grand">
      <x/>
    </i>
  </rowItems>
  <colFields count="1">
    <field x="7"/>
  </colFields>
  <colItems count="1">
    <i>
      <x/>
    </i>
  </colItems>
  <pageFields count="1">
    <pageField fld="1" hier="-1"/>
  </pageFields>
  <dataFields count="1">
    <dataField name="Suma de IMPORTE" fld="12" baseField="2" baseItem="0" numFmtId="4"/>
  </dataFields>
  <formats count="33">
    <format dxfId="181">
      <pivotArea dataOnly="0" labelOnly="1" fieldPosition="0">
        <references count="1">
          <reference field="7" count="2">
            <x v="0"/>
            <x v="2"/>
          </reference>
        </references>
      </pivotArea>
    </format>
    <format dxfId="180">
      <pivotArea dataOnly="0" labelOnly="1" grandCol="1" outline="0" fieldPosition="0"/>
    </format>
    <format dxfId="179">
      <pivotArea outline="0" collapsedLevelsAreSubtotals="1" fieldPosition="0">
        <references count="5">
          <reference field="2" count="1" selected="0">
            <x v="1"/>
          </reference>
          <reference field="4" count="1" selected="0">
            <x v="2"/>
          </reference>
          <reference field="6" count="1" selected="0">
            <x v="3"/>
          </reference>
          <reference field="7" count="1" selected="0">
            <x v="0"/>
          </reference>
          <reference field="11" count="1" selected="0">
            <x v="0"/>
          </reference>
        </references>
      </pivotArea>
    </format>
    <format dxfId="178">
      <pivotArea field="11" grandCol="1" outline="0" collapsedLevelsAreSubtotals="1" axis="axisRow" fieldPosition="2">
        <references count="4"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11" count="1" selected="0">
            <x v="15"/>
          </reference>
        </references>
      </pivotArea>
    </format>
    <format dxfId="177">
      <pivotArea outline="0" collapsedLevelsAreSubtotals="1" fieldPosition="0">
        <references count="5">
          <reference field="2" count="1" selected="0">
            <x v="1"/>
          </reference>
          <reference field="4" count="1" selected="0">
            <x v="2"/>
          </reference>
          <reference field="6" count="1" selected="0">
            <x v="3"/>
          </reference>
          <reference field="7" count="1" selected="0">
            <x v="0"/>
          </reference>
          <reference field="11" count="1" selected="0">
            <x v="0"/>
          </reference>
        </references>
      </pivotArea>
    </format>
    <format dxfId="176">
      <pivotArea field="11" grandCol="1" outline="0" collapsedLevelsAreSubtotals="1" axis="axisRow" fieldPosition="2">
        <references count="4"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11" count="1" selected="0">
            <x v="15"/>
          </reference>
        </references>
      </pivotArea>
    </format>
    <format dxfId="175">
      <pivotArea outline="0" collapsedLevelsAreSubtotals="1" fieldPosition="0">
        <references count="4"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11" count="1" selected="0">
            <x v="0"/>
          </reference>
        </references>
      </pivotArea>
    </format>
    <format dxfId="174">
      <pivotArea dataOnly="0" labelOnly="1" fieldPosition="0">
        <references count="3">
          <reference field="2" count="1" selected="0">
            <x v="1"/>
          </reference>
          <reference field="6" count="1">
            <x v="5"/>
          </reference>
          <reference field="11" count="1" selected="0">
            <x v="0"/>
          </reference>
        </references>
      </pivotArea>
    </format>
    <format dxfId="173">
      <pivotArea dataOnly="0" labelOnly="1" fieldPosition="0">
        <references count="4">
          <reference field="2" count="1" selected="0">
            <x v="1"/>
          </reference>
          <reference field="4" count="1">
            <x v="0"/>
          </reference>
          <reference field="6" count="1" selected="0">
            <x v="5"/>
          </reference>
          <reference field="11" count="1" selected="0">
            <x v="0"/>
          </reference>
        </references>
      </pivotArea>
    </format>
    <format dxfId="172">
      <pivotArea dataOnly="0" labelOnly="1" fieldPosition="0">
        <references count="2">
          <reference field="2" count="1" selected="0">
            <x v="4"/>
          </reference>
          <reference field="11" count="1">
            <x v="35"/>
          </reference>
        </references>
      </pivotArea>
    </format>
    <format dxfId="171">
      <pivotArea dataOnly="0" labelOnly="1" fieldPosition="0">
        <references count="3">
          <reference field="2" count="1" selected="0">
            <x v="4"/>
          </reference>
          <reference field="6" count="1">
            <x v="12"/>
          </reference>
          <reference field="11" count="1" selected="0">
            <x v="35"/>
          </reference>
        </references>
      </pivotArea>
    </format>
    <format dxfId="170">
      <pivotArea dataOnly="0" labelOnly="1" fieldPosition="0">
        <references count="5">
          <reference field="2" count="1" selected="0">
            <x v="1"/>
          </reference>
          <reference field="4" count="1">
            <x v="1"/>
          </reference>
          <reference field="6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69">
      <pivotArea dataOnly="0" labelOnly="1" fieldPosition="0">
        <references count="5">
          <reference field="2" count="1" selected="0">
            <x v="1"/>
          </reference>
          <reference field="4" count="1">
            <x v="0"/>
          </reference>
          <reference field="6" count="1" selected="0">
            <x v="5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68">
      <pivotArea collapsedLevelsAreSubtotals="1" fieldPosition="0">
        <references count="6">
          <reference field="2" count="1" selected="0">
            <x v="4"/>
          </reference>
          <reference field="4" count="1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89"/>
          </reference>
        </references>
      </pivotArea>
    </format>
    <format dxfId="167">
      <pivotArea collapsedLevelsAreSubtotals="1" fieldPosition="0">
        <references count="6">
          <reference field="2" count="1" selected="0">
            <x v="4"/>
          </reference>
          <reference field="4" count="1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01"/>
          </reference>
        </references>
      </pivotArea>
    </format>
    <format dxfId="166">
      <pivotArea collapsedLevelsAreSubtotals="1" fieldPosition="0">
        <references count="6">
          <reference field="2" count="1" selected="0">
            <x v="4"/>
          </reference>
          <reference field="4" count="1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02"/>
          </reference>
        </references>
      </pivotArea>
    </format>
    <format dxfId="165">
      <pivotArea collapsedLevelsAreSubtotals="1" fieldPosition="0">
        <references count="6">
          <reference field="2" count="1" selected="0">
            <x v="4"/>
          </reference>
          <reference field="4" count="1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89"/>
          </reference>
        </references>
      </pivotArea>
    </format>
    <format dxfId="164">
      <pivotArea collapsedLevelsAreSubtotals="1" fieldPosition="0">
        <references count="6">
          <reference field="2" count="1" selected="0">
            <x v="4"/>
          </reference>
          <reference field="4" count="1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01"/>
          </reference>
        </references>
      </pivotArea>
    </format>
    <format dxfId="163">
      <pivotArea collapsedLevelsAreSubtotals="1" fieldPosition="0">
        <references count="6">
          <reference field="2" count="1" selected="0">
            <x v="4"/>
          </reference>
          <reference field="4" count="1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02"/>
          </reference>
        </references>
      </pivotArea>
    </format>
    <format dxfId="162">
      <pivotArea collapsedLevelsAreSubtotals="1" fieldPosition="0">
        <references count="6">
          <reference field="2" count="1" selected="0">
            <x v="1"/>
          </reference>
          <reference field="4" count="1">
            <x v="1"/>
          </reference>
          <reference field="6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61">
      <pivotArea collapsedLevelsAreSubtotals="1" fieldPosition="0">
        <references count="6">
          <reference field="2" count="1" selected="0">
            <x v="1"/>
          </reference>
          <reference field="4" count="1">
            <x v="2"/>
          </reference>
          <reference field="6" count="1" selected="0">
            <x v="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60">
      <pivotArea collapsedLevelsAreSubtotals="1" fieldPosition="0">
        <references count="6">
          <reference field="2" count="1" selected="0">
            <x v="1"/>
          </reference>
          <reference field="4" count="1">
            <x v="27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9">
      <pivotArea collapsedLevelsAreSubtotals="1" fieldPosition="0">
        <references count="6">
          <reference field="2" count="1" selected="0">
            <x v="1"/>
          </reference>
          <reference field="4" count="1">
            <x v="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8">
      <pivotArea collapsedLevelsAreSubtotals="1" fieldPosition="0">
        <references count="6">
          <reference field="2" count="1" selected="0">
            <x v="1"/>
          </reference>
          <reference field="4" count="1">
            <x v="4"/>
          </reference>
          <reference field="6" count="1" selected="0">
            <x v="8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7">
      <pivotArea collapsedLevelsAreSubtotals="1" fieldPosition="0">
        <references count="6">
          <reference field="2" count="1" selected="0">
            <x v="1"/>
          </reference>
          <reference field="4" count="1">
            <x v="6"/>
          </reference>
          <reference field="6" count="1" selected="0">
            <x v="1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6">
      <pivotArea collapsedLevelsAreSubtotals="1" fieldPosition="0">
        <references count="6">
          <reference field="2" count="1" selected="0">
            <x v="1"/>
          </reference>
          <reference field="4" count="1">
            <x v="7"/>
          </reference>
          <reference field="6" count="1" selected="0">
            <x v="1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5">
      <pivotArea collapsedLevelsAreSubtotals="1" fieldPosition="0">
        <references count="6">
          <reference field="2" count="1" selected="0">
            <x v="1"/>
          </reference>
          <reference field="4" count="1">
            <x v="8"/>
          </reference>
          <reference field="6" count="1" selected="0">
            <x v="22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4">
      <pivotArea collapsedLevelsAreSubtotals="1" fieldPosition="0">
        <references count="6">
          <reference field="2" count="1" selected="0">
            <x v="1"/>
          </reference>
          <reference field="4" count="1">
            <x v="11"/>
          </reference>
          <reference field="6" count="1" selected="0">
            <x v="2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3">
      <pivotArea collapsedLevelsAreSubtotals="1" fieldPosition="0">
        <references count="6">
          <reference field="2" count="1" selected="0">
            <x v="1"/>
          </reference>
          <reference field="4" count="1">
            <x v="12"/>
          </reference>
          <reference field="6" count="1" selected="0">
            <x v="24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2">
      <pivotArea collapsedLevelsAreSubtotals="1" fieldPosition="0">
        <references count="6">
          <reference field="2" count="1" selected="0">
            <x v="1"/>
          </reference>
          <reference field="4" count="1">
            <x v="13"/>
          </reference>
          <reference field="6" count="1" selected="0">
            <x v="2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1">
      <pivotArea collapsedLevelsAreSubtotals="1" fieldPosition="0">
        <references count="6">
          <reference field="2" count="1" selected="0">
            <x v="1"/>
          </reference>
          <reference field="4" count="1">
            <x v="17"/>
          </reference>
          <reference field="6" count="1" selected="0">
            <x v="27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50">
      <pivotArea collapsedLevelsAreSubtotals="1" fieldPosition="0">
        <references count="6">
          <reference field="2" count="1" selected="0">
            <x v="1"/>
          </reference>
          <reference field="4" count="1">
            <x v="19"/>
          </reference>
          <reference field="6" count="1" selected="0">
            <x v="2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  <format dxfId="149">
      <pivotArea collapsedLevelsAreSubtotals="1" fieldPosition="0">
        <references count="5">
          <reference field="2" count="1" selected="0">
            <x v="1"/>
          </reference>
          <reference field="4" count="1">
            <x v="5"/>
          </reference>
          <reference field="6" count="1" selected="0">
            <x v="3"/>
          </reference>
          <reference field="8" count="1" selected="0">
            <x v="0"/>
          </reference>
          <reference field="11" count="1" selected="0">
            <x v="0"/>
          </reference>
        </references>
      </pivotArea>
    </format>
  </formats>
  <chartFormats count="19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7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7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8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9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0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4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1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2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3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2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0"/>
          </reference>
        </references>
      </pivotArea>
    </chartFormat>
    <chartFormat chart="0" format="2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8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29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0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1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1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2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3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4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7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9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8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2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39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0"/>
          </reference>
        </references>
      </pivotArea>
    </chartFormat>
    <chartFormat chart="0" format="40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1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1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2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3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4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9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8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2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49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0"/>
          </reference>
        </references>
      </pivotArea>
    </chartFormat>
    <chartFormat chart="0" format="50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1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2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3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1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8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59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4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0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1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7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2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9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3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2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8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0"/>
          </reference>
        </references>
      </pivotArea>
    </chartFormat>
    <chartFormat chart="0" format="6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  <reference field="6" count="1" selected="0">
            <x v="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  <reference field="6" count="1" selected="0">
            <x v="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7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6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  <reference field="6" count="1" selected="0">
            <x v="8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2"/>
          </reference>
          <reference field="6" count="1" selected="0">
            <x v="3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6"/>
          </reference>
          <reference field="6" count="1" selected="0">
            <x v="1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7"/>
          </reference>
          <reference field="6" count="1" selected="0">
            <x v="1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1"/>
          </reference>
          <reference field="6" count="1" selected="0">
            <x v="2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2"/>
          </reference>
          <reference field="6" count="1" selected="0">
            <x v="24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3"/>
          </reference>
          <reference field="6" count="1" selected="0">
            <x v="2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7"/>
          </reference>
          <reference field="6" count="1" selected="0">
            <x v="27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9"/>
          </reference>
          <reference field="6" count="1" selected="0">
            <x v="2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0"/>
          </reference>
          <reference field="6" count="1" selected="0">
            <x v="32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7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1"/>
          </reference>
          <reference field="6" count="1" selected="0">
            <x v="8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"/>
          </reference>
        </references>
      </pivotArea>
    </chartFormat>
    <chartFormat chart="0" format="8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  <reference field="6" count="1" selected="0">
            <x v="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  <reference field="6" count="1" selected="0">
            <x v="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7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2"/>
          </reference>
          <reference field="6" count="1" selected="0">
            <x v="31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6"/>
          </reference>
          <reference field="6" count="1" selected="0">
            <x v="1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7"/>
          </reference>
          <reference field="6" count="1" selected="0">
            <x v="1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1"/>
          </reference>
          <reference field="6" count="1" selected="0">
            <x v="2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8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2"/>
          </reference>
          <reference field="6" count="1" selected="0">
            <x v="24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3"/>
          </reference>
          <reference field="6" count="1" selected="0">
            <x v="2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7"/>
          </reference>
          <reference field="6" count="1" selected="0">
            <x v="27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9"/>
          </reference>
          <reference field="6" count="1" selected="0">
            <x v="29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0"/>
          </reference>
          <reference field="6" count="1" selected="0">
            <x v="32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1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"/>
          </reference>
        </references>
      </pivotArea>
    </chartFormat>
    <chartFormat chart="0" format="9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  <reference field="6" count="1" selected="0">
            <x v="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  <reference field="6" count="1" selected="0">
            <x v="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7"/>
          </reference>
          <reference field="6" count="1" selected="0">
            <x v="4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9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  <reference field="6" count="1" selected="0">
            <x v="8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2"/>
          </reference>
          <reference field="6" count="1" selected="0">
            <x v="31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6"/>
          </reference>
          <reference field="6" count="1" selected="0">
            <x v="1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7"/>
          </reference>
          <reference field="6" count="1" selected="0">
            <x v="1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1"/>
          </reference>
          <reference field="6" count="1" selected="0">
            <x v="2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2"/>
          </reference>
          <reference field="6" count="1" selected="0">
            <x v="24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3"/>
          </reference>
          <reference field="6" count="1" selected="0">
            <x v="2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7"/>
          </reference>
          <reference field="6" count="1" selected="0">
            <x v="27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9"/>
          </reference>
          <reference field="6" count="1" selected="0">
            <x v="29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0"/>
          </reference>
          <reference field="6" count="1" selected="0">
            <x v="32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0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1"/>
          </reference>
          <reference field="6" count="1" selected="0">
            <x v="8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"/>
          </reference>
        </references>
      </pivotArea>
    </chartFormat>
    <chartFormat chart="0" format="11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  <reference field="6" count="1" selected="0">
            <x v="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  <reference field="6" count="1" selected="0">
            <x v="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7"/>
          </reference>
          <reference field="6" count="1" selected="0">
            <x v="4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  <reference field="6" count="1" selected="0">
            <x v="8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2"/>
          </reference>
          <reference field="6" count="1" selected="0">
            <x v="31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6"/>
          </reference>
          <reference field="6" count="1" selected="0">
            <x v="1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7"/>
          </reference>
          <reference field="6" count="1" selected="0">
            <x v="1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1"/>
          </reference>
          <reference field="6" count="1" selected="0">
            <x v="2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1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2"/>
          </reference>
          <reference field="6" count="1" selected="0">
            <x v="24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3"/>
          </reference>
          <reference field="6" count="1" selected="0">
            <x v="2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7"/>
          </reference>
          <reference field="6" count="1" selected="0">
            <x v="27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9"/>
          </reference>
          <reference field="6" count="1" selected="0">
            <x v="29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0"/>
          </reference>
          <reference field="6" count="1" selected="0">
            <x v="32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1"/>
          </reference>
          <reference field="6" count="1" selected="0">
            <x v="8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"/>
          </reference>
        </references>
      </pivotArea>
    </chartFormat>
    <chartFormat chart="0" format="12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"/>
          </reference>
          <reference field="6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4"/>
          </reference>
          <reference field="6" count="1" selected="0">
            <x v="7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5"/>
          </reference>
          <reference field="6" count="1" selected="0">
            <x v="7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4"/>
          </reference>
          <reference field="6" count="1" selected="0">
            <x v="7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2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5"/>
          </reference>
          <reference field="6" count="1" selected="0">
            <x v="7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  <reference field="6" count="1" selected="0">
            <x v="3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  <reference field="6" count="1" selected="0">
            <x v="3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  <reference field="6" count="1" selected="0">
            <x v="3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  <reference field="6" count="1" selected="0">
            <x v="3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4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  <reference field="6" count="1" selected="0">
            <x v="3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5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  <reference field="6" count="1" selected="0">
            <x v="5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6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  <reference field="6" count="1" selected="0">
            <x v="8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37">
      <pivotArea type="data" outline="0" fieldPosition="0">
        <references count="6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7"/>
          </reference>
          <reference field="6" count="1" selected="0">
            <x v="27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3"/>
          </reference>
          <reference field="6" count="1" selected="0">
            <x v="3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3"/>
          </reference>
          <reference field="6" count="1" selected="0">
            <x v="3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3"/>
          </reference>
          <reference field="6" count="1" selected="0">
            <x v="3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3"/>
          </reference>
          <reference field="6" count="1" selected="0">
            <x v="3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4"/>
          </reference>
          <reference field="6" count="1" selected="0">
            <x v="35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4"/>
          </reference>
          <reference field="6" count="1" selected="0">
            <x v="35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8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4"/>
          </reference>
          <reference field="6" count="1" selected="0">
            <x v="35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49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4"/>
          </reference>
          <reference field="6" count="1" selected="0">
            <x v="35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50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4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51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5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52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4"/>
          </reference>
          <reference field="6" count="1" selected="0">
            <x v="7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53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5"/>
          </reference>
          <reference field="6" count="1" selected="0">
            <x v="7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54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55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56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57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58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59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60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61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5"/>
          </reference>
        </references>
      </pivotArea>
    </chartFormat>
    <chartFormat chart="0" format="162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3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4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5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6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7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8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69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6"/>
          </reference>
        </references>
      </pivotArea>
    </chartFormat>
    <chartFormat chart="0" format="170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42"/>
          </reference>
        </references>
      </pivotArea>
    </chartFormat>
    <chartFormat chart="0" format="171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42"/>
          </reference>
        </references>
      </pivotArea>
    </chartFormat>
    <chartFormat chart="0" format="172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42"/>
          </reference>
        </references>
      </pivotArea>
    </chartFormat>
    <chartFormat chart="0" format="173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42"/>
          </reference>
        </references>
      </pivotArea>
    </chartFormat>
    <chartFormat chart="0" format="174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6"/>
          </reference>
          <reference field="6" count="1" selected="0">
            <x v="3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75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6"/>
          </reference>
          <reference field="6" count="1" selected="0">
            <x v="31"/>
          </reference>
          <reference field="7" count="1" selected="0">
            <x v="1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76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6"/>
          </reference>
          <reference field="6" count="1" selected="0">
            <x v="31"/>
          </reference>
          <reference field="7" count="1" selected="0">
            <x v="2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77">
      <pivotArea type="data" outline="0" fieldPosition="0">
        <references count="7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6"/>
          </reference>
          <reference field="6" count="1" selected="0">
            <x v="31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0"/>
          </reference>
        </references>
      </pivotArea>
    </chartFormat>
    <chartFormat chart="0" format="178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35"/>
          </reference>
        </references>
      </pivotArea>
    </chartFormat>
    <chartFormat chart="0" format="179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35"/>
          </reference>
        </references>
      </pivotArea>
    </chartFormat>
    <chartFormat chart="0" format="180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35"/>
          </reference>
        </references>
      </pivotArea>
    </chartFormat>
    <chartFormat chart="0" format="181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35"/>
          </reference>
        </references>
      </pivotArea>
    </chartFormat>
    <chartFormat chart="0" format="182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7"/>
          </reference>
        </references>
      </pivotArea>
    </chartFormat>
    <chartFormat chart="0" format="183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7"/>
          </reference>
        </references>
      </pivotArea>
    </chartFormat>
    <chartFormat chart="0" format="184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7"/>
          </reference>
        </references>
      </pivotArea>
    </chartFormat>
    <chartFormat chart="0" format="185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7"/>
          </reference>
        </references>
      </pivotArea>
    </chartFormat>
    <chartFormat chart="0" format="186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36"/>
          </reference>
        </references>
      </pivotArea>
    </chartFormat>
    <chartFormat chart="0" format="187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8"/>
          </reference>
        </references>
      </pivotArea>
    </chartFormat>
    <chartFormat chart="0" format="188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159"/>
          </reference>
        </references>
      </pivotArea>
    </chartFormat>
    <chartFormat chart="0" format="189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36"/>
          </reference>
        </references>
      </pivotArea>
    </chartFormat>
    <chartFormat chart="0" format="190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8"/>
          </reference>
        </references>
      </pivotArea>
    </chartFormat>
    <chartFormat chart="0" format="191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1"/>
          </reference>
          <reference field="11" count="1" selected="0">
            <x v="159"/>
          </reference>
        </references>
      </pivotArea>
    </chartFormat>
    <chartFormat chart="0" format="192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36"/>
          </reference>
        </references>
      </pivotArea>
    </chartFormat>
    <chartFormat chart="0" format="193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8"/>
          </reference>
        </references>
      </pivotArea>
    </chartFormat>
    <chartFormat chart="0" format="194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2"/>
          </reference>
          <reference field="8" count="1" selected="0">
            <x v="1"/>
          </reference>
          <reference field="11" count="1" selected="0">
            <x v="159"/>
          </reference>
        </references>
      </pivotArea>
    </chartFormat>
    <chartFormat chart="0" format="195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36"/>
          </reference>
        </references>
      </pivotArea>
    </chartFormat>
    <chartFormat chart="0" format="196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10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8"/>
          </reference>
        </references>
      </pivotArea>
    </chartFormat>
    <chartFormat chart="0" format="197">
      <pivotArea type="data" outline="0" fieldPosition="0">
        <references count="7">
          <reference field="4294967294" count="1" selected="0">
            <x v="0"/>
          </reference>
          <reference field="2" count="1" selected="0">
            <x v="4"/>
          </reference>
          <reference field="4" count="1" selected="0">
            <x v="9"/>
          </reference>
          <reference field="6" count="1" selected="0">
            <x v="5"/>
          </reference>
          <reference field="7" count="1" selected="0">
            <x v="6"/>
          </reference>
          <reference field="8" count="1" selected="0">
            <x v="1"/>
          </reference>
          <reference field="11" count="1" selected="0">
            <x v="159"/>
          </reference>
        </references>
      </pivotArea>
    </chartFormat>
  </chartFormats>
  <pivotTableStyleInfo name="PivotStyleMedium9" showRowHeaders="1" showColHeaders="1" showRowStripes="0" showColStripes="1" showLastColumn="1"/>
  <filters count="1">
    <filter fld="4" type="valueNotBetween" evalOrder="-1" id="9" iMeasureFld="0">
      <autoFilter ref="A1">
        <filterColumn colId="0">
          <customFilters>
            <customFilter operator="lessThan" val="-0.1"/>
            <customFilter operator="greaterThan" val="0.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A000000}" name="Tabla 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3:O21" firstHeaderRow="1" firstDataRow="3" firstDataCol="1" rowPageCount="1" colPageCount="1"/>
  <pivotFields count="21">
    <pivotField axis="axisCol" showAll="0">
      <items count="8">
        <item x="0"/>
        <item x="6"/>
        <item x="3"/>
        <item x="2"/>
        <item x="1"/>
        <item x="4"/>
        <item x="5"/>
        <item t="default"/>
      </items>
    </pivotField>
    <pivotField axis="axisRow" showAll="0">
      <items count="22">
        <item sd="0" x="0"/>
        <item sd="0" x="6"/>
        <item sd="0" x="1"/>
        <item sd="0" x="15"/>
        <item sd="0" x="4"/>
        <item sd="0" x="9"/>
        <item sd="0" x="7"/>
        <item sd="0" x="13"/>
        <item sd="0" x="12"/>
        <item sd="0" x="10"/>
        <item sd="0" x="17"/>
        <item sd="0" x="14"/>
        <item sd="0" x="5"/>
        <item sd="0" x="8"/>
        <item sd="0" x="2"/>
        <item h="1" x="20"/>
        <item h="1" x="3"/>
        <item h="1" x="11"/>
        <item h="1" x="16"/>
        <item h="1" x="18"/>
        <item h="1" x="19"/>
        <item t="default"/>
      </items>
    </pivotField>
    <pivotField axis="axisRow" showAll="0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7"/>
        <item x="38"/>
        <item x="39"/>
        <item x="40"/>
        <item x="41"/>
        <item x="55"/>
        <item x="44"/>
        <item x="45"/>
        <item x="46"/>
        <item x="54"/>
        <item x="30"/>
        <item x="36"/>
        <item x="42"/>
        <item x="43"/>
        <item x="47"/>
        <item x="48"/>
        <item x="49"/>
        <item x="50"/>
        <item x="51"/>
        <item x="52"/>
        <item x="53"/>
        <item t="default"/>
      </items>
    </pivotField>
    <pivotField axis="axisPage" showAll="0">
      <items count="6">
        <item x="0"/>
        <item x="1"/>
        <item x="4"/>
        <item x="2"/>
        <item x="3"/>
        <item t="default"/>
      </items>
    </pivotField>
    <pivotField showAll="0" defaultSubtotal="0"/>
    <pivotField showAll="0" defaultSubtotal="0"/>
    <pivotField dataField="1"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1"/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2">
    <field x="0"/>
    <field x="-2"/>
  </colFields>
  <col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pageFields count="1">
    <pageField fld="3" hier="-1"/>
  </pageFields>
  <dataFields count="2">
    <dataField name="Suma de CAPITAL INVERTIDO" fld="6" baseField="1" baseItem="0" numFmtId="4"/>
    <dataField name="Suma de participacion" fld="16" baseField="1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14" displayName="Tabla14" ref="A1:M1539" totalsRowShown="0" headerRowDxfId="21" dataDxfId="20">
  <autoFilter ref="A1:M1539" xr:uid="{00000000-0009-0000-0100-000003000000}"/>
  <sortState xmlns:xlrd2="http://schemas.microsoft.com/office/spreadsheetml/2017/richdata2" ref="A2:M1529">
    <sortCondition ref="A1:A1529"/>
  </sortState>
  <tableColumns count="13">
    <tableColumn id="1" xr3:uid="{00000000-0010-0000-0100-000001000000}" name="FECHA" dataDxfId="19"/>
    <tableColumn id="2" xr3:uid="{00000000-0010-0000-0100-000002000000}" name="EMPRESA" dataDxfId="18"/>
    <tableColumn id="17" xr3:uid="{00000000-0010-0000-0100-000011000000}" name="INVERSION" dataDxfId="17"/>
    <tableColumn id="3" xr3:uid="{00000000-0010-0000-0100-000003000000}" name="OPERACIÓN" dataDxfId="16"/>
    <tableColumn id="4" xr3:uid="{00000000-0010-0000-0100-000004000000}" name="FONDO" dataDxfId="15"/>
    <tableColumn id="5" xr3:uid="{00000000-0010-0000-0100-000005000000}" name="CAPITAL" dataDxfId="14" dataCellStyle="Millares"/>
    <tableColumn id="6" xr3:uid="{00000000-0010-0000-0100-000006000000}" name="BANCO" dataDxfId="13" dataCellStyle="Moneda">
      <calculatedColumnFormula>+VLOOKUP(Tabla14[[#This Row],[FONDO]],MAESTRO!$D$2:$E$119,2,FALSE)</calculatedColumnFormula>
    </tableColumn>
    <tableColumn id="8" xr3:uid="{00000000-0010-0000-0100-000008000000}" name="TIPO" dataDxfId="12" dataCellStyle="Moneda">
      <calculatedColumnFormula>+VLOOKUP(Tabla14[[#This Row],[FONDO]],MAESTRO!D:F,3,FALSE)</calculatedColumnFormula>
    </tableColumn>
    <tableColumn id="9" xr3:uid="{00000000-0010-0000-0100-000009000000}" name="MONEDA DOC" dataDxfId="11"/>
    <tableColumn id="20" xr3:uid="{00000000-0010-0000-0100-000014000000}" name="VENCIMIENTO" dataDxfId="10"/>
    <tableColumn id="19" xr3:uid="{00000000-0010-0000-0100-000013000000}" name="TASA" dataDxfId="9"/>
    <tableColumn id="21" xr3:uid="{00000000-0010-0000-0100-000015000000}" name="DATOS" dataDxfId="8">
      <calculatedColumnFormula>IF(Tabla14[[#This Row],[INVERSION]]="fci","",IF(SUMIFS(M:M,B:B,Tabla14[[#This Row],[EMPRESA]],E:E,Tabla14[[#This Row],[FONDO]],G:G,Tabla14[[#This Row],[BANCO]])=0,"","VENCE EL "&amp;TEXT(Tabla14[[#This Row],[VENCIMIENTO]],"DD-MM-YYYY")))</calculatedColumnFormula>
    </tableColumn>
    <tableColumn id="10" xr3:uid="{00000000-0010-0000-0100-00000A000000}" name="IMPORTE" dataDxfId="7" dataCellStyle="Millares">
      <calculatedColumnFormula>ROUND(IF(Tabla14[[#This Row],[OPERACIÓN]]=MAESTRO!$B$2,Tabla14[CAPITAL],IF(Tabla14[[#This Row],[OPERACIÓN]]=MAESTRO!$B$5,Tabla14[CAPITAL],-Tabla14[[#This Row],[CAPITAL]])),2)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148607-340B-4415-8F98-A3C887C6AE38}" name="Tabla4" displayName="Tabla4" ref="A3:M1676" totalsRowShown="0">
  <autoFilter ref="A3:M1676" xr:uid="{C6148607-340B-4415-8F98-A3C887C6AE38}"/>
  <sortState xmlns:xlrd2="http://schemas.microsoft.com/office/spreadsheetml/2017/richdata2" ref="A4:M1676">
    <sortCondition ref="M3:M1676"/>
  </sortState>
  <tableColumns count="13">
    <tableColumn id="1" xr3:uid="{B88B8682-CCB5-43D9-AE1A-F746A5BA2FCA}" name="FECHA" dataDxfId="6"/>
    <tableColumn id="2" xr3:uid="{CBF46207-8A15-4125-BD39-298BC3CA8C9A}" name="EMPRESA"/>
    <tableColumn id="3" xr3:uid="{FD388D19-D4EE-4AD3-A9D6-E5F8F2B1FDF6}" name="INVERSION"/>
    <tableColumn id="4" xr3:uid="{6AA28F64-2B2F-442F-BBE7-13F9416610AC}" name="OPERACIÓN"/>
    <tableColumn id="5" xr3:uid="{A7D0AB39-EEA1-4BF7-A182-423294380DF4}" name="FONDO"/>
    <tableColumn id="6" xr3:uid="{5822A2B5-F3EB-41B9-9EAC-50CE24C13180}" name="CAPITAL"/>
    <tableColumn id="7" xr3:uid="{9C69555C-FED9-4F01-8FB0-E64887E230DA}" name="BANCO"/>
    <tableColumn id="8" xr3:uid="{C7A6F49D-BE2E-4F03-BF6C-5692EA773BF5}" name="TIPO"/>
    <tableColumn id="9" xr3:uid="{99FE9BAC-751F-40D4-9C74-001FD3D7A06D}" name="MONEDA DOC"/>
    <tableColumn id="10" xr3:uid="{A3632F0B-8EAC-43E8-BA35-0AFC0E6435BB}" name="VENCIMIENTO"/>
    <tableColumn id="11" xr3:uid="{27215752-8B62-43F5-A39D-381966F7A09D}" name="TASA"/>
    <tableColumn id="12" xr3:uid="{AACE4F2B-A04B-41DE-9EAD-F72D386BCD01}" name="DATOS"/>
    <tableColumn id="13" xr3:uid="{95E6BA88-954B-47F1-BC17-EEED4FD7FEDE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EF6E095-4364-4AA4-ACE5-54EE6DA1FCA6}" name="Tabla5" displayName="Tabla5" ref="A3:M4" totalsRowShown="0">
  <autoFilter ref="A3:M4" xr:uid="{8EF6E095-4364-4AA4-ACE5-54EE6DA1FCA6}"/>
  <sortState xmlns:xlrd2="http://schemas.microsoft.com/office/spreadsheetml/2017/richdata2" ref="A4:M4">
    <sortCondition ref="M3:M4"/>
  </sortState>
  <tableColumns count="13">
    <tableColumn id="1" xr3:uid="{0297636F-81D8-4B28-9E92-D5CF7A57DA61}" name="FECHA" dataDxfId="5"/>
    <tableColumn id="2" xr3:uid="{4140E02C-CE5A-4C4C-B52A-A536D74CA95F}" name="EMPRESA"/>
    <tableColumn id="3" xr3:uid="{F927F9CD-D94D-482A-A2AE-76B1F0621FAD}" name="INVERSION"/>
    <tableColumn id="4" xr3:uid="{82F3C0E5-7078-4CF7-9504-1CAFB9220DBD}" name="OPERACIÓN"/>
    <tableColumn id="5" xr3:uid="{D00BE937-B37C-4717-9474-6E27BCB49B0C}" name="FONDO"/>
    <tableColumn id="6" xr3:uid="{E4184BD0-5700-4A53-B837-7FD7DD00CD9D}" name="CAPITAL"/>
    <tableColumn id="7" xr3:uid="{B311BCA3-7174-4A71-8E51-0B8F0C73925E}" name="BANCO"/>
    <tableColumn id="8" xr3:uid="{AB5E0C40-218E-49B7-94B1-703D2CBC00CD}" name="TIPO"/>
    <tableColumn id="9" xr3:uid="{2C373A83-D255-4CD4-A0B1-61292464735B}" name="MONEDA DOC"/>
    <tableColumn id="10" xr3:uid="{86037A6F-396E-48B9-A3E9-28CF10171885}" name="VENCIMIENTO"/>
    <tableColumn id="11" xr3:uid="{83B639BA-5E53-4F99-8656-91CF7A74C569}" name="TASA"/>
    <tableColumn id="12" xr3:uid="{7B9E3FB5-A608-4A27-9FF4-25ACE4BEDB08}" name="DATOS"/>
    <tableColumn id="13" xr3:uid="{266DBFD9-A964-406B-B41D-D3DFCC1932B1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D24D46-7D7C-4B64-8498-C3CBF44A6473}" name="Tabla6" displayName="Tabla6" ref="A3:M4" totalsRowShown="0">
  <autoFilter ref="A3:M4" xr:uid="{FFD24D46-7D7C-4B64-8498-C3CBF44A6473}"/>
  <tableColumns count="13">
    <tableColumn id="1" xr3:uid="{6F91D46A-677D-44C2-AEB9-B47ACB5BB171}" name="FECHA" dataDxfId="4"/>
    <tableColumn id="2" xr3:uid="{A278FB04-6B5B-4DB2-AD30-0F6C567AF5CE}" name="EMPRESA"/>
    <tableColumn id="3" xr3:uid="{8B051B23-80C6-40E1-95F4-C08518983463}" name="INVERSION"/>
    <tableColumn id="4" xr3:uid="{57BF79F8-C2F7-4287-89C8-BF8AC2D14F79}" name="OPERACIÓN"/>
    <tableColumn id="5" xr3:uid="{E8A9BB4A-A74D-454B-8C70-F5646717069D}" name="FONDO"/>
    <tableColumn id="6" xr3:uid="{FC97F52A-8383-40FE-852E-6ACFCF120BB3}" name="CAPITAL"/>
    <tableColumn id="7" xr3:uid="{AE525797-762F-4BD5-8E20-2649BF7B96C1}" name="BANCO"/>
    <tableColumn id="8" xr3:uid="{C54E82C5-E8A1-44BB-BA2A-1E911122AA67}" name="TIPO"/>
    <tableColumn id="9" xr3:uid="{F35E065F-F3B3-4A36-B8DD-401D4FC42C17}" name="MONEDA DOC"/>
    <tableColumn id="10" xr3:uid="{B5BE37FE-7007-4CFF-AFB7-27F0350A11B1}" name="VENCIMIENTO"/>
    <tableColumn id="11" xr3:uid="{642E0C98-A6F8-46B6-9F2E-818AA1A8EFAF}" name="TASA"/>
    <tableColumn id="12" xr3:uid="{6488B018-90E0-40DE-8469-BC992E3C1924}" name="DATOS"/>
    <tableColumn id="13" xr3:uid="{7342C768-8F61-4F36-9B5A-9409C46A0AB5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8DDCC-F0D1-4098-AC37-F6F2DFF4F65C}" name="Tabla7" displayName="Tabla7" ref="A3:M4" totalsRowShown="0">
  <autoFilter ref="A3:M4" xr:uid="{52E8DDCC-F0D1-4098-AC37-F6F2DFF4F65C}"/>
  <tableColumns count="13">
    <tableColumn id="1" xr3:uid="{73646181-D16B-4769-BE36-995E1CDBC774}" name="FECHA" dataDxfId="3"/>
    <tableColumn id="2" xr3:uid="{50D8D2B8-1BB1-46B4-8791-168EE386CA86}" name="EMPRESA"/>
    <tableColumn id="3" xr3:uid="{18F57169-EB50-45AD-8361-C5E1EE1005CE}" name="INVERSION"/>
    <tableColumn id="4" xr3:uid="{8B1E92BB-A193-4543-B9E9-1FB6CB8567CA}" name="OPERACIÓN"/>
    <tableColumn id="5" xr3:uid="{C9A8F2AD-0B39-4C55-B61B-A9A1D939504A}" name="FONDO"/>
    <tableColumn id="6" xr3:uid="{138BDDB5-A684-4859-8C08-5876296630DE}" name="CAPITAL"/>
    <tableColumn id="7" xr3:uid="{87083A36-6AA9-4757-A9A1-6DCF88ED5740}" name="BANCO"/>
    <tableColumn id="8" xr3:uid="{DC2C1D30-8083-45B6-AE17-89BCFD1C025E}" name="TIPO"/>
    <tableColumn id="9" xr3:uid="{C583E84A-A323-4AA4-8786-9A8C1B214C31}" name="MONEDA DOC"/>
    <tableColumn id="10" xr3:uid="{FCD69E63-7D62-4A32-AAEC-A2F2BB1980E1}" name="VENCIMIENTO" dataDxfId="2"/>
    <tableColumn id="11" xr3:uid="{28EF2200-9F1E-492D-BB2F-09DD8F0B383B}" name="TASA"/>
    <tableColumn id="12" xr3:uid="{E8FC9DBA-36EE-44D4-96C4-44920C248286}" name="DATOS"/>
    <tableColumn id="13" xr3:uid="{CBE42A00-D9A7-4219-904E-BDD9AC462ABF}" name="IMPOR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07F32E-99BC-49E6-9038-62009708E117}" name="Tabla8" displayName="Tabla8" ref="A3:M2607" totalsRowShown="0">
  <autoFilter ref="A3:M2607" xr:uid="{B907F32E-99BC-49E6-9038-62009708E117}"/>
  <tableColumns count="13">
    <tableColumn id="1" xr3:uid="{5E866B64-3C21-43E7-A4C4-5E2A9E92B615}" name="FECHA" dataDxfId="1"/>
    <tableColumn id="2" xr3:uid="{28AD535F-5A7D-44A1-A247-BBBB4F61BAF3}" name="EMPRESA"/>
    <tableColumn id="3" xr3:uid="{4661E566-A26D-4037-BBB1-9EF8DF426390}" name="INVERSION"/>
    <tableColumn id="4" xr3:uid="{E5B3D09D-AA58-4010-B640-EF41670BA8BE}" name="OPERACIÓN"/>
    <tableColumn id="5" xr3:uid="{06245DB2-D8A3-45C0-86C7-4B03BDB68B78}" name="FONDO"/>
    <tableColumn id="6" xr3:uid="{A8CA8D26-7BB0-43B6-9163-F4B585A82962}" name="CAPITAL"/>
    <tableColumn id="7" xr3:uid="{6EDC5E6C-BEAE-48C9-AA55-301FAA28B7EB}" name="BANCO"/>
    <tableColumn id="8" xr3:uid="{86B674CC-3FC1-42A5-8E8F-90CB43B72853}" name="TIPO"/>
    <tableColumn id="9" xr3:uid="{19D77ECC-09A0-4EC3-B3EE-8BFB71D77B26}" name="MONEDA DOC"/>
    <tableColumn id="10" xr3:uid="{75F59197-A87A-4235-87E5-885CBE312167}" name="VENCIMIENTO"/>
    <tableColumn id="11" xr3:uid="{0C23A6FB-3459-4CB0-8837-A628BFD3253C}" name="TASA"/>
    <tableColumn id="12" xr3:uid="{03E390C0-1371-443E-BE62-B42AB03A6D2D}" name="DATOS"/>
    <tableColumn id="13" xr3:uid="{76F8DEFA-0963-4B13-BCBD-2D3EEDEF8462}" name="IMPOR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9CD547-A928-48EF-A1BE-0CFE862272FA}" name="Tabla9" displayName="Tabla9" ref="A3:M2607" totalsRowShown="0">
  <autoFilter ref="A3:M2607" xr:uid="{049CD547-A928-48EF-A1BE-0CFE862272FA}"/>
  <tableColumns count="13">
    <tableColumn id="1" xr3:uid="{29642EF8-8A05-4E5A-8CCA-194C146F6292}" name="FECHA" dataDxfId="0"/>
    <tableColumn id="2" xr3:uid="{378F66A3-6AD1-4101-87BA-A7CD0568084C}" name="EMPRESA"/>
    <tableColumn id="3" xr3:uid="{4322D614-9988-4DC8-9462-BD6ECEAFFA1D}" name="INVERSION"/>
    <tableColumn id="4" xr3:uid="{A19F6FE1-B69A-464F-A7AF-D442EDF6E644}" name="OPERACIÓN"/>
    <tableColumn id="5" xr3:uid="{E4D624DE-EBE8-4619-AE9E-D1D5B731B3D6}" name="FONDO"/>
    <tableColumn id="6" xr3:uid="{A7E23264-E3BE-4EBA-8256-55D483E77B7B}" name="CAPITAL"/>
    <tableColumn id="7" xr3:uid="{CBCB495D-CEC0-429D-B6DD-C361FE5E28DA}" name="BANCO"/>
    <tableColumn id="8" xr3:uid="{4C551562-B50E-4BED-9EC3-3BBBB867B0B8}" name="TIPO"/>
    <tableColumn id="9" xr3:uid="{9BF17F69-2598-4BDC-B630-4BA6D6EDCC7B}" name="MONEDA DOC"/>
    <tableColumn id="10" xr3:uid="{0EF0BCA2-D673-42B1-AAE2-E639981D542F}" name="VENCIMIENTO"/>
    <tableColumn id="11" xr3:uid="{DECA03AF-59B3-49FF-B349-D4582BC777F8}" name="TASA"/>
    <tableColumn id="12" xr3:uid="{5314EDEF-35D4-4186-9862-E1895A1E9441}" name="DATOS"/>
    <tableColumn id="13" xr3:uid="{94FBD702-E7C4-4160-9173-3B2F07EDEEC0}" name="IMPOR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4D1C77-29CA-40EA-9C09-5C31FF5434F7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P69"/>
  <sheetViews>
    <sheetView showGridLines="0" zoomScaleNormal="100" workbookViewId="0">
      <selection activeCell="A2" sqref="A2"/>
    </sheetView>
  </sheetViews>
  <sheetFormatPr baseColWidth="10" defaultRowHeight="14.4" x14ac:dyDescent="0.3"/>
  <cols>
    <col min="1" max="1" width="19.6640625" customWidth="1"/>
    <col min="2" max="2" width="20.44140625" customWidth="1"/>
    <col min="3" max="3" width="24.6640625" style="14" customWidth="1"/>
    <col min="4" max="5" width="13.6640625" style="17" customWidth="1"/>
    <col min="6" max="6" width="13.5546875" style="30" bestFit="1" customWidth="1"/>
    <col min="7" max="7" width="14.5546875" style="1" bestFit="1" customWidth="1"/>
    <col min="8" max="8" width="19.33203125" customWidth="1"/>
    <col min="9" max="9" width="67.6640625" customWidth="1"/>
    <col min="10" max="10" width="67.6640625" bestFit="1" customWidth="1"/>
    <col min="11" max="11" width="29.6640625" customWidth="1"/>
    <col min="12" max="12" width="22" customWidth="1"/>
    <col min="13" max="13" width="26.6640625" bestFit="1" customWidth="1"/>
    <col min="14" max="14" width="16.33203125" bestFit="1" customWidth="1"/>
    <col min="15" max="15" width="5.33203125" bestFit="1" customWidth="1"/>
    <col min="16" max="16" width="27.6640625" bestFit="1" customWidth="1"/>
  </cols>
  <sheetData>
    <row r="1" spans="1:16" x14ac:dyDescent="0.3">
      <c r="A1" s="3" t="s">
        <v>121</v>
      </c>
      <c r="B1" t="s">
        <v>12</v>
      </c>
      <c r="M1" s="3" t="s">
        <v>11</v>
      </c>
      <c r="N1" t="s">
        <v>14</v>
      </c>
    </row>
    <row r="2" spans="1:16" x14ac:dyDescent="0.3">
      <c r="A2" s="3" t="s">
        <v>98</v>
      </c>
      <c r="B2" t="s">
        <v>165</v>
      </c>
    </row>
    <row r="3" spans="1:16" x14ac:dyDescent="0.3">
      <c r="K3" s="23">
        <f>+'[1]reporte F&amp;T '!$B$5</f>
        <v>43980</v>
      </c>
      <c r="M3" s="3" t="s">
        <v>2</v>
      </c>
      <c r="N3" t="s">
        <v>104</v>
      </c>
    </row>
    <row r="4" spans="1:16" x14ac:dyDescent="0.3">
      <c r="A4" s="31" t="s">
        <v>127</v>
      </c>
      <c r="B4" s="32"/>
      <c r="C4" s="33" t="s">
        <v>86</v>
      </c>
      <c r="D4"/>
      <c r="E4"/>
      <c r="F4"/>
      <c r="G4"/>
      <c r="K4" s="28" t="s">
        <v>12</v>
      </c>
      <c r="M4" s="2" t="s">
        <v>50</v>
      </c>
      <c r="N4" s="6">
        <v>0</v>
      </c>
      <c r="O4" s="9" t="e">
        <f>+GETPIVOTDATA("CAPITAL INVERTIDO",$M$3,"FONDO","1810 Ahorro")/GETPIVOTDATA("CAPITAL INVERTIDO",$M$3)</f>
        <v>#DIV/0!</v>
      </c>
      <c r="P4" t="e">
        <f>+IF(O4&lt;MAESTRO!$G$7,MAESTRO!$G$2,MAESTRO!$G$3)</f>
        <v>#DIV/0!</v>
      </c>
    </row>
    <row r="5" spans="1:16" x14ac:dyDescent="0.3">
      <c r="A5" s="34" t="s">
        <v>2</v>
      </c>
      <c r="B5" s="34" t="s">
        <v>19</v>
      </c>
      <c r="C5" s="35" t="s">
        <v>122</v>
      </c>
      <c r="D5"/>
      <c r="E5"/>
      <c r="F5"/>
      <c r="G5"/>
      <c r="K5" t="str">
        <f>+"SEMANA DEL "&amp;TEXT(K3,"dd/mm/yyyy")</f>
        <v>SEMANA DEL 29/05/2020</v>
      </c>
      <c r="M5" s="2" t="s">
        <v>70</v>
      </c>
      <c r="N5" s="6">
        <v>0</v>
      </c>
      <c r="O5" s="9" t="e">
        <f>+GETPIVOTDATA("CAPITAL INVERTIDO",$M$3,"FONDO","1810 Mas Ahorro")/GETPIVOTDATA("CAPITAL INVERTIDO",$M$3)</f>
        <v>#DIV/0!</v>
      </c>
      <c r="P5" t="e">
        <f>+IF(O5&lt;MAESTRO!$G$7,MAESTRO!$G$2,MAESTRO!$G$3)</f>
        <v>#DIV/0!</v>
      </c>
    </row>
    <row r="6" spans="1:16" x14ac:dyDescent="0.3">
      <c r="A6" s="16" t="s">
        <v>122</v>
      </c>
      <c r="B6" s="16"/>
      <c r="C6" s="36"/>
      <c r="D6"/>
      <c r="E6"/>
      <c r="F6" s="5"/>
      <c r="G6" s="5"/>
      <c r="H6" s="5"/>
      <c r="I6" s="10"/>
      <c r="K6">
        <f>+SUMIFS(CARGA!I:I,CARGA!B:B,'INFORME HISTORICO'!K4,CARGA!A:A,"&lt;J3")</f>
        <v>0</v>
      </c>
      <c r="M6" s="2" t="s">
        <v>69</v>
      </c>
      <c r="N6" s="6">
        <v>0</v>
      </c>
      <c r="O6" s="9" t="e">
        <f>+GETPIVOTDATA("CAPITAL INVERTIDO",$M$3,"FONDO","1810 Renta Fija Argentina")/GETPIVOTDATA("CAPITAL INVERTIDO",$M$3)</f>
        <v>#DIV/0!</v>
      </c>
      <c r="P6" t="e">
        <f>+IF(O6&lt;MAESTRO!$G$7,MAESTRO!$G$2,MAESTRO!$G$3)</f>
        <v>#DIV/0!</v>
      </c>
    </row>
    <row r="7" spans="1:16" x14ac:dyDescent="0.3">
      <c r="C7"/>
      <c r="D7"/>
      <c r="E7"/>
      <c r="F7" s="5"/>
      <c r="G7" s="5"/>
      <c r="H7" s="5"/>
      <c r="I7" s="10"/>
      <c r="M7" s="2" t="s">
        <v>52</v>
      </c>
      <c r="N7" s="6">
        <v>0</v>
      </c>
      <c r="O7" s="9" t="e">
        <f>+GETPIVOTDATA("CAPITAL INVERTIDO",$M$3,"FONDO","1822 Raices Ahorro Pesos")/GETPIVOTDATA("CAPITAL INVERTIDO",$M$3)</f>
        <v>#DIV/0!</v>
      </c>
      <c r="P7" t="e">
        <f>+IF(O7&lt;MAESTRO!$G$7,MAESTRO!$G$2,MAESTRO!$G$3)</f>
        <v>#DIV/0!</v>
      </c>
    </row>
    <row r="8" spans="1:16" x14ac:dyDescent="0.3">
      <c r="C8"/>
      <c r="D8"/>
      <c r="E8"/>
      <c r="F8" s="5"/>
      <c r="G8"/>
      <c r="H8" s="5"/>
      <c r="I8" s="10"/>
      <c r="M8" s="2" t="s">
        <v>74</v>
      </c>
      <c r="N8" s="6">
        <v>0</v>
      </c>
      <c r="O8" s="9" t="e">
        <f>+GETPIVOTDATA("CAPITAL INVERTIDO",$M$3,"FONDO","1822 Raices Inversion")/GETPIVOTDATA("CAPITAL INVERTIDO",$M$3)</f>
        <v>#DIV/0!</v>
      </c>
      <c r="P8" t="e">
        <f>+IF(O8&lt;MAESTRO!$G$7,MAESTRO!$G$2,MAESTRO!$G$3)</f>
        <v>#DIV/0!</v>
      </c>
    </row>
    <row r="9" spans="1:16" x14ac:dyDescent="0.3">
      <c r="C9"/>
      <c r="D9"/>
      <c r="E9"/>
      <c r="F9" s="5"/>
      <c r="G9"/>
      <c r="H9" s="5"/>
      <c r="M9" s="2" t="s">
        <v>63</v>
      </c>
      <c r="N9" s="6">
        <v>0</v>
      </c>
      <c r="O9" s="9" t="e">
        <f>+GETPIVOTDATA("CAPITAL INVERTIDO",$M$3,"FONDO","Alpha Ahorro A")/GETPIVOTDATA("CAPITAL INVERTIDO",$M$3)</f>
        <v>#DIV/0!</v>
      </c>
      <c r="P9" t="e">
        <f>+IF(O9&lt;MAESTRO!$G$7,MAESTRO!$G$2,MAESTRO!$G$3)</f>
        <v>#DIV/0!</v>
      </c>
    </row>
    <row r="10" spans="1:16" x14ac:dyDescent="0.3">
      <c r="C10"/>
      <c r="D10"/>
      <c r="E10"/>
      <c r="F10"/>
      <c r="G10"/>
      <c r="H10" s="10"/>
      <c r="M10" s="2" t="s">
        <v>47</v>
      </c>
      <c r="N10" s="6">
        <v>0</v>
      </c>
      <c r="O10" s="9" t="e">
        <f>+GETPIVOTDATA("CAPITAL INVERTIDO",$M$3,"FONDO","Alpha Pesos A")/GETPIVOTDATA("CAPITAL INVERTIDO",$M$3)</f>
        <v>#DIV/0!</v>
      </c>
      <c r="P10" t="e">
        <f>+IF(O10&lt;MAESTRO!$G$7,MAESTRO!$G$2,MAESTRO!$G$3)</f>
        <v>#DIV/0!</v>
      </c>
    </row>
    <row r="11" spans="1:16" x14ac:dyDescent="0.3">
      <c r="C11"/>
      <c r="D11"/>
      <c r="E11"/>
      <c r="F11"/>
      <c r="G11"/>
      <c r="H11" s="5"/>
      <c r="M11" s="2" t="s">
        <v>42</v>
      </c>
      <c r="N11" s="6">
        <v>0</v>
      </c>
      <c r="O11" s="9" t="e">
        <f>+GETPIVOTDATA("CAPITAL INVERTIDO",$M$3,"FONDO","Alpha Pesos Plus A")/GETPIVOTDATA("CAPITAL INVERTIDO",$M$3)</f>
        <v>#DIV/0!</v>
      </c>
      <c r="P11" t="e">
        <f>+IF(O11&lt;MAESTRO!$G$7,MAESTRO!$G$2,MAESTRO!$G$3)</f>
        <v>#DIV/0!</v>
      </c>
    </row>
    <row r="12" spans="1:16" x14ac:dyDescent="0.3">
      <c r="C12" s="5"/>
      <c r="D12"/>
      <c r="E12"/>
      <c r="F12"/>
      <c r="G12"/>
      <c r="H12" s="43"/>
      <c r="M12" s="2" t="s">
        <v>78</v>
      </c>
      <c r="N12" s="6">
        <v>0</v>
      </c>
      <c r="O12" s="9" t="e">
        <f>+GETPIVOTDATA("CAPITAL INVERTIDO",$M$3,"FONDO","Alpha Renta Plus A")/GETPIVOTDATA("CAPITAL INVERTIDO",$M$3)</f>
        <v>#DIV/0!</v>
      </c>
      <c r="P12" t="e">
        <f>+IF(O12&lt;MAESTRO!$G$7,MAESTRO!$G$2,MAESTRO!$G$3)</f>
        <v>#DIV/0!</v>
      </c>
    </row>
    <row r="13" spans="1:16" x14ac:dyDescent="0.3">
      <c r="C13"/>
      <c r="D13"/>
      <c r="E13"/>
      <c r="F13"/>
      <c r="G13" s="10"/>
      <c r="H13" s="5"/>
      <c r="M13" s="2" t="s">
        <v>75</v>
      </c>
      <c r="N13" s="6">
        <v>0</v>
      </c>
      <c r="O13" s="9" t="e">
        <f>+GETPIVOTDATA("CAPITAL INVERTIDO",$M$3,"FONDO","Delta Ahorro A")/GETPIVOTDATA("CAPITAL INVERTIDO",$M$3)</f>
        <v>#DIV/0!</v>
      </c>
      <c r="P13" t="e">
        <f>+IF(O13&lt;MAESTRO!$G$7,MAESTRO!$G$2,MAESTRO!$G$3)</f>
        <v>#DIV/0!</v>
      </c>
    </row>
    <row r="14" spans="1:16" x14ac:dyDescent="0.3">
      <c r="D14"/>
      <c r="E14"/>
      <c r="F14"/>
      <c r="G14"/>
      <c r="H14" s="5"/>
      <c r="J14" s="29">
        <v>44281</v>
      </c>
      <c r="K14" s="5">
        <v>180</v>
      </c>
      <c r="L14" s="29">
        <v>44536</v>
      </c>
      <c r="M14" s="2" t="s">
        <v>76</v>
      </c>
      <c r="N14" s="6">
        <v>0</v>
      </c>
      <c r="O14" s="9" t="e">
        <f>+GETPIVOTDATA("CAPITAL INVERTIDO",$M$3,"FONDO","Delta Ahorro Plus A")/GETPIVOTDATA("CAPITAL INVERTIDO",$M$3)</f>
        <v>#DIV/0!</v>
      </c>
      <c r="P14" t="e">
        <f>+IF(O14&lt;MAESTRO!$G$7,MAESTRO!$G$2,MAESTRO!$G$3)</f>
        <v>#DIV/0!</v>
      </c>
    </row>
    <row r="15" spans="1:16" x14ac:dyDescent="0.3">
      <c r="C15" s="5"/>
      <c r="E15"/>
      <c r="F15"/>
      <c r="G15" s="5"/>
      <c r="H15" s="5"/>
      <c r="J15" s="29">
        <v>44285</v>
      </c>
      <c r="K15" s="5">
        <f>+L15-J15</f>
        <v>258</v>
      </c>
      <c r="L15" s="29">
        <v>44543</v>
      </c>
      <c r="M15" s="2" t="s">
        <v>59</v>
      </c>
      <c r="N15" s="6">
        <v>0</v>
      </c>
      <c r="O15" s="9" t="e">
        <f>+GETPIVOTDATA("CAPITAL INVERTIDO",$M$3,"FONDO","FBA Ahorro Pesos B")/GETPIVOTDATA("CAPITAL INVERTIDO",$M$3)</f>
        <v>#DIV/0!</v>
      </c>
      <c r="P15" t="e">
        <f>+IF(O15&lt;MAESTRO!$G$7,MAESTRO!$G$2,MAESTRO!$G$3)</f>
        <v>#DIV/0!</v>
      </c>
    </row>
    <row r="16" spans="1:16" x14ac:dyDescent="0.3">
      <c r="C16" s="5"/>
      <c r="E16"/>
      <c r="F16"/>
      <c r="G16" s="5"/>
      <c r="H16" s="5"/>
      <c r="J16" s="6"/>
      <c r="K16">
        <v>3.25</v>
      </c>
      <c r="M16" s="2" t="s">
        <v>40</v>
      </c>
      <c r="N16" s="6">
        <v>0</v>
      </c>
      <c r="O16" s="9" t="e">
        <f>+GETPIVOTDATA("CAPITAL INVERTIDO",$M$3,"FONDO","FBA Renta Pesos B")/GETPIVOTDATA("CAPITAL INVERTIDO",$M$3)</f>
        <v>#DIV/0!</v>
      </c>
      <c r="P16" t="e">
        <f>+IF(O16&lt;MAESTRO!$G$7,MAESTRO!$G$2,MAESTRO!$G$3)</f>
        <v>#DIV/0!</v>
      </c>
    </row>
    <row r="17" spans="2:16" x14ac:dyDescent="0.3">
      <c r="C17" s="5"/>
      <c r="E17"/>
      <c r="F17"/>
      <c r="G17"/>
      <c r="H17" s="5"/>
      <c r="M17" s="2" t="s">
        <v>79</v>
      </c>
      <c r="N17" s="6">
        <v>0</v>
      </c>
      <c r="O17" s="9" t="e">
        <f>+GETPIVOTDATA("CAPITAL INVERTIDO",$M$3,"FONDO","FBA Renta Pesos Plus B")/GETPIVOTDATA("CAPITAL INVERTIDO",$M$3)</f>
        <v>#DIV/0!</v>
      </c>
      <c r="P17" t="e">
        <f>+IF(O17&lt;MAESTRO!$G$7,MAESTRO!$G$2,MAESTRO!$G$3)</f>
        <v>#DIV/0!</v>
      </c>
    </row>
    <row r="18" spans="2:16" x14ac:dyDescent="0.3">
      <c r="B18" s="23"/>
      <c r="C18" s="5"/>
      <c r="E18"/>
      <c r="F18"/>
      <c r="G18"/>
      <c r="H18" s="5"/>
      <c r="I18" s="5"/>
      <c r="K18" s="23">
        <v>44270</v>
      </c>
      <c r="M18" s="2" t="s">
        <v>61</v>
      </c>
      <c r="N18" s="6">
        <v>0</v>
      </c>
      <c r="O18" s="9" t="e">
        <f>+GETPIVOTDATA("CAPITAL INVERTIDO",$M$3,"FONDO","Fima Ahorro Pesos A")/GETPIVOTDATA("CAPITAL INVERTIDO",$M$3)</f>
        <v>#DIV/0!</v>
      </c>
      <c r="P18" t="e">
        <f>+IF(O18&lt;MAESTRO!$G$7,MAESTRO!$G$2,MAESTRO!$G$3)</f>
        <v>#DIV/0!</v>
      </c>
    </row>
    <row r="19" spans="2:16" x14ac:dyDescent="0.3">
      <c r="C19" s="4"/>
      <c r="D19" s="47"/>
      <c r="E19"/>
      <c r="F19" s="5"/>
      <c r="G19"/>
      <c r="H19" s="5"/>
      <c r="I19" s="5"/>
      <c r="K19">
        <v>365</v>
      </c>
      <c r="M19" s="2" t="s">
        <v>58</v>
      </c>
      <c r="N19" s="6">
        <v>0</v>
      </c>
      <c r="O19" s="9" t="e">
        <f>+GETPIVOTDATA("CAPITAL INVERTIDO",$M$3,"FONDO","Fima Ahorro Pesos B")/GETPIVOTDATA("CAPITAL INVERTIDO",$M$3)</f>
        <v>#DIV/0!</v>
      </c>
      <c r="P19" t="e">
        <f>+IF(O19&lt;MAESTRO!$G$7,MAESTRO!$G$2,MAESTRO!$G$3)</f>
        <v>#DIV/0!</v>
      </c>
    </row>
    <row r="20" spans="2:16" x14ac:dyDescent="0.3">
      <c r="B20" s="41"/>
      <c r="C20" s="4"/>
      <c r="D20" s="47"/>
      <c r="E20"/>
      <c r="F20" s="5"/>
      <c r="G20"/>
      <c r="H20" s="42"/>
      <c r="I20" s="5"/>
      <c r="K20" s="23">
        <f>+K18+K19</f>
        <v>44635</v>
      </c>
      <c r="M20" s="2" t="s">
        <v>56</v>
      </c>
      <c r="N20" s="6">
        <v>0</v>
      </c>
      <c r="O20" s="9" t="e">
        <f>+GETPIVOTDATA("CAPITAL INVERTIDO",$M$3,"FONDO","Fima Ahorro Pesos C")/GETPIVOTDATA("CAPITAL INVERTIDO",$M$3)</f>
        <v>#DIV/0!</v>
      </c>
      <c r="P20" t="e">
        <f>+IF(O20&lt;MAESTRO!$G$7,MAESTRO!$G$2,MAESTRO!$G$3)</f>
        <v>#DIV/0!</v>
      </c>
    </row>
    <row r="21" spans="2:16" x14ac:dyDescent="0.3">
      <c r="B21" s="41"/>
      <c r="C21" s="4"/>
      <c r="D21" s="47"/>
      <c r="E21" s="47"/>
      <c r="F21" s="5"/>
      <c r="G21"/>
      <c r="H21" s="41"/>
      <c r="M21" s="2" t="s">
        <v>65</v>
      </c>
      <c r="N21" s="6">
        <v>0</v>
      </c>
      <c r="O21" s="9" t="e">
        <f>+GETPIVOTDATA("CAPITAL INVERTIDO",$M$3,"FONDO","Fima Ahorro Plus C")/GETPIVOTDATA("CAPITAL INVERTIDO",$M$3)</f>
        <v>#DIV/0!</v>
      </c>
      <c r="P21" t="e">
        <f>+IF(O21&lt;MAESTRO!$G$7,MAESTRO!$G$2,MAESTRO!$G$3)</f>
        <v>#DIV/0!</v>
      </c>
    </row>
    <row r="22" spans="2:16" x14ac:dyDescent="0.3">
      <c r="B22" s="5"/>
      <c r="C22" s="4"/>
      <c r="D22" s="47"/>
      <c r="E22"/>
      <c r="F22" s="5"/>
      <c r="G22"/>
      <c r="M22" s="2" t="s">
        <v>45</v>
      </c>
      <c r="N22" s="6">
        <v>0</v>
      </c>
      <c r="O22" s="9" t="e">
        <f>+GETPIVOTDATA("CAPITAL INVERTIDO",$M$3,"FONDO","Fima Premium A")/GETPIVOTDATA("CAPITAL INVERTIDO",$M$3)</f>
        <v>#DIV/0!</v>
      </c>
      <c r="P22" t="e">
        <f>+IF(O22&lt;MAESTRO!$G$7,MAESTRO!$G$2,MAESTRO!$G$3)</f>
        <v>#DIV/0!</v>
      </c>
    </row>
    <row r="23" spans="2:16" x14ac:dyDescent="0.3">
      <c r="B23" s="5"/>
      <c r="C23" s="4"/>
      <c r="D23" s="47"/>
      <c r="E23"/>
      <c r="F23"/>
      <c r="G23"/>
      <c r="M23" s="2" t="s">
        <v>41</v>
      </c>
      <c r="N23" s="6">
        <v>0</v>
      </c>
      <c r="O23" s="9" t="e">
        <f>+GETPIVOTDATA("CAPITAL INVERTIDO",$M$3,"FONDO","Fima Premium B")/GETPIVOTDATA("CAPITAL INVERTIDO",$M$3)</f>
        <v>#DIV/0!</v>
      </c>
      <c r="P23" t="e">
        <f>+IF(O23&lt;MAESTRO!$G$7,MAESTRO!$G$2,MAESTRO!$G$3)</f>
        <v>#DIV/0!</v>
      </c>
    </row>
    <row r="24" spans="2:16" x14ac:dyDescent="0.3">
      <c r="B24" s="41"/>
      <c r="C24" s="10"/>
      <c r="D24" s="47"/>
      <c r="E24"/>
      <c r="F24"/>
      <c r="G24"/>
      <c r="H24" s="5"/>
      <c r="I24" s="5"/>
      <c r="M24" s="2" t="s">
        <v>73</v>
      </c>
      <c r="N24" s="6">
        <v>0</v>
      </c>
      <c r="O24" s="9" t="e">
        <f>+GETPIVOTDATA("CAPITAL INVERTIDO",$M$3,"FONDO","Goal Capital Plus B")/GETPIVOTDATA("CAPITAL INVERTIDO",$M$3)</f>
        <v>#DIV/0!</v>
      </c>
      <c r="P24" t="e">
        <f>+IF(O24&lt;MAESTRO!$G$7,MAESTRO!$G$2,MAESTRO!$G$3)</f>
        <v>#DIV/0!</v>
      </c>
    </row>
    <row r="25" spans="2:16" x14ac:dyDescent="0.3">
      <c r="C25" s="10"/>
      <c r="D25" s="47"/>
      <c r="E25"/>
      <c r="F25"/>
      <c r="G25"/>
      <c r="H25" s="5"/>
      <c r="I25" s="5"/>
      <c r="M25" s="2" t="s">
        <v>72</v>
      </c>
      <c r="N25" s="6">
        <v>0</v>
      </c>
      <c r="O25" s="9" t="e">
        <f>+GETPIVOTDATA("CAPITAL INVERTIDO",$M$3,"FONDO","Goal Pesos B")/GETPIVOTDATA("CAPITAL INVERTIDO",$M$3)</f>
        <v>#DIV/0!</v>
      </c>
      <c r="P25" t="e">
        <f>+IF(O25&lt;MAESTRO!$G$7,MAESTRO!$G$2,MAESTRO!$G$3)</f>
        <v>#DIV/0!</v>
      </c>
    </row>
    <row r="26" spans="2:16" x14ac:dyDescent="0.3">
      <c r="C26" s="10"/>
      <c r="D26" s="47"/>
      <c r="E26"/>
      <c r="F26"/>
      <c r="G26"/>
      <c r="M26" s="2" t="s">
        <v>46</v>
      </c>
      <c r="N26" s="6">
        <v>0</v>
      </c>
      <c r="O26" s="9" t="e">
        <f>+GETPIVOTDATA("CAPITAL INVERTIDO",$M$3,"FONDO","HF Pesos G")/GETPIVOTDATA("CAPITAL INVERTIDO",$M$3)</f>
        <v>#DIV/0!</v>
      </c>
      <c r="P26" t="e">
        <f>+IF(O26&lt;MAESTRO!$G$7,MAESTRO!$G$2,MAESTRO!$G$3)</f>
        <v>#DIV/0!</v>
      </c>
    </row>
    <row r="27" spans="2:16" x14ac:dyDescent="0.3">
      <c r="C27" s="48"/>
      <c r="D27" s="47"/>
      <c r="E27"/>
      <c r="F27"/>
      <c r="G27"/>
      <c r="M27" s="2" t="s">
        <v>44</v>
      </c>
      <c r="N27" s="6">
        <v>0</v>
      </c>
      <c r="O27" s="9" t="e">
        <f>+GETPIVOTDATA("CAPITAL INVERTIDO",$M$3,"FONDO","HF Pesos I")/GETPIVOTDATA("CAPITAL INVERTIDO",$M$3)</f>
        <v>#DIV/0!</v>
      </c>
      <c r="P27" t="e">
        <f>+IF(O27&lt;MAESTRO!$G$7,MAESTRO!$G$2,MAESTRO!$G$3)</f>
        <v>#DIV/0!</v>
      </c>
    </row>
    <row r="28" spans="2:16" x14ac:dyDescent="0.3">
      <c r="C28" s="48"/>
      <c r="D28" s="47"/>
      <c r="E28"/>
      <c r="F28"/>
      <c r="G28"/>
      <c r="H28" s="5"/>
      <c r="M28" s="2" t="s">
        <v>64</v>
      </c>
      <c r="N28" s="6">
        <v>0</v>
      </c>
      <c r="O28" s="9" t="e">
        <f>+GETPIVOTDATA("CAPITAL INVERTIDO",$M$3,"FONDO","HF Pesos Plus G")/GETPIVOTDATA("CAPITAL INVERTIDO",$M$3)</f>
        <v>#DIV/0!</v>
      </c>
      <c r="P28" t="e">
        <f>+IF(O28&lt;MAESTRO!$G$7,MAESTRO!$G$2,MAESTRO!$G$3)</f>
        <v>#DIV/0!</v>
      </c>
    </row>
    <row r="29" spans="2:16" x14ac:dyDescent="0.3">
      <c r="C29" s="10"/>
      <c r="D29"/>
      <c r="E29"/>
      <c r="F29"/>
      <c r="G29"/>
      <c r="M29" s="2" t="s">
        <v>60</v>
      </c>
      <c r="N29" s="6">
        <v>0</v>
      </c>
      <c r="O29" s="9" t="e">
        <f>+GETPIVOTDATA("CAPITAL INVERTIDO",$M$3,"FONDO","HF Pesos Plus I")/GETPIVOTDATA("CAPITAL INVERTIDO",$M$3)</f>
        <v>#DIV/0!</v>
      </c>
      <c r="P29" t="e">
        <f>+IF(O29&lt;MAESTRO!$G$7,MAESTRO!$G$2,MAESTRO!$G$3)</f>
        <v>#DIV/0!</v>
      </c>
    </row>
    <row r="30" spans="2:16" x14ac:dyDescent="0.3">
      <c r="C30" s="4"/>
      <c r="D30"/>
      <c r="E30"/>
      <c r="F30"/>
      <c r="G30"/>
      <c r="H30" s="5"/>
      <c r="M30" s="2" t="s">
        <v>37</v>
      </c>
      <c r="N30" s="6">
        <v>0</v>
      </c>
      <c r="O30" s="9" t="e">
        <f>+GETPIVOTDATA("CAPITAL INVERTIDO",$M$3,"FONDO","IAM Ahorro Pesos B")/GETPIVOTDATA("CAPITAL INVERTIDO",$M$3)</f>
        <v>#DIV/0!</v>
      </c>
      <c r="P30" t="e">
        <f>+IF(O30&lt;MAESTRO!$G$7,MAESTRO!$G$2,MAESTRO!$G$3)</f>
        <v>#DIV/0!</v>
      </c>
    </row>
    <row r="31" spans="2:16" x14ac:dyDescent="0.3">
      <c r="C31"/>
      <c r="D31"/>
      <c r="E31"/>
      <c r="F31"/>
      <c r="G31"/>
      <c r="H31" s="10"/>
      <c r="M31" s="2" t="s">
        <v>54</v>
      </c>
      <c r="N31" s="6">
        <v>0</v>
      </c>
      <c r="O31" s="9" t="e">
        <f>+GETPIVOTDATA("CAPITAL INVERTIDO",$M$3,"FONDO","IAM Renta Plus B")/GETPIVOTDATA("CAPITAL INVERTIDO",$M$3)</f>
        <v>#DIV/0!</v>
      </c>
      <c r="P31" t="e">
        <f>+IF(O31&lt;MAESTRO!$G$7,MAESTRO!$G$2,MAESTRO!$G$3)</f>
        <v>#DIV/0!</v>
      </c>
    </row>
    <row r="32" spans="2:16" x14ac:dyDescent="0.3">
      <c r="C32"/>
      <c r="D32"/>
      <c r="E32"/>
      <c r="F32"/>
      <c r="G32"/>
      <c r="M32" s="2" t="s">
        <v>77</v>
      </c>
      <c r="N32" s="6">
        <v>0</v>
      </c>
      <c r="O32" s="9" t="e">
        <f>+GETPIVOTDATA("CAPITAL INVERTIDO",$M$3,"FONDO","Lombard Capital")/GETPIVOTDATA("CAPITAL INVERTIDO",$M$3)</f>
        <v>#DIV/0!</v>
      </c>
      <c r="P32" t="e">
        <f>+IF(O32&lt;MAESTRO!$G$7,MAESTRO!$G$2,MAESTRO!$G$3)</f>
        <v>#DIV/0!</v>
      </c>
    </row>
    <row r="33" spans="3:16" x14ac:dyDescent="0.3">
      <c r="C33"/>
      <c r="D33"/>
      <c r="E33"/>
      <c r="F33"/>
      <c r="G33"/>
      <c r="M33" s="2" t="s">
        <v>53</v>
      </c>
      <c r="N33" s="6">
        <v>0</v>
      </c>
      <c r="O33" s="9" t="e">
        <f>+GETPIVOTDATA("CAPITAL INVERTIDO",$M$3,"FONDO","Lombard Renta en Pesos")/GETPIVOTDATA("CAPITAL INVERTIDO",$M$3)</f>
        <v>#DIV/0!</v>
      </c>
      <c r="P33" t="e">
        <f>+IF(O33&lt;MAESTRO!$G$7,MAESTRO!$G$2,MAESTRO!$G$3)</f>
        <v>#DIV/0!</v>
      </c>
    </row>
    <row r="34" spans="3:16" x14ac:dyDescent="0.3">
      <c r="C34"/>
      <c r="D34"/>
      <c r="E34"/>
      <c r="F34"/>
      <c r="G34"/>
      <c r="M34" s="2" t="s">
        <v>49</v>
      </c>
      <c r="N34" s="6">
        <v>0</v>
      </c>
      <c r="O34" s="9" t="e">
        <f>+GETPIVOTDATA("CAPITAL INVERTIDO",$M$3,"FONDO","Pellegrini Renta")/GETPIVOTDATA("CAPITAL INVERTIDO",$M$3)</f>
        <v>#DIV/0!</v>
      </c>
      <c r="P34" t="e">
        <f>+IF(O34&lt;MAESTRO!$G$7,MAESTRO!$G$2,MAESTRO!$G$3)</f>
        <v>#DIV/0!</v>
      </c>
    </row>
    <row r="35" spans="3:16" x14ac:dyDescent="0.3">
      <c r="C35"/>
      <c r="D35"/>
      <c r="E35"/>
      <c r="F35"/>
      <c r="G35"/>
      <c r="M35" s="2" t="s">
        <v>68</v>
      </c>
      <c r="N35" s="6">
        <v>0</v>
      </c>
      <c r="O35" s="9" t="e">
        <f>+GETPIVOTDATA("CAPITAL INVERTIDO",$M$3,"FONDO","Pellegrini Renta Fija B")/GETPIVOTDATA("CAPITAL INVERTIDO",$M$3)</f>
        <v>#DIV/0!</v>
      </c>
      <c r="P35" t="e">
        <f>+IF(O35&lt;MAESTRO!$G$7,MAESTRO!$G$2,MAESTRO!$G$3)</f>
        <v>#DIV/0!</v>
      </c>
    </row>
    <row r="36" spans="3:16" x14ac:dyDescent="0.3">
      <c r="C36"/>
      <c r="D36"/>
      <c r="E36"/>
      <c r="F36"/>
      <c r="G36"/>
      <c r="M36" s="2" t="s">
        <v>67</v>
      </c>
      <c r="N36" s="6">
        <v>0</v>
      </c>
      <c r="O36" s="9" t="e">
        <f>+GETPIVOTDATA("CAPITAL INVERTIDO",$M$3,"FONDO","Pellegrini Renta Pesos B")/GETPIVOTDATA("CAPITAL INVERTIDO",$M$3)</f>
        <v>#DIV/0!</v>
      </c>
      <c r="P36" t="e">
        <f>+IF(O36&lt;MAESTRO!$G$7,MAESTRO!$G$2,MAESTRO!$G$3)</f>
        <v>#DIV/0!</v>
      </c>
    </row>
    <row r="37" spans="3:16" x14ac:dyDescent="0.3">
      <c r="C37"/>
      <c r="D37"/>
      <c r="E37"/>
      <c r="F37"/>
      <c r="G37"/>
      <c r="M37" s="2" t="s">
        <v>48</v>
      </c>
      <c r="N37" s="6">
        <v>0</v>
      </c>
      <c r="O37" s="9" t="e">
        <f>+GETPIVOTDATA("CAPITAL INVERTIDO",$M$3,"FONDO","Pionero Pesos")/GETPIVOTDATA("CAPITAL INVERTIDO",$M$3)</f>
        <v>#DIV/0!</v>
      </c>
      <c r="P37" t="e">
        <f>+IF(O37&lt;MAESTRO!$G$7,MAESTRO!$G$2,MAESTRO!$G$3)</f>
        <v>#DIV/0!</v>
      </c>
    </row>
    <row r="38" spans="3:16" x14ac:dyDescent="0.3">
      <c r="C38"/>
      <c r="D38"/>
      <c r="E38"/>
      <c r="F38"/>
      <c r="G38"/>
      <c r="M38" s="2" t="s">
        <v>66</v>
      </c>
      <c r="N38" s="6">
        <v>0</v>
      </c>
      <c r="O38" s="9" t="e">
        <f>+GETPIVOTDATA("CAPITAL INVERTIDO",$M$3,"FONDO","Pionero Renta Ahorro")/GETPIVOTDATA("CAPITAL INVERTIDO",$M$3)</f>
        <v>#DIV/0!</v>
      </c>
      <c r="P38" t="e">
        <f>+IF(O38&lt;MAESTRO!$G$7,MAESTRO!$G$2,MAESTRO!$G$3)</f>
        <v>#DIV/0!</v>
      </c>
    </row>
    <row r="39" spans="3:16" x14ac:dyDescent="0.3">
      <c r="C39"/>
      <c r="D39"/>
      <c r="E39"/>
      <c r="F39"/>
      <c r="G39"/>
      <c r="M39" s="2" t="s">
        <v>39</v>
      </c>
      <c r="N39" s="6">
        <v>0</v>
      </c>
      <c r="O39" s="9" t="e">
        <f>+GETPIVOTDATA("CAPITAL INVERTIDO",$M$3,"FONDO","Premier Renta CP en Pesos A")/GETPIVOTDATA("CAPITAL INVERTIDO",$M$3)</f>
        <v>#DIV/0!</v>
      </c>
      <c r="P39" t="e">
        <f>+IF(O39&lt;MAESTRO!$G$7,MAESTRO!$G$2,MAESTRO!$G$3)</f>
        <v>#DIV/0!</v>
      </c>
    </row>
    <row r="40" spans="3:16" x14ac:dyDescent="0.3">
      <c r="C40"/>
      <c r="D40"/>
      <c r="E40"/>
      <c r="F40"/>
      <c r="G40"/>
      <c r="M40" s="2" t="s">
        <v>80</v>
      </c>
      <c r="N40" s="6">
        <v>0</v>
      </c>
      <c r="O40" s="9" t="e">
        <f>+GETPIVOTDATA("CAPITAL INVERTIDO",$M$3,"FONDO","Premier Renta Fija Ahorro A")/GETPIVOTDATA("CAPITAL INVERTIDO",$M$3)</f>
        <v>#DIV/0!</v>
      </c>
      <c r="P40" t="e">
        <f>+IF(O40&lt;MAESTRO!$G$7,MAESTRO!$G$2,MAESTRO!$G$3)</f>
        <v>#DIV/0!</v>
      </c>
    </row>
    <row r="41" spans="3:16" x14ac:dyDescent="0.3">
      <c r="C41"/>
      <c r="D41"/>
      <c r="E41"/>
      <c r="F41"/>
      <c r="G41"/>
      <c r="M41" s="2" t="s">
        <v>62</v>
      </c>
      <c r="N41" s="6">
        <v>0</v>
      </c>
      <c r="O41" s="9" t="e">
        <f>+GETPIVOTDATA("CAPITAL INVERTIDO",$M$3,"FONDO","Premier Renta Plus en Pesos A")/GETPIVOTDATA("CAPITAL INVERTIDO",$M$3)</f>
        <v>#DIV/0!</v>
      </c>
      <c r="P41" t="e">
        <f>+IF(O41&lt;MAESTRO!$G$7,MAESTRO!$G$2,MAESTRO!$G$3)</f>
        <v>#DIV/0!</v>
      </c>
    </row>
    <row r="42" spans="3:16" x14ac:dyDescent="0.3">
      <c r="C42"/>
      <c r="D42"/>
      <c r="E42"/>
      <c r="F42"/>
      <c r="G42"/>
      <c r="M42" s="2" t="s">
        <v>71</v>
      </c>
      <c r="N42" s="6">
        <v>0</v>
      </c>
      <c r="O42" s="9" t="e">
        <f>+GETPIVOTDATA("CAPITAL INVERTIDO",$M$3,"FONDO","Quinquela Performance B")/GETPIVOTDATA("CAPITAL INVERTIDO",$M$3)</f>
        <v>#DIV/0!</v>
      </c>
      <c r="P42" t="e">
        <f>+IF(O42&lt;MAESTRO!$G$7,MAESTRO!$G$2,MAESTRO!$G$3)</f>
        <v>#DIV/0!</v>
      </c>
    </row>
    <row r="43" spans="3:16" x14ac:dyDescent="0.3">
      <c r="C43"/>
      <c r="D43"/>
      <c r="E43"/>
      <c r="F43"/>
      <c r="G43"/>
      <c r="M43" s="2" t="s">
        <v>51</v>
      </c>
      <c r="N43" s="6">
        <v>0</v>
      </c>
      <c r="O43" s="9" t="e">
        <f>+GETPIVOTDATA("CAPITAL INVERTIDO",$M$3,"FONDO","Quinquela Pesos B")/GETPIVOTDATA("CAPITAL INVERTIDO",$M$3)</f>
        <v>#DIV/0!</v>
      </c>
      <c r="P43" t="e">
        <f>+IF(O43&lt;MAESTRO!$G$7,MAESTRO!$G$2,MAESTRO!$G$3)</f>
        <v>#DIV/0!</v>
      </c>
    </row>
    <row r="44" spans="3:16" x14ac:dyDescent="0.3">
      <c r="C44"/>
      <c r="D44"/>
      <c r="E44"/>
      <c r="F44"/>
      <c r="G44"/>
      <c r="M44" s="2" t="s">
        <v>43</v>
      </c>
      <c r="N44" s="6">
        <v>0</v>
      </c>
      <c r="O44" s="9" t="e">
        <f>+GETPIVOTDATA("CAPITAL INVERTIDO",$M$3,"FONDO","SBS Pesos Plus B")/GETPIVOTDATA("CAPITAL INVERTIDO",$M$3)</f>
        <v>#REF!</v>
      </c>
      <c r="P44" t="e">
        <f>+IF(O44&lt;MAESTRO!$G$7,MAESTRO!$G$2,MAESTRO!$G$3)</f>
        <v>#REF!</v>
      </c>
    </row>
    <row r="45" spans="3:16" x14ac:dyDescent="0.3">
      <c r="C45"/>
      <c r="D45"/>
      <c r="E45"/>
      <c r="F45"/>
      <c r="G45"/>
      <c r="M45" s="2" t="s">
        <v>38</v>
      </c>
      <c r="N45" s="6">
        <v>0</v>
      </c>
      <c r="O45" s="9" t="e">
        <f>+GETPIVOTDATA("CAPITAL INVERTIDO",$M$3,"FONDO","Super Ahorro $ B")/GETPIVOTDATA("CAPITAL INVERTIDO",$M$3)</f>
        <v>#DIV/0!</v>
      </c>
      <c r="P45" t="e">
        <f>+IF(O45&lt;MAESTRO!$G$7,MAESTRO!$G$2,MAESTRO!$G$3)</f>
        <v>#DIV/0!</v>
      </c>
    </row>
    <row r="46" spans="3:16" x14ac:dyDescent="0.3">
      <c r="C46"/>
      <c r="D46"/>
      <c r="E46"/>
      <c r="F46"/>
      <c r="G46"/>
      <c r="M46" s="2" t="s">
        <v>57</v>
      </c>
      <c r="N46" s="6">
        <v>0</v>
      </c>
      <c r="O46" s="9" t="e">
        <f>+GETPIVOTDATA("CAPITAL INVERTIDO",$M$3,"FONDO","Super Ahorro Plus B")/GETPIVOTDATA("CAPITAL INVERTIDO",$M$3)</f>
        <v>#DIV/0!</v>
      </c>
      <c r="P46" t="e">
        <f>+IF(O46&lt;MAESTRO!$G$7,MAESTRO!$G$2,MAESTRO!$G$3)</f>
        <v>#DIV/0!</v>
      </c>
    </row>
    <row r="47" spans="3:16" x14ac:dyDescent="0.3">
      <c r="C47"/>
      <c r="D47"/>
      <c r="E47"/>
      <c r="F47"/>
      <c r="G47"/>
      <c r="M47" s="2" t="s">
        <v>128</v>
      </c>
      <c r="N47" s="6">
        <v>0</v>
      </c>
      <c r="O47" s="9" t="e">
        <f>+GETPIVOTDATA("CAPITAL INVERTIDO",$M$3,"FONDO","Supergestion MIX VI B")/GETPIVOTDATA("CAPITAL INVERTIDO",$M$3)</f>
        <v>#DIV/0!</v>
      </c>
      <c r="P47" t="e">
        <f>+IF(O47&lt;MAESTRO!$G$7,MAESTRO!$G$2,MAESTRO!$G$3)</f>
        <v>#DIV/0!</v>
      </c>
    </row>
    <row r="48" spans="3:16" x14ac:dyDescent="0.3">
      <c r="C48"/>
      <c r="D48"/>
      <c r="E48"/>
      <c r="F48"/>
      <c r="G48"/>
      <c r="M48" s="2" t="s">
        <v>110</v>
      </c>
      <c r="N48" s="6">
        <v>0</v>
      </c>
      <c r="O48" s="19" t="e">
        <f>SUM(O4:O47)</f>
        <v>#DIV/0!</v>
      </c>
    </row>
    <row r="49" spans="3:14" x14ac:dyDescent="0.3">
      <c r="C49"/>
      <c r="D49"/>
      <c r="E49"/>
      <c r="F49"/>
      <c r="G49"/>
      <c r="M49" s="2" t="s">
        <v>130</v>
      </c>
      <c r="N49" s="6">
        <v>0</v>
      </c>
    </row>
    <row r="50" spans="3:14" x14ac:dyDescent="0.3">
      <c r="C50"/>
      <c r="D50"/>
      <c r="E50"/>
      <c r="F50"/>
      <c r="G50"/>
      <c r="M50" s="2" t="s">
        <v>133</v>
      </c>
      <c r="N50" s="6">
        <v>0</v>
      </c>
    </row>
    <row r="51" spans="3:14" x14ac:dyDescent="0.3">
      <c r="C51"/>
      <c r="D51"/>
      <c r="E51"/>
      <c r="F51"/>
      <c r="G51"/>
      <c r="M51" s="2" t="s">
        <v>138</v>
      </c>
      <c r="N51" s="6">
        <v>0</v>
      </c>
    </row>
    <row r="52" spans="3:14" x14ac:dyDescent="0.3">
      <c r="C52"/>
      <c r="D52"/>
      <c r="E52"/>
      <c r="F52"/>
      <c r="G52"/>
      <c r="M52" s="2" t="s">
        <v>139</v>
      </c>
      <c r="N52" s="6">
        <v>0</v>
      </c>
    </row>
    <row r="53" spans="3:14" x14ac:dyDescent="0.3">
      <c r="C53"/>
      <c r="D53"/>
      <c r="E53"/>
      <c r="F53"/>
      <c r="G53"/>
      <c r="M53" s="2" t="s">
        <v>136</v>
      </c>
      <c r="N53" s="6">
        <v>0</v>
      </c>
    </row>
    <row r="54" spans="3:14" x14ac:dyDescent="0.3">
      <c r="C54"/>
      <c r="D54"/>
      <c r="E54"/>
      <c r="F54"/>
      <c r="G54"/>
      <c r="M54" s="2" t="s">
        <v>135</v>
      </c>
      <c r="N54" s="6">
        <v>0</v>
      </c>
    </row>
    <row r="55" spans="3:14" x14ac:dyDescent="0.3">
      <c r="C55"/>
      <c r="D55"/>
      <c r="E55"/>
      <c r="F55"/>
      <c r="G55"/>
      <c r="M55" s="2" t="s">
        <v>3</v>
      </c>
      <c r="N55" s="6">
        <v>0</v>
      </c>
    </row>
    <row r="56" spans="3:14" x14ac:dyDescent="0.3">
      <c r="C56"/>
      <c r="D56"/>
      <c r="E56"/>
      <c r="F56"/>
      <c r="G56"/>
    </row>
    <row r="57" spans="3:14" x14ac:dyDescent="0.3">
      <c r="C57"/>
      <c r="D57"/>
      <c r="E57"/>
      <c r="F57"/>
      <c r="G57"/>
    </row>
    <row r="58" spans="3:14" x14ac:dyDescent="0.3">
      <c r="C58"/>
      <c r="D58"/>
      <c r="E58"/>
      <c r="F58"/>
      <c r="G58"/>
    </row>
    <row r="59" spans="3:14" x14ac:dyDescent="0.3">
      <c r="C59"/>
      <c r="D59" s="44"/>
      <c r="E59" s="18"/>
      <c r="G59"/>
    </row>
    <row r="60" spans="3:14" x14ac:dyDescent="0.3">
      <c r="C60"/>
      <c r="D60" s="44"/>
      <c r="E60" s="18"/>
      <c r="G60"/>
    </row>
    <row r="61" spans="3:14" x14ac:dyDescent="0.3">
      <c r="C61"/>
      <c r="D61" s="44"/>
      <c r="E61" s="18"/>
      <c r="G61"/>
    </row>
    <row r="62" spans="3:14" x14ac:dyDescent="0.3">
      <c r="C62"/>
      <c r="D62" s="44"/>
      <c r="E62" s="18"/>
      <c r="G62"/>
    </row>
    <row r="63" spans="3:14" x14ac:dyDescent="0.3">
      <c r="C63"/>
      <c r="D63" s="44"/>
      <c r="E63" s="18"/>
      <c r="G63"/>
    </row>
    <row r="64" spans="3:14" x14ac:dyDescent="0.3">
      <c r="C64"/>
      <c r="D64" s="44"/>
      <c r="E64" s="18"/>
      <c r="G64"/>
    </row>
    <row r="65" spans="3:7" x14ac:dyDescent="0.3">
      <c r="C65"/>
      <c r="D65" s="44"/>
      <c r="E65" s="18"/>
      <c r="G65"/>
    </row>
    <row r="66" spans="3:7" x14ac:dyDescent="0.3">
      <c r="C66"/>
      <c r="D66" s="45"/>
    </row>
    <row r="67" spans="3:7" x14ac:dyDescent="0.3">
      <c r="C67"/>
      <c r="D67" s="45"/>
    </row>
    <row r="68" spans="3:7" x14ac:dyDescent="0.3">
      <c r="C68"/>
      <c r="D68" s="45"/>
    </row>
    <row r="69" spans="3:7" x14ac:dyDescent="0.3">
      <c r="C69" s="46"/>
      <c r="D69" s="45"/>
    </row>
  </sheetData>
  <autoFilter ref="A14:A15" xr:uid="{00000000-0009-0000-0000-000001000000}"/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9CD2C740-58A4-4120-930A-4357C007813F}">
            <xm:f>MAESTRO!$G$5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A69DE89A-D52A-4BDB-956A-48323A6B9B7B}">
            <xm:f>MAESTRO!$G$4</xm:f>
            <x14:dxf>
              <fill>
                <patternFill>
                  <bgColor rgb="FFFFC7CE"/>
                </patternFill>
              </fill>
            </x14:dxf>
          </x14:cfRule>
          <x14:cfRule type="cellIs" priority="9" operator="equal" id="{14FDCE4D-5B26-4FF8-83BA-4CBBDF1F7727}">
            <xm:f>MAESTRO!$G$3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4" operator="equal" id="{EB89CE4D-DCDA-44EF-9C5D-DDC497632CCD}">
            <xm:f>MAESTRO!$G$2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 C69:C1000</xm:sqref>
        </x14:conditionalFormatting>
        <x14:conditionalFormatting xmlns:xm="http://schemas.microsoft.com/office/excel/2006/main">
          <x14:cfRule type="cellIs" priority="1" operator="equal" id="{390258FE-829F-43AB-8059-1A85CB428911}">
            <xm:f>MAESTRO!$G$3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C261A13B-EFA6-4DF0-AC21-3B2E583E30B4}">
            <xm:f>MAESTRO!$G$2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O4:P18 O17:O47 P18:P47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9A626-1283-4260-910E-58A40031EA39}">
  <sheetPr codeName="Hoja3"/>
  <dimension ref="A1:O12"/>
  <sheetViews>
    <sheetView tabSelected="1" workbookViewId="0">
      <selection activeCell="B1" sqref="B1"/>
    </sheetView>
  </sheetViews>
  <sheetFormatPr baseColWidth="10" defaultRowHeight="14.4" x14ac:dyDescent="0.3"/>
  <cols>
    <col min="1" max="1" width="16.77734375" bestFit="1" customWidth="1"/>
    <col min="2" max="2" width="17.21875" bestFit="1" customWidth="1"/>
    <col min="3" max="3" width="23.6640625" bestFit="1" customWidth="1"/>
    <col min="4" max="4" width="27.5546875" bestFit="1" customWidth="1"/>
    <col min="5" max="5" width="21.44140625" bestFit="1" customWidth="1"/>
    <col min="6" max="6" width="13.6640625" bestFit="1" customWidth="1"/>
    <col min="7" max="7" width="6.6640625" bestFit="1" customWidth="1"/>
    <col min="8" max="8" width="11.6640625" bestFit="1" customWidth="1"/>
  </cols>
  <sheetData>
    <row r="1" spans="1:15" x14ac:dyDescent="0.3">
      <c r="A1" s="3" t="s">
        <v>11</v>
      </c>
      <c r="B1" t="s">
        <v>292</v>
      </c>
    </row>
    <row r="3" spans="1:15" x14ac:dyDescent="0.3">
      <c r="A3" s="3" t="s">
        <v>147</v>
      </c>
      <c r="E3" s="3" t="s">
        <v>86</v>
      </c>
      <c r="O3" t="s">
        <v>300</v>
      </c>
    </row>
    <row r="4" spans="1:15" x14ac:dyDescent="0.3">
      <c r="A4" s="3" t="s">
        <v>2</v>
      </c>
      <c r="B4" s="3" t="s">
        <v>148</v>
      </c>
      <c r="C4" s="3" t="s">
        <v>4</v>
      </c>
      <c r="D4" s="3" t="s">
        <v>19</v>
      </c>
      <c r="E4" s="21" t="s">
        <v>81</v>
      </c>
    </row>
    <row r="5" spans="1:15" x14ac:dyDescent="0.3">
      <c r="A5" s="2" t="s">
        <v>9</v>
      </c>
      <c r="E5" s="6"/>
    </row>
    <row r="6" spans="1:15" x14ac:dyDescent="0.3">
      <c r="A6" s="51" t="s">
        <v>132</v>
      </c>
      <c r="B6" s="2" t="s">
        <v>161</v>
      </c>
      <c r="C6" s="2" t="s">
        <v>29</v>
      </c>
      <c r="D6" s="140" t="s">
        <v>48</v>
      </c>
      <c r="E6" s="139">
        <v>43758552</v>
      </c>
    </row>
    <row r="7" spans="1:15" x14ac:dyDescent="0.3">
      <c r="C7" s="2" t="s">
        <v>23</v>
      </c>
      <c r="D7" s="2" t="s">
        <v>170</v>
      </c>
      <c r="E7" s="141">
        <v>32999999.999999918</v>
      </c>
    </row>
    <row r="8" spans="1:15" x14ac:dyDescent="0.3">
      <c r="C8" s="140" t="s">
        <v>134</v>
      </c>
      <c r="D8" s="140" t="s">
        <v>136</v>
      </c>
      <c r="E8" s="139">
        <v>1147754744.8400011</v>
      </c>
    </row>
    <row r="9" spans="1:15" x14ac:dyDescent="0.3">
      <c r="C9" s="2" t="s">
        <v>131</v>
      </c>
      <c r="D9" s="2" t="s">
        <v>169</v>
      </c>
      <c r="E9" s="139">
        <v>40942156.860000014</v>
      </c>
    </row>
    <row r="10" spans="1:15" x14ac:dyDescent="0.3">
      <c r="C10" s="2" t="s">
        <v>25</v>
      </c>
      <c r="D10" s="2" t="s">
        <v>40</v>
      </c>
      <c r="E10" s="139">
        <v>40056751.74000001</v>
      </c>
    </row>
    <row r="11" spans="1:15" x14ac:dyDescent="0.3">
      <c r="A11" s="51"/>
      <c r="E11" s="6"/>
    </row>
    <row r="12" spans="1:15" x14ac:dyDescent="0.3">
      <c r="A12" s="2" t="s">
        <v>3</v>
      </c>
      <c r="E12" s="6">
        <v>1305512205.4400012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M1539"/>
  <sheetViews>
    <sheetView showGridLines="0" zoomScaleNormal="100" zoomScaleSheetLayoutView="100" workbookViewId="0">
      <pane ySplit="1" topLeftCell="A1522" activePane="bottomLeft" state="frozen"/>
      <selection activeCell="E11" sqref="E11"/>
      <selection pane="bottomLeft" activeCell="B1" sqref="B1:B1048576"/>
    </sheetView>
  </sheetViews>
  <sheetFormatPr baseColWidth="10" defaultRowHeight="14.4" x14ac:dyDescent="0.3"/>
  <cols>
    <col min="1" max="1" width="12.33203125" style="26" bestFit="1" customWidth="1"/>
    <col min="2" max="2" width="25.5546875" bestFit="1" customWidth="1"/>
    <col min="3" max="3" width="13.33203125" bestFit="1" customWidth="1"/>
    <col min="4" max="4" width="25.5546875" style="1" bestFit="1" customWidth="1"/>
    <col min="5" max="5" width="29.5546875" style="5" customWidth="1"/>
    <col min="6" max="6" width="20.33203125" style="5" customWidth="1"/>
    <col min="7" max="7" width="22.109375" style="90" customWidth="1"/>
    <col min="8" max="8" width="14.33203125" customWidth="1"/>
    <col min="9" max="9" width="17.33203125" style="5" bestFit="1" customWidth="1"/>
    <col min="10" max="10" width="16" style="23" bestFit="1" customWidth="1"/>
    <col min="11" max="11" width="8.44140625" bestFit="1" customWidth="1"/>
    <col min="12" max="12" width="19.33203125" bestFit="1" customWidth="1"/>
    <col min="13" max="13" width="16.5546875" style="5" customWidth="1"/>
  </cols>
  <sheetData>
    <row r="1" spans="1:13" ht="42" customHeight="1" x14ac:dyDescent="0.3">
      <c r="A1" s="26" t="s">
        <v>0</v>
      </c>
      <c r="B1" t="s">
        <v>11</v>
      </c>
      <c r="C1" t="s">
        <v>104</v>
      </c>
      <c r="D1" t="s">
        <v>21</v>
      </c>
      <c r="E1" t="s">
        <v>19</v>
      </c>
      <c r="F1" s="4" t="s">
        <v>20</v>
      </c>
      <c r="G1" s="8" t="s">
        <v>4</v>
      </c>
      <c r="H1" s="8" t="s">
        <v>1</v>
      </c>
      <c r="I1" t="s">
        <v>10</v>
      </c>
      <c r="J1" s="23" t="s">
        <v>145</v>
      </c>
      <c r="K1" t="s">
        <v>146</v>
      </c>
      <c r="L1" t="s">
        <v>148</v>
      </c>
      <c r="M1" s="4" t="s">
        <v>85</v>
      </c>
    </row>
    <row r="2" spans="1:13" x14ac:dyDescent="0.3">
      <c r="A2" s="26">
        <v>45998</v>
      </c>
      <c r="B2" t="s">
        <v>299</v>
      </c>
      <c r="C2" t="s">
        <v>132</v>
      </c>
      <c r="D2" s="27" t="s">
        <v>17</v>
      </c>
      <c r="E2" s="4" t="s">
        <v>169</v>
      </c>
      <c r="F2" s="53">
        <v>704144264.25</v>
      </c>
      <c r="G2" s="8" t="str">
        <f>+VLOOKUP(Tabla14[[#This Row],[FONDO]],MAESTRO!$D$2:$E$119,2,FALSE)</f>
        <v>Max Capital</v>
      </c>
      <c r="H2" s="8" t="str">
        <f>+VLOOKUP(Tabla14[[#This Row],[FONDO]],MAESTRO!D:F,3,FALSE)</f>
        <v>(T+0)</v>
      </c>
      <c r="I2" s="4" t="s">
        <v>9</v>
      </c>
      <c r="L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" s="4">
        <f>ROUND(IF(Tabla14[[#This Row],[OPERACIÓN]]=MAESTRO!$B$2,Tabla14[CAPITAL],IF(Tabla14[[#This Row],[OPERACIÓN]]=MAESTRO!$B$5,Tabla14[CAPITAL],-Tabla14[[#This Row],[CAPITAL]])),2)</f>
        <v>-704144264.25</v>
      </c>
    </row>
    <row r="3" spans="1:13" x14ac:dyDescent="0.3">
      <c r="A3" s="91">
        <v>46021</v>
      </c>
      <c r="B3" s="92" t="s">
        <v>126</v>
      </c>
      <c r="C3" s="92" t="s">
        <v>132</v>
      </c>
      <c r="D3" s="93" t="s">
        <v>16</v>
      </c>
      <c r="E3" s="94" t="s">
        <v>48</v>
      </c>
      <c r="F3" s="94">
        <v>811951650</v>
      </c>
      <c r="G3" s="95" t="str">
        <f>+VLOOKUP(Tabla14[[#This Row],[FONDO]],MAESTRO!$D$2:$E$119,2,FALSE)</f>
        <v>Banco Macro S.A.</v>
      </c>
      <c r="H3" s="95" t="str">
        <f>+VLOOKUP(Tabla14[[#This Row],[FONDO]],MAESTRO!D:F,3,FALSE)</f>
        <v>(T+0)</v>
      </c>
      <c r="I3" s="94" t="s">
        <v>9</v>
      </c>
      <c r="J3" s="96"/>
      <c r="K3" s="92"/>
      <c r="L3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" s="94">
        <f>ROUND(IF(Tabla14[[#This Row],[OPERACIÓN]]=MAESTRO!$B$2,Tabla14[CAPITAL],IF(Tabla14[[#This Row],[OPERACIÓN]]=MAESTRO!$B$5,Tabla14[CAPITAL],-Tabla14[[#This Row],[CAPITAL]])),2)</f>
        <v>811951650</v>
      </c>
    </row>
    <row r="4" spans="1:13" x14ac:dyDescent="0.3">
      <c r="A4" s="91">
        <v>46021</v>
      </c>
      <c r="B4" s="92" t="s">
        <v>292</v>
      </c>
      <c r="C4" s="92" t="s">
        <v>132</v>
      </c>
      <c r="D4" s="93" t="s">
        <v>16</v>
      </c>
      <c r="E4" s="94" t="s">
        <v>48</v>
      </c>
      <c r="F4" s="94">
        <v>47603200</v>
      </c>
      <c r="G4" s="95" t="str">
        <f>+VLOOKUP(Tabla14[[#This Row],[FONDO]],MAESTRO!$D$2:$E$119,2,FALSE)</f>
        <v>Banco Macro S.A.</v>
      </c>
      <c r="H4" s="95" t="str">
        <f>+VLOOKUP(Tabla14[[#This Row],[FONDO]],MAESTRO!D:F,3,FALSE)</f>
        <v>(T+0)</v>
      </c>
      <c r="I4" s="94" t="s">
        <v>9</v>
      </c>
      <c r="J4" s="96"/>
      <c r="K4" s="92"/>
      <c r="L4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" s="94">
        <f>ROUND(IF(Tabla14[[#This Row],[OPERACIÓN]]=MAESTRO!$B$2,Tabla14[CAPITAL],IF(Tabla14[[#This Row],[OPERACIÓN]]=MAESTRO!$B$5,Tabla14[CAPITAL],-Tabla14[[#This Row],[CAPITAL]])),2)</f>
        <v>47603200</v>
      </c>
    </row>
    <row r="5" spans="1:13" x14ac:dyDescent="0.3">
      <c r="A5" s="91">
        <v>46021</v>
      </c>
      <c r="B5" s="92" t="s">
        <v>292</v>
      </c>
      <c r="C5" s="92" t="s">
        <v>132</v>
      </c>
      <c r="D5" s="93" t="s">
        <v>17</v>
      </c>
      <c r="E5" s="94" t="s">
        <v>136</v>
      </c>
      <c r="F5" s="94">
        <v>18151583.9400004</v>
      </c>
      <c r="G5" s="95" t="str">
        <f>+VLOOKUP(Tabla14[[#This Row],[FONDO]],MAESTRO!$D$2:$E$119,2,FALSE)</f>
        <v>Gma Capital</v>
      </c>
      <c r="H5" s="95" t="str">
        <f>+VLOOKUP(Tabla14[[#This Row],[FONDO]],MAESTRO!D:F,3,FALSE)</f>
        <v>(T+0)</v>
      </c>
      <c r="I5" s="94" t="s">
        <v>9</v>
      </c>
      <c r="J5" s="96"/>
      <c r="K5" s="92"/>
      <c r="L5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" s="94">
        <f>ROUND(IF(Tabla14[[#This Row],[OPERACIÓN]]=MAESTRO!$B$2,Tabla14[CAPITAL],IF(Tabla14[[#This Row],[OPERACIÓN]]=MAESTRO!$B$5,Tabla14[CAPITAL],-Tabla14[[#This Row],[CAPITAL]])),2)</f>
        <v>-18151583.940000001</v>
      </c>
    </row>
    <row r="6" spans="1:13" x14ac:dyDescent="0.3">
      <c r="A6" s="91">
        <v>46021</v>
      </c>
      <c r="B6" s="92" t="s">
        <v>299</v>
      </c>
      <c r="C6" s="92" t="s">
        <v>132</v>
      </c>
      <c r="D6" s="93" t="s">
        <v>16</v>
      </c>
      <c r="E6" s="94" t="s">
        <v>48</v>
      </c>
      <c r="F6" s="94">
        <v>347900000</v>
      </c>
      <c r="G6" s="95" t="str">
        <f>+VLOOKUP(Tabla14[[#This Row],[FONDO]],MAESTRO!$D$2:$E$119,2,FALSE)</f>
        <v>Banco Macro S.A.</v>
      </c>
      <c r="H6" s="95" t="str">
        <f>+VLOOKUP(Tabla14[[#This Row],[FONDO]],MAESTRO!D:F,3,FALSE)</f>
        <v>(T+0)</v>
      </c>
      <c r="I6" s="94" t="s">
        <v>9</v>
      </c>
      <c r="J6" s="96"/>
      <c r="K6" s="92"/>
      <c r="L6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" s="94">
        <f>ROUND(IF(Tabla14[[#This Row],[OPERACIÓN]]=MAESTRO!$B$2,Tabla14[CAPITAL],IF(Tabla14[[#This Row],[OPERACIÓN]]=MAESTRO!$B$5,Tabla14[CAPITAL],-Tabla14[[#This Row],[CAPITAL]])),2)</f>
        <v>347900000</v>
      </c>
    </row>
    <row r="7" spans="1:13" x14ac:dyDescent="0.3">
      <c r="A7" s="91">
        <v>46021</v>
      </c>
      <c r="B7" s="92" t="s">
        <v>299</v>
      </c>
      <c r="C7" s="92" t="s">
        <v>132</v>
      </c>
      <c r="D7" s="93" t="s">
        <v>16</v>
      </c>
      <c r="E7" s="94" t="s">
        <v>136</v>
      </c>
      <c r="F7" s="94">
        <v>1040459511.04</v>
      </c>
      <c r="G7" s="95" t="str">
        <f>+VLOOKUP(Tabla14[[#This Row],[FONDO]],MAESTRO!$D$2:$E$119,2,FALSE)</f>
        <v>Gma Capital</v>
      </c>
      <c r="H7" s="95" t="str">
        <f>+VLOOKUP(Tabla14[[#This Row],[FONDO]],MAESTRO!D:F,3,FALSE)</f>
        <v>(T+0)</v>
      </c>
      <c r="I7" s="94" t="s">
        <v>9</v>
      </c>
      <c r="J7" s="96"/>
      <c r="K7" s="92"/>
      <c r="L7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" s="94">
        <f>ROUND(IF(Tabla14[[#This Row],[OPERACIÓN]]=MAESTRO!$B$2,Tabla14[CAPITAL],IF(Tabla14[[#This Row],[OPERACIÓN]]=MAESTRO!$B$5,Tabla14[CAPITAL],-Tabla14[[#This Row],[CAPITAL]])),2)</f>
        <v>1040459511.04</v>
      </c>
    </row>
    <row r="8" spans="1:13" x14ac:dyDescent="0.3">
      <c r="A8" s="91">
        <v>46021</v>
      </c>
      <c r="B8" s="92" t="s">
        <v>299</v>
      </c>
      <c r="C8" s="92" t="s">
        <v>132</v>
      </c>
      <c r="D8" s="93" t="s">
        <v>16</v>
      </c>
      <c r="E8" s="94" t="s">
        <v>211</v>
      </c>
      <c r="F8" s="94">
        <v>530908495.68000001</v>
      </c>
      <c r="G8" s="95" t="str">
        <f>+VLOOKUP(Tabla14[[#This Row],[FONDO]],MAESTRO!$D$2:$E$119,2,FALSE)</f>
        <v>INTAGRO</v>
      </c>
      <c r="H8" s="95" t="str">
        <f>+VLOOKUP(Tabla14[[#This Row],[FONDO]],MAESTRO!D:F,3,FALSE)</f>
        <v>(T+1)</v>
      </c>
      <c r="I8" s="94" t="s">
        <v>9</v>
      </c>
      <c r="J8" s="96"/>
      <c r="K8" s="92"/>
      <c r="L8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" s="94">
        <f>ROUND(IF(Tabla14[[#This Row],[OPERACIÓN]]=MAESTRO!$B$2,Tabla14[CAPITAL],IF(Tabla14[[#This Row],[OPERACIÓN]]=MAESTRO!$B$5,Tabla14[CAPITAL],-Tabla14[[#This Row],[CAPITAL]])),2)</f>
        <v>530908495.68000001</v>
      </c>
    </row>
    <row r="9" spans="1:13" x14ac:dyDescent="0.3">
      <c r="A9" s="91">
        <v>46021</v>
      </c>
      <c r="B9" s="92" t="s">
        <v>299</v>
      </c>
      <c r="C9" s="92" t="s">
        <v>132</v>
      </c>
      <c r="D9" s="93" t="s">
        <v>16</v>
      </c>
      <c r="E9" s="94" t="s">
        <v>212</v>
      </c>
      <c r="F9" s="94">
        <v>268829488.17000002</v>
      </c>
      <c r="G9" s="95" t="str">
        <f>+VLOOKUP(Tabla14[[#This Row],[FONDO]],MAESTRO!$D$2:$E$119,2,FALSE)</f>
        <v>INTAGRO</v>
      </c>
      <c r="H9" s="95" t="str">
        <f>+VLOOKUP(Tabla14[[#This Row],[FONDO]],MAESTRO!D:F,3,FALSE)</f>
        <v>(T+0)</v>
      </c>
      <c r="I9" s="94" t="s">
        <v>9</v>
      </c>
      <c r="J9" s="96"/>
      <c r="K9" s="92"/>
      <c r="L9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" s="94">
        <f>ROUND(IF(Tabla14[[#This Row],[OPERACIÓN]]=MAESTRO!$B$2,Tabla14[CAPITAL],IF(Tabla14[[#This Row],[OPERACIÓN]]=MAESTRO!$B$5,Tabla14[CAPITAL],-Tabla14[[#This Row],[CAPITAL]])),2)</f>
        <v>268829488.17000002</v>
      </c>
    </row>
    <row r="10" spans="1:13" x14ac:dyDescent="0.3">
      <c r="A10" s="91">
        <v>46021</v>
      </c>
      <c r="B10" s="92" t="s">
        <v>299</v>
      </c>
      <c r="C10" s="92" t="s">
        <v>132</v>
      </c>
      <c r="D10" s="93" t="s">
        <v>16</v>
      </c>
      <c r="E10" s="94" t="s">
        <v>169</v>
      </c>
      <c r="F10" s="94">
        <v>547981230.25</v>
      </c>
      <c r="G10" s="95" t="str">
        <f>+VLOOKUP(Tabla14[[#This Row],[FONDO]],MAESTRO!$D$2:$E$119,2,FALSE)</f>
        <v>Max Capital</v>
      </c>
      <c r="H10" s="95" t="str">
        <f>+VLOOKUP(Tabla14[[#This Row],[FONDO]],MAESTRO!D:F,3,FALSE)</f>
        <v>(T+0)</v>
      </c>
      <c r="I10" s="94" t="s">
        <v>9</v>
      </c>
      <c r="J10" s="96"/>
      <c r="K10" s="92"/>
      <c r="L10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" s="94">
        <f>ROUND(IF(Tabla14[[#This Row],[OPERACIÓN]]=MAESTRO!$B$2,Tabla14[CAPITAL],IF(Tabla14[[#This Row],[OPERACIÓN]]=MAESTRO!$B$5,Tabla14[CAPITAL],-Tabla14[[#This Row],[CAPITAL]])),2)</f>
        <v>547981230.25</v>
      </c>
    </row>
    <row r="11" spans="1:13" x14ac:dyDescent="0.3">
      <c r="A11" s="91">
        <v>46021</v>
      </c>
      <c r="B11" s="92" t="s">
        <v>299</v>
      </c>
      <c r="C11" s="92" t="s">
        <v>132</v>
      </c>
      <c r="D11" s="93" t="s">
        <v>16</v>
      </c>
      <c r="E11" s="94" t="s">
        <v>204</v>
      </c>
      <c r="F11" s="94">
        <v>345668515.70999998</v>
      </c>
      <c r="G11" s="95" t="str">
        <f>+VLOOKUP(Tabla14[[#This Row],[FONDO]],MAESTRO!$D$2:$E$119,2,FALSE)</f>
        <v>Latin Securities</v>
      </c>
      <c r="H11" s="95" t="str">
        <f>+VLOOKUP(Tabla14[[#This Row],[FONDO]],MAESTRO!D:F,3,FALSE)</f>
        <v>(T+0)</v>
      </c>
      <c r="I11" s="94" t="s">
        <v>9</v>
      </c>
      <c r="J11" s="96"/>
      <c r="K11" s="92"/>
      <c r="L11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" s="94">
        <f>ROUND(IF(Tabla14[[#This Row],[OPERACIÓN]]=MAESTRO!$B$2,Tabla14[CAPITAL],IF(Tabla14[[#This Row],[OPERACIÓN]]=MAESTRO!$B$5,Tabla14[CAPITAL],-Tabla14[[#This Row],[CAPITAL]])),2)</f>
        <v>345668515.70999998</v>
      </c>
    </row>
    <row r="12" spans="1:13" x14ac:dyDescent="0.3">
      <c r="A12" s="91">
        <v>46021</v>
      </c>
      <c r="B12" s="92" t="s">
        <v>299</v>
      </c>
      <c r="C12" s="92" t="s">
        <v>132</v>
      </c>
      <c r="D12" s="93" t="s">
        <v>16</v>
      </c>
      <c r="E12" s="94" t="s">
        <v>40</v>
      </c>
      <c r="F12" s="94">
        <v>3298742491.2799997</v>
      </c>
      <c r="G12" s="95" t="str">
        <f>+VLOOKUP(Tabla14[[#This Row],[FONDO]],MAESTRO!$D$2:$E$119,2,FALSE)</f>
        <v>BBVA Banco Frances SA</v>
      </c>
      <c r="H12" s="95" t="str">
        <f>+VLOOKUP(Tabla14[[#This Row],[FONDO]],MAESTRO!D:F,3,FALSE)</f>
        <v>(T+0)</v>
      </c>
      <c r="I12" s="94" t="s">
        <v>9</v>
      </c>
      <c r="J12" s="96"/>
      <c r="K12" s="92"/>
      <c r="L12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" s="94">
        <f>ROUND(IF(Tabla14[[#This Row],[OPERACIÓN]]=MAESTRO!$B$2,Tabla14[CAPITAL],IF(Tabla14[[#This Row],[OPERACIÓN]]=MAESTRO!$B$5,Tabla14[CAPITAL],-Tabla14[[#This Row],[CAPITAL]])),2)</f>
        <v>3298742491.2800002</v>
      </c>
    </row>
    <row r="13" spans="1:13" x14ac:dyDescent="0.3">
      <c r="A13" s="91">
        <v>46021</v>
      </c>
      <c r="B13" s="92" t="s">
        <v>298</v>
      </c>
      <c r="C13" s="92" t="s">
        <v>142</v>
      </c>
      <c r="D13" s="93" t="s">
        <v>16</v>
      </c>
      <c r="E13" s="94" t="s">
        <v>214</v>
      </c>
      <c r="F13" s="94">
        <v>2000000000</v>
      </c>
      <c r="G13" s="95" t="str">
        <f>+VLOOKUP(Tabla14[[#This Row],[FONDO]],MAESTRO!$D$2:$E$119,2,FALSE)</f>
        <v>BBVA Banco Frances SA</v>
      </c>
      <c r="H13" s="95" t="str">
        <f>+VLOOKUP(Tabla14[[#This Row],[FONDO]],MAESTRO!D:F,3,FALSE)</f>
        <v>PLAZO</v>
      </c>
      <c r="I13" s="94" t="s">
        <v>9</v>
      </c>
      <c r="J13" s="96" t="s">
        <v>270</v>
      </c>
      <c r="K13" s="92">
        <v>29.75</v>
      </c>
      <c r="L13" s="92" t="s">
        <v>277</v>
      </c>
      <c r="M13" s="94">
        <f>ROUND(IF(Tabla14[[#This Row],[OPERACIÓN]]=MAESTRO!$B$2,Tabla14[CAPITAL],IF(Tabla14[[#This Row],[OPERACIÓN]]=MAESTRO!$B$5,Tabla14[CAPITAL],-Tabla14[[#This Row],[CAPITAL]])),2)</f>
        <v>2000000000</v>
      </c>
    </row>
    <row r="14" spans="1:13" x14ac:dyDescent="0.3">
      <c r="A14" s="91">
        <v>46021</v>
      </c>
      <c r="B14" s="92" t="s">
        <v>298</v>
      </c>
      <c r="C14" s="92" t="s">
        <v>172</v>
      </c>
      <c r="D14" s="93" t="s">
        <v>16</v>
      </c>
      <c r="E14" s="94" t="s">
        <v>202</v>
      </c>
      <c r="F14" s="94">
        <v>769000</v>
      </c>
      <c r="G14" s="97" t="str">
        <f>+VLOOKUP(Tabla14[[#This Row],[FONDO]],MAESTRO!$D$2:$E$119,2,FALSE)</f>
        <v>Gma Capital</v>
      </c>
      <c r="H14" s="95" t="str">
        <f>+VLOOKUP(Tabla14[[#This Row],[FONDO]],MAESTRO!D:F,3,FALSE)</f>
        <v>USD DL</v>
      </c>
      <c r="I14" s="94" t="s">
        <v>7</v>
      </c>
      <c r="J14" s="96" t="s">
        <v>262</v>
      </c>
      <c r="K14" s="92">
        <v>8</v>
      </c>
      <c r="L14" s="92" t="s">
        <v>273</v>
      </c>
      <c r="M14" s="94">
        <f>ROUND(IF(Tabla14[[#This Row],[OPERACIÓN]]=MAESTRO!$B$2,Tabla14[CAPITAL],IF(Tabla14[[#This Row],[OPERACIÓN]]=MAESTRO!$B$5,Tabla14[CAPITAL],-Tabla14[[#This Row],[CAPITAL]])),2)</f>
        <v>769000</v>
      </c>
    </row>
    <row r="15" spans="1:13" x14ac:dyDescent="0.3">
      <c r="A15" s="91">
        <v>46021</v>
      </c>
      <c r="B15" s="92" t="s">
        <v>298</v>
      </c>
      <c r="C15" s="92" t="s">
        <v>132</v>
      </c>
      <c r="D15" s="93" t="s">
        <v>16</v>
      </c>
      <c r="E15" s="94" t="s">
        <v>43</v>
      </c>
      <c r="F15" s="94">
        <v>349051286.69</v>
      </c>
      <c r="G15" s="97" t="str">
        <f>+VLOOKUP(Tabla14[[#This Row],[FONDO]],MAESTRO!$D$2:$E$119,2,FALSE)</f>
        <v>Banco Santander Rio S.A.</v>
      </c>
      <c r="H15" s="95" t="str">
        <f>+VLOOKUP(Tabla14[[#This Row],[FONDO]],MAESTRO!D:F,3,FALSE)</f>
        <v>(T+0)</v>
      </c>
      <c r="I15" s="94" t="s">
        <v>9</v>
      </c>
      <c r="J15" s="96"/>
      <c r="K15" s="92"/>
      <c r="L15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" s="94">
        <f>ROUND(IF(Tabla14[[#This Row],[OPERACIÓN]]=MAESTRO!$B$2,Tabla14[CAPITAL],IF(Tabla14[[#This Row],[OPERACIÓN]]=MAESTRO!$B$5,Tabla14[CAPITAL],-Tabla14[[#This Row],[CAPITAL]])),2)</f>
        <v>349051286.69</v>
      </c>
    </row>
    <row r="16" spans="1:13" s="20" customFormat="1" x14ac:dyDescent="0.3">
      <c r="A16" s="91">
        <v>46021</v>
      </c>
      <c r="B16" s="92" t="s">
        <v>120</v>
      </c>
      <c r="C16" s="92" t="s">
        <v>132</v>
      </c>
      <c r="D16" s="93" t="s">
        <v>16</v>
      </c>
      <c r="E16" s="94" t="s">
        <v>40</v>
      </c>
      <c r="F16" s="94">
        <v>62377.73</v>
      </c>
      <c r="G16" s="97" t="str">
        <f>+VLOOKUP(Tabla14[[#This Row],[FONDO]],MAESTRO!$D$2:$E$119,2,FALSE)</f>
        <v>BBVA Banco Frances SA</v>
      </c>
      <c r="H16" s="95" t="str">
        <f>+VLOOKUP(Tabla14[[#This Row],[FONDO]],MAESTRO!D:F,3,FALSE)</f>
        <v>(T+0)</v>
      </c>
      <c r="I16" s="94" t="s">
        <v>9</v>
      </c>
      <c r="J16" s="96"/>
      <c r="K16" s="92"/>
      <c r="L16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" s="94">
        <f>ROUND(IF(Tabla14[[#This Row],[OPERACIÓN]]=MAESTRO!$B$2,Tabla14[CAPITAL],IF(Tabla14[[#This Row],[OPERACIÓN]]=MAESTRO!$B$5,Tabla14[CAPITAL],-Tabla14[[#This Row],[CAPITAL]])),2)</f>
        <v>62377.73</v>
      </c>
    </row>
    <row r="17" spans="1:13" x14ac:dyDescent="0.3">
      <c r="A17" s="91">
        <v>46021</v>
      </c>
      <c r="B17" s="92" t="s">
        <v>298</v>
      </c>
      <c r="C17" s="92" t="s">
        <v>132</v>
      </c>
      <c r="D17" s="93" t="s">
        <v>16</v>
      </c>
      <c r="E17" s="94" t="s">
        <v>39</v>
      </c>
      <c r="F17" s="94">
        <v>32200938.93</v>
      </c>
      <c r="G17" s="97" t="str">
        <f>+VLOOKUP(Tabla14[[#This Row],[FONDO]],MAESTRO!$D$2:$E$119,2,FALSE)</f>
        <v>Banco Supervielle, S.A.</v>
      </c>
      <c r="H17" s="95" t="str">
        <f>+VLOOKUP(Tabla14[[#This Row],[FONDO]],MAESTRO!D:F,3,FALSE)</f>
        <v>(T+0)</v>
      </c>
      <c r="I17" s="94" t="s">
        <v>9</v>
      </c>
      <c r="J17" s="96"/>
      <c r="K17" s="92"/>
      <c r="L17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" s="94">
        <f>ROUND(IF(Tabla14[[#This Row],[OPERACIÓN]]=MAESTRO!$B$2,Tabla14[CAPITAL],IF(Tabla14[[#This Row],[OPERACIÓN]]=MAESTRO!$B$5,Tabla14[CAPITAL],-Tabla14[[#This Row],[CAPITAL]])),2)</f>
        <v>32200938.93</v>
      </c>
    </row>
    <row r="18" spans="1:13" x14ac:dyDescent="0.3">
      <c r="A18" s="91">
        <v>46021</v>
      </c>
      <c r="B18" s="92" t="s">
        <v>298</v>
      </c>
      <c r="C18" s="92" t="s">
        <v>132</v>
      </c>
      <c r="D18" s="93" t="s">
        <v>16</v>
      </c>
      <c r="E18" s="94" t="s">
        <v>136</v>
      </c>
      <c r="F18" s="94">
        <v>1621141113.9300001</v>
      </c>
      <c r="G18" s="95" t="str">
        <f>+VLOOKUP(Tabla14[[#This Row],[FONDO]],MAESTRO!$D$2:$E$119,2,FALSE)</f>
        <v>Gma Capital</v>
      </c>
      <c r="H18" s="95" t="str">
        <f>+VLOOKUP(Tabla14[[#This Row],[FONDO]],MAESTRO!D:F,3,FALSE)</f>
        <v>(T+0)</v>
      </c>
      <c r="I18" s="94" t="s">
        <v>9</v>
      </c>
      <c r="J18" s="96"/>
      <c r="K18" s="92"/>
      <c r="L18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" s="94">
        <f>ROUND(IF(Tabla14[[#This Row],[OPERACIÓN]]=MAESTRO!$B$2,Tabla14[CAPITAL],IF(Tabla14[[#This Row],[OPERACIÓN]]=MAESTRO!$B$5,Tabla14[CAPITAL],-Tabla14[[#This Row],[CAPITAL]])),2)</f>
        <v>1621141113.9300001</v>
      </c>
    </row>
    <row r="19" spans="1:13" x14ac:dyDescent="0.3">
      <c r="A19" s="91">
        <v>46021</v>
      </c>
      <c r="B19" s="92" t="s">
        <v>298</v>
      </c>
      <c r="C19" s="92" t="s">
        <v>132</v>
      </c>
      <c r="D19" s="93" t="s">
        <v>16</v>
      </c>
      <c r="E19" s="94" t="s">
        <v>169</v>
      </c>
      <c r="F19" s="94">
        <v>313432231.31999999</v>
      </c>
      <c r="G19" s="95" t="str">
        <f>+VLOOKUP(Tabla14[[#This Row],[FONDO]],MAESTRO!$D$2:$E$119,2,FALSE)</f>
        <v>Max Capital</v>
      </c>
      <c r="H19" s="95" t="str">
        <f>+VLOOKUP(Tabla14[[#This Row],[FONDO]],MAESTRO!D:F,3,FALSE)</f>
        <v>(T+0)</v>
      </c>
      <c r="I19" s="94" t="s">
        <v>9</v>
      </c>
      <c r="J19" s="96"/>
      <c r="K19" s="92"/>
      <c r="L19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" s="94">
        <f>ROUND(IF(Tabla14[[#This Row],[OPERACIÓN]]=MAESTRO!$B$2,Tabla14[CAPITAL],IF(Tabla14[[#This Row],[OPERACIÓN]]=MAESTRO!$B$5,Tabla14[CAPITAL],-Tabla14[[#This Row],[CAPITAL]])),2)</f>
        <v>313432231.31999999</v>
      </c>
    </row>
    <row r="20" spans="1:13" x14ac:dyDescent="0.3">
      <c r="A20" s="91">
        <v>46021</v>
      </c>
      <c r="B20" s="92" t="s">
        <v>298</v>
      </c>
      <c r="C20" s="92" t="s">
        <v>132</v>
      </c>
      <c r="D20" s="93" t="s">
        <v>16</v>
      </c>
      <c r="E20" s="94" t="s">
        <v>174</v>
      </c>
      <c r="F20" s="94">
        <v>22884269</v>
      </c>
      <c r="G20" s="97" t="str">
        <f>+VLOOKUP(Tabla14[[#This Row],[FONDO]],MAESTRO!$D$2:$E$119,2,FALSE)</f>
        <v>Zofingen</v>
      </c>
      <c r="H20" s="95" t="str">
        <f>+VLOOKUP(Tabla14[[#This Row],[FONDO]],MAESTRO!D:F,3,FALSE)</f>
        <v>(T+0)</v>
      </c>
      <c r="I20" s="94" t="s">
        <v>9</v>
      </c>
      <c r="J20" s="96"/>
      <c r="K20" s="92"/>
      <c r="L20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" s="94">
        <f>ROUND(IF(Tabla14[[#This Row],[OPERACIÓN]]=MAESTRO!$B$2,Tabla14[CAPITAL],IF(Tabla14[[#This Row],[OPERACIÓN]]=MAESTRO!$B$5,Tabla14[CAPITAL],-Tabla14[[#This Row],[CAPITAL]])),2)</f>
        <v>22884269</v>
      </c>
    </row>
    <row r="21" spans="1:13" x14ac:dyDescent="0.3">
      <c r="A21" s="91">
        <v>46021</v>
      </c>
      <c r="B21" s="92" t="s">
        <v>298</v>
      </c>
      <c r="C21" s="92" t="s">
        <v>132</v>
      </c>
      <c r="D21" s="93" t="s">
        <v>16</v>
      </c>
      <c r="E21" s="94" t="s">
        <v>180</v>
      </c>
      <c r="F21" s="94">
        <v>10779798.560000001</v>
      </c>
      <c r="G21" s="97" t="str">
        <f>+VLOOKUP(Tabla14[[#This Row],[FONDO]],MAESTRO!$D$2:$E$119,2,FALSE)</f>
        <v>PP Inversiones</v>
      </c>
      <c r="H21" s="95" t="str">
        <f>+VLOOKUP(Tabla14[[#This Row],[FONDO]],MAESTRO!D:F,3,FALSE)</f>
        <v>(T+0)</v>
      </c>
      <c r="I21" s="94" t="s">
        <v>9</v>
      </c>
      <c r="J21" s="96"/>
      <c r="K21" s="92"/>
      <c r="L21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" s="94">
        <f>ROUND(IF(Tabla14[[#This Row],[OPERACIÓN]]=MAESTRO!$B$2,Tabla14[CAPITAL],IF(Tabla14[[#This Row],[OPERACIÓN]]=MAESTRO!$B$5,Tabla14[CAPITAL],-Tabla14[[#This Row],[CAPITAL]])),2)</f>
        <v>10779798.560000001</v>
      </c>
    </row>
    <row r="22" spans="1:13" x14ac:dyDescent="0.3">
      <c r="A22" s="91">
        <v>46021</v>
      </c>
      <c r="B22" s="92" t="s">
        <v>298</v>
      </c>
      <c r="C22" s="92" t="s">
        <v>132</v>
      </c>
      <c r="D22" s="93" t="s">
        <v>16</v>
      </c>
      <c r="E22" s="94" t="s">
        <v>204</v>
      </c>
      <c r="F22" s="94">
        <v>514387765.33999979</v>
      </c>
      <c r="G22" s="95" t="str">
        <f>+VLOOKUP(Tabla14[[#This Row],[FONDO]],MAESTRO!$D$2:$E$119,2,FALSE)</f>
        <v>Latin Securities</v>
      </c>
      <c r="H22" s="95" t="str">
        <f>+VLOOKUP(Tabla14[[#This Row],[FONDO]],MAESTRO!D:F,3,FALSE)</f>
        <v>(T+0)</v>
      </c>
      <c r="I22" s="94" t="s">
        <v>9</v>
      </c>
      <c r="J22" s="96"/>
      <c r="K22" s="92"/>
      <c r="L22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" s="94">
        <f>ROUND(IF(Tabla14[[#This Row],[OPERACIÓN]]=MAESTRO!$B$2,Tabla14[CAPITAL],IF(Tabla14[[#This Row],[OPERACIÓN]]=MAESTRO!$B$5,Tabla14[CAPITAL],-Tabla14[[#This Row],[CAPITAL]])),2)</f>
        <v>514387765.33999997</v>
      </c>
    </row>
    <row r="23" spans="1:13" x14ac:dyDescent="0.3">
      <c r="A23" s="91">
        <v>46021</v>
      </c>
      <c r="B23" s="92" t="s">
        <v>298</v>
      </c>
      <c r="C23" s="92" t="s">
        <v>132</v>
      </c>
      <c r="D23" s="93" t="s">
        <v>16</v>
      </c>
      <c r="E23" s="94" t="s">
        <v>206</v>
      </c>
      <c r="F23" s="94">
        <v>6865289.3899999717</v>
      </c>
      <c r="G23" s="95" t="str">
        <f>+VLOOKUP(Tabla14[[#This Row],[FONDO]],MAESTRO!$D$2:$E$119,2,FALSE)</f>
        <v>Parakeet</v>
      </c>
      <c r="H23" s="95" t="str">
        <f>+VLOOKUP(Tabla14[[#This Row],[FONDO]],MAESTRO!D:F,3,FALSE)</f>
        <v>(T+0)</v>
      </c>
      <c r="I23" s="94" t="s">
        <v>9</v>
      </c>
      <c r="J23" s="96"/>
      <c r="K23" s="92"/>
      <c r="L23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" s="94">
        <f>ROUND(IF(Tabla14[[#This Row],[OPERACIÓN]]=MAESTRO!$B$2,Tabla14[CAPITAL],IF(Tabla14[[#This Row],[OPERACIÓN]]=MAESTRO!$B$5,Tabla14[CAPITAL],-Tabla14[[#This Row],[CAPITAL]])),2)</f>
        <v>6865289.3899999997</v>
      </c>
    </row>
    <row r="24" spans="1:13" x14ac:dyDescent="0.3">
      <c r="A24" s="91">
        <v>46021</v>
      </c>
      <c r="B24" s="92" t="s">
        <v>298</v>
      </c>
      <c r="C24" s="92" t="s">
        <v>132</v>
      </c>
      <c r="D24" s="93" t="s">
        <v>17</v>
      </c>
      <c r="E24" s="94" t="s">
        <v>197</v>
      </c>
      <c r="F24" s="94">
        <v>-41800384.18</v>
      </c>
      <c r="G24" s="95" t="str">
        <f>+VLOOKUP(Tabla14[[#This Row],[FONDO]],MAESTRO!$D$2:$E$119,2,FALSE)</f>
        <v>COCOS CAPITAL</v>
      </c>
      <c r="H24" s="95" t="str">
        <f>+VLOOKUP(Tabla14[[#This Row],[FONDO]],MAESTRO!D:F,3,FALSE)</f>
        <v>(T+0)</v>
      </c>
      <c r="I24" s="94" t="s">
        <v>9</v>
      </c>
      <c r="J24" s="96"/>
      <c r="K24" s="92"/>
      <c r="L24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" s="94">
        <f>ROUND(IF(Tabla14[[#This Row],[OPERACIÓN]]=MAESTRO!$B$2,Tabla14[CAPITAL],IF(Tabla14[[#This Row],[OPERACIÓN]]=MAESTRO!$B$5,Tabla14[CAPITAL],-Tabla14[[#This Row],[CAPITAL]])),2)</f>
        <v>41800384.18</v>
      </c>
    </row>
    <row r="25" spans="1:13" x14ac:dyDescent="0.3">
      <c r="A25" s="91">
        <v>46021</v>
      </c>
      <c r="B25" s="92" t="s">
        <v>298</v>
      </c>
      <c r="C25" s="92" t="s">
        <v>132</v>
      </c>
      <c r="D25" s="93" t="s">
        <v>16</v>
      </c>
      <c r="E25" s="94" t="s">
        <v>208</v>
      </c>
      <c r="F25" s="94">
        <v>1008786229</v>
      </c>
      <c r="G25" s="95" t="str">
        <f>+VLOOKUP(Tabla14[[#This Row],[FONDO]],MAESTRO!$D$2:$E$119,2,FALSE)</f>
        <v>Facimex</v>
      </c>
      <c r="H25" s="95" t="str">
        <f>+VLOOKUP(Tabla14[[#This Row],[FONDO]],MAESTRO!D:F,3,FALSE)</f>
        <v>(T+0)</v>
      </c>
      <c r="I25" s="94" t="s">
        <v>9</v>
      </c>
      <c r="J25" s="96"/>
      <c r="K25" s="92"/>
      <c r="L25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" s="94">
        <f>ROUND(IF(Tabla14[[#This Row],[OPERACIÓN]]=MAESTRO!$B$2,Tabla14[CAPITAL],IF(Tabla14[[#This Row],[OPERACIÓN]]=MAESTRO!$B$5,Tabla14[CAPITAL],-Tabla14[[#This Row],[CAPITAL]])),2)</f>
        <v>1008786229</v>
      </c>
    </row>
    <row r="26" spans="1:13" x14ac:dyDescent="0.3">
      <c r="A26" s="91">
        <v>46021</v>
      </c>
      <c r="B26" s="92" t="s">
        <v>298</v>
      </c>
      <c r="C26" s="92" t="s">
        <v>132</v>
      </c>
      <c r="D26" s="93" t="s">
        <v>16</v>
      </c>
      <c r="E26" s="94" t="s">
        <v>40</v>
      </c>
      <c r="F26" s="94">
        <v>6454536126.8999996</v>
      </c>
      <c r="G26" s="95" t="str">
        <f>+VLOOKUP(Tabla14[[#This Row],[FONDO]],MAESTRO!$D$2:$E$119,2,FALSE)</f>
        <v>BBVA Banco Frances SA</v>
      </c>
      <c r="H26" s="95" t="str">
        <f>+VLOOKUP(Tabla14[[#This Row],[FONDO]],MAESTRO!D:F,3,FALSE)</f>
        <v>(T+0)</v>
      </c>
      <c r="I26" s="94" t="s">
        <v>9</v>
      </c>
      <c r="J26" s="96"/>
      <c r="K26" s="92"/>
      <c r="L26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" s="94">
        <f>ROUND(IF(Tabla14[[#This Row],[OPERACIÓN]]=MAESTRO!$B$2,Tabla14[CAPITAL],IF(Tabla14[[#This Row],[OPERACIÓN]]=MAESTRO!$B$5,Tabla14[CAPITAL],-Tabla14[[#This Row],[CAPITAL]])),2)</f>
        <v>6454536126.8999996</v>
      </c>
    </row>
    <row r="27" spans="1:13" x14ac:dyDescent="0.3">
      <c r="A27" s="91">
        <v>46021</v>
      </c>
      <c r="B27" s="92" t="s">
        <v>298</v>
      </c>
      <c r="C27" s="92" t="s">
        <v>132</v>
      </c>
      <c r="D27" s="93" t="s">
        <v>16</v>
      </c>
      <c r="E27" s="94" t="s">
        <v>255</v>
      </c>
      <c r="F27" s="94">
        <v>35422099.119999997</v>
      </c>
      <c r="G27" s="95" t="str">
        <f>+VLOOKUP(Tabla14[[#This Row],[FONDO]],MAESTRO!$D$2:$E$119,2,FALSE)</f>
        <v>Inviu inversiones</v>
      </c>
      <c r="H27" s="95" t="str">
        <f>+VLOOKUP(Tabla14[[#This Row],[FONDO]],MAESTRO!D:F,3,FALSE)</f>
        <v>(T+0)</v>
      </c>
      <c r="I27" s="94" t="s">
        <v>9</v>
      </c>
      <c r="J27" s="96"/>
      <c r="K27" s="92"/>
      <c r="L27" s="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" s="94">
        <f>ROUND(IF(Tabla14[[#This Row],[OPERACIÓN]]=MAESTRO!$B$2,Tabla14[CAPITAL],IF(Tabla14[[#This Row],[OPERACIÓN]]=MAESTRO!$B$5,Tabla14[CAPITAL],-Tabla14[[#This Row],[CAPITAL]])),2)</f>
        <v>35422099.119999997</v>
      </c>
    </row>
    <row r="28" spans="1:13" x14ac:dyDescent="0.3">
      <c r="A28" s="91">
        <v>46021</v>
      </c>
      <c r="B28" s="92" t="s">
        <v>298</v>
      </c>
      <c r="C28" s="92" t="s">
        <v>132</v>
      </c>
      <c r="D28" s="93" t="s">
        <v>16</v>
      </c>
      <c r="E28" s="94" t="s">
        <v>268</v>
      </c>
      <c r="F28" s="94">
        <v>1050404.6499999999</v>
      </c>
      <c r="G28" s="95" t="str">
        <f>+VLOOKUP(Tabla14[[#This Row],[FONDO]],MAESTRO!$D$2:$E$119,2,FALSE)</f>
        <v>Max Capital</v>
      </c>
      <c r="H28" s="95" t="str">
        <f>+VLOOKUP(Tabla14[[#This Row],[FONDO]],MAESTRO!D:F,3,FALSE)</f>
        <v>USD DL</v>
      </c>
      <c r="I28" s="94" t="s">
        <v>7</v>
      </c>
      <c r="J28" s="96"/>
      <c r="K28" s="92"/>
      <c r="L28" s="92"/>
      <c r="M28" s="94">
        <f>ROUND(IF(Tabla14[[#This Row],[OPERACIÓN]]=MAESTRO!$B$2,Tabla14[CAPITAL],IF(Tabla14[[#This Row],[OPERACIÓN]]=MAESTRO!$B$5,Tabla14[CAPITAL],-Tabla14[[#This Row],[CAPITAL]])),2)</f>
        <v>1050404.6499999999</v>
      </c>
    </row>
    <row r="29" spans="1:13" x14ac:dyDescent="0.3">
      <c r="A29" s="37">
        <v>46024</v>
      </c>
      <c r="B29" s="20" t="s">
        <v>299</v>
      </c>
      <c r="C29" s="20" t="s">
        <v>132</v>
      </c>
      <c r="D29" s="38" t="s">
        <v>17</v>
      </c>
      <c r="E29" s="39" t="s">
        <v>136</v>
      </c>
      <c r="F29" s="39">
        <v>11014158.949999999</v>
      </c>
      <c r="G29" s="40" t="str">
        <f>+VLOOKUP(Tabla14[[#This Row],[FONDO]],MAESTRO!$D$2:$E$119,2,FALSE)</f>
        <v>Gma Capital</v>
      </c>
      <c r="H29" s="40" t="str">
        <f>+VLOOKUP(Tabla14[[#This Row],[FONDO]],MAESTRO!D:F,3,FALSE)</f>
        <v>(T+0)</v>
      </c>
      <c r="I29" s="39" t="s">
        <v>9</v>
      </c>
      <c r="J29" s="49"/>
      <c r="K29" s="20"/>
      <c r="L2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" s="39">
        <f>ROUND(IF(Tabla14[[#This Row],[OPERACIÓN]]=MAESTRO!$B$2,Tabla14[CAPITAL],IF(Tabla14[[#This Row],[OPERACIÓN]]=MAESTRO!$B$5,Tabla14[CAPITAL],-Tabla14[[#This Row],[CAPITAL]])),2)</f>
        <v>-11014158.949999999</v>
      </c>
    </row>
    <row r="30" spans="1:13" x14ac:dyDescent="0.3">
      <c r="A30" s="26">
        <v>46024</v>
      </c>
      <c r="B30" t="s">
        <v>292</v>
      </c>
      <c r="C30" t="s">
        <v>132</v>
      </c>
      <c r="D30" s="27" t="s">
        <v>17</v>
      </c>
      <c r="E30" s="4" t="s">
        <v>48</v>
      </c>
      <c r="F30" s="4">
        <v>50000000</v>
      </c>
      <c r="G30" s="8" t="str">
        <f>+VLOOKUP(Tabla14[[#This Row],[FONDO]],MAESTRO!$D$2:$E$119,2,FALSE)</f>
        <v>Banco Macro S.A.</v>
      </c>
      <c r="H30" s="8" t="str">
        <f>+VLOOKUP(Tabla14[[#This Row],[FONDO]],MAESTRO!D:F,3,FALSE)</f>
        <v>(T+0)</v>
      </c>
      <c r="I30" s="4" t="s">
        <v>9</v>
      </c>
      <c r="L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" s="4">
        <f>ROUND(IF(Tabla14[[#This Row],[OPERACIÓN]]=MAESTRO!$B$2,Tabla14[CAPITAL],IF(Tabla14[[#This Row],[OPERACIÓN]]=MAESTRO!$B$5,Tabla14[CAPITAL],-Tabla14[[#This Row],[CAPITAL]])),2)</f>
        <v>-50000000</v>
      </c>
    </row>
    <row r="31" spans="1:13" x14ac:dyDescent="0.3">
      <c r="A31" s="26">
        <v>46024</v>
      </c>
      <c r="B31" t="s">
        <v>126</v>
      </c>
      <c r="C31" t="s">
        <v>132</v>
      </c>
      <c r="D31" s="27" t="s">
        <v>17</v>
      </c>
      <c r="E31" s="4" t="s">
        <v>48</v>
      </c>
      <c r="F31" s="4">
        <v>4700000</v>
      </c>
      <c r="G31" s="8" t="str">
        <f>+VLOOKUP(Tabla14[[#This Row],[FONDO]],MAESTRO!$D$2:$E$119,2,FALSE)</f>
        <v>Banco Macro S.A.</v>
      </c>
      <c r="H31" s="8" t="str">
        <f>+VLOOKUP(Tabla14[[#This Row],[FONDO]],MAESTRO!D:F,3,FALSE)</f>
        <v>(T+0)</v>
      </c>
      <c r="I31" s="4" t="s">
        <v>9</v>
      </c>
      <c r="L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" s="4">
        <f>ROUND(IF(Tabla14[[#This Row],[OPERACIÓN]]=MAESTRO!$B$2,Tabla14[CAPITAL],IF(Tabla14[[#This Row],[OPERACIÓN]]=MAESTRO!$B$5,Tabla14[CAPITAL],-Tabla14[[#This Row],[CAPITAL]])),2)</f>
        <v>-4700000</v>
      </c>
    </row>
    <row r="32" spans="1:13" x14ac:dyDescent="0.3">
      <c r="A32" s="26">
        <v>46024</v>
      </c>
      <c r="B32" t="s">
        <v>298</v>
      </c>
      <c r="C32" t="s">
        <v>132</v>
      </c>
      <c r="D32" s="27" t="s">
        <v>17</v>
      </c>
      <c r="E32" s="4" t="s">
        <v>40</v>
      </c>
      <c r="F32" s="4">
        <v>999400000</v>
      </c>
      <c r="G32" s="8" t="str">
        <f>+VLOOKUP(Tabla14[[#This Row],[FONDO]],MAESTRO!$D$2:$E$119,2,FALSE)</f>
        <v>BBVA Banco Frances SA</v>
      </c>
      <c r="H32" s="8" t="str">
        <f>+VLOOKUP(Tabla14[[#This Row],[FONDO]],MAESTRO!D:F,3,FALSE)</f>
        <v>(T+0)</v>
      </c>
      <c r="I32" s="4" t="s">
        <v>9</v>
      </c>
      <c r="L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" s="4">
        <f>ROUND(IF(Tabla14[[#This Row],[OPERACIÓN]]=MAESTRO!$B$2,Tabla14[CAPITAL],IF(Tabla14[[#This Row],[OPERACIÓN]]=MAESTRO!$B$5,Tabla14[CAPITAL],-Tabla14[[#This Row],[CAPITAL]])),2)</f>
        <v>-999400000</v>
      </c>
    </row>
    <row r="33" spans="1:13" x14ac:dyDescent="0.3">
      <c r="A33" s="26">
        <v>46024</v>
      </c>
      <c r="B33" t="s">
        <v>299</v>
      </c>
      <c r="C33" t="s">
        <v>132</v>
      </c>
      <c r="D33" s="27" t="s">
        <v>17</v>
      </c>
      <c r="E33" s="4" t="s">
        <v>48</v>
      </c>
      <c r="F33" s="4">
        <v>38600000</v>
      </c>
      <c r="G33" s="8" t="str">
        <f>+VLOOKUP(Tabla14[[#This Row],[FONDO]],MAESTRO!$D$2:$E$119,2,FALSE)</f>
        <v>Banco Macro S.A.</v>
      </c>
      <c r="H33" s="8" t="str">
        <f>+VLOOKUP(Tabla14[[#This Row],[FONDO]],MAESTRO!D:F,3,FALSE)</f>
        <v>(T+0)</v>
      </c>
      <c r="I33" s="4" t="s">
        <v>9</v>
      </c>
      <c r="L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" s="4">
        <f>ROUND(IF(Tabla14[[#This Row],[OPERACIÓN]]=MAESTRO!$B$2,Tabla14[CAPITAL],IF(Tabla14[[#This Row],[OPERACIÓN]]=MAESTRO!$B$5,Tabla14[CAPITAL],-Tabla14[[#This Row],[CAPITAL]])),2)</f>
        <v>-38600000</v>
      </c>
    </row>
    <row r="34" spans="1:13" s="20" customFormat="1" x14ac:dyDescent="0.3">
      <c r="A34" s="26">
        <v>46024</v>
      </c>
      <c r="B34" t="s">
        <v>299</v>
      </c>
      <c r="C34" t="s">
        <v>132</v>
      </c>
      <c r="D34" s="27" t="s">
        <v>17</v>
      </c>
      <c r="E34" s="4" t="s">
        <v>40</v>
      </c>
      <c r="F34" s="4">
        <v>498742491.27999997</v>
      </c>
      <c r="G34" s="8" t="str">
        <f>+VLOOKUP(Tabla14[[#This Row],[FONDO]],MAESTRO!$D$2:$E$119,2,FALSE)</f>
        <v>BBVA Banco Frances SA</v>
      </c>
      <c r="H34" s="8" t="str">
        <f>+VLOOKUP(Tabla14[[#This Row],[FONDO]],MAESTRO!D:F,3,FALSE)</f>
        <v>(T+0)</v>
      </c>
      <c r="I34" s="4" t="s">
        <v>9</v>
      </c>
      <c r="J34" s="23"/>
      <c r="K34"/>
      <c r="L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" s="4">
        <f>ROUND(IF(Tabla14[[#This Row],[OPERACIÓN]]=MAESTRO!$B$2,Tabla14[CAPITAL],IF(Tabla14[[#This Row],[OPERACIÓN]]=MAESTRO!$B$5,Tabla14[CAPITAL],-Tabla14[[#This Row],[CAPITAL]])),2)</f>
        <v>-498742491.27999997</v>
      </c>
    </row>
    <row r="35" spans="1:13" x14ac:dyDescent="0.3">
      <c r="A35" s="26">
        <v>46024</v>
      </c>
      <c r="B35" t="s">
        <v>299</v>
      </c>
      <c r="C35" t="s">
        <v>132</v>
      </c>
      <c r="D35" s="27" t="s">
        <v>17</v>
      </c>
      <c r="E35" s="4" t="s">
        <v>204</v>
      </c>
      <c r="F35" s="4">
        <v>67061942.869999997</v>
      </c>
      <c r="G35" s="8" t="str">
        <f>+VLOOKUP(Tabla14[[#This Row],[FONDO]],MAESTRO!$D$2:$E$119,2,FALSE)</f>
        <v>Latin Securities</v>
      </c>
      <c r="H35" s="8" t="str">
        <f>+VLOOKUP(Tabla14[[#This Row],[FONDO]],MAESTRO!D:F,3,FALSE)</f>
        <v>(T+0)</v>
      </c>
      <c r="I35" s="4" t="s">
        <v>9</v>
      </c>
      <c r="L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" s="4">
        <f>ROUND(IF(Tabla14[[#This Row],[OPERACIÓN]]=MAESTRO!$B$2,Tabla14[CAPITAL],IF(Tabla14[[#This Row],[OPERACIÓN]]=MAESTRO!$B$5,Tabla14[CAPITAL],-Tabla14[[#This Row],[CAPITAL]])),2)</f>
        <v>-67061942.869999997</v>
      </c>
    </row>
    <row r="36" spans="1:13" x14ac:dyDescent="0.3">
      <c r="A36" s="26">
        <v>46024</v>
      </c>
      <c r="B36" t="s">
        <v>298</v>
      </c>
      <c r="C36" t="s">
        <v>132</v>
      </c>
      <c r="D36" s="27" t="s">
        <v>17</v>
      </c>
      <c r="E36" s="4" t="s">
        <v>204</v>
      </c>
      <c r="F36" s="4">
        <v>89201072.5</v>
      </c>
      <c r="G36" s="8" t="str">
        <f>+VLOOKUP(Tabla14[[#This Row],[FONDO]],MAESTRO!$D$2:$E$119,2,FALSE)</f>
        <v>Latin Securities</v>
      </c>
      <c r="H36" s="8" t="str">
        <f>+VLOOKUP(Tabla14[[#This Row],[FONDO]],MAESTRO!D:F,3,FALSE)</f>
        <v>(T+0)</v>
      </c>
      <c r="I36" s="4" t="s">
        <v>9</v>
      </c>
      <c r="L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" s="4">
        <f>ROUND(IF(Tabla14[[#This Row],[OPERACIÓN]]=MAESTRO!$B$2,Tabla14[CAPITAL],IF(Tabla14[[#This Row],[OPERACIÓN]]=MAESTRO!$B$5,Tabla14[CAPITAL],-Tabla14[[#This Row],[CAPITAL]])),2)</f>
        <v>-89201072.5</v>
      </c>
    </row>
    <row r="37" spans="1:13" x14ac:dyDescent="0.3">
      <c r="A37" s="26">
        <v>46024</v>
      </c>
      <c r="B37" t="s">
        <v>298</v>
      </c>
      <c r="C37" t="s">
        <v>132</v>
      </c>
      <c r="D37" s="27" t="s">
        <v>17</v>
      </c>
      <c r="E37" s="4" t="s">
        <v>204</v>
      </c>
      <c r="F37" s="4">
        <v>79218317.5</v>
      </c>
      <c r="G37" s="8" t="str">
        <f>+VLOOKUP(Tabla14[[#This Row],[FONDO]],MAESTRO!$D$2:$E$119,2,FALSE)</f>
        <v>Latin Securities</v>
      </c>
      <c r="H37" s="8" t="str">
        <f>+VLOOKUP(Tabla14[[#This Row],[FONDO]],MAESTRO!D:F,3,FALSE)</f>
        <v>(T+0)</v>
      </c>
      <c r="I37" s="4" t="s">
        <v>9</v>
      </c>
      <c r="L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" s="4">
        <f>ROUND(IF(Tabla14[[#This Row],[OPERACIÓN]]=MAESTRO!$B$2,Tabla14[CAPITAL],IF(Tabla14[[#This Row],[OPERACIÓN]]=MAESTRO!$B$5,Tabla14[CAPITAL],-Tabla14[[#This Row],[CAPITAL]])),2)</f>
        <v>-79218317.5</v>
      </c>
    </row>
    <row r="38" spans="1:13" x14ac:dyDescent="0.3">
      <c r="A38" s="26">
        <v>46024</v>
      </c>
      <c r="B38" t="s">
        <v>298</v>
      </c>
      <c r="C38" t="s">
        <v>172</v>
      </c>
      <c r="D38" s="27" t="s">
        <v>16</v>
      </c>
      <c r="E38" s="4" t="s">
        <v>202</v>
      </c>
      <c r="F38" s="4">
        <v>1300000</v>
      </c>
      <c r="G38" s="8" t="str">
        <f>+VLOOKUP(Tabla14[[#This Row],[FONDO]],MAESTRO!$D$2:$E$119,2,FALSE)</f>
        <v>Gma Capital</v>
      </c>
      <c r="H38" s="8" t="str">
        <f>+VLOOKUP(Tabla14[[#This Row],[FONDO]],MAESTRO!D:F,3,FALSE)</f>
        <v>USD DL</v>
      </c>
      <c r="I38" s="4" t="s">
        <v>7</v>
      </c>
      <c r="J38" s="23">
        <v>46183</v>
      </c>
      <c r="K38">
        <v>5</v>
      </c>
      <c r="L38" t="s">
        <v>274</v>
      </c>
      <c r="M38" s="4">
        <f>ROUND(IF(Tabla14[[#This Row],[OPERACIÓN]]=MAESTRO!$B$2,Tabla14[CAPITAL],IF(Tabla14[[#This Row],[OPERACIÓN]]=MAESTRO!$B$5,Tabla14[CAPITAL],-Tabla14[[#This Row],[CAPITAL]])),2)</f>
        <v>1300000</v>
      </c>
    </row>
    <row r="39" spans="1:13" x14ac:dyDescent="0.3">
      <c r="A39" s="26">
        <v>46024</v>
      </c>
      <c r="B39" t="s">
        <v>292</v>
      </c>
      <c r="C39" t="s">
        <v>132</v>
      </c>
      <c r="D39" s="27" t="s">
        <v>16</v>
      </c>
      <c r="E39" s="4" t="s">
        <v>136</v>
      </c>
      <c r="F39" s="4">
        <v>1853941082</v>
      </c>
      <c r="G39" s="8" t="str">
        <f>+VLOOKUP(Tabla14[[#This Row],[FONDO]],MAESTRO!$D$2:$E$119,2,FALSE)</f>
        <v>Gma Capital</v>
      </c>
      <c r="H39" s="8" t="str">
        <f>+VLOOKUP(Tabla14[[#This Row],[FONDO]],MAESTRO!D:F,3,FALSE)</f>
        <v>(T+0)</v>
      </c>
      <c r="I39" s="4" t="s">
        <v>9</v>
      </c>
      <c r="L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" s="4">
        <f>ROUND(IF(Tabla14[[#This Row],[OPERACIÓN]]=MAESTRO!$B$2,Tabla14[CAPITAL],IF(Tabla14[[#This Row],[OPERACIÓN]]=MAESTRO!$B$5,Tabla14[CAPITAL],-Tabla14[[#This Row],[CAPITAL]])),2)</f>
        <v>1853941082</v>
      </c>
    </row>
    <row r="40" spans="1:13" x14ac:dyDescent="0.3">
      <c r="A40" s="37">
        <v>46024</v>
      </c>
      <c r="B40" s="20" t="s">
        <v>298</v>
      </c>
      <c r="C40" s="20" t="s">
        <v>132</v>
      </c>
      <c r="D40" s="38" t="s">
        <v>16</v>
      </c>
      <c r="E40" s="39" t="s">
        <v>136</v>
      </c>
      <c r="F40" s="39">
        <v>35348713.07</v>
      </c>
      <c r="G40" s="40" t="str">
        <f>+VLOOKUP(Tabla14[[#This Row],[FONDO]],MAESTRO!$D$2:$E$119,2,FALSE)</f>
        <v>Gma Capital</v>
      </c>
      <c r="H40" s="40" t="str">
        <f>+VLOOKUP(Tabla14[[#This Row],[FONDO]],MAESTRO!D:F,3,FALSE)</f>
        <v>(T+0)</v>
      </c>
      <c r="I40" s="39" t="s">
        <v>9</v>
      </c>
      <c r="J40" s="49"/>
      <c r="K40" s="20"/>
      <c r="L4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" s="39">
        <f>ROUND(IF(Tabla14[[#This Row],[OPERACIÓN]]=MAESTRO!$B$2,Tabla14[CAPITAL],IF(Tabla14[[#This Row],[OPERACIÓN]]=MAESTRO!$B$5,Tabla14[CAPITAL],-Tabla14[[#This Row],[CAPITAL]])),2)</f>
        <v>35348713.07</v>
      </c>
    </row>
    <row r="41" spans="1:13" x14ac:dyDescent="0.3">
      <c r="A41" s="26">
        <v>46027</v>
      </c>
      <c r="B41" t="s">
        <v>298</v>
      </c>
      <c r="C41" t="s">
        <v>132</v>
      </c>
      <c r="D41" s="27" t="s">
        <v>17</v>
      </c>
      <c r="E41" s="4" t="s">
        <v>40</v>
      </c>
      <c r="F41" s="4">
        <v>1000000000</v>
      </c>
      <c r="G41" s="8" t="str">
        <f>+VLOOKUP(Tabla14[[#This Row],[FONDO]],MAESTRO!$D$2:$E$119,2,FALSE)</f>
        <v>BBVA Banco Frances SA</v>
      </c>
      <c r="H41" s="8" t="str">
        <f>+VLOOKUP(Tabla14[[#This Row],[FONDO]],MAESTRO!D:F,3,FALSE)</f>
        <v>(T+0)</v>
      </c>
      <c r="I41" s="4" t="s">
        <v>9</v>
      </c>
      <c r="L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" s="4">
        <f>ROUND(IF(Tabla14[[#This Row],[OPERACIÓN]]=MAESTRO!$B$2,Tabla14[CAPITAL],IF(Tabla14[[#This Row],[OPERACIÓN]]=MAESTRO!$B$5,Tabla14[CAPITAL],-Tabla14[[#This Row],[CAPITAL]])),2)</f>
        <v>-1000000000</v>
      </c>
    </row>
    <row r="42" spans="1:13" x14ac:dyDescent="0.3">
      <c r="A42" s="26">
        <v>46027</v>
      </c>
      <c r="B42" t="s">
        <v>298</v>
      </c>
      <c r="C42" t="s">
        <v>132</v>
      </c>
      <c r="D42" s="27" t="s">
        <v>17</v>
      </c>
      <c r="E42" s="4" t="s">
        <v>40</v>
      </c>
      <c r="F42" s="4">
        <v>248200000</v>
      </c>
      <c r="G42" s="8" t="str">
        <f>+VLOOKUP(Tabla14[[#This Row],[FONDO]],MAESTRO!$D$2:$E$119,2,FALSE)</f>
        <v>BBVA Banco Frances SA</v>
      </c>
      <c r="H42" s="8" t="str">
        <f>+VLOOKUP(Tabla14[[#This Row],[FONDO]],MAESTRO!D:F,3,FALSE)</f>
        <v>(T+0)</v>
      </c>
      <c r="I42" s="4" t="s">
        <v>9</v>
      </c>
      <c r="L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" s="4">
        <f>ROUND(IF(Tabla14[[#This Row],[OPERACIÓN]]=MAESTRO!$B$2,Tabla14[CAPITAL],IF(Tabla14[[#This Row],[OPERACIÓN]]=MAESTRO!$B$5,Tabla14[CAPITAL],-Tabla14[[#This Row],[CAPITAL]])),2)</f>
        <v>-248200000</v>
      </c>
    </row>
    <row r="43" spans="1:13" x14ac:dyDescent="0.3">
      <c r="A43" s="26">
        <v>46027</v>
      </c>
      <c r="B43" t="s">
        <v>299</v>
      </c>
      <c r="C43" t="s">
        <v>132</v>
      </c>
      <c r="D43" s="27" t="s">
        <v>17</v>
      </c>
      <c r="E43" s="4" t="s">
        <v>48</v>
      </c>
      <c r="F43" s="4">
        <v>6500000</v>
      </c>
      <c r="G43" s="8" t="str">
        <f>+VLOOKUP(Tabla14[[#This Row],[FONDO]],MAESTRO!$D$2:$E$119,2,FALSE)</f>
        <v>Banco Macro S.A.</v>
      </c>
      <c r="H43" s="8" t="str">
        <f>+VLOOKUP(Tabla14[[#This Row],[FONDO]],MAESTRO!D:F,3,FALSE)</f>
        <v>(T+0)</v>
      </c>
      <c r="I43" s="4" t="s">
        <v>9</v>
      </c>
      <c r="L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" s="4">
        <f>ROUND(IF(Tabla14[[#This Row],[OPERACIÓN]]=MAESTRO!$B$2,Tabla14[CAPITAL],IF(Tabla14[[#This Row],[OPERACIÓN]]=MAESTRO!$B$5,Tabla14[CAPITAL],-Tabla14[[#This Row],[CAPITAL]])),2)</f>
        <v>-6500000</v>
      </c>
    </row>
    <row r="44" spans="1:13" x14ac:dyDescent="0.3">
      <c r="A44" s="26">
        <v>46027</v>
      </c>
      <c r="B44" t="s">
        <v>292</v>
      </c>
      <c r="C44" t="s">
        <v>132</v>
      </c>
      <c r="D44" s="27" t="s">
        <v>16</v>
      </c>
      <c r="E44" s="4" t="s">
        <v>48</v>
      </c>
      <c r="F44" s="4">
        <v>115100000</v>
      </c>
      <c r="G44" s="8" t="str">
        <f>+VLOOKUP(Tabla14[[#This Row],[FONDO]],MAESTRO!$D$2:$E$119,2,FALSE)</f>
        <v>Banco Macro S.A.</v>
      </c>
      <c r="H44" s="8" t="str">
        <f>+VLOOKUP(Tabla14[[#This Row],[FONDO]],MAESTRO!D:F,3,FALSE)</f>
        <v>(T+0)</v>
      </c>
      <c r="I44" s="4" t="s">
        <v>9</v>
      </c>
      <c r="L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" s="4">
        <f>ROUND(IF(Tabla14[[#This Row],[OPERACIÓN]]=MAESTRO!$B$2,Tabla14[CAPITAL],IF(Tabla14[[#This Row],[OPERACIÓN]]=MAESTRO!$B$5,Tabla14[CAPITAL],-Tabla14[[#This Row],[CAPITAL]])),2)</f>
        <v>115100000</v>
      </c>
    </row>
    <row r="45" spans="1:13" x14ac:dyDescent="0.3">
      <c r="A45" s="26">
        <v>46027</v>
      </c>
      <c r="B45" t="s">
        <v>299</v>
      </c>
      <c r="C45" t="s">
        <v>132</v>
      </c>
      <c r="D45" s="27" t="s">
        <v>17</v>
      </c>
      <c r="E45" s="4" t="s">
        <v>136</v>
      </c>
      <c r="F45" s="53">
        <v>1020000000</v>
      </c>
      <c r="G45" s="8" t="str">
        <f>+VLOOKUP(Tabla14[[#This Row],[FONDO]],MAESTRO!$D$2:$E$119,2,FALSE)</f>
        <v>Gma Capital</v>
      </c>
      <c r="H45" s="8" t="str">
        <f>+VLOOKUP(Tabla14[[#This Row],[FONDO]],MAESTRO!D:F,3,FALSE)</f>
        <v>(T+0)</v>
      </c>
      <c r="I45" s="4" t="s">
        <v>9</v>
      </c>
      <c r="L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" s="4">
        <f>ROUND(IF(Tabla14[[#This Row],[OPERACIÓN]]=MAESTRO!$B$2,Tabla14[CAPITAL],IF(Tabla14[[#This Row],[OPERACIÓN]]=MAESTRO!$B$5,Tabla14[CAPITAL],-Tabla14[[#This Row],[CAPITAL]])),2)</f>
        <v>-1020000000</v>
      </c>
    </row>
    <row r="46" spans="1:13" x14ac:dyDescent="0.3">
      <c r="A46" s="26">
        <v>46027</v>
      </c>
      <c r="B46" t="s">
        <v>298</v>
      </c>
      <c r="C46" t="s">
        <v>132</v>
      </c>
      <c r="D46" s="27" t="s">
        <v>16</v>
      </c>
      <c r="E46" s="4" t="s">
        <v>136</v>
      </c>
      <c r="F46" s="4">
        <v>1000000000</v>
      </c>
      <c r="G46" s="8" t="str">
        <f>+VLOOKUP(Tabla14[[#This Row],[FONDO]],MAESTRO!$D$2:$E$119,2,FALSE)</f>
        <v>Gma Capital</v>
      </c>
      <c r="H46" s="8" t="str">
        <f>+VLOOKUP(Tabla14[[#This Row],[FONDO]],MAESTRO!D:F,3,FALSE)</f>
        <v>(T+0)</v>
      </c>
      <c r="I46" s="4" t="s">
        <v>9</v>
      </c>
      <c r="L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" s="4">
        <f>ROUND(IF(Tabla14[[#This Row],[OPERACIÓN]]=MAESTRO!$B$2,Tabla14[CAPITAL],IF(Tabla14[[#This Row],[OPERACIÓN]]=MAESTRO!$B$5,Tabla14[CAPITAL],-Tabla14[[#This Row],[CAPITAL]])),2)</f>
        <v>1000000000</v>
      </c>
    </row>
    <row r="47" spans="1:13" x14ac:dyDescent="0.3">
      <c r="A47" s="26">
        <v>46028</v>
      </c>
      <c r="B47" t="s">
        <v>298</v>
      </c>
      <c r="C47" t="s">
        <v>132</v>
      </c>
      <c r="D47" s="27" t="s">
        <v>17</v>
      </c>
      <c r="E47" s="4" t="s">
        <v>40</v>
      </c>
      <c r="F47" s="4">
        <v>1000000000</v>
      </c>
      <c r="G47" s="56" t="str">
        <f>+VLOOKUP(Tabla14[[#This Row],[FONDO]],MAESTRO!$D$2:$E$119,2,FALSE)</f>
        <v>BBVA Banco Frances SA</v>
      </c>
      <c r="H47" s="8" t="str">
        <f>+VLOOKUP(Tabla14[[#This Row],[FONDO]],MAESTRO!D:F,3,FALSE)</f>
        <v>(T+0)</v>
      </c>
      <c r="I47" s="4" t="s">
        <v>9</v>
      </c>
      <c r="L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" s="4">
        <f>ROUND(IF(Tabla14[[#This Row],[OPERACIÓN]]=MAESTRO!$B$2,Tabla14[CAPITAL],IF(Tabla14[[#This Row],[OPERACIÓN]]=MAESTRO!$B$5,Tabla14[CAPITAL],-Tabla14[[#This Row],[CAPITAL]])),2)</f>
        <v>-1000000000</v>
      </c>
    </row>
    <row r="48" spans="1:13" x14ac:dyDescent="0.3">
      <c r="A48" s="26">
        <v>46028</v>
      </c>
      <c r="B48" t="s">
        <v>298</v>
      </c>
      <c r="C48" t="s">
        <v>132</v>
      </c>
      <c r="D48" s="27" t="s">
        <v>16</v>
      </c>
      <c r="E48" s="4" t="s">
        <v>136</v>
      </c>
      <c r="F48" s="4">
        <v>1000000000</v>
      </c>
      <c r="G48" s="56" t="str">
        <f>+VLOOKUP(Tabla14[[#This Row],[FONDO]],MAESTRO!$D$2:$E$119,2,FALSE)</f>
        <v>Gma Capital</v>
      </c>
      <c r="H48" s="8" t="str">
        <f>+VLOOKUP(Tabla14[[#This Row],[FONDO]],MAESTRO!D:F,3,FALSE)</f>
        <v>(T+0)</v>
      </c>
      <c r="I48" s="4" t="s">
        <v>9</v>
      </c>
      <c r="L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" s="4">
        <f>ROUND(IF(Tabla14[[#This Row],[OPERACIÓN]]=MAESTRO!$B$2,Tabla14[CAPITAL],IF(Tabla14[[#This Row],[OPERACIÓN]]=MAESTRO!$B$5,Tabla14[CAPITAL],-Tabla14[[#This Row],[CAPITAL]])),2)</f>
        <v>1000000000</v>
      </c>
    </row>
    <row r="49" spans="1:13" x14ac:dyDescent="0.3">
      <c r="A49" s="26">
        <v>46028</v>
      </c>
      <c r="B49" t="s">
        <v>298</v>
      </c>
      <c r="C49" t="s">
        <v>132</v>
      </c>
      <c r="D49" s="27" t="s">
        <v>17</v>
      </c>
      <c r="E49" s="4" t="s">
        <v>204</v>
      </c>
      <c r="F49" s="4">
        <v>127373018.62</v>
      </c>
      <c r="G49" s="8" t="str">
        <f>+VLOOKUP(Tabla14[[#This Row],[FONDO]],MAESTRO!$D$2:$E$119,2,FALSE)</f>
        <v>Latin Securities</v>
      </c>
      <c r="H49" s="8" t="str">
        <f>+VLOOKUP(Tabla14[[#This Row],[FONDO]],MAESTRO!D:F,3,FALSE)</f>
        <v>(T+0)</v>
      </c>
      <c r="I49" s="4" t="s">
        <v>9</v>
      </c>
      <c r="L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" s="4">
        <f>ROUND(IF(Tabla14[[#This Row],[OPERACIÓN]]=MAESTRO!$B$2,Tabla14[CAPITAL],IF(Tabla14[[#This Row],[OPERACIÓN]]=MAESTRO!$B$5,Tabla14[CAPITAL],-Tabla14[[#This Row],[CAPITAL]])),2)</f>
        <v>-127373018.62</v>
      </c>
    </row>
    <row r="50" spans="1:13" x14ac:dyDescent="0.3">
      <c r="A50" s="26">
        <v>46028</v>
      </c>
      <c r="B50" t="s">
        <v>298</v>
      </c>
      <c r="C50" t="s">
        <v>132</v>
      </c>
      <c r="D50" s="27" t="s">
        <v>17</v>
      </c>
      <c r="E50" s="4" t="s">
        <v>204</v>
      </c>
      <c r="F50" s="4">
        <v>164348663.56999999</v>
      </c>
      <c r="G50" s="8" t="str">
        <f>+VLOOKUP(Tabla14[[#This Row],[FONDO]],MAESTRO!$D$2:$E$119,2,FALSE)</f>
        <v>Latin Securities</v>
      </c>
      <c r="H50" s="8" t="str">
        <f>+VLOOKUP(Tabla14[[#This Row],[FONDO]],MAESTRO!D:F,3,FALSE)</f>
        <v>(T+0)</v>
      </c>
      <c r="I50" s="4" t="s">
        <v>9</v>
      </c>
      <c r="L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" s="4">
        <f>ROUND(IF(Tabla14[[#This Row],[OPERACIÓN]]=MAESTRO!$B$2,Tabla14[CAPITAL],IF(Tabla14[[#This Row],[OPERACIÓN]]=MAESTRO!$B$5,Tabla14[CAPITAL],-Tabla14[[#This Row],[CAPITAL]])),2)</f>
        <v>-164348663.56999999</v>
      </c>
    </row>
    <row r="51" spans="1:13" x14ac:dyDescent="0.3">
      <c r="A51" s="26">
        <v>46028</v>
      </c>
      <c r="B51" t="s">
        <v>298</v>
      </c>
      <c r="C51" t="s">
        <v>132</v>
      </c>
      <c r="D51" s="27" t="s">
        <v>17</v>
      </c>
      <c r="E51" s="4" t="s">
        <v>208</v>
      </c>
      <c r="F51" s="4">
        <v>184839974.12</v>
      </c>
      <c r="G51" s="8" t="str">
        <f>+VLOOKUP(Tabla14[[#This Row],[FONDO]],MAESTRO!$D$2:$E$119,2,FALSE)</f>
        <v>Facimex</v>
      </c>
      <c r="H51" s="8" t="str">
        <f>+VLOOKUP(Tabla14[[#This Row],[FONDO]],MAESTRO!D:F,3,FALSE)</f>
        <v>(T+0)</v>
      </c>
      <c r="I51" s="4" t="s">
        <v>9</v>
      </c>
      <c r="L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" s="4">
        <f>ROUND(IF(Tabla14[[#This Row],[OPERACIÓN]]=MAESTRO!$B$2,Tabla14[CAPITAL],IF(Tabla14[[#This Row],[OPERACIÓN]]=MAESTRO!$B$5,Tabla14[CAPITAL],-Tabla14[[#This Row],[CAPITAL]])),2)</f>
        <v>-184839974.12</v>
      </c>
    </row>
    <row r="52" spans="1:13" x14ac:dyDescent="0.3">
      <c r="A52" s="26">
        <v>46028</v>
      </c>
      <c r="B52" t="s">
        <v>298</v>
      </c>
      <c r="C52" t="s">
        <v>132</v>
      </c>
      <c r="D52" s="27" t="s">
        <v>17</v>
      </c>
      <c r="E52" s="4" t="s">
        <v>208</v>
      </c>
      <c r="F52" s="4">
        <v>161178895.16</v>
      </c>
      <c r="G52" s="8" t="str">
        <f>+VLOOKUP(Tabla14[[#This Row],[FONDO]],MAESTRO!$D$2:$E$119,2,FALSE)</f>
        <v>Facimex</v>
      </c>
      <c r="H52" s="8" t="str">
        <f>+VLOOKUP(Tabla14[[#This Row],[FONDO]],MAESTRO!D:F,3,FALSE)</f>
        <v>(T+0)</v>
      </c>
      <c r="I52" s="4" t="s">
        <v>9</v>
      </c>
      <c r="L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" s="4">
        <f>ROUND(IF(Tabla14[[#This Row],[OPERACIÓN]]=MAESTRO!$B$2,Tabla14[CAPITAL],IF(Tabla14[[#This Row],[OPERACIÓN]]=MAESTRO!$B$5,Tabla14[CAPITAL],-Tabla14[[#This Row],[CAPITAL]])),2)</f>
        <v>-161178895.16</v>
      </c>
    </row>
    <row r="53" spans="1:13" x14ac:dyDescent="0.3">
      <c r="A53" s="26">
        <v>46028</v>
      </c>
      <c r="B53" t="s">
        <v>298</v>
      </c>
      <c r="C53" t="s">
        <v>132</v>
      </c>
      <c r="D53" s="27" t="s">
        <v>17</v>
      </c>
      <c r="E53" s="4" t="s">
        <v>169</v>
      </c>
      <c r="F53" s="4">
        <v>83540319.450000003</v>
      </c>
      <c r="G53" s="8" t="str">
        <f>+VLOOKUP(Tabla14[[#This Row],[FONDO]],MAESTRO!$D$2:$E$119,2,FALSE)</f>
        <v>Max Capital</v>
      </c>
      <c r="H53" s="8" t="str">
        <f>+VLOOKUP(Tabla14[[#This Row],[FONDO]],MAESTRO!D:F,3,FALSE)</f>
        <v>(T+0)</v>
      </c>
      <c r="I53" s="4" t="s">
        <v>9</v>
      </c>
      <c r="L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" s="4">
        <f>ROUND(IF(Tabla14[[#This Row],[OPERACIÓN]]=MAESTRO!$B$2,Tabla14[CAPITAL],IF(Tabla14[[#This Row],[OPERACIÓN]]=MAESTRO!$B$5,Tabla14[CAPITAL],-Tabla14[[#This Row],[CAPITAL]])),2)</f>
        <v>-83540319.450000003</v>
      </c>
    </row>
    <row r="54" spans="1:13" x14ac:dyDescent="0.3">
      <c r="A54" s="26">
        <v>46028</v>
      </c>
      <c r="B54" t="s">
        <v>298</v>
      </c>
      <c r="C54" t="s">
        <v>132</v>
      </c>
      <c r="D54" s="27" t="s">
        <v>17</v>
      </c>
      <c r="E54" s="4" t="s">
        <v>40</v>
      </c>
      <c r="F54" s="4">
        <v>124100000</v>
      </c>
      <c r="G54" s="8" t="str">
        <f>+VLOOKUP(Tabla14[[#This Row],[FONDO]],MAESTRO!$D$2:$E$119,2,FALSE)</f>
        <v>BBVA Banco Frances SA</v>
      </c>
      <c r="H54" s="8" t="str">
        <f>+VLOOKUP(Tabla14[[#This Row],[FONDO]],MAESTRO!D:F,3,FALSE)</f>
        <v>(T+0)</v>
      </c>
      <c r="I54" s="4" t="s">
        <v>9</v>
      </c>
      <c r="L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" s="4">
        <f>ROUND(IF(Tabla14[[#This Row],[OPERACIÓN]]=MAESTRO!$B$2,Tabla14[CAPITAL],IF(Tabla14[[#This Row],[OPERACIÓN]]=MAESTRO!$B$5,Tabla14[CAPITAL],-Tabla14[[#This Row],[CAPITAL]])),2)</f>
        <v>-124100000</v>
      </c>
    </row>
    <row r="55" spans="1:13" x14ac:dyDescent="0.3">
      <c r="A55" s="26">
        <v>46028</v>
      </c>
      <c r="B55" t="s">
        <v>299</v>
      </c>
      <c r="C55" t="s">
        <v>132</v>
      </c>
      <c r="D55" s="27" t="s">
        <v>16</v>
      </c>
      <c r="E55" s="4" t="s">
        <v>48</v>
      </c>
      <c r="F55" s="4">
        <v>8300000</v>
      </c>
      <c r="G55" s="8" t="str">
        <f>+VLOOKUP(Tabla14[[#This Row],[FONDO]],MAESTRO!$D$2:$E$119,2,FALSE)</f>
        <v>Banco Macro S.A.</v>
      </c>
      <c r="H55" s="8" t="str">
        <f>+VLOOKUP(Tabla14[[#This Row],[FONDO]],MAESTRO!D:F,3,FALSE)</f>
        <v>(T+0)</v>
      </c>
      <c r="I55" s="4" t="s">
        <v>9</v>
      </c>
      <c r="L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" s="4">
        <f>ROUND(IF(Tabla14[[#This Row],[OPERACIÓN]]=MAESTRO!$B$2,Tabla14[CAPITAL],IF(Tabla14[[#This Row],[OPERACIÓN]]=MAESTRO!$B$5,Tabla14[CAPITAL],-Tabla14[[#This Row],[CAPITAL]])),2)</f>
        <v>8300000</v>
      </c>
    </row>
    <row r="56" spans="1:13" x14ac:dyDescent="0.3">
      <c r="A56" s="26">
        <v>46028</v>
      </c>
      <c r="B56" t="s">
        <v>292</v>
      </c>
      <c r="C56" t="s">
        <v>132</v>
      </c>
      <c r="D56" s="27" t="s">
        <v>16</v>
      </c>
      <c r="E56" s="4" t="s">
        <v>48</v>
      </c>
      <c r="F56" s="4">
        <v>1629000000</v>
      </c>
      <c r="G56" s="8" t="str">
        <f>+VLOOKUP(Tabla14[[#This Row],[FONDO]],MAESTRO!$D$2:$E$119,2,FALSE)</f>
        <v>Banco Macro S.A.</v>
      </c>
      <c r="H56" s="8" t="str">
        <f>+VLOOKUP(Tabla14[[#This Row],[FONDO]],MAESTRO!D:F,3,FALSE)</f>
        <v>(T+0)</v>
      </c>
      <c r="I56" s="4" t="s">
        <v>9</v>
      </c>
      <c r="L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" s="4">
        <f>ROUND(IF(Tabla14[[#This Row],[OPERACIÓN]]=MAESTRO!$B$2,Tabla14[CAPITAL],IF(Tabla14[[#This Row],[OPERACIÓN]]=MAESTRO!$B$5,Tabla14[CAPITAL],-Tabla14[[#This Row],[CAPITAL]])),2)</f>
        <v>1629000000</v>
      </c>
    </row>
    <row r="57" spans="1:13" x14ac:dyDescent="0.3">
      <c r="A57" s="26">
        <v>46028</v>
      </c>
      <c r="B57" t="s">
        <v>126</v>
      </c>
      <c r="C57" t="s">
        <v>132</v>
      </c>
      <c r="D57" s="27" t="s">
        <v>17</v>
      </c>
      <c r="E57" s="4" t="s">
        <v>48</v>
      </c>
      <c r="F57" s="4">
        <v>11300000</v>
      </c>
      <c r="G57" s="8" t="str">
        <f>+VLOOKUP(Tabla14[[#This Row],[FONDO]],MAESTRO!$D$2:$E$119,2,FALSE)</f>
        <v>Banco Macro S.A.</v>
      </c>
      <c r="H57" s="8" t="str">
        <f>+VLOOKUP(Tabla14[[#This Row],[FONDO]],MAESTRO!D:F,3,FALSE)</f>
        <v>(T+0)</v>
      </c>
      <c r="I57" s="4" t="s">
        <v>9</v>
      </c>
      <c r="L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" s="4">
        <f>ROUND(IF(Tabla14[[#This Row],[OPERACIÓN]]=MAESTRO!$B$2,Tabla14[CAPITAL],IF(Tabla14[[#This Row],[OPERACIÓN]]=MAESTRO!$B$5,Tabla14[CAPITAL],-Tabla14[[#This Row],[CAPITAL]])),2)</f>
        <v>-11300000</v>
      </c>
    </row>
    <row r="58" spans="1:13" x14ac:dyDescent="0.3">
      <c r="A58" s="26">
        <v>46028</v>
      </c>
      <c r="B58" t="s">
        <v>292</v>
      </c>
      <c r="C58" t="s">
        <v>132</v>
      </c>
      <c r="D58" s="27" t="s">
        <v>17</v>
      </c>
      <c r="E58" s="4" t="s">
        <v>136</v>
      </c>
      <c r="F58" s="4">
        <v>1854189498.0599999</v>
      </c>
      <c r="G58" s="8" t="str">
        <f>+VLOOKUP(Tabla14[[#This Row],[FONDO]],MAESTRO!$D$2:$E$119,2,FALSE)</f>
        <v>Gma Capital</v>
      </c>
      <c r="H58" s="8" t="str">
        <f>+VLOOKUP(Tabla14[[#This Row],[FONDO]],MAESTRO!D:F,3,FALSE)</f>
        <v>(T+0)</v>
      </c>
      <c r="I58" s="4" t="s">
        <v>9</v>
      </c>
      <c r="L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" s="4">
        <f>ROUND(IF(Tabla14[[#This Row],[OPERACIÓN]]=MAESTRO!$B$2,Tabla14[CAPITAL],IF(Tabla14[[#This Row],[OPERACIÓN]]=MAESTRO!$B$5,Tabla14[CAPITAL],-Tabla14[[#This Row],[CAPITAL]])),2)</f>
        <v>-1854189498.0599999</v>
      </c>
    </row>
    <row r="59" spans="1:13" x14ac:dyDescent="0.3">
      <c r="A59" s="26">
        <v>46028</v>
      </c>
      <c r="B59" t="s">
        <v>292</v>
      </c>
      <c r="C59" t="s">
        <v>132</v>
      </c>
      <c r="D59" s="27" t="s">
        <v>16</v>
      </c>
      <c r="E59" s="4" t="s">
        <v>136</v>
      </c>
      <c r="F59" s="4">
        <v>987541739.46000004</v>
      </c>
      <c r="G59" s="8" t="str">
        <f>+VLOOKUP(Tabla14[[#This Row],[FONDO]],MAESTRO!$D$2:$E$119,2,FALSE)</f>
        <v>Gma Capital</v>
      </c>
      <c r="H59" s="8" t="str">
        <f>+VLOOKUP(Tabla14[[#This Row],[FONDO]],MAESTRO!D:F,3,FALSE)</f>
        <v>(T+0)</v>
      </c>
      <c r="I59" s="4" t="s">
        <v>9</v>
      </c>
      <c r="L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" s="4">
        <f>ROUND(IF(Tabla14[[#This Row],[OPERACIÓN]]=MAESTRO!$B$2,Tabla14[CAPITAL],IF(Tabla14[[#This Row],[OPERACIÓN]]=MAESTRO!$B$5,Tabla14[CAPITAL],-Tabla14[[#This Row],[CAPITAL]])),2)</f>
        <v>987541739.46000004</v>
      </c>
    </row>
    <row r="60" spans="1:13" x14ac:dyDescent="0.3">
      <c r="A60" s="26">
        <v>46028</v>
      </c>
      <c r="B60" t="s">
        <v>298</v>
      </c>
      <c r="C60" t="s">
        <v>172</v>
      </c>
      <c r="D60" s="27" t="s">
        <v>16</v>
      </c>
      <c r="E60" s="4" t="s">
        <v>202</v>
      </c>
      <c r="F60" s="4">
        <v>700000</v>
      </c>
      <c r="G60" s="8" t="str">
        <f>+VLOOKUP(Tabla14[[#This Row],[FONDO]],MAESTRO!$D$2:$E$119,2,FALSE)</f>
        <v>Gma Capital</v>
      </c>
      <c r="H60" s="8" t="str">
        <f>+VLOOKUP(Tabla14[[#This Row],[FONDO]],MAESTRO!D:F,3,FALSE)</f>
        <v>USD DL</v>
      </c>
      <c r="I60" s="4" t="s">
        <v>7</v>
      </c>
      <c r="J60" s="23">
        <v>46330</v>
      </c>
      <c r="K60">
        <v>5</v>
      </c>
      <c r="L60" t="s">
        <v>287</v>
      </c>
      <c r="M60" s="4">
        <f>ROUND(IF(Tabla14[[#This Row],[OPERACIÓN]]=MAESTRO!$B$2,Tabla14[CAPITAL],IF(Tabla14[[#This Row],[OPERACIÓN]]=MAESTRO!$B$5,Tabla14[CAPITAL],-Tabla14[[#This Row],[CAPITAL]])),2)</f>
        <v>700000</v>
      </c>
    </row>
    <row r="61" spans="1:13" x14ac:dyDescent="0.3">
      <c r="A61" s="26">
        <v>46028</v>
      </c>
      <c r="B61" t="s">
        <v>298</v>
      </c>
      <c r="C61" t="s">
        <v>172</v>
      </c>
      <c r="D61" s="27" t="s">
        <v>16</v>
      </c>
      <c r="E61" s="4" t="s">
        <v>201</v>
      </c>
      <c r="F61" s="4">
        <v>600000</v>
      </c>
      <c r="G61" s="8" t="str">
        <f>+VLOOKUP(Tabla14[[#This Row],[FONDO]],MAESTRO!$D$2:$E$119,2,FALSE)</f>
        <v>Gma Capital</v>
      </c>
      <c r="H61" s="8" t="str">
        <f>+VLOOKUP(Tabla14[[#This Row],[FONDO]],MAESTRO!D:F,3,FALSE)</f>
        <v>USD DL</v>
      </c>
      <c r="I61" s="4" t="s">
        <v>7</v>
      </c>
      <c r="J61" s="23" t="s">
        <v>271</v>
      </c>
      <c r="K61">
        <v>5</v>
      </c>
      <c r="L61" t="s">
        <v>275</v>
      </c>
      <c r="M61" s="4">
        <f>ROUND(IF(Tabla14[[#This Row],[OPERACIÓN]]=MAESTRO!$B$2,Tabla14[CAPITAL],IF(Tabla14[[#This Row],[OPERACIÓN]]=MAESTRO!$B$5,Tabla14[CAPITAL],-Tabla14[[#This Row],[CAPITAL]])),2)</f>
        <v>600000</v>
      </c>
    </row>
    <row r="62" spans="1:13" x14ac:dyDescent="0.3">
      <c r="A62" s="26">
        <v>46029</v>
      </c>
      <c r="B62" t="s">
        <v>299</v>
      </c>
      <c r="C62" t="s">
        <v>132</v>
      </c>
      <c r="D62" s="27" t="s">
        <v>17</v>
      </c>
      <c r="E62" s="4" t="s">
        <v>48</v>
      </c>
      <c r="F62" s="4">
        <v>127100000</v>
      </c>
      <c r="G62" s="8" t="str">
        <f>+VLOOKUP(Tabla14[[#This Row],[FONDO]],MAESTRO!$D$2:$E$119,2,FALSE)</f>
        <v>Banco Macro S.A.</v>
      </c>
      <c r="H62" s="8" t="str">
        <f>+VLOOKUP(Tabla14[[#This Row],[FONDO]],MAESTRO!D:F,3,FALSE)</f>
        <v>(T+0)</v>
      </c>
      <c r="I62" s="4" t="s">
        <v>9</v>
      </c>
      <c r="L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" s="4">
        <f>ROUND(IF(Tabla14[[#This Row],[OPERACIÓN]]=MAESTRO!$B$2,Tabla14[CAPITAL],IF(Tabla14[[#This Row],[OPERACIÓN]]=MAESTRO!$B$5,Tabla14[CAPITAL],-Tabla14[[#This Row],[CAPITAL]])),2)</f>
        <v>-127100000</v>
      </c>
    </row>
    <row r="63" spans="1:13" x14ac:dyDescent="0.3">
      <c r="A63" s="26">
        <v>46029</v>
      </c>
      <c r="B63" t="s">
        <v>292</v>
      </c>
      <c r="C63" t="s">
        <v>132</v>
      </c>
      <c r="D63" s="27" t="s">
        <v>16</v>
      </c>
      <c r="E63" s="4" t="s">
        <v>48</v>
      </c>
      <c r="F63" s="4">
        <v>214500000</v>
      </c>
      <c r="G63" s="8" t="str">
        <f>+VLOOKUP(Tabla14[[#This Row],[FONDO]],MAESTRO!$D$2:$E$119,2,FALSE)</f>
        <v>Banco Macro S.A.</v>
      </c>
      <c r="H63" s="8" t="str">
        <f>+VLOOKUP(Tabla14[[#This Row],[FONDO]],MAESTRO!D:F,3,FALSE)</f>
        <v>(T+0)</v>
      </c>
      <c r="I63" s="4" t="s">
        <v>9</v>
      </c>
      <c r="L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" s="4">
        <f>ROUND(IF(Tabla14[[#This Row],[OPERACIÓN]]=MAESTRO!$B$2,Tabla14[CAPITAL],IF(Tabla14[[#This Row],[OPERACIÓN]]=MAESTRO!$B$5,Tabla14[CAPITAL],-Tabla14[[#This Row],[CAPITAL]])),2)</f>
        <v>214500000</v>
      </c>
    </row>
    <row r="64" spans="1:13" x14ac:dyDescent="0.3">
      <c r="A64" s="26">
        <v>46029</v>
      </c>
      <c r="B64" t="s">
        <v>298</v>
      </c>
      <c r="C64" t="s">
        <v>132</v>
      </c>
      <c r="D64" s="27" t="s">
        <v>17</v>
      </c>
      <c r="E64" s="4" t="s">
        <v>40</v>
      </c>
      <c r="F64" s="4">
        <v>346700000</v>
      </c>
      <c r="G64" s="8" t="str">
        <f>+VLOOKUP(Tabla14[[#This Row],[FONDO]],MAESTRO!$D$2:$E$119,2,FALSE)</f>
        <v>BBVA Banco Frances SA</v>
      </c>
      <c r="H64" s="8" t="str">
        <f>+VLOOKUP(Tabla14[[#This Row],[FONDO]],MAESTRO!D:F,3,FALSE)</f>
        <v>(T+0)</v>
      </c>
      <c r="I64" s="4" t="s">
        <v>9</v>
      </c>
      <c r="L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" s="4">
        <f>ROUND(IF(Tabla14[[#This Row],[OPERACIÓN]]=MAESTRO!$B$2,Tabla14[CAPITAL],IF(Tabla14[[#This Row],[OPERACIÓN]]=MAESTRO!$B$5,Tabla14[CAPITAL],-Tabla14[[#This Row],[CAPITAL]])),2)</f>
        <v>-346700000</v>
      </c>
    </row>
    <row r="65" spans="1:13" x14ac:dyDescent="0.3">
      <c r="A65" s="26">
        <v>46029</v>
      </c>
      <c r="B65" t="s">
        <v>292</v>
      </c>
      <c r="C65" t="s">
        <v>132</v>
      </c>
      <c r="D65" s="27" t="s">
        <v>17</v>
      </c>
      <c r="E65" s="4" t="s">
        <v>136</v>
      </c>
      <c r="F65" s="4">
        <v>300000000</v>
      </c>
      <c r="G65" s="8" t="str">
        <f>+VLOOKUP(Tabla14[[#This Row],[FONDO]],MAESTRO!$D$2:$E$119,2,FALSE)</f>
        <v>Gma Capital</v>
      </c>
      <c r="H65" s="8" t="str">
        <f>+VLOOKUP(Tabla14[[#This Row],[FONDO]],MAESTRO!D:F,3,FALSE)</f>
        <v>(T+0)</v>
      </c>
      <c r="I65" s="4" t="s">
        <v>9</v>
      </c>
      <c r="L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" s="4">
        <f>ROUND(IF(Tabla14[[#This Row],[OPERACIÓN]]=MAESTRO!$B$2,Tabla14[CAPITAL],IF(Tabla14[[#This Row],[OPERACIÓN]]=MAESTRO!$B$5,Tabla14[CAPITAL],-Tabla14[[#This Row],[CAPITAL]])),2)</f>
        <v>-300000000</v>
      </c>
    </row>
    <row r="66" spans="1:13" x14ac:dyDescent="0.3">
      <c r="A66" s="26">
        <v>46029</v>
      </c>
      <c r="B66" t="s">
        <v>299</v>
      </c>
      <c r="C66" t="s">
        <v>132</v>
      </c>
      <c r="D66" s="27" t="s">
        <v>16</v>
      </c>
      <c r="E66" s="4" t="s">
        <v>136</v>
      </c>
      <c r="F66" s="4">
        <v>862287908.55999994</v>
      </c>
      <c r="G66" s="8" t="str">
        <f>+VLOOKUP(Tabla14[[#This Row],[FONDO]],MAESTRO!$D$2:$E$119,2,FALSE)</f>
        <v>Gma Capital</v>
      </c>
      <c r="H66" s="8" t="str">
        <f>+VLOOKUP(Tabla14[[#This Row],[FONDO]],MAESTRO!D:F,3,FALSE)</f>
        <v>(T+0)</v>
      </c>
      <c r="I66" s="4" t="s">
        <v>9</v>
      </c>
      <c r="L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" s="4">
        <f>ROUND(IF(Tabla14[[#This Row],[OPERACIÓN]]=MAESTRO!$B$2,Tabla14[CAPITAL],IF(Tabla14[[#This Row],[OPERACIÓN]]=MAESTRO!$B$5,Tabla14[CAPITAL],-Tabla14[[#This Row],[CAPITAL]])),2)</f>
        <v>862287908.55999994</v>
      </c>
    </row>
    <row r="67" spans="1:13" x14ac:dyDescent="0.3">
      <c r="A67" s="26">
        <v>46029</v>
      </c>
      <c r="B67" t="s">
        <v>298</v>
      </c>
      <c r="C67" t="s">
        <v>132</v>
      </c>
      <c r="D67" s="27" t="s">
        <v>17</v>
      </c>
      <c r="E67" s="4" t="s">
        <v>136</v>
      </c>
      <c r="F67" s="4">
        <v>1853397369.52</v>
      </c>
      <c r="G67" s="8" t="str">
        <f>+VLOOKUP(Tabla14[[#This Row],[FONDO]],MAESTRO!$D$2:$E$119,2,FALSE)</f>
        <v>Gma Capital</v>
      </c>
      <c r="H67" s="8" t="str">
        <f>+VLOOKUP(Tabla14[[#This Row],[FONDO]],MAESTRO!D:F,3,FALSE)</f>
        <v>(T+0)</v>
      </c>
      <c r="I67" s="4" t="s">
        <v>9</v>
      </c>
      <c r="L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" s="4">
        <f>ROUND(IF(Tabla14[[#This Row],[OPERACIÓN]]=MAESTRO!$B$2,Tabla14[CAPITAL],IF(Tabla14[[#This Row],[OPERACIÓN]]=MAESTRO!$B$5,Tabla14[CAPITAL],-Tabla14[[#This Row],[CAPITAL]])),2)</f>
        <v>-1853397369.52</v>
      </c>
    </row>
    <row r="68" spans="1:13" x14ac:dyDescent="0.3">
      <c r="A68" s="26">
        <v>46030</v>
      </c>
      <c r="B68" t="s">
        <v>298</v>
      </c>
      <c r="C68" t="s">
        <v>132</v>
      </c>
      <c r="D68" s="27" t="s">
        <v>17</v>
      </c>
      <c r="E68" s="4" t="s">
        <v>40</v>
      </c>
      <c r="F68" s="4">
        <v>181800000</v>
      </c>
      <c r="G68" s="57" t="str">
        <f>+VLOOKUP(Tabla14[[#This Row],[FONDO]],MAESTRO!$D$2:$E$119,2,FALSE)</f>
        <v>BBVA Banco Frances SA</v>
      </c>
      <c r="H68" s="8" t="str">
        <f>+VLOOKUP(Tabla14[[#This Row],[FONDO]],MAESTRO!D:F,3,FALSE)</f>
        <v>(T+0)</v>
      </c>
      <c r="I68" s="4" t="s">
        <v>9</v>
      </c>
      <c r="L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" s="4">
        <f>ROUND(IF(Tabla14[[#This Row],[OPERACIÓN]]=MAESTRO!$B$2,Tabla14[CAPITAL],IF(Tabla14[[#This Row],[OPERACIÓN]]=MAESTRO!$B$5,Tabla14[CAPITAL],-Tabla14[[#This Row],[CAPITAL]])),2)</f>
        <v>-181800000</v>
      </c>
    </row>
    <row r="69" spans="1:13" x14ac:dyDescent="0.3">
      <c r="A69" s="26">
        <v>46030</v>
      </c>
      <c r="B69" t="s">
        <v>299</v>
      </c>
      <c r="C69" t="s">
        <v>132</v>
      </c>
      <c r="D69" s="27" t="s">
        <v>16</v>
      </c>
      <c r="E69" s="4" t="s">
        <v>48</v>
      </c>
      <c r="F69" s="4">
        <v>7300000</v>
      </c>
      <c r="G69" s="57" t="str">
        <f>+VLOOKUP(Tabla14[[#This Row],[FONDO]],MAESTRO!$D$2:$E$119,2,FALSE)</f>
        <v>Banco Macro S.A.</v>
      </c>
      <c r="H69" s="8" t="str">
        <f>+VLOOKUP(Tabla14[[#This Row],[FONDO]],MAESTRO!D:F,3,FALSE)</f>
        <v>(T+0)</v>
      </c>
      <c r="I69" s="4" t="s">
        <v>9</v>
      </c>
      <c r="L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" s="4">
        <f>ROUND(IF(Tabla14[[#This Row],[OPERACIÓN]]=MAESTRO!$B$2,Tabla14[CAPITAL],IF(Tabla14[[#This Row],[OPERACIÓN]]=MAESTRO!$B$5,Tabla14[CAPITAL],-Tabla14[[#This Row],[CAPITAL]])),2)</f>
        <v>7300000</v>
      </c>
    </row>
    <row r="70" spans="1:13" x14ac:dyDescent="0.3">
      <c r="A70" s="26">
        <v>46030</v>
      </c>
      <c r="B70" t="s">
        <v>292</v>
      </c>
      <c r="C70" t="s">
        <v>132</v>
      </c>
      <c r="D70" s="27" t="s">
        <v>16</v>
      </c>
      <c r="E70" s="4" t="s">
        <v>48</v>
      </c>
      <c r="F70" s="4">
        <v>46800000</v>
      </c>
      <c r="G70" s="57" t="str">
        <f>+VLOOKUP(Tabla14[[#This Row],[FONDO]],MAESTRO!$D$2:$E$119,2,FALSE)</f>
        <v>Banco Macro S.A.</v>
      </c>
      <c r="H70" s="8" t="str">
        <f>+VLOOKUP(Tabla14[[#This Row],[FONDO]],MAESTRO!D:F,3,FALSE)</f>
        <v>(T+0)</v>
      </c>
      <c r="I70" s="4" t="s">
        <v>9</v>
      </c>
      <c r="L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" s="4">
        <f>ROUND(IF(Tabla14[[#This Row],[OPERACIÓN]]=MAESTRO!$B$2,Tabla14[CAPITAL],IF(Tabla14[[#This Row],[OPERACIÓN]]=MAESTRO!$B$5,Tabla14[CAPITAL],-Tabla14[[#This Row],[CAPITAL]])),2)</f>
        <v>46800000</v>
      </c>
    </row>
    <row r="71" spans="1:13" x14ac:dyDescent="0.3">
      <c r="A71" s="26">
        <v>46030</v>
      </c>
      <c r="B71" t="s">
        <v>292</v>
      </c>
      <c r="C71" t="s">
        <v>132</v>
      </c>
      <c r="D71" s="27" t="s">
        <v>17</v>
      </c>
      <c r="E71" s="4" t="s">
        <v>48</v>
      </c>
      <c r="F71" s="4">
        <v>1660000000</v>
      </c>
      <c r="G71" s="57" t="str">
        <f>+VLOOKUP(Tabla14[[#This Row],[FONDO]],MAESTRO!$D$2:$E$119,2,FALSE)</f>
        <v>Banco Macro S.A.</v>
      </c>
      <c r="H71" s="8" t="str">
        <f>+VLOOKUP(Tabla14[[#This Row],[FONDO]],MAESTRO!D:F,3,FALSE)</f>
        <v>(T+0)</v>
      </c>
      <c r="I71" s="4" t="s">
        <v>9</v>
      </c>
      <c r="L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" s="4">
        <f>ROUND(IF(Tabla14[[#This Row],[OPERACIÓN]]=MAESTRO!$B$2,Tabla14[CAPITAL],IF(Tabla14[[#This Row],[OPERACIÓN]]=MAESTRO!$B$5,Tabla14[CAPITAL],-Tabla14[[#This Row],[CAPITAL]])),2)</f>
        <v>-1660000000</v>
      </c>
    </row>
    <row r="72" spans="1:13" x14ac:dyDescent="0.3">
      <c r="A72" s="26">
        <v>46030</v>
      </c>
      <c r="B72" t="s">
        <v>292</v>
      </c>
      <c r="C72" t="s">
        <v>132</v>
      </c>
      <c r="D72" s="27" t="s">
        <v>16</v>
      </c>
      <c r="E72" s="4" t="s">
        <v>136</v>
      </c>
      <c r="F72" s="4">
        <v>1323681118</v>
      </c>
      <c r="G72" s="57" t="str">
        <f>+VLOOKUP(Tabla14[[#This Row],[FONDO]],MAESTRO!$D$2:$E$119,2,FALSE)</f>
        <v>Gma Capital</v>
      </c>
      <c r="H72" s="8" t="str">
        <f>+VLOOKUP(Tabla14[[#This Row],[FONDO]],MAESTRO!D:F,3,FALSE)</f>
        <v>(T+0)</v>
      </c>
      <c r="I72" s="4" t="s">
        <v>9</v>
      </c>
      <c r="L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" s="4">
        <f>ROUND(IF(Tabla14[[#This Row],[OPERACIÓN]]=MAESTRO!$B$2,Tabla14[CAPITAL],IF(Tabla14[[#This Row],[OPERACIÓN]]=MAESTRO!$B$5,Tabla14[CAPITAL],-Tabla14[[#This Row],[CAPITAL]])),2)</f>
        <v>1323681118</v>
      </c>
    </row>
    <row r="73" spans="1:13" x14ac:dyDescent="0.3">
      <c r="A73" s="26">
        <v>46030</v>
      </c>
      <c r="B73" t="s">
        <v>298</v>
      </c>
      <c r="C73" t="s">
        <v>172</v>
      </c>
      <c r="D73" s="27" t="s">
        <v>16</v>
      </c>
      <c r="E73" s="4" t="s">
        <v>202</v>
      </c>
      <c r="F73" s="4">
        <v>900000</v>
      </c>
      <c r="G73" s="57" t="str">
        <f>+VLOOKUP(Tabla14[[#This Row],[FONDO]],MAESTRO!$D$2:$E$119,2,FALSE)</f>
        <v>Gma Capital</v>
      </c>
      <c r="H73" s="8" t="str">
        <f>+VLOOKUP(Tabla14[[#This Row],[FONDO]],MAESTRO!D:F,3,FALSE)</f>
        <v>USD DL</v>
      </c>
      <c r="I73" s="4" t="s">
        <v>7</v>
      </c>
      <c r="J73" s="23" t="s">
        <v>272</v>
      </c>
      <c r="K73" s="19">
        <v>0.05</v>
      </c>
      <c r="L73" t="s">
        <v>276</v>
      </c>
      <c r="M73" s="4">
        <f>ROUND(IF(Tabla14[[#This Row],[OPERACIÓN]]=MAESTRO!$B$2,Tabla14[CAPITAL],IF(Tabla14[[#This Row],[OPERACIÓN]]=MAESTRO!$B$5,Tabla14[CAPITAL],-Tabla14[[#This Row],[CAPITAL]])),2)</f>
        <v>900000</v>
      </c>
    </row>
    <row r="74" spans="1:13" x14ac:dyDescent="0.3">
      <c r="A74" s="26">
        <v>46030</v>
      </c>
      <c r="B74" t="s">
        <v>298</v>
      </c>
      <c r="C74" t="s">
        <v>132</v>
      </c>
      <c r="D74" s="27" t="s">
        <v>17</v>
      </c>
      <c r="E74" s="4" t="s">
        <v>136</v>
      </c>
      <c r="F74" s="4">
        <v>1323681118</v>
      </c>
      <c r="G74" s="57" t="str">
        <f>+VLOOKUP(Tabla14[[#This Row],[FONDO]],MAESTRO!$D$2:$E$119,2,FALSE)</f>
        <v>Gma Capital</v>
      </c>
      <c r="H74" s="8" t="str">
        <f>+VLOOKUP(Tabla14[[#This Row],[FONDO]],MAESTRO!D:F,3,FALSE)</f>
        <v>(T+0)</v>
      </c>
      <c r="I74" s="4" t="s">
        <v>9</v>
      </c>
      <c r="L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4" s="4">
        <f>ROUND(IF(Tabla14[[#This Row],[OPERACIÓN]]=MAESTRO!$B$2,Tabla14[CAPITAL],IF(Tabla14[[#This Row],[OPERACIÓN]]=MAESTRO!$B$5,Tabla14[CAPITAL],-Tabla14[[#This Row],[CAPITAL]])),2)</f>
        <v>-1323681118</v>
      </c>
    </row>
    <row r="75" spans="1:13" x14ac:dyDescent="0.3">
      <c r="A75" s="26">
        <v>46030</v>
      </c>
      <c r="B75" t="s">
        <v>292</v>
      </c>
      <c r="C75" t="s">
        <v>132</v>
      </c>
      <c r="D75" s="27" t="s">
        <v>17</v>
      </c>
      <c r="E75" s="4" t="s">
        <v>136</v>
      </c>
      <c r="F75" s="4">
        <v>61173854</v>
      </c>
      <c r="G75" s="8" t="str">
        <f>+VLOOKUP(Tabla14[[#This Row],[FONDO]],MAESTRO!$D$2:$E$119,2,FALSE)</f>
        <v>Gma Capital</v>
      </c>
      <c r="H75" s="8" t="str">
        <f>+VLOOKUP(Tabla14[[#This Row],[FONDO]],MAESTRO!D:F,3,FALSE)</f>
        <v>(T+0)</v>
      </c>
      <c r="I75" s="4" t="s">
        <v>9</v>
      </c>
      <c r="L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" s="4">
        <f>ROUND(IF(Tabla14[[#This Row],[OPERACIÓN]]=MAESTRO!$B$2,Tabla14[CAPITAL],IF(Tabla14[[#This Row],[OPERACIÓN]]=MAESTRO!$B$5,Tabla14[CAPITAL],-Tabla14[[#This Row],[CAPITAL]])),2)</f>
        <v>-61173854</v>
      </c>
    </row>
    <row r="76" spans="1:13" x14ac:dyDescent="0.3">
      <c r="A76" s="26">
        <v>46030</v>
      </c>
      <c r="B76" t="s">
        <v>298</v>
      </c>
      <c r="C76" t="s">
        <v>132</v>
      </c>
      <c r="D76" s="27" t="s">
        <v>17</v>
      </c>
      <c r="E76" s="4" t="s">
        <v>169</v>
      </c>
      <c r="F76" s="4">
        <v>137412617.91999999</v>
      </c>
      <c r="G76" s="8" t="str">
        <f>+VLOOKUP(Tabla14[[#This Row],[FONDO]],MAESTRO!$D$2:$E$119,2,FALSE)</f>
        <v>Max Capital</v>
      </c>
      <c r="H76" s="8" t="str">
        <f>+VLOOKUP(Tabla14[[#This Row],[FONDO]],MAESTRO!D:F,3,FALSE)</f>
        <v>(T+0)</v>
      </c>
      <c r="I76" s="4" t="s">
        <v>9</v>
      </c>
      <c r="L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" s="4">
        <f>ROUND(IF(Tabla14[[#This Row],[OPERACIÓN]]=MAESTRO!$B$2,Tabla14[CAPITAL],IF(Tabla14[[#This Row],[OPERACIÓN]]=MAESTRO!$B$5,Tabla14[CAPITAL],-Tabla14[[#This Row],[CAPITAL]])),2)</f>
        <v>-137412617.91999999</v>
      </c>
    </row>
    <row r="77" spans="1:13" x14ac:dyDescent="0.3">
      <c r="A77" s="26">
        <v>46030</v>
      </c>
      <c r="B77" t="s">
        <v>299</v>
      </c>
      <c r="C77" t="s">
        <v>132</v>
      </c>
      <c r="D77" s="27" t="s">
        <v>17</v>
      </c>
      <c r="E77" s="4" t="s">
        <v>169</v>
      </c>
      <c r="F77" s="4">
        <v>75732240.549999997</v>
      </c>
      <c r="G77" s="8" t="str">
        <f>+VLOOKUP(Tabla14[[#This Row],[FONDO]],MAESTRO!$D$2:$E$119,2,FALSE)</f>
        <v>Max Capital</v>
      </c>
      <c r="H77" s="8" t="str">
        <f>+VLOOKUP(Tabla14[[#This Row],[FONDO]],MAESTRO!D:F,3,FALSE)</f>
        <v>(T+0)</v>
      </c>
      <c r="I77" s="4" t="s">
        <v>9</v>
      </c>
      <c r="L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" s="4">
        <f>ROUND(IF(Tabla14[[#This Row],[OPERACIÓN]]=MAESTRO!$B$2,Tabla14[CAPITAL],IF(Tabla14[[#This Row],[OPERACIÓN]]=MAESTRO!$B$5,Tabla14[CAPITAL],-Tabla14[[#This Row],[CAPITAL]])),2)</f>
        <v>-75732240.549999997</v>
      </c>
    </row>
    <row r="78" spans="1:13" x14ac:dyDescent="0.3">
      <c r="A78" s="26">
        <v>46030</v>
      </c>
      <c r="B78" t="s">
        <v>299</v>
      </c>
      <c r="C78" t="s">
        <v>132</v>
      </c>
      <c r="D78" s="27" t="s">
        <v>17</v>
      </c>
      <c r="E78" s="4" t="s">
        <v>169</v>
      </c>
      <c r="F78" s="4">
        <v>83415452.920000002</v>
      </c>
      <c r="G78" s="8" t="str">
        <f>+VLOOKUP(Tabla14[[#This Row],[FONDO]],MAESTRO!$D$2:$E$119,2,FALSE)</f>
        <v>Max Capital</v>
      </c>
      <c r="H78" s="8" t="str">
        <f>+VLOOKUP(Tabla14[[#This Row],[FONDO]],MAESTRO!D:F,3,FALSE)</f>
        <v>(T+0)</v>
      </c>
      <c r="I78" s="4" t="s">
        <v>9</v>
      </c>
      <c r="L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" s="4">
        <f>ROUND(IF(Tabla14[[#This Row],[OPERACIÓN]]=MAESTRO!$B$2,Tabla14[CAPITAL],IF(Tabla14[[#This Row],[OPERACIÓN]]=MAESTRO!$B$5,Tabla14[CAPITAL],-Tabla14[[#This Row],[CAPITAL]])),2)</f>
        <v>-83415452.920000002</v>
      </c>
    </row>
    <row r="79" spans="1:13" x14ac:dyDescent="0.3">
      <c r="A79" s="26">
        <v>46031</v>
      </c>
      <c r="B79" t="s">
        <v>292</v>
      </c>
      <c r="C79" t="s">
        <v>132</v>
      </c>
      <c r="D79" s="27" t="s">
        <v>17</v>
      </c>
      <c r="E79" s="4" t="s">
        <v>48</v>
      </c>
      <c r="F79" s="4">
        <v>183500000</v>
      </c>
      <c r="G79" s="8" t="str">
        <f>+VLOOKUP(Tabla14[[#This Row],[FONDO]],MAESTRO!$D$2:$E$119,2,FALSE)</f>
        <v>Banco Macro S.A.</v>
      </c>
      <c r="H79" s="8" t="str">
        <f>+VLOOKUP(Tabla14[[#This Row],[FONDO]],MAESTRO!D:F,3,FALSE)</f>
        <v>(T+0)</v>
      </c>
      <c r="I79" s="4" t="s">
        <v>9</v>
      </c>
      <c r="L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" s="4">
        <f>ROUND(IF(Tabla14[[#This Row],[OPERACIÓN]]=MAESTRO!$B$2,Tabla14[CAPITAL],IF(Tabla14[[#This Row],[OPERACIÓN]]=MAESTRO!$B$5,Tabla14[CAPITAL],-Tabla14[[#This Row],[CAPITAL]])),2)</f>
        <v>-183500000</v>
      </c>
    </row>
    <row r="80" spans="1:13" x14ac:dyDescent="0.3">
      <c r="A80" s="26">
        <v>46031</v>
      </c>
      <c r="B80" t="s">
        <v>299</v>
      </c>
      <c r="C80" t="s">
        <v>132</v>
      </c>
      <c r="D80" s="27" t="s">
        <v>17</v>
      </c>
      <c r="E80" s="4" t="s">
        <v>48</v>
      </c>
      <c r="F80" s="4">
        <v>32200000</v>
      </c>
      <c r="G80" s="8" t="str">
        <f>+VLOOKUP(Tabla14[[#This Row],[FONDO]],MAESTRO!$D$2:$E$119,2,FALSE)</f>
        <v>Banco Macro S.A.</v>
      </c>
      <c r="H80" s="8" t="str">
        <f>+VLOOKUP(Tabla14[[#This Row],[FONDO]],MAESTRO!D:F,3,FALSE)</f>
        <v>(T+0)</v>
      </c>
      <c r="I80" s="4" t="s">
        <v>9</v>
      </c>
      <c r="L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" s="4">
        <f>ROUND(IF(Tabla14[[#This Row],[OPERACIÓN]]=MAESTRO!$B$2,Tabla14[CAPITAL],IF(Tabla14[[#This Row],[OPERACIÓN]]=MAESTRO!$B$5,Tabla14[CAPITAL],-Tabla14[[#This Row],[CAPITAL]])),2)</f>
        <v>-32200000</v>
      </c>
    </row>
    <row r="81" spans="1:13" x14ac:dyDescent="0.3">
      <c r="A81" s="26">
        <v>46031</v>
      </c>
      <c r="B81" t="s">
        <v>298</v>
      </c>
      <c r="C81" t="s">
        <v>132</v>
      </c>
      <c r="D81" s="27" t="s">
        <v>17</v>
      </c>
      <c r="E81" s="4" t="s">
        <v>40</v>
      </c>
      <c r="F81" s="4">
        <v>1488600000</v>
      </c>
      <c r="G81" s="8" t="str">
        <f>+VLOOKUP(Tabla14[[#This Row],[FONDO]],MAESTRO!$D$2:$E$119,2,FALSE)</f>
        <v>BBVA Banco Frances SA</v>
      </c>
      <c r="H81" s="8" t="str">
        <f>+VLOOKUP(Tabla14[[#This Row],[FONDO]],MAESTRO!D:F,3,FALSE)</f>
        <v>(T+0)</v>
      </c>
      <c r="I81" s="4" t="s">
        <v>9</v>
      </c>
      <c r="L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" s="4">
        <f>ROUND(IF(Tabla14[[#This Row],[OPERACIÓN]]=MAESTRO!$B$2,Tabla14[CAPITAL],IF(Tabla14[[#This Row],[OPERACIÓN]]=MAESTRO!$B$5,Tabla14[CAPITAL],-Tabla14[[#This Row],[CAPITAL]])),2)</f>
        <v>-1488600000</v>
      </c>
    </row>
    <row r="82" spans="1:13" x14ac:dyDescent="0.3">
      <c r="A82" s="26">
        <v>46031</v>
      </c>
      <c r="B82" t="s">
        <v>298</v>
      </c>
      <c r="C82" t="s">
        <v>132</v>
      </c>
      <c r="D82" s="27" t="s">
        <v>16</v>
      </c>
      <c r="E82" s="4" t="s">
        <v>180</v>
      </c>
      <c r="F82" s="4">
        <v>500000000</v>
      </c>
      <c r="G82" s="8" t="str">
        <f>+VLOOKUP(Tabla14[[#This Row],[FONDO]],MAESTRO!$D$2:$E$119,2,FALSE)</f>
        <v>PP Inversiones</v>
      </c>
      <c r="H82" s="8" t="str">
        <f>+VLOOKUP(Tabla14[[#This Row],[FONDO]],MAESTRO!D:F,3,FALSE)</f>
        <v>(T+0)</v>
      </c>
      <c r="I82" s="4" t="s">
        <v>9</v>
      </c>
      <c r="L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" s="4">
        <f>ROUND(IF(Tabla14[[#This Row],[OPERACIÓN]]=MAESTRO!$B$2,Tabla14[CAPITAL],IF(Tabla14[[#This Row],[OPERACIÓN]]=MAESTRO!$B$5,Tabla14[CAPITAL],-Tabla14[[#This Row],[CAPITAL]])),2)</f>
        <v>500000000</v>
      </c>
    </row>
    <row r="83" spans="1:13" x14ac:dyDescent="0.3">
      <c r="A83" s="26">
        <v>46031</v>
      </c>
      <c r="B83" t="s">
        <v>292</v>
      </c>
      <c r="C83" t="s">
        <v>132</v>
      </c>
      <c r="D83" s="27" t="s">
        <v>17</v>
      </c>
      <c r="E83" s="4" t="s">
        <v>136</v>
      </c>
      <c r="F83" s="4">
        <v>500000000</v>
      </c>
      <c r="G83" s="8" t="str">
        <f>+VLOOKUP(Tabla14[[#This Row],[FONDO]],MAESTRO!$D$2:$E$119,2,FALSE)</f>
        <v>Gma Capital</v>
      </c>
      <c r="H83" s="8" t="str">
        <f>+VLOOKUP(Tabla14[[#This Row],[FONDO]],MAESTRO!D:F,3,FALSE)</f>
        <v>(T+0)</v>
      </c>
      <c r="I83" s="4" t="s">
        <v>9</v>
      </c>
      <c r="L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" s="4">
        <f>ROUND(IF(Tabla14[[#This Row],[OPERACIÓN]]=MAESTRO!$B$2,Tabla14[CAPITAL],IF(Tabla14[[#This Row],[OPERACIÓN]]=MAESTRO!$B$5,Tabla14[CAPITAL],-Tabla14[[#This Row],[CAPITAL]])),2)</f>
        <v>-500000000</v>
      </c>
    </row>
    <row r="84" spans="1:13" x14ac:dyDescent="0.3">
      <c r="A84" s="26">
        <v>46031</v>
      </c>
      <c r="B84" t="s">
        <v>299</v>
      </c>
      <c r="C84" t="s">
        <v>132</v>
      </c>
      <c r="D84" s="27" t="s">
        <v>17</v>
      </c>
      <c r="E84" s="4" t="s">
        <v>136</v>
      </c>
      <c r="F84" s="4">
        <v>100000000</v>
      </c>
      <c r="G84" s="8" t="str">
        <f>+VLOOKUP(Tabla14[[#This Row],[FONDO]],MAESTRO!$D$2:$E$119,2,FALSE)</f>
        <v>Gma Capital</v>
      </c>
      <c r="H84" s="8" t="str">
        <f>+VLOOKUP(Tabla14[[#This Row],[FONDO]],MAESTRO!D:F,3,FALSE)</f>
        <v>(T+0)</v>
      </c>
      <c r="I84" s="4" t="s">
        <v>9</v>
      </c>
      <c r="L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" s="4">
        <f>ROUND(IF(Tabla14[[#This Row],[OPERACIÓN]]=MAESTRO!$B$2,Tabla14[CAPITAL],IF(Tabla14[[#This Row],[OPERACIÓN]]=MAESTRO!$B$5,Tabla14[CAPITAL],-Tabla14[[#This Row],[CAPITAL]])),2)</f>
        <v>-100000000</v>
      </c>
    </row>
    <row r="85" spans="1:13" x14ac:dyDescent="0.3">
      <c r="A85" s="26">
        <v>46031</v>
      </c>
      <c r="B85" t="s">
        <v>299</v>
      </c>
      <c r="C85" t="s">
        <v>132</v>
      </c>
      <c r="D85" s="27" t="s">
        <v>17</v>
      </c>
      <c r="E85" s="4" t="s">
        <v>169</v>
      </c>
      <c r="F85" s="4">
        <v>300000000</v>
      </c>
      <c r="G85" s="8" t="str">
        <f>+VLOOKUP(Tabla14[[#This Row],[FONDO]],MAESTRO!$D$2:$E$119,2,FALSE)</f>
        <v>Max Capital</v>
      </c>
      <c r="H85" s="8" t="str">
        <f>+VLOOKUP(Tabla14[[#This Row],[FONDO]],MAESTRO!D:F,3,FALSE)</f>
        <v>(T+0)</v>
      </c>
      <c r="I85" s="4" t="s">
        <v>9</v>
      </c>
      <c r="L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" s="4">
        <f>ROUND(IF(Tabla14[[#This Row],[OPERACIÓN]]=MAESTRO!$B$2,Tabla14[CAPITAL],IF(Tabla14[[#This Row],[OPERACIÓN]]=MAESTRO!$B$5,Tabla14[CAPITAL],-Tabla14[[#This Row],[CAPITAL]])),2)</f>
        <v>-300000000</v>
      </c>
    </row>
    <row r="86" spans="1:13" x14ac:dyDescent="0.3">
      <c r="A86" s="26">
        <v>46031</v>
      </c>
      <c r="B86" t="s">
        <v>299</v>
      </c>
      <c r="C86" t="s">
        <v>132</v>
      </c>
      <c r="D86" s="27" t="s">
        <v>17</v>
      </c>
      <c r="E86" s="4" t="s">
        <v>169</v>
      </c>
      <c r="F86" s="4">
        <v>37769603.630000003</v>
      </c>
      <c r="G86" s="8" t="str">
        <f>+VLOOKUP(Tabla14[[#This Row],[FONDO]],MAESTRO!$D$2:$E$119,2,FALSE)</f>
        <v>Max Capital</v>
      </c>
      <c r="H86" s="8" t="str">
        <f>+VLOOKUP(Tabla14[[#This Row],[FONDO]],MAESTRO!D:F,3,FALSE)</f>
        <v>(T+0)</v>
      </c>
      <c r="I86" s="4" t="s">
        <v>9</v>
      </c>
      <c r="L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" s="4">
        <f>ROUND(IF(Tabla14[[#This Row],[OPERACIÓN]]=MAESTRO!$B$2,Tabla14[CAPITAL],IF(Tabla14[[#This Row],[OPERACIÓN]]=MAESTRO!$B$5,Tabla14[CAPITAL],-Tabla14[[#This Row],[CAPITAL]])),2)</f>
        <v>-37769603.630000003</v>
      </c>
    </row>
    <row r="87" spans="1:13" x14ac:dyDescent="0.3">
      <c r="A87" s="26">
        <v>46031</v>
      </c>
      <c r="B87" t="s">
        <v>299</v>
      </c>
      <c r="C87" t="s">
        <v>132</v>
      </c>
      <c r="D87" s="27" t="s">
        <v>17</v>
      </c>
      <c r="E87" s="4" t="s">
        <v>136</v>
      </c>
      <c r="F87" s="4">
        <v>56200759.789999999</v>
      </c>
      <c r="G87" s="8" t="str">
        <f>+VLOOKUP(Tabla14[[#This Row],[FONDO]],MAESTRO!$D$2:$E$119,2,FALSE)</f>
        <v>Gma Capital</v>
      </c>
      <c r="H87" s="8" t="str">
        <f>+VLOOKUP(Tabla14[[#This Row],[FONDO]],MAESTRO!D:F,3,FALSE)</f>
        <v>(T+0)</v>
      </c>
      <c r="I87" s="4" t="s">
        <v>9</v>
      </c>
      <c r="L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" s="4">
        <f>ROUND(IF(Tabla14[[#This Row],[OPERACIÓN]]=MAESTRO!$B$2,Tabla14[CAPITAL],IF(Tabla14[[#This Row],[OPERACIÓN]]=MAESTRO!$B$5,Tabla14[CAPITAL],-Tabla14[[#This Row],[CAPITAL]])),2)</f>
        <v>-56200759.789999999</v>
      </c>
    </row>
    <row r="88" spans="1:13" x14ac:dyDescent="0.3">
      <c r="A88" s="26">
        <v>46031</v>
      </c>
      <c r="B88" t="s">
        <v>299</v>
      </c>
      <c r="C88" t="s">
        <v>132</v>
      </c>
      <c r="D88" s="27" t="s">
        <v>17</v>
      </c>
      <c r="E88" s="4" t="s">
        <v>136</v>
      </c>
      <c r="F88" s="4">
        <v>485703782.20999998</v>
      </c>
      <c r="G88" s="8" t="str">
        <f>+VLOOKUP(Tabla14[[#This Row],[FONDO]],MAESTRO!$D$2:$E$119,2,FALSE)</f>
        <v>Gma Capital</v>
      </c>
      <c r="H88" s="8" t="str">
        <f>+VLOOKUP(Tabla14[[#This Row],[FONDO]],MAESTRO!D:F,3,FALSE)</f>
        <v>(T+0)</v>
      </c>
      <c r="I88" s="4" t="s">
        <v>9</v>
      </c>
      <c r="L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" s="4">
        <f>ROUND(IF(Tabla14[[#This Row],[OPERACIÓN]]=MAESTRO!$B$2,Tabla14[CAPITAL],IF(Tabla14[[#This Row],[OPERACIÓN]]=MAESTRO!$B$5,Tabla14[CAPITAL],-Tabla14[[#This Row],[CAPITAL]])),2)</f>
        <v>-485703782.20999998</v>
      </c>
    </row>
    <row r="89" spans="1:13" x14ac:dyDescent="0.3">
      <c r="A89" s="37">
        <v>46031</v>
      </c>
      <c r="B89" s="20" t="s">
        <v>299</v>
      </c>
      <c r="C89" s="20" t="s">
        <v>132</v>
      </c>
      <c r="D89" s="38" t="s">
        <v>16</v>
      </c>
      <c r="E89" s="39" t="s">
        <v>212</v>
      </c>
      <c r="F89" s="39">
        <v>30000000</v>
      </c>
      <c r="G89" s="40" t="str">
        <f>+VLOOKUP(Tabla14[[#This Row],[FONDO]],MAESTRO!$D$2:$E$119,2,FALSE)</f>
        <v>INTAGRO</v>
      </c>
      <c r="H89" s="40" t="str">
        <f>+VLOOKUP(Tabla14[[#This Row],[FONDO]],MAESTRO!D:F,3,FALSE)</f>
        <v>(T+0)</v>
      </c>
      <c r="I89" s="39" t="s">
        <v>9</v>
      </c>
      <c r="J89" s="49"/>
      <c r="K89" s="20"/>
      <c r="L8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" s="39">
        <f>ROUND(IF(Tabla14[[#This Row],[OPERACIÓN]]=MAESTRO!$B$2,Tabla14[CAPITAL],IF(Tabla14[[#This Row],[OPERACIÓN]]=MAESTRO!$B$5,Tabla14[CAPITAL],-Tabla14[[#This Row],[CAPITAL]])),2)</f>
        <v>30000000</v>
      </c>
    </row>
    <row r="90" spans="1:13" x14ac:dyDescent="0.3">
      <c r="A90" s="37">
        <v>46034</v>
      </c>
      <c r="B90" s="20" t="s">
        <v>299</v>
      </c>
      <c r="C90" s="20" t="s">
        <v>132</v>
      </c>
      <c r="D90" s="38" t="s">
        <v>16</v>
      </c>
      <c r="E90" s="39" t="s">
        <v>136</v>
      </c>
      <c r="F90" s="39">
        <v>7652694</v>
      </c>
      <c r="G90" s="40" t="str">
        <f>+VLOOKUP(Tabla14[[#This Row],[FONDO]],MAESTRO!$D$2:$E$119,2,FALSE)</f>
        <v>Gma Capital</v>
      </c>
      <c r="H90" s="40" t="str">
        <f>+VLOOKUP(Tabla14[[#This Row],[FONDO]],MAESTRO!D:F,3,FALSE)</f>
        <v>(T+0)</v>
      </c>
      <c r="I90" s="39" t="s">
        <v>9</v>
      </c>
      <c r="J90" s="49"/>
      <c r="K90" s="20"/>
      <c r="L9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" s="39">
        <f>ROUND(IF(Tabla14[[#This Row],[OPERACIÓN]]=MAESTRO!$B$2,Tabla14[CAPITAL],IF(Tabla14[[#This Row],[OPERACIÓN]]=MAESTRO!$B$5,Tabla14[CAPITAL],-Tabla14[[#This Row],[CAPITAL]])),2)</f>
        <v>7652694</v>
      </c>
    </row>
    <row r="91" spans="1:13" x14ac:dyDescent="0.3">
      <c r="A91" s="37">
        <v>46034</v>
      </c>
      <c r="B91" s="20" t="s">
        <v>299</v>
      </c>
      <c r="C91" s="20" t="s">
        <v>132</v>
      </c>
      <c r="D91" s="38" t="s">
        <v>16</v>
      </c>
      <c r="E91" s="39" t="s">
        <v>169</v>
      </c>
      <c r="F91" s="39">
        <v>5327548.7</v>
      </c>
      <c r="G91" s="40" t="str">
        <f>+VLOOKUP(Tabla14[[#This Row],[FONDO]],MAESTRO!$D$2:$E$119,2,FALSE)</f>
        <v>Max Capital</v>
      </c>
      <c r="H91" s="40" t="str">
        <f>+VLOOKUP(Tabla14[[#This Row],[FONDO]],MAESTRO!D:F,3,FALSE)</f>
        <v>(T+0)</v>
      </c>
      <c r="I91" s="39" t="s">
        <v>9</v>
      </c>
      <c r="J91" s="49"/>
      <c r="K91" s="20"/>
      <c r="L9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" s="39">
        <f>ROUND(IF(Tabla14[[#This Row],[OPERACIÓN]]=MAESTRO!$B$2,Tabla14[CAPITAL],IF(Tabla14[[#This Row],[OPERACIÓN]]=MAESTRO!$B$5,Tabla14[CAPITAL],-Tabla14[[#This Row],[CAPITAL]])),2)</f>
        <v>5327548.7</v>
      </c>
    </row>
    <row r="92" spans="1:13" x14ac:dyDescent="0.3">
      <c r="A92" s="37">
        <v>46034</v>
      </c>
      <c r="B92" s="20" t="s">
        <v>299</v>
      </c>
      <c r="C92" s="20" t="s">
        <v>132</v>
      </c>
      <c r="D92" s="38" t="s">
        <v>16</v>
      </c>
      <c r="E92" s="39" t="s">
        <v>212</v>
      </c>
      <c r="F92" s="39">
        <v>9404989</v>
      </c>
      <c r="G92" s="40" t="str">
        <f>+VLOOKUP(Tabla14[[#This Row],[FONDO]],MAESTRO!$D$2:$E$119,2,FALSE)</f>
        <v>INTAGRO</v>
      </c>
      <c r="H92" s="40" t="str">
        <f>+VLOOKUP(Tabla14[[#This Row],[FONDO]],MAESTRO!D:F,3,FALSE)</f>
        <v>(T+0)</v>
      </c>
      <c r="I92" s="39" t="s">
        <v>9</v>
      </c>
      <c r="J92" s="49"/>
      <c r="K92" s="20"/>
      <c r="L9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" s="39">
        <f>ROUND(IF(Tabla14[[#This Row],[OPERACIÓN]]=MAESTRO!$B$2,Tabla14[CAPITAL],IF(Tabla14[[#This Row],[OPERACIÓN]]=MAESTRO!$B$5,Tabla14[CAPITAL],-Tabla14[[#This Row],[CAPITAL]])),2)</f>
        <v>9404989</v>
      </c>
    </row>
    <row r="93" spans="1:13" x14ac:dyDescent="0.3">
      <c r="A93" s="37">
        <v>46034</v>
      </c>
      <c r="B93" s="20" t="s">
        <v>292</v>
      </c>
      <c r="C93" s="20" t="s">
        <v>132</v>
      </c>
      <c r="D93" s="38" t="s">
        <v>17</v>
      </c>
      <c r="E93" s="39" t="s">
        <v>136</v>
      </c>
      <c r="F93" s="52">
        <v>57782885.020000003</v>
      </c>
      <c r="G93" s="40" t="str">
        <f>+VLOOKUP(Tabla14[[#This Row],[FONDO]],MAESTRO!$D$2:$E$119,2,FALSE)</f>
        <v>Gma Capital</v>
      </c>
      <c r="H93" s="40" t="str">
        <f>+VLOOKUP(Tabla14[[#This Row],[FONDO]],MAESTRO!D:F,3,FALSE)</f>
        <v>(T+0)</v>
      </c>
      <c r="I93" s="39" t="s">
        <v>9</v>
      </c>
      <c r="J93" s="49"/>
      <c r="K93" s="20"/>
      <c r="L9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" s="39">
        <f>ROUND(IF(Tabla14[[#This Row],[OPERACIÓN]]=MAESTRO!$B$2,Tabla14[CAPITAL],IF(Tabla14[[#This Row],[OPERACIÓN]]=MAESTRO!$B$5,Tabla14[CAPITAL],-Tabla14[[#This Row],[CAPITAL]])),2)</f>
        <v>-57782885.020000003</v>
      </c>
    </row>
    <row r="94" spans="1:13" x14ac:dyDescent="0.3">
      <c r="A94" s="37">
        <v>46034</v>
      </c>
      <c r="B94" s="20" t="s">
        <v>298</v>
      </c>
      <c r="C94" s="20" t="s">
        <v>132</v>
      </c>
      <c r="D94" s="38" t="s">
        <v>16</v>
      </c>
      <c r="E94" s="39" t="s">
        <v>136</v>
      </c>
      <c r="F94" s="39">
        <v>60779267.520000003</v>
      </c>
      <c r="G94" s="40" t="str">
        <f>+VLOOKUP(Tabla14[[#This Row],[FONDO]],MAESTRO!$D$2:$E$119,2,FALSE)</f>
        <v>Gma Capital</v>
      </c>
      <c r="H94" s="40" t="str">
        <f>+VLOOKUP(Tabla14[[#This Row],[FONDO]],MAESTRO!D:F,3,FALSE)</f>
        <v>(T+0)</v>
      </c>
      <c r="I94" s="39" t="s">
        <v>9</v>
      </c>
      <c r="J94" s="49"/>
      <c r="K94" s="20"/>
      <c r="L9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" s="39">
        <f>ROUND(IF(Tabla14[[#This Row],[OPERACIÓN]]=MAESTRO!$B$2,Tabla14[CAPITAL],IF(Tabla14[[#This Row],[OPERACIÓN]]=MAESTRO!$B$5,Tabla14[CAPITAL],-Tabla14[[#This Row],[CAPITAL]])),2)</f>
        <v>60779267.520000003</v>
      </c>
    </row>
    <row r="95" spans="1:13" x14ac:dyDescent="0.3">
      <c r="A95" s="37">
        <v>46034</v>
      </c>
      <c r="B95" s="20" t="s">
        <v>298</v>
      </c>
      <c r="C95" s="20" t="s">
        <v>132</v>
      </c>
      <c r="D95" s="38" t="s">
        <v>16</v>
      </c>
      <c r="E95" s="39" t="s">
        <v>169</v>
      </c>
      <c r="F95" s="39">
        <v>15387032</v>
      </c>
      <c r="G95" s="40" t="str">
        <f>+VLOOKUP(Tabla14[[#This Row],[FONDO]],MAESTRO!$D$2:$E$119,2,FALSE)</f>
        <v>Max Capital</v>
      </c>
      <c r="H95" s="40" t="str">
        <f>+VLOOKUP(Tabla14[[#This Row],[FONDO]],MAESTRO!D:F,3,FALSE)</f>
        <v>(T+0)</v>
      </c>
      <c r="I95" s="39" t="s">
        <v>9</v>
      </c>
      <c r="J95" s="49"/>
      <c r="K95" s="20"/>
      <c r="L9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" s="39">
        <f>ROUND(IF(Tabla14[[#This Row],[OPERACIÓN]]=MAESTRO!$B$2,Tabla14[CAPITAL],IF(Tabla14[[#This Row],[OPERACIÓN]]=MAESTRO!$B$5,Tabla14[CAPITAL],-Tabla14[[#This Row],[CAPITAL]])),2)</f>
        <v>15387032</v>
      </c>
    </row>
    <row r="96" spans="1:13" x14ac:dyDescent="0.3">
      <c r="A96" s="26">
        <v>46034</v>
      </c>
      <c r="B96" t="s">
        <v>299</v>
      </c>
      <c r="C96" t="s">
        <v>132</v>
      </c>
      <c r="D96" s="27" t="s">
        <v>17</v>
      </c>
      <c r="E96" s="4" t="s">
        <v>136</v>
      </c>
      <c r="F96" s="4">
        <v>100000000</v>
      </c>
      <c r="G96" s="8" t="str">
        <f>+VLOOKUP(Tabla14[[#This Row],[FONDO]],MAESTRO!$D$2:$E$119,2,FALSE)</f>
        <v>Gma Capital</v>
      </c>
      <c r="H96" s="8" t="str">
        <f>+VLOOKUP(Tabla14[[#This Row],[FONDO]],MAESTRO!D:F,3,FALSE)</f>
        <v>(T+0)</v>
      </c>
      <c r="I96" s="4" t="s">
        <v>9</v>
      </c>
      <c r="L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" s="4">
        <f>ROUND(IF(Tabla14[[#This Row],[OPERACIÓN]]=MAESTRO!$B$2,Tabla14[CAPITAL],IF(Tabla14[[#This Row],[OPERACIÓN]]=MAESTRO!$B$5,Tabla14[CAPITAL],-Tabla14[[#This Row],[CAPITAL]])),2)</f>
        <v>-100000000</v>
      </c>
    </row>
    <row r="97" spans="1:13" x14ac:dyDescent="0.3">
      <c r="A97" s="26">
        <v>46034</v>
      </c>
      <c r="B97" t="s">
        <v>292</v>
      </c>
      <c r="C97" t="s">
        <v>132</v>
      </c>
      <c r="D97" s="27" t="s">
        <v>17</v>
      </c>
      <c r="E97" s="4" t="s">
        <v>136</v>
      </c>
      <c r="F97" s="4">
        <v>100000000</v>
      </c>
      <c r="G97" s="8" t="str">
        <f>+VLOOKUP(Tabla14[[#This Row],[FONDO]],MAESTRO!$D$2:$E$119,2,FALSE)</f>
        <v>Gma Capital</v>
      </c>
      <c r="H97" s="8" t="str">
        <f>+VLOOKUP(Tabla14[[#This Row],[FONDO]],MAESTRO!D:F,3,FALSE)</f>
        <v>(T+0)</v>
      </c>
      <c r="I97" s="4" t="s">
        <v>9</v>
      </c>
      <c r="L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" s="4">
        <f>ROUND(IF(Tabla14[[#This Row],[OPERACIÓN]]=MAESTRO!$B$2,Tabla14[CAPITAL],IF(Tabla14[[#This Row],[OPERACIÓN]]=MAESTRO!$B$5,Tabla14[CAPITAL],-Tabla14[[#This Row],[CAPITAL]])),2)</f>
        <v>-100000000</v>
      </c>
    </row>
    <row r="98" spans="1:13" x14ac:dyDescent="0.3">
      <c r="A98" s="26">
        <v>46034</v>
      </c>
      <c r="B98" t="s">
        <v>298</v>
      </c>
      <c r="C98" t="s">
        <v>132</v>
      </c>
      <c r="D98" s="27" t="s">
        <v>17</v>
      </c>
      <c r="E98" s="4" t="s">
        <v>40</v>
      </c>
      <c r="F98" s="4">
        <v>631200000</v>
      </c>
      <c r="G98" s="8" t="str">
        <f>+VLOOKUP(Tabla14[[#This Row],[FONDO]],MAESTRO!$D$2:$E$119,2,FALSE)</f>
        <v>BBVA Banco Frances SA</v>
      </c>
      <c r="H98" s="8" t="str">
        <f>+VLOOKUP(Tabla14[[#This Row],[FONDO]],MAESTRO!D:F,3,FALSE)</f>
        <v>(T+0)</v>
      </c>
      <c r="I98" s="4" t="s">
        <v>9</v>
      </c>
      <c r="L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" s="4">
        <f>ROUND(IF(Tabla14[[#This Row],[OPERACIÓN]]=MAESTRO!$B$2,Tabla14[CAPITAL],IF(Tabla14[[#This Row],[OPERACIÓN]]=MAESTRO!$B$5,Tabla14[CAPITAL],-Tabla14[[#This Row],[CAPITAL]])),2)</f>
        <v>-631200000</v>
      </c>
    </row>
    <row r="99" spans="1:13" x14ac:dyDescent="0.3">
      <c r="A99" s="26">
        <v>46034</v>
      </c>
      <c r="B99" t="s">
        <v>126</v>
      </c>
      <c r="C99" t="s">
        <v>132</v>
      </c>
      <c r="D99" s="27" t="s">
        <v>17</v>
      </c>
      <c r="E99" s="4" t="s">
        <v>48</v>
      </c>
      <c r="F99" s="4">
        <v>1300000</v>
      </c>
      <c r="G99" s="8" t="str">
        <f>+VLOOKUP(Tabla14[[#This Row],[FONDO]],MAESTRO!$D$2:$E$119,2,FALSE)</f>
        <v>Banco Macro S.A.</v>
      </c>
      <c r="H99" s="8" t="str">
        <f>+VLOOKUP(Tabla14[[#This Row],[FONDO]],MAESTRO!D:F,3,FALSE)</f>
        <v>(T+0)</v>
      </c>
      <c r="I99" s="4" t="s">
        <v>9</v>
      </c>
      <c r="L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" s="4">
        <f>ROUND(IF(Tabla14[[#This Row],[OPERACIÓN]]=MAESTRO!$B$2,Tabla14[CAPITAL],IF(Tabla14[[#This Row],[OPERACIÓN]]=MAESTRO!$B$5,Tabla14[CAPITAL],-Tabla14[[#This Row],[CAPITAL]])),2)</f>
        <v>-1300000</v>
      </c>
    </row>
    <row r="100" spans="1:13" x14ac:dyDescent="0.3">
      <c r="A100" s="26">
        <v>46034</v>
      </c>
      <c r="B100" t="s">
        <v>299</v>
      </c>
      <c r="C100" t="s">
        <v>132</v>
      </c>
      <c r="D100" s="27" t="s">
        <v>17</v>
      </c>
      <c r="E100" s="4" t="s">
        <v>48</v>
      </c>
      <c r="F100" s="4">
        <v>86500000</v>
      </c>
      <c r="G100" s="8" t="str">
        <f>+VLOOKUP(Tabla14[[#This Row],[FONDO]],MAESTRO!$D$2:$E$119,2,FALSE)</f>
        <v>Banco Macro S.A.</v>
      </c>
      <c r="H100" s="8" t="str">
        <f>+VLOOKUP(Tabla14[[#This Row],[FONDO]],MAESTRO!D:F,3,FALSE)</f>
        <v>(T+0)</v>
      </c>
      <c r="I100" s="4" t="s">
        <v>9</v>
      </c>
      <c r="L1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" s="4">
        <f>ROUND(IF(Tabla14[[#This Row],[OPERACIÓN]]=MAESTRO!$B$2,Tabla14[CAPITAL],IF(Tabla14[[#This Row],[OPERACIÓN]]=MAESTRO!$B$5,Tabla14[CAPITAL],-Tabla14[[#This Row],[CAPITAL]])),2)</f>
        <v>-86500000</v>
      </c>
    </row>
    <row r="101" spans="1:13" x14ac:dyDescent="0.3">
      <c r="A101" s="26">
        <v>46034</v>
      </c>
      <c r="B101" t="s">
        <v>292</v>
      </c>
      <c r="C101" t="s">
        <v>132</v>
      </c>
      <c r="D101" s="27" t="s">
        <v>17</v>
      </c>
      <c r="E101" s="4" t="s">
        <v>48</v>
      </c>
      <c r="F101" s="4">
        <v>97800000</v>
      </c>
      <c r="G101" s="8" t="str">
        <f>+VLOOKUP(Tabla14[[#This Row],[FONDO]],MAESTRO!$D$2:$E$119,2,FALSE)</f>
        <v>Banco Macro S.A.</v>
      </c>
      <c r="H101" s="8" t="str">
        <f>+VLOOKUP(Tabla14[[#This Row],[FONDO]],MAESTRO!D:F,3,FALSE)</f>
        <v>(T+0)</v>
      </c>
      <c r="I101" s="4" t="s">
        <v>9</v>
      </c>
      <c r="L1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" s="4">
        <f>ROUND(IF(Tabla14[[#This Row],[OPERACIÓN]]=MAESTRO!$B$2,Tabla14[CAPITAL],IF(Tabla14[[#This Row],[OPERACIÓN]]=MAESTRO!$B$5,Tabla14[CAPITAL],-Tabla14[[#This Row],[CAPITAL]])),2)</f>
        <v>-97800000</v>
      </c>
    </row>
    <row r="102" spans="1:13" x14ac:dyDescent="0.3">
      <c r="A102" s="26">
        <v>46035</v>
      </c>
      <c r="B102" t="s">
        <v>298</v>
      </c>
      <c r="C102" t="s">
        <v>132</v>
      </c>
      <c r="D102" s="27" t="s">
        <v>17</v>
      </c>
      <c r="E102" s="4" t="s">
        <v>40</v>
      </c>
      <c r="F102" s="4">
        <v>75900000</v>
      </c>
      <c r="G102" s="8" t="str">
        <f>+VLOOKUP(Tabla14[[#This Row],[FONDO]],MAESTRO!$D$2:$E$119,2,FALSE)</f>
        <v>BBVA Banco Frances SA</v>
      </c>
      <c r="H102" s="8" t="str">
        <f>+VLOOKUP(Tabla14[[#This Row],[FONDO]],MAESTRO!D:F,3,FALSE)</f>
        <v>(T+0)</v>
      </c>
      <c r="I102" s="4" t="s">
        <v>9</v>
      </c>
      <c r="L1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" s="4">
        <f>ROUND(IF(Tabla14[[#This Row],[OPERACIÓN]]=MAESTRO!$B$2,Tabla14[CAPITAL],IF(Tabla14[[#This Row],[OPERACIÓN]]=MAESTRO!$B$5,Tabla14[CAPITAL],-Tabla14[[#This Row],[CAPITAL]])),2)</f>
        <v>-75900000</v>
      </c>
    </row>
    <row r="103" spans="1:13" x14ac:dyDescent="0.3">
      <c r="A103" s="26">
        <v>46035</v>
      </c>
      <c r="B103" t="s">
        <v>126</v>
      </c>
      <c r="C103" t="s">
        <v>132</v>
      </c>
      <c r="D103" s="27" t="s">
        <v>16</v>
      </c>
      <c r="E103" s="4" t="s">
        <v>48</v>
      </c>
      <c r="F103" s="4">
        <v>123600000</v>
      </c>
      <c r="G103" s="8" t="str">
        <f>+VLOOKUP(Tabla14[[#This Row],[FONDO]],MAESTRO!$D$2:$E$119,2,FALSE)</f>
        <v>Banco Macro S.A.</v>
      </c>
      <c r="H103" s="8" t="str">
        <f>+VLOOKUP(Tabla14[[#This Row],[FONDO]],MAESTRO!D:F,3,FALSE)</f>
        <v>(T+0)</v>
      </c>
      <c r="I103" s="4" t="s">
        <v>9</v>
      </c>
      <c r="L1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" s="4">
        <f>ROUND(IF(Tabla14[[#This Row],[OPERACIÓN]]=MAESTRO!$B$2,Tabla14[CAPITAL],IF(Tabla14[[#This Row],[OPERACIÓN]]=MAESTRO!$B$5,Tabla14[CAPITAL],-Tabla14[[#This Row],[CAPITAL]])),2)</f>
        <v>123600000</v>
      </c>
    </row>
    <row r="104" spans="1:13" x14ac:dyDescent="0.3">
      <c r="A104" s="26">
        <v>46035</v>
      </c>
      <c r="B104" t="s">
        <v>292</v>
      </c>
      <c r="C104" t="s">
        <v>132</v>
      </c>
      <c r="D104" s="27" t="s">
        <v>17</v>
      </c>
      <c r="E104" s="4" t="s">
        <v>48</v>
      </c>
      <c r="F104" s="4">
        <v>17500000</v>
      </c>
      <c r="G104" s="8" t="str">
        <f>+VLOOKUP(Tabla14[[#This Row],[FONDO]],MAESTRO!$D$2:$E$119,2,FALSE)</f>
        <v>Banco Macro S.A.</v>
      </c>
      <c r="H104" s="8" t="str">
        <f>+VLOOKUP(Tabla14[[#This Row],[FONDO]],MAESTRO!D:F,3,FALSE)</f>
        <v>(T+0)</v>
      </c>
      <c r="I104" s="4" t="s">
        <v>9</v>
      </c>
      <c r="L1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" s="4">
        <f>ROUND(IF(Tabla14[[#This Row],[OPERACIÓN]]=MAESTRO!$B$2,Tabla14[CAPITAL],IF(Tabla14[[#This Row],[OPERACIÓN]]=MAESTRO!$B$5,Tabla14[CAPITAL],-Tabla14[[#This Row],[CAPITAL]])),2)</f>
        <v>-17500000</v>
      </c>
    </row>
    <row r="105" spans="1:13" x14ac:dyDescent="0.3">
      <c r="A105" s="26">
        <v>46035</v>
      </c>
      <c r="B105" t="s">
        <v>299</v>
      </c>
      <c r="C105" t="s">
        <v>132</v>
      </c>
      <c r="D105" s="27" t="s">
        <v>17</v>
      </c>
      <c r="E105" s="4" t="s">
        <v>48</v>
      </c>
      <c r="F105" s="4">
        <v>14700000</v>
      </c>
      <c r="G105" s="8" t="str">
        <f>+VLOOKUP(Tabla14[[#This Row],[FONDO]],MAESTRO!$D$2:$E$119,2,FALSE)</f>
        <v>Banco Macro S.A.</v>
      </c>
      <c r="H105" s="8" t="str">
        <f>+VLOOKUP(Tabla14[[#This Row],[FONDO]],MAESTRO!D:F,3,FALSE)</f>
        <v>(T+0)</v>
      </c>
      <c r="I105" s="4" t="s">
        <v>9</v>
      </c>
      <c r="L1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" s="4">
        <f>ROUND(IF(Tabla14[[#This Row],[OPERACIÓN]]=MAESTRO!$B$2,Tabla14[CAPITAL],IF(Tabla14[[#This Row],[OPERACIÓN]]=MAESTRO!$B$5,Tabla14[CAPITAL],-Tabla14[[#This Row],[CAPITAL]])),2)</f>
        <v>-14700000</v>
      </c>
    </row>
    <row r="106" spans="1:13" x14ac:dyDescent="0.3">
      <c r="A106" s="26">
        <v>46035</v>
      </c>
      <c r="B106" t="s">
        <v>292</v>
      </c>
      <c r="C106" t="s">
        <v>132</v>
      </c>
      <c r="D106" s="27" t="s">
        <v>17</v>
      </c>
      <c r="E106" s="4" t="s">
        <v>136</v>
      </c>
      <c r="F106" s="4">
        <v>300000000</v>
      </c>
      <c r="G106" s="8" t="str">
        <f>+VLOOKUP(Tabla14[[#This Row],[FONDO]],MAESTRO!$D$2:$E$119,2,FALSE)</f>
        <v>Gma Capital</v>
      </c>
      <c r="H106" s="8" t="str">
        <f>+VLOOKUP(Tabla14[[#This Row],[FONDO]],MAESTRO!D:F,3,FALSE)</f>
        <v>(T+0)</v>
      </c>
      <c r="I106" s="4" t="s">
        <v>9</v>
      </c>
      <c r="L1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" s="4">
        <f>ROUND(IF(Tabla14[[#This Row],[OPERACIÓN]]=MAESTRO!$B$2,Tabla14[CAPITAL],IF(Tabla14[[#This Row],[OPERACIÓN]]=MAESTRO!$B$5,Tabla14[CAPITAL],-Tabla14[[#This Row],[CAPITAL]])),2)</f>
        <v>-300000000</v>
      </c>
    </row>
    <row r="107" spans="1:13" x14ac:dyDescent="0.3">
      <c r="A107" s="26">
        <v>46035</v>
      </c>
      <c r="B107" t="s">
        <v>298</v>
      </c>
      <c r="C107" t="s">
        <v>132</v>
      </c>
      <c r="D107" s="27" t="s">
        <v>17</v>
      </c>
      <c r="E107" s="4" t="s">
        <v>208</v>
      </c>
      <c r="F107" s="4">
        <v>128100069.63</v>
      </c>
      <c r="G107" s="8" t="str">
        <f>+VLOOKUP(Tabla14[[#This Row],[FONDO]],MAESTRO!$D$2:$E$119,2,FALSE)</f>
        <v>Facimex</v>
      </c>
      <c r="H107" s="8" t="str">
        <f>+VLOOKUP(Tabla14[[#This Row],[FONDO]],MAESTRO!D:F,3,FALSE)</f>
        <v>(T+0)</v>
      </c>
      <c r="I107" s="4" t="s">
        <v>9</v>
      </c>
      <c r="L1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" s="4">
        <f>ROUND(IF(Tabla14[[#This Row],[OPERACIÓN]]=MAESTRO!$B$2,Tabla14[CAPITAL],IF(Tabla14[[#This Row],[OPERACIÓN]]=MAESTRO!$B$5,Tabla14[CAPITAL],-Tabla14[[#This Row],[CAPITAL]])),2)</f>
        <v>-128100069.63</v>
      </c>
    </row>
    <row r="108" spans="1:13" x14ac:dyDescent="0.3">
      <c r="A108" s="26">
        <v>46035</v>
      </c>
      <c r="B108" t="s">
        <v>298</v>
      </c>
      <c r="C108" t="s">
        <v>132</v>
      </c>
      <c r="D108" s="27" t="s">
        <v>17</v>
      </c>
      <c r="E108" s="4" t="s">
        <v>208</v>
      </c>
      <c r="F108" s="4">
        <v>123438878.06</v>
      </c>
      <c r="G108" s="8" t="str">
        <f>+VLOOKUP(Tabla14[[#This Row],[FONDO]],MAESTRO!$D$2:$E$119,2,FALSE)</f>
        <v>Facimex</v>
      </c>
      <c r="H108" s="8" t="str">
        <f>+VLOOKUP(Tabla14[[#This Row],[FONDO]],MAESTRO!D:F,3,FALSE)</f>
        <v>(T+0)</v>
      </c>
      <c r="I108" s="4" t="s">
        <v>9</v>
      </c>
      <c r="L1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" s="4">
        <f>ROUND(IF(Tabla14[[#This Row],[OPERACIÓN]]=MAESTRO!$B$2,Tabla14[CAPITAL],IF(Tabla14[[#This Row],[OPERACIÓN]]=MAESTRO!$B$5,Tabla14[CAPITAL],-Tabla14[[#This Row],[CAPITAL]])),2)</f>
        <v>-123438878.06</v>
      </c>
    </row>
    <row r="109" spans="1:13" x14ac:dyDescent="0.3">
      <c r="A109" s="26">
        <v>46036</v>
      </c>
      <c r="B109" t="s">
        <v>298</v>
      </c>
      <c r="C109" t="s">
        <v>132</v>
      </c>
      <c r="D109" s="27" t="s">
        <v>17</v>
      </c>
      <c r="E109" s="4" t="s">
        <v>208</v>
      </c>
      <c r="F109" s="4">
        <v>90552958.280000001</v>
      </c>
      <c r="G109" s="8" t="str">
        <f>+VLOOKUP(Tabla14[[#This Row],[FONDO]],MAESTRO!$D$2:$E$119,2,FALSE)</f>
        <v>Facimex</v>
      </c>
      <c r="H109" s="8" t="str">
        <f>+VLOOKUP(Tabla14[[#This Row],[FONDO]],MAESTRO!D:F,3,FALSE)</f>
        <v>(T+0)</v>
      </c>
      <c r="I109" s="4" t="s">
        <v>9</v>
      </c>
      <c r="L1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" s="4">
        <f>ROUND(IF(Tabla14[[#This Row],[OPERACIÓN]]=MAESTRO!$B$2,Tabla14[CAPITAL],IF(Tabla14[[#This Row],[OPERACIÓN]]=MAESTRO!$B$5,Tabla14[CAPITAL],-Tabla14[[#This Row],[CAPITAL]])),2)</f>
        <v>-90552958.280000001</v>
      </c>
    </row>
    <row r="110" spans="1:13" x14ac:dyDescent="0.3">
      <c r="A110" s="26">
        <v>46036</v>
      </c>
      <c r="B110" t="s">
        <v>298</v>
      </c>
      <c r="C110" t="s">
        <v>132</v>
      </c>
      <c r="D110" s="27" t="s">
        <v>17</v>
      </c>
      <c r="E110" s="4" t="s">
        <v>208</v>
      </c>
      <c r="F110" s="4">
        <v>82081410.560000002</v>
      </c>
      <c r="G110" s="8" t="str">
        <f>+VLOOKUP(Tabla14[[#This Row],[FONDO]],MAESTRO!$D$2:$E$119,2,FALSE)</f>
        <v>Facimex</v>
      </c>
      <c r="H110" s="8" t="str">
        <f>+VLOOKUP(Tabla14[[#This Row],[FONDO]],MAESTRO!D:F,3,FALSE)</f>
        <v>(T+0)</v>
      </c>
      <c r="I110" s="4" t="s">
        <v>9</v>
      </c>
      <c r="L1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" s="4">
        <f>ROUND(IF(Tabla14[[#This Row],[OPERACIÓN]]=MAESTRO!$B$2,Tabla14[CAPITAL],IF(Tabla14[[#This Row],[OPERACIÓN]]=MAESTRO!$B$5,Tabla14[CAPITAL],-Tabla14[[#This Row],[CAPITAL]])),2)</f>
        <v>-82081410.560000002</v>
      </c>
    </row>
    <row r="111" spans="1:13" x14ac:dyDescent="0.3">
      <c r="A111" s="26">
        <v>46036</v>
      </c>
      <c r="B111" t="s">
        <v>298</v>
      </c>
      <c r="C111" t="s">
        <v>132</v>
      </c>
      <c r="D111" s="27" t="s">
        <v>17</v>
      </c>
      <c r="E111" s="4" t="s">
        <v>136</v>
      </c>
      <c r="F111" s="4">
        <v>150000000</v>
      </c>
      <c r="G111" s="8" t="str">
        <f>+VLOOKUP(Tabla14[[#This Row],[FONDO]],MAESTRO!$D$2:$E$119,2,FALSE)</f>
        <v>Gma Capital</v>
      </c>
      <c r="H111" s="8" t="str">
        <f>+VLOOKUP(Tabla14[[#This Row],[FONDO]],MAESTRO!D:F,3,FALSE)</f>
        <v>(T+0)</v>
      </c>
      <c r="I111" s="4" t="s">
        <v>9</v>
      </c>
      <c r="L1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" s="4">
        <f>ROUND(IF(Tabla14[[#This Row],[OPERACIÓN]]=MAESTRO!$B$2,Tabla14[CAPITAL],IF(Tabla14[[#This Row],[OPERACIÓN]]=MAESTRO!$B$5,Tabla14[CAPITAL],-Tabla14[[#This Row],[CAPITAL]])),2)</f>
        <v>-150000000</v>
      </c>
    </row>
    <row r="112" spans="1:13" x14ac:dyDescent="0.3">
      <c r="A112" s="26">
        <v>46036</v>
      </c>
      <c r="B112" t="s">
        <v>299</v>
      </c>
      <c r="C112" t="s">
        <v>132</v>
      </c>
      <c r="D112" s="27" t="s">
        <v>17</v>
      </c>
      <c r="E112" s="4" t="s">
        <v>212</v>
      </c>
      <c r="F112" s="4">
        <v>63149319.899999999</v>
      </c>
      <c r="G112" s="8" t="str">
        <f>+VLOOKUP(Tabla14[[#This Row],[FONDO]],MAESTRO!$D$2:$E$119,2,FALSE)</f>
        <v>INTAGRO</v>
      </c>
      <c r="H112" s="8" t="str">
        <f>+VLOOKUP(Tabla14[[#This Row],[FONDO]],MAESTRO!D:F,3,FALSE)</f>
        <v>(T+0)</v>
      </c>
      <c r="I112" s="4" t="s">
        <v>9</v>
      </c>
      <c r="L1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" s="4">
        <f>ROUND(IF(Tabla14[[#This Row],[OPERACIÓN]]=MAESTRO!$B$2,Tabla14[CAPITAL],IF(Tabla14[[#This Row],[OPERACIÓN]]=MAESTRO!$B$5,Tabla14[CAPITAL],-Tabla14[[#This Row],[CAPITAL]])),2)</f>
        <v>-63149319.899999999</v>
      </c>
    </row>
    <row r="113" spans="1:13" x14ac:dyDescent="0.3">
      <c r="A113" s="26">
        <v>46036</v>
      </c>
      <c r="B113" t="s">
        <v>292</v>
      </c>
      <c r="C113" t="s">
        <v>132</v>
      </c>
      <c r="D113" s="27" t="s">
        <v>17</v>
      </c>
      <c r="E113" s="4" t="s">
        <v>136</v>
      </c>
      <c r="F113" s="4">
        <v>75721873.799999997</v>
      </c>
      <c r="G113" s="8" t="str">
        <f>+VLOOKUP(Tabla14[[#This Row],[FONDO]],MAESTRO!$D$2:$E$119,2,FALSE)</f>
        <v>Gma Capital</v>
      </c>
      <c r="H113" s="8" t="str">
        <f>+VLOOKUP(Tabla14[[#This Row],[FONDO]],MAESTRO!D:F,3,FALSE)</f>
        <v>(T+0)</v>
      </c>
      <c r="I113" s="4" t="s">
        <v>9</v>
      </c>
      <c r="L1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" s="4">
        <f>ROUND(IF(Tabla14[[#This Row],[OPERACIÓN]]=MAESTRO!$B$2,Tabla14[CAPITAL],IF(Tabla14[[#This Row],[OPERACIÓN]]=MAESTRO!$B$5,Tabla14[CAPITAL],-Tabla14[[#This Row],[CAPITAL]])),2)</f>
        <v>-75721873.799999997</v>
      </c>
    </row>
    <row r="114" spans="1:13" x14ac:dyDescent="0.3">
      <c r="A114" s="26">
        <v>46036</v>
      </c>
      <c r="B114" t="s">
        <v>292</v>
      </c>
      <c r="C114" t="s">
        <v>132</v>
      </c>
      <c r="D114" s="27" t="s">
        <v>17</v>
      </c>
      <c r="E114" s="4" t="s">
        <v>136</v>
      </c>
      <c r="F114" s="4">
        <v>99789813.439999998</v>
      </c>
      <c r="G114" s="8" t="str">
        <f>+VLOOKUP(Tabla14[[#This Row],[FONDO]],MAESTRO!$D$2:$E$119,2,FALSE)</f>
        <v>Gma Capital</v>
      </c>
      <c r="H114" s="8" t="str">
        <f>+VLOOKUP(Tabla14[[#This Row],[FONDO]],MAESTRO!D:F,3,FALSE)</f>
        <v>(T+0)</v>
      </c>
      <c r="I114" s="4" t="s">
        <v>9</v>
      </c>
      <c r="L1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" s="4">
        <f>ROUND(IF(Tabla14[[#This Row],[OPERACIÓN]]=MAESTRO!$B$2,Tabla14[CAPITAL],IF(Tabla14[[#This Row],[OPERACIÓN]]=MAESTRO!$B$5,Tabla14[CAPITAL],-Tabla14[[#This Row],[CAPITAL]])),2)</f>
        <v>-99789813.439999998</v>
      </c>
    </row>
    <row r="115" spans="1:13" x14ac:dyDescent="0.3">
      <c r="A115" s="26">
        <v>46036</v>
      </c>
      <c r="B115" t="s">
        <v>292</v>
      </c>
      <c r="C115" t="s">
        <v>132</v>
      </c>
      <c r="D115" s="27" t="s">
        <v>16</v>
      </c>
      <c r="E115" s="4" t="s">
        <v>48</v>
      </c>
      <c r="F115" s="4">
        <v>27200000</v>
      </c>
      <c r="G115" s="8" t="str">
        <f>+VLOOKUP(Tabla14[[#This Row],[FONDO]],MAESTRO!$D$2:$E$119,2,FALSE)</f>
        <v>Banco Macro S.A.</v>
      </c>
      <c r="H115" s="8" t="str">
        <f>+VLOOKUP(Tabla14[[#This Row],[FONDO]],MAESTRO!D:F,3,FALSE)</f>
        <v>(T+0)</v>
      </c>
      <c r="I115" s="4" t="s">
        <v>9</v>
      </c>
      <c r="L1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" s="4">
        <f>ROUND(IF(Tabla14[[#This Row],[OPERACIÓN]]=MAESTRO!$B$2,Tabla14[CAPITAL],IF(Tabla14[[#This Row],[OPERACIÓN]]=MAESTRO!$B$5,Tabla14[CAPITAL],-Tabla14[[#This Row],[CAPITAL]])),2)</f>
        <v>27200000</v>
      </c>
    </row>
    <row r="116" spans="1:13" x14ac:dyDescent="0.3">
      <c r="A116" s="26">
        <v>46036</v>
      </c>
      <c r="B116" t="s">
        <v>126</v>
      </c>
      <c r="C116" t="s">
        <v>132</v>
      </c>
      <c r="D116" s="27" t="s">
        <v>16</v>
      </c>
      <c r="E116" s="4" t="s">
        <v>48</v>
      </c>
      <c r="F116" s="4">
        <v>1400000</v>
      </c>
      <c r="G116" s="8" t="str">
        <f>+VLOOKUP(Tabla14[[#This Row],[FONDO]],MAESTRO!$D$2:$E$119,2,FALSE)</f>
        <v>Banco Macro S.A.</v>
      </c>
      <c r="H116" s="8" t="str">
        <f>+VLOOKUP(Tabla14[[#This Row],[FONDO]],MAESTRO!D:F,3,FALSE)</f>
        <v>(T+0)</v>
      </c>
      <c r="I116" s="4" t="s">
        <v>9</v>
      </c>
      <c r="L1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" s="4">
        <f>ROUND(IF(Tabla14[[#This Row],[OPERACIÓN]]=MAESTRO!$B$2,Tabla14[CAPITAL],IF(Tabla14[[#This Row],[OPERACIÓN]]=MAESTRO!$B$5,Tabla14[CAPITAL],-Tabla14[[#This Row],[CAPITAL]])),2)</f>
        <v>1400000</v>
      </c>
    </row>
    <row r="117" spans="1:13" x14ac:dyDescent="0.3">
      <c r="A117" s="26">
        <v>46036</v>
      </c>
      <c r="B117" t="s">
        <v>299</v>
      </c>
      <c r="C117" t="s">
        <v>132</v>
      </c>
      <c r="D117" s="27" t="s">
        <v>17</v>
      </c>
      <c r="E117" s="4" t="s">
        <v>204</v>
      </c>
      <c r="F117" s="4">
        <v>81200000</v>
      </c>
      <c r="G117" s="8" t="str">
        <f>+VLOOKUP(Tabla14[[#This Row],[FONDO]],MAESTRO!$D$2:$E$119,2,FALSE)</f>
        <v>Latin Securities</v>
      </c>
      <c r="H117" s="8" t="str">
        <f>+VLOOKUP(Tabla14[[#This Row],[FONDO]],MAESTRO!D:F,3,FALSE)</f>
        <v>(T+0)</v>
      </c>
      <c r="I117" s="4" t="s">
        <v>9</v>
      </c>
      <c r="L1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" s="4">
        <f>ROUND(IF(Tabla14[[#This Row],[OPERACIÓN]]=MAESTRO!$B$2,Tabla14[CAPITAL],IF(Tabla14[[#This Row],[OPERACIÓN]]=MAESTRO!$B$5,Tabla14[CAPITAL],-Tabla14[[#This Row],[CAPITAL]])),2)</f>
        <v>-81200000</v>
      </c>
    </row>
    <row r="118" spans="1:13" x14ac:dyDescent="0.3">
      <c r="A118" s="26">
        <v>46036</v>
      </c>
      <c r="B118" t="s">
        <v>298</v>
      </c>
      <c r="C118" t="s">
        <v>132</v>
      </c>
      <c r="D118" s="27" t="s">
        <v>16</v>
      </c>
      <c r="E118" s="4" t="s">
        <v>40</v>
      </c>
      <c r="F118" s="4">
        <v>1220000000</v>
      </c>
      <c r="G118" s="8" t="str">
        <f>+VLOOKUP(Tabla14[[#This Row],[FONDO]],MAESTRO!$D$2:$E$119,2,FALSE)</f>
        <v>BBVA Banco Frances SA</v>
      </c>
      <c r="H118" s="8" t="str">
        <f>+VLOOKUP(Tabla14[[#This Row],[FONDO]],MAESTRO!D:F,3,FALSE)</f>
        <v>(T+0)</v>
      </c>
      <c r="I118" s="4" t="s">
        <v>9</v>
      </c>
      <c r="L1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" s="4">
        <f>ROUND(IF(Tabla14[[#This Row],[OPERACIÓN]]=MAESTRO!$B$2,Tabla14[CAPITAL],IF(Tabla14[[#This Row],[OPERACIÓN]]=MAESTRO!$B$5,Tabla14[CAPITAL],-Tabla14[[#This Row],[CAPITAL]])),2)</f>
        <v>1220000000</v>
      </c>
    </row>
    <row r="119" spans="1:13" x14ac:dyDescent="0.3">
      <c r="A119" s="26">
        <v>46037</v>
      </c>
      <c r="B119" t="s">
        <v>298</v>
      </c>
      <c r="C119" t="s">
        <v>132</v>
      </c>
      <c r="D119" s="27" t="s">
        <v>17</v>
      </c>
      <c r="E119" s="4" t="s">
        <v>40</v>
      </c>
      <c r="F119" s="4">
        <v>1000000000</v>
      </c>
      <c r="G119" s="8" t="str">
        <f>+VLOOKUP(Tabla14[[#This Row],[FONDO]],MAESTRO!$D$2:$E$119,2,FALSE)</f>
        <v>BBVA Banco Frances SA</v>
      </c>
      <c r="H119" s="8" t="str">
        <f>+VLOOKUP(Tabla14[[#This Row],[FONDO]],MAESTRO!D:F,3,FALSE)</f>
        <v>(T+0)</v>
      </c>
      <c r="I119" s="4" t="s">
        <v>9</v>
      </c>
      <c r="L1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" s="4">
        <f>ROUND(IF(Tabla14[[#This Row],[OPERACIÓN]]=MAESTRO!$B$2,Tabla14[CAPITAL],IF(Tabla14[[#This Row],[OPERACIÓN]]=MAESTRO!$B$5,Tabla14[CAPITAL],-Tabla14[[#This Row],[CAPITAL]])),2)</f>
        <v>-1000000000</v>
      </c>
    </row>
    <row r="120" spans="1:13" x14ac:dyDescent="0.3">
      <c r="A120" s="26">
        <v>46037</v>
      </c>
      <c r="B120" t="s">
        <v>298</v>
      </c>
      <c r="C120" t="s">
        <v>132</v>
      </c>
      <c r="D120" s="27" t="s">
        <v>16</v>
      </c>
      <c r="E120" s="4" t="s">
        <v>204</v>
      </c>
      <c r="F120" s="4">
        <v>500000000</v>
      </c>
      <c r="G120" s="8" t="str">
        <f>+VLOOKUP(Tabla14[[#This Row],[FONDO]],MAESTRO!$D$2:$E$119,2,FALSE)</f>
        <v>Latin Securities</v>
      </c>
      <c r="H120" s="8" t="str">
        <f>+VLOOKUP(Tabla14[[#This Row],[FONDO]],MAESTRO!D:F,3,FALSE)</f>
        <v>(T+0)</v>
      </c>
      <c r="I120" s="4" t="s">
        <v>9</v>
      </c>
      <c r="L1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" s="4">
        <f>ROUND(IF(Tabla14[[#This Row],[OPERACIÓN]]=MAESTRO!$B$2,Tabla14[CAPITAL],IF(Tabla14[[#This Row],[OPERACIÓN]]=MAESTRO!$B$5,Tabla14[CAPITAL],-Tabla14[[#This Row],[CAPITAL]])),2)</f>
        <v>500000000</v>
      </c>
    </row>
    <row r="121" spans="1:13" x14ac:dyDescent="0.3">
      <c r="A121" s="26">
        <v>46037</v>
      </c>
      <c r="B121" t="s">
        <v>298</v>
      </c>
      <c r="C121" t="s">
        <v>132</v>
      </c>
      <c r="D121" s="27" t="s">
        <v>16</v>
      </c>
      <c r="E121" s="4" t="s">
        <v>169</v>
      </c>
      <c r="F121" s="4">
        <v>500000000</v>
      </c>
      <c r="G121" s="8" t="str">
        <f>+VLOOKUP(Tabla14[[#This Row],[FONDO]],MAESTRO!$D$2:$E$119,2,FALSE)</f>
        <v>Max Capital</v>
      </c>
      <c r="H121" s="8" t="str">
        <f>+VLOOKUP(Tabla14[[#This Row],[FONDO]],MAESTRO!D:F,3,FALSE)</f>
        <v>(T+0)</v>
      </c>
      <c r="I121" s="4" t="s">
        <v>9</v>
      </c>
      <c r="L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" s="4">
        <f>ROUND(IF(Tabla14[[#This Row],[OPERACIÓN]]=MAESTRO!$B$2,Tabla14[CAPITAL],IF(Tabla14[[#This Row],[OPERACIÓN]]=MAESTRO!$B$5,Tabla14[CAPITAL],-Tabla14[[#This Row],[CAPITAL]])),2)</f>
        <v>500000000</v>
      </c>
    </row>
    <row r="122" spans="1:13" x14ac:dyDescent="0.3">
      <c r="A122" s="26">
        <v>46037</v>
      </c>
      <c r="B122" t="s">
        <v>292</v>
      </c>
      <c r="C122" t="s">
        <v>132</v>
      </c>
      <c r="D122" s="27" t="s">
        <v>17</v>
      </c>
      <c r="E122" s="4" t="s">
        <v>136</v>
      </c>
      <c r="F122" s="4">
        <v>100000000</v>
      </c>
      <c r="G122" s="8" t="str">
        <f>+VLOOKUP(Tabla14[[#This Row],[FONDO]],MAESTRO!$D$2:$E$119,2,FALSE)</f>
        <v>Gma Capital</v>
      </c>
      <c r="H122" s="8" t="str">
        <f>+VLOOKUP(Tabla14[[#This Row],[FONDO]],MAESTRO!D:F,3,FALSE)</f>
        <v>(T+0)</v>
      </c>
      <c r="I122" s="4" t="s">
        <v>9</v>
      </c>
      <c r="L1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" s="4">
        <f>ROUND(IF(Tabla14[[#This Row],[OPERACIÓN]]=MAESTRO!$B$2,Tabla14[CAPITAL],IF(Tabla14[[#This Row],[OPERACIÓN]]=MAESTRO!$B$5,Tabla14[CAPITAL],-Tabla14[[#This Row],[CAPITAL]])),2)</f>
        <v>-100000000</v>
      </c>
    </row>
    <row r="123" spans="1:13" x14ac:dyDescent="0.3">
      <c r="A123" s="26">
        <v>46037</v>
      </c>
      <c r="B123" t="s">
        <v>126</v>
      </c>
      <c r="C123" t="s">
        <v>132</v>
      </c>
      <c r="D123" s="27" t="s">
        <v>17</v>
      </c>
      <c r="E123" s="4" t="s">
        <v>48</v>
      </c>
      <c r="F123" s="4">
        <v>800000</v>
      </c>
      <c r="G123" s="8" t="str">
        <f>+VLOOKUP(Tabla14[[#This Row],[FONDO]],MAESTRO!$D$2:$E$119,2,FALSE)</f>
        <v>Banco Macro S.A.</v>
      </c>
      <c r="H123" s="8" t="str">
        <f>+VLOOKUP(Tabla14[[#This Row],[FONDO]],MAESTRO!D:F,3,FALSE)</f>
        <v>(T+0)</v>
      </c>
      <c r="I123" s="4" t="s">
        <v>9</v>
      </c>
      <c r="L1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" s="4">
        <f>ROUND(IF(Tabla14[[#This Row],[OPERACIÓN]]=MAESTRO!$B$2,Tabla14[CAPITAL],IF(Tabla14[[#This Row],[OPERACIÓN]]=MAESTRO!$B$5,Tabla14[CAPITAL],-Tabla14[[#This Row],[CAPITAL]])),2)</f>
        <v>-800000</v>
      </c>
    </row>
    <row r="124" spans="1:13" x14ac:dyDescent="0.3">
      <c r="A124" s="26">
        <v>46037</v>
      </c>
      <c r="B124" t="s">
        <v>292</v>
      </c>
      <c r="C124" t="s">
        <v>132</v>
      </c>
      <c r="D124" s="27" t="s">
        <v>17</v>
      </c>
      <c r="E124" s="4" t="s">
        <v>48</v>
      </c>
      <c r="F124" s="4">
        <v>14100000</v>
      </c>
      <c r="G124" s="8" t="str">
        <f>+VLOOKUP(Tabla14[[#This Row],[FONDO]],MAESTRO!$D$2:$E$119,2,FALSE)</f>
        <v>Banco Macro S.A.</v>
      </c>
      <c r="H124" s="8" t="str">
        <f>+VLOOKUP(Tabla14[[#This Row],[FONDO]],MAESTRO!D:F,3,FALSE)</f>
        <v>(T+0)</v>
      </c>
      <c r="I124" s="4" t="s">
        <v>9</v>
      </c>
      <c r="L1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" s="4">
        <f>ROUND(IF(Tabla14[[#This Row],[OPERACIÓN]]=MAESTRO!$B$2,Tabla14[CAPITAL],IF(Tabla14[[#This Row],[OPERACIÓN]]=MAESTRO!$B$5,Tabla14[CAPITAL],-Tabla14[[#This Row],[CAPITAL]])),2)</f>
        <v>-14100000</v>
      </c>
    </row>
    <row r="125" spans="1:13" x14ac:dyDescent="0.3">
      <c r="A125" s="26">
        <v>46037</v>
      </c>
      <c r="B125" t="s">
        <v>299</v>
      </c>
      <c r="C125" t="s">
        <v>132</v>
      </c>
      <c r="D125" s="27" t="s">
        <v>17</v>
      </c>
      <c r="E125" s="4" t="s">
        <v>48</v>
      </c>
      <c r="F125" s="4">
        <v>53200000</v>
      </c>
      <c r="G125" s="8" t="str">
        <f>+VLOOKUP(Tabla14[[#This Row],[FONDO]],MAESTRO!$D$2:$E$119,2,FALSE)</f>
        <v>Banco Macro S.A.</v>
      </c>
      <c r="H125" s="8" t="str">
        <f>+VLOOKUP(Tabla14[[#This Row],[FONDO]],MAESTRO!D:F,3,FALSE)</f>
        <v>(T+0)</v>
      </c>
      <c r="I125" s="4" t="s">
        <v>9</v>
      </c>
      <c r="L1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" s="4">
        <f>ROUND(IF(Tabla14[[#This Row],[OPERACIÓN]]=MAESTRO!$B$2,Tabla14[CAPITAL],IF(Tabla14[[#This Row],[OPERACIÓN]]=MAESTRO!$B$5,Tabla14[CAPITAL],-Tabla14[[#This Row],[CAPITAL]])),2)</f>
        <v>-53200000</v>
      </c>
    </row>
    <row r="126" spans="1:13" x14ac:dyDescent="0.3">
      <c r="A126" s="26">
        <v>46037</v>
      </c>
      <c r="B126" t="s">
        <v>298</v>
      </c>
      <c r="C126" t="s">
        <v>132</v>
      </c>
      <c r="D126" s="27" t="s">
        <v>16</v>
      </c>
      <c r="E126" s="4" t="s">
        <v>40</v>
      </c>
      <c r="F126" s="4">
        <v>1100000000</v>
      </c>
      <c r="G126" s="8" t="str">
        <f>+VLOOKUP(Tabla14[[#This Row],[FONDO]],MAESTRO!$D$2:$E$119,2,FALSE)</f>
        <v>BBVA Banco Frances SA</v>
      </c>
      <c r="H126" s="8" t="str">
        <f>+VLOOKUP(Tabla14[[#This Row],[FONDO]],MAESTRO!D:F,3,FALSE)</f>
        <v>(T+0)</v>
      </c>
      <c r="I126" s="4" t="s">
        <v>9</v>
      </c>
      <c r="L1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" s="4">
        <f>ROUND(IF(Tabla14[[#This Row],[OPERACIÓN]]=MAESTRO!$B$2,Tabla14[CAPITAL],IF(Tabla14[[#This Row],[OPERACIÓN]]=MAESTRO!$B$5,Tabla14[CAPITAL],-Tabla14[[#This Row],[CAPITAL]])),2)</f>
        <v>1100000000</v>
      </c>
    </row>
    <row r="127" spans="1:13" x14ac:dyDescent="0.3">
      <c r="A127" s="26">
        <v>46037</v>
      </c>
      <c r="B127" t="s">
        <v>298</v>
      </c>
      <c r="C127" t="s">
        <v>132</v>
      </c>
      <c r="D127" s="27" t="s">
        <v>16</v>
      </c>
      <c r="E127" s="4" t="s">
        <v>43</v>
      </c>
      <c r="F127" s="4">
        <v>1445900000</v>
      </c>
      <c r="G127" s="8" t="str">
        <f>+VLOOKUP(Tabla14[[#This Row],[FONDO]],MAESTRO!$D$2:$E$119,2,FALSE)</f>
        <v>Banco Santander Rio S.A.</v>
      </c>
      <c r="H127" s="8" t="str">
        <f>+VLOOKUP(Tabla14[[#This Row],[FONDO]],MAESTRO!D:F,3,FALSE)</f>
        <v>(T+0)</v>
      </c>
      <c r="I127" s="4" t="s">
        <v>9</v>
      </c>
      <c r="L1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" s="4">
        <f>ROUND(IF(Tabla14[[#This Row],[OPERACIÓN]]=MAESTRO!$B$2,Tabla14[CAPITAL],IF(Tabla14[[#This Row],[OPERACIÓN]]=MAESTRO!$B$5,Tabla14[CAPITAL],-Tabla14[[#This Row],[CAPITAL]])),2)</f>
        <v>1445900000</v>
      </c>
    </row>
    <row r="128" spans="1:13" x14ac:dyDescent="0.3">
      <c r="A128" s="26">
        <v>46038</v>
      </c>
      <c r="B128" t="s">
        <v>298</v>
      </c>
      <c r="C128" t="s">
        <v>132</v>
      </c>
      <c r="D128" s="27" t="s">
        <v>17</v>
      </c>
      <c r="E128" s="4" t="s">
        <v>40</v>
      </c>
      <c r="F128" s="4">
        <v>536300000</v>
      </c>
      <c r="G128" s="8" t="str">
        <f>+VLOOKUP(Tabla14[[#This Row],[FONDO]],MAESTRO!$D$2:$E$119,2,FALSE)</f>
        <v>BBVA Banco Frances SA</v>
      </c>
      <c r="H128" s="8" t="str">
        <f>+VLOOKUP(Tabla14[[#This Row],[FONDO]],MAESTRO!D:F,3,FALSE)</f>
        <v>(T+0)</v>
      </c>
      <c r="I128" s="4" t="s">
        <v>9</v>
      </c>
      <c r="L1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" s="4">
        <f>ROUND(IF(Tabla14[[#This Row],[OPERACIÓN]]=MAESTRO!$B$2,Tabla14[CAPITAL],IF(Tabla14[[#This Row],[OPERACIÓN]]=MAESTRO!$B$5,Tabla14[CAPITAL],-Tabla14[[#This Row],[CAPITAL]])),2)</f>
        <v>-536300000</v>
      </c>
    </row>
    <row r="129" spans="1:13" x14ac:dyDescent="0.3">
      <c r="A129" s="26">
        <v>46038</v>
      </c>
      <c r="B129" t="s">
        <v>299</v>
      </c>
      <c r="C129" t="s">
        <v>132</v>
      </c>
      <c r="D129" s="27" t="s">
        <v>17</v>
      </c>
      <c r="E129" s="4" t="s">
        <v>48</v>
      </c>
      <c r="F129" s="4">
        <v>5600000</v>
      </c>
      <c r="G129" s="8" t="str">
        <f>+VLOOKUP(Tabla14[[#This Row],[FONDO]],MAESTRO!$D$2:$E$119,2,FALSE)</f>
        <v>Banco Macro S.A.</v>
      </c>
      <c r="H129" s="8" t="str">
        <f>+VLOOKUP(Tabla14[[#This Row],[FONDO]],MAESTRO!D:F,3,FALSE)</f>
        <v>(T+0)</v>
      </c>
      <c r="I129" s="4" t="s">
        <v>9</v>
      </c>
      <c r="L1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" s="4">
        <f>ROUND(IF(Tabla14[[#This Row],[OPERACIÓN]]=MAESTRO!$B$2,Tabla14[CAPITAL],IF(Tabla14[[#This Row],[OPERACIÓN]]=MAESTRO!$B$5,Tabla14[CAPITAL],-Tabla14[[#This Row],[CAPITAL]])),2)</f>
        <v>-5600000</v>
      </c>
    </row>
    <row r="130" spans="1:13" x14ac:dyDescent="0.3">
      <c r="A130" s="26">
        <v>46038</v>
      </c>
      <c r="B130" t="s">
        <v>292</v>
      </c>
      <c r="C130" t="s">
        <v>132</v>
      </c>
      <c r="D130" s="27" t="s">
        <v>17</v>
      </c>
      <c r="E130" s="4" t="s">
        <v>48</v>
      </c>
      <c r="F130" s="4">
        <v>3400000</v>
      </c>
      <c r="G130" s="8" t="str">
        <f>+VLOOKUP(Tabla14[[#This Row],[FONDO]],MAESTRO!$D$2:$E$119,2,FALSE)</f>
        <v>Banco Macro S.A.</v>
      </c>
      <c r="H130" s="8" t="str">
        <f>+VLOOKUP(Tabla14[[#This Row],[FONDO]],MAESTRO!D:F,3,FALSE)</f>
        <v>(T+0)</v>
      </c>
      <c r="I130" s="4" t="s">
        <v>9</v>
      </c>
      <c r="L1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" s="4">
        <f>ROUND(IF(Tabla14[[#This Row],[OPERACIÓN]]=MAESTRO!$B$2,Tabla14[CAPITAL],IF(Tabla14[[#This Row],[OPERACIÓN]]=MAESTRO!$B$5,Tabla14[CAPITAL],-Tabla14[[#This Row],[CAPITAL]])),2)</f>
        <v>-3400000</v>
      </c>
    </row>
    <row r="131" spans="1:13" x14ac:dyDescent="0.3">
      <c r="A131" s="37">
        <v>46038</v>
      </c>
      <c r="B131" s="20" t="s">
        <v>292</v>
      </c>
      <c r="C131" s="20" t="s">
        <v>132</v>
      </c>
      <c r="D131" s="38" t="s">
        <v>16</v>
      </c>
      <c r="E131" s="39" t="s">
        <v>48</v>
      </c>
      <c r="F131" s="39">
        <v>4388552</v>
      </c>
      <c r="G131" s="40" t="str">
        <f>+VLOOKUP(Tabla14[[#This Row],[FONDO]],MAESTRO!$D$2:$E$119,2,FALSE)</f>
        <v>Banco Macro S.A.</v>
      </c>
      <c r="H131" s="40" t="str">
        <f>+VLOOKUP(Tabla14[[#This Row],[FONDO]],MAESTRO!D:F,3,FALSE)</f>
        <v>(T+0)</v>
      </c>
      <c r="I131" s="39" t="s">
        <v>9</v>
      </c>
      <c r="J131" s="49"/>
      <c r="K131" s="20"/>
      <c r="L13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" s="39">
        <f>ROUND(IF(Tabla14[[#This Row],[OPERACIÓN]]=MAESTRO!$B$2,Tabla14[CAPITAL],IF(Tabla14[[#This Row],[OPERACIÓN]]=MAESTRO!$B$5,Tabla14[CAPITAL],-Tabla14[[#This Row],[CAPITAL]])),2)</f>
        <v>4388552</v>
      </c>
    </row>
    <row r="132" spans="1:13" x14ac:dyDescent="0.3">
      <c r="A132" s="37">
        <v>46038</v>
      </c>
      <c r="B132" s="20" t="s">
        <v>292</v>
      </c>
      <c r="C132" s="20" t="s">
        <v>132</v>
      </c>
      <c r="D132" s="38" t="s">
        <v>16</v>
      </c>
      <c r="E132" s="39" t="s">
        <v>136</v>
      </c>
      <c r="F132" s="39">
        <v>7592031.7999999998</v>
      </c>
      <c r="G132" s="40" t="str">
        <f>+VLOOKUP(Tabla14[[#This Row],[FONDO]],MAESTRO!$D$2:$E$119,2,FALSE)</f>
        <v>Gma Capital</v>
      </c>
      <c r="H132" s="40" t="str">
        <f>+VLOOKUP(Tabla14[[#This Row],[FONDO]],MAESTRO!D:F,3,FALSE)</f>
        <v>(T+0)</v>
      </c>
      <c r="I132" s="39" t="s">
        <v>9</v>
      </c>
      <c r="J132" s="49"/>
      <c r="K132" s="20"/>
      <c r="L13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" s="39">
        <f>ROUND(IF(Tabla14[[#This Row],[OPERACIÓN]]=MAESTRO!$B$2,Tabla14[CAPITAL],IF(Tabla14[[#This Row],[OPERACIÓN]]=MAESTRO!$B$5,Tabla14[CAPITAL],-Tabla14[[#This Row],[CAPITAL]])),2)</f>
        <v>7592031.7999999998</v>
      </c>
    </row>
    <row r="133" spans="1:13" x14ac:dyDescent="0.3">
      <c r="A133" s="37">
        <v>46038</v>
      </c>
      <c r="B133" s="20" t="s">
        <v>299</v>
      </c>
      <c r="C133" s="20" t="s">
        <v>132</v>
      </c>
      <c r="D133" s="38" t="s">
        <v>16</v>
      </c>
      <c r="E133" s="39" t="s">
        <v>48</v>
      </c>
      <c r="F133" s="39">
        <v>2881143</v>
      </c>
      <c r="G133" s="40" t="str">
        <f>+VLOOKUP(Tabla14[[#This Row],[FONDO]],MAESTRO!$D$2:$E$119,2,FALSE)</f>
        <v>Banco Macro S.A.</v>
      </c>
      <c r="H133" s="40" t="str">
        <f>+VLOOKUP(Tabla14[[#This Row],[FONDO]],MAESTRO!D:F,3,FALSE)</f>
        <v>(T+0)</v>
      </c>
      <c r="I133" s="39" t="s">
        <v>9</v>
      </c>
      <c r="J133" s="49"/>
      <c r="K133" s="20"/>
      <c r="L13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" s="39">
        <f>ROUND(IF(Tabla14[[#This Row],[OPERACIÓN]]=MAESTRO!$B$2,Tabla14[CAPITAL],IF(Tabla14[[#This Row],[OPERACIÓN]]=MAESTRO!$B$5,Tabla14[CAPITAL],-Tabla14[[#This Row],[CAPITAL]])),2)</f>
        <v>2881143</v>
      </c>
    </row>
    <row r="134" spans="1:13" x14ac:dyDescent="0.3">
      <c r="A134" s="37">
        <v>46038</v>
      </c>
      <c r="B134" s="20" t="s">
        <v>299</v>
      </c>
      <c r="C134" s="20" t="s">
        <v>132</v>
      </c>
      <c r="D134" s="38" t="s">
        <v>16</v>
      </c>
      <c r="E134" s="39" t="s">
        <v>136</v>
      </c>
      <c r="F134" s="39">
        <v>1198031.3500000001</v>
      </c>
      <c r="G134" s="40" t="str">
        <f>+VLOOKUP(Tabla14[[#This Row],[FONDO]],MAESTRO!$D$2:$E$119,2,FALSE)</f>
        <v>Gma Capital</v>
      </c>
      <c r="H134" s="40" t="str">
        <f>+VLOOKUP(Tabla14[[#This Row],[FONDO]],MAESTRO!D:F,3,FALSE)</f>
        <v>(T+0)</v>
      </c>
      <c r="I134" s="39" t="s">
        <v>9</v>
      </c>
      <c r="J134" s="49"/>
      <c r="K134" s="20"/>
      <c r="L13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" s="39">
        <f>ROUND(IF(Tabla14[[#This Row],[OPERACIÓN]]=MAESTRO!$B$2,Tabla14[CAPITAL],IF(Tabla14[[#This Row],[OPERACIÓN]]=MAESTRO!$B$5,Tabla14[CAPITAL],-Tabla14[[#This Row],[CAPITAL]])),2)</f>
        <v>1198031.3500000001</v>
      </c>
    </row>
    <row r="135" spans="1:13" x14ac:dyDescent="0.3">
      <c r="A135" s="37">
        <v>46038</v>
      </c>
      <c r="B135" s="20" t="s">
        <v>299</v>
      </c>
      <c r="C135" s="20" t="s">
        <v>132</v>
      </c>
      <c r="D135" s="38" t="s">
        <v>16</v>
      </c>
      <c r="E135" s="39" t="s">
        <v>204</v>
      </c>
      <c r="F135" s="39">
        <v>17383506.16</v>
      </c>
      <c r="G135" s="40" t="str">
        <f>+VLOOKUP(Tabla14[[#This Row],[FONDO]],MAESTRO!$D$2:$E$119,2,FALSE)</f>
        <v>Latin Securities</v>
      </c>
      <c r="H135" s="40" t="str">
        <f>+VLOOKUP(Tabla14[[#This Row],[FONDO]],MAESTRO!D:F,3,FALSE)</f>
        <v>(T+0)</v>
      </c>
      <c r="I135" s="39" t="s">
        <v>9</v>
      </c>
      <c r="J135" s="49"/>
      <c r="K135" s="20"/>
      <c r="L13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" s="39">
        <f>ROUND(IF(Tabla14[[#This Row],[OPERACIÓN]]=MAESTRO!$B$2,Tabla14[CAPITAL],IF(Tabla14[[#This Row],[OPERACIÓN]]=MAESTRO!$B$5,Tabla14[CAPITAL],-Tabla14[[#This Row],[CAPITAL]])),2)</f>
        <v>17383506.16</v>
      </c>
    </row>
    <row r="136" spans="1:13" x14ac:dyDescent="0.3">
      <c r="A136" s="37">
        <v>46038</v>
      </c>
      <c r="B136" s="20" t="s">
        <v>299</v>
      </c>
      <c r="C136" s="20" t="s">
        <v>132</v>
      </c>
      <c r="D136" s="38" t="s">
        <v>16</v>
      </c>
      <c r="E136" s="39" t="s">
        <v>212</v>
      </c>
      <c r="F136" s="39">
        <v>134066409.73</v>
      </c>
      <c r="G136" s="40" t="str">
        <f>+VLOOKUP(Tabla14[[#This Row],[FONDO]],MAESTRO!$D$2:$E$119,2,FALSE)</f>
        <v>INTAGRO</v>
      </c>
      <c r="H136" s="40" t="str">
        <f>+VLOOKUP(Tabla14[[#This Row],[FONDO]],MAESTRO!D:F,3,FALSE)</f>
        <v>(T+0)</v>
      </c>
      <c r="I136" s="39" t="s">
        <v>9</v>
      </c>
      <c r="J136" s="49"/>
      <c r="K136" s="20"/>
      <c r="L13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" s="39">
        <f>ROUND(IF(Tabla14[[#This Row],[OPERACIÓN]]=MAESTRO!$B$2,Tabla14[CAPITAL],IF(Tabla14[[#This Row],[OPERACIÓN]]=MAESTRO!$B$5,Tabla14[CAPITAL],-Tabla14[[#This Row],[CAPITAL]])),2)</f>
        <v>134066409.73</v>
      </c>
    </row>
    <row r="137" spans="1:13" x14ac:dyDescent="0.3">
      <c r="A137" s="37">
        <v>46038</v>
      </c>
      <c r="B137" s="20" t="s">
        <v>126</v>
      </c>
      <c r="C137" s="20" t="s">
        <v>132</v>
      </c>
      <c r="D137" s="38" t="s">
        <v>16</v>
      </c>
      <c r="E137" s="39" t="s">
        <v>48</v>
      </c>
      <c r="F137" s="55">
        <v>16096570</v>
      </c>
      <c r="G137" s="40" t="str">
        <f>+VLOOKUP(Tabla14[[#This Row],[FONDO]],MAESTRO!$D$2:$E$119,2,FALSE)</f>
        <v>Banco Macro S.A.</v>
      </c>
      <c r="H137" s="40" t="str">
        <f>+VLOOKUP(Tabla14[[#This Row],[FONDO]],MAESTRO!D:F,3,FALSE)</f>
        <v>(T+0)</v>
      </c>
      <c r="I137" s="39" t="s">
        <v>9</v>
      </c>
      <c r="J137" s="49"/>
      <c r="K137" s="20"/>
      <c r="L13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" s="39">
        <f>ROUND(IF(Tabla14[[#This Row],[OPERACIÓN]]=MAESTRO!$B$2,Tabla14[CAPITAL],IF(Tabla14[[#This Row],[OPERACIÓN]]=MAESTRO!$B$5,Tabla14[CAPITAL],-Tabla14[[#This Row],[CAPITAL]])),2)</f>
        <v>16096570</v>
      </c>
    </row>
    <row r="138" spans="1:13" x14ac:dyDescent="0.3">
      <c r="A138" s="37">
        <v>46038</v>
      </c>
      <c r="B138" s="20" t="s">
        <v>298</v>
      </c>
      <c r="C138" s="20" t="s">
        <v>132</v>
      </c>
      <c r="D138" s="38" t="s">
        <v>16</v>
      </c>
      <c r="E138" s="39" t="s">
        <v>136</v>
      </c>
      <c r="F138" s="39">
        <v>9060393</v>
      </c>
      <c r="G138" s="40" t="str">
        <f>+VLOOKUP(Tabla14[[#This Row],[FONDO]],MAESTRO!$D$2:$E$119,2,FALSE)</f>
        <v>Gma Capital</v>
      </c>
      <c r="H138" s="40" t="str">
        <f>+VLOOKUP(Tabla14[[#This Row],[FONDO]],MAESTRO!D:F,3,FALSE)</f>
        <v>(T+0)</v>
      </c>
      <c r="I138" s="39" t="s">
        <v>9</v>
      </c>
      <c r="J138" s="49"/>
      <c r="K138" s="20"/>
      <c r="L13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" s="39">
        <f>ROUND(IF(Tabla14[[#This Row],[OPERACIÓN]]=MAESTRO!$B$2,Tabla14[CAPITAL],IF(Tabla14[[#This Row],[OPERACIÓN]]=MAESTRO!$B$5,Tabla14[CAPITAL],-Tabla14[[#This Row],[CAPITAL]])),2)</f>
        <v>9060393</v>
      </c>
    </row>
    <row r="139" spans="1:13" x14ac:dyDescent="0.3">
      <c r="A139" s="37">
        <v>46038</v>
      </c>
      <c r="B139" s="20" t="s">
        <v>298</v>
      </c>
      <c r="C139" s="20" t="s">
        <v>132</v>
      </c>
      <c r="D139" s="38" t="s">
        <v>16</v>
      </c>
      <c r="E139" s="39" t="s">
        <v>169</v>
      </c>
      <c r="F139" s="39">
        <v>2660659.0499999998</v>
      </c>
      <c r="G139" s="40" t="str">
        <f>+VLOOKUP(Tabla14[[#This Row],[FONDO]],MAESTRO!$D$2:$E$119,2,FALSE)</f>
        <v>Max Capital</v>
      </c>
      <c r="H139" s="40" t="str">
        <f>+VLOOKUP(Tabla14[[#This Row],[FONDO]],MAESTRO!D:F,3,FALSE)</f>
        <v>(T+0)</v>
      </c>
      <c r="I139" s="39" t="s">
        <v>9</v>
      </c>
      <c r="J139" s="49"/>
      <c r="K139" s="20"/>
      <c r="L13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" s="39">
        <f>ROUND(IF(Tabla14[[#This Row],[OPERACIÓN]]=MAESTRO!$B$2,Tabla14[CAPITAL],IF(Tabla14[[#This Row],[OPERACIÓN]]=MAESTRO!$B$5,Tabla14[CAPITAL],-Tabla14[[#This Row],[CAPITAL]])),2)</f>
        <v>2660659.0499999998</v>
      </c>
    </row>
    <row r="140" spans="1:13" x14ac:dyDescent="0.3">
      <c r="A140" s="37">
        <v>46038</v>
      </c>
      <c r="B140" s="20" t="s">
        <v>298</v>
      </c>
      <c r="C140" s="20" t="s">
        <v>132</v>
      </c>
      <c r="D140" s="38" t="s">
        <v>16</v>
      </c>
      <c r="E140" s="39" t="s">
        <v>204</v>
      </c>
      <c r="F140" s="39">
        <v>7686613.8499999996</v>
      </c>
      <c r="G140" s="40" t="str">
        <f>+VLOOKUP(Tabla14[[#This Row],[FONDO]],MAESTRO!$D$2:$E$119,2,FALSE)</f>
        <v>Latin Securities</v>
      </c>
      <c r="H140" s="40" t="str">
        <f>+VLOOKUP(Tabla14[[#This Row],[FONDO]],MAESTRO!D:F,3,FALSE)</f>
        <v>(T+0)</v>
      </c>
      <c r="I140" s="39" t="s">
        <v>9</v>
      </c>
      <c r="J140" s="49"/>
      <c r="K140" s="20"/>
      <c r="L14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" s="39">
        <f>ROUND(IF(Tabla14[[#This Row],[OPERACIÓN]]=MAESTRO!$B$2,Tabla14[CAPITAL],IF(Tabla14[[#This Row],[OPERACIÓN]]=MAESTRO!$B$5,Tabla14[CAPITAL],-Tabla14[[#This Row],[CAPITAL]])),2)</f>
        <v>7686613.8499999996</v>
      </c>
    </row>
    <row r="141" spans="1:13" x14ac:dyDescent="0.3">
      <c r="A141" s="37">
        <v>46038</v>
      </c>
      <c r="B141" s="20" t="s">
        <v>298</v>
      </c>
      <c r="C141" s="20" t="s">
        <v>132</v>
      </c>
      <c r="D141" s="38" t="s">
        <v>16</v>
      </c>
      <c r="E141" s="39" t="s">
        <v>208</v>
      </c>
      <c r="F141" s="39">
        <v>21426285.809999999</v>
      </c>
      <c r="G141" s="40" t="str">
        <f>+VLOOKUP(Tabla14[[#This Row],[FONDO]],MAESTRO!$D$2:$E$119,2,FALSE)</f>
        <v>Facimex</v>
      </c>
      <c r="H141" s="40" t="str">
        <f>+VLOOKUP(Tabla14[[#This Row],[FONDO]],MAESTRO!D:F,3,FALSE)</f>
        <v>(T+0)</v>
      </c>
      <c r="I141" s="39" t="s">
        <v>9</v>
      </c>
      <c r="J141" s="49"/>
      <c r="K141" s="20"/>
      <c r="L14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" s="39">
        <f>ROUND(IF(Tabla14[[#This Row],[OPERACIÓN]]=MAESTRO!$B$2,Tabla14[CAPITAL],IF(Tabla14[[#This Row],[OPERACIÓN]]=MAESTRO!$B$5,Tabla14[CAPITAL],-Tabla14[[#This Row],[CAPITAL]])),2)</f>
        <v>21426285.809999999</v>
      </c>
    </row>
    <row r="142" spans="1:13" x14ac:dyDescent="0.3">
      <c r="A142" s="37">
        <v>46038</v>
      </c>
      <c r="B142" s="20" t="s">
        <v>298</v>
      </c>
      <c r="C142" s="20" t="s">
        <v>132</v>
      </c>
      <c r="D142" s="38" t="s">
        <v>16</v>
      </c>
      <c r="E142" s="39" t="s">
        <v>174</v>
      </c>
      <c r="F142" s="39">
        <v>1561731</v>
      </c>
      <c r="G142" s="40" t="str">
        <f>+VLOOKUP(Tabla14[[#This Row],[FONDO]],MAESTRO!$D$2:$E$119,2,FALSE)</f>
        <v>Zofingen</v>
      </c>
      <c r="H142" s="40" t="str">
        <f>+VLOOKUP(Tabla14[[#This Row],[FONDO]],MAESTRO!D:F,3,FALSE)</f>
        <v>(T+0)</v>
      </c>
      <c r="I142" s="39" t="s">
        <v>9</v>
      </c>
      <c r="J142" s="49"/>
      <c r="K142" s="20"/>
      <c r="L14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" s="39">
        <f>ROUND(IF(Tabla14[[#This Row],[OPERACIÓN]]=MAESTRO!$B$2,Tabla14[CAPITAL],IF(Tabla14[[#This Row],[OPERACIÓN]]=MAESTRO!$B$5,Tabla14[CAPITAL],-Tabla14[[#This Row],[CAPITAL]])),2)</f>
        <v>1561731</v>
      </c>
    </row>
    <row r="143" spans="1:13" x14ac:dyDescent="0.3">
      <c r="A143" s="37">
        <v>46038</v>
      </c>
      <c r="B143" s="20" t="s">
        <v>298</v>
      </c>
      <c r="C143" s="20" t="s">
        <v>132</v>
      </c>
      <c r="D143" s="38" t="s">
        <v>16</v>
      </c>
      <c r="E143" s="39" t="s">
        <v>180</v>
      </c>
      <c r="F143" s="39">
        <v>28071295</v>
      </c>
      <c r="G143" s="40" t="str">
        <f>+VLOOKUP(Tabla14[[#This Row],[FONDO]],MAESTRO!$D$2:$E$119,2,FALSE)</f>
        <v>PP Inversiones</v>
      </c>
      <c r="H143" s="40" t="str">
        <f>+VLOOKUP(Tabla14[[#This Row],[FONDO]],MAESTRO!D:F,3,FALSE)</f>
        <v>(T+0)</v>
      </c>
      <c r="I143" s="39" t="s">
        <v>9</v>
      </c>
      <c r="J143" s="49"/>
      <c r="K143" s="20"/>
      <c r="L14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" s="39">
        <f>ROUND(IF(Tabla14[[#This Row],[OPERACIÓN]]=MAESTRO!$B$2,Tabla14[CAPITAL],IF(Tabla14[[#This Row],[OPERACIÓN]]=MAESTRO!$B$5,Tabla14[CAPITAL],-Tabla14[[#This Row],[CAPITAL]])),2)</f>
        <v>28071295</v>
      </c>
    </row>
    <row r="144" spans="1:13" x14ac:dyDescent="0.3">
      <c r="A144" s="26">
        <v>46041</v>
      </c>
      <c r="B144" t="s">
        <v>298</v>
      </c>
      <c r="C144" t="s">
        <v>132</v>
      </c>
      <c r="D144" s="27" t="s">
        <v>17</v>
      </c>
      <c r="E144" s="4" t="s">
        <v>43</v>
      </c>
      <c r="F144" s="4">
        <v>213900000</v>
      </c>
      <c r="G144" s="8" t="str">
        <f>+VLOOKUP(Tabla14[[#This Row],[FONDO]],MAESTRO!$D$2:$E$119,2,FALSE)</f>
        <v>Banco Santander Rio S.A.</v>
      </c>
      <c r="H144" s="8" t="str">
        <f>+VLOOKUP(Tabla14[[#This Row],[FONDO]],MAESTRO!D:F,3,FALSE)</f>
        <v>(T+0)</v>
      </c>
      <c r="I144" s="4" t="s">
        <v>9</v>
      </c>
      <c r="L1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" s="4">
        <f>ROUND(IF(Tabla14[[#This Row],[OPERACIÓN]]=MAESTRO!$B$2,Tabla14[CAPITAL],IF(Tabla14[[#This Row],[OPERACIÓN]]=MAESTRO!$B$5,Tabla14[CAPITAL],-Tabla14[[#This Row],[CAPITAL]])),2)</f>
        <v>-213900000</v>
      </c>
    </row>
    <row r="145" spans="1:13" x14ac:dyDescent="0.3">
      <c r="A145" s="26">
        <v>46041</v>
      </c>
      <c r="B145" t="s">
        <v>299</v>
      </c>
      <c r="C145" t="s">
        <v>132</v>
      </c>
      <c r="D145" s="27" t="s">
        <v>16</v>
      </c>
      <c r="E145" s="4" t="s">
        <v>48</v>
      </c>
      <c r="F145" s="4">
        <v>14000000</v>
      </c>
      <c r="G145" s="8" t="str">
        <f>+VLOOKUP(Tabla14[[#This Row],[FONDO]],MAESTRO!$D$2:$E$119,2,FALSE)</f>
        <v>Banco Macro S.A.</v>
      </c>
      <c r="H145" s="8" t="str">
        <f>+VLOOKUP(Tabla14[[#This Row],[FONDO]],MAESTRO!D:F,3,FALSE)</f>
        <v>(T+0)</v>
      </c>
      <c r="I145" s="4" t="s">
        <v>9</v>
      </c>
      <c r="L1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" s="4">
        <f>ROUND(IF(Tabla14[[#This Row],[OPERACIÓN]]=MAESTRO!$B$2,Tabla14[CAPITAL],IF(Tabla14[[#This Row],[OPERACIÓN]]=MAESTRO!$B$5,Tabla14[CAPITAL],-Tabla14[[#This Row],[CAPITAL]])),2)</f>
        <v>14000000</v>
      </c>
    </row>
    <row r="146" spans="1:13" x14ac:dyDescent="0.3">
      <c r="A146" s="26">
        <v>46041</v>
      </c>
      <c r="B146" t="s">
        <v>299</v>
      </c>
      <c r="C146" t="s">
        <v>132</v>
      </c>
      <c r="D146" s="27" t="s">
        <v>17</v>
      </c>
      <c r="E146" s="4" t="s">
        <v>204</v>
      </c>
      <c r="F146" s="4">
        <v>180000000</v>
      </c>
      <c r="G146" s="8" t="str">
        <f>+VLOOKUP(Tabla14[[#This Row],[FONDO]],MAESTRO!$D$2:$E$119,2,FALSE)</f>
        <v>Latin Securities</v>
      </c>
      <c r="H146" s="8" t="str">
        <f>+VLOOKUP(Tabla14[[#This Row],[FONDO]],MAESTRO!D:F,3,FALSE)</f>
        <v>(T+0)</v>
      </c>
      <c r="I146" s="4" t="s">
        <v>9</v>
      </c>
      <c r="L1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" s="4">
        <f>ROUND(IF(Tabla14[[#This Row],[OPERACIÓN]]=MAESTRO!$B$2,Tabla14[CAPITAL],IF(Tabla14[[#This Row],[OPERACIÓN]]=MAESTRO!$B$5,Tabla14[CAPITAL],-Tabla14[[#This Row],[CAPITAL]])),2)</f>
        <v>-180000000</v>
      </c>
    </row>
    <row r="147" spans="1:13" x14ac:dyDescent="0.3">
      <c r="A147" s="26">
        <v>46041</v>
      </c>
      <c r="B147" t="s">
        <v>299</v>
      </c>
      <c r="C147" t="s">
        <v>132</v>
      </c>
      <c r="D147" s="27" t="s">
        <v>17</v>
      </c>
      <c r="E147" s="4" t="s">
        <v>136</v>
      </c>
      <c r="F147" s="4">
        <v>110000000</v>
      </c>
      <c r="G147" s="8" t="str">
        <f>+VLOOKUP(Tabla14[[#This Row],[FONDO]],MAESTRO!$D$2:$E$119,2,FALSE)</f>
        <v>Gma Capital</v>
      </c>
      <c r="H147" s="8" t="str">
        <f>+VLOOKUP(Tabla14[[#This Row],[FONDO]],MAESTRO!D:F,3,FALSE)</f>
        <v>(T+0)</v>
      </c>
      <c r="I147" s="4" t="s">
        <v>9</v>
      </c>
      <c r="L1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" s="4">
        <f>ROUND(IF(Tabla14[[#This Row],[OPERACIÓN]]=MAESTRO!$B$2,Tabla14[CAPITAL],IF(Tabla14[[#This Row],[OPERACIÓN]]=MAESTRO!$B$5,Tabla14[CAPITAL],-Tabla14[[#This Row],[CAPITAL]])),2)</f>
        <v>-110000000</v>
      </c>
    </row>
    <row r="148" spans="1:13" x14ac:dyDescent="0.3">
      <c r="A148" s="26">
        <v>46041</v>
      </c>
      <c r="B148" t="s">
        <v>298</v>
      </c>
      <c r="C148" t="s">
        <v>132</v>
      </c>
      <c r="D148" s="27" t="s">
        <v>17</v>
      </c>
      <c r="E148" s="4" t="s">
        <v>40</v>
      </c>
      <c r="F148" s="4">
        <v>1000000000</v>
      </c>
      <c r="G148" s="8" t="str">
        <f>+VLOOKUP(Tabla14[[#This Row],[FONDO]],MAESTRO!$D$2:$E$119,2,FALSE)</f>
        <v>BBVA Banco Frances SA</v>
      </c>
      <c r="H148" s="8" t="str">
        <f>+VLOOKUP(Tabla14[[#This Row],[FONDO]],MAESTRO!D:F,3,FALSE)</f>
        <v>(T+0)</v>
      </c>
      <c r="I148" s="4" t="s">
        <v>9</v>
      </c>
      <c r="L1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" s="4">
        <f>ROUND(IF(Tabla14[[#This Row],[OPERACIÓN]]=MAESTRO!$B$2,Tabla14[CAPITAL],IF(Tabla14[[#This Row],[OPERACIÓN]]=MAESTRO!$B$5,Tabla14[CAPITAL],-Tabla14[[#This Row],[CAPITAL]])),2)</f>
        <v>-1000000000</v>
      </c>
    </row>
    <row r="149" spans="1:13" x14ac:dyDescent="0.3">
      <c r="A149" s="26">
        <v>46041</v>
      </c>
      <c r="B149" t="s">
        <v>298</v>
      </c>
      <c r="C149" t="s">
        <v>132</v>
      </c>
      <c r="D149" s="27" t="s">
        <v>16</v>
      </c>
      <c r="E149" s="4" t="s">
        <v>136</v>
      </c>
      <c r="F149" s="4">
        <v>1000000000</v>
      </c>
      <c r="G149" s="8" t="str">
        <f>+VLOOKUP(Tabla14[[#This Row],[FONDO]],MAESTRO!$D$2:$E$119,2,FALSE)</f>
        <v>Gma Capital</v>
      </c>
      <c r="H149" s="8" t="str">
        <f>+VLOOKUP(Tabla14[[#This Row],[FONDO]],MAESTRO!D:F,3,FALSE)</f>
        <v>(T+0)</v>
      </c>
      <c r="I149" s="4" t="s">
        <v>9</v>
      </c>
      <c r="L1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" s="4">
        <f>ROUND(IF(Tabla14[[#This Row],[OPERACIÓN]]=MAESTRO!$B$2,Tabla14[CAPITAL],IF(Tabla14[[#This Row],[OPERACIÓN]]=MAESTRO!$B$5,Tabla14[CAPITAL],-Tabla14[[#This Row],[CAPITAL]])),2)</f>
        <v>1000000000</v>
      </c>
    </row>
    <row r="150" spans="1:13" x14ac:dyDescent="0.3">
      <c r="A150" s="26">
        <v>46041</v>
      </c>
      <c r="B150" t="s">
        <v>292</v>
      </c>
      <c r="C150" t="s">
        <v>132</v>
      </c>
      <c r="D150" s="27" t="s">
        <v>17</v>
      </c>
      <c r="E150" s="4" t="s">
        <v>136</v>
      </c>
      <c r="F150" s="4">
        <v>109500000</v>
      </c>
      <c r="G150" s="8" t="str">
        <f>+VLOOKUP(Tabla14[[#This Row],[FONDO]],MAESTRO!$D$2:$E$119,2,FALSE)</f>
        <v>Gma Capital</v>
      </c>
      <c r="H150" s="8" t="str">
        <f>+VLOOKUP(Tabla14[[#This Row],[FONDO]],MAESTRO!D:F,3,FALSE)</f>
        <v>(T+0)</v>
      </c>
      <c r="I150" s="4" t="s">
        <v>9</v>
      </c>
      <c r="L1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" s="4">
        <f>ROUND(IF(Tabla14[[#This Row],[OPERACIÓN]]=MAESTRO!$B$2,Tabla14[CAPITAL],IF(Tabla14[[#This Row],[OPERACIÓN]]=MAESTRO!$B$5,Tabla14[CAPITAL],-Tabla14[[#This Row],[CAPITAL]])),2)</f>
        <v>-109500000</v>
      </c>
    </row>
    <row r="151" spans="1:13" x14ac:dyDescent="0.3">
      <c r="A151" s="26">
        <v>46042</v>
      </c>
      <c r="B151" t="s">
        <v>126</v>
      </c>
      <c r="C151" t="s">
        <v>132</v>
      </c>
      <c r="D151" s="27" t="s">
        <v>17</v>
      </c>
      <c r="E151" s="4" t="s">
        <v>48</v>
      </c>
      <c r="F151" s="4">
        <v>7300000</v>
      </c>
      <c r="G151" s="8" t="str">
        <f>+VLOOKUP(Tabla14[[#This Row],[FONDO]],MAESTRO!$D$2:$E$119,2,FALSE)</f>
        <v>Banco Macro S.A.</v>
      </c>
      <c r="H151" s="8" t="str">
        <f>+VLOOKUP(Tabla14[[#This Row],[FONDO]],MAESTRO!D:F,3,FALSE)</f>
        <v>(T+0)</v>
      </c>
      <c r="I151" s="4" t="s">
        <v>9</v>
      </c>
      <c r="L1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" s="4">
        <f>ROUND(IF(Tabla14[[#This Row],[OPERACIÓN]]=MAESTRO!$B$2,Tabla14[CAPITAL],IF(Tabla14[[#This Row],[OPERACIÓN]]=MAESTRO!$B$5,Tabla14[CAPITAL],-Tabla14[[#This Row],[CAPITAL]])),2)</f>
        <v>-7300000</v>
      </c>
    </row>
    <row r="152" spans="1:13" x14ac:dyDescent="0.3">
      <c r="A152" s="26">
        <v>46042</v>
      </c>
      <c r="B152" t="s">
        <v>292</v>
      </c>
      <c r="C152" t="s">
        <v>132</v>
      </c>
      <c r="D152" s="27" t="s">
        <v>17</v>
      </c>
      <c r="E152" s="4" t="s">
        <v>48</v>
      </c>
      <c r="F152" s="4">
        <v>7700000</v>
      </c>
      <c r="G152" s="8" t="str">
        <f>+VLOOKUP(Tabla14[[#This Row],[FONDO]],MAESTRO!$D$2:$E$119,2,FALSE)</f>
        <v>Banco Macro S.A.</v>
      </c>
      <c r="H152" s="8" t="str">
        <f>+VLOOKUP(Tabla14[[#This Row],[FONDO]],MAESTRO!D:F,3,FALSE)</f>
        <v>(T+0)</v>
      </c>
      <c r="I152" s="4" t="s">
        <v>9</v>
      </c>
      <c r="L1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" s="4">
        <f>ROUND(IF(Tabla14[[#This Row],[OPERACIÓN]]=MAESTRO!$B$2,Tabla14[CAPITAL],IF(Tabla14[[#This Row],[OPERACIÓN]]=MAESTRO!$B$5,Tabla14[CAPITAL],-Tabla14[[#This Row],[CAPITAL]])),2)</f>
        <v>-7700000</v>
      </c>
    </row>
    <row r="153" spans="1:13" x14ac:dyDescent="0.3">
      <c r="A153" s="26">
        <v>46042</v>
      </c>
      <c r="B153" t="s">
        <v>299</v>
      </c>
      <c r="C153" t="s">
        <v>132</v>
      </c>
      <c r="D153" s="27" t="s">
        <v>16</v>
      </c>
      <c r="E153" s="4" t="s">
        <v>48</v>
      </c>
      <c r="F153" s="4">
        <v>11000000</v>
      </c>
      <c r="G153" s="8" t="str">
        <f>+VLOOKUP(Tabla14[[#This Row],[FONDO]],MAESTRO!$D$2:$E$119,2,FALSE)</f>
        <v>Banco Macro S.A.</v>
      </c>
      <c r="H153" s="8" t="str">
        <f>+VLOOKUP(Tabla14[[#This Row],[FONDO]],MAESTRO!D:F,3,FALSE)</f>
        <v>(T+0)</v>
      </c>
      <c r="I153" s="4" t="s">
        <v>9</v>
      </c>
      <c r="L1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" s="4">
        <f>ROUND(IF(Tabla14[[#This Row],[OPERACIÓN]]=MAESTRO!$B$2,Tabla14[CAPITAL],IF(Tabla14[[#This Row],[OPERACIÓN]]=MAESTRO!$B$5,Tabla14[CAPITAL],-Tabla14[[#This Row],[CAPITAL]])),2)</f>
        <v>11000000</v>
      </c>
    </row>
    <row r="154" spans="1:13" x14ac:dyDescent="0.3">
      <c r="A154" s="26">
        <v>46042</v>
      </c>
      <c r="B154" t="s">
        <v>298</v>
      </c>
      <c r="C154" t="s">
        <v>132</v>
      </c>
      <c r="D154" s="27" t="s">
        <v>17</v>
      </c>
      <c r="E154" s="4" t="s">
        <v>43</v>
      </c>
      <c r="F154" s="4">
        <v>197200000</v>
      </c>
      <c r="G154" s="8" t="str">
        <f>+VLOOKUP(Tabla14[[#This Row],[FONDO]],MAESTRO!$D$2:$E$119,2,FALSE)</f>
        <v>Banco Santander Rio S.A.</v>
      </c>
      <c r="H154" s="8" t="str">
        <f>+VLOOKUP(Tabla14[[#This Row],[FONDO]],MAESTRO!D:F,3,FALSE)</f>
        <v>(T+0)</v>
      </c>
      <c r="I154" s="4" t="s">
        <v>9</v>
      </c>
      <c r="L1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4" s="4">
        <f>ROUND(IF(Tabla14[[#This Row],[OPERACIÓN]]=MAESTRO!$B$2,Tabla14[CAPITAL],IF(Tabla14[[#This Row],[OPERACIÓN]]=MAESTRO!$B$5,Tabla14[CAPITAL],-Tabla14[[#This Row],[CAPITAL]])),2)</f>
        <v>-197200000</v>
      </c>
    </row>
    <row r="155" spans="1:13" x14ac:dyDescent="0.3">
      <c r="A155" s="26">
        <v>46042</v>
      </c>
      <c r="B155" t="s">
        <v>299</v>
      </c>
      <c r="C155" t="s">
        <v>132</v>
      </c>
      <c r="D155" s="27" t="s">
        <v>17</v>
      </c>
      <c r="E155" s="4" t="s">
        <v>212</v>
      </c>
      <c r="F155" s="4">
        <v>150000000</v>
      </c>
      <c r="G155" s="8" t="str">
        <f>+VLOOKUP(Tabla14[[#This Row],[FONDO]],MAESTRO!$D$2:$E$119,2,FALSE)</f>
        <v>INTAGRO</v>
      </c>
      <c r="H155" s="8" t="str">
        <f>+VLOOKUP(Tabla14[[#This Row],[FONDO]],MAESTRO!D:F,3,FALSE)</f>
        <v>(T+0)</v>
      </c>
      <c r="I155" s="4" t="s">
        <v>9</v>
      </c>
      <c r="L1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5" s="4">
        <f>ROUND(IF(Tabla14[[#This Row],[OPERACIÓN]]=MAESTRO!$B$2,Tabla14[CAPITAL],IF(Tabla14[[#This Row],[OPERACIÓN]]=MAESTRO!$B$5,Tabla14[CAPITAL],-Tabla14[[#This Row],[CAPITAL]])),2)</f>
        <v>-150000000</v>
      </c>
    </row>
    <row r="156" spans="1:13" x14ac:dyDescent="0.3">
      <c r="A156" s="26">
        <v>46042</v>
      </c>
      <c r="B156" t="s">
        <v>292</v>
      </c>
      <c r="C156" t="s">
        <v>132</v>
      </c>
      <c r="D156" s="27" t="s">
        <v>17</v>
      </c>
      <c r="E156" s="4" t="s">
        <v>136</v>
      </c>
      <c r="F156" s="4">
        <v>70000000</v>
      </c>
      <c r="G156" s="8" t="str">
        <f>+VLOOKUP(Tabla14[[#This Row],[FONDO]],MAESTRO!$D$2:$E$119,2,FALSE)</f>
        <v>Gma Capital</v>
      </c>
      <c r="H156" s="8" t="str">
        <f>+VLOOKUP(Tabla14[[#This Row],[FONDO]],MAESTRO!D:F,3,FALSE)</f>
        <v>(T+0)</v>
      </c>
      <c r="I156" s="4" t="s">
        <v>9</v>
      </c>
      <c r="L1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6" s="4">
        <f>ROUND(IF(Tabla14[[#This Row],[OPERACIÓN]]=MAESTRO!$B$2,Tabla14[CAPITAL],IF(Tabla14[[#This Row],[OPERACIÓN]]=MAESTRO!$B$5,Tabla14[CAPITAL],-Tabla14[[#This Row],[CAPITAL]])),2)</f>
        <v>-70000000</v>
      </c>
    </row>
    <row r="157" spans="1:13" x14ac:dyDescent="0.3">
      <c r="A157" s="26">
        <v>46042</v>
      </c>
      <c r="B157" t="s">
        <v>292</v>
      </c>
      <c r="C157" t="s">
        <v>132</v>
      </c>
      <c r="D157" s="27" t="s">
        <v>17</v>
      </c>
      <c r="E157" s="4" t="s">
        <v>136</v>
      </c>
      <c r="F157" s="4">
        <v>51547588.32</v>
      </c>
      <c r="G157" s="8" t="str">
        <f>+VLOOKUP(Tabla14[[#This Row],[FONDO]],MAESTRO!$D$2:$E$119,2,FALSE)</f>
        <v>Gma Capital</v>
      </c>
      <c r="H157" s="8" t="str">
        <f>+VLOOKUP(Tabla14[[#This Row],[FONDO]],MAESTRO!D:F,3,FALSE)</f>
        <v>(T+0)</v>
      </c>
      <c r="I157" s="4" t="s">
        <v>9</v>
      </c>
      <c r="L1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7" s="4">
        <f>ROUND(IF(Tabla14[[#This Row],[OPERACIÓN]]=MAESTRO!$B$2,Tabla14[CAPITAL],IF(Tabla14[[#This Row],[OPERACIÓN]]=MAESTRO!$B$5,Tabla14[CAPITAL],-Tabla14[[#This Row],[CAPITAL]])),2)</f>
        <v>-51547588.32</v>
      </c>
    </row>
    <row r="158" spans="1:13" x14ac:dyDescent="0.3">
      <c r="A158" s="26">
        <v>46042</v>
      </c>
      <c r="B158" t="s">
        <v>298</v>
      </c>
      <c r="C158" t="s">
        <v>132</v>
      </c>
      <c r="D158" s="27" t="s">
        <v>17</v>
      </c>
      <c r="E158" s="4" t="s">
        <v>169</v>
      </c>
      <c r="F158" s="4">
        <v>84297753.840000004</v>
      </c>
      <c r="G158" s="8" t="str">
        <f>+VLOOKUP(Tabla14[[#This Row],[FONDO]],MAESTRO!$D$2:$E$119,2,FALSE)</f>
        <v>Max Capital</v>
      </c>
      <c r="H158" s="8" t="str">
        <f>+VLOOKUP(Tabla14[[#This Row],[FONDO]],MAESTRO!D:F,3,FALSE)</f>
        <v>(T+0)</v>
      </c>
      <c r="I158" s="4" t="s">
        <v>9</v>
      </c>
      <c r="L1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8" s="4">
        <f>ROUND(IF(Tabla14[[#This Row],[OPERACIÓN]]=MAESTRO!$B$2,Tabla14[CAPITAL],IF(Tabla14[[#This Row],[OPERACIÓN]]=MAESTRO!$B$5,Tabla14[CAPITAL],-Tabla14[[#This Row],[CAPITAL]])),2)</f>
        <v>-84297753.840000004</v>
      </c>
    </row>
    <row r="159" spans="1:13" x14ac:dyDescent="0.3">
      <c r="A159" s="26">
        <v>46042</v>
      </c>
      <c r="B159" t="s">
        <v>298</v>
      </c>
      <c r="C159" t="s">
        <v>132</v>
      </c>
      <c r="D159" s="27" t="s">
        <v>17</v>
      </c>
      <c r="E159" s="4" t="s">
        <v>169</v>
      </c>
      <c r="F159" s="4">
        <v>65905267.700000003</v>
      </c>
      <c r="G159" s="8" t="str">
        <f>+VLOOKUP(Tabla14[[#This Row],[FONDO]],MAESTRO!$D$2:$E$119,2,FALSE)</f>
        <v>Max Capital</v>
      </c>
      <c r="H159" s="8" t="str">
        <f>+VLOOKUP(Tabla14[[#This Row],[FONDO]],MAESTRO!D:F,3,FALSE)</f>
        <v>(T+0)</v>
      </c>
      <c r="I159" s="4" t="s">
        <v>9</v>
      </c>
      <c r="L1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9" s="4">
        <f>ROUND(IF(Tabla14[[#This Row],[OPERACIÓN]]=MAESTRO!$B$2,Tabla14[CAPITAL],IF(Tabla14[[#This Row],[OPERACIÓN]]=MAESTRO!$B$5,Tabla14[CAPITAL],-Tabla14[[#This Row],[CAPITAL]])),2)</f>
        <v>-65905267.700000003</v>
      </c>
    </row>
    <row r="160" spans="1:13" x14ac:dyDescent="0.3">
      <c r="A160" s="26">
        <v>46042</v>
      </c>
      <c r="B160" t="s">
        <v>298</v>
      </c>
      <c r="C160" t="s">
        <v>172</v>
      </c>
      <c r="D160" s="27" t="s">
        <v>16</v>
      </c>
      <c r="E160" s="4" t="s">
        <v>201</v>
      </c>
      <c r="F160" s="4">
        <v>800000</v>
      </c>
      <c r="G160" s="8" t="str">
        <f>+VLOOKUP(Tabla14[[#This Row],[FONDO]],MAESTRO!$D$2:$E$119,2,FALSE)</f>
        <v>Gma Capital</v>
      </c>
      <c r="H160" s="8" t="str">
        <f>+VLOOKUP(Tabla14[[#This Row],[FONDO]],MAESTRO!D:F,3,FALSE)</f>
        <v>USD DL</v>
      </c>
      <c r="I160" s="4" t="s">
        <v>7</v>
      </c>
      <c r="J160" s="23">
        <v>46204</v>
      </c>
      <c r="K160">
        <v>5</v>
      </c>
      <c r="L160" t="s">
        <v>278</v>
      </c>
      <c r="M160" s="4">
        <f>ROUND(IF(Tabla14[[#This Row],[OPERACIÓN]]=MAESTRO!$B$2,Tabla14[CAPITAL],IF(Tabla14[[#This Row],[OPERACIÓN]]=MAESTRO!$B$5,Tabla14[CAPITAL],-Tabla14[[#This Row],[CAPITAL]])),2)</f>
        <v>800000</v>
      </c>
    </row>
    <row r="161" spans="1:13" x14ac:dyDescent="0.3">
      <c r="A161" s="26">
        <v>46042</v>
      </c>
      <c r="B161" t="s">
        <v>298</v>
      </c>
      <c r="C161" t="s">
        <v>132</v>
      </c>
      <c r="D161" s="27" t="s">
        <v>17</v>
      </c>
      <c r="E161" s="4" t="s">
        <v>136</v>
      </c>
      <c r="F161" s="4">
        <v>1122146114.05</v>
      </c>
      <c r="G161" s="8" t="str">
        <f>+VLOOKUP(Tabla14[[#This Row],[FONDO]],MAESTRO!$D$2:$E$119,2,FALSE)</f>
        <v>Gma Capital</v>
      </c>
      <c r="H161" s="8" t="str">
        <f>+VLOOKUP(Tabla14[[#This Row],[FONDO]],MAESTRO!D:F,3,FALSE)</f>
        <v>(T+0)</v>
      </c>
      <c r="I161" s="4" t="s">
        <v>9</v>
      </c>
      <c r="L1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1" s="4">
        <f>ROUND(IF(Tabla14[[#This Row],[OPERACIÓN]]=MAESTRO!$B$2,Tabla14[CAPITAL],IF(Tabla14[[#This Row],[OPERACIÓN]]=MAESTRO!$B$5,Tabla14[CAPITAL],-Tabla14[[#This Row],[CAPITAL]])),2)</f>
        <v>-1122146114.05</v>
      </c>
    </row>
    <row r="162" spans="1:13" x14ac:dyDescent="0.3">
      <c r="A162" s="26">
        <v>46042</v>
      </c>
      <c r="B162" t="s">
        <v>299</v>
      </c>
      <c r="C162" t="s">
        <v>132</v>
      </c>
      <c r="D162" s="27" t="s">
        <v>16</v>
      </c>
      <c r="E162" s="4" t="s">
        <v>136</v>
      </c>
      <c r="F162" s="4">
        <v>1119532658.7</v>
      </c>
      <c r="G162" s="8" t="str">
        <f>+VLOOKUP(Tabla14[[#This Row],[FONDO]],MAESTRO!$D$2:$E$119,2,FALSE)</f>
        <v>Gma Capital</v>
      </c>
      <c r="H162" s="8" t="str">
        <f>+VLOOKUP(Tabla14[[#This Row],[FONDO]],MAESTRO!D:F,3,FALSE)</f>
        <v>(T+0)</v>
      </c>
      <c r="I162" s="4" t="s">
        <v>9</v>
      </c>
      <c r="L1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2" s="4">
        <f>ROUND(IF(Tabla14[[#This Row],[OPERACIÓN]]=MAESTRO!$B$2,Tabla14[CAPITAL],IF(Tabla14[[#This Row],[OPERACIÓN]]=MAESTRO!$B$5,Tabla14[CAPITAL],-Tabla14[[#This Row],[CAPITAL]])),2)</f>
        <v>1119532658.7</v>
      </c>
    </row>
    <row r="163" spans="1:13" x14ac:dyDescent="0.3">
      <c r="A163" s="26">
        <v>46043</v>
      </c>
      <c r="B163" t="s">
        <v>298</v>
      </c>
      <c r="C163" t="s">
        <v>132</v>
      </c>
      <c r="D163" s="27" t="s">
        <v>17</v>
      </c>
      <c r="E163" s="4" t="s">
        <v>43</v>
      </c>
      <c r="F163" s="4">
        <v>430500000</v>
      </c>
      <c r="G163" s="8" t="str">
        <f>+VLOOKUP(Tabla14[[#This Row],[FONDO]],MAESTRO!$D$2:$E$119,2,FALSE)</f>
        <v>Banco Santander Rio S.A.</v>
      </c>
      <c r="H163" s="8" t="str">
        <f>+VLOOKUP(Tabla14[[#This Row],[FONDO]],MAESTRO!D:F,3,FALSE)</f>
        <v>(T+0)</v>
      </c>
      <c r="I163" s="4" t="s">
        <v>9</v>
      </c>
      <c r="L1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3" s="4">
        <f>ROUND(IF(Tabla14[[#This Row],[OPERACIÓN]]=MAESTRO!$B$2,Tabla14[CAPITAL],IF(Tabla14[[#This Row],[OPERACIÓN]]=MAESTRO!$B$5,Tabla14[CAPITAL],-Tabla14[[#This Row],[CAPITAL]])),2)</f>
        <v>-430500000</v>
      </c>
    </row>
    <row r="164" spans="1:13" x14ac:dyDescent="0.3">
      <c r="A164" s="26">
        <v>46043</v>
      </c>
      <c r="B164" t="s">
        <v>299</v>
      </c>
      <c r="C164" t="s">
        <v>132</v>
      </c>
      <c r="D164" s="27" t="s">
        <v>17</v>
      </c>
      <c r="E164" s="4" t="s">
        <v>136</v>
      </c>
      <c r="F164" s="4">
        <v>127000000</v>
      </c>
      <c r="G164" s="8" t="str">
        <f>+VLOOKUP(Tabla14[[#This Row],[FONDO]],MAESTRO!$D$2:$E$119,2,FALSE)</f>
        <v>Gma Capital</v>
      </c>
      <c r="H164" s="8" t="str">
        <f>+VLOOKUP(Tabla14[[#This Row],[FONDO]],MAESTRO!D:F,3,FALSE)</f>
        <v>(T+0)</v>
      </c>
      <c r="I164" s="4" t="s">
        <v>9</v>
      </c>
      <c r="L1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4" s="4">
        <f>ROUND(IF(Tabla14[[#This Row],[OPERACIÓN]]=MAESTRO!$B$2,Tabla14[CAPITAL],IF(Tabla14[[#This Row],[OPERACIÓN]]=MAESTRO!$B$5,Tabla14[CAPITAL],-Tabla14[[#This Row],[CAPITAL]])),2)</f>
        <v>-127000000</v>
      </c>
    </row>
    <row r="165" spans="1:13" x14ac:dyDescent="0.3">
      <c r="A165" s="26">
        <v>46043</v>
      </c>
      <c r="B165" t="s">
        <v>292</v>
      </c>
      <c r="C165" t="s">
        <v>132</v>
      </c>
      <c r="D165" s="27" t="s">
        <v>17</v>
      </c>
      <c r="E165" s="4" t="s">
        <v>136</v>
      </c>
      <c r="F165" s="4">
        <v>119000000</v>
      </c>
      <c r="G165" s="8" t="str">
        <f>+VLOOKUP(Tabla14[[#This Row],[FONDO]],MAESTRO!$D$2:$E$119,2,FALSE)</f>
        <v>Gma Capital</v>
      </c>
      <c r="H165" s="8" t="str">
        <f>+VLOOKUP(Tabla14[[#This Row],[FONDO]],MAESTRO!D:F,3,FALSE)</f>
        <v>(T+0)</v>
      </c>
      <c r="I165" s="4" t="s">
        <v>9</v>
      </c>
      <c r="L1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5" s="4">
        <f>ROUND(IF(Tabla14[[#This Row],[OPERACIÓN]]=MAESTRO!$B$2,Tabla14[CAPITAL],IF(Tabla14[[#This Row],[OPERACIÓN]]=MAESTRO!$B$5,Tabla14[CAPITAL],-Tabla14[[#This Row],[CAPITAL]])),2)</f>
        <v>-119000000</v>
      </c>
    </row>
    <row r="166" spans="1:13" x14ac:dyDescent="0.3">
      <c r="A166" s="26">
        <v>46043</v>
      </c>
      <c r="B166" t="s">
        <v>299</v>
      </c>
      <c r="C166" t="s">
        <v>132</v>
      </c>
      <c r="D166" s="27" t="s">
        <v>17</v>
      </c>
      <c r="E166" s="4" t="s">
        <v>136</v>
      </c>
      <c r="F166" s="4">
        <v>114455823.54000001</v>
      </c>
      <c r="G166" s="8" t="str">
        <f>+VLOOKUP(Tabla14[[#This Row],[FONDO]],MAESTRO!$D$2:$E$119,2,FALSE)</f>
        <v>Gma Capital</v>
      </c>
      <c r="H166" s="8" t="str">
        <f>+VLOOKUP(Tabla14[[#This Row],[FONDO]],MAESTRO!D:F,3,FALSE)</f>
        <v>(T+0)</v>
      </c>
      <c r="I166" s="4" t="s">
        <v>9</v>
      </c>
      <c r="L1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6" s="4">
        <f>ROUND(IF(Tabla14[[#This Row],[OPERACIÓN]]=MAESTRO!$B$2,Tabla14[CAPITAL],IF(Tabla14[[#This Row],[OPERACIÓN]]=MAESTRO!$B$5,Tabla14[CAPITAL],-Tabla14[[#This Row],[CAPITAL]])),2)</f>
        <v>-114455823.54000001</v>
      </c>
    </row>
    <row r="167" spans="1:13" x14ac:dyDescent="0.3">
      <c r="A167" s="26">
        <v>46043</v>
      </c>
      <c r="B167" t="s">
        <v>299</v>
      </c>
      <c r="C167" t="s">
        <v>132</v>
      </c>
      <c r="D167" s="27" t="s">
        <v>17</v>
      </c>
      <c r="E167" s="4" t="s">
        <v>136</v>
      </c>
      <c r="F167" s="4">
        <v>100066399.40000001</v>
      </c>
      <c r="G167" s="8" t="str">
        <f>+VLOOKUP(Tabla14[[#This Row],[FONDO]],MAESTRO!$D$2:$E$119,2,FALSE)</f>
        <v>Gma Capital</v>
      </c>
      <c r="H167" s="8" t="str">
        <f>+VLOOKUP(Tabla14[[#This Row],[FONDO]],MAESTRO!D:F,3,FALSE)</f>
        <v>(T+0)</v>
      </c>
      <c r="I167" s="4" t="s">
        <v>9</v>
      </c>
      <c r="L1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7" s="4">
        <f>ROUND(IF(Tabla14[[#This Row],[OPERACIÓN]]=MAESTRO!$B$2,Tabla14[CAPITAL],IF(Tabla14[[#This Row],[OPERACIÓN]]=MAESTRO!$B$5,Tabla14[CAPITAL],-Tabla14[[#This Row],[CAPITAL]])),2)</f>
        <v>-100066399.40000001</v>
      </c>
    </row>
    <row r="168" spans="1:13" x14ac:dyDescent="0.3">
      <c r="A168" s="26">
        <v>46043</v>
      </c>
      <c r="B168" t="s">
        <v>298</v>
      </c>
      <c r="C168" t="s">
        <v>132</v>
      </c>
      <c r="D168" s="27" t="s">
        <v>16</v>
      </c>
      <c r="E168" s="4" t="s">
        <v>40</v>
      </c>
      <c r="F168" s="4">
        <v>1900000000</v>
      </c>
      <c r="G168" s="8" t="str">
        <f>+VLOOKUP(Tabla14[[#This Row],[FONDO]],MAESTRO!$D$2:$E$119,2,FALSE)</f>
        <v>BBVA Banco Frances SA</v>
      </c>
      <c r="H168" s="8" t="str">
        <f>+VLOOKUP(Tabla14[[#This Row],[FONDO]],MAESTRO!D:F,3,FALSE)</f>
        <v>(T+0)</v>
      </c>
      <c r="I168" s="4" t="s">
        <v>9</v>
      </c>
      <c r="L1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68" s="4">
        <f>ROUND(IF(Tabla14[[#This Row],[OPERACIÓN]]=MAESTRO!$B$2,Tabla14[CAPITAL],IF(Tabla14[[#This Row],[OPERACIÓN]]=MAESTRO!$B$5,Tabla14[CAPITAL],-Tabla14[[#This Row],[CAPITAL]])),2)</f>
        <v>1900000000</v>
      </c>
    </row>
    <row r="169" spans="1:13" x14ac:dyDescent="0.3">
      <c r="A169" s="26">
        <v>46044</v>
      </c>
      <c r="B169" t="s">
        <v>298</v>
      </c>
      <c r="C169" t="s">
        <v>142</v>
      </c>
      <c r="D169" s="27" t="s">
        <v>17</v>
      </c>
      <c r="E169" s="4" t="s">
        <v>214</v>
      </c>
      <c r="F169" s="4">
        <v>2000000000</v>
      </c>
      <c r="G169" s="8" t="str">
        <f>+VLOOKUP(Tabla14[[#This Row],[FONDO]],MAESTRO!$D$2:$E$119,2,FALSE)</f>
        <v>BBVA Banco Frances SA</v>
      </c>
      <c r="H169" s="8" t="str">
        <f>+VLOOKUP(Tabla14[[#This Row],[FONDO]],MAESTRO!D:F,3,FALSE)</f>
        <v>PLAZO</v>
      </c>
      <c r="I169" s="4" t="s">
        <v>9</v>
      </c>
      <c r="J169" s="23" t="s">
        <v>270</v>
      </c>
      <c r="K169">
        <v>29.75</v>
      </c>
      <c r="L169" t="s">
        <v>277</v>
      </c>
      <c r="M169" s="4">
        <f>ROUND(IF(Tabla14[[#This Row],[OPERACIÓN]]=MAESTRO!$B$2,Tabla14[CAPITAL],IF(Tabla14[[#This Row],[OPERACIÓN]]=MAESTRO!$B$5,Tabla14[CAPITAL],-Tabla14[[#This Row],[CAPITAL]])),2)</f>
        <v>-2000000000</v>
      </c>
    </row>
    <row r="170" spans="1:13" x14ac:dyDescent="0.3">
      <c r="A170" s="26">
        <v>46044</v>
      </c>
      <c r="B170" t="s">
        <v>126</v>
      </c>
      <c r="C170" t="s">
        <v>132</v>
      </c>
      <c r="D170" s="27" t="s">
        <v>17</v>
      </c>
      <c r="E170" s="4" t="s">
        <v>48</v>
      </c>
      <c r="F170" s="4">
        <v>4800000</v>
      </c>
      <c r="G170" s="8" t="str">
        <f>+VLOOKUP(Tabla14[[#This Row],[FONDO]],MAESTRO!$D$2:$E$119,2,FALSE)</f>
        <v>Banco Macro S.A.</v>
      </c>
      <c r="H170" s="8" t="str">
        <f>+VLOOKUP(Tabla14[[#This Row],[FONDO]],MAESTRO!D:F,3,FALSE)</f>
        <v>(T+0)</v>
      </c>
      <c r="I170" s="4" t="s">
        <v>9</v>
      </c>
      <c r="L1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0" s="4">
        <f>ROUND(IF(Tabla14[[#This Row],[OPERACIÓN]]=MAESTRO!$B$2,Tabla14[CAPITAL],IF(Tabla14[[#This Row],[OPERACIÓN]]=MAESTRO!$B$5,Tabla14[CAPITAL],-Tabla14[[#This Row],[CAPITAL]])),2)</f>
        <v>-4800000</v>
      </c>
    </row>
    <row r="171" spans="1:13" x14ac:dyDescent="0.3">
      <c r="A171" s="26">
        <v>46044</v>
      </c>
      <c r="B171" t="s">
        <v>292</v>
      </c>
      <c r="C171" t="s">
        <v>132</v>
      </c>
      <c r="D171" s="27" t="s">
        <v>17</v>
      </c>
      <c r="E171" s="4" t="s">
        <v>48</v>
      </c>
      <c r="F171" s="4">
        <v>52800000</v>
      </c>
      <c r="G171" s="8" t="str">
        <f>+VLOOKUP(Tabla14[[#This Row],[FONDO]],MAESTRO!$D$2:$E$119,2,FALSE)</f>
        <v>Banco Macro S.A.</v>
      </c>
      <c r="H171" s="8" t="str">
        <f>+VLOOKUP(Tabla14[[#This Row],[FONDO]],MAESTRO!D:F,3,FALSE)</f>
        <v>(T+0)</v>
      </c>
      <c r="I171" s="4" t="s">
        <v>9</v>
      </c>
      <c r="L1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1" s="4">
        <f>ROUND(IF(Tabla14[[#This Row],[OPERACIÓN]]=MAESTRO!$B$2,Tabla14[CAPITAL],IF(Tabla14[[#This Row],[OPERACIÓN]]=MAESTRO!$B$5,Tabla14[CAPITAL],-Tabla14[[#This Row],[CAPITAL]])),2)</f>
        <v>-52800000</v>
      </c>
    </row>
    <row r="172" spans="1:13" x14ac:dyDescent="0.3">
      <c r="A172" s="26">
        <v>46044</v>
      </c>
      <c r="B172" t="s">
        <v>298</v>
      </c>
      <c r="C172" t="s">
        <v>132</v>
      </c>
      <c r="D172" s="27" t="s">
        <v>16</v>
      </c>
      <c r="E172" s="4" t="s">
        <v>40</v>
      </c>
      <c r="F172" s="4">
        <v>621400000</v>
      </c>
      <c r="G172" s="8" t="str">
        <f>+VLOOKUP(Tabla14[[#This Row],[FONDO]],MAESTRO!$D$2:$E$119,2,FALSE)</f>
        <v>BBVA Banco Frances SA</v>
      </c>
      <c r="H172" s="8" t="str">
        <f>+VLOOKUP(Tabla14[[#This Row],[FONDO]],MAESTRO!D:F,3,FALSE)</f>
        <v>(T+0)</v>
      </c>
      <c r="I172" s="4" t="s">
        <v>9</v>
      </c>
      <c r="L1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2" s="4">
        <f>ROUND(IF(Tabla14[[#This Row],[OPERACIÓN]]=MAESTRO!$B$2,Tabla14[CAPITAL],IF(Tabla14[[#This Row],[OPERACIÓN]]=MAESTRO!$B$5,Tabla14[CAPITAL],-Tabla14[[#This Row],[CAPITAL]])),2)</f>
        <v>621400000</v>
      </c>
    </row>
    <row r="173" spans="1:13" x14ac:dyDescent="0.3">
      <c r="A173" s="26">
        <v>46044</v>
      </c>
      <c r="B173" t="s">
        <v>299</v>
      </c>
      <c r="C173" t="s">
        <v>132</v>
      </c>
      <c r="D173" s="27" t="s">
        <v>17</v>
      </c>
      <c r="E173" s="4" t="s">
        <v>136</v>
      </c>
      <c r="F173" s="4">
        <v>57400000</v>
      </c>
      <c r="G173" s="8" t="str">
        <f>+VLOOKUP(Tabla14[[#This Row],[FONDO]],MAESTRO!$D$2:$E$119,2,FALSE)</f>
        <v>Gma Capital</v>
      </c>
      <c r="H173" s="8" t="str">
        <f>+VLOOKUP(Tabla14[[#This Row],[FONDO]],MAESTRO!D:F,3,FALSE)</f>
        <v>(T+0)</v>
      </c>
      <c r="I173" s="4" t="s">
        <v>9</v>
      </c>
      <c r="L1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3" s="4">
        <f>ROUND(IF(Tabla14[[#This Row],[OPERACIÓN]]=MAESTRO!$B$2,Tabla14[CAPITAL],IF(Tabla14[[#This Row],[OPERACIÓN]]=MAESTRO!$B$5,Tabla14[CAPITAL],-Tabla14[[#This Row],[CAPITAL]])),2)</f>
        <v>-57400000</v>
      </c>
    </row>
    <row r="174" spans="1:13" x14ac:dyDescent="0.3">
      <c r="A174" s="26">
        <v>46044</v>
      </c>
      <c r="B174" t="s">
        <v>299</v>
      </c>
      <c r="C174" t="s">
        <v>132</v>
      </c>
      <c r="D174" s="27" t="s">
        <v>17</v>
      </c>
      <c r="E174" s="4" t="s">
        <v>136</v>
      </c>
      <c r="F174" s="4">
        <v>129849630.90000001</v>
      </c>
      <c r="G174" s="8" t="str">
        <f>+VLOOKUP(Tabla14[[#This Row],[FONDO]],MAESTRO!$D$2:$E$119,2,FALSE)</f>
        <v>Gma Capital</v>
      </c>
      <c r="H174" s="8" t="str">
        <f>+VLOOKUP(Tabla14[[#This Row],[FONDO]],MAESTRO!D:F,3,FALSE)</f>
        <v>(T+0)</v>
      </c>
      <c r="I174" s="4" t="s">
        <v>9</v>
      </c>
      <c r="L1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4" s="4">
        <f>ROUND(IF(Tabla14[[#This Row],[OPERACIÓN]]=MAESTRO!$B$2,Tabla14[CAPITAL],IF(Tabla14[[#This Row],[OPERACIÓN]]=MAESTRO!$B$5,Tabla14[CAPITAL],-Tabla14[[#This Row],[CAPITAL]])),2)</f>
        <v>-129849630.90000001</v>
      </c>
    </row>
    <row r="175" spans="1:13" x14ac:dyDescent="0.3">
      <c r="A175" s="26">
        <v>46044</v>
      </c>
      <c r="B175" t="s">
        <v>298</v>
      </c>
      <c r="C175" t="s">
        <v>132</v>
      </c>
      <c r="D175" s="27" t="s">
        <v>16</v>
      </c>
      <c r="E175" s="4" t="s">
        <v>136</v>
      </c>
      <c r="F175" s="4">
        <v>600000000</v>
      </c>
      <c r="G175" s="8" t="str">
        <f>+VLOOKUP(Tabla14[[#This Row],[FONDO]],MAESTRO!$D$2:$E$119,2,FALSE)</f>
        <v>Gma Capital</v>
      </c>
      <c r="H175" s="8" t="str">
        <f>+VLOOKUP(Tabla14[[#This Row],[FONDO]],MAESTRO!D:F,3,FALSE)</f>
        <v>(T+0)</v>
      </c>
      <c r="I175" s="4" t="s">
        <v>9</v>
      </c>
      <c r="L1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5" s="4">
        <f>ROUND(IF(Tabla14[[#This Row],[OPERACIÓN]]=MAESTRO!$B$2,Tabla14[CAPITAL],IF(Tabla14[[#This Row],[OPERACIÓN]]=MAESTRO!$B$5,Tabla14[CAPITAL],-Tabla14[[#This Row],[CAPITAL]])),2)</f>
        <v>600000000</v>
      </c>
    </row>
    <row r="176" spans="1:13" x14ac:dyDescent="0.3">
      <c r="A176" s="26">
        <v>46044</v>
      </c>
      <c r="B176" t="s">
        <v>298</v>
      </c>
      <c r="C176" t="s">
        <v>132</v>
      </c>
      <c r="D176" s="27" t="s">
        <v>16</v>
      </c>
      <c r="E176" s="4" t="s">
        <v>169</v>
      </c>
      <c r="F176" s="4">
        <v>600000000</v>
      </c>
      <c r="G176" s="8" t="str">
        <f>+VLOOKUP(Tabla14[[#This Row],[FONDO]],MAESTRO!$D$2:$E$119,2,FALSE)</f>
        <v>Max Capital</v>
      </c>
      <c r="H176" s="8" t="str">
        <f>+VLOOKUP(Tabla14[[#This Row],[FONDO]],MAESTRO!D:F,3,FALSE)</f>
        <v>(T+0)</v>
      </c>
      <c r="I176" s="4" t="s">
        <v>9</v>
      </c>
      <c r="L1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6" s="4">
        <f>ROUND(IF(Tabla14[[#This Row],[OPERACIÓN]]=MAESTRO!$B$2,Tabla14[CAPITAL],IF(Tabla14[[#This Row],[OPERACIÓN]]=MAESTRO!$B$5,Tabla14[CAPITAL],-Tabla14[[#This Row],[CAPITAL]])),2)</f>
        <v>600000000</v>
      </c>
    </row>
    <row r="177" spans="1:13" x14ac:dyDescent="0.3">
      <c r="A177" s="26">
        <v>46044</v>
      </c>
      <c r="B177" t="s">
        <v>298</v>
      </c>
      <c r="C177" t="s">
        <v>132</v>
      </c>
      <c r="D177" s="27" t="s">
        <v>16</v>
      </c>
      <c r="E177" s="4" t="s">
        <v>75</v>
      </c>
      <c r="F177" s="4">
        <v>20000000</v>
      </c>
      <c r="G177" s="8" t="str">
        <f>+VLOOKUP(Tabla14[[#This Row],[FONDO]],MAESTRO!$D$2:$E$119,2,FALSE)</f>
        <v>Banco Comafi</v>
      </c>
      <c r="H177" s="8" t="str">
        <f>+VLOOKUP(Tabla14[[#This Row],[FONDO]],MAESTRO!D:F,3,FALSE)</f>
        <v>(T+0)</v>
      </c>
      <c r="I177" s="4" t="s">
        <v>9</v>
      </c>
      <c r="L1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7" s="4">
        <f>ROUND(IF(Tabla14[[#This Row],[OPERACIÓN]]=MAESTRO!$B$2,Tabla14[CAPITAL],IF(Tabla14[[#This Row],[OPERACIÓN]]=MAESTRO!$B$5,Tabla14[CAPITAL],-Tabla14[[#This Row],[CAPITAL]])),2)</f>
        <v>20000000</v>
      </c>
    </row>
    <row r="178" spans="1:13" x14ac:dyDescent="0.3">
      <c r="A178" s="26">
        <v>46044</v>
      </c>
      <c r="B178" t="s">
        <v>292</v>
      </c>
      <c r="C178" t="s">
        <v>132</v>
      </c>
      <c r="D178" s="27" t="s">
        <v>16</v>
      </c>
      <c r="E178" s="4" t="s">
        <v>75</v>
      </c>
      <c r="F178" s="4">
        <v>20000000</v>
      </c>
      <c r="G178" s="8" t="str">
        <f>+VLOOKUP(Tabla14[[#This Row],[FONDO]],MAESTRO!$D$2:$E$119,2,FALSE)</f>
        <v>Banco Comafi</v>
      </c>
      <c r="H178" s="8" t="str">
        <f>+VLOOKUP(Tabla14[[#This Row],[FONDO]],MAESTRO!D:F,3,FALSE)</f>
        <v>(T+0)</v>
      </c>
      <c r="I178" s="4" t="s">
        <v>9</v>
      </c>
      <c r="L1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8" s="4">
        <f>ROUND(IF(Tabla14[[#This Row],[OPERACIÓN]]=MAESTRO!$B$2,Tabla14[CAPITAL],IF(Tabla14[[#This Row],[OPERACIÓN]]=MAESTRO!$B$5,Tabla14[CAPITAL],-Tabla14[[#This Row],[CAPITAL]])),2)</f>
        <v>20000000</v>
      </c>
    </row>
    <row r="179" spans="1:13" x14ac:dyDescent="0.3">
      <c r="A179" s="26">
        <v>46045</v>
      </c>
      <c r="B179" t="s">
        <v>126</v>
      </c>
      <c r="C179" t="s">
        <v>132</v>
      </c>
      <c r="D179" s="27" t="s">
        <v>17</v>
      </c>
      <c r="E179" s="4" t="s">
        <v>48</v>
      </c>
      <c r="F179" s="4">
        <v>300000</v>
      </c>
      <c r="G179" s="8" t="str">
        <f>+VLOOKUP(Tabla14[[#This Row],[FONDO]],MAESTRO!$D$2:$E$119,2,FALSE)</f>
        <v>Banco Macro S.A.</v>
      </c>
      <c r="H179" s="8" t="str">
        <f>+VLOOKUP(Tabla14[[#This Row],[FONDO]],MAESTRO!D:F,3,FALSE)</f>
        <v>(T+0)</v>
      </c>
      <c r="I179" s="4" t="s">
        <v>9</v>
      </c>
      <c r="L1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79" s="4">
        <f>ROUND(IF(Tabla14[[#This Row],[OPERACIÓN]]=MAESTRO!$B$2,Tabla14[CAPITAL],IF(Tabla14[[#This Row],[OPERACIÓN]]=MAESTRO!$B$5,Tabla14[CAPITAL],-Tabla14[[#This Row],[CAPITAL]])),2)</f>
        <v>-300000</v>
      </c>
    </row>
    <row r="180" spans="1:13" x14ac:dyDescent="0.3">
      <c r="A180" s="26">
        <v>46045</v>
      </c>
      <c r="B180" t="s">
        <v>292</v>
      </c>
      <c r="C180" t="s">
        <v>132</v>
      </c>
      <c r="D180" s="27" t="s">
        <v>17</v>
      </c>
      <c r="E180" s="4" t="s">
        <v>48</v>
      </c>
      <c r="F180" s="4">
        <v>1600000</v>
      </c>
      <c r="G180" s="8" t="str">
        <f>+VLOOKUP(Tabla14[[#This Row],[FONDO]],MAESTRO!$D$2:$E$119,2,FALSE)</f>
        <v>Banco Macro S.A.</v>
      </c>
      <c r="H180" s="8" t="str">
        <f>+VLOOKUP(Tabla14[[#This Row],[FONDO]],MAESTRO!D:F,3,FALSE)</f>
        <v>(T+0)</v>
      </c>
      <c r="I180" s="4" t="s">
        <v>9</v>
      </c>
      <c r="L1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0" s="4">
        <f>ROUND(IF(Tabla14[[#This Row],[OPERACIÓN]]=MAESTRO!$B$2,Tabla14[CAPITAL],IF(Tabla14[[#This Row],[OPERACIÓN]]=MAESTRO!$B$5,Tabla14[CAPITAL],-Tabla14[[#This Row],[CAPITAL]])),2)</f>
        <v>-1600000</v>
      </c>
    </row>
    <row r="181" spans="1:13" x14ac:dyDescent="0.3">
      <c r="A181" s="26">
        <v>46045</v>
      </c>
      <c r="B181" t="s">
        <v>299</v>
      </c>
      <c r="C181" t="s">
        <v>132</v>
      </c>
      <c r="D181" s="27" t="s">
        <v>16</v>
      </c>
      <c r="E181" s="4" t="s">
        <v>48</v>
      </c>
      <c r="F181" s="4">
        <v>49000000</v>
      </c>
      <c r="G181" s="8" t="str">
        <f>+VLOOKUP(Tabla14[[#This Row],[FONDO]],MAESTRO!$D$2:$E$119,2,FALSE)</f>
        <v>Banco Macro S.A.</v>
      </c>
      <c r="H181" s="8" t="str">
        <f>+VLOOKUP(Tabla14[[#This Row],[FONDO]],MAESTRO!D:F,3,FALSE)</f>
        <v>(T+0)</v>
      </c>
      <c r="I181" s="4" t="s">
        <v>9</v>
      </c>
      <c r="L1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1" s="4">
        <f>ROUND(IF(Tabla14[[#This Row],[OPERACIÓN]]=MAESTRO!$B$2,Tabla14[CAPITAL],IF(Tabla14[[#This Row],[OPERACIÓN]]=MAESTRO!$B$5,Tabla14[CAPITAL],-Tabla14[[#This Row],[CAPITAL]])),2)</f>
        <v>49000000</v>
      </c>
    </row>
    <row r="182" spans="1:13" x14ac:dyDescent="0.3">
      <c r="A182" s="26">
        <v>46045</v>
      </c>
      <c r="B182" t="s">
        <v>298</v>
      </c>
      <c r="C182" t="s">
        <v>132</v>
      </c>
      <c r="D182" s="27" t="s">
        <v>16</v>
      </c>
      <c r="E182" s="4" t="s">
        <v>43</v>
      </c>
      <c r="F182" s="4">
        <v>54800000</v>
      </c>
      <c r="G182" s="8" t="str">
        <f>+VLOOKUP(Tabla14[[#This Row],[FONDO]],MAESTRO!$D$2:$E$119,2,FALSE)</f>
        <v>Banco Santander Rio S.A.</v>
      </c>
      <c r="H182" s="8" t="str">
        <f>+VLOOKUP(Tabla14[[#This Row],[FONDO]],MAESTRO!D:F,3,FALSE)</f>
        <v>(T+0)</v>
      </c>
      <c r="I182" s="4" t="s">
        <v>9</v>
      </c>
      <c r="L1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2" s="4">
        <f>ROUND(IF(Tabla14[[#This Row],[OPERACIÓN]]=MAESTRO!$B$2,Tabla14[CAPITAL],IF(Tabla14[[#This Row],[OPERACIÓN]]=MAESTRO!$B$5,Tabla14[CAPITAL],-Tabla14[[#This Row],[CAPITAL]])),2)</f>
        <v>54800000</v>
      </c>
    </row>
    <row r="183" spans="1:13" x14ac:dyDescent="0.3">
      <c r="A183" s="26">
        <v>46045</v>
      </c>
      <c r="B183" t="s">
        <v>299</v>
      </c>
      <c r="C183" t="s">
        <v>132</v>
      </c>
      <c r="D183" s="27" t="s">
        <v>17</v>
      </c>
      <c r="E183" s="4" t="s">
        <v>136</v>
      </c>
      <c r="F183" s="4">
        <v>167761362.31</v>
      </c>
      <c r="G183" s="8" t="str">
        <f>+VLOOKUP(Tabla14[[#This Row],[FONDO]],MAESTRO!$D$2:$E$119,2,FALSE)</f>
        <v>Gma Capital</v>
      </c>
      <c r="H183" s="8" t="str">
        <f>+VLOOKUP(Tabla14[[#This Row],[FONDO]],MAESTRO!D:F,3,FALSE)</f>
        <v>(T+0)</v>
      </c>
      <c r="I183" s="4" t="s">
        <v>9</v>
      </c>
      <c r="L1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3" s="4">
        <f>ROUND(IF(Tabla14[[#This Row],[OPERACIÓN]]=MAESTRO!$B$2,Tabla14[CAPITAL],IF(Tabla14[[#This Row],[OPERACIÓN]]=MAESTRO!$B$5,Tabla14[CAPITAL],-Tabla14[[#This Row],[CAPITAL]])),2)</f>
        <v>-167761362.31</v>
      </c>
    </row>
    <row r="184" spans="1:13" x14ac:dyDescent="0.3">
      <c r="A184" s="26">
        <v>46045</v>
      </c>
      <c r="B184" t="s">
        <v>299</v>
      </c>
      <c r="C184" t="s">
        <v>132</v>
      </c>
      <c r="D184" s="27" t="s">
        <v>17</v>
      </c>
      <c r="E184" s="4" t="s">
        <v>136</v>
      </c>
      <c r="F184" s="4">
        <v>185902186.5</v>
      </c>
      <c r="G184" s="8" t="str">
        <f>+VLOOKUP(Tabla14[[#This Row],[FONDO]],MAESTRO!$D$2:$E$119,2,FALSE)</f>
        <v>Gma Capital</v>
      </c>
      <c r="H184" s="8" t="str">
        <f>+VLOOKUP(Tabla14[[#This Row],[FONDO]],MAESTRO!D:F,3,FALSE)</f>
        <v>(T+0)</v>
      </c>
      <c r="I184" s="4" t="s">
        <v>9</v>
      </c>
      <c r="L1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4" s="4">
        <f>ROUND(IF(Tabla14[[#This Row],[OPERACIÓN]]=MAESTRO!$B$2,Tabla14[CAPITAL],IF(Tabla14[[#This Row],[OPERACIÓN]]=MAESTRO!$B$5,Tabla14[CAPITAL],-Tabla14[[#This Row],[CAPITAL]])),2)</f>
        <v>-185902186.5</v>
      </c>
    </row>
    <row r="185" spans="1:13" x14ac:dyDescent="0.3">
      <c r="A185" s="37">
        <v>46045</v>
      </c>
      <c r="B185" s="20" t="s">
        <v>299</v>
      </c>
      <c r="C185" s="20" t="s">
        <v>132</v>
      </c>
      <c r="D185" s="38" t="s">
        <v>16</v>
      </c>
      <c r="E185" s="39" t="s">
        <v>212</v>
      </c>
      <c r="F185" s="39">
        <v>27976013</v>
      </c>
      <c r="G185" s="40" t="str">
        <f>+VLOOKUP(Tabla14[[#This Row],[FONDO]],MAESTRO!$D$2:$E$119,2,FALSE)</f>
        <v>INTAGRO</v>
      </c>
      <c r="H185" s="40" t="str">
        <f>+VLOOKUP(Tabla14[[#This Row],[FONDO]],MAESTRO!D:F,3,FALSE)</f>
        <v>(T+0)</v>
      </c>
      <c r="I185" s="39" t="s">
        <v>9</v>
      </c>
      <c r="J185" s="49"/>
      <c r="K185" s="20"/>
      <c r="L18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5" s="39">
        <f>ROUND(IF(Tabla14[[#This Row],[OPERACIÓN]]=MAESTRO!$B$2,Tabla14[CAPITAL],IF(Tabla14[[#This Row],[OPERACIÓN]]=MAESTRO!$B$5,Tabla14[CAPITAL],-Tabla14[[#This Row],[CAPITAL]])),2)</f>
        <v>27976013</v>
      </c>
    </row>
    <row r="186" spans="1:13" x14ac:dyDescent="0.3">
      <c r="A186" s="37">
        <v>46045</v>
      </c>
      <c r="B186" s="20" t="s">
        <v>299</v>
      </c>
      <c r="C186" s="20" t="s">
        <v>132</v>
      </c>
      <c r="D186" s="38" t="s">
        <v>17</v>
      </c>
      <c r="E186" s="39" t="s">
        <v>211</v>
      </c>
      <c r="F186" s="39">
        <v>93812706.650000006</v>
      </c>
      <c r="G186" s="40" t="str">
        <f>+VLOOKUP(Tabla14[[#This Row],[FONDO]],MAESTRO!$D$2:$E$119,2,FALSE)</f>
        <v>INTAGRO</v>
      </c>
      <c r="H186" s="40" t="str">
        <f>+VLOOKUP(Tabla14[[#This Row],[FONDO]],MAESTRO!D:F,3,FALSE)</f>
        <v>(T+1)</v>
      </c>
      <c r="I186" s="39" t="s">
        <v>9</v>
      </c>
      <c r="J186" s="49"/>
      <c r="K186" s="20"/>
      <c r="L18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6" s="39">
        <f>ROUND(IF(Tabla14[[#This Row],[OPERACIÓN]]=MAESTRO!$B$2,Tabla14[CAPITAL],IF(Tabla14[[#This Row],[OPERACIÓN]]=MAESTRO!$B$5,Tabla14[CAPITAL],-Tabla14[[#This Row],[CAPITAL]])),2)</f>
        <v>-93812706.650000006</v>
      </c>
    </row>
    <row r="187" spans="1:13" x14ac:dyDescent="0.3">
      <c r="A187" s="26">
        <v>46045</v>
      </c>
      <c r="B187" t="s">
        <v>298</v>
      </c>
      <c r="C187" t="s">
        <v>132</v>
      </c>
      <c r="D187" s="27" t="s">
        <v>17</v>
      </c>
      <c r="E187" s="4" t="s">
        <v>75</v>
      </c>
      <c r="F187" s="4">
        <v>7000000</v>
      </c>
      <c r="G187" s="8" t="str">
        <f>+VLOOKUP(Tabla14[[#This Row],[FONDO]],MAESTRO!$D$2:$E$119,2,FALSE)</f>
        <v>Banco Comafi</v>
      </c>
      <c r="H187" s="8" t="str">
        <f>+VLOOKUP(Tabla14[[#This Row],[FONDO]],MAESTRO!D:F,3,FALSE)</f>
        <v>(T+0)</v>
      </c>
      <c r="I187" s="4" t="s">
        <v>9</v>
      </c>
      <c r="L1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7" s="4">
        <f>ROUND(IF(Tabla14[[#This Row],[OPERACIÓN]]=MAESTRO!$B$2,Tabla14[CAPITAL],IF(Tabla14[[#This Row],[OPERACIÓN]]=MAESTRO!$B$5,Tabla14[CAPITAL],-Tabla14[[#This Row],[CAPITAL]])),2)</f>
        <v>-7000000</v>
      </c>
    </row>
    <row r="188" spans="1:13" x14ac:dyDescent="0.3">
      <c r="A188" s="37">
        <v>46048</v>
      </c>
      <c r="B188" s="20" t="s">
        <v>298</v>
      </c>
      <c r="C188" s="20" t="s">
        <v>132</v>
      </c>
      <c r="D188" s="38" t="s">
        <v>16</v>
      </c>
      <c r="E188" s="39" t="s">
        <v>40</v>
      </c>
      <c r="F188" s="39">
        <v>153760685.09999999</v>
      </c>
      <c r="G188" s="40" t="str">
        <f>+VLOOKUP(Tabla14[[#This Row],[FONDO]],MAESTRO!$D$2:$E$119,2,FALSE)</f>
        <v>BBVA Banco Frances SA</v>
      </c>
      <c r="H188" s="40" t="str">
        <f>+VLOOKUP(Tabla14[[#This Row],[FONDO]],MAESTRO!D:F,3,FALSE)</f>
        <v>(T+0)</v>
      </c>
      <c r="I188" s="39" t="s">
        <v>9</v>
      </c>
      <c r="J188" s="49"/>
      <c r="K188" s="20"/>
      <c r="L18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8" s="39">
        <f>ROUND(IF(Tabla14[[#This Row],[OPERACIÓN]]=MAESTRO!$B$2,Tabla14[CAPITAL],IF(Tabla14[[#This Row],[OPERACIÓN]]=MAESTRO!$B$5,Tabla14[CAPITAL],-Tabla14[[#This Row],[CAPITAL]])),2)</f>
        <v>153760685.09999999</v>
      </c>
    </row>
    <row r="189" spans="1:13" x14ac:dyDescent="0.3">
      <c r="A189" s="26">
        <v>46048</v>
      </c>
      <c r="B189" t="s">
        <v>298</v>
      </c>
      <c r="C189" t="s">
        <v>132</v>
      </c>
      <c r="D189" s="27" t="s">
        <v>17</v>
      </c>
      <c r="E189" s="4" t="s">
        <v>75</v>
      </c>
      <c r="F189" s="4">
        <v>10000000</v>
      </c>
      <c r="G189" s="8" t="str">
        <f>+VLOOKUP(Tabla14[[#This Row],[FONDO]],MAESTRO!$D$2:$E$119,2,FALSE)</f>
        <v>Banco Comafi</v>
      </c>
      <c r="H189" s="8" t="str">
        <f>+VLOOKUP(Tabla14[[#This Row],[FONDO]],MAESTRO!D:F,3,FALSE)</f>
        <v>(T+0)</v>
      </c>
      <c r="I189" s="4" t="s">
        <v>9</v>
      </c>
      <c r="L1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89" s="4">
        <f>ROUND(IF(Tabla14[[#This Row],[OPERACIÓN]]=MAESTRO!$B$2,Tabla14[CAPITAL],IF(Tabla14[[#This Row],[OPERACIÓN]]=MAESTRO!$B$5,Tabla14[CAPITAL],-Tabla14[[#This Row],[CAPITAL]])),2)</f>
        <v>-10000000</v>
      </c>
    </row>
    <row r="190" spans="1:13" x14ac:dyDescent="0.3">
      <c r="A190" s="26">
        <v>46048</v>
      </c>
      <c r="B190" t="s">
        <v>292</v>
      </c>
      <c r="C190" t="s">
        <v>132</v>
      </c>
      <c r="D190" s="27" t="s">
        <v>17</v>
      </c>
      <c r="E190" s="4" t="s">
        <v>75</v>
      </c>
      <c r="F190" s="4">
        <v>8000000</v>
      </c>
      <c r="G190" s="8" t="str">
        <f>+VLOOKUP(Tabla14[[#This Row],[FONDO]],MAESTRO!$D$2:$E$119,2,FALSE)</f>
        <v>Banco Comafi</v>
      </c>
      <c r="H190" s="8" t="str">
        <f>+VLOOKUP(Tabla14[[#This Row],[FONDO]],MAESTRO!D:F,3,FALSE)</f>
        <v>(T+0)</v>
      </c>
      <c r="I190" s="4" t="s">
        <v>9</v>
      </c>
      <c r="L1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0" s="4">
        <f>ROUND(IF(Tabla14[[#This Row],[OPERACIÓN]]=MAESTRO!$B$2,Tabla14[CAPITAL],IF(Tabla14[[#This Row],[OPERACIÓN]]=MAESTRO!$B$5,Tabla14[CAPITAL],-Tabla14[[#This Row],[CAPITAL]])),2)</f>
        <v>-8000000</v>
      </c>
    </row>
    <row r="191" spans="1:13" x14ac:dyDescent="0.3">
      <c r="A191" s="26">
        <v>46048</v>
      </c>
      <c r="B191" t="s">
        <v>299</v>
      </c>
      <c r="C191" t="s">
        <v>132</v>
      </c>
      <c r="D191" s="27" t="s">
        <v>17</v>
      </c>
      <c r="E191" s="4" t="s">
        <v>48</v>
      </c>
      <c r="F191" s="4">
        <v>41500000</v>
      </c>
      <c r="G191" s="8" t="str">
        <f>+VLOOKUP(Tabla14[[#This Row],[FONDO]],MAESTRO!$D$2:$E$119,2,FALSE)</f>
        <v>Banco Macro S.A.</v>
      </c>
      <c r="H191" s="8" t="str">
        <f>+VLOOKUP(Tabla14[[#This Row],[FONDO]],MAESTRO!D:F,3,FALSE)</f>
        <v>(T+0)</v>
      </c>
      <c r="I191" s="4" t="s">
        <v>9</v>
      </c>
      <c r="L1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1" s="4">
        <f>ROUND(IF(Tabla14[[#This Row],[OPERACIÓN]]=MAESTRO!$B$2,Tabla14[CAPITAL],IF(Tabla14[[#This Row],[OPERACIÓN]]=MAESTRO!$B$5,Tabla14[CAPITAL],-Tabla14[[#This Row],[CAPITAL]])),2)</f>
        <v>-41500000</v>
      </c>
    </row>
    <row r="192" spans="1:13" x14ac:dyDescent="0.3">
      <c r="A192" s="26">
        <v>46048</v>
      </c>
      <c r="B192" t="s">
        <v>298</v>
      </c>
      <c r="C192" t="s">
        <v>132</v>
      </c>
      <c r="D192" s="27" t="s">
        <v>17</v>
      </c>
      <c r="E192" s="4" t="s">
        <v>43</v>
      </c>
      <c r="F192" s="4">
        <v>297100000</v>
      </c>
      <c r="G192" s="8" t="str">
        <f>+VLOOKUP(Tabla14[[#This Row],[FONDO]],MAESTRO!$D$2:$E$119,2,FALSE)</f>
        <v>Banco Santander Rio S.A.</v>
      </c>
      <c r="H192" s="8" t="str">
        <f>+VLOOKUP(Tabla14[[#This Row],[FONDO]],MAESTRO!D:F,3,FALSE)</f>
        <v>(T+0)</v>
      </c>
      <c r="I192" s="4" t="s">
        <v>9</v>
      </c>
      <c r="L1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2" s="4">
        <f>ROUND(IF(Tabla14[[#This Row],[OPERACIÓN]]=MAESTRO!$B$2,Tabla14[CAPITAL],IF(Tabla14[[#This Row],[OPERACIÓN]]=MAESTRO!$B$5,Tabla14[CAPITAL],-Tabla14[[#This Row],[CAPITAL]])),2)</f>
        <v>-297100000</v>
      </c>
    </row>
    <row r="193" spans="1:13" x14ac:dyDescent="0.3">
      <c r="A193" s="26">
        <v>46048</v>
      </c>
      <c r="B193" t="s">
        <v>292</v>
      </c>
      <c r="C193" t="s">
        <v>132</v>
      </c>
      <c r="D193" s="27" t="s">
        <v>17</v>
      </c>
      <c r="E193" s="4" t="s">
        <v>136</v>
      </c>
      <c r="F193" s="4">
        <v>58100000</v>
      </c>
      <c r="G193" s="8" t="str">
        <f>+VLOOKUP(Tabla14[[#This Row],[FONDO]],MAESTRO!$D$2:$E$119,2,FALSE)</f>
        <v>Gma Capital</v>
      </c>
      <c r="H193" s="8" t="str">
        <f>+VLOOKUP(Tabla14[[#This Row],[FONDO]],MAESTRO!D:F,3,FALSE)</f>
        <v>(T+0)</v>
      </c>
      <c r="I193" s="4" t="s">
        <v>9</v>
      </c>
      <c r="L1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3" s="4">
        <f>ROUND(IF(Tabla14[[#This Row],[OPERACIÓN]]=MAESTRO!$B$2,Tabla14[CAPITAL],IF(Tabla14[[#This Row],[OPERACIÓN]]=MAESTRO!$B$5,Tabla14[CAPITAL],-Tabla14[[#This Row],[CAPITAL]])),2)</f>
        <v>-58100000</v>
      </c>
    </row>
    <row r="194" spans="1:13" x14ac:dyDescent="0.3">
      <c r="A194" s="26">
        <v>46048</v>
      </c>
      <c r="B194" t="s">
        <v>299</v>
      </c>
      <c r="C194" t="s">
        <v>132</v>
      </c>
      <c r="D194" s="27" t="s">
        <v>17</v>
      </c>
      <c r="E194" s="4" t="s">
        <v>212</v>
      </c>
      <c r="F194" s="4">
        <v>38221737.5</v>
      </c>
      <c r="G194" s="8" t="str">
        <f>+VLOOKUP(Tabla14[[#This Row],[FONDO]],MAESTRO!$D$2:$E$119,2,FALSE)</f>
        <v>INTAGRO</v>
      </c>
      <c r="H194" s="8" t="str">
        <f>+VLOOKUP(Tabla14[[#This Row],[FONDO]],MAESTRO!D:F,3,FALSE)</f>
        <v>(T+0)</v>
      </c>
      <c r="I194" s="4" t="s">
        <v>9</v>
      </c>
      <c r="L1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4" s="4">
        <f>ROUND(IF(Tabla14[[#This Row],[OPERACIÓN]]=MAESTRO!$B$2,Tabla14[CAPITAL],IF(Tabla14[[#This Row],[OPERACIÓN]]=MAESTRO!$B$5,Tabla14[CAPITAL],-Tabla14[[#This Row],[CAPITAL]])),2)</f>
        <v>-38221737.5</v>
      </c>
    </row>
    <row r="195" spans="1:13" x14ac:dyDescent="0.3">
      <c r="A195" s="26">
        <v>46049</v>
      </c>
      <c r="B195" t="s">
        <v>299</v>
      </c>
      <c r="C195" t="s">
        <v>132</v>
      </c>
      <c r="D195" s="27" t="s">
        <v>17</v>
      </c>
      <c r="E195" s="4" t="s">
        <v>48</v>
      </c>
      <c r="F195" s="4">
        <v>5800000</v>
      </c>
      <c r="G195" s="8" t="str">
        <f>+VLOOKUP(Tabla14[[#This Row],[FONDO]],MAESTRO!$D$2:$E$119,2,FALSE)</f>
        <v>Banco Macro S.A.</v>
      </c>
      <c r="H195" s="8" t="str">
        <f>+VLOOKUP(Tabla14[[#This Row],[FONDO]],MAESTRO!D:F,3,FALSE)</f>
        <v>(T+0)</v>
      </c>
      <c r="I195" s="4" t="s">
        <v>9</v>
      </c>
      <c r="L1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5" s="4">
        <f>ROUND(IF(Tabla14[[#This Row],[OPERACIÓN]]=MAESTRO!$B$2,Tabla14[CAPITAL],IF(Tabla14[[#This Row],[OPERACIÓN]]=MAESTRO!$B$5,Tabla14[CAPITAL],-Tabla14[[#This Row],[CAPITAL]])),2)</f>
        <v>-5800000</v>
      </c>
    </row>
    <row r="196" spans="1:13" x14ac:dyDescent="0.3">
      <c r="A196" s="26">
        <v>46049</v>
      </c>
      <c r="B196" t="s">
        <v>292</v>
      </c>
      <c r="C196" t="s">
        <v>132</v>
      </c>
      <c r="D196" s="27" t="s">
        <v>16</v>
      </c>
      <c r="E196" s="4" t="s">
        <v>48</v>
      </c>
      <c r="F196" s="4">
        <v>8200000</v>
      </c>
      <c r="G196" s="8" t="str">
        <f>+VLOOKUP(Tabla14[[#This Row],[FONDO]],MAESTRO!$D$2:$E$119,2,FALSE)</f>
        <v>Banco Macro S.A.</v>
      </c>
      <c r="H196" s="8" t="str">
        <f>+VLOOKUP(Tabla14[[#This Row],[FONDO]],MAESTRO!D:F,3,FALSE)</f>
        <v>(T+0)</v>
      </c>
      <c r="I196" s="4" t="s">
        <v>9</v>
      </c>
      <c r="L1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6" s="4">
        <f>ROUND(IF(Tabla14[[#This Row],[OPERACIÓN]]=MAESTRO!$B$2,Tabla14[CAPITAL],IF(Tabla14[[#This Row],[OPERACIÓN]]=MAESTRO!$B$5,Tabla14[CAPITAL],-Tabla14[[#This Row],[CAPITAL]])),2)</f>
        <v>8200000</v>
      </c>
    </row>
    <row r="197" spans="1:13" x14ac:dyDescent="0.3">
      <c r="A197" s="26">
        <v>46049</v>
      </c>
      <c r="B197" t="s">
        <v>298</v>
      </c>
      <c r="C197" t="s">
        <v>132</v>
      </c>
      <c r="D197" s="27" t="s">
        <v>17</v>
      </c>
      <c r="E197" s="4" t="s">
        <v>43</v>
      </c>
      <c r="F197" s="4">
        <v>13200000</v>
      </c>
      <c r="G197" s="8" t="str">
        <f>+VLOOKUP(Tabla14[[#This Row],[FONDO]],MAESTRO!$D$2:$E$119,2,FALSE)</f>
        <v>Banco Santander Rio S.A.</v>
      </c>
      <c r="H197" s="8" t="str">
        <f>+VLOOKUP(Tabla14[[#This Row],[FONDO]],MAESTRO!D:F,3,FALSE)</f>
        <v>(T+0)</v>
      </c>
      <c r="I197" s="4" t="s">
        <v>9</v>
      </c>
      <c r="L1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7" s="4">
        <f>ROUND(IF(Tabla14[[#This Row],[OPERACIÓN]]=MAESTRO!$B$2,Tabla14[CAPITAL],IF(Tabla14[[#This Row],[OPERACIÓN]]=MAESTRO!$B$5,Tabla14[CAPITAL],-Tabla14[[#This Row],[CAPITAL]])),2)</f>
        <v>-13200000</v>
      </c>
    </row>
    <row r="198" spans="1:13" x14ac:dyDescent="0.3">
      <c r="A198" s="26">
        <v>46049</v>
      </c>
      <c r="B198" t="s">
        <v>298</v>
      </c>
      <c r="C198" t="s">
        <v>132</v>
      </c>
      <c r="D198" s="27" t="s">
        <v>17</v>
      </c>
      <c r="E198" s="4" t="s">
        <v>40</v>
      </c>
      <c r="F198" s="4">
        <v>1200000000</v>
      </c>
      <c r="G198" s="8" t="str">
        <f>+VLOOKUP(Tabla14[[#This Row],[FONDO]],MAESTRO!$D$2:$E$119,2,FALSE)</f>
        <v>BBVA Banco Frances SA</v>
      </c>
      <c r="H198" s="8" t="str">
        <f>+VLOOKUP(Tabla14[[#This Row],[FONDO]],MAESTRO!D:F,3,FALSE)</f>
        <v>(T+0)</v>
      </c>
      <c r="I198" s="4" t="s">
        <v>9</v>
      </c>
      <c r="L1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8" s="4">
        <f>ROUND(IF(Tabla14[[#This Row],[OPERACIÓN]]=MAESTRO!$B$2,Tabla14[CAPITAL],IF(Tabla14[[#This Row],[OPERACIÓN]]=MAESTRO!$B$5,Tabla14[CAPITAL],-Tabla14[[#This Row],[CAPITAL]])),2)</f>
        <v>-1200000000</v>
      </c>
    </row>
    <row r="199" spans="1:13" x14ac:dyDescent="0.3">
      <c r="A199" s="26">
        <v>46049</v>
      </c>
      <c r="B199" t="s">
        <v>298</v>
      </c>
      <c r="C199" t="s">
        <v>132</v>
      </c>
      <c r="D199" s="27" t="s">
        <v>16</v>
      </c>
      <c r="E199" s="4" t="s">
        <v>40</v>
      </c>
      <c r="F199" s="4">
        <v>7190000000</v>
      </c>
      <c r="G199" s="8" t="str">
        <f>+VLOOKUP(Tabla14[[#This Row],[FONDO]],MAESTRO!$D$2:$E$119,2,FALSE)</f>
        <v>BBVA Banco Frances SA</v>
      </c>
      <c r="H199" s="8" t="str">
        <f>+VLOOKUP(Tabla14[[#This Row],[FONDO]],MAESTRO!D:F,3,FALSE)</f>
        <v>(T+0)</v>
      </c>
      <c r="I199" s="4" t="s">
        <v>9</v>
      </c>
      <c r="L1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99" s="4">
        <f>ROUND(IF(Tabla14[[#This Row],[OPERACIÓN]]=MAESTRO!$B$2,Tabla14[CAPITAL],IF(Tabla14[[#This Row],[OPERACIÓN]]=MAESTRO!$B$5,Tabla14[CAPITAL],-Tabla14[[#This Row],[CAPITAL]])),2)</f>
        <v>7190000000</v>
      </c>
    </row>
    <row r="200" spans="1:13" x14ac:dyDescent="0.3">
      <c r="A200" s="26">
        <v>46049</v>
      </c>
      <c r="B200" t="s">
        <v>298</v>
      </c>
      <c r="C200" t="s">
        <v>132</v>
      </c>
      <c r="D200" s="27" t="s">
        <v>16</v>
      </c>
      <c r="E200" s="4" t="s">
        <v>136</v>
      </c>
      <c r="F200" s="4">
        <v>1000000000</v>
      </c>
      <c r="G200" s="8" t="str">
        <f>+VLOOKUP(Tabla14[[#This Row],[FONDO]],MAESTRO!$D$2:$E$119,2,FALSE)</f>
        <v>Gma Capital</v>
      </c>
      <c r="H200" s="8" t="str">
        <f>+VLOOKUP(Tabla14[[#This Row],[FONDO]],MAESTRO!D:F,3,FALSE)</f>
        <v>(T+0)</v>
      </c>
      <c r="I200" s="4" t="s">
        <v>9</v>
      </c>
      <c r="L2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0" s="4">
        <f>ROUND(IF(Tabla14[[#This Row],[OPERACIÓN]]=MAESTRO!$B$2,Tabla14[CAPITAL],IF(Tabla14[[#This Row],[OPERACIÓN]]=MAESTRO!$B$5,Tabla14[CAPITAL],-Tabla14[[#This Row],[CAPITAL]])),2)</f>
        <v>1000000000</v>
      </c>
    </row>
    <row r="201" spans="1:13" x14ac:dyDescent="0.3">
      <c r="A201" s="26">
        <v>46049</v>
      </c>
      <c r="B201" t="s">
        <v>298</v>
      </c>
      <c r="C201" t="s">
        <v>172</v>
      </c>
      <c r="D201" s="27" t="s">
        <v>16</v>
      </c>
      <c r="E201" s="4" t="s">
        <v>201</v>
      </c>
      <c r="F201" s="4">
        <v>600000</v>
      </c>
      <c r="G201" s="8" t="str">
        <f>+VLOOKUP(Tabla14[[#This Row],[FONDO]],MAESTRO!$D$2:$E$119,2,FALSE)</f>
        <v>Gma Capital</v>
      </c>
      <c r="H201" s="8" t="str">
        <f>+VLOOKUP(Tabla14[[#This Row],[FONDO]],MAESTRO!D:F,3,FALSE)</f>
        <v>USD DL</v>
      </c>
      <c r="I201" s="4" t="s">
        <v>7</v>
      </c>
      <c r="J201" s="23">
        <v>46150</v>
      </c>
      <c r="K201">
        <v>5</v>
      </c>
      <c r="L201" t="s">
        <v>279</v>
      </c>
      <c r="M201" s="4">
        <f>ROUND(IF(Tabla14[[#This Row],[OPERACIÓN]]=MAESTRO!$B$2,Tabla14[CAPITAL],IF(Tabla14[[#This Row],[OPERACIÓN]]=MAESTRO!$B$5,Tabla14[CAPITAL],-Tabla14[[#This Row],[CAPITAL]])),2)</f>
        <v>600000</v>
      </c>
    </row>
    <row r="202" spans="1:13" x14ac:dyDescent="0.3">
      <c r="A202" s="26">
        <v>46049</v>
      </c>
      <c r="B202" t="s">
        <v>299</v>
      </c>
      <c r="C202" t="s">
        <v>132</v>
      </c>
      <c r="D202" s="27" t="s">
        <v>16</v>
      </c>
      <c r="E202" s="4" t="s">
        <v>136</v>
      </c>
      <c r="F202" s="53">
        <v>839797959</v>
      </c>
      <c r="G202" s="8" t="str">
        <f>+VLOOKUP(Tabla14[[#This Row],[FONDO]],MAESTRO!$D$2:$E$119,2,FALSE)</f>
        <v>Gma Capital</v>
      </c>
      <c r="H202" s="8" t="str">
        <f>+VLOOKUP(Tabla14[[#This Row],[FONDO]],MAESTRO!D:F,3,FALSE)</f>
        <v>(T+0)</v>
      </c>
      <c r="I202" s="4" t="s">
        <v>9</v>
      </c>
      <c r="L2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2" s="4">
        <f>ROUND(IF(Tabla14[[#This Row],[OPERACIÓN]]=MAESTRO!$B$2,Tabla14[CAPITAL],IF(Tabla14[[#This Row],[OPERACIÓN]]=MAESTRO!$B$5,Tabla14[CAPITAL],-Tabla14[[#This Row],[CAPITAL]])),2)</f>
        <v>839797959</v>
      </c>
    </row>
    <row r="203" spans="1:13" x14ac:dyDescent="0.3">
      <c r="A203" s="26">
        <v>46049</v>
      </c>
      <c r="B203" t="s">
        <v>299</v>
      </c>
      <c r="C203" t="s">
        <v>132</v>
      </c>
      <c r="D203" s="27" t="s">
        <v>16</v>
      </c>
      <c r="E203" s="4" t="s">
        <v>212</v>
      </c>
      <c r="F203" s="4">
        <v>20444805</v>
      </c>
      <c r="G203" s="8" t="str">
        <f>+VLOOKUP(Tabla14[[#This Row],[FONDO]],MAESTRO!$D$2:$E$119,2,FALSE)</f>
        <v>INTAGRO</v>
      </c>
      <c r="H203" s="8" t="str">
        <f>+VLOOKUP(Tabla14[[#This Row],[FONDO]],MAESTRO!D:F,3,FALSE)</f>
        <v>(T+0)</v>
      </c>
      <c r="I203" s="4" t="s">
        <v>9</v>
      </c>
      <c r="L2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3" s="4">
        <f>ROUND(IF(Tabla14[[#This Row],[OPERACIÓN]]=MAESTRO!$B$2,Tabla14[CAPITAL],IF(Tabla14[[#This Row],[OPERACIÓN]]=MAESTRO!$B$5,Tabla14[CAPITAL],-Tabla14[[#This Row],[CAPITAL]])),2)</f>
        <v>20444805</v>
      </c>
    </row>
    <row r="204" spans="1:13" x14ac:dyDescent="0.3">
      <c r="A204" s="26">
        <v>46049</v>
      </c>
      <c r="B204" t="s">
        <v>298</v>
      </c>
      <c r="C204" t="s">
        <v>132</v>
      </c>
      <c r="D204" s="27" t="s">
        <v>17</v>
      </c>
      <c r="E204" s="4" t="s">
        <v>169</v>
      </c>
      <c r="F204" s="4">
        <v>291596108.12</v>
      </c>
      <c r="G204" s="8" t="str">
        <f>+VLOOKUP(Tabla14[[#This Row],[FONDO]],MAESTRO!$D$2:$E$119,2,FALSE)</f>
        <v>Max Capital</v>
      </c>
      <c r="H204" s="8" t="str">
        <f>+VLOOKUP(Tabla14[[#This Row],[FONDO]],MAESTRO!D:F,3,FALSE)</f>
        <v>(T+0)</v>
      </c>
      <c r="I204" s="4" t="s">
        <v>9</v>
      </c>
      <c r="L2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4" s="4">
        <f>ROUND(IF(Tabla14[[#This Row],[OPERACIÓN]]=MAESTRO!$B$2,Tabla14[CAPITAL],IF(Tabla14[[#This Row],[OPERACIÓN]]=MAESTRO!$B$5,Tabla14[CAPITAL],-Tabla14[[#This Row],[CAPITAL]])),2)</f>
        <v>-291596108.12</v>
      </c>
    </row>
    <row r="205" spans="1:13" x14ac:dyDescent="0.3">
      <c r="A205" s="26">
        <v>46050</v>
      </c>
      <c r="B205" t="s">
        <v>298</v>
      </c>
      <c r="C205" t="s">
        <v>132</v>
      </c>
      <c r="D205" s="27" t="s">
        <v>17</v>
      </c>
      <c r="E205" s="4" t="s">
        <v>136</v>
      </c>
      <c r="F205" s="4">
        <v>840263166</v>
      </c>
      <c r="G205" s="8" t="str">
        <f>+VLOOKUP(Tabla14[[#This Row],[FONDO]],MAESTRO!$D$2:$E$119,2,FALSE)</f>
        <v>Gma Capital</v>
      </c>
      <c r="H205" s="8" t="str">
        <f>+VLOOKUP(Tabla14[[#This Row],[FONDO]],MAESTRO!D:F,3,FALSE)</f>
        <v>(T+0)</v>
      </c>
      <c r="I205" s="4" t="s">
        <v>9</v>
      </c>
      <c r="L2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5" s="4">
        <f>ROUND(IF(Tabla14[[#This Row],[OPERACIÓN]]=MAESTRO!$B$2,Tabla14[CAPITAL],IF(Tabla14[[#This Row],[OPERACIÓN]]=MAESTRO!$B$5,Tabla14[CAPITAL],-Tabla14[[#This Row],[CAPITAL]])),2)</f>
        <v>-840263166</v>
      </c>
    </row>
    <row r="206" spans="1:13" x14ac:dyDescent="0.3">
      <c r="A206" s="26">
        <v>46050</v>
      </c>
      <c r="B206" t="s">
        <v>298</v>
      </c>
      <c r="C206" t="s">
        <v>132</v>
      </c>
      <c r="D206" s="27" t="s">
        <v>17</v>
      </c>
      <c r="E206" s="4" t="s">
        <v>43</v>
      </c>
      <c r="F206" s="4">
        <v>93500000</v>
      </c>
      <c r="G206" s="8" t="str">
        <f>+VLOOKUP(Tabla14[[#This Row],[FONDO]],MAESTRO!$D$2:$E$119,2,FALSE)</f>
        <v>Banco Santander Rio S.A.</v>
      </c>
      <c r="H206" s="8" t="str">
        <f>+VLOOKUP(Tabla14[[#This Row],[FONDO]],MAESTRO!D:F,3,FALSE)</f>
        <v>(T+0)</v>
      </c>
      <c r="I206" s="4" t="s">
        <v>9</v>
      </c>
      <c r="L2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6" s="4">
        <f>ROUND(IF(Tabla14[[#This Row],[OPERACIÓN]]=MAESTRO!$B$2,Tabla14[CAPITAL],IF(Tabla14[[#This Row],[OPERACIÓN]]=MAESTRO!$B$5,Tabla14[CAPITAL],-Tabla14[[#This Row],[CAPITAL]])),2)</f>
        <v>-93500000</v>
      </c>
    </row>
    <row r="207" spans="1:13" x14ac:dyDescent="0.3">
      <c r="A207" s="26">
        <v>46050</v>
      </c>
      <c r="B207" t="s">
        <v>299</v>
      </c>
      <c r="C207" t="s">
        <v>132</v>
      </c>
      <c r="D207" s="27" t="s">
        <v>17</v>
      </c>
      <c r="E207" s="4" t="s">
        <v>136</v>
      </c>
      <c r="F207" s="4">
        <v>114000000</v>
      </c>
      <c r="G207" s="8" t="str">
        <f>+VLOOKUP(Tabla14[[#This Row],[FONDO]],MAESTRO!$D$2:$E$119,2,FALSE)</f>
        <v>Gma Capital</v>
      </c>
      <c r="H207" s="8" t="str">
        <f>+VLOOKUP(Tabla14[[#This Row],[FONDO]],MAESTRO!D:F,3,FALSE)</f>
        <v>(T+0)</v>
      </c>
      <c r="I207" s="4" t="s">
        <v>9</v>
      </c>
      <c r="L2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7" s="4">
        <f>ROUND(IF(Tabla14[[#This Row],[OPERACIÓN]]=MAESTRO!$B$2,Tabla14[CAPITAL],IF(Tabla14[[#This Row],[OPERACIÓN]]=MAESTRO!$B$5,Tabla14[CAPITAL],-Tabla14[[#This Row],[CAPITAL]])),2)</f>
        <v>-114000000</v>
      </c>
    </row>
    <row r="208" spans="1:13" x14ac:dyDescent="0.3">
      <c r="A208" s="26">
        <v>46050</v>
      </c>
      <c r="B208" t="s">
        <v>292</v>
      </c>
      <c r="C208" t="s">
        <v>132</v>
      </c>
      <c r="D208" s="27" t="s">
        <v>17</v>
      </c>
      <c r="E208" s="4" t="s">
        <v>136</v>
      </c>
      <c r="F208" s="4">
        <v>52100000</v>
      </c>
      <c r="G208" s="8" t="str">
        <f>+VLOOKUP(Tabla14[[#This Row],[FONDO]],MAESTRO!$D$2:$E$119,2,FALSE)</f>
        <v>Gma Capital</v>
      </c>
      <c r="H208" s="8" t="str">
        <f>+VLOOKUP(Tabla14[[#This Row],[FONDO]],MAESTRO!D:F,3,FALSE)</f>
        <v>(T+0)</v>
      </c>
      <c r="I208" s="4" t="s">
        <v>9</v>
      </c>
      <c r="L2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8" s="4">
        <f>ROUND(IF(Tabla14[[#This Row],[OPERACIÓN]]=MAESTRO!$B$2,Tabla14[CAPITAL],IF(Tabla14[[#This Row],[OPERACIÓN]]=MAESTRO!$B$5,Tabla14[CAPITAL],-Tabla14[[#This Row],[CAPITAL]])),2)</f>
        <v>-52100000</v>
      </c>
    </row>
    <row r="209" spans="1:13" x14ac:dyDescent="0.3">
      <c r="A209" s="26">
        <v>46050</v>
      </c>
      <c r="B209" t="s">
        <v>299</v>
      </c>
      <c r="C209" t="s">
        <v>132</v>
      </c>
      <c r="D209" s="27" t="s">
        <v>17</v>
      </c>
      <c r="E209" s="4" t="s">
        <v>136</v>
      </c>
      <c r="F209" s="4">
        <v>173277851.5</v>
      </c>
      <c r="G209" s="8" t="str">
        <f>+VLOOKUP(Tabla14[[#This Row],[FONDO]],MAESTRO!$D$2:$E$119,2,FALSE)</f>
        <v>Gma Capital</v>
      </c>
      <c r="H209" s="8" t="str">
        <f>+VLOOKUP(Tabla14[[#This Row],[FONDO]],MAESTRO!D:F,3,FALSE)</f>
        <v>(T+0)</v>
      </c>
      <c r="I209" s="4" t="s">
        <v>9</v>
      </c>
      <c r="L2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09" s="4">
        <f>ROUND(IF(Tabla14[[#This Row],[OPERACIÓN]]=MAESTRO!$B$2,Tabla14[CAPITAL],IF(Tabla14[[#This Row],[OPERACIÓN]]=MAESTRO!$B$5,Tabla14[CAPITAL],-Tabla14[[#This Row],[CAPITAL]])),2)</f>
        <v>-173277851.5</v>
      </c>
    </row>
    <row r="210" spans="1:13" x14ac:dyDescent="0.3">
      <c r="A210" s="26">
        <v>46050</v>
      </c>
      <c r="B210" t="s">
        <v>299</v>
      </c>
      <c r="C210" t="s">
        <v>132</v>
      </c>
      <c r="D210" s="27" t="s">
        <v>17</v>
      </c>
      <c r="E210" s="4" t="s">
        <v>136</v>
      </c>
      <c r="F210" s="4">
        <v>119330169.75</v>
      </c>
      <c r="G210" s="8" t="str">
        <f>+VLOOKUP(Tabla14[[#This Row],[FONDO]],MAESTRO!$D$2:$E$119,2,FALSE)</f>
        <v>Gma Capital</v>
      </c>
      <c r="H210" s="8" t="str">
        <f>+VLOOKUP(Tabla14[[#This Row],[FONDO]],MAESTRO!D:F,3,FALSE)</f>
        <v>(T+0)</v>
      </c>
      <c r="I210" s="4" t="s">
        <v>9</v>
      </c>
      <c r="L2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0" s="4">
        <f>ROUND(IF(Tabla14[[#This Row],[OPERACIÓN]]=MAESTRO!$B$2,Tabla14[CAPITAL],IF(Tabla14[[#This Row],[OPERACIÓN]]=MAESTRO!$B$5,Tabla14[CAPITAL],-Tabla14[[#This Row],[CAPITAL]])),2)</f>
        <v>-119330169.75</v>
      </c>
    </row>
    <row r="211" spans="1:13" x14ac:dyDescent="0.3">
      <c r="A211" s="26">
        <v>46050</v>
      </c>
      <c r="B211" t="s">
        <v>298</v>
      </c>
      <c r="C211" t="s">
        <v>132</v>
      </c>
      <c r="D211" s="27" t="s">
        <v>17</v>
      </c>
      <c r="E211" s="4" t="s">
        <v>40</v>
      </c>
      <c r="F211" s="4">
        <v>2000000000</v>
      </c>
      <c r="G211" s="8" t="str">
        <f>+VLOOKUP(Tabla14[[#This Row],[FONDO]],MAESTRO!$D$2:$E$119,2,FALSE)</f>
        <v>BBVA Banco Frances SA</v>
      </c>
      <c r="H211" s="8" t="str">
        <f>+VLOOKUP(Tabla14[[#This Row],[FONDO]],MAESTRO!D:F,3,FALSE)</f>
        <v>(T+0)</v>
      </c>
      <c r="I211" s="4" t="s">
        <v>9</v>
      </c>
      <c r="L2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1" s="4">
        <f>ROUND(IF(Tabla14[[#This Row],[OPERACIÓN]]=MAESTRO!$B$2,Tabla14[CAPITAL],IF(Tabla14[[#This Row],[OPERACIÓN]]=MAESTRO!$B$5,Tabla14[CAPITAL],-Tabla14[[#This Row],[CAPITAL]])),2)</f>
        <v>-2000000000</v>
      </c>
    </row>
    <row r="212" spans="1:13" x14ac:dyDescent="0.3">
      <c r="A212" s="26">
        <v>46050</v>
      </c>
      <c r="B212" t="s">
        <v>298</v>
      </c>
      <c r="C212" t="s">
        <v>132</v>
      </c>
      <c r="D212" s="27" t="s">
        <v>16</v>
      </c>
      <c r="E212" s="4" t="s">
        <v>136</v>
      </c>
      <c r="F212" s="4">
        <v>2000000000</v>
      </c>
      <c r="G212" s="8" t="str">
        <f>+VLOOKUP(Tabla14[[#This Row],[FONDO]],MAESTRO!$D$2:$E$119,2,FALSE)</f>
        <v>Gma Capital</v>
      </c>
      <c r="H212" s="8" t="str">
        <f>+VLOOKUP(Tabla14[[#This Row],[FONDO]],MAESTRO!D:F,3,FALSE)</f>
        <v>(T+0)</v>
      </c>
      <c r="I212" s="4" t="s">
        <v>9</v>
      </c>
      <c r="L2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2" s="4">
        <f>ROUND(IF(Tabla14[[#This Row],[OPERACIÓN]]=MAESTRO!$B$2,Tabla14[CAPITAL],IF(Tabla14[[#This Row],[OPERACIÓN]]=MAESTRO!$B$5,Tabla14[CAPITAL],-Tabla14[[#This Row],[CAPITAL]])),2)</f>
        <v>2000000000</v>
      </c>
    </row>
    <row r="213" spans="1:13" x14ac:dyDescent="0.3">
      <c r="A213" s="26">
        <v>46050</v>
      </c>
      <c r="B213" t="s">
        <v>299</v>
      </c>
      <c r="C213" t="s">
        <v>132</v>
      </c>
      <c r="D213" s="27" t="s">
        <v>17</v>
      </c>
      <c r="E213" s="4" t="s">
        <v>212</v>
      </c>
      <c r="F213" s="4">
        <v>44770401</v>
      </c>
      <c r="G213" s="8" t="str">
        <f>+VLOOKUP(Tabla14[[#This Row],[FONDO]],MAESTRO!$D$2:$E$119,2,FALSE)</f>
        <v>INTAGRO</v>
      </c>
      <c r="H213" s="8" t="str">
        <f>+VLOOKUP(Tabla14[[#This Row],[FONDO]],MAESTRO!D:F,3,FALSE)</f>
        <v>(T+0)</v>
      </c>
      <c r="I213" s="4" t="s">
        <v>9</v>
      </c>
      <c r="L2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3" s="4">
        <f>ROUND(IF(Tabla14[[#This Row],[OPERACIÓN]]=MAESTRO!$B$2,Tabla14[CAPITAL],IF(Tabla14[[#This Row],[OPERACIÓN]]=MAESTRO!$B$5,Tabla14[CAPITAL],-Tabla14[[#This Row],[CAPITAL]])),2)</f>
        <v>-44770401</v>
      </c>
    </row>
    <row r="214" spans="1:13" x14ac:dyDescent="0.3">
      <c r="A214" s="37">
        <v>46050</v>
      </c>
      <c r="B214" s="20" t="s">
        <v>299</v>
      </c>
      <c r="C214" s="20" t="s">
        <v>132</v>
      </c>
      <c r="D214" s="38" t="s">
        <v>16</v>
      </c>
      <c r="E214" s="39" t="s">
        <v>169</v>
      </c>
      <c r="F214" s="39">
        <v>841484.07</v>
      </c>
      <c r="G214" s="40" t="str">
        <f>+VLOOKUP(Tabla14[[#This Row],[FONDO]],MAESTRO!$D$2:$E$119,2,FALSE)</f>
        <v>Max Capital</v>
      </c>
      <c r="H214" s="40" t="str">
        <f>+VLOOKUP(Tabla14[[#This Row],[FONDO]],MAESTRO!D:F,3,FALSE)</f>
        <v>(T+0)</v>
      </c>
      <c r="I214" s="39" t="s">
        <v>9</v>
      </c>
      <c r="J214" s="49"/>
      <c r="K214" s="20"/>
      <c r="L21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4" s="39">
        <f>ROUND(IF(Tabla14[[#This Row],[OPERACIÓN]]=MAESTRO!$B$2,Tabla14[CAPITAL],IF(Tabla14[[#This Row],[OPERACIÓN]]=MAESTRO!$B$5,Tabla14[CAPITAL],-Tabla14[[#This Row],[CAPITAL]])),2)</f>
        <v>841484.07</v>
      </c>
    </row>
    <row r="215" spans="1:13" x14ac:dyDescent="0.3">
      <c r="A215" s="37">
        <v>46050</v>
      </c>
      <c r="B215" s="20" t="s">
        <v>299</v>
      </c>
      <c r="C215" s="20" t="s">
        <v>132</v>
      </c>
      <c r="D215" s="38" t="s">
        <v>16</v>
      </c>
      <c r="E215" s="39" t="s">
        <v>136</v>
      </c>
      <c r="F215" s="39">
        <v>4552489.0199999996</v>
      </c>
      <c r="G215" s="40" t="str">
        <f>+VLOOKUP(Tabla14[[#This Row],[FONDO]],MAESTRO!$D$2:$E$119,2,FALSE)</f>
        <v>Gma Capital</v>
      </c>
      <c r="H215" s="40" t="str">
        <f>+VLOOKUP(Tabla14[[#This Row],[FONDO]],MAESTRO!D:F,3,FALSE)</f>
        <v>(T+0)</v>
      </c>
      <c r="I215" s="39" t="s">
        <v>9</v>
      </c>
      <c r="J215" s="49"/>
      <c r="K215" s="20"/>
      <c r="L21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5" s="39">
        <f>ROUND(IF(Tabla14[[#This Row],[OPERACIÓN]]=MAESTRO!$B$2,Tabla14[CAPITAL],IF(Tabla14[[#This Row],[OPERACIÓN]]=MAESTRO!$B$5,Tabla14[CAPITAL],-Tabla14[[#This Row],[CAPITAL]])),2)</f>
        <v>4552489.0199999996</v>
      </c>
    </row>
    <row r="216" spans="1:13" x14ac:dyDescent="0.3">
      <c r="A216" s="37">
        <v>46050</v>
      </c>
      <c r="B216" s="20" t="s">
        <v>292</v>
      </c>
      <c r="C216" s="20" t="s">
        <v>132</v>
      </c>
      <c r="D216" s="38" t="s">
        <v>17</v>
      </c>
      <c r="E216" s="39" t="s">
        <v>75</v>
      </c>
      <c r="F216" s="39">
        <v>12000000</v>
      </c>
      <c r="G216" s="40" t="str">
        <f>+VLOOKUP(Tabla14[[#This Row],[FONDO]],MAESTRO!$D$2:$E$119,2,FALSE)</f>
        <v>Banco Comafi</v>
      </c>
      <c r="H216" s="40" t="str">
        <f>+VLOOKUP(Tabla14[[#This Row],[FONDO]],MAESTRO!D:F,3,FALSE)</f>
        <v>(T+0)</v>
      </c>
      <c r="I216" s="39" t="s">
        <v>9</v>
      </c>
      <c r="J216" s="49"/>
      <c r="K216" s="20"/>
      <c r="L21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6" s="39">
        <f>ROUND(IF(Tabla14[[#This Row],[OPERACIÓN]]=MAESTRO!$B$2,Tabla14[CAPITAL],IF(Tabla14[[#This Row],[OPERACIÓN]]=MAESTRO!$B$5,Tabla14[CAPITAL],-Tabla14[[#This Row],[CAPITAL]])),2)</f>
        <v>-12000000</v>
      </c>
    </row>
    <row r="217" spans="1:13" x14ac:dyDescent="0.3">
      <c r="A217" s="37">
        <v>46050</v>
      </c>
      <c r="B217" s="20" t="s">
        <v>292</v>
      </c>
      <c r="C217" s="20" t="s">
        <v>132</v>
      </c>
      <c r="D217" s="38" t="s">
        <v>16</v>
      </c>
      <c r="E217" s="39" t="s">
        <v>136</v>
      </c>
      <c r="F217" s="39">
        <v>5338509.32</v>
      </c>
      <c r="G217" s="40" t="str">
        <f>+VLOOKUP(Tabla14[[#This Row],[FONDO]],MAESTRO!$D$2:$E$119,2,FALSE)</f>
        <v>Gma Capital</v>
      </c>
      <c r="H217" s="40" t="str">
        <f>+VLOOKUP(Tabla14[[#This Row],[FONDO]],MAESTRO!D:F,3,FALSE)</f>
        <v>(T+0)</v>
      </c>
      <c r="I217" s="39" t="s">
        <v>9</v>
      </c>
      <c r="J217" s="49"/>
      <c r="K217" s="20"/>
      <c r="L21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7" s="39">
        <f>ROUND(IF(Tabla14[[#This Row],[OPERACIÓN]]=MAESTRO!$B$2,Tabla14[CAPITAL],IF(Tabla14[[#This Row],[OPERACIÓN]]=MAESTRO!$B$5,Tabla14[CAPITAL],-Tabla14[[#This Row],[CAPITAL]])),2)</f>
        <v>5338509.32</v>
      </c>
    </row>
    <row r="218" spans="1:13" x14ac:dyDescent="0.3">
      <c r="A218" s="37">
        <v>46050</v>
      </c>
      <c r="B218" s="20" t="s">
        <v>126</v>
      </c>
      <c r="C218" s="20" t="s">
        <v>132</v>
      </c>
      <c r="D218" s="38" t="s">
        <v>16</v>
      </c>
      <c r="E218" s="39" t="s">
        <v>48</v>
      </c>
      <c r="F218" s="39">
        <v>7994560</v>
      </c>
      <c r="G218" s="40" t="str">
        <f>+VLOOKUP(Tabla14[[#This Row],[FONDO]],MAESTRO!$D$2:$E$119,2,FALSE)</f>
        <v>Banco Macro S.A.</v>
      </c>
      <c r="H218" s="40" t="str">
        <f>+VLOOKUP(Tabla14[[#This Row],[FONDO]],MAESTRO!D:F,3,FALSE)</f>
        <v>(T+0)</v>
      </c>
      <c r="I218" s="39" t="s">
        <v>9</v>
      </c>
      <c r="J218" s="49"/>
      <c r="K218" s="20"/>
      <c r="L21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8" s="39">
        <f>ROUND(IF(Tabla14[[#This Row],[OPERACIÓN]]=MAESTRO!$B$2,Tabla14[CAPITAL],IF(Tabla14[[#This Row],[OPERACIÓN]]=MAESTRO!$B$5,Tabla14[CAPITAL],-Tabla14[[#This Row],[CAPITAL]])),2)</f>
        <v>7994560</v>
      </c>
    </row>
    <row r="219" spans="1:13" x14ac:dyDescent="0.3">
      <c r="A219" s="37">
        <v>46050</v>
      </c>
      <c r="B219" s="20" t="s">
        <v>298</v>
      </c>
      <c r="C219" s="20" t="s">
        <v>132</v>
      </c>
      <c r="D219" s="38" t="s">
        <v>16</v>
      </c>
      <c r="E219" s="39" t="s">
        <v>169</v>
      </c>
      <c r="F219" s="39">
        <v>5954960.3300000001</v>
      </c>
      <c r="G219" s="40" t="str">
        <f>+VLOOKUP(Tabla14[[#This Row],[FONDO]],MAESTRO!$D$2:$E$119,2,FALSE)</f>
        <v>Max Capital</v>
      </c>
      <c r="H219" s="40" t="str">
        <f>+VLOOKUP(Tabla14[[#This Row],[FONDO]],MAESTRO!D:F,3,FALSE)</f>
        <v>(T+0)</v>
      </c>
      <c r="I219" s="39" t="s">
        <v>9</v>
      </c>
      <c r="J219" s="49"/>
      <c r="K219" s="20"/>
      <c r="L21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19" s="39">
        <f>ROUND(IF(Tabla14[[#This Row],[OPERACIÓN]]=MAESTRO!$B$2,Tabla14[CAPITAL],IF(Tabla14[[#This Row],[OPERACIÓN]]=MAESTRO!$B$5,Tabla14[CAPITAL],-Tabla14[[#This Row],[CAPITAL]])),2)</f>
        <v>5954960.3300000001</v>
      </c>
    </row>
    <row r="220" spans="1:13" x14ac:dyDescent="0.3">
      <c r="A220" s="37">
        <v>46050</v>
      </c>
      <c r="B220" s="20" t="s">
        <v>298</v>
      </c>
      <c r="C220" s="20" t="s">
        <v>132</v>
      </c>
      <c r="D220" s="38" t="s">
        <v>16</v>
      </c>
      <c r="E220" s="39" t="s">
        <v>40</v>
      </c>
      <c r="F220" s="39">
        <v>7044780</v>
      </c>
      <c r="G220" s="40" t="str">
        <f>+VLOOKUP(Tabla14[[#This Row],[FONDO]],MAESTRO!$D$2:$E$119,2,FALSE)</f>
        <v>BBVA Banco Frances SA</v>
      </c>
      <c r="H220" s="40" t="str">
        <f>+VLOOKUP(Tabla14[[#This Row],[FONDO]],MAESTRO!D:F,3,FALSE)</f>
        <v>(T+0)</v>
      </c>
      <c r="I220" s="39" t="s">
        <v>9</v>
      </c>
      <c r="J220" s="49"/>
      <c r="K220" s="20"/>
      <c r="L22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0" s="39">
        <f>ROUND(IF(Tabla14[[#This Row],[OPERACIÓN]]=MAESTRO!$B$2,Tabla14[CAPITAL],IF(Tabla14[[#This Row],[OPERACIÓN]]=MAESTRO!$B$5,Tabla14[CAPITAL],-Tabla14[[#This Row],[CAPITAL]])),2)</f>
        <v>7044780</v>
      </c>
    </row>
    <row r="221" spans="1:13" x14ac:dyDescent="0.3">
      <c r="A221" s="37">
        <v>46050</v>
      </c>
      <c r="B221" s="20" t="s">
        <v>298</v>
      </c>
      <c r="C221" s="20" t="s">
        <v>132</v>
      </c>
      <c r="D221" s="38" t="s">
        <v>17</v>
      </c>
      <c r="E221" s="39" t="s">
        <v>75</v>
      </c>
      <c r="F221" s="39">
        <v>3000000</v>
      </c>
      <c r="G221" s="40" t="str">
        <f>+VLOOKUP(Tabla14[[#This Row],[FONDO]],MAESTRO!$D$2:$E$119,2,FALSE)</f>
        <v>Banco Comafi</v>
      </c>
      <c r="H221" s="40" t="str">
        <f>+VLOOKUP(Tabla14[[#This Row],[FONDO]],MAESTRO!D:F,3,FALSE)</f>
        <v>(T+0)</v>
      </c>
      <c r="I221" s="39" t="s">
        <v>9</v>
      </c>
      <c r="J221" s="49"/>
      <c r="K221" s="20"/>
      <c r="L22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1" s="39">
        <f>ROUND(IF(Tabla14[[#This Row],[OPERACIÓN]]=MAESTRO!$B$2,Tabla14[CAPITAL],IF(Tabla14[[#This Row],[OPERACIÓN]]=MAESTRO!$B$5,Tabla14[CAPITAL],-Tabla14[[#This Row],[CAPITAL]])),2)</f>
        <v>-3000000</v>
      </c>
    </row>
    <row r="222" spans="1:13" x14ac:dyDescent="0.3">
      <c r="A222" s="26">
        <v>46051</v>
      </c>
      <c r="B222" t="s">
        <v>298</v>
      </c>
      <c r="C222" t="s">
        <v>132</v>
      </c>
      <c r="D222" s="27" t="s">
        <v>17</v>
      </c>
      <c r="E222" s="4" t="s">
        <v>40</v>
      </c>
      <c r="F222" s="4">
        <v>600000000</v>
      </c>
      <c r="G222" s="8" t="str">
        <f>+VLOOKUP(Tabla14[[#This Row],[FONDO]],MAESTRO!$D$2:$E$119,2,FALSE)</f>
        <v>BBVA Banco Frances SA</v>
      </c>
      <c r="H222" s="8" t="str">
        <f>+VLOOKUP(Tabla14[[#This Row],[FONDO]],MAESTRO!D:F,3,FALSE)</f>
        <v>(T+0)</v>
      </c>
      <c r="I222" s="4" t="s">
        <v>9</v>
      </c>
      <c r="L2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2" s="4">
        <f>ROUND(IF(Tabla14[[#This Row],[OPERACIÓN]]=MAESTRO!$B$2,Tabla14[CAPITAL],IF(Tabla14[[#This Row],[OPERACIÓN]]=MAESTRO!$B$5,Tabla14[CAPITAL],-Tabla14[[#This Row],[CAPITAL]])),2)</f>
        <v>-600000000</v>
      </c>
    </row>
    <row r="223" spans="1:13" x14ac:dyDescent="0.3">
      <c r="A223" s="26">
        <v>46051</v>
      </c>
      <c r="B223" t="s">
        <v>298</v>
      </c>
      <c r="C223" t="s">
        <v>132</v>
      </c>
      <c r="D223" s="27" t="s">
        <v>16</v>
      </c>
      <c r="E223" s="4" t="s">
        <v>255</v>
      </c>
      <c r="F223" s="4">
        <v>600000000</v>
      </c>
      <c r="G223" s="8" t="str">
        <f>+VLOOKUP(Tabla14[[#This Row],[FONDO]],MAESTRO!$D$2:$E$119,2,FALSE)</f>
        <v>Inviu inversiones</v>
      </c>
      <c r="H223" s="8" t="str">
        <f>+VLOOKUP(Tabla14[[#This Row],[FONDO]],MAESTRO!D:F,3,FALSE)</f>
        <v>(T+0)</v>
      </c>
      <c r="I223" s="4" t="s">
        <v>9</v>
      </c>
      <c r="L2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3" s="4">
        <f>ROUND(IF(Tabla14[[#This Row],[OPERACIÓN]]=MAESTRO!$B$2,Tabla14[CAPITAL],IF(Tabla14[[#This Row],[OPERACIÓN]]=MAESTRO!$B$5,Tabla14[CAPITAL],-Tabla14[[#This Row],[CAPITAL]])),2)</f>
        <v>600000000</v>
      </c>
    </row>
    <row r="224" spans="1:13" x14ac:dyDescent="0.3">
      <c r="A224" s="26">
        <v>46051</v>
      </c>
      <c r="B224" t="s">
        <v>298</v>
      </c>
      <c r="C224" t="s">
        <v>132</v>
      </c>
      <c r="D224" s="27" t="s">
        <v>17</v>
      </c>
      <c r="E224" s="4" t="s">
        <v>40</v>
      </c>
      <c r="F224" s="4">
        <v>405800000</v>
      </c>
      <c r="G224" s="8" t="str">
        <f>+VLOOKUP(Tabla14[[#This Row],[FONDO]],MAESTRO!$D$2:$E$119,2,FALSE)</f>
        <v>BBVA Banco Frances SA</v>
      </c>
      <c r="H224" s="8" t="str">
        <f>+VLOOKUP(Tabla14[[#This Row],[FONDO]],MAESTRO!D:F,3,FALSE)</f>
        <v>(T+0)</v>
      </c>
      <c r="I224" s="4" t="s">
        <v>9</v>
      </c>
      <c r="L2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4" s="4">
        <f>ROUND(IF(Tabla14[[#This Row],[OPERACIÓN]]=MAESTRO!$B$2,Tabla14[CAPITAL],IF(Tabla14[[#This Row],[OPERACIÓN]]=MAESTRO!$B$5,Tabla14[CAPITAL],-Tabla14[[#This Row],[CAPITAL]])),2)</f>
        <v>-405800000</v>
      </c>
    </row>
    <row r="225" spans="1:13" x14ac:dyDescent="0.3">
      <c r="A225" s="26">
        <v>46051</v>
      </c>
      <c r="B225" t="s">
        <v>292</v>
      </c>
      <c r="C225" t="s">
        <v>132</v>
      </c>
      <c r="D225" s="27" t="s">
        <v>16</v>
      </c>
      <c r="E225" s="4" t="s">
        <v>48</v>
      </c>
      <c r="F225" s="4">
        <v>79100000</v>
      </c>
      <c r="G225" s="8" t="str">
        <f>+VLOOKUP(Tabla14[[#This Row],[FONDO]],MAESTRO!$D$2:$E$119,2,FALSE)</f>
        <v>Banco Macro S.A.</v>
      </c>
      <c r="H225" s="8" t="str">
        <f>+VLOOKUP(Tabla14[[#This Row],[FONDO]],MAESTRO!D:F,3,FALSE)</f>
        <v>(T+0)</v>
      </c>
      <c r="I225" s="4" t="s">
        <v>9</v>
      </c>
      <c r="L2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5" s="4">
        <f>ROUND(IF(Tabla14[[#This Row],[OPERACIÓN]]=MAESTRO!$B$2,Tabla14[CAPITAL],IF(Tabla14[[#This Row],[OPERACIÓN]]=MAESTRO!$B$5,Tabla14[CAPITAL],-Tabla14[[#This Row],[CAPITAL]])),2)</f>
        <v>79100000</v>
      </c>
    </row>
    <row r="226" spans="1:13" x14ac:dyDescent="0.3">
      <c r="A226" s="26">
        <v>46051</v>
      </c>
      <c r="B226" t="s">
        <v>299</v>
      </c>
      <c r="C226" t="s">
        <v>132</v>
      </c>
      <c r="D226" s="27" t="s">
        <v>17</v>
      </c>
      <c r="E226" s="4" t="s">
        <v>136</v>
      </c>
      <c r="F226" s="4">
        <v>103100000</v>
      </c>
      <c r="G226" s="8" t="str">
        <f>+VLOOKUP(Tabla14[[#This Row],[FONDO]],MAESTRO!$D$2:$E$119,2,FALSE)</f>
        <v>Gma Capital</v>
      </c>
      <c r="H226" s="8" t="str">
        <f>+VLOOKUP(Tabla14[[#This Row],[FONDO]],MAESTRO!D:F,3,FALSE)</f>
        <v>(T+0)</v>
      </c>
      <c r="I226" s="4" t="s">
        <v>9</v>
      </c>
      <c r="L2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6" s="4">
        <f>ROUND(IF(Tabla14[[#This Row],[OPERACIÓN]]=MAESTRO!$B$2,Tabla14[CAPITAL],IF(Tabla14[[#This Row],[OPERACIÓN]]=MAESTRO!$B$5,Tabla14[CAPITAL],-Tabla14[[#This Row],[CAPITAL]])),2)</f>
        <v>-103100000</v>
      </c>
    </row>
    <row r="227" spans="1:13" x14ac:dyDescent="0.3">
      <c r="A227" s="26">
        <v>46051</v>
      </c>
      <c r="B227" t="s">
        <v>299</v>
      </c>
      <c r="C227" t="s">
        <v>132</v>
      </c>
      <c r="D227" s="27" t="s">
        <v>17</v>
      </c>
      <c r="E227" s="4" t="s">
        <v>136</v>
      </c>
      <c r="F227" s="4">
        <v>54680202.5</v>
      </c>
      <c r="G227" s="8" t="str">
        <f>+VLOOKUP(Tabla14[[#This Row],[FONDO]],MAESTRO!$D$2:$E$119,2,FALSE)</f>
        <v>Gma Capital</v>
      </c>
      <c r="H227" s="8" t="str">
        <f>+VLOOKUP(Tabla14[[#This Row],[FONDO]],MAESTRO!D:F,3,FALSE)</f>
        <v>(T+0)</v>
      </c>
      <c r="I227" s="4" t="s">
        <v>9</v>
      </c>
      <c r="L2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7" s="4">
        <f>ROUND(IF(Tabla14[[#This Row],[OPERACIÓN]]=MAESTRO!$B$2,Tabla14[CAPITAL],IF(Tabla14[[#This Row],[OPERACIÓN]]=MAESTRO!$B$5,Tabla14[CAPITAL],-Tabla14[[#This Row],[CAPITAL]])),2)</f>
        <v>-54680202.5</v>
      </c>
    </row>
    <row r="228" spans="1:13" x14ac:dyDescent="0.3">
      <c r="A228" s="26">
        <v>46051</v>
      </c>
      <c r="B228" t="s">
        <v>292</v>
      </c>
      <c r="C228" t="s">
        <v>132</v>
      </c>
      <c r="D228" s="27" t="s">
        <v>17</v>
      </c>
      <c r="E228" s="4" t="s">
        <v>136</v>
      </c>
      <c r="F228" s="4">
        <v>53862180</v>
      </c>
      <c r="G228" s="8" t="str">
        <f>+VLOOKUP(Tabla14[[#This Row],[FONDO]],MAESTRO!$D$2:$E$119,2,FALSE)</f>
        <v>Gma Capital</v>
      </c>
      <c r="H228" s="8" t="str">
        <f>+VLOOKUP(Tabla14[[#This Row],[FONDO]],MAESTRO!D:F,3,FALSE)</f>
        <v>(T+0)</v>
      </c>
      <c r="I228" s="4" t="s">
        <v>9</v>
      </c>
      <c r="L2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28" s="4">
        <f>ROUND(IF(Tabla14[[#This Row],[OPERACIÓN]]=MAESTRO!$B$2,Tabla14[CAPITAL],IF(Tabla14[[#This Row],[OPERACIÓN]]=MAESTRO!$B$5,Tabla14[CAPITAL],-Tabla14[[#This Row],[CAPITAL]])),2)</f>
        <v>-53862180</v>
      </c>
    </row>
    <row r="229" spans="1:13" x14ac:dyDescent="0.3">
      <c r="A229" s="26">
        <v>46051</v>
      </c>
      <c r="B229" t="s">
        <v>298</v>
      </c>
      <c r="C229" t="s">
        <v>172</v>
      </c>
      <c r="D229" s="27" t="s">
        <v>16</v>
      </c>
      <c r="E229" s="4" t="s">
        <v>202</v>
      </c>
      <c r="F229" s="4">
        <v>1000000</v>
      </c>
      <c r="G229" s="8" t="str">
        <f>+VLOOKUP(Tabla14[[#This Row],[FONDO]],MAESTRO!$D$2:$E$119,2,FALSE)</f>
        <v>Gma Capital</v>
      </c>
      <c r="H229" s="8" t="str">
        <f>+VLOOKUP(Tabla14[[#This Row],[FONDO]],MAESTRO!D:F,3,FALSE)</f>
        <v>USD DL</v>
      </c>
      <c r="I229" s="4" t="s">
        <v>7</v>
      </c>
      <c r="J229" s="23" t="s">
        <v>280</v>
      </c>
      <c r="K229">
        <v>5</v>
      </c>
      <c r="L229" t="s">
        <v>281</v>
      </c>
      <c r="M229" s="4">
        <f>ROUND(IF(Tabla14[[#This Row],[OPERACIÓN]]=MAESTRO!$B$2,Tabla14[CAPITAL],IF(Tabla14[[#This Row],[OPERACIÓN]]=MAESTRO!$B$5,Tabla14[CAPITAL],-Tabla14[[#This Row],[CAPITAL]])),2)</f>
        <v>1000000</v>
      </c>
    </row>
    <row r="230" spans="1:13" x14ac:dyDescent="0.3">
      <c r="A230" s="26">
        <v>46051</v>
      </c>
      <c r="B230" t="s">
        <v>298</v>
      </c>
      <c r="C230" t="s">
        <v>132</v>
      </c>
      <c r="D230" s="27" t="s">
        <v>17</v>
      </c>
      <c r="E230" s="4" t="s">
        <v>136</v>
      </c>
      <c r="F230" s="4">
        <v>1387507600</v>
      </c>
      <c r="G230" s="8" t="str">
        <f>+VLOOKUP(Tabla14[[#This Row],[FONDO]],MAESTRO!$D$2:$E$119,2,FALSE)</f>
        <v>Gma Capital</v>
      </c>
      <c r="H230" s="8" t="str">
        <f>+VLOOKUP(Tabla14[[#This Row],[FONDO]],MAESTRO!D:F,3,FALSE)</f>
        <v>(T+0)</v>
      </c>
      <c r="I230" s="4" t="s">
        <v>9</v>
      </c>
      <c r="L2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0" s="4">
        <f>ROUND(IF(Tabla14[[#This Row],[OPERACIÓN]]=MAESTRO!$B$2,Tabla14[CAPITAL],IF(Tabla14[[#This Row],[OPERACIÓN]]=MAESTRO!$B$5,Tabla14[CAPITAL],-Tabla14[[#This Row],[CAPITAL]])),2)</f>
        <v>-1387507600</v>
      </c>
    </row>
    <row r="231" spans="1:13" x14ac:dyDescent="0.3">
      <c r="A231" s="26">
        <v>46051</v>
      </c>
      <c r="B231" t="s">
        <v>292</v>
      </c>
      <c r="C231" t="s">
        <v>132</v>
      </c>
      <c r="D231" s="27" t="s">
        <v>16</v>
      </c>
      <c r="E231" s="4" t="s">
        <v>136</v>
      </c>
      <c r="F231" s="4">
        <v>1382932659</v>
      </c>
      <c r="G231" s="8" t="str">
        <f>+VLOOKUP(Tabla14[[#This Row],[FONDO]],MAESTRO!$D$2:$E$119,2,FALSE)</f>
        <v>Gma Capital</v>
      </c>
      <c r="H231" s="8" t="str">
        <f>+VLOOKUP(Tabla14[[#This Row],[FONDO]],MAESTRO!D:F,3,FALSE)</f>
        <v>(T+0)</v>
      </c>
      <c r="I231" s="4" t="s">
        <v>9</v>
      </c>
      <c r="L2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1" s="4">
        <f>ROUND(IF(Tabla14[[#This Row],[OPERACIÓN]]=MAESTRO!$B$2,Tabla14[CAPITAL],IF(Tabla14[[#This Row],[OPERACIÓN]]=MAESTRO!$B$5,Tabla14[CAPITAL],-Tabla14[[#This Row],[CAPITAL]])),2)</f>
        <v>1382932659</v>
      </c>
    </row>
    <row r="232" spans="1:13" x14ac:dyDescent="0.3">
      <c r="A232" s="26">
        <v>46052</v>
      </c>
      <c r="B232" t="s">
        <v>298</v>
      </c>
      <c r="C232" t="s">
        <v>132</v>
      </c>
      <c r="D232" s="27" t="s">
        <v>16</v>
      </c>
      <c r="E232" s="4" t="s">
        <v>43</v>
      </c>
      <c r="F232" s="4">
        <v>138100000</v>
      </c>
      <c r="G232" s="8" t="str">
        <f>+VLOOKUP(Tabla14[[#This Row],[FONDO]],MAESTRO!$D$2:$E$119,2,FALSE)</f>
        <v>Banco Santander Rio S.A.</v>
      </c>
      <c r="H232" s="8" t="str">
        <f>+VLOOKUP(Tabla14[[#This Row],[FONDO]],MAESTRO!D:F,3,FALSE)</f>
        <v>(T+0)</v>
      </c>
      <c r="I232" s="4" t="s">
        <v>9</v>
      </c>
      <c r="L2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2" s="4">
        <f>ROUND(IF(Tabla14[[#This Row],[OPERACIÓN]]=MAESTRO!$B$2,Tabla14[CAPITAL],IF(Tabla14[[#This Row],[OPERACIÓN]]=MAESTRO!$B$5,Tabla14[CAPITAL],-Tabla14[[#This Row],[CAPITAL]])),2)</f>
        <v>138100000</v>
      </c>
    </row>
    <row r="233" spans="1:13" x14ac:dyDescent="0.3">
      <c r="A233" s="26">
        <v>46052</v>
      </c>
      <c r="B233" t="s">
        <v>299</v>
      </c>
      <c r="C233" t="s">
        <v>132</v>
      </c>
      <c r="D233" s="27" t="s">
        <v>17</v>
      </c>
      <c r="E233" s="4" t="s">
        <v>48</v>
      </c>
      <c r="F233" s="4">
        <v>14000000</v>
      </c>
      <c r="G233" s="8" t="str">
        <f>+VLOOKUP(Tabla14[[#This Row],[FONDO]],MAESTRO!$D$2:$E$119,2,FALSE)</f>
        <v>Banco Macro S.A.</v>
      </c>
      <c r="H233" s="8" t="str">
        <f>+VLOOKUP(Tabla14[[#This Row],[FONDO]],MAESTRO!D:F,3,FALSE)</f>
        <v>(T+0)</v>
      </c>
      <c r="I233" s="4" t="s">
        <v>9</v>
      </c>
      <c r="L2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3" s="4">
        <f>ROUND(IF(Tabla14[[#This Row],[OPERACIÓN]]=MAESTRO!$B$2,Tabla14[CAPITAL],IF(Tabla14[[#This Row],[OPERACIÓN]]=MAESTRO!$B$5,Tabla14[CAPITAL],-Tabla14[[#This Row],[CAPITAL]])),2)</f>
        <v>-14000000</v>
      </c>
    </row>
    <row r="234" spans="1:13" x14ac:dyDescent="0.3">
      <c r="A234" s="26">
        <v>46052</v>
      </c>
      <c r="B234" t="s">
        <v>292</v>
      </c>
      <c r="C234" t="s">
        <v>132</v>
      </c>
      <c r="D234" s="27" t="s">
        <v>16</v>
      </c>
      <c r="E234" s="4" t="s">
        <v>48</v>
      </c>
      <c r="F234" s="4">
        <v>5500000</v>
      </c>
      <c r="G234" s="8" t="str">
        <f>+VLOOKUP(Tabla14[[#This Row],[FONDO]],MAESTRO!$D$2:$E$119,2,FALSE)</f>
        <v>Banco Macro S.A.</v>
      </c>
      <c r="H234" s="8" t="str">
        <f>+VLOOKUP(Tabla14[[#This Row],[FONDO]],MAESTRO!D:F,3,FALSE)</f>
        <v>(T+0)</v>
      </c>
      <c r="I234" s="4" t="s">
        <v>9</v>
      </c>
      <c r="L2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4" s="4">
        <f>ROUND(IF(Tabla14[[#This Row],[OPERACIÓN]]=MAESTRO!$B$2,Tabla14[CAPITAL],IF(Tabla14[[#This Row],[OPERACIÓN]]=MAESTRO!$B$5,Tabla14[CAPITAL],-Tabla14[[#This Row],[CAPITAL]])),2)</f>
        <v>5500000</v>
      </c>
    </row>
    <row r="235" spans="1:13" x14ac:dyDescent="0.3">
      <c r="A235" s="37">
        <v>46052</v>
      </c>
      <c r="B235" s="20" t="s">
        <v>298</v>
      </c>
      <c r="C235" s="20" t="s">
        <v>132</v>
      </c>
      <c r="D235" s="38" t="s">
        <v>16</v>
      </c>
      <c r="E235" s="39" t="s">
        <v>40</v>
      </c>
      <c r="F235" s="39">
        <v>8033141</v>
      </c>
      <c r="G235" s="40" t="str">
        <f>+VLOOKUP(Tabla14[[#This Row],[FONDO]],MAESTRO!$D$2:$E$119,2,FALSE)</f>
        <v>BBVA Banco Frances SA</v>
      </c>
      <c r="H235" s="40" t="str">
        <f>+VLOOKUP(Tabla14[[#This Row],[FONDO]],MAESTRO!D:F,3,FALSE)</f>
        <v>(T+0)</v>
      </c>
      <c r="I235" s="39" t="s">
        <v>9</v>
      </c>
      <c r="J235" s="49"/>
      <c r="K235" s="20"/>
      <c r="L23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5" s="39">
        <f>ROUND(IF(Tabla14[[#This Row],[OPERACIÓN]]=MAESTRO!$B$2,Tabla14[CAPITAL],IF(Tabla14[[#This Row],[OPERACIÓN]]=MAESTRO!$B$5,Tabla14[CAPITAL],-Tabla14[[#This Row],[CAPITAL]])),2)</f>
        <v>8033141</v>
      </c>
    </row>
    <row r="236" spans="1:13" x14ac:dyDescent="0.3">
      <c r="A236" s="37">
        <v>46052</v>
      </c>
      <c r="B236" s="20" t="s">
        <v>298</v>
      </c>
      <c r="C236" s="20" t="s">
        <v>132</v>
      </c>
      <c r="D236" s="38" t="s">
        <v>16</v>
      </c>
      <c r="E236" s="39" t="s">
        <v>43</v>
      </c>
      <c r="F236" s="39">
        <v>32177163.73</v>
      </c>
      <c r="G236" s="40" t="str">
        <f>+VLOOKUP(Tabla14[[#This Row],[FONDO]],MAESTRO!$D$2:$E$119,2,FALSE)</f>
        <v>Banco Santander Rio S.A.</v>
      </c>
      <c r="H236" s="40" t="str">
        <f>+VLOOKUP(Tabla14[[#This Row],[FONDO]],MAESTRO!D:F,3,FALSE)</f>
        <v>(T+0)</v>
      </c>
      <c r="I236" s="39" t="s">
        <v>9</v>
      </c>
      <c r="J236" s="49"/>
      <c r="K236" s="20"/>
      <c r="L23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6" s="39">
        <f>ROUND(IF(Tabla14[[#This Row],[OPERACIÓN]]=MAESTRO!$B$2,Tabla14[CAPITAL],IF(Tabla14[[#This Row],[OPERACIÓN]]=MAESTRO!$B$5,Tabla14[CAPITAL],-Tabla14[[#This Row],[CAPITAL]])),2)</f>
        <v>32177163.73</v>
      </c>
    </row>
    <row r="237" spans="1:13" x14ac:dyDescent="0.3">
      <c r="A237" s="26">
        <v>46052</v>
      </c>
      <c r="B237" t="s">
        <v>298</v>
      </c>
      <c r="C237" t="s">
        <v>132</v>
      </c>
      <c r="D237" s="27" t="s">
        <v>16</v>
      </c>
      <c r="E237" s="4" t="s">
        <v>40</v>
      </c>
      <c r="F237" s="4">
        <v>1442000000</v>
      </c>
      <c r="G237" s="8" t="str">
        <f>+VLOOKUP(Tabla14[[#This Row],[FONDO]],MAESTRO!$D$2:$E$119,2,FALSE)</f>
        <v>BBVA Banco Frances SA</v>
      </c>
      <c r="H237" s="8" t="str">
        <f>+VLOOKUP(Tabla14[[#This Row],[FONDO]],MAESTRO!D:F,3,FALSE)</f>
        <v>(T+0)</v>
      </c>
      <c r="I237" s="4" t="s">
        <v>9</v>
      </c>
      <c r="L2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7" s="4">
        <f>ROUND(IF(Tabla14[[#This Row],[OPERACIÓN]]=MAESTRO!$B$2,Tabla14[CAPITAL],IF(Tabla14[[#This Row],[OPERACIÓN]]=MAESTRO!$B$5,Tabla14[CAPITAL],-Tabla14[[#This Row],[CAPITAL]])),2)</f>
        <v>1442000000</v>
      </c>
    </row>
    <row r="238" spans="1:13" x14ac:dyDescent="0.3">
      <c r="A238" s="26">
        <v>46055</v>
      </c>
      <c r="B238" t="s">
        <v>298</v>
      </c>
      <c r="C238" t="s">
        <v>132</v>
      </c>
      <c r="D238" s="27" t="s">
        <v>17</v>
      </c>
      <c r="E238" s="4" t="s">
        <v>40</v>
      </c>
      <c r="F238" s="4">
        <v>993700000</v>
      </c>
      <c r="G238" s="58" t="str">
        <f>+VLOOKUP(Tabla14[[#This Row],[FONDO]],MAESTRO!$D$2:$E$119,2,FALSE)</f>
        <v>BBVA Banco Frances SA</v>
      </c>
      <c r="H238" s="8" t="str">
        <f>+VLOOKUP(Tabla14[[#This Row],[FONDO]],MAESTRO!D:F,3,FALSE)</f>
        <v>(T+0)</v>
      </c>
      <c r="I238" s="4" t="s">
        <v>9</v>
      </c>
      <c r="L2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8" s="4">
        <f>ROUND(IF(Tabla14[[#This Row],[OPERACIÓN]]=MAESTRO!$B$2,Tabla14[CAPITAL],IF(Tabla14[[#This Row],[OPERACIÓN]]=MAESTRO!$B$5,Tabla14[CAPITAL],-Tabla14[[#This Row],[CAPITAL]])),2)</f>
        <v>-993700000</v>
      </c>
    </row>
    <row r="239" spans="1:13" x14ac:dyDescent="0.3">
      <c r="A239" s="26">
        <v>46055</v>
      </c>
      <c r="B239" t="s">
        <v>126</v>
      </c>
      <c r="C239" t="s">
        <v>132</v>
      </c>
      <c r="D239" s="27" t="s">
        <v>17</v>
      </c>
      <c r="E239" s="4" t="s">
        <v>48</v>
      </c>
      <c r="F239" s="4">
        <v>70600000</v>
      </c>
      <c r="G239" s="58" t="str">
        <f>+VLOOKUP(Tabla14[[#This Row],[FONDO]],MAESTRO!$D$2:$E$119,2,FALSE)</f>
        <v>Banco Macro S.A.</v>
      </c>
      <c r="H239" s="8" t="str">
        <f>+VLOOKUP(Tabla14[[#This Row],[FONDO]],MAESTRO!D:F,3,FALSE)</f>
        <v>(T+0)</v>
      </c>
      <c r="I239" s="4" t="s">
        <v>9</v>
      </c>
      <c r="L2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39" s="4">
        <f>ROUND(IF(Tabla14[[#This Row],[OPERACIÓN]]=MAESTRO!$B$2,Tabla14[CAPITAL],IF(Tabla14[[#This Row],[OPERACIÓN]]=MAESTRO!$B$5,Tabla14[CAPITAL],-Tabla14[[#This Row],[CAPITAL]])),2)</f>
        <v>-70600000</v>
      </c>
    </row>
    <row r="240" spans="1:13" x14ac:dyDescent="0.3">
      <c r="A240" s="26">
        <v>46055</v>
      </c>
      <c r="B240" t="s">
        <v>299</v>
      </c>
      <c r="C240" t="s">
        <v>132</v>
      </c>
      <c r="D240" s="27" t="s">
        <v>16</v>
      </c>
      <c r="E240" s="4" t="s">
        <v>48</v>
      </c>
      <c r="F240" s="4">
        <v>93100000</v>
      </c>
      <c r="G240" s="58" t="str">
        <f>+VLOOKUP(Tabla14[[#This Row],[FONDO]],MAESTRO!$D$2:$E$119,2,FALSE)</f>
        <v>Banco Macro S.A.</v>
      </c>
      <c r="H240" s="8" t="str">
        <f>+VLOOKUP(Tabla14[[#This Row],[FONDO]],MAESTRO!D:F,3,FALSE)</f>
        <v>(T+0)</v>
      </c>
      <c r="I240" s="4" t="s">
        <v>9</v>
      </c>
      <c r="L2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0" s="4">
        <f>ROUND(IF(Tabla14[[#This Row],[OPERACIÓN]]=MAESTRO!$B$2,Tabla14[CAPITAL],IF(Tabla14[[#This Row],[OPERACIÓN]]=MAESTRO!$B$5,Tabla14[CAPITAL],-Tabla14[[#This Row],[CAPITAL]])),2)</f>
        <v>93100000</v>
      </c>
    </row>
    <row r="241" spans="1:13" x14ac:dyDescent="0.3">
      <c r="A241" s="26">
        <v>46055</v>
      </c>
      <c r="B241" t="s">
        <v>292</v>
      </c>
      <c r="C241" t="s">
        <v>132</v>
      </c>
      <c r="D241" s="27" t="s">
        <v>17</v>
      </c>
      <c r="E241" s="4" t="s">
        <v>136</v>
      </c>
      <c r="F241" s="4">
        <v>279000000</v>
      </c>
      <c r="G241" s="58" t="str">
        <f>+VLOOKUP(Tabla14[[#This Row],[FONDO]],MAESTRO!$D$2:$E$119,2,FALSE)</f>
        <v>Gma Capital</v>
      </c>
      <c r="H241" s="8" t="str">
        <f>+VLOOKUP(Tabla14[[#This Row],[FONDO]],MAESTRO!D:F,3,FALSE)</f>
        <v>(T+0)</v>
      </c>
      <c r="I241" s="4" t="s">
        <v>9</v>
      </c>
      <c r="L2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1" s="4">
        <f>ROUND(IF(Tabla14[[#This Row],[OPERACIÓN]]=MAESTRO!$B$2,Tabla14[CAPITAL],IF(Tabla14[[#This Row],[OPERACIÓN]]=MAESTRO!$B$5,Tabla14[CAPITAL],-Tabla14[[#This Row],[CAPITAL]])),2)</f>
        <v>-279000000</v>
      </c>
    </row>
    <row r="242" spans="1:13" x14ac:dyDescent="0.3">
      <c r="A242" s="26">
        <v>46055</v>
      </c>
      <c r="B242" t="s">
        <v>299</v>
      </c>
      <c r="C242" t="s">
        <v>132</v>
      </c>
      <c r="D242" s="27" t="s">
        <v>17</v>
      </c>
      <c r="E242" s="4" t="s">
        <v>136</v>
      </c>
      <c r="F242" s="4">
        <v>100000000</v>
      </c>
      <c r="G242" s="58" t="str">
        <f>+VLOOKUP(Tabla14[[#This Row],[FONDO]],MAESTRO!$D$2:$E$119,2,FALSE)</f>
        <v>Gma Capital</v>
      </c>
      <c r="H242" s="8" t="str">
        <f>+VLOOKUP(Tabla14[[#This Row],[FONDO]],MAESTRO!D:F,3,FALSE)</f>
        <v>(T+0)</v>
      </c>
      <c r="I242" s="4" t="s">
        <v>9</v>
      </c>
      <c r="L2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2" s="4">
        <f>ROUND(IF(Tabla14[[#This Row],[OPERACIÓN]]=MAESTRO!$B$2,Tabla14[CAPITAL],IF(Tabla14[[#This Row],[OPERACIÓN]]=MAESTRO!$B$5,Tabla14[CAPITAL],-Tabla14[[#This Row],[CAPITAL]])),2)</f>
        <v>-100000000</v>
      </c>
    </row>
    <row r="243" spans="1:13" x14ac:dyDescent="0.3">
      <c r="A243" s="26">
        <v>46055</v>
      </c>
      <c r="B243" t="s">
        <v>299</v>
      </c>
      <c r="C243" t="s">
        <v>132</v>
      </c>
      <c r="D243" s="27" t="s">
        <v>16</v>
      </c>
      <c r="E243" s="4" t="s">
        <v>40</v>
      </c>
      <c r="F243" s="4">
        <v>32400000</v>
      </c>
      <c r="G243" s="58" t="str">
        <f>+VLOOKUP(Tabla14[[#This Row],[FONDO]],MAESTRO!$D$2:$E$119,2,FALSE)</f>
        <v>BBVA Banco Frances SA</v>
      </c>
      <c r="H243" s="8" t="str">
        <f>+VLOOKUP(Tabla14[[#This Row],[FONDO]],MAESTRO!D:F,3,FALSE)</f>
        <v>(T+0)</v>
      </c>
      <c r="I243" s="4" t="s">
        <v>9</v>
      </c>
      <c r="L2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3" s="4">
        <f>ROUND(IF(Tabla14[[#This Row],[OPERACIÓN]]=MAESTRO!$B$2,Tabla14[CAPITAL],IF(Tabla14[[#This Row],[OPERACIÓN]]=MAESTRO!$B$5,Tabla14[CAPITAL],-Tabla14[[#This Row],[CAPITAL]])),2)</f>
        <v>32400000</v>
      </c>
    </row>
    <row r="244" spans="1:13" x14ac:dyDescent="0.3">
      <c r="A244" s="26">
        <v>46055</v>
      </c>
      <c r="B244" t="s">
        <v>298</v>
      </c>
      <c r="C244" t="s">
        <v>132</v>
      </c>
      <c r="D244" s="27" t="s">
        <v>17</v>
      </c>
      <c r="E244" s="4" t="s">
        <v>43</v>
      </c>
      <c r="F244" s="4">
        <v>1000000</v>
      </c>
      <c r="G244" s="59" t="str">
        <f>+VLOOKUP(Tabla14[[#This Row],[FONDO]],MAESTRO!$D$2:$E$119,2,FALSE)</f>
        <v>Banco Santander Rio S.A.</v>
      </c>
      <c r="H244" s="8" t="str">
        <f>+VLOOKUP(Tabla14[[#This Row],[FONDO]],MAESTRO!D:F,3,FALSE)</f>
        <v>(T+0)</v>
      </c>
      <c r="I244" s="4" t="s">
        <v>9</v>
      </c>
      <c r="L2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4" s="4">
        <f>ROUND(IF(Tabla14[[#This Row],[OPERACIÓN]]=MAESTRO!$B$2,Tabla14[CAPITAL],IF(Tabla14[[#This Row],[OPERACIÓN]]=MAESTRO!$B$5,Tabla14[CAPITAL],-Tabla14[[#This Row],[CAPITAL]])),2)</f>
        <v>-1000000</v>
      </c>
    </row>
    <row r="245" spans="1:13" x14ac:dyDescent="0.3">
      <c r="A245" s="26">
        <v>46055</v>
      </c>
      <c r="B245" t="s">
        <v>298</v>
      </c>
      <c r="C245" t="s">
        <v>132</v>
      </c>
      <c r="D245" s="27" t="s">
        <v>17</v>
      </c>
      <c r="E245" s="4" t="s">
        <v>40</v>
      </c>
      <c r="F245" s="4">
        <v>2000000000</v>
      </c>
      <c r="G245" s="8" t="str">
        <f>+VLOOKUP(Tabla14[[#This Row],[FONDO]],MAESTRO!$D$2:$E$119,2,FALSE)</f>
        <v>BBVA Banco Frances SA</v>
      </c>
      <c r="H245" s="8" t="str">
        <f>+VLOOKUP(Tabla14[[#This Row],[FONDO]],MAESTRO!D:F,3,FALSE)</f>
        <v>(T+0)</v>
      </c>
      <c r="I245" s="4" t="s">
        <v>9</v>
      </c>
      <c r="L2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5" s="4">
        <f>ROUND(IF(Tabla14[[#This Row],[OPERACIÓN]]=MAESTRO!$B$2,Tabla14[CAPITAL],IF(Tabla14[[#This Row],[OPERACIÓN]]=MAESTRO!$B$5,Tabla14[CAPITAL],-Tabla14[[#This Row],[CAPITAL]])),2)</f>
        <v>-2000000000</v>
      </c>
    </row>
    <row r="246" spans="1:13" x14ac:dyDescent="0.3">
      <c r="A246" s="26">
        <v>46055</v>
      </c>
      <c r="B246" t="s">
        <v>298</v>
      </c>
      <c r="C246" t="s">
        <v>132</v>
      </c>
      <c r="D246" s="27" t="s">
        <v>16</v>
      </c>
      <c r="E246" s="4" t="s">
        <v>136</v>
      </c>
      <c r="F246" s="4">
        <v>2000000000</v>
      </c>
      <c r="G246" s="8" t="str">
        <f>+VLOOKUP(Tabla14[[#This Row],[FONDO]],MAESTRO!$D$2:$E$119,2,FALSE)</f>
        <v>Gma Capital</v>
      </c>
      <c r="H246" s="8" t="str">
        <f>+VLOOKUP(Tabla14[[#This Row],[FONDO]],MAESTRO!D:F,3,FALSE)</f>
        <v>(T+0)</v>
      </c>
      <c r="I246" s="4" t="s">
        <v>9</v>
      </c>
      <c r="L2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6" s="4">
        <f>ROUND(IF(Tabla14[[#This Row],[OPERACIÓN]]=MAESTRO!$B$2,Tabla14[CAPITAL],IF(Tabla14[[#This Row],[OPERACIÓN]]=MAESTRO!$B$5,Tabla14[CAPITAL],-Tabla14[[#This Row],[CAPITAL]])),2)</f>
        <v>2000000000</v>
      </c>
    </row>
    <row r="247" spans="1:13" x14ac:dyDescent="0.3">
      <c r="A247" s="26">
        <v>46056</v>
      </c>
      <c r="B247" t="s">
        <v>298</v>
      </c>
      <c r="C247" t="s">
        <v>132</v>
      </c>
      <c r="D247" s="27" t="s">
        <v>16</v>
      </c>
      <c r="E247" s="4" t="s">
        <v>40</v>
      </c>
      <c r="F247" s="4">
        <v>4400000</v>
      </c>
      <c r="G247" s="8" t="str">
        <f>+VLOOKUP(Tabla14[[#This Row],[FONDO]],MAESTRO!$D$2:$E$119,2,FALSE)</f>
        <v>BBVA Banco Frances SA</v>
      </c>
      <c r="H247" s="8" t="str">
        <f>+VLOOKUP(Tabla14[[#This Row],[FONDO]],MAESTRO!D:F,3,FALSE)</f>
        <v>(T+0)</v>
      </c>
      <c r="I247" s="4" t="s">
        <v>9</v>
      </c>
      <c r="L2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7" s="4">
        <f>ROUND(IF(Tabla14[[#This Row],[OPERACIÓN]]=MAESTRO!$B$2,Tabla14[CAPITAL],IF(Tabla14[[#This Row],[OPERACIÓN]]=MAESTRO!$B$5,Tabla14[CAPITAL],-Tabla14[[#This Row],[CAPITAL]])),2)</f>
        <v>4400000</v>
      </c>
    </row>
    <row r="248" spans="1:13" x14ac:dyDescent="0.3">
      <c r="A248" s="26">
        <v>46056</v>
      </c>
      <c r="B248" t="s">
        <v>299</v>
      </c>
      <c r="C248" t="s">
        <v>132</v>
      </c>
      <c r="D248" s="27" t="s">
        <v>17</v>
      </c>
      <c r="E248" s="4" t="s">
        <v>48</v>
      </c>
      <c r="F248" s="4">
        <v>3900000</v>
      </c>
      <c r="G248" s="8" t="str">
        <f>+VLOOKUP(Tabla14[[#This Row],[FONDO]],MAESTRO!$D$2:$E$119,2,FALSE)</f>
        <v>Banco Macro S.A.</v>
      </c>
      <c r="H248" s="8" t="str">
        <f>+VLOOKUP(Tabla14[[#This Row],[FONDO]],MAESTRO!D:F,3,FALSE)</f>
        <v>(T+0)</v>
      </c>
      <c r="I248" s="4" t="s">
        <v>9</v>
      </c>
      <c r="L2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8" s="4">
        <f>ROUND(IF(Tabla14[[#This Row],[OPERACIÓN]]=MAESTRO!$B$2,Tabla14[CAPITAL],IF(Tabla14[[#This Row],[OPERACIÓN]]=MAESTRO!$B$5,Tabla14[CAPITAL],-Tabla14[[#This Row],[CAPITAL]])),2)</f>
        <v>-3900000</v>
      </c>
    </row>
    <row r="249" spans="1:13" x14ac:dyDescent="0.3">
      <c r="A249" s="26">
        <v>46056</v>
      </c>
      <c r="B249" t="s">
        <v>292</v>
      </c>
      <c r="C249" t="s">
        <v>132</v>
      </c>
      <c r="D249" s="27" t="s">
        <v>17</v>
      </c>
      <c r="E249" s="4" t="s">
        <v>48</v>
      </c>
      <c r="F249" s="4">
        <v>35400000</v>
      </c>
      <c r="G249" s="8" t="str">
        <f>+VLOOKUP(Tabla14[[#This Row],[FONDO]],MAESTRO!$D$2:$E$119,2,FALSE)</f>
        <v>Banco Macro S.A.</v>
      </c>
      <c r="H249" s="8" t="str">
        <f>+VLOOKUP(Tabla14[[#This Row],[FONDO]],MAESTRO!D:F,3,FALSE)</f>
        <v>(T+0)</v>
      </c>
      <c r="I249" s="4" t="s">
        <v>9</v>
      </c>
      <c r="L2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49" s="4">
        <f>ROUND(IF(Tabla14[[#This Row],[OPERACIÓN]]=MAESTRO!$B$2,Tabla14[CAPITAL],IF(Tabla14[[#This Row],[OPERACIÓN]]=MAESTRO!$B$5,Tabla14[CAPITAL],-Tabla14[[#This Row],[CAPITAL]])),2)</f>
        <v>-35400000</v>
      </c>
    </row>
    <row r="250" spans="1:13" x14ac:dyDescent="0.3">
      <c r="A250" s="26">
        <v>46056</v>
      </c>
      <c r="B250" t="s">
        <v>298</v>
      </c>
      <c r="C250" t="s">
        <v>132</v>
      </c>
      <c r="D250" s="27" t="s">
        <v>17</v>
      </c>
      <c r="E250" s="4" t="s">
        <v>136</v>
      </c>
      <c r="F250" s="4">
        <v>842754192</v>
      </c>
      <c r="G250" s="59" t="str">
        <f>+VLOOKUP(Tabla14[[#This Row],[FONDO]],MAESTRO!$D$2:$E$119,2,FALSE)</f>
        <v>Gma Capital</v>
      </c>
      <c r="H250" s="8" t="str">
        <f>+VLOOKUP(Tabla14[[#This Row],[FONDO]],MAESTRO!D:F,3,FALSE)</f>
        <v>(T+0)</v>
      </c>
      <c r="I250" s="4" t="s">
        <v>9</v>
      </c>
      <c r="L2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0" s="4">
        <f>ROUND(IF(Tabla14[[#This Row],[OPERACIÓN]]=MAESTRO!$B$2,Tabla14[CAPITAL],IF(Tabla14[[#This Row],[OPERACIÓN]]=MAESTRO!$B$5,Tabla14[CAPITAL],-Tabla14[[#This Row],[CAPITAL]])),2)</f>
        <v>-842754192</v>
      </c>
    </row>
    <row r="251" spans="1:13" x14ac:dyDescent="0.3">
      <c r="A251" s="26">
        <v>46056</v>
      </c>
      <c r="B251" t="s">
        <v>292</v>
      </c>
      <c r="C251" t="s">
        <v>132</v>
      </c>
      <c r="D251" s="27" t="s">
        <v>16</v>
      </c>
      <c r="E251" s="4" t="s">
        <v>136</v>
      </c>
      <c r="F251" s="4">
        <v>417356613</v>
      </c>
      <c r="G251" s="59" t="str">
        <f>+VLOOKUP(Tabla14[[#This Row],[FONDO]],MAESTRO!$D$2:$E$119,2,FALSE)</f>
        <v>Gma Capital</v>
      </c>
      <c r="H251" s="8" t="str">
        <f>+VLOOKUP(Tabla14[[#This Row],[FONDO]],MAESTRO!D:F,3,FALSE)</f>
        <v>(T+0)</v>
      </c>
      <c r="I251" s="4" t="s">
        <v>9</v>
      </c>
      <c r="L2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1" s="4">
        <f>ROUND(IF(Tabla14[[#This Row],[OPERACIÓN]]=MAESTRO!$B$2,Tabla14[CAPITAL],IF(Tabla14[[#This Row],[OPERACIÓN]]=MAESTRO!$B$5,Tabla14[CAPITAL],-Tabla14[[#This Row],[CAPITAL]])),2)</f>
        <v>417356613</v>
      </c>
    </row>
    <row r="252" spans="1:13" x14ac:dyDescent="0.3">
      <c r="A252" s="26">
        <v>46056</v>
      </c>
      <c r="B252" t="s">
        <v>299</v>
      </c>
      <c r="C252" t="s">
        <v>132</v>
      </c>
      <c r="D252" s="27" t="s">
        <v>16</v>
      </c>
      <c r="E252" s="4" t="s">
        <v>136</v>
      </c>
      <c r="F252" s="4">
        <v>423764054</v>
      </c>
      <c r="G252" s="59" t="str">
        <f>+VLOOKUP(Tabla14[[#This Row],[FONDO]],MAESTRO!$D$2:$E$119,2,FALSE)</f>
        <v>Gma Capital</v>
      </c>
      <c r="H252" s="8" t="str">
        <f>+VLOOKUP(Tabla14[[#This Row],[FONDO]],MAESTRO!D:F,3,FALSE)</f>
        <v>(T+0)</v>
      </c>
      <c r="I252" s="4" t="s">
        <v>9</v>
      </c>
      <c r="L2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2" s="4">
        <f>ROUND(IF(Tabla14[[#This Row],[OPERACIÓN]]=MAESTRO!$B$2,Tabla14[CAPITAL],IF(Tabla14[[#This Row],[OPERACIÓN]]=MAESTRO!$B$5,Tabla14[CAPITAL],-Tabla14[[#This Row],[CAPITAL]])),2)</f>
        <v>423764054</v>
      </c>
    </row>
    <row r="253" spans="1:13" x14ac:dyDescent="0.3">
      <c r="A253" s="26">
        <v>46056</v>
      </c>
      <c r="B253" t="s">
        <v>298</v>
      </c>
      <c r="C253" t="s">
        <v>172</v>
      </c>
      <c r="D253" s="27" t="s">
        <v>16</v>
      </c>
      <c r="E253" s="4" t="s">
        <v>202</v>
      </c>
      <c r="F253" s="4">
        <v>300000</v>
      </c>
      <c r="G253" s="59" t="str">
        <f>+VLOOKUP(Tabla14[[#This Row],[FONDO]],MAESTRO!$D$2:$E$119,2,FALSE)</f>
        <v>Gma Capital</v>
      </c>
      <c r="H253" s="8" t="str">
        <f>+VLOOKUP(Tabla14[[#This Row],[FONDO]],MAESTRO!D:F,3,FALSE)</f>
        <v>USD DL</v>
      </c>
      <c r="I253" s="4" t="s">
        <v>7</v>
      </c>
      <c r="J253" s="23">
        <v>46358</v>
      </c>
      <c r="K253">
        <v>5</v>
      </c>
      <c r="L253" t="s">
        <v>285</v>
      </c>
      <c r="M253" s="4">
        <f>ROUND(IF(Tabla14[[#This Row],[OPERACIÓN]]=MAESTRO!$B$2,Tabla14[CAPITAL],IF(Tabla14[[#This Row],[OPERACIÓN]]=MAESTRO!$B$5,Tabla14[CAPITAL],-Tabla14[[#This Row],[CAPITAL]])),2)</f>
        <v>300000</v>
      </c>
    </row>
    <row r="254" spans="1:13" x14ac:dyDescent="0.3">
      <c r="A254" s="26">
        <v>46056</v>
      </c>
      <c r="B254" t="s">
        <v>298</v>
      </c>
      <c r="C254" t="s">
        <v>172</v>
      </c>
      <c r="D254" s="27" t="s">
        <v>16</v>
      </c>
      <c r="E254" s="4" t="s">
        <v>201</v>
      </c>
      <c r="F254" s="4">
        <v>300000</v>
      </c>
      <c r="G254" s="59" t="str">
        <f>+VLOOKUP(Tabla14[[#This Row],[FONDO]],MAESTRO!$D$2:$E$119,2,FALSE)</f>
        <v>Gma Capital</v>
      </c>
      <c r="H254" s="8" t="str">
        <f>+VLOOKUP(Tabla14[[#This Row],[FONDO]],MAESTRO!D:F,3,FALSE)</f>
        <v>USD DL</v>
      </c>
      <c r="I254" s="4" t="s">
        <v>7</v>
      </c>
      <c r="J254" s="23">
        <v>46364</v>
      </c>
      <c r="K254">
        <v>5</v>
      </c>
      <c r="L254" t="s">
        <v>288</v>
      </c>
      <c r="M254" s="4">
        <f>ROUND(IF(Tabla14[[#This Row],[OPERACIÓN]]=MAESTRO!$B$2,Tabla14[CAPITAL],IF(Tabla14[[#This Row],[OPERACIÓN]]=MAESTRO!$B$5,Tabla14[CAPITAL],-Tabla14[[#This Row],[CAPITAL]])),2)</f>
        <v>300000</v>
      </c>
    </row>
    <row r="255" spans="1:13" x14ac:dyDescent="0.3">
      <c r="A255" s="37">
        <v>46056</v>
      </c>
      <c r="B255" s="20" t="s">
        <v>299</v>
      </c>
      <c r="C255" s="20" t="s">
        <v>132</v>
      </c>
      <c r="D255" s="38" t="s">
        <v>16</v>
      </c>
      <c r="E255" s="39" t="s">
        <v>40</v>
      </c>
      <c r="F255" s="39">
        <v>20777801</v>
      </c>
      <c r="G255" s="40" t="str">
        <f>+VLOOKUP(Tabla14[[#This Row],[FONDO]],MAESTRO!$D$2:$E$119,2,FALSE)</f>
        <v>BBVA Banco Frances SA</v>
      </c>
      <c r="H255" s="40" t="str">
        <f>+VLOOKUP(Tabla14[[#This Row],[FONDO]],MAESTRO!D:F,3,FALSE)</f>
        <v>(T+0)</v>
      </c>
      <c r="I255" s="39" t="s">
        <v>9</v>
      </c>
      <c r="J255" s="49"/>
      <c r="K255" s="20"/>
      <c r="L25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5" s="39">
        <f>ROUND(IF(Tabla14[[#This Row],[OPERACIÓN]]=MAESTRO!$B$2,Tabla14[CAPITAL],IF(Tabla14[[#This Row],[OPERACIÓN]]=MAESTRO!$B$5,Tabla14[CAPITAL],-Tabla14[[#This Row],[CAPITAL]])),2)</f>
        <v>20777801</v>
      </c>
    </row>
    <row r="256" spans="1:13" x14ac:dyDescent="0.3">
      <c r="A256" s="26">
        <v>46057</v>
      </c>
      <c r="B256" t="s">
        <v>299</v>
      </c>
      <c r="C256" t="s">
        <v>132</v>
      </c>
      <c r="D256" s="27" t="s">
        <v>17</v>
      </c>
      <c r="E256" s="4" t="s">
        <v>136</v>
      </c>
      <c r="F256" s="4">
        <v>200000000</v>
      </c>
      <c r="G256" s="59" t="str">
        <f>+VLOOKUP(Tabla14[[#This Row],[FONDO]],MAESTRO!$D$2:$E$119,2,FALSE)</f>
        <v>Gma Capital</v>
      </c>
      <c r="H256" s="8" t="str">
        <f>+VLOOKUP(Tabla14[[#This Row],[FONDO]],MAESTRO!D:F,3,FALSE)</f>
        <v>(T+0)</v>
      </c>
      <c r="I256" s="4" t="s">
        <v>9</v>
      </c>
      <c r="L2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6" s="4">
        <f>ROUND(IF(Tabla14[[#This Row],[OPERACIÓN]]=MAESTRO!$B$2,Tabla14[CAPITAL],IF(Tabla14[[#This Row],[OPERACIÓN]]=MAESTRO!$B$5,Tabla14[CAPITAL],-Tabla14[[#This Row],[CAPITAL]])),2)</f>
        <v>-200000000</v>
      </c>
    </row>
    <row r="257" spans="1:13" x14ac:dyDescent="0.3">
      <c r="A257" s="26">
        <v>46057</v>
      </c>
      <c r="B257" t="s">
        <v>298</v>
      </c>
      <c r="C257" t="s">
        <v>132</v>
      </c>
      <c r="D257" s="27" t="s">
        <v>17</v>
      </c>
      <c r="E257" s="4" t="s">
        <v>40</v>
      </c>
      <c r="F257" s="4">
        <v>189300000</v>
      </c>
      <c r="G257" s="59" t="str">
        <f>+VLOOKUP(Tabla14[[#This Row],[FONDO]],MAESTRO!$D$2:$E$119,2,FALSE)</f>
        <v>BBVA Banco Frances SA</v>
      </c>
      <c r="H257" s="8" t="str">
        <f>+VLOOKUP(Tabla14[[#This Row],[FONDO]],MAESTRO!D:F,3,FALSE)</f>
        <v>(T+0)</v>
      </c>
      <c r="I257" s="4" t="s">
        <v>9</v>
      </c>
      <c r="L2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7" s="4">
        <f>ROUND(IF(Tabla14[[#This Row],[OPERACIÓN]]=MAESTRO!$B$2,Tabla14[CAPITAL],IF(Tabla14[[#This Row],[OPERACIÓN]]=MAESTRO!$B$5,Tabla14[CAPITAL],-Tabla14[[#This Row],[CAPITAL]])),2)</f>
        <v>-189300000</v>
      </c>
    </row>
    <row r="258" spans="1:13" x14ac:dyDescent="0.3">
      <c r="A258" s="26">
        <v>46057</v>
      </c>
      <c r="B258" t="s">
        <v>299</v>
      </c>
      <c r="C258" t="s">
        <v>132</v>
      </c>
      <c r="D258" s="27" t="s">
        <v>16</v>
      </c>
      <c r="E258" s="4" t="s">
        <v>48</v>
      </c>
      <c r="F258" s="4">
        <v>22800000</v>
      </c>
      <c r="G258" s="59" t="str">
        <f>+VLOOKUP(Tabla14[[#This Row],[FONDO]],MAESTRO!$D$2:$E$119,2,FALSE)</f>
        <v>Banco Macro S.A.</v>
      </c>
      <c r="H258" s="8" t="str">
        <f>+VLOOKUP(Tabla14[[#This Row],[FONDO]],MAESTRO!D:F,3,FALSE)</f>
        <v>(T+0)</v>
      </c>
      <c r="I258" s="4" t="s">
        <v>9</v>
      </c>
      <c r="L2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8" s="4">
        <f>ROUND(IF(Tabla14[[#This Row],[OPERACIÓN]]=MAESTRO!$B$2,Tabla14[CAPITAL],IF(Tabla14[[#This Row],[OPERACIÓN]]=MAESTRO!$B$5,Tabla14[CAPITAL],-Tabla14[[#This Row],[CAPITAL]])),2)</f>
        <v>22800000</v>
      </c>
    </row>
    <row r="259" spans="1:13" x14ac:dyDescent="0.3">
      <c r="A259" s="26">
        <v>46057</v>
      </c>
      <c r="B259" t="s">
        <v>292</v>
      </c>
      <c r="C259" t="s">
        <v>132</v>
      </c>
      <c r="D259" s="27" t="s">
        <v>16</v>
      </c>
      <c r="E259" s="4" t="s">
        <v>48</v>
      </c>
      <c r="F259" s="4">
        <v>11800000</v>
      </c>
      <c r="G259" s="59" t="str">
        <f>+VLOOKUP(Tabla14[[#This Row],[FONDO]],MAESTRO!$D$2:$E$119,2,FALSE)</f>
        <v>Banco Macro S.A.</v>
      </c>
      <c r="H259" s="8" t="str">
        <f>+VLOOKUP(Tabla14[[#This Row],[FONDO]],MAESTRO!D:F,3,FALSE)</f>
        <v>(T+0)</v>
      </c>
      <c r="I259" s="4" t="s">
        <v>9</v>
      </c>
      <c r="L2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59" s="4">
        <f>ROUND(IF(Tabla14[[#This Row],[OPERACIÓN]]=MAESTRO!$B$2,Tabla14[CAPITAL],IF(Tabla14[[#This Row],[OPERACIÓN]]=MAESTRO!$B$5,Tabla14[CAPITAL],-Tabla14[[#This Row],[CAPITAL]])),2)</f>
        <v>11800000</v>
      </c>
    </row>
    <row r="260" spans="1:13" x14ac:dyDescent="0.3">
      <c r="A260" s="26">
        <v>46057</v>
      </c>
      <c r="B260" t="s">
        <v>298</v>
      </c>
      <c r="C260" t="s">
        <v>132</v>
      </c>
      <c r="D260" s="27" t="s">
        <v>17</v>
      </c>
      <c r="E260" s="4" t="s">
        <v>180</v>
      </c>
      <c r="F260" s="4">
        <v>122962263.92</v>
      </c>
      <c r="G260" s="8" t="str">
        <f>+VLOOKUP(Tabla14[[#This Row],[FONDO]],MAESTRO!$D$2:$E$119,2,FALSE)</f>
        <v>PP Inversiones</v>
      </c>
      <c r="H260" s="8" t="str">
        <f>+VLOOKUP(Tabla14[[#This Row],[FONDO]],MAESTRO!D:F,3,FALSE)</f>
        <v>(T+0)</v>
      </c>
      <c r="I260" s="4" t="s">
        <v>9</v>
      </c>
      <c r="L2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0" s="4">
        <f>ROUND(IF(Tabla14[[#This Row],[OPERACIÓN]]=MAESTRO!$B$2,Tabla14[CAPITAL],IF(Tabla14[[#This Row],[OPERACIÓN]]=MAESTRO!$B$5,Tabla14[CAPITAL],-Tabla14[[#This Row],[CAPITAL]])),2)</f>
        <v>-122962263.92</v>
      </c>
    </row>
    <row r="261" spans="1:13" x14ac:dyDescent="0.3">
      <c r="A261" s="26">
        <v>46058</v>
      </c>
      <c r="B261" t="s">
        <v>298</v>
      </c>
      <c r="C261" t="s">
        <v>132</v>
      </c>
      <c r="D261" s="27" t="s">
        <v>17</v>
      </c>
      <c r="E261" s="4" t="s">
        <v>40</v>
      </c>
      <c r="F261" s="4">
        <v>357300000</v>
      </c>
      <c r="G261" s="59" t="str">
        <f>+VLOOKUP(Tabla14[[#This Row],[FONDO]],MAESTRO!$D$2:$E$119,2,FALSE)</f>
        <v>BBVA Banco Frances SA</v>
      </c>
      <c r="H261" s="8" t="str">
        <f>+VLOOKUP(Tabla14[[#This Row],[FONDO]],MAESTRO!D:F,3,FALSE)</f>
        <v>(T+0)</v>
      </c>
      <c r="I261" s="4" t="s">
        <v>9</v>
      </c>
      <c r="L2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1" s="4">
        <f>ROUND(IF(Tabla14[[#This Row],[OPERACIÓN]]=MAESTRO!$B$2,Tabla14[CAPITAL],IF(Tabla14[[#This Row],[OPERACIÓN]]=MAESTRO!$B$5,Tabla14[CAPITAL],-Tabla14[[#This Row],[CAPITAL]])),2)</f>
        <v>-357300000</v>
      </c>
    </row>
    <row r="262" spans="1:13" x14ac:dyDescent="0.3">
      <c r="A262" s="26">
        <v>46058</v>
      </c>
      <c r="B262" t="s">
        <v>299</v>
      </c>
      <c r="C262" t="s">
        <v>132</v>
      </c>
      <c r="D262" s="27" t="s">
        <v>17</v>
      </c>
      <c r="E262" s="4" t="s">
        <v>48</v>
      </c>
      <c r="F262" s="4">
        <v>38000000</v>
      </c>
      <c r="G262" s="59" t="str">
        <f>+VLOOKUP(Tabla14[[#This Row],[FONDO]],MAESTRO!$D$2:$E$119,2,FALSE)</f>
        <v>Banco Macro S.A.</v>
      </c>
      <c r="H262" s="8" t="str">
        <f>+VLOOKUP(Tabla14[[#This Row],[FONDO]],MAESTRO!D:F,3,FALSE)</f>
        <v>(T+0)</v>
      </c>
      <c r="I262" s="4" t="s">
        <v>9</v>
      </c>
      <c r="L2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2" s="4">
        <f>ROUND(IF(Tabla14[[#This Row],[OPERACIÓN]]=MAESTRO!$B$2,Tabla14[CAPITAL],IF(Tabla14[[#This Row],[OPERACIÓN]]=MAESTRO!$B$5,Tabla14[CAPITAL],-Tabla14[[#This Row],[CAPITAL]])),2)</f>
        <v>-38000000</v>
      </c>
    </row>
    <row r="263" spans="1:13" x14ac:dyDescent="0.3">
      <c r="A263" s="26">
        <v>46058</v>
      </c>
      <c r="B263" t="s">
        <v>126</v>
      </c>
      <c r="C263" t="s">
        <v>132</v>
      </c>
      <c r="D263" s="27" t="s">
        <v>17</v>
      </c>
      <c r="E263" s="4" t="s">
        <v>48</v>
      </c>
      <c r="F263" s="4">
        <v>312000000</v>
      </c>
      <c r="G263" s="59" t="str">
        <f>+VLOOKUP(Tabla14[[#This Row],[FONDO]],MAESTRO!$D$2:$E$119,2,FALSE)</f>
        <v>Banco Macro S.A.</v>
      </c>
      <c r="H263" s="8" t="str">
        <f>+VLOOKUP(Tabla14[[#This Row],[FONDO]],MAESTRO!D:F,3,FALSE)</f>
        <v>(T+0)</v>
      </c>
      <c r="I263" s="4" t="s">
        <v>9</v>
      </c>
      <c r="L2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3" s="4">
        <f>ROUND(IF(Tabla14[[#This Row],[OPERACIÓN]]=MAESTRO!$B$2,Tabla14[CAPITAL],IF(Tabla14[[#This Row],[OPERACIÓN]]=MAESTRO!$B$5,Tabla14[CAPITAL],-Tabla14[[#This Row],[CAPITAL]])),2)</f>
        <v>-312000000</v>
      </c>
    </row>
    <row r="264" spans="1:13" x14ac:dyDescent="0.3">
      <c r="A264" s="26">
        <v>46058</v>
      </c>
      <c r="B264" t="s">
        <v>292</v>
      </c>
      <c r="C264" t="s">
        <v>132</v>
      </c>
      <c r="D264" s="27" t="s">
        <v>16</v>
      </c>
      <c r="E264" s="4" t="s">
        <v>48</v>
      </c>
      <c r="F264" s="4">
        <v>900000</v>
      </c>
      <c r="G264" s="59" t="str">
        <f>+VLOOKUP(Tabla14[[#This Row],[FONDO]],MAESTRO!$D$2:$E$119,2,FALSE)</f>
        <v>Banco Macro S.A.</v>
      </c>
      <c r="H264" s="8" t="str">
        <f>+VLOOKUP(Tabla14[[#This Row],[FONDO]],MAESTRO!D:F,3,FALSE)</f>
        <v>(T+0)</v>
      </c>
      <c r="I264" s="4" t="s">
        <v>9</v>
      </c>
      <c r="L2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4" s="4">
        <f>ROUND(IF(Tabla14[[#This Row],[OPERACIÓN]]=MAESTRO!$B$2,Tabla14[CAPITAL],IF(Tabla14[[#This Row],[OPERACIÓN]]=MAESTRO!$B$5,Tabla14[CAPITAL],-Tabla14[[#This Row],[CAPITAL]])),2)</f>
        <v>900000</v>
      </c>
    </row>
    <row r="265" spans="1:13" x14ac:dyDescent="0.3">
      <c r="A265" s="26">
        <v>46059</v>
      </c>
      <c r="B265" t="s">
        <v>298</v>
      </c>
      <c r="C265" t="s">
        <v>132</v>
      </c>
      <c r="D265" s="27" t="s">
        <v>16</v>
      </c>
      <c r="E265" s="4" t="s">
        <v>136</v>
      </c>
      <c r="F265" s="4">
        <v>310077941</v>
      </c>
      <c r="G265" s="59" t="str">
        <f>+VLOOKUP(Tabla14[[#This Row],[FONDO]],MAESTRO!$D$2:$E$119,2,FALSE)</f>
        <v>Gma Capital</v>
      </c>
      <c r="H265" s="8" t="str">
        <f>+VLOOKUP(Tabla14[[#This Row],[FONDO]],MAESTRO!D:F,3,FALSE)</f>
        <v>(T+0)</v>
      </c>
      <c r="I265" s="4" t="s">
        <v>9</v>
      </c>
      <c r="L2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5" s="4">
        <f>ROUND(IF(Tabla14[[#This Row],[OPERACIÓN]]=MAESTRO!$B$2,Tabla14[CAPITAL],IF(Tabla14[[#This Row],[OPERACIÓN]]=MAESTRO!$B$5,Tabla14[CAPITAL],-Tabla14[[#This Row],[CAPITAL]])),2)</f>
        <v>310077941</v>
      </c>
    </row>
    <row r="266" spans="1:13" x14ac:dyDescent="0.3">
      <c r="A266" s="26">
        <v>46059</v>
      </c>
      <c r="B266" t="s">
        <v>299</v>
      </c>
      <c r="C266" t="s">
        <v>132</v>
      </c>
      <c r="D266" s="27" t="s">
        <v>17</v>
      </c>
      <c r="E266" s="4" t="s">
        <v>136</v>
      </c>
      <c r="F266" s="4">
        <v>62528924</v>
      </c>
      <c r="G266" s="59" t="str">
        <f>+VLOOKUP(Tabla14[[#This Row],[FONDO]],MAESTRO!$D$2:$E$119,2,FALSE)</f>
        <v>Gma Capital</v>
      </c>
      <c r="H266" s="8" t="str">
        <f>+VLOOKUP(Tabla14[[#This Row],[FONDO]],MAESTRO!D:F,3,FALSE)</f>
        <v>(T+0)</v>
      </c>
      <c r="I266" s="4" t="s">
        <v>9</v>
      </c>
      <c r="L2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6" s="4">
        <f>ROUND(IF(Tabla14[[#This Row],[OPERACIÓN]]=MAESTRO!$B$2,Tabla14[CAPITAL],IF(Tabla14[[#This Row],[OPERACIÓN]]=MAESTRO!$B$5,Tabla14[CAPITAL],-Tabla14[[#This Row],[CAPITAL]])),2)</f>
        <v>-62528924</v>
      </c>
    </row>
    <row r="267" spans="1:13" x14ac:dyDescent="0.3">
      <c r="A267" s="26">
        <v>46059</v>
      </c>
      <c r="B267" t="s">
        <v>299</v>
      </c>
      <c r="C267" t="s">
        <v>132</v>
      </c>
      <c r="D267" s="27" t="s">
        <v>17</v>
      </c>
      <c r="E267" s="4" t="s">
        <v>136</v>
      </c>
      <c r="F267" s="4">
        <v>77721262</v>
      </c>
      <c r="G267" s="59" t="str">
        <f>+VLOOKUP(Tabla14[[#This Row],[FONDO]],MAESTRO!$D$2:$E$119,2,FALSE)</f>
        <v>Gma Capital</v>
      </c>
      <c r="H267" s="8" t="str">
        <f>+VLOOKUP(Tabla14[[#This Row],[FONDO]],MAESTRO!D:F,3,FALSE)</f>
        <v>(T+0)</v>
      </c>
      <c r="I267" s="4" t="s">
        <v>9</v>
      </c>
      <c r="L2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7" s="4">
        <f>ROUND(IF(Tabla14[[#This Row],[OPERACIÓN]]=MAESTRO!$B$2,Tabla14[CAPITAL],IF(Tabla14[[#This Row],[OPERACIÓN]]=MAESTRO!$B$5,Tabla14[CAPITAL],-Tabla14[[#This Row],[CAPITAL]])),2)</f>
        <v>-77721262</v>
      </c>
    </row>
    <row r="268" spans="1:13" x14ac:dyDescent="0.3">
      <c r="A268" s="26">
        <v>46059</v>
      </c>
      <c r="B268" t="s">
        <v>292</v>
      </c>
      <c r="C268" t="s">
        <v>132</v>
      </c>
      <c r="D268" s="27" t="s">
        <v>17</v>
      </c>
      <c r="E268" s="4" t="s">
        <v>136</v>
      </c>
      <c r="F268" s="4">
        <v>83066080</v>
      </c>
      <c r="G268" s="59" t="str">
        <f>+VLOOKUP(Tabla14[[#This Row],[FONDO]],MAESTRO!$D$2:$E$119,2,FALSE)</f>
        <v>Gma Capital</v>
      </c>
      <c r="H268" s="8" t="str">
        <f>+VLOOKUP(Tabla14[[#This Row],[FONDO]],MAESTRO!D:F,3,FALSE)</f>
        <v>(T+0)</v>
      </c>
      <c r="I268" s="4" t="s">
        <v>9</v>
      </c>
      <c r="L2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8" s="4">
        <f>ROUND(IF(Tabla14[[#This Row],[OPERACIÓN]]=MAESTRO!$B$2,Tabla14[CAPITAL],IF(Tabla14[[#This Row],[OPERACIÓN]]=MAESTRO!$B$5,Tabla14[CAPITAL],-Tabla14[[#This Row],[CAPITAL]])),2)</f>
        <v>-83066080</v>
      </c>
    </row>
    <row r="269" spans="1:13" x14ac:dyDescent="0.3">
      <c r="A269" s="26">
        <v>46059</v>
      </c>
      <c r="B269" t="s">
        <v>292</v>
      </c>
      <c r="C269" t="s">
        <v>132</v>
      </c>
      <c r="D269" s="27" t="s">
        <v>17</v>
      </c>
      <c r="E269" s="4" t="s">
        <v>136</v>
      </c>
      <c r="F269" s="4">
        <v>481500000</v>
      </c>
      <c r="G269" s="59" t="str">
        <f>+VLOOKUP(Tabla14[[#This Row],[FONDO]],MAESTRO!$D$2:$E$119,2,FALSE)</f>
        <v>Gma Capital</v>
      </c>
      <c r="H269" s="8" t="str">
        <f>+VLOOKUP(Tabla14[[#This Row],[FONDO]],MAESTRO!D:F,3,FALSE)</f>
        <v>(T+0)</v>
      </c>
      <c r="I269" s="4" t="s">
        <v>9</v>
      </c>
      <c r="L2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69" s="4">
        <f>ROUND(IF(Tabla14[[#This Row],[OPERACIÓN]]=MAESTRO!$B$2,Tabla14[CAPITAL],IF(Tabla14[[#This Row],[OPERACIÓN]]=MAESTRO!$B$5,Tabla14[CAPITAL],-Tabla14[[#This Row],[CAPITAL]])),2)</f>
        <v>-481500000</v>
      </c>
    </row>
    <row r="270" spans="1:13" x14ac:dyDescent="0.3">
      <c r="A270" s="26">
        <v>46059</v>
      </c>
      <c r="B270" t="s">
        <v>298</v>
      </c>
      <c r="C270" t="s">
        <v>132</v>
      </c>
      <c r="D270" s="27" t="s">
        <v>17</v>
      </c>
      <c r="E270" s="4" t="s">
        <v>40</v>
      </c>
      <c r="F270" s="4">
        <v>105900000</v>
      </c>
      <c r="G270" s="59" t="str">
        <f>+VLOOKUP(Tabla14[[#This Row],[FONDO]],MAESTRO!$D$2:$E$119,2,FALSE)</f>
        <v>BBVA Banco Frances SA</v>
      </c>
      <c r="H270" s="8" t="str">
        <f>+VLOOKUP(Tabla14[[#This Row],[FONDO]],MAESTRO!D:F,3,FALSE)</f>
        <v>(T+0)</v>
      </c>
      <c r="I270" s="4" t="s">
        <v>9</v>
      </c>
      <c r="L2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0" s="4">
        <f>ROUND(IF(Tabla14[[#This Row],[OPERACIÓN]]=MAESTRO!$B$2,Tabla14[CAPITAL],IF(Tabla14[[#This Row],[OPERACIÓN]]=MAESTRO!$B$5,Tabla14[CAPITAL],-Tabla14[[#This Row],[CAPITAL]])),2)</f>
        <v>-105900000</v>
      </c>
    </row>
    <row r="271" spans="1:13" x14ac:dyDescent="0.3">
      <c r="A271" s="26">
        <v>46059</v>
      </c>
      <c r="B271" t="s">
        <v>299</v>
      </c>
      <c r="C271" t="s">
        <v>132</v>
      </c>
      <c r="D271" s="27" t="s">
        <v>17</v>
      </c>
      <c r="E271" s="4" t="s">
        <v>48</v>
      </c>
      <c r="F271" s="4">
        <v>26100000</v>
      </c>
      <c r="G271" s="59" t="str">
        <f>+VLOOKUP(Tabla14[[#This Row],[FONDO]],MAESTRO!$D$2:$E$119,2,FALSE)</f>
        <v>Banco Macro S.A.</v>
      </c>
      <c r="H271" s="8" t="str">
        <f>+VLOOKUP(Tabla14[[#This Row],[FONDO]],MAESTRO!D:F,3,FALSE)</f>
        <v>(T+0)</v>
      </c>
      <c r="I271" s="4" t="s">
        <v>9</v>
      </c>
      <c r="L2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1" s="4">
        <f>ROUND(IF(Tabla14[[#This Row],[OPERACIÓN]]=MAESTRO!$B$2,Tabla14[CAPITAL],IF(Tabla14[[#This Row],[OPERACIÓN]]=MAESTRO!$B$5,Tabla14[CAPITAL],-Tabla14[[#This Row],[CAPITAL]])),2)</f>
        <v>-26100000</v>
      </c>
    </row>
    <row r="272" spans="1:13" x14ac:dyDescent="0.3">
      <c r="A272" s="26">
        <v>46059</v>
      </c>
      <c r="B272" t="s">
        <v>292</v>
      </c>
      <c r="C272" t="s">
        <v>132</v>
      </c>
      <c r="D272" s="27" t="s">
        <v>16</v>
      </c>
      <c r="E272" s="4" t="s">
        <v>48</v>
      </c>
      <c r="F272" s="4">
        <v>52600000</v>
      </c>
      <c r="G272" s="59" t="str">
        <f>+VLOOKUP(Tabla14[[#This Row],[FONDO]],MAESTRO!$D$2:$E$119,2,FALSE)</f>
        <v>Banco Macro S.A.</v>
      </c>
      <c r="H272" s="8" t="str">
        <f>+VLOOKUP(Tabla14[[#This Row],[FONDO]],MAESTRO!D:F,3,FALSE)</f>
        <v>(T+0)</v>
      </c>
      <c r="I272" s="4" t="s">
        <v>9</v>
      </c>
      <c r="L2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2" s="4">
        <f>ROUND(IF(Tabla14[[#This Row],[OPERACIÓN]]=MAESTRO!$B$2,Tabla14[CAPITAL],IF(Tabla14[[#This Row],[OPERACIÓN]]=MAESTRO!$B$5,Tabla14[CAPITAL],-Tabla14[[#This Row],[CAPITAL]])),2)</f>
        <v>52600000</v>
      </c>
    </row>
    <row r="273" spans="1:13" x14ac:dyDescent="0.3">
      <c r="A273" s="26">
        <v>46059</v>
      </c>
      <c r="B273" t="s">
        <v>126</v>
      </c>
      <c r="C273" t="s">
        <v>132</v>
      </c>
      <c r="D273" s="27" t="s">
        <v>17</v>
      </c>
      <c r="E273" s="4" t="s">
        <v>48</v>
      </c>
      <c r="F273" s="4">
        <v>99900000</v>
      </c>
      <c r="G273" s="59" t="str">
        <f>+VLOOKUP(Tabla14[[#This Row],[FONDO]],MAESTRO!$D$2:$E$119,2,FALSE)</f>
        <v>Banco Macro S.A.</v>
      </c>
      <c r="H273" s="8" t="str">
        <f>+VLOOKUP(Tabla14[[#This Row],[FONDO]],MAESTRO!D:F,3,FALSE)</f>
        <v>(T+0)</v>
      </c>
      <c r="I273" s="4" t="s">
        <v>9</v>
      </c>
      <c r="L2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3" s="4">
        <f>ROUND(IF(Tabla14[[#This Row],[OPERACIÓN]]=MAESTRO!$B$2,Tabla14[CAPITAL],IF(Tabla14[[#This Row],[OPERACIÓN]]=MAESTRO!$B$5,Tabla14[CAPITAL],-Tabla14[[#This Row],[CAPITAL]])),2)</f>
        <v>-99900000</v>
      </c>
    </row>
    <row r="274" spans="1:13" x14ac:dyDescent="0.3">
      <c r="A274" s="26">
        <v>46062</v>
      </c>
      <c r="B274" t="s">
        <v>292</v>
      </c>
      <c r="C274" t="s">
        <v>132</v>
      </c>
      <c r="D274" s="27" t="s">
        <v>17</v>
      </c>
      <c r="E274" s="4" t="s">
        <v>136</v>
      </c>
      <c r="F274" s="4">
        <v>824000000</v>
      </c>
      <c r="G274" s="8" t="str">
        <f>+VLOOKUP(Tabla14[[#This Row],[FONDO]],MAESTRO!$D$2:$E$119,2,FALSE)</f>
        <v>Gma Capital</v>
      </c>
      <c r="H274" s="8" t="str">
        <f>+VLOOKUP(Tabla14[[#This Row],[FONDO]],MAESTRO!D:F,3,FALSE)</f>
        <v>(T+0)</v>
      </c>
      <c r="I274" s="4" t="s">
        <v>9</v>
      </c>
      <c r="L2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4" s="4">
        <f>ROUND(IF(Tabla14[[#This Row],[OPERACIÓN]]=MAESTRO!$B$2,Tabla14[CAPITAL],IF(Tabla14[[#This Row],[OPERACIÓN]]=MAESTRO!$B$5,Tabla14[CAPITAL],-Tabla14[[#This Row],[CAPITAL]])),2)</f>
        <v>-824000000</v>
      </c>
    </row>
    <row r="275" spans="1:13" x14ac:dyDescent="0.3">
      <c r="A275" s="26">
        <v>46062</v>
      </c>
      <c r="B275" t="s">
        <v>292</v>
      </c>
      <c r="C275" t="s">
        <v>132</v>
      </c>
      <c r="D275" s="27" t="s">
        <v>17</v>
      </c>
      <c r="E275" s="4" t="s">
        <v>136</v>
      </c>
      <c r="F275" s="4">
        <v>200000000</v>
      </c>
      <c r="G275" s="8" t="str">
        <f>+VLOOKUP(Tabla14[[#This Row],[FONDO]],MAESTRO!$D$2:$E$119,2,FALSE)</f>
        <v>Gma Capital</v>
      </c>
      <c r="H275" s="8" t="str">
        <f>+VLOOKUP(Tabla14[[#This Row],[FONDO]],MAESTRO!D:F,3,FALSE)</f>
        <v>(T+0)</v>
      </c>
      <c r="I275" s="4" t="s">
        <v>9</v>
      </c>
      <c r="L2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5" s="4">
        <f>ROUND(IF(Tabla14[[#This Row],[OPERACIÓN]]=MAESTRO!$B$2,Tabla14[CAPITAL],IF(Tabla14[[#This Row],[OPERACIÓN]]=MAESTRO!$B$5,Tabla14[CAPITAL],-Tabla14[[#This Row],[CAPITAL]])),2)</f>
        <v>-200000000</v>
      </c>
    </row>
    <row r="276" spans="1:13" x14ac:dyDescent="0.3">
      <c r="A276" s="26">
        <v>46062</v>
      </c>
      <c r="B276" t="s">
        <v>299</v>
      </c>
      <c r="C276" t="s">
        <v>132</v>
      </c>
      <c r="D276" s="27" t="s">
        <v>17</v>
      </c>
      <c r="E276" s="4" t="s">
        <v>136</v>
      </c>
      <c r="F276" s="4">
        <v>200000000</v>
      </c>
      <c r="G276" s="8" t="str">
        <f>+VLOOKUP(Tabla14[[#This Row],[FONDO]],MAESTRO!$D$2:$E$119,2,FALSE)</f>
        <v>Gma Capital</v>
      </c>
      <c r="H276" s="8" t="str">
        <f>+VLOOKUP(Tabla14[[#This Row],[FONDO]],MAESTRO!D:F,3,FALSE)</f>
        <v>(T+0)</v>
      </c>
      <c r="I276" s="4" t="s">
        <v>9</v>
      </c>
      <c r="L2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6" s="4">
        <f>ROUND(IF(Tabla14[[#This Row],[OPERACIÓN]]=MAESTRO!$B$2,Tabla14[CAPITAL],IF(Tabla14[[#This Row],[OPERACIÓN]]=MAESTRO!$B$5,Tabla14[CAPITAL],-Tabla14[[#This Row],[CAPITAL]])),2)</f>
        <v>-200000000</v>
      </c>
    </row>
    <row r="277" spans="1:13" x14ac:dyDescent="0.3">
      <c r="A277" s="26">
        <v>46062</v>
      </c>
      <c r="B277" t="s">
        <v>298</v>
      </c>
      <c r="C277" t="s">
        <v>132</v>
      </c>
      <c r="D277" s="27" t="s">
        <v>17</v>
      </c>
      <c r="E277" s="4" t="s">
        <v>40</v>
      </c>
      <c r="F277" s="4">
        <v>1636400000</v>
      </c>
      <c r="G277" s="8" t="str">
        <f>+VLOOKUP(Tabla14[[#This Row],[FONDO]],MAESTRO!$D$2:$E$119,2,FALSE)</f>
        <v>BBVA Banco Frances SA</v>
      </c>
      <c r="H277" s="8" t="str">
        <f>+VLOOKUP(Tabla14[[#This Row],[FONDO]],MAESTRO!D:F,3,FALSE)</f>
        <v>(T+0)</v>
      </c>
      <c r="I277" s="4" t="s">
        <v>9</v>
      </c>
      <c r="L2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7" s="4">
        <f>ROUND(IF(Tabla14[[#This Row],[OPERACIÓN]]=MAESTRO!$B$2,Tabla14[CAPITAL],IF(Tabla14[[#This Row],[OPERACIÓN]]=MAESTRO!$B$5,Tabla14[CAPITAL],-Tabla14[[#This Row],[CAPITAL]])),2)</f>
        <v>-1636400000</v>
      </c>
    </row>
    <row r="278" spans="1:13" x14ac:dyDescent="0.3">
      <c r="A278" s="26">
        <v>46062</v>
      </c>
      <c r="B278" t="s">
        <v>292</v>
      </c>
      <c r="C278" t="s">
        <v>132</v>
      </c>
      <c r="D278" s="27" t="s">
        <v>17</v>
      </c>
      <c r="E278" s="4" t="s">
        <v>48</v>
      </c>
      <c r="F278" s="4">
        <v>57700000</v>
      </c>
      <c r="G278" s="8" t="str">
        <f>+VLOOKUP(Tabla14[[#This Row],[FONDO]],MAESTRO!$D$2:$E$119,2,FALSE)</f>
        <v>Banco Macro S.A.</v>
      </c>
      <c r="H278" s="8" t="str">
        <f>+VLOOKUP(Tabla14[[#This Row],[FONDO]],MAESTRO!D:F,3,FALSE)</f>
        <v>(T+0)</v>
      </c>
      <c r="I278" s="4" t="s">
        <v>9</v>
      </c>
      <c r="L2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8" s="4">
        <f>ROUND(IF(Tabla14[[#This Row],[OPERACIÓN]]=MAESTRO!$B$2,Tabla14[CAPITAL],IF(Tabla14[[#This Row],[OPERACIÓN]]=MAESTRO!$B$5,Tabla14[CAPITAL],-Tabla14[[#This Row],[CAPITAL]])),2)</f>
        <v>-57700000</v>
      </c>
    </row>
    <row r="279" spans="1:13" x14ac:dyDescent="0.3">
      <c r="A279" s="26">
        <v>46062</v>
      </c>
      <c r="B279" t="s">
        <v>126</v>
      </c>
      <c r="C279" t="s">
        <v>132</v>
      </c>
      <c r="D279" s="27" t="s">
        <v>17</v>
      </c>
      <c r="E279" s="4" t="s">
        <v>48</v>
      </c>
      <c r="F279" s="4">
        <v>7200000</v>
      </c>
      <c r="G279" s="8" t="str">
        <f>+VLOOKUP(Tabla14[[#This Row],[FONDO]],MAESTRO!$D$2:$E$119,2,FALSE)</f>
        <v>Banco Macro S.A.</v>
      </c>
      <c r="H279" s="8" t="str">
        <f>+VLOOKUP(Tabla14[[#This Row],[FONDO]],MAESTRO!D:F,3,FALSE)</f>
        <v>(T+0)</v>
      </c>
      <c r="I279" s="4" t="s">
        <v>9</v>
      </c>
      <c r="L2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79" s="4">
        <f>ROUND(IF(Tabla14[[#This Row],[OPERACIÓN]]=MAESTRO!$B$2,Tabla14[CAPITAL],IF(Tabla14[[#This Row],[OPERACIÓN]]=MAESTRO!$B$5,Tabla14[CAPITAL],-Tabla14[[#This Row],[CAPITAL]])),2)</f>
        <v>-7200000</v>
      </c>
    </row>
    <row r="280" spans="1:13" x14ac:dyDescent="0.3">
      <c r="A280" s="26">
        <v>46062</v>
      </c>
      <c r="B280" t="s">
        <v>299</v>
      </c>
      <c r="C280" t="s">
        <v>132</v>
      </c>
      <c r="D280" s="27" t="s">
        <v>16</v>
      </c>
      <c r="E280" s="4" t="s">
        <v>48</v>
      </c>
      <c r="F280" s="4">
        <v>100000000</v>
      </c>
      <c r="G280" s="8" t="str">
        <f>+VLOOKUP(Tabla14[[#This Row],[FONDO]],MAESTRO!$D$2:$E$119,2,FALSE)</f>
        <v>Banco Macro S.A.</v>
      </c>
      <c r="H280" s="8" t="str">
        <f>+VLOOKUP(Tabla14[[#This Row],[FONDO]],MAESTRO!D:F,3,FALSE)</f>
        <v>(T+0)</v>
      </c>
      <c r="I280" s="4" t="s">
        <v>9</v>
      </c>
      <c r="L2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0" s="4">
        <f>ROUND(IF(Tabla14[[#This Row],[OPERACIÓN]]=MAESTRO!$B$2,Tabla14[CAPITAL],IF(Tabla14[[#This Row],[OPERACIÓN]]=MAESTRO!$B$5,Tabla14[CAPITAL],-Tabla14[[#This Row],[CAPITAL]])),2)</f>
        <v>100000000</v>
      </c>
    </row>
    <row r="281" spans="1:13" x14ac:dyDescent="0.3">
      <c r="A281" s="26">
        <v>46063</v>
      </c>
      <c r="B281" t="s">
        <v>298</v>
      </c>
      <c r="C281" t="s">
        <v>132</v>
      </c>
      <c r="D281" s="27" t="s">
        <v>17</v>
      </c>
      <c r="E281" s="4" t="s">
        <v>40</v>
      </c>
      <c r="F281" s="4">
        <v>1000000000</v>
      </c>
      <c r="G281" s="60" t="str">
        <f>+VLOOKUP(Tabla14[[#This Row],[FONDO]],MAESTRO!$D$2:$E$119,2,FALSE)</f>
        <v>BBVA Banco Frances SA</v>
      </c>
      <c r="H281" s="8" t="str">
        <f>+VLOOKUP(Tabla14[[#This Row],[FONDO]],MAESTRO!D:F,3,FALSE)</f>
        <v>(T+0)</v>
      </c>
      <c r="I281" s="4" t="s">
        <v>9</v>
      </c>
      <c r="L2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1" s="4">
        <f>ROUND(IF(Tabla14[[#This Row],[OPERACIÓN]]=MAESTRO!$B$2,Tabla14[CAPITAL],IF(Tabla14[[#This Row],[OPERACIÓN]]=MAESTRO!$B$5,Tabla14[CAPITAL],-Tabla14[[#This Row],[CAPITAL]])),2)</f>
        <v>-1000000000</v>
      </c>
    </row>
    <row r="282" spans="1:13" x14ac:dyDescent="0.3">
      <c r="A282" s="26">
        <v>46063</v>
      </c>
      <c r="B282" t="s">
        <v>298</v>
      </c>
      <c r="C282" t="s">
        <v>132</v>
      </c>
      <c r="D282" s="27" t="s">
        <v>16</v>
      </c>
      <c r="E282" s="4" t="s">
        <v>136</v>
      </c>
      <c r="F282" s="4">
        <v>1000000000</v>
      </c>
      <c r="G282" s="60" t="str">
        <f>+VLOOKUP(Tabla14[[#This Row],[FONDO]],MAESTRO!$D$2:$E$119,2,FALSE)</f>
        <v>Gma Capital</v>
      </c>
      <c r="H282" s="8" t="str">
        <f>+VLOOKUP(Tabla14[[#This Row],[FONDO]],MAESTRO!D:F,3,FALSE)</f>
        <v>(T+0)</v>
      </c>
      <c r="I282" s="4" t="s">
        <v>9</v>
      </c>
      <c r="L2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2" s="4">
        <f>ROUND(IF(Tabla14[[#This Row],[OPERACIÓN]]=MAESTRO!$B$2,Tabla14[CAPITAL],IF(Tabla14[[#This Row],[OPERACIÓN]]=MAESTRO!$B$5,Tabla14[CAPITAL],-Tabla14[[#This Row],[CAPITAL]])),2)</f>
        <v>1000000000</v>
      </c>
    </row>
    <row r="283" spans="1:13" x14ac:dyDescent="0.3">
      <c r="A283" s="26">
        <v>46063</v>
      </c>
      <c r="B283" t="s">
        <v>298</v>
      </c>
      <c r="C283" t="s">
        <v>132</v>
      </c>
      <c r="D283" s="27" t="s">
        <v>17</v>
      </c>
      <c r="E283" s="4" t="s">
        <v>169</v>
      </c>
      <c r="F283" s="4">
        <v>128105336</v>
      </c>
      <c r="G283" s="8" t="str">
        <f>+VLOOKUP(Tabla14[[#This Row],[FONDO]],MAESTRO!$D$2:$E$119,2,FALSE)</f>
        <v>Max Capital</v>
      </c>
      <c r="H283" s="8" t="str">
        <f>+VLOOKUP(Tabla14[[#This Row],[FONDO]],MAESTRO!D:F,3,FALSE)</f>
        <v>(T+0)</v>
      </c>
      <c r="I283" s="4" t="s">
        <v>9</v>
      </c>
      <c r="L2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3" s="4">
        <f>ROUND(IF(Tabla14[[#This Row],[OPERACIÓN]]=MAESTRO!$B$2,Tabla14[CAPITAL],IF(Tabla14[[#This Row],[OPERACIÓN]]=MAESTRO!$B$5,Tabla14[CAPITAL],-Tabla14[[#This Row],[CAPITAL]])),2)</f>
        <v>-128105336</v>
      </c>
    </row>
    <row r="284" spans="1:13" x14ac:dyDescent="0.3">
      <c r="A284" s="26">
        <v>46063</v>
      </c>
      <c r="B284" t="s">
        <v>298</v>
      </c>
      <c r="C284" t="s">
        <v>132</v>
      </c>
      <c r="D284" s="27" t="s">
        <v>17</v>
      </c>
      <c r="E284" s="4" t="s">
        <v>169</v>
      </c>
      <c r="F284" s="4">
        <v>138762850</v>
      </c>
      <c r="G284" s="8" t="str">
        <f>+VLOOKUP(Tabla14[[#This Row],[FONDO]],MAESTRO!$D$2:$E$119,2,FALSE)</f>
        <v>Max Capital</v>
      </c>
      <c r="H284" s="8" t="str">
        <f>+VLOOKUP(Tabla14[[#This Row],[FONDO]],MAESTRO!D:F,3,FALSE)</f>
        <v>(T+0)</v>
      </c>
      <c r="I284" s="4" t="s">
        <v>9</v>
      </c>
      <c r="L2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4" s="4">
        <f>ROUND(IF(Tabla14[[#This Row],[OPERACIÓN]]=MAESTRO!$B$2,Tabla14[CAPITAL],IF(Tabla14[[#This Row],[OPERACIÓN]]=MAESTRO!$B$5,Tabla14[CAPITAL],-Tabla14[[#This Row],[CAPITAL]])),2)</f>
        <v>-138762850</v>
      </c>
    </row>
    <row r="285" spans="1:13" x14ac:dyDescent="0.3">
      <c r="A285" s="26">
        <v>46063</v>
      </c>
      <c r="B285" t="s">
        <v>298</v>
      </c>
      <c r="C285" t="s">
        <v>132</v>
      </c>
      <c r="D285" s="27" t="s">
        <v>17</v>
      </c>
      <c r="E285" s="4" t="s">
        <v>204</v>
      </c>
      <c r="F285" s="4">
        <v>97129895</v>
      </c>
      <c r="G285" s="8" t="str">
        <f>+VLOOKUP(Tabla14[[#This Row],[FONDO]],MAESTRO!$D$2:$E$119,2,FALSE)</f>
        <v>Latin Securities</v>
      </c>
      <c r="H285" s="8" t="str">
        <f>+VLOOKUP(Tabla14[[#This Row],[FONDO]],MAESTRO!D:F,3,FALSE)</f>
        <v>(T+0)</v>
      </c>
      <c r="I285" s="4" t="s">
        <v>9</v>
      </c>
      <c r="L2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5" s="4">
        <f>ROUND(IF(Tabla14[[#This Row],[OPERACIÓN]]=MAESTRO!$B$2,Tabla14[CAPITAL],IF(Tabla14[[#This Row],[OPERACIÓN]]=MAESTRO!$B$5,Tabla14[CAPITAL],-Tabla14[[#This Row],[CAPITAL]])),2)</f>
        <v>-97129895</v>
      </c>
    </row>
    <row r="286" spans="1:13" x14ac:dyDescent="0.3">
      <c r="A286" s="26">
        <v>46063</v>
      </c>
      <c r="B286" t="s">
        <v>298</v>
      </c>
      <c r="C286" t="s">
        <v>132</v>
      </c>
      <c r="D286" s="27" t="s">
        <v>17</v>
      </c>
      <c r="E286" s="4" t="s">
        <v>255</v>
      </c>
      <c r="F286" s="4">
        <v>114371768</v>
      </c>
      <c r="G286" s="8" t="str">
        <f>+VLOOKUP(Tabla14[[#This Row],[FONDO]],MAESTRO!$D$2:$E$119,2,FALSE)</f>
        <v>Inviu inversiones</v>
      </c>
      <c r="H286" s="8" t="str">
        <f>+VLOOKUP(Tabla14[[#This Row],[FONDO]],MAESTRO!D:F,3,FALSE)</f>
        <v>(T+0)</v>
      </c>
      <c r="I286" s="4" t="s">
        <v>9</v>
      </c>
      <c r="L2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6" s="4">
        <f>ROUND(IF(Tabla14[[#This Row],[OPERACIÓN]]=MAESTRO!$B$2,Tabla14[CAPITAL],IF(Tabla14[[#This Row],[OPERACIÓN]]=MAESTRO!$B$5,Tabla14[CAPITAL],-Tabla14[[#This Row],[CAPITAL]])),2)</f>
        <v>-114371768</v>
      </c>
    </row>
    <row r="287" spans="1:13" x14ac:dyDescent="0.3">
      <c r="A287" s="26">
        <v>46063</v>
      </c>
      <c r="B287" t="s">
        <v>298</v>
      </c>
      <c r="C287" t="s">
        <v>132</v>
      </c>
      <c r="D287" s="27" t="s">
        <v>17</v>
      </c>
      <c r="E287" s="4" t="s">
        <v>255</v>
      </c>
      <c r="F287" s="4">
        <v>98120250</v>
      </c>
      <c r="G287" s="8" t="str">
        <f>+VLOOKUP(Tabla14[[#This Row],[FONDO]],MAESTRO!$D$2:$E$119,2,FALSE)</f>
        <v>Inviu inversiones</v>
      </c>
      <c r="H287" s="8" t="str">
        <f>+VLOOKUP(Tabla14[[#This Row],[FONDO]],MAESTRO!D:F,3,FALSE)</f>
        <v>(T+0)</v>
      </c>
      <c r="I287" s="4" t="s">
        <v>9</v>
      </c>
      <c r="L2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7" s="4">
        <f>ROUND(IF(Tabla14[[#This Row],[OPERACIÓN]]=MAESTRO!$B$2,Tabla14[CAPITAL],IF(Tabla14[[#This Row],[OPERACIÓN]]=MAESTRO!$B$5,Tabla14[CAPITAL],-Tabla14[[#This Row],[CAPITAL]])),2)</f>
        <v>-98120250</v>
      </c>
    </row>
    <row r="288" spans="1:13" x14ac:dyDescent="0.3">
      <c r="A288" s="26">
        <v>46063</v>
      </c>
      <c r="B288" t="s">
        <v>299</v>
      </c>
      <c r="C288" t="s">
        <v>132</v>
      </c>
      <c r="D288" s="27" t="s">
        <v>17</v>
      </c>
      <c r="E288" s="4" t="s">
        <v>48</v>
      </c>
      <c r="F288" s="4">
        <v>104700000</v>
      </c>
      <c r="G288" s="8" t="str">
        <f>+VLOOKUP(Tabla14[[#This Row],[FONDO]],MAESTRO!$D$2:$E$119,2,FALSE)</f>
        <v>Banco Macro S.A.</v>
      </c>
      <c r="H288" s="8" t="str">
        <f>+VLOOKUP(Tabla14[[#This Row],[FONDO]],MAESTRO!D:F,3,FALSE)</f>
        <v>(T+0)</v>
      </c>
      <c r="I288" s="4" t="s">
        <v>9</v>
      </c>
      <c r="L2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8" s="4">
        <f>ROUND(IF(Tabla14[[#This Row],[OPERACIÓN]]=MAESTRO!$B$2,Tabla14[CAPITAL],IF(Tabla14[[#This Row],[OPERACIÓN]]=MAESTRO!$B$5,Tabla14[CAPITAL],-Tabla14[[#This Row],[CAPITAL]])),2)</f>
        <v>-104700000</v>
      </c>
    </row>
    <row r="289" spans="1:13" x14ac:dyDescent="0.3">
      <c r="A289" s="26">
        <v>46063</v>
      </c>
      <c r="B289" t="s">
        <v>292</v>
      </c>
      <c r="C289" t="s">
        <v>132</v>
      </c>
      <c r="D289" s="27" t="s">
        <v>17</v>
      </c>
      <c r="E289" s="4" t="s">
        <v>48</v>
      </c>
      <c r="F289" s="4">
        <v>45000000</v>
      </c>
      <c r="G289" s="8" t="str">
        <f>+VLOOKUP(Tabla14[[#This Row],[FONDO]],MAESTRO!$D$2:$E$119,2,FALSE)</f>
        <v>Banco Macro S.A.</v>
      </c>
      <c r="H289" s="8" t="str">
        <f>+VLOOKUP(Tabla14[[#This Row],[FONDO]],MAESTRO!D:F,3,FALSE)</f>
        <v>(T+0)</v>
      </c>
      <c r="I289" s="4" t="s">
        <v>9</v>
      </c>
      <c r="L2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89" s="4">
        <f>ROUND(IF(Tabla14[[#This Row],[OPERACIÓN]]=MAESTRO!$B$2,Tabla14[CAPITAL],IF(Tabla14[[#This Row],[OPERACIÓN]]=MAESTRO!$B$5,Tabla14[CAPITAL],-Tabla14[[#This Row],[CAPITAL]])),2)</f>
        <v>-45000000</v>
      </c>
    </row>
    <row r="290" spans="1:13" x14ac:dyDescent="0.3">
      <c r="A290" s="26">
        <v>46063</v>
      </c>
      <c r="B290" t="s">
        <v>126</v>
      </c>
      <c r="C290" t="s">
        <v>132</v>
      </c>
      <c r="D290" s="27" t="s">
        <v>17</v>
      </c>
      <c r="E290" s="4" t="s">
        <v>48</v>
      </c>
      <c r="F290" s="4">
        <v>71900000</v>
      </c>
      <c r="G290" s="8" t="str">
        <f>+VLOOKUP(Tabla14[[#This Row],[FONDO]],MAESTRO!$D$2:$E$119,2,FALSE)</f>
        <v>Banco Macro S.A.</v>
      </c>
      <c r="H290" s="8" t="str">
        <f>+VLOOKUP(Tabla14[[#This Row],[FONDO]],MAESTRO!D:F,3,FALSE)</f>
        <v>(T+0)</v>
      </c>
      <c r="I290" s="4" t="s">
        <v>9</v>
      </c>
      <c r="L2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0" s="4">
        <f>ROUND(IF(Tabla14[[#This Row],[OPERACIÓN]]=MAESTRO!$B$2,Tabla14[CAPITAL],IF(Tabla14[[#This Row],[OPERACIÓN]]=MAESTRO!$B$5,Tabla14[CAPITAL],-Tabla14[[#This Row],[CAPITAL]])),2)</f>
        <v>-71900000</v>
      </c>
    </row>
    <row r="291" spans="1:13" x14ac:dyDescent="0.3">
      <c r="A291" s="26">
        <v>46063</v>
      </c>
      <c r="B291" t="s">
        <v>298</v>
      </c>
      <c r="C291" t="s">
        <v>132</v>
      </c>
      <c r="D291" s="27" t="s">
        <v>17</v>
      </c>
      <c r="E291" s="4" t="s">
        <v>40</v>
      </c>
      <c r="F291" s="4">
        <v>218800000</v>
      </c>
      <c r="G291" s="8" t="str">
        <f>+VLOOKUP(Tabla14[[#This Row],[FONDO]],MAESTRO!$D$2:$E$119,2,FALSE)</f>
        <v>BBVA Banco Frances SA</v>
      </c>
      <c r="H291" s="8" t="str">
        <f>+VLOOKUP(Tabla14[[#This Row],[FONDO]],MAESTRO!D:F,3,FALSE)</f>
        <v>(T+0)</v>
      </c>
      <c r="I291" s="4" t="s">
        <v>9</v>
      </c>
      <c r="L2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1" s="4">
        <f>ROUND(IF(Tabla14[[#This Row],[OPERACIÓN]]=MAESTRO!$B$2,Tabla14[CAPITAL],IF(Tabla14[[#This Row],[OPERACIÓN]]=MAESTRO!$B$5,Tabla14[CAPITAL],-Tabla14[[#This Row],[CAPITAL]])),2)</f>
        <v>-218800000</v>
      </c>
    </row>
    <row r="292" spans="1:13" x14ac:dyDescent="0.3">
      <c r="A292" s="26">
        <v>46063</v>
      </c>
      <c r="B292" t="s">
        <v>298</v>
      </c>
      <c r="C292" t="s">
        <v>132</v>
      </c>
      <c r="D292" s="27" t="s">
        <v>17</v>
      </c>
      <c r="E292" s="4" t="s">
        <v>136</v>
      </c>
      <c r="F292" s="4">
        <v>2774428759</v>
      </c>
      <c r="G292" s="60" t="str">
        <f>+VLOOKUP(Tabla14[[#This Row],[FONDO]],MAESTRO!$D$2:$E$119,2,FALSE)</f>
        <v>Gma Capital</v>
      </c>
      <c r="H292" s="8" t="str">
        <f>+VLOOKUP(Tabla14[[#This Row],[FONDO]],MAESTRO!D:F,3,FALSE)</f>
        <v>(T+0)</v>
      </c>
      <c r="I292" s="4" t="s">
        <v>9</v>
      </c>
      <c r="L2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2" s="4">
        <f>ROUND(IF(Tabla14[[#This Row],[OPERACIÓN]]=MAESTRO!$B$2,Tabla14[CAPITAL],IF(Tabla14[[#This Row],[OPERACIÓN]]=MAESTRO!$B$5,Tabla14[CAPITAL],-Tabla14[[#This Row],[CAPITAL]])),2)</f>
        <v>-2774428759</v>
      </c>
    </row>
    <row r="293" spans="1:13" x14ac:dyDescent="0.3">
      <c r="A293" s="26">
        <v>46063</v>
      </c>
      <c r="B293" t="s">
        <v>299</v>
      </c>
      <c r="C293" t="s">
        <v>132</v>
      </c>
      <c r="D293" s="27" t="s">
        <v>16</v>
      </c>
      <c r="E293" s="4" t="s">
        <v>136</v>
      </c>
      <c r="F293" s="4">
        <v>2767294687</v>
      </c>
      <c r="G293" s="60" t="str">
        <f>+VLOOKUP(Tabla14[[#This Row],[FONDO]],MAESTRO!$D$2:$E$119,2,FALSE)</f>
        <v>Gma Capital</v>
      </c>
      <c r="H293" s="8" t="str">
        <f>+VLOOKUP(Tabla14[[#This Row],[FONDO]],MAESTRO!D:F,3,FALSE)</f>
        <v>(T+0)</v>
      </c>
      <c r="I293" s="4" t="s">
        <v>9</v>
      </c>
      <c r="L2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3" s="4">
        <f>ROUND(IF(Tabla14[[#This Row],[OPERACIÓN]]=MAESTRO!$B$2,Tabla14[CAPITAL],IF(Tabla14[[#This Row],[OPERACIÓN]]=MAESTRO!$B$5,Tabla14[CAPITAL],-Tabla14[[#This Row],[CAPITAL]])),2)</f>
        <v>2767294687</v>
      </c>
    </row>
    <row r="294" spans="1:13" x14ac:dyDescent="0.3">
      <c r="A294" s="26">
        <v>46063</v>
      </c>
      <c r="B294" t="s">
        <v>298</v>
      </c>
      <c r="C294" t="s">
        <v>172</v>
      </c>
      <c r="D294" s="27" t="s">
        <v>16</v>
      </c>
      <c r="E294" s="4" t="s">
        <v>201</v>
      </c>
      <c r="F294" s="4">
        <v>2000000</v>
      </c>
      <c r="G294" s="60" t="str">
        <f>+VLOOKUP(Tabla14[[#This Row],[FONDO]],MAESTRO!$D$2:$E$119,2,FALSE)</f>
        <v>Gma Capital</v>
      </c>
      <c r="H294" s="8" t="str">
        <f>+VLOOKUP(Tabla14[[#This Row],[FONDO]],MAESTRO!D:F,3,FALSE)</f>
        <v>USD DL</v>
      </c>
      <c r="I294" s="4" t="s">
        <v>7</v>
      </c>
      <c r="J294" s="23" t="s">
        <v>282</v>
      </c>
      <c r="K294">
        <v>5</v>
      </c>
      <c r="L294" t="s">
        <v>289</v>
      </c>
      <c r="M294" s="4">
        <f>ROUND(IF(Tabla14[[#This Row],[OPERACIÓN]]=MAESTRO!$B$2,Tabla14[CAPITAL],IF(Tabla14[[#This Row],[OPERACIÓN]]=MAESTRO!$B$5,Tabla14[CAPITAL],-Tabla14[[#This Row],[CAPITAL]])),2)</f>
        <v>2000000</v>
      </c>
    </row>
    <row r="295" spans="1:13" x14ac:dyDescent="0.3">
      <c r="A295" s="26">
        <v>46064</v>
      </c>
      <c r="B295" t="s">
        <v>298</v>
      </c>
      <c r="C295" t="s">
        <v>132</v>
      </c>
      <c r="D295" s="27" t="s">
        <v>17</v>
      </c>
      <c r="E295" s="4" t="s">
        <v>43</v>
      </c>
      <c r="F295" s="4">
        <v>210200000</v>
      </c>
      <c r="G295" s="8" t="str">
        <f>+VLOOKUP(Tabla14[[#This Row],[FONDO]],MAESTRO!$D$2:$E$119,2,FALSE)</f>
        <v>Banco Santander Rio S.A.</v>
      </c>
      <c r="H295" s="8" t="str">
        <f>+VLOOKUP(Tabla14[[#This Row],[FONDO]],MAESTRO!D:F,3,FALSE)</f>
        <v>(T+0)</v>
      </c>
      <c r="I295" s="4" t="s">
        <v>9</v>
      </c>
      <c r="L2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5" s="4">
        <f>ROUND(IF(Tabla14[[#This Row],[OPERACIÓN]]=MAESTRO!$B$2,Tabla14[CAPITAL],IF(Tabla14[[#This Row],[OPERACIÓN]]=MAESTRO!$B$5,Tabla14[CAPITAL],-Tabla14[[#This Row],[CAPITAL]])),2)</f>
        <v>-210200000</v>
      </c>
    </row>
    <row r="296" spans="1:13" x14ac:dyDescent="0.3">
      <c r="A296" s="26">
        <v>46064</v>
      </c>
      <c r="B296" t="s">
        <v>299</v>
      </c>
      <c r="C296" t="s">
        <v>132</v>
      </c>
      <c r="D296" s="27" t="s">
        <v>16</v>
      </c>
      <c r="E296" s="4" t="s">
        <v>48</v>
      </c>
      <c r="F296" s="4">
        <v>62600000</v>
      </c>
      <c r="G296" s="8" t="str">
        <f>+VLOOKUP(Tabla14[[#This Row],[FONDO]],MAESTRO!$D$2:$E$119,2,FALSE)</f>
        <v>Banco Macro S.A.</v>
      </c>
      <c r="H296" s="8" t="str">
        <f>+VLOOKUP(Tabla14[[#This Row],[FONDO]],MAESTRO!D:F,3,FALSE)</f>
        <v>(T+0)</v>
      </c>
      <c r="I296" s="4" t="s">
        <v>9</v>
      </c>
      <c r="L2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6" s="4">
        <f>ROUND(IF(Tabla14[[#This Row],[OPERACIÓN]]=MAESTRO!$B$2,Tabla14[CAPITAL],IF(Tabla14[[#This Row],[OPERACIÓN]]=MAESTRO!$B$5,Tabla14[CAPITAL],-Tabla14[[#This Row],[CAPITAL]])),2)</f>
        <v>62600000</v>
      </c>
    </row>
    <row r="297" spans="1:13" x14ac:dyDescent="0.3">
      <c r="A297" s="26">
        <v>46064</v>
      </c>
      <c r="B297" t="s">
        <v>126</v>
      </c>
      <c r="C297" t="s">
        <v>132</v>
      </c>
      <c r="D297" s="27" t="s">
        <v>17</v>
      </c>
      <c r="E297" s="4" t="s">
        <v>48</v>
      </c>
      <c r="F297" s="4">
        <v>2600000</v>
      </c>
      <c r="G297" s="8" t="str">
        <f>+VLOOKUP(Tabla14[[#This Row],[FONDO]],MAESTRO!$D$2:$E$119,2,FALSE)</f>
        <v>Banco Macro S.A.</v>
      </c>
      <c r="H297" s="8" t="str">
        <f>+VLOOKUP(Tabla14[[#This Row],[FONDO]],MAESTRO!D:F,3,FALSE)</f>
        <v>(T+0)</v>
      </c>
      <c r="I297" s="4" t="s">
        <v>9</v>
      </c>
      <c r="L2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7" s="4">
        <f>ROUND(IF(Tabla14[[#This Row],[OPERACIÓN]]=MAESTRO!$B$2,Tabla14[CAPITAL],IF(Tabla14[[#This Row],[OPERACIÓN]]=MAESTRO!$B$5,Tabla14[CAPITAL],-Tabla14[[#This Row],[CAPITAL]])),2)</f>
        <v>-2600000</v>
      </c>
    </row>
    <row r="298" spans="1:13" x14ac:dyDescent="0.3">
      <c r="A298" s="26">
        <v>46064</v>
      </c>
      <c r="B298" t="s">
        <v>292</v>
      </c>
      <c r="C298" t="s">
        <v>132</v>
      </c>
      <c r="D298" s="27" t="s">
        <v>17</v>
      </c>
      <c r="E298" s="4" t="s">
        <v>136</v>
      </c>
      <c r="F298" s="4">
        <v>43600000</v>
      </c>
      <c r="G298" s="8" t="str">
        <f>+VLOOKUP(Tabla14[[#This Row],[FONDO]],MAESTRO!$D$2:$E$119,2,FALSE)</f>
        <v>Gma Capital</v>
      </c>
      <c r="H298" s="8" t="str">
        <f>+VLOOKUP(Tabla14[[#This Row],[FONDO]],MAESTRO!D:F,3,FALSE)</f>
        <v>(T+0)</v>
      </c>
      <c r="I298" s="4" t="s">
        <v>9</v>
      </c>
      <c r="L2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8" s="4">
        <f>ROUND(IF(Tabla14[[#This Row],[OPERACIÓN]]=MAESTRO!$B$2,Tabla14[CAPITAL],IF(Tabla14[[#This Row],[OPERACIÓN]]=MAESTRO!$B$5,Tabla14[CAPITAL],-Tabla14[[#This Row],[CAPITAL]])),2)</f>
        <v>-43600000</v>
      </c>
    </row>
    <row r="299" spans="1:13" x14ac:dyDescent="0.3">
      <c r="A299" s="26">
        <v>46064</v>
      </c>
      <c r="B299" t="s">
        <v>299</v>
      </c>
      <c r="C299" t="s">
        <v>132</v>
      </c>
      <c r="D299" s="27" t="s">
        <v>16</v>
      </c>
      <c r="E299" s="4" t="s">
        <v>136</v>
      </c>
      <c r="F299" s="4">
        <v>410312474</v>
      </c>
      <c r="G299" s="8" t="str">
        <f>+VLOOKUP(Tabla14[[#This Row],[FONDO]],MAESTRO!$D$2:$E$119,2,FALSE)</f>
        <v>Gma Capital</v>
      </c>
      <c r="H299" s="8" t="str">
        <f>+VLOOKUP(Tabla14[[#This Row],[FONDO]],MAESTRO!D:F,3,FALSE)</f>
        <v>(T+0)</v>
      </c>
      <c r="I299" s="4" t="s">
        <v>9</v>
      </c>
      <c r="L2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299" s="4">
        <f>ROUND(IF(Tabla14[[#This Row],[OPERACIÓN]]=MAESTRO!$B$2,Tabla14[CAPITAL],IF(Tabla14[[#This Row],[OPERACIÓN]]=MAESTRO!$B$5,Tabla14[CAPITAL],-Tabla14[[#This Row],[CAPITAL]])),2)</f>
        <v>410312474</v>
      </c>
    </row>
    <row r="300" spans="1:13" x14ac:dyDescent="0.3">
      <c r="A300" s="26">
        <v>46064</v>
      </c>
      <c r="B300" t="s">
        <v>292</v>
      </c>
      <c r="C300" t="s">
        <v>132</v>
      </c>
      <c r="D300" s="27" t="s">
        <v>16</v>
      </c>
      <c r="E300" s="4" t="s">
        <v>136</v>
      </c>
      <c r="F300" s="4">
        <v>538301044</v>
      </c>
      <c r="G300" s="8" t="str">
        <f>+VLOOKUP(Tabla14[[#This Row],[FONDO]],MAESTRO!$D$2:$E$119,2,FALSE)</f>
        <v>Gma Capital</v>
      </c>
      <c r="H300" s="8" t="str">
        <f>+VLOOKUP(Tabla14[[#This Row],[FONDO]],MAESTRO!D:F,3,FALSE)</f>
        <v>(T+0)</v>
      </c>
      <c r="I300" s="4" t="s">
        <v>9</v>
      </c>
      <c r="L3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0" s="4">
        <f>ROUND(IF(Tabla14[[#This Row],[OPERACIÓN]]=MAESTRO!$B$2,Tabla14[CAPITAL],IF(Tabla14[[#This Row],[OPERACIÓN]]=MAESTRO!$B$5,Tabla14[CAPITAL],-Tabla14[[#This Row],[CAPITAL]])),2)</f>
        <v>538301044</v>
      </c>
    </row>
    <row r="301" spans="1:13" x14ac:dyDescent="0.3">
      <c r="A301" s="26">
        <v>46064</v>
      </c>
      <c r="B301" t="s">
        <v>298</v>
      </c>
      <c r="C301" t="s">
        <v>132</v>
      </c>
      <c r="D301" s="27" t="s">
        <v>17</v>
      </c>
      <c r="E301" s="4" t="s">
        <v>136</v>
      </c>
      <c r="F301" s="4">
        <v>951337614</v>
      </c>
      <c r="G301" s="8" t="str">
        <f>+VLOOKUP(Tabla14[[#This Row],[FONDO]],MAESTRO!$D$2:$E$119,2,FALSE)</f>
        <v>Gma Capital</v>
      </c>
      <c r="H301" s="8" t="str">
        <f>+VLOOKUP(Tabla14[[#This Row],[FONDO]],MAESTRO!D:F,3,FALSE)</f>
        <v>(T+0)</v>
      </c>
      <c r="I301" s="4" t="s">
        <v>9</v>
      </c>
      <c r="L3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1" s="4">
        <f>ROUND(IF(Tabla14[[#This Row],[OPERACIÓN]]=MAESTRO!$B$2,Tabla14[CAPITAL],IF(Tabla14[[#This Row],[OPERACIÓN]]=MAESTRO!$B$5,Tabla14[CAPITAL],-Tabla14[[#This Row],[CAPITAL]])),2)</f>
        <v>-951337614</v>
      </c>
    </row>
    <row r="302" spans="1:13" x14ac:dyDescent="0.3">
      <c r="A302" s="26">
        <v>46064</v>
      </c>
      <c r="B302" t="s">
        <v>298</v>
      </c>
      <c r="C302" t="s">
        <v>172</v>
      </c>
      <c r="D302" s="27" t="s">
        <v>16</v>
      </c>
      <c r="E302" s="4" t="s">
        <v>202</v>
      </c>
      <c r="F302" s="4">
        <v>400000</v>
      </c>
      <c r="G302" s="8" t="str">
        <f>+VLOOKUP(Tabla14[[#This Row],[FONDO]],MAESTRO!$D$2:$E$119,2,FALSE)</f>
        <v>Gma Capital</v>
      </c>
      <c r="H302" s="8" t="str">
        <f>+VLOOKUP(Tabla14[[#This Row],[FONDO]],MAESTRO!D:F,3,FALSE)</f>
        <v>USD DL</v>
      </c>
      <c r="I302" s="4" t="s">
        <v>7</v>
      </c>
      <c r="J302" s="23" t="s">
        <v>283</v>
      </c>
      <c r="K302">
        <v>5</v>
      </c>
      <c r="L302" t="s">
        <v>286</v>
      </c>
      <c r="M302" s="4">
        <f>ROUND(IF(Tabla14[[#This Row],[OPERACIÓN]]=MAESTRO!$B$2,Tabla14[CAPITAL],IF(Tabla14[[#This Row],[OPERACIÓN]]=MAESTRO!$B$5,Tabla14[CAPITAL],-Tabla14[[#This Row],[CAPITAL]])),2)</f>
        <v>400000</v>
      </c>
    </row>
    <row r="303" spans="1:13" x14ac:dyDescent="0.3">
      <c r="A303" s="26">
        <v>46064</v>
      </c>
      <c r="B303" t="s">
        <v>298</v>
      </c>
      <c r="C303" t="s">
        <v>172</v>
      </c>
      <c r="D303" s="27" t="s">
        <v>16</v>
      </c>
      <c r="E303" s="4" t="s">
        <v>201</v>
      </c>
      <c r="F303" s="4">
        <v>300000</v>
      </c>
      <c r="G303" s="8" t="str">
        <f>+VLOOKUP(Tabla14[[#This Row],[FONDO]],MAESTRO!$D$2:$E$119,2,FALSE)</f>
        <v>Gma Capital</v>
      </c>
      <c r="H303" s="8" t="str">
        <f>+VLOOKUP(Tabla14[[#This Row],[FONDO]],MAESTRO!D:F,3,FALSE)</f>
        <v>USD DL</v>
      </c>
      <c r="I303" s="4" t="s">
        <v>7</v>
      </c>
      <c r="J303" s="23" t="s">
        <v>284</v>
      </c>
      <c r="K303">
        <v>5</v>
      </c>
      <c r="L303" t="s">
        <v>290</v>
      </c>
      <c r="M303" s="4">
        <f>ROUND(IF(Tabla14[[#This Row],[OPERACIÓN]]=MAESTRO!$B$2,Tabla14[CAPITAL],IF(Tabla14[[#This Row],[OPERACIÓN]]=MAESTRO!$B$5,Tabla14[CAPITAL],-Tabla14[[#This Row],[CAPITAL]])),2)</f>
        <v>300000</v>
      </c>
    </row>
    <row r="304" spans="1:13" x14ac:dyDescent="0.3">
      <c r="A304" s="26">
        <v>46065</v>
      </c>
      <c r="B304" t="s">
        <v>299</v>
      </c>
      <c r="C304" t="s">
        <v>132</v>
      </c>
      <c r="D304" s="27" t="s">
        <v>17</v>
      </c>
      <c r="E304" s="4" t="s">
        <v>48</v>
      </c>
      <c r="F304" s="4">
        <v>16300000</v>
      </c>
      <c r="G304" s="61" t="str">
        <f>+VLOOKUP(Tabla14[[#This Row],[FONDO]],MAESTRO!$D$2:$E$119,2,FALSE)</f>
        <v>Banco Macro S.A.</v>
      </c>
      <c r="H304" s="8" t="str">
        <f>+VLOOKUP(Tabla14[[#This Row],[FONDO]],MAESTRO!D:F,3,FALSE)</f>
        <v>(T+0)</v>
      </c>
      <c r="I304" s="4" t="s">
        <v>9</v>
      </c>
      <c r="L3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4" s="4">
        <f>ROUND(IF(Tabla14[[#This Row],[OPERACIÓN]]=MAESTRO!$B$2,Tabla14[CAPITAL],IF(Tabla14[[#This Row],[OPERACIÓN]]=MAESTRO!$B$5,Tabla14[CAPITAL],-Tabla14[[#This Row],[CAPITAL]])),2)</f>
        <v>-16300000</v>
      </c>
    </row>
    <row r="305" spans="1:13" x14ac:dyDescent="0.3">
      <c r="A305" s="26">
        <v>46065</v>
      </c>
      <c r="B305" t="s">
        <v>126</v>
      </c>
      <c r="C305" t="s">
        <v>132</v>
      </c>
      <c r="D305" s="27" t="s">
        <v>16</v>
      </c>
      <c r="E305" s="4" t="s">
        <v>48</v>
      </c>
      <c r="F305" s="4">
        <v>129900000</v>
      </c>
      <c r="G305" s="61" t="str">
        <f>+VLOOKUP(Tabla14[[#This Row],[FONDO]],MAESTRO!$D$2:$E$119,2,FALSE)</f>
        <v>Banco Macro S.A.</v>
      </c>
      <c r="H305" s="8" t="str">
        <f>+VLOOKUP(Tabla14[[#This Row],[FONDO]],MAESTRO!D:F,3,FALSE)</f>
        <v>(T+0)</v>
      </c>
      <c r="I305" s="4" t="s">
        <v>9</v>
      </c>
      <c r="L3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5" s="4">
        <f>ROUND(IF(Tabla14[[#This Row],[OPERACIÓN]]=MAESTRO!$B$2,Tabla14[CAPITAL],IF(Tabla14[[#This Row],[OPERACIÓN]]=MAESTRO!$B$5,Tabla14[CAPITAL],-Tabla14[[#This Row],[CAPITAL]])),2)</f>
        <v>129900000</v>
      </c>
    </row>
    <row r="306" spans="1:13" x14ac:dyDescent="0.3">
      <c r="A306" s="26">
        <v>46065</v>
      </c>
      <c r="B306" t="s">
        <v>292</v>
      </c>
      <c r="C306" t="s">
        <v>132</v>
      </c>
      <c r="D306" s="27" t="s">
        <v>16</v>
      </c>
      <c r="E306" s="4" t="s">
        <v>48</v>
      </c>
      <c r="F306" s="4">
        <v>23500000</v>
      </c>
      <c r="G306" s="61" t="str">
        <f>+VLOOKUP(Tabla14[[#This Row],[FONDO]],MAESTRO!$D$2:$E$119,2,FALSE)</f>
        <v>Banco Macro S.A.</v>
      </c>
      <c r="H306" s="8" t="str">
        <f>+VLOOKUP(Tabla14[[#This Row],[FONDO]],MAESTRO!D:F,3,FALSE)</f>
        <v>(T+0)</v>
      </c>
      <c r="I306" s="4" t="s">
        <v>9</v>
      </c>
      <c r="L3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6" s="4">
        <f>ROUND(IF(Tabla14[[#This Row],[OPERACIÓN]]=MAESTRO!$B$2,Tabla14[CAPITAL],IF(Tabla14[[#This Row],[OPERACIÓN]]=MAESTRO!$B$5,Tabla14[CAPITAL],-Tabla14[[#This Row],[CAPITAL]])),2)</f>
        <v>23500000</v>
      </c>
    </row>
    <row r="307" spans="1:13" x14ac:dyDescent="0.3">
      <c r="A307" s="26">
        <v>46065</v>
      </c>
      <c r="B307" t="s">
        <v>298</v>
      </c>
      <c r="C307" t="s">
        <v>132</v>
      </c>
      <c r="D307" s="27" t="s">
        <v>17</v>
      </c>
      <c r="E307" s="4" t="s">
        <v>43</v>
      </c>
      <c r="F307" s="4">
        <v>190900000</v>
      </c>
      <c r="G307" s="61" t="str">
        <f>+VLOOKUP(Tabla14[[#This Row],[FONDO]],MAESTRO!$D$2:$E$119,2,FALSE)</f>
        <v>Banco Santander Rio S.A.</v>
      </c>
      <c r="H307" s="8" t="str">
        <f>+VLOOKUP(Tabla14[[#This Row],[FONDO]],MAESTRO!D:F,3,FALSE)</f>
        <v>(T+0)</v>
      </c>
      <c r="I307" s="4" t="s">
        <v>9</v>
      </c>
      <c r="L3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7" s="4">
        <f>ROUND(IF(Tabla14[[#This Row],[OPERACIÓN]]=MAESTRO!$B$2,Tabla14[CAPITAL],IF(Tabla14[[#This Row],[OPERACIÓN]]=MAESTRO!$B$5,Tabla14[CAPITAL],-Tabla14[[#This Row],[CAPITAL]])),2)</f>
        <v>-190900000</v>
      </c>
    </row>
    <row r="308" spans="1:13" x14ac:dyDescent="0.3">
      <c r="A308" s="26">
        <v>46066</v>
      </c>
      <c r="B308" t="s">
        <v>298</v>
      </c>
      <c r="C308" t="s">
        <v>132</v>
      </c>
      <c r="D308" s="27" t="s">
        <v>17</v>
      </c>
      <c r="E308" s="4" t="s">
        <v>40</v>
      </c>
      <c r="F308" s="4">
        <v>443700000</v>
      </c>
      <c r="G308" s="61" t="str">
        <f>+VLOOKUP(Tabla14[[#This Row],[FONDO]],MAESTRO!$D$2:$E$119,2,FALSE)</f>
        <v>BBVA Banco Frances SA</v>
      </c>
      <c r="H308" s="8" t="str">
        <f>+VLOOKUP(Tabla14[[#This Row],[FONDO]],MAESTRO!D:F,3,FALSE)</f>
        <v>(T+0)</v>
      </c>
      <c r="I308" s="4" t="s">
        <v>9</v>
      </c>
      <c r="L3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8" s="4">
        <f>ROUND(IF(Tabla14[[#This Row],[OPERACIÓN]]=MAESTRO!$B$2,Tabla14[CAPITAL],IF(Tabla14[[#This Row],[OPERACIÓN]]=MAESTRO!$B$5,Tabla14[CAPITAL],-Tabla14[[#This Row],[CAPITAL]])),2)</f>
        <v>-443700000</v>
      </c>
    </row>
    <row r="309" spans="1:13" x14ac:dyDescent="0.3">
      <c r="A309" s="26">
        <v>46066</v>
      </c>
      <c r="B309" t="s">
        <v>299</v>
      </c>
      <c r="C309" t="s">
        <v>132</v>
      </c>
      <c r="D309" s="27" t="s">
        <v>17</v>
      </c>
      <c r="E309" s="4" t="s">
        <v>48</v>
      </c>
      <c r="F309" s="4">
        <v>18400000</v>
      </c>
      <c r="G309" s="61" t="str">
        <f>+VLOOKUP(Tabla14[[#This Row],[FONDO]],MAESTRO!$D$2:$E$119,2,FALSE)</f>
        <v>Banco Macro S.A.</v>
      </c>
      <c r="H309" s="8" t="str">
        <f>+VLOOKUP(Tabla14[[#This Row],[FONDO]],MAESTRO!D:F,3,FALSE)</f>
        <v>(T+0)</v>
      </c>
      <c r="I309" s="4" t="s">
        <v>9</v>
      </c>
      <c r="L3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09" s="4">
        <f>ROUND(IF(Tabla14[[#This Row],[OPERACIÓN]]=MAESTRO!$B$2,Tabla14[CAPITAL],IF(Tabla14[[#This Row],[OPERACIÓN]]=MAESTRO!$B$5,Tabla14[CAPITAL],-Tabla14[[#This Row],[CAPITAL]])),2)</f>
        <v>-18400000</v>
      </c>
    </row>
    <row r="310" spans="1:13" x14ac:dyDescent="0.3">
      <c r="A310" s="26">
        <v>46066</v>
      </c>
      <c r="B310" t="s">
        <v>292</v>
      </c>
      <c r="C310" t="s">
        <v>132</v>
      </c>
      <c r="D310" s="27" t="s">
        <v>16</v>
      </c>
      <c r="E310" s="4" t="s">
        <v>48</v>
      </c>
      <c r="F310" s="4">
        <v>88200000</v>
      </c>
      <c r="G310" s="61" t="str">
        <f>+VLOOKUP(Tabla14[[#This Row],[FONDO]],MAESTRO!$D$2:$E$119,2,FALSE)</f>
        <v>Banco Macro S.A.</v>
      </c>
      <c r="H310" s="8" t="str">
        <f>+VLOOKUP(Tabla14[[#This Row],[FONDO]],MAESTRO!D:F,3,FALSE)</f>
        <v>(T+0)</v>
      </c>
      <c r="I310" s="4" t="s">
        <v>9</v>
      </c>
      <c r="L3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0" s="4">
        <f>ROUND(IF(Tabla14[[#This Row],[OPERACIÓN]]=MAESTRO!$B$2,Tabla14[CAPITAL],IF(Tabla14[[#This Row],[OPERACIÓN]]=MAESTRO!$B$5,Tabla14[CAPITAL],-Tabla14[[#This Row],[CAPITAL]])),2)</f>
        <v>88200000</v>
      </c>
    </row>
    <row r="311" spans="1:13" x14ac:dyDescent="0.3">
      <c r="A311" s="26">
        <v>46066</v>
      </c>
      <c r="B311" t="s">
        <v>292</v>
      </c>
      <c r="C311" t="s">
        <v>132</v>
      </c>
      <c r="D311" s="27" t="s">
        <v>17</v>
      </c>
      <c r="E311" s="4" t="s">
        <v>136</v>
      </c>
      <c r="F311" s="4">
        <v>173219788</v>
      </c>
      <c r="G311" s="61" t="str">
        <f>+VLOOKUP(Tabla14[[#This Row],[FONDO]],MAESTRO!$D$2:$E$119,2,FALSE)</f>
        <v>Gma Capital</v>
      </c>
      <c r="H311" s="8" t="str">
        <f>+VLOOKUP(Tabla14[[#This Row],[FONDO]],MAESTRO!D:F,3,FALSE)</f>
        <v>(T+0)</v>
      </c>
      <c r="I311" s="4" t="s">
        <v>9</v>
      </c>
      <c r="L3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1" s="4">
        <f>ROUND(IF(Tabla14[[#This Row],[OPERACIÓN]]=MAESTRO!$B$2,Tabla14[CAPITAL],IF(Tabla14[[#This Row],[OPERACIÓN]]=MAESTRO!$B$5,Tabla14[CAPITAL],-Tabla14[[#This Row],[CAPITAL]])),2)</f>
        <v>-173219788</v>
      </c>
    </row>
    <row r="312" spans="1:13" x14ac:dyDescent="0.3">
      <c r="A312" s="26">
        <v>46066</v>
      </c>
      <c r="B312" t="s">
        <v>292</v>
      </c>
      <c r="C312" t="s">
        <v>132</v>
      </c>
      <c r="D312" s="27" t="s">
        <v>17</v>
      </c>
      <c r="E312" s="4" t="s">
        <v>136</v>
      </c>
      <c r="F312" s="4">
        <v>117047252</v>
      </c>
      <c r="G312" s="61" t="str">
        <f>+VLOOKUP(Tabla14[[#This Row],[FONDO]],MAESTRO!$D$2:$E$119,2,FALSE)</f>
        <v>Gma Capital</v>
      </c>
      <c r="H312" s="8" t="str">
        <f>+VLOOKUP(Tabla14[[#This Row],[FONDO]],MAESTRO!D:F,3,FALSE)</f>
        <v>(T+0)</v>
      </c>
      <c r="I312" s="4" t="s">
        <v>9</v>
      </c>
      <c r="L3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2" s="4">
        <f>ROUND(IF(Tabla14[[#This Row],[OPERACIÓN]]=MAESTRO!$B$2,Tabla14[CAPITAL],IF(Tabla14[[#This Row],[OPERACIÓN]]=MAESTRO!$B$5,Tabla14[CAPITAL],-Tabla14[[#This Row],[CAPITAL]])),2)</f>
        <v>-117047252</v>
      </c>
    </row>
    <row r="313" spans="1:13" x14ac:dyDescent="0.3">
      <c r="A313" s="26">
        <v>46066</v>
      </c>
      <c r="B313" t="s">
        <v>298</v>
      </c>
      <c r="C313" t="s">
        <v>132</v>
      </c>
      <c r="D313" s="27" t="s">
        <v>16</v>
      </c>
      <c r="E313" s="4" t="s">
        <v>40</v>
      </c>
      <c r="F313" s="4">
        <v>6960000000</v>
      </c>
      <c r="G313" s="61" t="str">
        <f>+VLOOKUP(Tabla14[[#This Row],[FONDO]],MAESTRO!$D$2:$E$119,2,FALSE)</f>
        <v>BBVA Banco Frances SA</v>
      </c>
      <c r="H313" s="8" t="str">
        <f>+VLOOKUP(Tabla14[[#This Row],[FONDO]],MAESTRO!D:F,3,FALSE)</f>
        <v>(T+0)</v>
      </c>
      <c r="I313" s="4" t="s">
        <v>9</v>
      </c>
      <c r="L3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3" s="4">
        <f>ROUND(IF(Tabla14[[#This Row],[OPERACIÓN]]=MAESTRO!$B$2,Tabla14[CAPITAL],IF(Tabla14[[#This Row],[OPERACIÓN]]=MAESTRO!$B$5,Tabla14[CAPITAL],-Tabla14[[#This Row],[CAPITAL]])),2)</f>
        <v>6960000000</v>
      </c>
    </row>
    <row r="314" spans="1:13" x14ac:dyDescent="0.3">
      <c r="A314" s="26">
        <v>46066</v>
      </c>
      <c r="B314" t="s">
        <v>298</v>
      </c>
      <c r="C314" t="s">
        <v>132</v>
      </c>
      <c r="D314" s="27" t="s">
        <v>17</v>
      </c>
      <c r="E314" s="4" t="s">
        <v>197</v>
      </c>
      <c r="F314" s="4">
        <v>41800384.18</v>
      </c>
      <c r="G314" s="61" t="str">
        <f>+VLOOKUP(Tabla14[[#This Row],[FONDO]],MAESTRO!$D$2:$E$119,2,FALSE)</f>
        <v>COCOS CAPITAL</v>
      </c>
      <c r="H314" s="8" t="str">
        <f>+VLOOKUP(Tabla14[[#This Row],[FONDO]],MAESTRO!D:F,3,FALSE)</f>
        <v>(T+0)</v>
      </c>
      <c r="I314" s="4" t="s">
        <v>9</v>
      </c>
      <c r="L3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4" s="4">
        <f>ROUND(IF(Tabla14[[#This Row],[OPERACIÓN]]=MAESTRO!$B$2,Tabla14[CAPITAL],IF(Tabla14[[#This Row],[OPERACIÓN]]=MAESTRO!$B$5,Tabla14[CAPITAL],-Tabla14[[#This Row],[CAPITAL]])),2)</f>
        <v>-41800384.18</v>
      </c>
    </row>
    <row r="315" spans="1:13" x14ac:dyDescent="0.3">
      <c r="A315" s="26">
        <v>46066</v>
      </c>
      <c r="B315" t="s">
        <v>299</v>
      </c>
      <c r="C315" t="s">
        <v>132</v>
      </c>
      <c r="D315" s="27" t="s">
        <v>16</v>
      </c>
      <c r="E315" s="4" t="s">
        <v>169</v>
      </c>
      <c r="F315" s="4">
        <v>106865873.13</v>
      </c>
      <c r="G315" s="8" t="str">
        <f>+VLOOKUP(Tabla14[[#This Row],[FONDO]],MAESTRO!$D$2:$E$119,2,FALSE)</f>
        <v>Max Capital</v>
      </c>
      <c r="H315" s="8" t="str">
        <f>+VLOOKUP(Tabla14[[#This Row],[FONDO]],MAESTRO!D:F,3,FALSE)</f>
        <v>(T+0)</v>
      </c>
      <c r="I315" s="4" t="s">
        <v>9</v>
      </c>
      <c r="L3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5" s="4">
        <f>ROUND(IF(Tabla14[[#This Row],[OPERACIÓN]]=MAESTRO!$B$2,Tabla14[CAPITAL],IF(Tabla14[[#This Row],[OPERACIÓN]]=MAESTRO!$B$5,Tabla14[CAPITAL],-Tabla14[[#This Row],[CAPITAL]])),2)</f>
        <v>106865873.13</v>
      </c>
    </row>
    <row r="316" spans="1:13" x14ac:dyDescent="0.3">
      <c r="A316" s="26">
        <v>46071</v>
      </c>
      <c r="B316" t="s">
        <v>298</v>
      </c>
      <c r="C316" t="s">
        <v>132</v>
      </c>
      <c r="D316" s="27" t="s">
        <v>17</v>
      </c>
      <c r="E316" s="4" t="s">
        <v>40</v>
      </c>
      <c r="F316" s="4">
        <v>1000000000</v>
      </c>
      <c r="G316" s="8" t="str">
        <f>+VLOOKUP(Tabla14[[#This Row],[FONDO]],MAESTRO!$D$2:$E$119,2,FALSE)</f>
        <v>BBVA Banco Frances SA</v>
      </c>
      <c r="H316" s="8" t="str">
        <f>+VLOOKUP(Tabla14[[#This Row],[FONDO]],MAESTRO!D:F,3,FALSE)</f>
        <v>(T+0)</v>
      </c>
      <c r="I316" s="4" t="s">
        <v>9</v>
      </c>
      <c r="L3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6" s="4">
        <f>ROUND(IF(Tabla14[[#This Row],[OPERACIÓN]]=MAESTRO!$B$2,Tabla14[CAPITAL],IF(Tabla14[[#This Row],[OPERACIÓN]]=MAESTRO!$B$5,Tabla14[CAPITAL],-Tabla14[[#This Row],[CAPITAL]])),2)</f>
        <v>-1000000000</v>
      </c>
    </row>
    <row r="317" spans="1:13" x14ac:dyDescent="0.3">
      <c r="A317" s="26">
        <v>46071</v>
      </c>
      <c r="B317" t="s">
        <v>298</v>
      </c>
      <c r="C317" t="s">
        <v>132</v>
      </c>
      <c r="D317" s="27" t="s">
        <v>16</v>
      </c>
      <c r="E317" s="4" t="s">
        <v>136</v>
      </c>
      <c r="F317" s="4">
        <v>1000000000</v>
      </c>
      <c r="G317" s="8" t="str">
        <f>+VLOOKUP(Tabla14[[#This Row],[FONDO]],MAESTRO!$D$2:$E$119,2,FALSE)</f>
        <v>Gma Capital</v>
      </c>
      <c r="H317" s="8" t="str">
        <f>+VLOOKUP(Tabla14[[#This Row],[FONDO]],MAESTRO!D:F,3,FALSE)</f>
        <v>(T+0)</v>
      </c>
      <c r="I317" s="4" t="s">
        <v>9</v>
      </c>
      <c r="L3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7" s="4">
        <f>ROUND(IF(Tabla14[[#This Row],[OPERACIÓN]]=MAESTRO!$B$2,Tabla14[CAPITAL],IF(Tabla14[[#This Row],[OPERACIÓN]]=MAESTRO!$B$5,Tabla14[CAPITAL],-Tabla14[[#This Row],[CAPITAL]])),2)</f>
        <v>1000000000</v>
      </c>
    </row>
    <row r="318" spans="1:13" x14ac:dyDescent="0.3">
      <c r="A318" s="26">
        <v>46071</v>
      </c>
      <c r="B318" t="s">
        <v>299</v>
      </c>
      <c r="C318" t="s">
        <v>132</v>
      </c>
      <c r="D318" s="27" t="s">
        <v>17</v>
      </c>
      <c r="E318" s="4" t="s">
        <v>136</v>
      </c>
      <c r="F318" s="4">
        <v>3000000000</v>
      </c>
      <c r="G318" s="8" t="str">
        <f>+VLOOKUP(Tabla14[[#This Row],[FONDO]],MAESTRO!$D$2:$E$119,2,FALSE)</f>
        <v>Gma Capital</v>
      </c>
      <c r="H318" s="8" t="str">
        <f>+VLOOKUP(Tabla14[[#This Row],[FONDO]],MAESTRO!D:F,3,FALSE)</f>
        <v>(T+0)</v>
      </c>
      <c r="I318" s="4" t="s">
        <v>9</v>
      </c>
      <c r="L3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8" s="4">
        <f>ROUND(IF(Tabla14[[#This Row],[OPERACIÓN]]=MAESTRO!$B$2,Tabla14[CAPITAL],IF(Tabla14[[#This Row],[OPERACIÓN]]=MAESTRO!$B$5,Tabla14[CAPITAL],-Tabla14[[#This Row],[CAPITAL]])),2)</f>
        <v>-3000000000</v>
      </c>
    </row>
    <row r="319" spans="1:13" x14ac:dyDescent="0.3">
      <c r="A319" s="26">
        <v>46071</v>
      </c>
      <c r="B319" t="s">
        <v>299</v>
      </c>
      <c r="C319" t="s">
        <v>132</v>
      </c>
      <c r="D319" s="27" t="s">
        <v>16</v>
      </c>
      <c r="E319" s="4" t="s">
        <v>48</v>
      </c>
      <c r="F319" s="4">
        <v>26900000</v>
      </c>
      <c r="G319" s="8" t="str">
        <f>+VLOOKUP(Tabla14[[#This Row],[FONDO]],MAESTRO!$D$2:$E$119,2,FALSE)</f>
        <v>Banco Macro S.A.</v>
      </c>
      <c r="H319" s="8" t="str">
        <f>+VLOOKUP(Tabla14[[#This Row],[FONDO]],MAESTRO!D:F,3,FALSE)</f>
        <v>(T+0)</v>
      </c>
      <c r="I319" s="4" t="s">
        <v>9</v>
      </c>
      <c r="L3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19" s="4">
        <f>ROUND(IF(Tabla14[[#This Row],[OPERACIÓN]]=MAESTRO!$B$2,Tabla14[CAPITAL],IF(Tabla14[[#This Row],[OPERACIÓN]]=MAESTRO!$B$5,Tabla14[CAPITAL],-Tabla14[[#This Row],[CAPITAL]])),2)</f>
        <v>26900000</v>
      </c>
    </row>
    <row r="320" spans="1:13" x14ac:dyDescent="0.3">
      <c r="A320" s="26">
        <v>46071</v>
      </c>
      <c r="B320" t="s">
        <v>292</v>
      </c>
      <c r="C320" t="s">
        <v>132</v>
      </c>
      <c r="D320" s="27" t="s">
        <v>16</v>
      </c>
      <c r="E320" s="4" t="s">
        <v>48</v>
      </c>
      <c r="F320" s="4">
        <v>75700000</v>
      </c>
      <c r="G320" s="8" t="str">
        <f>+VLOOKUP(Tabla14[[#This Row],[FONDO]],MAESTRO!$D$2:$E$119,2,FALSE)</f>
        <v>Banco Macro S.A.</v>
      </c>
      <c r="H320" s="8" t="str">
        <f>+VLOOKUP(Tabla14[[#This Row],[FONDO]],MAESTRO!D:F,3,FALSE)</f>
        <v>(T+0)</v>
      </c>
      <c r="I320" s="4" t="s">
        <v>9</v>
      </c>
      <c r="L3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0" s="4">
        <f>ROUND(IF(Tabla14[[#This Row],[OPERACIÓN]]=MAESTRO!$B$2,Tabla14[CAPITAL],IF(Tabla14[[#This Row],[OPERACIÓN]]=MAESTRO!$B$5,Tabla14[CAPITAL],-Tabla14[[#This Row],[CAPITAL]])),2)</f>
        <v>75700000</v>
      </c>
    </row>
    <row r="321" spans="1:13" x14ac:dyDescent="0.3">
      <c r="A321" s="26">
        <v>46071</v>
      </c>
      <c r="B321" t="s">
        <v>298</v>
      </c>
      <c r="C321" t="s">
        <v>132</v>
      </c>
      <c r="D321" s="27" t="s">
        <v>17</v>
      </c>
      <c r="E321" s="4" t="s">
        <v>40</v>
      </c>
      <c r="F321" s="4">
        <v>355600000</v>
      </c>
      <c r="G321" s="8" t="str">
        <f>+VLOOKUP(Tabla14[[#This Row],[FONDO]],MAESTRO!$D$2:$E$119,2,FALSE)</f>
        <v>BBVA Banco Frances SA</v>
      </c>
      <c r="H321" s="8" t="str">
        <f>+VLOOKUP(Tabla14[[#This Row],[FONDO]],MAESTRO!D:F,3,FALSE)</f>
        <v>(T+0)</v>
      </c>
      <c r="I321" s="4" t="s">
        <v>9</v>
      </c>
      <c r="L3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1" s="4">
        <f>ROUND(IF(Tabla14[[#This Row],[OPERACIÓN]]=MAESTRO!$B$2,Tabla14[CAPITAL],IF(Tabla14[[#This Row],[OPERACIÓN]]=MAESTRO!$B$5,Tabla14[CAPITAL],-Tabla14[[#This Row],[CAPITAL]])),2)</f>
        <v>-355600000</v>
      </c>
    </row>
    <row r="322" spans="1:13" x14ac:dyDescent="0.3">
      <c r="A322" s="26">
        <v>46071</v>
      </c>
      <c r="B322" t="s">
        <v>298</v>
      </c>
      <c r="C322" t="s">
        <v>132</v>
      </c>
      <c r="D322" s="27" t="s">
        <v>16</v>
      </c>
      <c r="E322" s="4" t="s">
        <v>40</v>
      </c>
      <c r="F322" s="4">
        <v>5591500000</v>
      </c>
      <c r="G322" s="8" t="str">
        <f>+VLOOKUP(Tabla14[[#This Row],[FONDO]],MAESTRO!$D$2:$E$119,2,FALSE)</f>
        <v>BBVA Banco Frances SA</v>
      </c>
      <c r="H322" s="8" t="str">
        <f>+VLOOKUP(Tabla14[[#This Row],[FONDO]],MAESTRO!D:F,3,FALSE)</f>
        <v>(T+0)</v>
      </c>
      <c r="I322" s="4" t="s">
        <v>9</v>
      </c>
      <c r="L3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2" s="4">
        <f>ROUND(IF(Tabla14[[#This Row],[OPERACIÓN]]=MAESTRO!$B$2,Tabla14[CAPITAL],IF(Tabla14[[#This Row],[OPERACIÓN]]=MAESTRO!$B$5,Tabla14[CAPITAL],-Tabla14[[#This Row],[CAPITAL]])),2)</f>
        <v>5591500000</v>
      </c>
    </row>
    <row r="323" spans="1:13" x14ac:dyDescent="0.3">
      <c r="A323" s="26">
        <v>46072</v>
      </c>
      <c r="B323" t="s">
        <v>292</v>
      </c>
      <c r="C323" t="s">
        <v>132</v>
      </c>
      <c r="D323" s="27" t="s">
        <v>17</v>
      </c>
      <c r="E323" s="4" t="s">
        <v>136</v>
      </c>
      <c r="F323" s="4">
        <v>300000000</v>
      </c>
      <c r="G323" s="8" t="str">
        <f>+VLOOKUP(Tabla14[[#This Row],[FONDO]],MAESTRO!$D$2:$E$119,2,FALSE)</f>
        <v>Gma Capital</v>
      </c>
      <c r="H323" s="8" t="str">
        <f>+VLOOKUP(Tabla14[[#This Row],[FONDO]],MAESTRO!D:F,3,FALSE)</f>
        <v>(T+0)</v>
      </c>
      <c r="I323" s="4" t="s">
        <v>9</v>
      </c>
      <c r="L3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3" s="4">
        <f>ROUND(IF(Tabla14[[#This Row],[OPERACIÓN]]=MAESTRO!$B$2,Tabla14[CAPITAL],IF(Tabla14[[#This Row],[OPERACIÓN]]=MAESTRO!$B$5,Tabla14[CAPITAL],-Tabla14[[#This Row],[CAPITAL]])),2)</f>
        <v>-300000000</v>
      </c>
    </row>
    <row r="324" spans="1:13" x14ac:dyDescent="0.3">
      <c r="A324" s="26">
        <v>46072</v>
      </c>
      <c r="B324" t="s">
        <v>292</v>
      </c>
      <c r="C324" t="s">
        <v>132</v>
      </c>
      <c r="D324" s="27" t="s">
        <v>17</v>
      </c>
      <c r="E324" s="4" t="s">
        <v>48</v>
      </c>
      <c r="F324" s="4">
        <f>33600000*2</f>
        <v>67200000</v>
      </c>
      <c r="G324" s="8" t="str">
        <f>+VLOOKUP(Tabla14[[#This Row],[FONDO]],MAESTRO!$D$2:$E$119,2,FALSE)</f>
        <v>Banco Macro S.A.</v>
      </c>
      <c r="H324" s="8" t="str">
        <f>+VLOOKUP(Tabla14[[#This Row],[FONDO]],MAESTRO!D:F,3,FALSE)</f>
        <v>(T+0)</v>
      </c>
      <c r="I324" s="4" t="s">
        <v>9</v>
      </c>
      <c r="L3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4" s="4">
        <f>ROUND(IF(Tabla14[[#This Row],[OPERACIÓN]]=MAESTRO!$B$2,Tabla14[CAPITAL],IF(Tabla14[[#This Row],[OPERACIÓN]]=MAESTRO!$B$5,Tabla14[CAPITAL],-Tabla14[[#This Row],[CAPITAL]])),2)</f>
        <v>-67200000</v>
      </c>
    </row>
    <row r="325" spans="1:13" x14ac:dyDescent="0.3">
      <c r="A325" s="26">
        <v>46072</v>
      </c>
      <c r="B325" t="s">
        <v>126</v>
      </c>
      <c r="C325" t="s">
        <v>132</v>
      </c>
      <c r="D325" s="27" t="s">
        <v>17</v>
      </c>
      <c r="E325" s="4" t="s">
        <v>48</v>
      </c>
      <c r="F325" s="4">
        <v>2000000</v>
      </c>
      <c r="G325" s="8" t="str">
        <f>+VLOOKUP(Tabla14[[#This Row],[FONDO]],MAESTRO!$D$2:$E$119,2,FALSE)</f>
        <v>Banco Macro S.A.</v>
      </c>
      <c r="H325" s="8" t="str">
        <f>+VLOOKUP(Tabla14[[#This Row],[FONDO]],MAESTRO!D:F,3,FALSE)</f>
        <v>(T+0)</v>
      </c>
      <c r="I325" s="4" t="s">
        <v>9</v>
      </c>
      <c r="L3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5" s="4">
        <f>ROUND(IF(Tabla14[[#This Row],[OPERACIÓN]]=MAESTRO!$B$2,Tabla14[CAPITAL],IF(Tabla14[[#This Row],[OPERACIÓN]]=MAESTRO!$B$5,Tabla14[CAPITAL],-Tabla14[[#This Row],[CAPITAL]])),2)</f>
        <v>-2000000</v>
      </c>
    </row>
    <row r="326" spans="1:13" x14ac:dyDescent="0.3">
      <c r="A326" s="26">
        <v>46072</v>
      </c>
      <c r="B326" t="s">
        <v>299</v>
      </c>
      <c r="C326" t="s">
        <v>132</v>
      </c>
      <c r="D326" s="27" t="s">
        <v>17</v>
      </c>
      <c r="E326" s="4" t="s">
        <v>40</v>
      </c>
      <c r="F326" s="4">
        <v>145900000</v>
      </c>
      <c r="G326" s="8" t="str">
        <f>+VLOOKUP(Tabla14[[#This Row],[FONDO]],MAESTRO!$D$2:$E$119,2,FALSE)</f>
        <v>BBVA Banco Frances SA</v>
      </c>
      <c r="H326" s="8" t="str">
        <f>+VLOOKUP(Tabla14[[#This Row],[FONDO]],MAESTRO!D:F,3,FALSE)</f>
        <v>(T+0)</v>
      </c>
      <c r="I326" s="4" t="s">
        <v>9</v>
      </c>
      <c r="L3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6" s="4">
        <f>ROUND(IF(Tabla14[[#This Row],[OPERACIÓN]]=MAESTRO!$B$2,Tabla14[CAPITAL],IF(Tabla14[[#This Row],[OPERACIÓN]]=MAESTRO!$B$5,Tabla14[CAPITAL],-Tabla14[[#This Row],[CAPITAL]])),2)</f>
        <v>-145900000</v>
      </c>
    </row>
    <row r="327" spans="1:13" x14ac:dyDescent="0.3">
      <c r="A327" s="26">
        <v>46072</v>
      </c>
      <c r="B327" t="s">
        <v>298</v>
      </c>
      <c r="C327" t="s">
        <v>132</v>
      </c>
      <c r="D327" s="27" t="s">
        <v>17</v>
      </c>
      <c r="E327" s="4" t="s">
        <v>40</v>
      </c>
      <c r="F327" s="4">
        <v>604000000</v>
      </c>
      <c r="G327" s="8" t="str">
        <f>+VLOOKUP(Tabla14[[#This Row],[FONDO]],MAESTRO!$D$2:$E$119,2,FALSE)</f>
        <v>BBVA Banco Frances SA</v>
      </c>
      <c r="H327" s="8" t="str">
        <f>+VLOOKUP(Tabla14[[#This Row],[FONDO]],MAESTRO!D:F,3,FALSE)</f>
        <v>(T+0)</v>
      </c>
      <c r="I327" s="4" t="s">
        <v>9</v>
      </c>
      <c r="L3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7" s="4">
        <f>ROUND(IF(Tabla14[[#This Row],[OPERACIÓN]]=MAESTRO!$B$2,Tabla14[CAPITAL],IF(Tabla14[[#This Row],[OPERACIÓN]]=MAESTRO!$B$5,Tabla14[CAPITAL],-Tabla14[[#This Row],[CAPITAL]])),2)</f>
        <v>-604000000</v>
      </c>
    </row>
    <row r="328" spans="1:13" x14ac:dyDescent="0.3">
      <c r="A328" s="26">
        <v>46073</v>
      </c>
      <c r="B328" t="s">
        <v>126</v>
      </c>
      <c r="C328" t="s">
        <v>132</v>
      </c>
      <c r="D328" s="27" t="s">
        <v>17</v>
      </c>
      <c r="E328" s="4" t="s">
        <v>48</v>
      </c>
      <c r="F328" s="4">
        <v>4600000</v>
      </c>
      <c r="G328" s="8" t="str">
        <f>+VLOOKUP(Tabla14[[#This Row],[FONDO]],MAESTRO!$D$2:$E$119,2,FALSE)</f>
        <v>Banco Macro S.A.</v>
      </c>
      <c r="H328" s="8" t="str">
        <f>+VLOOKUP(Tabla14[[#This Row],[FONDO]],MAESTRO!D:F,3,FALSE)</f>
        <v>(T+0)</v>
      </c>
      <c r="I328" s="4" t="s">
        <v>9</v>
      </c>
      <c r="L3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8" s="4">
        <f>ROUND(IF(Tabla14[[#This Row],[OPERACIÓN]]=MAESTRO!$B$2,Tabla14[CAPITAL],IF(Tabla14[[#This Row],[OPERACIÓN]]=MAESTRO!$B$5,Tabla14[CAPITAL],-Tabla14[[#This Row],[CAPITAL]])),2)</f>
        <v>-4600000</v>
      </c>
    </row>
    <row r="329" spans="1:13" x14ac:dyDescent="0.3">
      <c r="A329" s="26">
        <v>46073</v>
      </c>
      <c r="B329" t="s">
        <v>292</v>
      </c>
      <c r="C329" t="s">
        <v>132</v>
      </c>
      <c r="D329" s="27" t="s">
        <v>17</v>
      </c>
      <c r="E329" s="4" t="s">
        <v>48</v>
      </c>
      <c r="F329" s="4">
        <v>67000000</v>
      </c>
      <c r="G329" s="8" t="str">
        <f>+VLOOKUP(Tabla14[[#This Row],[FONDO]],MAESTRO!$D$2:$E$119,2,FALSE)</f>
        <v>Banco Macro S.A.</v>
      </c>
      <c r="H329" s="8" t="str">
        <f>+VLOOKUP(Tabla14[[#This Row],[FONDO]],MAESTRO!D:F,3,FALSE)</f>
        <v>(T+0)</v>
      </c>
      <c r="I329" s="4" t="s">
        <v>9</v>
      </c>
      <c r="L3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29" s="4">
        <f>ROUND(IF(Tabla14[[#This Row],[OPERACIÓN]]=MAESTRO!$B$2,Tabla14[CAPITAL],IF(Tabla14[[#This Row],[OPERACIÓN]]=MAESTRO!$B$5,Tabla14[CAPITAL],-Tabla14[[#This Row],[CAPITAL]])),2)</f>
        <v>-67000000</v>
      </c>
    </row>
    <row r="330" spans="1:13" x14ac:dyDescent="0.3">
      <c r="A330" s="26">
        <v>46073</v>
      </c>
      <c r="B330" t="s">
        <v>298</v>
      </c>
      <c r="C330" t="s">
        <v>132</v>
      </c>
      <c r="D330" s="27" t="s">
        <v>17</v>
      </c>
      <c r="E330" s="4" t="s">
        <v>40</v>
      </c>
      <c r="F330" s="4">
        <v>381400000</v>
      </c>
      <c r="G330" s="8" t="str">
        <f>+VLOOKUP(Tabla14[[#This Row],[FONDO]],MAESTRO!$D$2:$E$119,2,FALSE)</f>
        <v>BBVA Banco Frances SA</v>
      </c>
      <c r="H330" s="8" t="str">
        <f>+VLOOKUP(Tabla14[[#This Row],[FONDO]],MAESTRO!D:F,3,FALSE)</f>
        <v>(T+0)</v>
      </c>
      <c r="I330" s="4" t="s">
        <v>9</v>
      </c>
      <c r="L3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0" s="4">
        <f>ROUND(IF(Tabla14[[#This Row],[OPERACIÓN]]=MAESTRO!$B$2,Tabla14[CAPITAL],IF(Tabla14[[#This Row],[OPERACIÓN]]=MAESTRO!$B$5,Tabla14[CAPITAL],-Tabla14[[#This Row],[CAPITAL]])),2)</f>
        <v>-381400000</v>
      </c>
    </row>
    <row r="331" spans="1:13" x14ac:dyDescent="0.3">
      <c r="A331" s="26">
        <v>46073</v>
      </c>
      <c r="B331" t="s">
        <v>299</v>
      </c>
      <c r="C331" t="s">
        <v>132</v>
      </c>
      <c r="D331" s="27" t="s">
        <v>17</v>
      </c>
      <c r="E331" s="4" t="s">
        <v>40</v>
      </c>
      <c r="F331" s="4">
        <v>323700000</v>
      </c>
      <c r="G331" s="8" t="str">
        <f>+VLOOKUP(Tabla14[[#This Row],[FONDO]],MAESTRO!$D$2:$E$119,2,FALSE)</f>
        <v>BBVA Banco Frances SA</v>
      </c>
      <c r="H331" s="8" t="str">
        <f>+VLOOKUP(Tabla14[[#This Row],[FONDO]],MAESTRO!D:F,3,FALSE)</f>
        <v>(T+0)</v>
      </c>
      <c r="I331" s="4" t="s">
        <v>9</v>
      </c>
      <c r="L3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1" s="4">
        <f>ROUND(IF(Tabla14[[#This Row],[OPERACIÓN]]=MAESTRO!$B$2,Tabla14[CAPITAL],IF(Tabla14[[#This Row],[OPERACIÓN]]=MAESTRO!$B$5,Tabla14[CAPITAL],-Tabla14[[#This Row],[CAPITAL]])),2)</f>
        <v>-323700000</v>
      </c>
    </row>
    <row r="332" spans="1:13" x14ac:dyDescent="0.3">
      <c r="A332" s="26">
        <v>46073</v>
      </c>
      <c r="B332" t="s">
        <v>298</v>
      </c>
      <c r="C332" t="s">
        <v>132</v>
      </c>
      <c r="D332" s="27" t="s">
        <v>17</v>
      </c>
      <c r="E332" s="4" t="s">
        <v>40</v>
      </c>
      <c r="F332" s="4">
        <v>250000000</v>
      </c>
      <c r="G332" s="8" t="str">
        <f>+VLOOKUP(Tabla14[[#This Row],[FONDO]],MAESTRO!$D$2:$E$119,2,FALSE)</f>
        <v>BBVA Banco Frances SA</v>
      </c>
      <c r="H332" s="8" t="str">
        <f>+VLOOKUP(Tabla14[[#This Row],[FONDO]],MAESTRO!D:F,3,FALSE)</f>
        <v>(T+0)</v>
      </c>
      <c r="I332" s="4" t="s">
        <v>9</v>
      </c>
      <c r="L3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2" s="4">
        <f>ROUND(IF(Tabla14[[#This Row],[OPERACIÓN]]=MAESTRO!$B$2,Tabla14[CAPITAL],IF(Tabla14[[#This Row],[OPERACIÓN]]=MAESTRO!$B$5,Tabla14[CAPITAL],-Tabla14[[#This Row],[CAPITAL]])),2)</f>
        <v>-250000000</v>
      </c>
    </row>
    <row r="333" spans="1:13" x14ac:dyDescent="0.3">
      <c r="A333" s="26">
        <v>46073</v>
      </c>
      <c r="B333" t="s">
        <v>298</v>
      </c>
      <c r="C333" t="s">
        <v>132</v>
      </c>
      <c r="D333" s="27" t="s">
        <v>16</v>
      </c>
      <c r="E333" s="4" t="s">
        <v>258</v>
      </c>
      <c r="F333" s="4">
        <v>250000000</v>
      </c>
      <c r="G333" s="8" t="str">
        <f>+VLOOKUP(Tabla14[[#This Row],[FONDO]],MAESTRO!$D$2:$E$119,2,FALSE)</f>
        <v>Allaria Ledesma y Cía. Inversiones</v>
      </c>
      <c r="H333" s="8" t="str">
        <f>+VLOOKUP(Tabla14[[#This Row],[FONDO]],MAESTRO!D:F,3,FALSE)</f>
        <v>(T+0)</v>
      </c>
      <c r="I333" s="4" t="s">
        <v>9</v>
      </c>
      <c r="L3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3" s="4">
        <f>ROUND(IF(Tabla14[[#This Row],[OPERACIÓN]]=MAESTRO!$B$2,Tabla14[CAPITAL],IF(Tabla14[[#This Row],[OPERACIÓN]]=MAESTRO!$B$5,Tabla14[CAPITAL],-Tabla14[[#This Row],[CAPITAL]])),2)</f>
        <v>250000000</v>
      </c>
    </row>
    <row r="334" spans="1:13" x14ac:dyDescent="0.3">
      <c r="A334" s="26">
        <v>46073</v>
      </c>
      <c r="B334" t="s">
        <v>298</v>
      </c>
      <c r="C334" t="s">
        <v>132</v>
      </c>
      <c r="D334" s="27" t="s">
        <v>17</v>
      </c>
      <c r="E334" s="4" t="s">
        <v>136</v>
      </c>
      <c r="F334" s="4">
        <v>300000000</v>
      </c>
      <c r="G334" s="8" t="str">
        <f>+VLOOKUP(Tabla14[[#This Row],[FONDO]],MAESTRO!$D$2:$E$119,2,FALSE)</f>
        <v>Gma Capital</v>
      </c>
      <c r="H334" s="8" t="str">
        <f>+VLOOKUP(Tabla14[[#This Row],[FONDO]],MAESTRO!D:F,3,FALSE)</f>
        <v>(T+0)</v>
      </c>
      <c r="I334" s="4" t="s">
        <v>9</v>
      </c>
      <c r="L3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4" s="4">
        <f>ROUND(IF(Tabla14[[#This Row],[OPERACIÓN]]=MAESTRO!$B$2,Tabla14[CAPITAL],IF(Tabla14[[#This Row],[OPERACIÓN]]=MAESTRO!$B$5,Tabla14[CAPITAL],-Tabla14[[#This Row],[CAPITAL]])),2)</f>
        <v>-300000000</v>
      </c>
    </row>
    <row r="335" spans="1:13" x14ac:dyDescent="0.3">
      <c r="A335" s="26">
        <v>46073</v>
      </c>
      <c r="B335" t="s">
        <v>298</v>
      </c>
      <c r="C335" t="s">
        <v>132</v>
      </c>
      <c r="D335" s="27" t="s">
        <v>17</v>
      </c>
      <c r="E335" s="4" t="s">
        <v>136</v>
      </c>
      <c r="F335" s="4">
        <v>289135318.25999999</v>
      </c>
      <c r="G335" s="8" t="str">
        <f>+VLOOKUP(Tabla14[[#This Row],[FONDO]],MAESTRO!$D$2:$E$119,2,FALSE)</f>
        <v>Gma Capital</v>
      </c>
      <c r="H335" s="8" t="str">
        <f>+VLOOKUP(Tabla14[[#This Row],[FONDO]],MAESTRO!D:F,3,FALSE)</f>
        <v>(T+0)</v>
      </c>
      <c r="I335" s="4" t="s">
        <v>9</v>
      </c>
      <c r="L3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5" s="4">
        <f>ROUND(IF(Tabla14[[#This Row],[OPERACIÓN]]=MAESTRO!$B$2,Tabla14[CAPITAL],IF(Tabla14[[#This Row],[OPERACIÓN]]=MAESTRO!$B$5,Tabla14[CAPITAL],-Tabla14[[#This Row],[CAPITAL]])),2)</f>
        <v>-289135318.25999999</v>
      </c>
    </row>
    <row r="336" spans="1:13" x14ac:dyDescent="0.3">
      <c r="A336" s="26">
        <v>46073</v>
      </c>
      <c r="B336" t="s">
        <v>299</v>
      </c>
      <c r="C336" t="s">
        <v>132</v>
      </c>
      <c r="D336" s="27" t="s">
        <v>17</v>
      </c>
      <c r="E336" s="4" t="s">
        <v>136</v>
      </c>
      <c r="F336" s="4">
        <v>153424390.38</v>
      </c>
      <c r="G336" s="8" t="str">
        <f>+VLOOKUP(Tabla14[[#This Row],[FONDO]],MAESTRO!$D$2:$E$119,2,FALSE)</f>
        <v>Gma Capital</v>
      </c>
      <c r="H336" s="8" t="str">
        <f>+VLOOKUP(Tabla14[[#This Row],[FONDO]],MAESTRO!D:F,3,FALSE)</f>
        <v>(T+0)</v>
      </c>
      <c r="I336" s="4" t="s">
        <v>9</v>
      </c>
      <c r="L3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6" s="4">
        <f>ROUND(IF(Tabla14[[#This Row],[OPERACIÓN]]=MAESTRO!$B$2,Tabla14[CAPITAL],IF(Tabla14[[#This Row],[OPERACIÓN]]=MAESTRO!$B$5,Tabla14[CAPITAL],-Tabla14[[#This Row],[CAPITAL]])),2)</f>
        <v>-153424390.38</v>
      </c>
    </row>
    <row r="337" spans="1:13" x14ac:dyDescent="0.3">
      <c r="A337" s="26">
        <v>46073</v>
      </c>
      <c r="B337" t="s">
        <v>299</v>
      </c>
      <c r="C337" t="s">
        <v>132</v>
      </c>
      <c r="D337" s="27" t="s">
        <v>17</v>
      </c>
      <c r="E337" s="4" t="s">
        <v>136</v>
      </c>
      <c r="F337" s="4">
        <v>73125625.329999998</v>
      </c>
      <c r="G337" s="8" t="str">
        <f>+VLOOKUP(Tabla14[[#This Row],[FONDO]],MAESTRO!$D$2:$E$119,2,FALSE)</f>
        <v>Gma Capital</v>
      </c>
      <c r="H337" s="8" t="str">
        <f>+VLOOKUP(Tabla14[[#This Row],[FONDO]],MAESTRO!D:F,3,FALSE)</f>
        <v>(T+0)</v>
      </c>
      <c r="I337" s="4" t="s">
        <v>9</v>
      </c>
      <c r="L3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7" s="4">
        <f>ROUND(IF(Tabla14[[#This Row],[OPERACIÓN]]=MAESTRO!$B$2,Tabla14[CAPITAL],IF(Tabla14[[#This Row],[OPERACIÓN]]=MAESTRO!$B$5,Tabla14[CAPITAL],-Tabla14[[#This Row],[CAPITAL]])),2)</f>
        <v>-73125625.329999998</v>
      </c>
    </row>
    <row r="338" spans="1:13" x14ac:dyDescent="0.3">
      <c r="A338" s="26">
        <v>46073</v>
      </c>
      <c r="B338" t="s">
        <v>298</v>
      </c>
      <c r="C338" t="s">
        <v>132</v>
      </c>
      <c r="D338" s="27" t="s">
        <v>17</v>
      </c>
      <c r="E338" s="4" t="s">
        <v>169</v>
      </c>
      <c r="F338" s="4">
        <v>68736026.099999994</v>
      </c>
      <c r="G338" s="8" t="str">
        <f>+VLOOKUP(Tabla14[[#This Row],[FONDO]],MAESTRO!$D$2:$E$119,2,FALSE)</f>
        <v>Max Capital</v>
      </c>
      <c r="H338" s="8" t="str">
        <f>+VLOOKUP(Tabla14[[#This Row],[FONDO]],MAESTRO!D:F,3,FALSE)</f>
        <v>(T+0)</v>
      </c>
      <c r="I338" s="4" t="s">
        <v>9</v>
      </c>
      <c r="L3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8" s="4">
        <f>ROUND(IF(Tabla14[[#This Row],[OPERACIÓN]]=MAESTRO!$B$2,Tabla14[CAPITAL],IF(Tabla14[[#This Row],[OPERACIÓN]]=MAESTRO!$B$5,Tabla14[CAPITAL],-Tabla14[[#This Row],[CAPITAL]])),2)</f>
        <v>-68736026.099999994</v>
      </c>
    </row>
    <row r="339" spans="1:13" x14ac:dyDescent="0.3">
      <c r="A339" s="26">
        <v>46073</v>
      </c>
      <c r="B339" t="s">
        <v>299</v>
      </c>
      <c r="C339" t="s">
        <v>132</v>
      </c>
      <c r="D339" s="27" t="s">
        <v>17</v>
      </c>
      <c r="E339" s="4" t="s">
        <v>169</v>
      </c>
      <c r="F339" s="4">
        <v>53164235.600000001</v>
      </c>
      <c r="G339" s="8" t="str">
        <f>+VLOOKUP(Tabla14[[#This Row],[FONDO]],MAESTRO!$D$2:$E$119,2,FALSE)</f>
        <v>Max Capital</v>
      </c>
      <c r="H339" s="8" t="str">
        <f>+VLOOKUP(Tabla14[[#This Row],[FONDO]],MAESTRO!D:F,3,FALSE)</f>
        <v>(T+0)</v>
      </c>
      <c r="I339" s="4" t="s">
        <v>9</v>
      </c>
      <c r="L3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39" s="4">
        <f>ROUND(IF(Tabla14[[#This Row],[OPERACIÓN]]=MAESTRO!$B$2,Tabla14[CAPITAL],IF(Tabla14[[#This Row],[OPERACIÓN]]=MAESTRO!$B$5,Tabla14[CAPITAL],-Tabla14[[#This Row],[CAPITAL]])),2)</f>
        <v>-53164235.600000001</v>
      </c>
    </row>
    <row r="340" spans="1:13" x14ac:dyDescent="0.3">
      <c r="A340" s="37">
        <v>46073</v>
      </c>
      <c r="B340" s="20" t="s">
        <v>120</v>
      </c>
      <c r="C340" s="20" t="s">
        <v>132</v>
      </c>
      <c r="D340" s="38" t="s">
        <v>17</v>
      </c>
      <c r="E340" s="39" t="s">
        <v>40</v>
      </c>
      <c r="F340" s="39">
        <v>62377.73</v>
      </c>
      <c r="G340" s="40" t="str">
        <f>+VLOOKUP(Tabla14[[#This Row],[FONDO]],MAESTRO!$D$2:$E$119,2,FALSE)</f>
        <v>BBVA Banco Frances SA</v>
      </c>
      <c r="H340" s="40" t="str">
        <f>+VLOOKUP(Tabla14[[#This Row],[FONDO]],MAESTRO!D:F,3,FALSE)</f>
        <v>(T+0)</v>
      </c>
      <c r="I340" s="39" t="s">
        <v>9</v>
      </c>
      <c r="J340" s="49"/>
      <c r="K340" s="20"/>
      <c r="L34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0" s="39">
        <f>ROUND(IF(Tabla14[[#This Row],[OPERACIÓN]]=MAESTRO!$B$2,Tabla14[CAPITAL],IF(Tabla14[[#This Row],[OPERACIÓN]]=MAESTRO!$B$5,Tabla14[CAPITAL],-Tabla14[[#This Row],[CAPITAL]])),2)</f>
        <v>-62377.73</v>
      </c>
    </row>
    <row r="341" spans="1:13" x14ac:dyDescent="0.3">
      <c r="A341" s="26">
        <v>46076</v>
      </c>
      <c r="B341" t="s">
        <v>298</v>
      </c>
      <c r="C341" t="s">
        <v>132</v>
      </c>
      <c r="D341" s="27" t="s">
        <v>17</v>
      </c>
      <c r="E341" s="4" t="s">
        <v>40</v>
      </c>
      <c r="F341" s="4">
        <v>472000000</v>
      </c>
      <c r="G341" s="8" t="str">
        <f>+VLOOKUP(Tabla14[[#This Row],[FONDO]],MAESTRO!$D$2:$E$119,2,FALSE)</f>
        <v>BBVA Banco Frances SA</v>
      </c>
      <c r="H341" s="8" t="str">
        <f>+VLOOKUP(Tabla14[[#This Row],[FONDO]],MAESTRO!D:F,3,FALSE)</f>
        <v>(T+0)</v>
      </c>
      <c r="I341" s="4" t="s">
        <v>9</v>
      </c>
      <c r="L3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1" s="4">
        <f>ROUND(IF(Tabla14[[#This Row],[OPERACIÓN]]=MAESTRO!$B$2,Tabla14[CAPITAL],IF(Tabla14[[#This Row],[OPERACIÓN]]=MAESTRO!$B$5,Tabla14[CAPITAL],-Tabla14[[#This Row],[CAPITAL]])),2)</f>
        <v>-472000000</v>
      </c>
    </row>
    <row r="342" spans="1:13" x14ac:dyDescent="0.3">
      <c r="A342" s="26">
        <v>46076</v>
      </c>
      <c r="B342" t="s">
        <v>126</v>
      </c>
      <c r="C342" t="s">
        <v>132</v>
      </c>
      <c r="D342" s="27" t="s">
        <v>17</v>
      </c>
      <c r="E342" s="4" t="s">
        <v>48</v>
      </c>
      <c r="F342" s="4">
        <v>19600000</v>
      </c>
      <c r="G342" s="8" t="str">
        <f>+VLOOKUP(Tabla14[[#This Row],[FONDO]],MAESTRO!$D$2:$E$119,2,FALSE)</f>
        <v>Banco Macro S.A.</v>
      </c>
      <c r="H342" s="8" t="str">
        <f>+VLOOKUP(Tabla14[[#This Row],[FONDO]],MAESTRO!D:F,3,FALSE)</f>
        <v>(T+0)</v>
      </c>
      <c r="I342" s="4" t="s">
        <v>9</v>
      </c>
      <c r="L3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2" s="4">
        <f>ROUND(IF(Tabla14[[#This Row],[OPERACIÓN]]=MAESTRO!$B$2,Tabla14[CAPITAL],IF(Tabla14[[#This Row],[OPERACIÓN]]=MAESTRO!$B$5,Tabla14[CAPITAL],-Tabla14[[#This Row],[CAPITAL]])),2)</f>
        <v>-19600000</v>
      </c>
    </row>
    <row r="343" spans="1:13" x14ac:dyDescent="0.3">
      <c r="A343" s="26">
        <v>46076</v>
      </c>
      <c r="B343" t="s">
        <v>292</v>
      </c>
      <c r="C343" t="s">
        <v>132</v>
      </c>
      <c r="D343" s="27" t="s">
        <v>17</v>
      </c>
      <c r="E343" s="4" t="s">
        <v>48</v>
      </c>
      <c r="F343" s="4">
        <v>21800000</v>
      </c>
      <c r="G343" s="8" t="str">
        <f>+VLOOKUP(Tabla14[[#This Row],[FONDO]],MAESTRO!$D$2:$E$119,2,FALSE)</f>
        <v>Banco Macro S.A.</v>
      </c>
      <c r="H343" s="8" t="str">
        <f>+VLOOKUP(Tabla14[[#This Row],[FONDO]],MAESTRO!D:F,3,FALSE)</f>
        <v>(T+0)</v>
      </c>
      <c r="I343" s="4" t="s">
        <v>9</v>
      </c>
      <c r="L3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3" s="4">
        <f>ROUND(IF(Tabla14[[#This Row],[OPERACIÓN]]=MAESTRO!$B$2,Tabla14[CAPITAL],IF(Tabla14[[#This Row],[OPERACIÓN]]=MAESTRO!$B$5,Tabla14[CAPITAL],-Tabla14[[#This Row],[CAPITAL]])),2)</f>
        <v>-21800000</v>
      </c>
    </row>
    <row r="344" spans="1:13" x14ac:dyDescent="0.3">
      <c r="A344" s="26">
        <v>46076</v>
      </c>
      <c r="B344" t="s">
        <v>299</v>
      </c>
      <c r="C344" t="s">
        <v>132</v>
      </c>
      <c r="D344" s="27" t="s">
        <v>16</v>
      </c>
      <c r="E344" s="4" t="s">
        <v>48</v>
      </c>
      <c r="F344" s="4">
        <v>192800000</v>
      </c>
      <c r="G344" s="8" t="str">
        <f>+VLOOKUP(Tabla14[[#This Row],[FONDO]],MAESTRO!$D$2:$E$119,2,FALSE)</f>
        <v>Banco Macro S.A.</v>
      </c>
      <c r="H344" s="8" t="str">
        <f>+VLOOKUP(Tabla14[[#This Row],[FONDO]],MAESTRO!D:F,3,FALSE)</f>
        <v>(T+0)</v>
      </c>
      <c r="I344" s="4" t="s">
        <v>9</v>
      </c>
      <c r="L3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4" s="4">
        <f>ROUND(IF(Tabla14[[#This Row],[OPERACIÓN]]=MAESTRO!$B$2,Tabla14[CAPITAL],IF(Tabla14[[#This Row],[OPERACIÓN]]=MAESTRO!$B$5,Tabla14[CAPITAL],-Tabla14[[#This Row],[CAPITAL]])),2)</f>
        <v>192800000</v>
      </c>
    </row>
    <row r="345" spans="1:13" x14ac:dyDescent="0.3">
      <c r="A345" s="37">
        <v>46076</v>
      </c>
      <c r="B345" s="20" t="s">
        <v>299</v>
      </c>
      <c r="C345" s="20" t="s">
        <v>132</v>
      </c>
      <c r="D345" s="38" t="s">
        <v>17</v>
      </c>
      <c r="E345" s="39" t="s">
        <v>212</v>
      </c>
      <c r="F345" s="39">
        <v>45573901</v>
      </c>
      <c r="G345" s="62" t="str">
        <f>+VLOOKUP(Tabla14[[#This Row],[FONDO]],MAESTRO!$D$2:$E$119,2,FALSE)</f>
        <v>INTAGRO</v>
      </c>
      <c r="H345" s="40" t="str">
        <f>+VLOOKUP(Tabla14[[#This Row],[FONDO]],MAESTRO!D:F,3,FALSE)</f>
        <v>(T+0)</v>
      </c>
      <c r="I345" s="39" t="s">
        <v>9</v>
      </c>
      <c r="J345" s="49"/>
      <c r="K345" s="20"/>
      <c r="L34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5" s="39">
        <f>ROUND(IF(Tabla14[[#This Row],[OPERACIÓN]]=MAESTRO!$B$2,Tabla14[CAPITAL],IF(Tabla14[[#This Row],[OPERACIÓN]]=MAESTRO!$B$5,Tabla14[CAPITAL],-Tabla14[[#This Row],[CAPITAL]])),2)</f>
        <v>-45573901</v>
      </c>
    </row>
    <row r="346" spans="1:13" x14ac:dyDescent="0.3">
      <c r="A346" s="26">
        <v>46076</v>
      </c>
      <c r="B346" s="20" t="s">
        <v>299</v>
      </c>
      <c r="C346" s="20" t="s">
        <v>132</v>
      </c>
      <c r="D346" s="38" t="s">
        <v>16</v>
      </c>
      <c r="E346" s="39" t="s">
        <v>211</v>
      </c>
      <c r="F346" s="39">
        <v>8035131.9000000004</v>
      </c>
      <c r="G346" s="62" t="str">
        <f>+VLOOKUP(Tabla14[[#This Row],[FONDO]],MAESTRO!$D$2:$E$119,2,FALSE)</f>
        <v>INTAGRO</v>
      </c>
      <c r="H346" s="40" t="str">
        <f>+VLOOKUP(Tabla14[[#This Row],[FONDO]],MAESTRO!D:F,3,FALSE)</f>
        <v>(T+1)</v>
      </c>
      <c r="I346" s="39" t="s">
        <v>9</v>
      </c>
      <c r="J346" s="49"/>
      <c r="K346" s="20"/>
      <c r="L34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6" s="39">
        <f>ROUND(IF(Tabla14[[#This Row],[OPERACIÓN]]=MAESTRO!$B$2,Tabla14[CAPITAL],IF(Tabla14[[#This Row],[OPERACIÓN]]=MAESTRO!$B$5,Tabla14[CAPITAL],-Tabla14[[#This Row],[CAPITAL]])),2)</f>
        <v>8035131.9000000004</v>
      </c>
    </row>
    <row r="347" spans="1:13" x14ac:dyDescent="0.3">
      <c r="A347" s="26">
        <v>46077</v>
      </c>
      <c r="B347" t="s">
        <v>298</v>
      </c>
      <c r="C347" t="s">
        <v>132</v>
      </c>
      <c r="D347" s="27" t="s">
        <v>17</v>
      </c>
      <c r="E347" s="4" t="s">
        <v>40</v>
      </c>
      <c r="F347" s="4">
        <v>181700000</v>
      </c>
      <c r="G347" s="63" t="str">
        <f>+VLOOKUP(Tabla14[[#This Row],[FONDO]],MAESTRO!$D$2:$E$119,2,FALSE)</f>
        <v>BBVA Banco Frances SA</v>
      </c>
      <c r="H347" s="8" t="str">
        <f>+VLOOKUP(Tabla14[[#This Row],[FONDO]],MAESTRO!D:F,3,FALSE)</f>
        <v>(T+0)</v>
      </c>
      <c r="I347" s="4" t="s">
        <v>9</v>
      </c>
      <c r="L3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7" s="4">
        <f>ROUND(IF(Tabla14[[#This Row],[OPERACIÓN]]=MAESTRO!$B$2,Tabla14[CAPITAL],IF(Tabla14[[#This Row],[OPERACIÓN]]=MAESTRO!$B$5,Tabla14[CAPITAL],-Tabla14[[#This Row],[CAPITAL]])),2)</f>
        <v>-181700000</v>
      </c>
    </row>
    <row r="348" spans="1:13" x14ac:dyDescent="0.3">
      <c r="A348" s="26">
        <v>46077</v>
      </c>
      <c r="B348" t="s">
        <v>299</v>
      </c>
      <c r="C348" t="s">
        <v>132</v>
      </c>
      <c r="D348" s="27" t="s">
        <v>17</v>
      </c>
      <c r="E348" s="4" t="s">
        <v>40</v>
      </c>
      <c r="F348" s="4">
        <v>155600000</v>
      </c>
      <c r="G348" s="63" t="str">
        <f>+VLOOKUP(Tabla14[[#This Row],[FONDO]],MAESTRO!$D$2:$E$119,2,FALSE)</f>
        <v>BBVA Banco Frances SA</v>
      </c>
      <c r="H348" s="8" t="str">
        <f>+VLOOKUP(Tabla14[[#This Row],[FONDO]],MAESTRO!D:F,3,FALSE)</f>
        <v>(T+0)</v>
      </c>
      <c r="I348" s="4" t="s">
        <v>9</v>
      </c>
      <c r="L3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8" s="4">
        <f>ROUND(IF(Tabla14[[#This Row],[OPERACIÓN]]=MAESTRO!$B$2,Tabla14[CAPITAL],IF(Tabla14[[#This Row],[OPERACIÓN]]=MAESTRO!$B$5,Tabla14[CAPITAL],-Tabla14[[#This Row],[CAPITAL]])),2)</f>
        <v>-155600000</v>
      </c>
    </row>
    <row r="349" spans="1:13" x14ac:dyDescent="0.3">
      <c r="A349" s="26">
        <v>46077</v>
      </c>
      <c r="B349" t="s">
        <v>126</v>
      </c>
      <c r="C349" t="s">
        <v>132</v>
      </c>
      <c r="D349" s="27" t="s">
        <v>17</v>
      </c>
      <c r="E349" s="4" t="s">
        <v>48</v>
      </c>
      <c r="F349" s="4">
        <v>8000000</v>
      </c>
      <c r="G349" s="63" t="str">
        <f>+VLOOKUP(Tabla14[[#This Row],[FONDO]],MAESTRO!$D$2:$E$119,2,FALSE)</f>
        <v>Banco Macro S.A.</v>
      </c>
      <c r="H349" s="8" t="str">
        <f>+VLOOKUP(Tabla14[[#This Row],[FONDO]],MAESTRO!D:F,3,FALSE)</f>
        <v>(T+0)</v>
      </c>
      <c r="I349" s="4" t="s">
        <v>9</v>
      </c>
      <c r="L3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49" s="4">
        <f>ROUND(IF(Tabla14[[#This Row],[OPERACIÓN]]=MAESTRO!$B$2,Tabla14[CAPITAL],IF(Tabla14[[#This Row],[OPERACIÓN]]=MAESTRO!$B$5,Tabla14[CAPITAL],-Tabla14[[#This Row],[CAPITAL]])),2)</f>
        <v>-8000000</v>
      </c>
    </row>
    <row r="350" spans="1:13" x14ac:dyDescent="0.3">
      <c r="A350" s="26">
        <v>46077</v>
      </c>
      <c r="B350" t="s">
        <v>292</v>
      </c>
      <c r="C350" t="s">
        <v>132</v>
      </c>
      <c r="D350" s="27" t="s">
        <v>16</v>
      </c>
      <c r="E350" s="4" t="s">
        <v>48</v>
      </c>
      <c r="F350" s="4">
        <v>76200000</v>
      </c>
      <c r="G350" s="63" t="str">
        <f>+VLOOKUP(Tabla14[[#This Row],[FONDO]],MAESTRO!$D$2:$E$119,2,FALSE)</f>
        <v>Banco Macro S.A.</v>
      </c>
      <c r="H350" s="8" t="str">
        <f>+VLOOKUP(Tabla14[[#This Row],[FONDO]],MAESTRO!D:F,3,FALSE)</f>
        <v>(T+0)</v>
      </c>
      <c r="I350" s="4" t="s">
        <v>9</v>
      </c>
      <c r="L3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0" s="4">
        <f>ROUND(IF(Tabla14[[#This Row],[OPERACIÓN]]=MAESTRO!$B$2,Tabla14[CAPITAL],IF(Tabla14[[#This Row],[OPERACIÓN]]=MAESTRO!$B$5,Tabla14[CAPITAL],-Tabla14[[#This Row],[CAPITAL]])),2)</f>
        <v>76200000</v>
      </c>
    </row>
    <row r="351" spans="1:13" x14ac:dyDescent="0.3">
      <c r="A351" s="26">
        <v>46077</v>
      </c>
      <c r="B351" t="s">
        <v>299</v>
      </c>
      <c r="C351" t="s">
        <v>132</v>
      </c>
      <c r="D351" s="27" t="s">
        <v>17</v>
      </c>
      <c r="E351" s="4" t="s">
        <v>212</v>
      </c>
      <c r="F351" s="4">
        <v>86588947</v>
      </c>
      <c r="G351" s="63" t="str">
        <f>+VLOOKUP(Tabla14[[#This Row],[FONDO]],MAESTRO!$D$2:$E$119,2,FALSE)</f>
        <v>INTAGRO</v>
      </c>
      <c r="H351" s="8" t="str">
        <f>+VLOOKUP(Tabla14[[#This Row],[FONDO]],MAESTRO!D:F,3,FALSE)</f>
        <v>(T+0)</v>
      </c>
      <c r="I351" s="4" t="s">
        <v>9</v>
      </c>
      <c r="L3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1" s="4">
        <f>ROUND(IF(Tabla14[[#This Row],[OPERACIÓN]]=MAESTRO!$B$2,Tabla14[CAPITAL],IF(Tabla14[[#This Row],[OPERACIÓN]]=MAESTRO!$B$5,Tabla14[CAPITAL],-Tabla14[[#This Row],[CAPITAL]])),2)</f>
        <v>-86588947</v>
      </c>
    </row>
    <row r="352" spans="1:13" x14ac:dyDescent="0.3">
      <c r="A352" s="26">
        <v>46078</v>
      </c>
      <c r="B352" t="s">
        <v>298</v>
      </c>
      <c r="C352" t="s">
        <v>132</v>
      </c>
      <c r="D352" s="27" t="s">
        <v>17</v>
      </c>
      <c r="E352" s="4" t="s">
        <v>40</v>
      </c>
      <c r="F352" s="4">
        <v>839900000</v>
      </c>
      <c r="G352" s="63" t="str">
        <f>+VLOOKUP(Tabla14[[#This Row],[FONDO]],MAESTRO!$D$2:$E$119,2,FALSE)</f>
        <v>BBVA Banco Frances SA</v>
      </c>
      <c r="H352" s="8" t="str">
        <f>+VLOOKUP(Tabla14[[#This Row],[FONDO]],MAESTRO!D:F,3,FALSE)</f>
        <v>(T+0)</v>
      </c>
      <c r="I352" s="4" t="s">
        <v>9</v>
      </c>
      <c r="L3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2" s="4">
        <f>ROUND(IF(Tabla14[[#This Row],[OPERACIÓN]]=MAESTRO!$B$2,Tabla14[CAPITAL],IF(Tabla14[[#This Row],[OPERACIÓN]]=MAESTRO!$B$5,Tabla14[CAPITAL],-Tabla14[[#This Row],[CAPITAL]])),2)</f>
        <v>-839900000</v>
      </c>
    </row>
    <row r="353" spans="1:13" x14ac:dyDescent="0.3">
      <c r="A353" s="26">
        <v>46078</v>
      </c>
      <c r="B353" t="s">
        <v>299</v>
      </c>
      <c r="C353" t="s">
        <v>132</v>
      </c>
      <c r="D353" s="27" t="s">
        <v>17</v>
      </c>
      <c r="E353" s="4" t="s">
        <v>48</v>
      </c>
      <c r="F353" s="4">
        <v>46900000</v>
      </c>
      <c r="G353" s="63" t="str">
        <f>+VLOOKUP(Tabla14[[#This Row],[FONDO]],MAESTRO!$D$2:$E$119,2,FALSE)</f>
        <v>Banco Macro S.A.</v>
      </c>
      <c r="H353" s="8" t="str">
        <f>+VLOOKUP(Tabla14[[#This Row],[FONDO]],MAESTRO!D:F,3,FALSE)</f>
        <v>(T+0)</v>
      </c>
      <c r="I353" s="4" t="s">
        <v>9</v>
      </c>
      <c r="L3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3" s="4">
        <f>ROUND(IF(Tabla14[[#This Row],[OPERACIÓN]]=MAESTRO!$B$2,Tabla14[CAPITAL],IF(Tabla14[[#This Row],[OPERACIÓN]]=MAESTRO!$B$5,Tabla14[CAPITAL],-Tabla14[[#This Row],[CAPITAL]])),2)</f>
        <v>-46900000</v>
      </c>
    </row>
    <row r="354" spans="1:13" x14ac:dyDescent="0.3">
      <c r="A354" s="26">
        <v>46078</v>
      </c>
      <c r="B354" t="s">
        <v>292</v>
      </c>
      <c r="C354" t="s">
        <v>132</v>
      </c>
      <c r="D354" s="27" t="s">
        <v>17</v>
      </c>
      <c r="E354" s="4" t="s">
        <v>48</v>
      </c>
      <c r="F354" s="4">
        <v>131200000</v>
      </c>
      <c r="G354" s="63" t="str">
        <f>+VLOOKUP(Tabla14[[#This Row],[FONDO]],MAESTRO!$D$2:$E$119,2,FALSE)</f>
        <v>Banco Macro S.A.</v>
      </c>
      <c r="H354" s="8" t="str">
        <f>+VLOOKUP(Tabla14[[#This Row],[FONDO]],MAESTRO!D:F,3,FALSE)</f>
        <v>(T+0)</v>
      </c>
      <c r="I354" s="4" t="s">
        <v>9</v>
      </c>
      <c r="L3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4" s="4">
        <f>ROUND(IF(Tabla14[[#This Row],[OPERACIÓN]]=MAESTRO!$B$2,Tabla14[CAPITAL],IF(Tabla14[[#This Row],[OPERACIÓN]]=MAESTRO!$B$5,Tabla14[CAPITAL],-Tabla14[[#This Row],[CAPITAL]])),2)</f>
        <v>-131200000</v>
      </c>
    </row>
    <row r="355" spans="1:13" x14ac:dyDescent="0.3">
      <c r="A355" s="37">
        <v>46078</v>
      </c>
      <c r="B355" s="20" t="s">
        <v>292</v>
      </c>
      <c r="C355" s="20" t="s">
        <v>132</v>
      </c>
      <c r="D355" s="38" t="s">
        <v>16</v>
      </c>
      <c r="E355" s="39" t="s">
        <v>136</v>
      </c>
      <c r="F355" s="39">
        <v>17545495</v>
      </c>
      <c r="G355" s="62" t="str">
        <f>+VLOOKUP(Tabla14[[#This Row],[FONDO]],MAESTRO!$D$2:$E$119,2,FALSE)</f>
        <v>Gma Capital</v>
      </c>
      <c r="H355" s="40" t="str">
        <f>+VLOOKUP(Tabla14[[#This Row],[FONDO]],MAESTRO!D:F,3,FALSE)</f>
        <v>(T+0)</v>
      </c>
      <c r="I355" s="39" t="s">
        <v>9</v>
      </c>
      <c r="J355" s="49"/>
      <c r="K355" s="20"/>
      <c r="L35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5" s="39">
        <f>ROUND(IF(Tabla14[[#This Row],[OPERACIÓN]]=MAESTRO!$B$2,Tabla14[CAPITAL],IF(Tabla14[[#This Row],[OPERACIÓN]]=MAESTRO!$B$5,Tabla14[CAPITAL],-Tabla14[[#This Row],[CAPITAL]])),2)</f>
        <v>17545495</v>
      </c>
    </row>
    <row r="356" spans="1:13" x14ac:dyDescent="0.3">
      <c r="A356" s="26">
        <v>46079</v>
      </c>
      <c r="B356" t="s">
        <v>299</v>
      </c>
      <c r="C356" t="s">
        <v>132</v>
      </c>
      <c r="D356" s="27" t="s">
        <v>17</v>
      </c>
      <c r="E356" s="4" t="s">
        <v>40</v>
      </c>
      <c r="F356" s="4">
        <v>157600000</v>
      </c>
      <c r="G356" s="63" t="str">
        <f>+VLOOKUP(Tabla14[[#This Row],[FONDO]],MAESTRO!$D$2:$E$119,2,FALSE)</f>
        <v>BBVA Banco Frances SA</v>
      </c>
      <c r="H356" s="8" t="str">
        <f>+VLOOKUP(Tabla14[[#This Row],[FONDO]],MAESTRO!D:F,3,FALSE)</f>
        <v>(T+0)</v>
      </c>
      <c r="I356" s="4" t="s">
        <v>9</v>
      </c>
      <c r="L3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6" s="4">
        <f>ROUND(IF(Tabla14[[#This Row],[OPERACIÓN]]=MAESTRO!$B$2,Tabla14[CAPITAL],IF(Tabla14[[#This Row],[OPERACIÓN]]=MAESTRO!$B$5,Tabla14[CAPITAL],-Tabla14[[#This Row],[CAPITAL]])),2)</f>
        <v>-157600000</v>
      </c>
    </row>
    <row r="357" spans="1:13" s="20" customFormat="1" x14ac:dyDescent="0.3">
      <c r="A357" s="26">
        <v>46079</v>
      </c>
      <c r="B357" t="s">
        <v>298</v>
      </c>
      <c r="C357" t="s">
        <v>132</v>
      </c>
      <c r="D357" s="27" t="s">
        <v>17</v>
      </c>
      <c r="E357" s="4" t="s">
        <v>40</v>
      </c>
      <c r="F357" s="4">
        <v>806100000</v>
      </c>
      <c r="G357" s="63" t="str">
        <f>+VLOOKUP(Tabla14[[#This Row],[FONDO]],MAESTRO!$D$2:$E$119,2,FALSE)</f>
        <v>BBVA Banco Frances SA</v>
      </c>
      <c r="H357" s="8" t="str">
        <f>+VLOOKUP(Tabla14[[#This Row],[FONDO]],MAESTRO!D:F,3,FALSE)</f>
        <v>(T+0)</v>
      </c>
      <c r="I357" s="4" t="s">
        <v>9</v>
      </c>
      <c r="J357" s="23"/>
      <c r="K357"/>
      <c r="L3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7" s="4">
        <f>ROUND(IF(Tabla14[[#This Row],[OPERACIÓN]]=MAESTRO!$B$2,Tabla14[CAPITAL],IF(Tabla14[[#This Row],[OPERACIÓN]]=MAESTRO!$B$5,Tabla14[CAPITAL],-Tabla14[[#This Row],[CAPITAL]])),2)</f>
        <v>-806100000</v>
      </c>
    </row>
    <row r="358" spans="1:13" s="20" customFormat="1" x14ac:dyDescent="0.3">
      <c r="A358" s="26">
        <v>46080</v>
      </c>
      <c r="B358" t="s">
        <v>298</v>
      </c>
      <c r="C358" t="s">
        <v>132</v>
      </c>
      <c r="D358" s="27" t="s">
        <v>17</v>
      </c>
      <c r="E358" s="4" t="s">
        <v>40</v>
      </c>
      <c r="F358" s="4">
        <v>159800000</v>
      </c>
      <c r="G358" s="8" t="str">
        <f>+VLOOKUP(Tabla14[[#This Row],[FONDO]],MAESTRO!$D$2:$E$119,2,FALSE)</f>
        <v>BBVA Banco Frances SA</v>
      </c>
      <c r="H358" s="8" t="str">
        <f>+VLOOKUP(Tabla14[[#This Row],[FONDO]],MAESTRO!D:F,3,FALSE)</f>
        <v>(T+0)</v>
      </c>
      <c r="I358" s="4" t="s">
        <v>9</v>
      </c>
      <c r="J358" s="23"/>
      <c r="K358"/>
      <c r="L3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8" s="4">
        <f>ROUND(IF(Tabla14[[#This Row],[OPERACIÓN]]=MAESTRO!$B$2,Tabla14[CAPITAL],IF(Tabla14[[#This Row],[OPERACIÓN]]=MAESTRO!$B$5,Tabla14[CAPITAL],-Tabla14[[#This Row],[CAPITAL]])),2)</f>
        <v>-159800000</v>
      </c>
    </row>
    <row r="359" spans="1:13" s="20" customFormat="1" x14ac:dyDescent="0.3">
      <c r="A359" s="26">
        <v>46080</v>
      </c>
      <c r="B359" t="s">
        <v>299</v>
      </c>
      <c r="C359" t="s">
        <v>132</v>
      </c>
      <c r="D359" s="27" t="s">
        <v>17</v>
      </c>
      <c r="E359" s="4" t="s">
        <v>40</v>
      </c>
      <c r="F359" s="4">
        <v>110700000</v>
      </c>
      <c r="G359" s="8" t="str">
        <f>+VLOOKUP(Tabla14[[#This Row],[FONDO]],MAESTRO!$D$2:$E$119,2,FALSE)</f>
        <v>BBVA Banco Frances SA</v>
      </c>
      <c r="H359" s="8" t="str">
        <f>+VLOOKUP(Tabla14[[#This Row],[FONDO]],MAESTRO!D:F,3,FALSE)</f>
        <v>(T+0)</v>
      </c>
      <c r="I359" s="4" t="s">
        <v>9</v>
      </c>
      <c r="J359" s="23"/>
      <c r="K359"/>
      <c r="L3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59" s="4">
        <f>ROUND(IF(Tabla14[[#This Row],[OPERACIÓN]]=MAESTRO!$B$2,Tabla14[CAPITAL],IF(Tabla14[[#This Row],[OPERACIÓN]]=MAESTRO!$B$5,Tabla14[CAPITAL],-Tabla14[[#This Row],[CAPITAL]])),2)</f>
        <v>-110700000</v>
      </c>
    </row>
    <row r="360" spans="1:13" s="20" customFormat="1" x14ac:dyDescent="0.3">
      <c r="A360" s="26">
        <v>46080</v>
      </c>
      <c r="B360" t="s">
        <v>298</v>
      </c>
      <c r="C360" t="s">
        <v>132</v>
      </c>
      <c r="D360" s="27" t="s">
        <v>17</v>
      </c>
      <c r="E360" s="4" t="s">
        <v>136</v>
      </c>
      <c r="F360" s="4">
        <v>64830706.600000001</v>
      </c>
      <c r="G360" s="8" t="str">
        <f>+VLOOKUP(Tabla14[[#This Row],[FONDO]],MAESTRO!$D$2:$E$119,2,FALSE)</f>
        <v>Gma Capital</v>
      </c>
      <c r="H360" s="8" t="str">
        <f>+VLOOKUP(Tabla14[[#This Row],[FONDO]],MAESTRO!D:F,3,FALSE)</f>
        <v>(T+0)</v>
      </c>
      <c r="I360" s="4" t="s">
        <v>9</v>
      </c>
      <c r="J360" s="23"/>
      <c r="K360"/>
      <c r="L3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0" s="4">
        <f>ROUND(IF(Tabla14[[#This Row],[OPERACIÓN]]=MAESTRO!$B$2,Tabla14[CAPITAL],IF(Tabla14[[#This Row],[OPERACIÓN]]=MAESTRO!$B$5,Tabla14[CAPITAL],-Tabla14[[#This Row],[CAPITAL]])),2)</f>
        <v>-64830706.600000001</v>
      </c>
    </row>
    <row r="361" spans="1:13" s="20" customFormat="1" x14ac:dyDescent="0.3">
      <c r="A361" s="26">
        <v>46080</v>
      </c>
      <c r="B361" t="s">
        <v>298</v>
      </c>
      <c r="C361" t="s">
        <v>132</v>
      </c>
      <c r="D361" s="27" t="s">
        <v>17</v>
      </c>
      <c r="E361" s="4" t="s">
        <v>136</v>
      </c>
      <c r="F361" s="4">
        <v>69788334.590000004</v>
      </c>
      <c r="G361" s="8" t="str">
        <f>+VLOOKUP(Tabla14[[#This Row],[FONDO]],MAESTRO!$D$2:$E$119,2,FALSE)</f>
        <v>Gma Capital</v>
      </c>
      <c r="H361" s="8" t="str">
        <f>+VLOOKUP(Tabla14[[#This Row],[FONDO]],MAESTRO!D:F,3,FALSE)</f>
        <v>(T+0)</v>
      </c>
      <c r="I361" s="4" t="s">
        <v>9</v>
      </c>
      <c r="J361" s="23"/>
      <c r="K361"/>
      <c r="L3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1" s="4">
        <f>ROUND(IF(Tabla14[[#This Row],[OPERACIÓN]]=MAESTRO!$B$2,Tabla14[CAPITAL],IF(Tabla14[[#This Row],[OPERACIÓN]]=MAESTRO!$B$5,Tabla14[CAPITAL],-Tabla14[[#This Row],[CAPITAL]])),2)</f>
        <v>-69788334.590000004</v>
      </c>
    </row>
    <row r="362" spans="1:13" s="20" customFormat="1" x14ac:dyDescent="0.3">
      <c r="A362" s="37">
        <v>46080</v>
      </c>
      <c r="B362" s="20" t="s">
        <v>299</v>
      </c>
      <c r="C362" s="20" t="s">
        <v>132</v>
      </c>
      <c r="D362" s="38" t="s">
        <v>17</v>
      </c>
      <c r="E362" s="39" t="s">
        <v>212</v>
      </c>
      <c r="F362" s="39">
        <v>20143917.5</v>
      </c>
      <c r="G362" s="40" t="str">
        <f>+VLOOKUP(Tabla14[[#This Row],[FONDO]],MAESTRO!$D$2:$E$119,2,FALSE)</f>
        <v>INTAGRO</v>
      </c>
      <c r="H362" s="40" t="str">
        <f>+VLOOKUP(Tabla14[[#This Row],[FONDO]],MAESTRO!D:F,3,FALSE)</f>
        <v>(T+0)</v>
      </c>
      <c r="I362" s="39" t="s">
        <v>9</v>
      </c>
      <c r="J362" s="49"/>
      <c r="L36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2" s="39">
        <f>ROUND(IF(Tabla14[[#This Row],[OPERACIÓN]]=MAESTRO!$B$2,Tabla14[CAPITAL],IF(Tabla14[[#This Row],[OPERACIÓN]]=MAESTRO!$B$5,Tabla14[CAPITAL],-Tabla14[[#This Row],[CAPITAL]])),2)</f>
        <v>-20143917.5</v>
      </c>
    </row>
    <row r="363" spans="1:13" s="20" customFormat="1" x14ac:dyDescent="0.3">
      <c r="A363" s="37">
        <v>46083</v>
      </c>
      <c r="B363" s="20" t="s">
        <v>299</v>
      </c>
      <c r="C363" s="20" t="s">
        <v>132</v>
      </c>
      <c r="D363" s="38" t="s">
        <v>16</v>
      </c>
      <c r="E363" s="39" t="s">
        <v>136</v>
      </c>
      <c r="F363" s="39">
        <v>33457497.390000001</v>
      </c>
      <c r="G363" s="40" t="str">
        <f>+VLOOKUP(Tabla14[[#This Row],[FONDO]],MAESTRO!$D$2:$E$119,2,FALSE)</f>
        <v>Gma Capital</v>
      </c>
      <c r="H363" s="40" t="str">
        <f>+VLOOKUP(Tabla14[[#This Row],[FONDO]],MAESTRO!D:F,3,FALSE)</f>
        <v>(T+0)</v>
      </c>
      <c r="I363" s="39" t="s">
        <v>9</v>
      </c>
      <c r="J363" s="49"/>
      <c r="L36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3" s="39">
        <f>ROUND(IF(Tabla14[[#This Row],[OPERACIÓN]]=MAESTRO!$B$2,Tabla14[CAPITAL],IF(Tabla14[[#This Row],[OPERACIÓN]]=MAESTRO!$B$5,Tabla14[CAPITAL],-Tabla14[[#This Row],[CAPITAL]])),2)</f>
        <v>33457497.390000001</v>
      </c>
    </row>
    <row r="364" spans="1:13" s="20" customFormat="1" x14ac:dyDescent="0.3">
      <c r="A364" s="37">
        <v>46083</v>
      </c>
      <c r="B364" s="20" t="s">
        <v>299</v>
      </c>
      <c r="C364" s="20" t="s">
        <v>132</v>
      </c>
      <c r="D364" s="38" t="s">
        <v>16</v>
      </c>
      <c r="E364" s="39" t="s">
        <v>48</v>
      </c>
      <c r="F364" s="39">
        <v>3182073</v>
      </c>
      <c r="G364" s="40" t="str">
        <f>+VLOOKUP(Tabla14[[#This Row],[FONDO]],MAESTRO!$D$2:$E$119,2,FALSE)</f>
        <v>Banco Macro S.A.</v>
      </c>
      <c r="H364" s="40" t="str">
        <f>+VLOOKUP(Tabla14[[#This Row],[FONDO]],MAESTRO!D:F,3,FALSE)</f>
        <v>(T+0)</v>
      </c>
      <c r="I364" s="39" t="s">
        <v>9</v>
      </c>
      <c r="J364" s="49"/>
      <c r="L36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4" s="39">
        <f>ROUND(IF(Tabla14[[#This Row],[OPERACIÓN]]=MAESTRO!$B$2,Tabla14[CAPITAL],IF(Tabla14[[#This Row],[OPERACIÓN]]=MAESTRO!$B$5,Tabla14[CAPITAL],-Tabla14[[#This Row],[CAPITAL]])),2)</f>
        <v>3182073</v>
      </c>
    </row>
    <row r="365" spans="1:13" s="20" customFormat="1" x14ac:dyDescent="0.3">
      <c r="A365" s="37">
        <v>46083</v>
      </c>
      <c r="B365" s="20" t="s">
        <v>126</v>
      </c>
      <c r="C365" s="20" t="s">
        <v>132</v>
      </c>
      <c r="D365" s="38" t="s">
        <v>16</v>
      </c>
      <c r="E365" s="39" t="s">
        <v>48</v>
      </c>
      <c r="F365" s="39">
        <v>13633252</v>
      </c>
      <c r="G365" s="40" t="str">
        <f>+VLOOKUP(Tabla14[[#This Row],[FONDO]],MAESTRO!$D$2:$E$119,2,FALSE)</f>
        <v>Banco Macro S.A.</v>
      </c>
      <c r="H365" s="40" t="str">
        <f>+VLOOKUP(Tabla14[[#This Row],[FONDO]],MAESTRO!D:F,3,FALSE)</f>
        <v>(T+0)</v>
      </c>
      <c r="I365" s="39" t="s">
        <v>9</v>
      </c>
      <c r="J365" s="49"/>
      <c r="L36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5" s="39">
        <f>ROUND(IF(Tabla14[[#This Row],[OPERACIÓN]]=MAESTRO!$B$2,Tabla14[CAPITAL],IF(Tabla14[[#This Row],[OPERACIÓN]]=MAESTRO!$B$5,Tabla14[CAPITAL],-Tabla14[[#This Row],[CAPITAL]])),2)</f>
        <v>13633252</v>
      </c>
    </row>
    <row r="366" spans="1:13" x14ac:dyDescent="0.3">
      <c r="A366" s="37">
        <v>46083</v>
      </c>
      <c r="B366" s="20" t="s">
        <v>292</v>
      </c>
      <c r="C366" s="20" t="s">
        <v>132</v>
      </c>
      <c r="D366" s="38" t="s">
        <v>16</v>
      </c>
      <c r="E366" s="39" t="s">
        <v>48</v>
      </c>
      <c r="F366" s="39">
        <v>2609919</v>
      </c>
      <c r="G366" s="40" t="str">
        <f>+VLOOKUP(Tabla14[[#This Row],[FONDO]],MAESTRO!$D$2:$E$119,2,FALSE)</f>
        <v>Banco Macro S.A.</v>
      </c>
      <c r="H366" s="40" t="str">
        <f>+VLOOKUP(Tabla14[[#This Row],[FONDO]],MAESTRO!D:F,3,FALSE)</f>
        <v>(T+0)</v>
      </c>
      <c r="I366" s="39" t="s">
        <v>9</v>
      </c>
      <c r="J366" s="49"/>
      <c r="K366" s="20"/>
      <c r="L36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6" s="39">
        <f>ROUND(IF(Tabla14[[#This Row],[OPERACIÓN]]=MAESTRO!$B$2,Tabla14[CAPITAL],IF(Tabla14[[#This Row],[OPERACIÓN]]=MAESTRO!$B$5,Tabla14[CAPITAL],-Tabla14[[#This Row],[CAPITAL]])),2)</f>
        <v>2609919</v>
      </c>
    </row>
    <row r="367" spans="1:13" x14ac:dyDescent="0.3">
      <c r="A367" s="37">
        <v>46083</v>
      </c>
      <c r="B367" s="20" t="s">
        <v>298</v>
      </c>
      <c r="C367" s="20" t="s">
        <v>132</v>
      </c>
      <c r="D367" s="38" t="s">
        <v>16</v>
      </c>
      <c r="E367" s="39" t="s">
        <v>136</v>
      </c>
      <c r="F367" s="39">
        <v>31384799.5</v>
      </c>
      <c r="G367" s="40" t="str">
        <f>+VLOOKUP(Tabla14[[#This Row],[FONDO]],MAESTRO!$D$2:$E$119,2,FALSE)</f>
        <v>Gma Capital</v>
      </c>
      <c r="H367" s="40" t="str">
        <f>+VLOOKUP(Tabla14[[#This Row],[FONDO]],MAESTRO!D:F,3,FALSE)</f>
        <v>(T+0)</v>
      </c>
      <c r="I367" s="39" t="s">
        <v>9</v>
      </c>
      <c r="J367" s="49"/>
      <c r="K367" s="20"/>
      <c r="L36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7" s="39">
        <f>ROUND(IF(Tabla14[[#This Row],[OPERACIÓN]]=MAESTRO!$B$2,Tabla14[CAPITAL],IF(Tabla14[[#This Row],[OPERACIÓN]]=MAESTRO!$B$5,Tabla14[CAPITAL],-Tabla14[[#This Row],[CAPITAL]])),2)</f>
        <v>31384799.5</v>
      </c>
    </row>
    <row r="368" spans="1:13" x14ac:dyDescent="0.3">
      <c r="A368" s="37">
        <v>46083</v>
      </c>
      <c r="B368" s="20" t="s">
        <v>298</v>
      </c>
      <c r="C368" s="20" t="s">
        <v>132</v>
      </c>
      <c r="D368" s="38" t="s">
        <v>16</v>
      </c>
      <c r="E368" s="39" t="s">
        <v>169</v>
      </c>
      <c r="F368" s="39">
        <v>14019113.43</v>
      </c>
      <c r="G368" s="40" t="str">
        <f>+VLOOKUP(Tabla14[[#This Row],[FONDO]],MAESTRO!$D$2:$E$119,2,FALSE)</f>
        <v>Max Capital</v>
      </c>
      <c r="H368" s="40" t="str">
        <f>+VLOOKUP(Tabla14[[#This Row],[FONDO]],MAESTRO!D:F,3,FALSE)</f>
        <v>(T+0)</v>
      </c>
      <c r="I368" s="39" t="s">
        <v>9</v>
      </c>
      <c r="J368" s="49"/>
      <c r="K368" s="20"/>
      <c r="L36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8" s="39">
        <f>ROUND(IF(Tabla14[[#This Row],[OPERACIÓN]]=MAESTRO!$B$2,Tabla14[CAPITAL],IF(Tabla14[[#This Row],[OPERACIÓN]]=MAESTRO!$B$5,Tabla14[CAPITAL],-Tabla14[[#This Row],[CAPITAL]])),2)</f>
        <v>14019113.43</v>
      </c>
    </row>
    <row r="369" spans="1:13" x14ac:dyDescent="0.3">
      <c r="A369" s="37">
        <v>46083</v>
      </c>
      <c r="B369" s="20" t="s">
        <v>298</v>
      </c>
      <c r="C369" s="20" t="s">
        <v>132</v>
      </c>
      <c r="D369" s="38" t="s">
        <v>16</v>
      </c>
      <c r="E369" s="39" t="s">
        <v>40</v>
      </c>
      <c r="F369" s="39">
        <v>152224290</v>
      </c>
      <c r="G369" s="40" t="str">
        <f>+VLOOKUP(Tabla14[[#This Row],[FONDO]],MAESTRO!$D$2:$E$119,2,FALSE)</f>
        <v>BBVA Banco Frances SA</v>
      </c>
      <c r="H369" s="40" t="str">
        <f>+VLOOKUP(Tabla14[[#This Row],[FONDO]],MAESTRO!D:F,3,FALSE)</f>
        <v>(T+0)</v>
      </c>
      <c r="I369" s="39" t="s">
        <v>9</v>
      </c>
      <c r="J369" s="49"/>
      <c r="K369" s="20"/>
      <c r="L36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69" s="39">
        <f>ROUND(IF(Tabla14[[#This Row],[OPERACIÓN]]=MAESTRO!$B$2,Tabla14[CAPITAL],IF(Tabla14[[#This Row],[OPERACIÓN]]=MAESTRO!$B$5,Tabla14[CAPITAL],-Tabla14[[#This Row],[CAPITAL]])),2)</f>
        <v>152224290</v>
      </c>
    </row>
    <row r="370" spans="1:13" x14ac:dyDescent="0.3">
      <c r="A370" s="26">
        <v>46083</v>
      </c>
      <c r="B370" t="s">
        <v>126</v>
      </c>
      <c r="C370" t="s">
        <v>132</v>
      </c>
      <c r="D370" s="27" t="s">
        <v>17</v>
      </c>
      <c r="E370" s="4" t="s">
        <v>48</v>
      </c>
      <c r="F370" s="4">
        <v>3500000</v>
      </c>
      <c r="G370" s="8" t="str">
        <f>+VLOOKUP(Tabla14[[#This Row],[FONDO]],MAESTRO!$D$2:$E$119,2,FALSE)</f>
        <v>Banco Macro S.A.</v>
      </c>
      <c r="H370" s="8" t="str">
        <f>+VLOOKUP(Tabla14[[#This Row],[FONDO]],MAESTRO!D:F,3,FALSE)</f>
        <v>(T+0)</v>
      </c>
      <c r="I370" s="4" t="s">
        <v>9</v>
      </c>
      <c r="L3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0" s="4">
        <f>ROUND(IF(Tabla14[[#This Row],[OPERACIÓN]]=MAESTRO!$B$2,Tabla14[CAPITAL],IF(Tabla14[[#This Row],[OPERACIÓN]]=MAESTRO!$B$5,Tabla14[CAPITAL],-Tabla14[[#This Row],[CAPITAL]])),2)</f>
        <v>-3500000</v>
      </c>
    </row>
    <row r="371" spans="1:13" x14ac:dyDescent="0.3">
      <c r="A371" s="26">
        <v>46083</v>
      </c>
      <c r="B371" t="s">
        <v>298</v>
      </c>
      <c r="C371" t="s">
        <v>132</v>
      </c>
      <c r="D371" s="27" t="s">
        <v>17</v>
      </c>
      <c r="E371" s="4" t="s">
        <v>40</v>
      </c>
      <c r="F371" s="4">
        <v>687400000</v>
      </c>
      <c r="G371" s="8" t="str">
        <f>+VLOOKUP(Tabla14[[#This Row],[FONDO]],MAESTRO!$D$2:$E$119,2,FALSE)</f>
        <v>BBVA Banco Frances SA</v>
      </c>
      <c r="H371" s="8" t="str">
        <f>+VLOOKUP(Tabla14[[#This Row],[FONDO]],MAESTRO!D:F,3,FALSE)</f>
        <v>(T+0)</v>
      </c>
      <c r="I371" s="4" t="s">
        <v>9</v>
      </c>
      <c r="L3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1" s="4">
        <f>ROUND(IF(Tabla14[[#This Row],[OPERACIÓN]]=MAESTRO!$B$2,Tabla14[CAPITAL],IF(Tabla14[[#This Row],[OPERACIÓN]]=MAESTRO!$B$5,Tabla14[CAPITAL],-Tabla14[[#This Row],[CAPITAL]])),2)</f>
        <v>-687400000</v>
      </c>
    </row>
    <row r="372" spans="1:13" x14ac:dyDescent="0.3">
      <c r="A372" s="26">
        <v>46083</v>
      </c>
      <c r="B372" t="s">
        <v>299</v>
      </c>
      <c r="C372" t="s">
        <v>132</v>
      </c>
      <c r="D372" s="27" t="s">
        <v>17</v>
      </c>
      <c r="E372" s="4" t="s">
        <v>40</v>
      </c>
      <c r="F372" s="4">
        <v>163600000</v>
      </c>
      <c r="G372" s="8" t="str">
        <f>+VLOOKUP(Tabla14[[#This Row],[FONDO]],MAESTRO!$D$2:$E$119,2,FALSE)</f>
        <v>BBVA Banco Frances SA</v>
      </c>
      <c r="H372" s="8" t="str">
        <f>+VLOOKUP(Tabla14[[#This Row],[FONDO]],MAESTRO!D:F,3,FALSE)</f>
        <v>(T+0)</v>
      </c>
      <c r="I372" s="4" t="s">
        <v>9</v>
      </c>
      <c r="L3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2" s="4">
        <f>ROUND(IF(Tabla14[[#This Row],[OPERACIÓN]]=MAESTRO!$B$2,Tabla14[CAPITAL],IF(Tabla14[[#This Row],[OPERACIÓN]]=MAESTRO!$B$5,Tabla14[CAPITAL],-Tabla14[[#This Row],[CAPITAL]])),2)</f>
        <v>-163600000</v>
      </c>
    </row>
    <row r="373" spans="1:13" x14ac:dyDescent="0.3">
      <c r="A373" s="26">
        <v>46083</v>
      </c>
      <c r="B373" t="s">
        <v>292</v>
      </c>
      <c r="C373" t="s">
        <v>132</v>
      </c>
      <c r="D373" s="27" t="s">
        <v>17</v>
      </c>
      <c r="E373" s="4" t="s">
        <v>136</v>
      </c>
      <c r="F373" s="4">
        <v>27100000</v>
      </c>
      <c r="G373" s="8" t="str">
        <f>+VLOOKUP(Tabla14[[#This Row],[FONDO]],MAESTRO!$D$2:$E$119,2,FALSE)</f>
        <v>Gma Capital</v>
      </c>
      <c r="H373" s="8" t="str">
        <f>+VLOOKUP(Tabla14[[#This Row],[FONDO]],MAESTRO!D:F,3,FALSE)</f>
        <v>(T+0)</v>
      </c>
      <c r="I373" s="4" t="s">
        <v>9</v>
      </c>
      <c r="L3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3" s="4">
        <f>ROUND(IF(Tabla14[[#This Row],[OPERACIÓN]]=MAESTRO!$B$2,Tabla14[CAPITAL],IF(Tabla14[[#This Row],[OPERACIÓN]]=MAESTRO!$B$5,Tabla14[CAPITAL],-Tabla14[[#This Row],[CAPITAL]])),2)</f>
        <v>-27100000</v>
      </c>
    </row>
    <row r="374" spans="1:13" x14ac:dyDescent="0.3">
      <c r="A374" s="26">
        <v>46084</v>
      </c>
      <c r="B374" t="s">
        <v>126</v>
      </c>
      <c r="C374" t="s">
        <v>132</v>
      </c>
      <c r="D374" s="27" t="s">
        <v>17</v>
      </c>
      <c r="E374" s="4" t="s">
        <v>48</v>
      </c>
      <c r="F374" s="4">
        <v>7200000</v>
      </c>
      <c r="G374" s="8" t="str">
        <f>+VLOOKUP(Tabla14[[#This Row],[FONDO]],MAESTRO!$D$2:$E$119,2,FALSE)</f>
        <v>Banco Macro S.A.</v>
      </c>
      <c r="H374" s="8" t="str">
        <f>+VLOOKUP(Tabla14[[#This Row],[FONDO]],MAESTRO!D:F,3,FALSE)</f>
        <v>(T+0)</v>
      </c>
      <c r="I374" s="4" t="s">
        <v>9</v>
      </c>
      <c r="L3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4" s="4">
        <f>ROUND(IF(Tabla14[[#This Row],[OPERACIÓN]]=MAESTRO!$B$2,Tabla14[CAPITAL],IF(Tabla14[[#This Row],[OPERACIÓN]]=MAESTRO!$B$5,Tabla14[CAPITAL],-Tabla14[[#This Row],[CAPITAL]])),2)</f>
        <v>-7200000</v>
      </c>
    </row>
    <row r="375" spans="1:13" x14ac:dyDescent="0.3">
      <c r="A375" s="26">
        <v>46084</v>
      </c>
      <c r="B375" t="s">
        <v>299</v>
      </c>
      <c r="C375" t="s">
        <v>132</v>
      </c>
      <c r="D375" s="27" t="s">
        <v>17</v>
      </c>
      <c r="E375" s="4" t="s">
        <v>40</v>
      </c>
      <c r="F375" s="4">
        <v>246200000</v>
      </c>
      <c r="G375" s="8" t="str">
        <f>+VLOOKUP(Tabla14[[#This Row],[FONDO]],MAESTRO!$D$2:$E$119,2,FALSE)</f>
        <v>BBVA Banco Frances SA</v>
      </c>
      <c r="H375" s="8" t="str">
        <f>+VLOOKUP(Tabla14[[#This Row],[FONDO]],MAESTRO!D:F,3,FALSE)</f>
        <v>(T+0)</v>
      </c>
      <c r="I375" s="4" t="s">
        <v>9</v>
      </c>
      <c r="L3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5" s="4">
        <f>ROUND(IF(Tabla14[[#This Row],[OPERACIÓN]]=MAESTRO!$B$2,Tabla14[CAPITAL],IF(Tabla14[[#This Row],[OPERACIÓN]]=MAESTRO!$B$5,Tabla14[CAPITAL],-Tabla14[[#This Row],[CAPITAL]])),2)</f>
        <v>-246200000</v>
      </c>
    </row>
    <row r="376" spans="1:13" x14ac:dyDescent="0.3">
      <c r="A376" s="26">
        <v>46084</v>
      </c>
      <c r="B376" t="s">
        <v>298</v>
      </c>
      <c r="C376" t="s">
        <v>132</v>
      </c>
      <c r="D376" s="27" t="s">
        <v>16</v>
      </c>
      <c r="E376" s="4" t="s">
        <v>40</v>
      </c>
      <c r="F376" s="4">
        <v>27600000</v>
      </c>
      <c r="G376" s="8" t="str">
        <f>+VLOOKUP(Tabla14[[#This Row],[FONDO]],MAESTRO!$D$2:$E$119,2,FALSE)</f>
        <v>BBVA Banco Frances SA</v>
      </c>
      <c r="H376" s="8" t="str">
        <f>+VLOOKUP(Tabla14[[#This Row],[FONDO]],MAESTRO!D:F,3,FALSE)</f>
        <v>(T+0)</v>
      </c>
      <c r="I376" s="4" t="s">
        <v>9</v>
      </c>
      <c r="L3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6" s="4">
        <f>ROUND(IF(Tabla14[[#This Row],[OPERACIÓN]]=MAESTRO!$B$2,Tabla14[CAPITAL],IF(Tabla14[[#This Row],[OPERACIÓN]]=MAESTRO!$B$5,Tabla14[CAPITAL],-Tabla14[[#This Row],[CAPITAL]])),2)</f>
        <v>27600000</v>
      </c>
    </row>
    <row r="377" spans="1:13" x14ac:dyDescent="0.3">
      <c r="A377" s="26">
        <v>46084</v>
      </c>
      <c r="B377" t="s">
        <v>298</v>
      </c>
      <c r="C377" t="s">
        <v>132</v>
      </c>
      <c r="D377" s="27" t="s">
        <v>17</v>
      </c>
      <c r="E377" s="4" t="s">
        <v>40</v>
      </c>
      <c r="F377" s="4">
        <v>100000000</v>
      </c>
      <c r="G377" s="8" t="str">
        <f>+VLOOKUP(Tabla14[[#This Row],[FONDO]],MAESTRO!$D$2:$E$119,2,FALSE)</f>
        <v>BBVA Banco Frances SA</v>
      </c>
      <c r="H377" s="8" t="str">
        <f>+VLOOKUP(Tabla14[[#This Row],[FONDO]],MAESTRO!D:F,3,FALSE)</f>
        <v>(T+0)</v>
      </c>
      <c r="I377" s="4" t="s">
        <v>9</v>
      </c>
      <c r="L3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7" s="4">
        <f>ROUND(IF(Tabla14[[#This Row],[OPERACIÓN]]=MAESTRO!$B$2,Tabla14[CAPITAL],IF(Tabla14[[#This Row],[OPERACIÓN]]=MAESTRO!$B$5,Tabla14[CAPITAL],-Tabla14[[#This Row],[CAPITAL]])),2)</f>
        <v>-100000000</v>
      </c>
    </row>
    <row r="378" spans="1:13" x14ac:dyDescent="0.3">
      <c r="A378" s="26">
        <v>46084</v>
      </c>
      <c r="B378" t="s">
        <v>298</v>
      </c>
      <c r="C378" t="s">
        <v>132</v>
      </c>
      <c r="D378" s="27" t="s">
        <v>16</v>
      </c>
      <c r="E378" s="4" t="s">
        <v>258</v>
      </c>
      <c r="F378" s="4">
        <v>100000000</v>
      </c>
      <c r="G378" s="8" t="str">
        <f>+VLOOKUP(Tabla14[[#This Row],[FONDO]],MAESTRO!$D$2:$E$119,2,FALSE)</f>
        <v>Allaria Ledesma y Cía. Inversiones</v>
      </c>
      <c r="H378" s="8" t="str">
        <f>+VLOOKUP(Tabla14[[#This Row],[FONDO]],MAESTRO!D:F,3,FALSE)</f>
        <v>(T+0)</v>
      </c>
      <c r="I378" s="4" t="s">
        <v>9</v>
      </c>
      <c r="L3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8" s="4">
        <f>ROUND(IF(Tabla14[[#This Row],[OPERACIÓN]]=MAESTRO!$B$2,Tabla14[CAPITAL],IF(Tabla14[[#This Row],[OPERACIÓN]]=MAESTRO!$B$5,Tabla14[CAPITAL],-Tabla14[[#This Row],[CAPITAL]])),2)</f>
        <v>100000000</v>
      </c>
    </row>
    <row r="379" spans="1:13" x14ac:dyDescent="0.3">
      <c r="A379" s="26">
        <v>46084</v>
      </c>
      <c r="B379" t="s">
        <v>292</v>
      </c>
      <c r="C379" t="s">
        <v>132</v>
      </c>
      <c r="D379" s="27" t="s">
        <v>17</v>
      </c>
      <c r="E379" s="4" t="s">
        <v>136</v>
      </c>
      <c r="F379" s="4">
        <v>18000000</v>
      </c>
      <c r="G379" s="8" t="str">
        <f>+VLOOKUP(Tabla14[[#This Row],[FONDO]],MAESTRO!$D$2:$E$119,2,FALSE)</f>
        <v>Gma Capital</v>
      </c>
      <c r="H379" s="8" t="str">
        <f>+VLOOKUP(Tabla14[[#This Row],[FONDO]],MAESTRO!D:F,3,FALSE)</f>
        <v>(T+0)</v>
      </c>
      <c r="I379" s="4" t="s">
        <v>9</v>
      </c>
      <c r="L3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79" s="4">
        <f>ROUND(IF(Tabla14[[#This Row],[OPERACIÓN]]=MAESTRO!$B$2,Tabla14[CAPITAL],IF(Tabla14[[#This Row],[OPERACIÓN]]=MAESTRO!$B$5,Tabla14[CAPITAL],-Tabla14[[#This Row],[CAPITAL]])),2)</f>
        <v>-18000000</v>
      </c>
    </row>
    <row r="380" spans="1:13" x14ac:dyDescent="0.3">
      <c r="A380" s="26">
        <v>46085</v>
      </c>
      <c r="B380" t="s">
        <v>298</v>
      </c>
      <c r="C380" t="s">
        <v>132</v>
      </c>
      <c r="D380" s="27" t="s">
        <v>16</v>
      </c>
      <c r="E380" s="4" t="s">
        <v>40</v>
      </c>
      <c r="F380" s="4">
        <v>99400000</v>
      </c>
      <c r="G380" s="8" t="str">
        <f>+VLOOKUP(Tabla14[[#This Row],[FONDO]],MAESTRO!$D$2:$E$119,2,FALSE)</f>
        <v>BBVA Banco Frances SA</v>
      </c>
      <c r="H380" s="8" t="str">
        <f>+VLOOKUP(Tabla14[[#This Row],[FONDO]],MAESTRO!D:F,3,FALSE)</f>
        <v>(T+0)</v>
      </c>
      <c r="I380" s="4" t="s">
        <v>9</v>
      </c>
      <c r="L3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0" s="4">
        <f>ROUND(IF(Tabla14[[#This Row],[OPERACIÓN]]=MAESTRO!$B$2,Tabla14[CAPITAL],IF(Tabla14[[#This Row],[OPERACIÓN]]=MAESTRO!$B$5,Tabla14[CAPITAL],-Tabla14[[#This Row],[CAPITAL]])),2)</f>
        <v>99400000</v>
      </c>
    </row>
    <row r="381" spans="1:13" x14ac:dyDescent="0.3">
      <c r="A381" s="26">
        <v>46085</v>
      </c>
      <c r="B381" t="s">
        <v>299</v>
      </c>
      <c r="C381" t="s">
        <v>132</v>
      </c>
      <c r="D381" s="27" t="s">
        <v>17</v>
      </c>
      <c r="E381" s="4" t="s">
        <v>48</v>
      </c>
      <c r="F381" s="4">
        <v>21800000</v>
      </c>
      <c r="G381" s="8" t="str">
        <f>+VLOOKUP(Tabla14[[#This Row],[FONDO]],MAESTRO!$D$2:$E$119,2,FALSE)</f>
        <v>Banco Macro S.A.</v>
      </c>
      <c r="H381" s="8" t="str">
        <f>+VLOOKUP(Tabla14[[#This Row],[FONDO]],MAESTRO!D:F,3,FALSE)</f>
        <v>(T+0)</v>
      </c>
      <c r="I381" s="4" t="s">
        <v>9</v>
      </c>
      <c r="L3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1" s="4">
        <f>ROUND(IF(Tabla14[[#This Row],[OPERACIÓN]]=MAESTRO!$B$2,Tabla14[CAPITAL],IF(Tabla14[[#This Row],[OPERACIÓN]]=MAESTRO!$B$5,Tabla14[CAPITAL],-Tabla14[[#This Row],[CAPITAL]])),2)</f>
        <v>-21800000</v>
      </c>
    </row>
    <row r="382" spans="1:13" x14ac:dyDescent="0.3">
      <c r="A382" s="26">
        <v>46085</v>
      </c>
      <c r="B382" t="s">
        <v>292</v>
      </c>
      <c r="C382" t="s">
        <v>132</v>
      </c>
      <c r="D382" s="27" t="s">
        <v>16</v>
      </c>
      <c r="E382" s="4" t="s">
        <v>48</v>
      </c>
      <c r="F382" s="4">
        <v>6200000</v>
      </c>
      <c r="G382" s="8" t="str">
        <f>+VLOOKUP(Tabla14[[#This Row],[FONDO]],MAESTRO!$D$2:$E$119,2,FALSE)</f>
        <v>Banco Macro S.A.</v>
      </c>
      <c r="H382" s="8" t="str">
        <f>+VLOOKUP(Tabla14[[#This Row],[FONDO]],MAESTRO!D:F,3,FALSE)</f>
        <v>(T+0)</v>
      </c>
      <c r="I382" s="4" t="s">
        <v>9</v>
      </c>
      <c r="L3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2" s="4">
        <f>ROUND(IF(Tabla14[[#This Row],[OPERACIÓN]]=MAESTRO!$B$2,Tabla14[CAPITAL],IF(Tabla14[[#This Row],[OPERACIÓN]]=MAESTRO!$B$5,Tabla14[CAPITAL],-Tabla14[[#This Row],[CAPITAL]])),2)</f>
        <v>6200000</v>
      </c>
    </row>
    <row r="383" spans="1:13" x14ac:dyDescent="0.3">
      <c r="A383" s="26">
        <v>46085</v>
      </c>
      <c r="B383" t="s">
        <v>298</v>
      </c>
      <c r="C383" t="s">
        <v>132</v>
      </c>
      <c r="D383" s="27" t="s">
        <v>17</v>
      </c>
      <c r="E383" s="4" t="s">
        <v>258</v>
      </c>
      <c r="F383" s="4">
        <v>233736326</v>
      </c>
      <c r="G383" s="8" t="str">
        <f>+VLOOKUP(Tabla14[[#This Row],[FONDO]],MAESTRO!$D$2:$E$119,2,FALSE)</f>
        <v>Allaria Ledesma y Cía. Inversiones</v>
      </c>
      <c r="H383" s="8" t="str">
        <f>+VLOOKUP(Tabla14[[#This Row],[FONDO]],MAESTRO!D:F,3,FALSE)</f>
        <v>(T+0)</v>
      </c>
      <c r="I383" s="4" t="s">
        <v>9</v>
      </c>
      <c r="L3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3" s="4">
        <f>ROUND(IF(Tabla14[[#This Row],[OPERACIÓN]]=MAESTRO!$B$2,Tabla14[CAPITAL],IF(Tabla14[[#This Row],[OPERACIÓN]]=MAESTRO!$B$5,Tabla14[CAPITAL],-Tabla14[[#This Row],[CAPITAL]])),2)</f>
        <v>-233736326</v>
      </c>
    </row>
    <row r="384" spans="1:13" x14ac:dyDescent="0.3">
      <c r="A384" s="26">
        <v>46086</v>
      </c>
      <c r="B384" t="s">
        <v>126</v>
      </c>
      <c r="C384" t="s">
        <v>132</v>
      </c>
      <c r="D384" s="27" t="s">
        <v>17</v>
      </c>
      <c r="E384" s="4" t="s">
        <v>48</v>
      </c>
      <c r="F384" s="4">
        <v>33700000</v>
      </c>
      <c r="G384" s="8" t="str">
        <f>+VLOOKUP(Tabla14[[#This Row],[FONDO]],MAESTRO!$D$2:$E$119,2,FALSE)</f>
        <v>Banco Macro S.A.</v>
      </c>
      <c r="H384" s="8" t="str">
        <f>+VLOOKUP(Tabla14[[#This Row],[FONDO]],MAESTRO!D:F,3,FALSE)</f>
        <v>(T+0)</v>
      </c>
      <c r="I384" s="4" t="s">
        <v>9</v>
      </c>
      <c r="L3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4" s="4">
        <f>ROUND(IF(Tabla14[[#This Row],[OPERACIÓN]]=MAESTRO!$B$2,Tabla14[CAPITAL],IF(Tabla14[[#This Row],[OPERACIÓN]]=MAESTRO!$B$5,Tabla14[CAPITAL],-Tabla14[[#This Row],[CAPITAL]])),2)</f>
        <v>-33700000</v>
      </c>
    </row>
    <row r="385" spans="1:13" x14ac:dyDescent="0.3">
      <c r="A385" s="26">
        <v>46086</v>
      </c>
      <c r="B385" t="s">
        <v>299</v>
      </c>
      <c r="C385" t="s">
        <v>132</v>
      </c>
      <c r="D385" s="27" t="s">
        <v>17</v>
      </c>
      <c r="E385" s="4" t="s">
        <v>48</v>
      </c>
      <c r="F385" s="4">
        <v>7000000</v>
      </c>
      <c r="G385" s="8" t="str">
        <f>+VLOOKUP(Tabla14[[#This Row],[FONDO]],MAESTRO!$D$2:$E$119,2,FALSE)</f>
        <v>Banco Macro S.A.</v>
      </c>
      <c r="H385" s="8" t="str">
        <f>+VLOOKUP(Tabla14[[#This Row],[FONDO]],MAESTRO!D:F,3,FALSE)</f>
        <v>(T+0)</v>
      </c>
      <c r="I385" s="4" t="s">
        <v>9</v>
      </c>
      <c r="L3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5" s="4">
        <f>ROUND(IF(Tabla14[[#This Row],[OPERACIÓN]]=MAESTRO!$B$2,Tabla14[CAPITAL],IF(Tabla14[[#This Row],[OPERACIÓN]]=MAESTRO!$B$5,Tabla14[CAPITAL],-Tabla14[[#This Row],[CAPITAL]])),2)</f>
        <v>-7000000</v>
      </c>
    </row>
    <row r="386" spans="1:13" x14ac:dyDescent="0.3">
      <c r="A386" s="26">
        <v>46086</v>
      </c>
      <c r="B386" t="s">
        <v>292</v>
      </c>
      <c r="C386" t="s">
        <v>132</v>
      </c>
      <c r="D386" s="27" t="s">
        <v>16</v>
      </c>
      <c r="E386" s="4" t="s">
        <v>48</v>
      </c>
      <c r="F386" s="4">
        <v>36300000</v>
      </c>
      <c r="G386" s="8" t="str">
        <f>+VLOOKUP(Tabla14[[#This Row],[FONDO]],MAESTRO!$D$2:$E$119,2,FALSE)</f>
        <v>Banco Macro S.A.</v>
      </c>
      <c r="H386" s="8" t="str">
        <f>+VLOOKUP(Tabla14[[#This Row],[FONDO]],MAESTRO!D:F,3,FALSE)</f>
        <v>(T+0)</v>
      </c>
      <c r="I386" s="4" t="s">
        <v>9</v>
      </c>
      <c r="L3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6" s="4">
        <f>ROUND(IF(Tabla14[[#This Row],[OPERACIÓN]]=MAESTRO!$B$2,Tabla14[CAPITAL],IF(Tabla14[[#This Row],[OPERACIÓN]]=MAESTRO!$B$5,Tabla14[CAPITAL],-Tabla14[[#This Row],[CAPITAL]])),2)</f>
        <v>36300000</v>
      </c>
    </row>
    <row r="387" spans="1:13" x14ac:dyDescent="0.3">
      <c r="A387" s="26">
        <v>46086</v>
      </c>
      <c r="B387" t="s">
        <v>298</v>
      </c>
      <c r="C387" t="s">
        <v>132</v>
      </c>
      <c r="D387" s="27" t="s">
        <v>17</v>
      </c>
      <c r="E387" s="4" t="s">
        <v>40</v>
      </c>
      <c r="F387" s="4">
        <v>522700000</v>
      </c>
      <c r="G387" s="8" t="str">
        <f>+VLOOKUP(Tabla14[[#This Row],[FONDO]],MAESTRO!$D$2:$E$119,2,FALSE)</f>
        <v>BBVA Banco Frances SA</v>
      </c>
      <c r="H387" s="8" t="str">
        <f>+VLOOKUP(Tabla14[[#This Row],[FONDO]],MAESTRO!D:F,3,FALSE)</f>
        <v>(T+0)</v>
      </c>
      <c r="I387" s="4" t="s">
        <v>9</v>
      </c>
      <c r="L3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7" s="4">
        <f>ROUND(IF(Tabla14[[#This Row],[OPERACIÓN]]=MAESTRO!$B$2,Tabla14[CAPITAL],IF(Tabla14[[#This Row],[OPERACIÓN]]=MAESTRO!$B$5,Tabla14[CAPITAL],-Tabla14[[#This Row],[CAPITAL]])),2)</f>
        <v>-522700000</v>
      </c>
    </row>
    <row r="388" spans="1:13" x14ac:dyDescent="0.3">
      <c r="A388" s="26">
        <v>46086</v>
      </c>
      <c r="B388" t="s">
        <v>298</v>
      </c>
      <c r="C388" t="s">
        <v>132</v>
      </c>
      <c r="D388" s="27" t="s">
        <v>17</v>
      </c>
      <c r="E388" s="4" t="s">
        <v>169</v>
      </c>
      <c r="F388" s="4">
        <v>72809898.769999996</v>
      </c>
      <c r="G388" s="8" t="str">
        <f>+VLOOKUP(Tabla14[[#This Row],[FONDO]],MAESTRO!$D$2:$E$119,2,FALSE)</f>
        <v>Max Capital</v>
      </c>
      <c r="H388" s="8" t="str">
        <f>+VLOOKUP(Tabla14[[#This Row],[FONDO]],MAESTRO!D:F,3,FALSE)</f>
        <v>(T+0)</v>
      </c>
      <c r="I388" s="4" t="s">
        <v>9</v>
      </c>
      <c r="L3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8" s="4">
        <f>ROUND(IF(Tabla14[[#This Row],[OPERACIÓN]]=MAESTRO!$B$2,Tabla14[CAPITAL],IF(Tabla14[[#This Row],[OPERACIÓN]]=MAESTRO!$B$5,Tabla14[CAPITAL],-Tabla14[[#This Row],[CAPITAL]])),2)</f>
        <v>-72809898.769999996</v>
      </c>
    </row>
    <row r="389" spans="1:13" x14ac:dyDescent="0.3">
      <c r="A389" s="26">
        <v>46086</v>
      </c>
      <c r="B389" t="s">
        <v>299</v>
      </c>
      <c r="C389" t="s">
        <v>132</v>
      </c>
      <c r="D389" s="27" t="s">
        <v>17</v>
      </c>
      <c r="E389" s="4" t="s">
        <v>169</v>
      </c>
      <c r="F389" s="4">
        <v>20741315.129999999</v>
      </c>
      <c r="G389" s="8" t="str">
        <f>+VLOOKUP(Tabla14[[#This Row],[FONDO]],MAESTRO!$D$2:$E$119,2,FALSE)</f>
        <v>Max Capital</v>
      </c>
      <c r="H389" s="8" t="str">
        <f>+VLOOKUP(Tabla14[[#This Row],[FONDO]],MAESTRO!D:F,3,FALSE)</f>
        <v>(T+0)</v>
      </c>
      <c r="I389" s="4" t="s">
        <v>9</v>
      </c>
      <c r="L3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89" s="4">
        <f>ROUND(IF(Tabla14[[#This Row],[OPERACIÓN]]=MAESTRO!$B$2,Tabla14[CAPITAL],IF(Tabla14[[#This Row],[OPERACIÓN]]=MAESTRO!$B$5,Tabla14[CAPITAL],-Tabla14[[#This Row],[CAPITAL]])),2)</f>
        <v>-20741315.129999999</v>
      </c>
    </row>
    <row r="390" spans="1:13" x14ac:dyDescent="0.3">
      <c r="A390" s="26">
        <v>46087</v>
      </c>
      <c r="B390" t="s">
        <v>126</v>
      </c>
      <c r="C390" t="s">
        <v>132</v>
      </c>
      <c r="D390" s="27" t="s">
        <v>17</v>
      </c>
      <c r="E390" s="4" t="s">
        <v>48</v>
      </c>
      <c r="F390" s="4">
        <v>300000</v>
      </c>
      <c r="G390" s="8" t="str">
        <f>+VLOOKUP(Tabla14[[#This Row],[FONDO]],MAESTRO!$D$2:$E$119,2,FALSE)</f>
        <v>Banco Macro S.A.</v>
      </c>
      <c r="H390" s="8" t="str">
        <f>+VLOOKUP(Tabla14[[#This Row],[FONDO]],MAESTRO!D:F,3,FALSE)</f>
        <v>(T+0)</v>
      </c>
      <c r="I390" s="4" t="s">
        <v>9</v>
      </c>
      <c r="L3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0" s="4">
        <f>ROUND(IF(Tabla14[[#This Row],[OPERACIÓN]]=MAESTRO!$B$2,Tabla14[CAPITAL],IF(Tabla14[[#This Row],[OPERACIÓN]]=MAESTRO!$B$5,Tabla14[CAPITAL],-Tabla14[[#This Row],[CAPITAL]])),2)</f>
        <v>-300000</v>
      </c>
    </row>
    <row r="391" spans="1:13" x14ac:dyDescent="0.3">
      <c r="A391" s="26">
        <v>46087</v>
      </c>
      <c r="B391" t="s">
        <v>292</v>
      </c>
      <c r="C391" t="s">
        <v>132</v>
      </c>
      <c r="D391" s="27" t="s">
        <v>16</v>
      </c>
      <c r="E391" s="4" t="s">
        <v>48</v>
      </c>
      <c r="F391" s="4">
        <v>193700000</v>
      </c>
      <c r="G391" s="8" t="str">
        <f>+VLOOKUP(Tabla14[[#This Row],[FONDO]],MAESTRO!$D$2:$E$119,2,FALSE)</f>
        <v>Banco Macro S.A.</v>
      </c>
      <c r="H391" s="8" t="str">
        <f>+VLOOKUP(Tabla14[[#This Row],[FONDO]],MAESTRO!D:F,3,FALSE)</f>
        <v>(T+0)</v>
      </c>
      <c r="I391" s="4" t="s">
        <v>9</v>
      </c>
      <c r="L3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1" s="4">
        <f>ROUND(IF(Tabla14[[#This Row],[OPERACIÓN]]=MAESTRO!$B$2,Tabla14[CAPITAL],IF(Tabla14[[#This Row],[OPERACIÓN]]=MAESTRO!$B$5,Tabla14[CAPITAL],-Tabla14[[#This Row],[CAPITAL]])),2)</f>
        <v>193700000</v>
      </c>
    </row>
    <row r="392" spans="1:13" x14ac:dyDescent="0.3">
      <c r="A392" s="26">
        <v>46087</v>
      </c>
      <c r="B392" t="s">
        <v>299</v>
      </c>
      <c r="C392" t="s">
        <v>132</v>
      </c>
      <c r="D392" s="27" t="s">
        <v>17</v>
      </c>
      <c r="E392" s="4" t="s">
        <v>40</v>
      </c>
      <c r="F392" s="4">
        <v>179700000</v>
      </c>
      <c r="G392" s="8" t="str">
        <f>+VLOOKUP(Tabla14[[#This Row],[FONDO]],MAESTRO!$D$2:$E$119,2,FALSE)</f>
        <v>BBVA Banco Frances SA</v>
      </c>
      <c r="H392" s="8" t="str">
        <f>+VLOOKUP(Tabla14[[#This Row],[FONDO]],MAESTRO!D:F,3,FALSE)</f>
        <v>(T+0)</v>
      </c>
      <c r="I392" s="4" t="s">
        <v>9</v>
      </c>
      <c r="L3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2" s="4">
        <f>ROUND(IF(Tabla14[[#This Row],[OPERACIÓN]]=MAESTRO!$B$2,Tabla14[CAPITAL],IF(Tabla14[[#This Row],[OPERACIÓN]]=MAESTRO!$B$5,Tabla14[CAPITAL],-Tabla14[[#This Row],[CAPITAL]])),2)</f>
        <v>-179700000</v>
      </c>
    </row>
    <row r="393" spans="1:13" x14ac:dyDescent="0.3">
      <c r="A393" s="26">
        <v>46087</v>
      </c>
      <c r="B393" t="s">
        <v>298</v>
      </c>
      <c r="C393" t="s">
        <v>132</v>
      </c>
      <c r="D393" s="27" t="s">
        <v>17</v>
      </c>
      <c r="E393" s="4" t="s">
        <v>40</v>
      </c>
      <c r="F393" s="4">
        <v>522400000</v>
      </c>
      <c r="G393" s="8" t="str">
        <f>+VLOOKUP(Tabla14[[#This Row],[FONDO]],MAESTRO!$D$2:$E$119,2,FALSE)</f>
        <v>BBVA Banco Frances SA</v>
      </c>
      <c r="H393" s="8" t="str">
        <f>+VLOOKUP(Tabla14[[#This Row],[FONDO]],MAESTRO!D:F,3,FALSE)</f>
        <v>(T+0)</v>
      </c>
      <c r="I393" s="4" t="s">
        <v>9</v>
      </c>
      <c r="L3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3" s="4">
        <f>ROUND(IF(Tabla14[[#This Row],[OPERACIÓN]]=MAESTRO!$B$2,Tabla14[CAPITAL],IF(Tabla14[[#This Row],[OPERACIÓN]]=MAESTRO!$B$5,Tabla14[CAPITAL],-Tabla14[[#This Row],[CAPITAL]])),2)</f>
        <v>-522400000</v>
      </c>
    </row>
    <row r="394" spans="1:13" x14ac:dyDescent="0.3">
      <c r="A394" s="26">
        <v>46087</v>
      </c>
      <c r="B394" t="s">
        <v>298</v>
      </c>
      <c r="C394" t="s">
        <v>132</v>
      </c>
      <c r="D394" s="27" t="s">
        <v>17</v>
      </c>
      <c r="E394" s="4" t="s">
        <v>43</v>
      </c>
      <c r="F394" s="4">
        <v>16200000</v>
      </c>
      <c r="G394" s="8" t="str">
        <f>+VLOOKUP(Tabla14[[#This Row],[FONDO]],MAESTRO!$D$2:$E$119,2,FALSE)</f>
        <v>Banco Santander Rio S.A.</v>
      </c>
      <c r="H394" s="8" t="str">
        <f>+VLOOKUP(Tabla14[[#This Row],[FONDO]],MAESTRO!D:F,3,FALSE)</f>
        <v>(T+0)</v>
      </c>
      <c r="I394" s="4" t="s">
        <v>9</v>
      </c>
      <c r="L3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4" s="4">
        <f>ROUND(IF(Tabla14[[#This Row],[OPERACIÓN]]=MAESTRO!$B$2,Tabla14[CAPITAL],IF(Tabla14[[#This Row],[OPERACIÓN]]=MAESTRO!$B$5,Tabla14[CAPITAL],-Tabla14[[#This Row],[CAPITAL]])),2)</f>
        <v>-16200000</v>
      </c>
    </row>
    <row r="395" spans="1:13" x14ac:dyDescent="0.3">
      <c r="A395" s="37">
        <v>46087</v>
      </c>
      <c r="B395" s="20" t="s">
        <v>299</v>
      </c>
      <c r="C395" s="20" t="s">
        <v>132</v>
      </c>
      <c r="D395" s="38" t="s">
        <v>16</v>
      </c>
      <c r="E395" s="39" t="s">
        <v>212</v>
      </c>
      <c r="F395" s="39">
        <v>129508814.18000001</v>
      </c>
      <c r="G395" s="40" t="str">
        <f>+VLOOKUP(Tabla14[[#This Row],[FONDO]],MAESTRO!$D$2:$E$119,2,FALSE)</f>
        <v>INTAGRO</v>
      </c>
      <c r="H395" s="40" t="str">
        <f>+VLOOKUP(Tabla14[[#This Row],[FONDO]],MAESTRO!D:F,3,FALSE)</f>
        <v>(T+0)</v>
      </c>
      <c r="I395" s="39" t="s">
        <v>9</v>
      </c>
      <c r="J395" s="49"/>
      <c r="K395" s="20"/>
      <c r="L39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5" s="39">
        <f>ROUND(IF(Tabla14[[#This Row],[OPERACIÓN]]=MAESTRO!$B$2,Tabla14[CAPITAL],IF(Tabla14[[#This Row],[OPERACIÓN]]=MAESTRO!$B$5,Tabla14[CAPITAL],-Tabla14[[#This Row],[CAPITAL]])),2)</f>
        <v>129508814.18000001</v>
      </c>
    </row>
    <row r="396" spans="1:13" x14ac:dyDescent="0.3">
      <c r="A396" s="37">
        <v>46087</v>
      </c>
      <c r="B396" s="20" t="s">
        <v>299</v>
      </c>
      <c r="C396" s="20" t="s">
        <v>132</v>
      </c>
      <c r="D396" s="38" t="s">
        <v>17</v>
      </c>
      <c r="E396" s="39" t="s">
        <v>212</v>
      </c>
      <c r="F396" s="39">
        <v>59826440</v>
      </c>
      <c r="G396" s="65" t="str">
        <f>+VLOOKUP(Tabla14[[#This Row],[FONDO]],MAESTRO!$D$2:$E$119,2,FALSE)</f>
        <v>INTAGRO</v>
      </c>
      <c r="H396" s="40" t="str">
        <f>+VLOOKUP(Tabla14[[#This Row],[FONDO]],MAESTRO!D:F,3,FALSE)</f>
        <v>(T+0)</v>
      </c>
      <c r="I396" s="39" t="s">
        <v>9</v>
      </c>
      <c r="J396" s="49"/>
      <c r="K396" s="20"/>
      <c r="L39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6" s="39">
        <f>ROUND(IF(Tabla14[[#This Row],[OPERACIÓN]]=MAESTRO!$B$2,Tabla14[CAPITAL],IF(Tabla14[[#This Row],[OPERACIÓN]]=MAESTRO!$B$5,Tabla14[CAPITAL],-Tabla14[[#This Row],[CAPITAL]])),2)</f>
        <v>-59826440</v>
      </c>
    </row>
    <row r="397" spans="1:13" x14ac:dyDescent="0.3">
      <c r="A397" s="26">
        <v>46090</v>
      </c>
      <c r="B397" t="s">
        <v>299</v>
      </c>
      <c r="C397" t="s">
        <v>132</v>
      </c>
      <c r="D397" s="27" t="s">
        <v>17</v>
      </c>
      <c r="E397" s="4" t="s">
        <v>40</v>
      </c>
      <c r="F397" s="4">
        <v>500000000</v>
      </c>
      <c r="G397" s="64" t="str">
        <f>+VLOOKUP(Tabla14[[#This Row],[FONDO]],MAESTRO!$D$2:$E$119,2,FALSE)</f>
        <v>BBVA Banco Frances SA</v>
      </c>
      <c r="H397" s="8" t="str">
        <f>+VLOOKUP(Tabla14[[#This Row],[FONDO]],MAESTRO!D:F,3,FALSE)</f>
        <v>(T+0)</v>
      </c>
      <c r="I397" s="4" t="s">
        <v>9</v>
      </c>
      <c r="L3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7" s="4">
        <f>ROUND(IF(Tabla14[[#This Row],[OPERACIÓN]]=MAESTRO!$B$2,Tabla14[CAPITAL],IF(Tabla14[[#This Row],[OPERACIÓN]]=MAESTRO!$B$5,Tabla14[CAPITAL],-Tabla14[[#This Row],[CAPITAL]])),2)</f>
        <v>-500000000</v>
      </c>
    </row>
    <row r="398" spans="1:13" x14ac:dyDescent="0.3">
      <c r="A398" s="26">
        <v>46090</v>
      </c>
      <c r="B398" t="s">
        <v>299</v>
      </c>
      <c r="C398" t="s">
        <v>132</v>
      </c>
      <c r="D398" s="27" t="s">
        <v>16</v>
      </c>
      <c r="E398" s="4" t="s">
        <v>136</v>
      </c>
      <c r="F398" s="4">
        <v>500000000</v>
      </c>
      <c r="G398" s="64" t="str">
        <f>+VLOOKUP(Tabla14[[#This Row],[FONDO]],MAESTRO!$D$2:$E$119,2,FALSE)</f>
        <v>Gma Capital</v>
      </c>
      <c r="H398" s="8" t="str">
        <f>+VLOOKUP(Tabla14[[#This Row],[FONDO]],MAESTRO!D:F,3,FALSE)</f>
        <v>(T+0)</v>
      </c>
      <c r="I398" s="4" t="s">
        <v>9</v>
      </c>
      <c r="L3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8" s="4">
        <f>ROUND(IF(Tabla14[[#This Row],[OPERACIÓN]]=MAESTRO!$B$2,Tabla14[CAPITAL],IF(Tabla14[[#This Row],[OPERACIÓN]]=MAESTRO!$B$5,Tabla14[CAPITAL],-Tabla14[[#This Row],[CAPITAL]])),2)</f>
        <v>500000000</v>
      </c>
    </row>
    <row r="399" spans="1:13" x14ac:dyDescent="0.3">
      <c r="A399" s="26">
        <v>46090</v>
      </c>
      <c r="B399" t="s">
        <v>298</v>
      </c>
      <c r="C399" t="s">
        <v>132</v>
      </c>
      <c r="D399" s="27" t="s">
        <v>17</v>
      </c>
      <c r="E399" s="4" t="s">
        <v>40</v>
      </c>
      <c r="F399" s="4">
        <v>1052100000</v>
      </c>
      <c r="G399" s="64" t="str">
        <f>+VLOOKUP(Tabla14[[#This Row],[FONDO]],MAESTRO!$D$2:$E$119,2,FALSE)</f>
        <v>BBVA Banco Frances SA</v>
      </c>
      <c r="H399" s="8" t="str">
        <f>+VLOOKUP(Tabla14[[#This Row],[FONDO]],MAESTRO!D:F,3,FALSE)</f>
        <v>(T+0)</v>
      </c>
      <c r="I399" s="4" t="s">
        <v>9</v>
      </c>
      <c r="L3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399" s="4">
        <f>ROUND(IF(Tabla14[[#This Row],[OPERACIÓN]]=MAESTRO!$B$2,Tabla14[CAPITAL],IF(Tabla14[[#This Row],[OPERACIÓN]]=MAESTRO!$B$5,Tabla14[CAPITAL],-Tabla14[[#This Row],[CAPITAL]])),2)</f>
        <v>-1052100000</v>
      </c>
    </row>
    <row r="400" spans="1:13" x14ac:dyDescent="0.3">
      <c r="A400" s="26">
        <v>46090</v>
      </c>
      <c r="B400" t="s">
        <v>299</v>
      </c>
      <c r="C400" t="s">
        <v>132</v>
      </c>
      <c r="D400" s="27" t="s">
        <v>17</v>
      </c>
      <c r="E400" s="4" t="s">
        <v>40</v>
      </c>
      <c r="F400" s="4">
        <v>71500000</v>
      </c>
      <c r="G400" s="64" t="str">
        <f>+VLOOKUP(Tabla14[[#This Row],[FONDO]],MAESTRO!$D$2:$E$119,2,FALSE)</f>
        <v>BBVA Banco Frances SA</v>
      </c>
      <c r="H400" s="8" t="str">
        <f>+VLOOKUP(Tabla14[[#This Row],[FONDO]],MAESTRO!D:F,3,FALSE)</f>
        <v>(T+0)</v>
      </c>
      <c r="I400" s="4" t="s">
        <v>9</v>
      </c>
      <c r="L4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0" s="4">
        <f>ROUND(IF(Tabla14[[#This Row],[OPERACIÓN]]=MAESTRO!$B$2,Tabla14[CAPITAL],IF(Tabla14[[#This Row],[OPERACIÓN]]=MAESTRO!$B$5,Tabla14[CAPITAL],-Tabla14[[#This Row],[CAPITAL]])),2)</f>
        <v>-71500000</v>
      </c>
    </row>
    <row r="401" spans="1:13" x14ac:dyDescent="0.3">
      <c r="A401" s="26">
        <v>46090</v>
      </c>
      <c r="B401" t="s">
        <v>292</v>
      </c>
      <c r="C401" t="s">
        <v>132</v>
      </c>
      <c r="D401" s="27" t="s">
        <v>17</v>
      </c>
      <c r="E401" s="4" t="s">
        <v>48</v>
      </c>
      <c r="F401" s="4">
        <v>147900000</v>
      </c>
      <c r="G401" s="64" t="str">
        <f>+VLOOKUP(Tabla14[[#This Row],[FONDO]],MAESTRO!$D$2:$E$119,2,FALSE)</f>
        <v>Banco Macro S.A.</v>
      </c>
      <c r="H401" s="8" t="str">
        <f>+VLOOKUP(Tabla14[[#This Row],[FONDO]],MAESTRO!D:F,3,FALSE)</f>
        <v>(T+0)</v>
      </c>
      <c r="I401" s="4" t="s">
        <v>9</v>
      </c>
      <c r="L4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1" s="4">
        <f>ROUND(IF(Tabla14[[#This Row],[OPERACIÓN]]=MAESTRO!$B$2,Tabla14[CAPITAL],IF(Tabla14[[#This Row],[OPERACIÓN]]=MAESTRO!$B$5,Tabla14[CAPITAL],-Tabla14[[#This Row],[CAPITAL]])),2)</f>
        <v>-147900000</v>
      </c>
    </row>
    <row r="402" spans="1:13" x14ac:dyDescent="0.3">
      <c r="A402" s="26">
        <v>46091</v>
      </c>
      <c r="B402" t="s">
        <v>126</v>
      </c>
      <c r="C402" t="s">
        <v>132</v>
      </c>
      <c r="D402" s="27" t="s">
        <v>17</v>
      </c>
      <c r="E402" s="4" t="s">
        <v>48</v>
      </c>
      <c r="F402" s="4">
        <v>200000</v>
      </c>
      <c r="G402" s="8" t="str">
        <f>+VLOOKUP(Tabla14[[#This Row],[FONDO]],MAESTRO!$D$2:$E$119,2,FALSE)</f>
        <v>Banco Macro S.A.</v>
      </c>
      <c r="H402" s="8" t="str">
        <f>+VLOOKUP(Tabla14[[#This Row],[FONDO]],MAESTRO!D:F,3,FALSE)</f>
        <v>(T+0)</v>
      </c>
      <c r="I402" s="4" t="s">
        <v>9</v>
      </c>
      <c r="L4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2" s="4">
        <f>ROUND(IF(Tabla14[[#This Row],[OPERACIÓN]]=MAESTRO!$B$2,Tabla14[CAPITAL],IF(Tabla14[[#This Row],[OPERACIÓN]]=MAESTRO!$B$5,Tabla14[CAPITAL],-Tabla14[[#This Row],[CAPITAL]])),2)</f>
        <v>-200000</v>
      </c>
    </row>
    <row r="403" spans="1:13" x14ac:dyDescent="0.3">
      <c r="A403" s="26">
        <v>46091</v>
      </c>
      <c r="B403" t="s">
        <v>292</v>
      </c>
      <c r="C403" t="s">
        <v>132</v>
      </c>
      <c r="D403" s="27" t="s">
        <v>17</v>
      </c>
      <c r="E403" s="4" t="s">
        <v>48</v>
      </c>
      <c r="F403" s="4">
        <v>59100000</v>
      </c>
      <c r="G403" s="8" t="str">
        <f>+VLOOKUP(Tabla14[[#This Row],[FONDO]],MAESTRO!$D$2:$E$119,2,FALSE)</f>
        <v>Banco Macro S.A.</v>
      </c>
      <c r="H403" s="8" t="str">
        <f>+VLOOKUP(Tabla14[[#This Row],[FONDO]],MAESTRO!D:F,3,FALSE)</f>
        <v>(T+0)</v>
      </c>
      <c r="I403" s="4" t="s">
        <v>9</v>
      </c>
      <c r="L4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3" s="4">
        <f>ROUND(IF(Tabla14[[#This Row],[OPERACIÓN]]=MAESTRO!$B$2,Tabla14[CAPITAL],IF(Tabla14[[#This Row],[OPERACIÓN]]=MAESTRO!$B$5,Tabla14[CAPITAL],-Tabla14[[#This Row],[CAPITAL]])),2)</f>
        <v>-59100000</v>
      </c>
    </row>
    <row r="404" spans="1:13" x14ac:dyDescent="0.3">
      <c r="A404" s="26">
        <v>46091</v>
      </c>
      <c r="B404" t="s">
        <v>299</v>
      </c>
      <c r="C404" t="s">
        <v>132</v>
      </c>
      <c r="D404" s="27" t="s">
        <v>17</v>
      </c>
      <c r="E404" s="4" t="s">
        <v>40</v>
      </c>
      <c r="F404" s="4">
        <v>72700000</v>
      </c>
      <c r="G404" s="8" t="str">
        <f>+VLOOKUP(Tabla14[[#This Row],[FONDO]],MAESTRO!$D$2:$E$119,2,FALSE)</f>
        <v>BBVA Banco Frances SA</v>
      </c>
      <c r="H404" s="8" t="str">
        <f>+VLOOKUP(Tabla14[[#This Row],[FONDO]],MAESTRO!D:F,3,FALSE)</f>
        <v>(T+0)</v>
      </c>
      <c r="I404" s="4" t="s">
        <v>9</v>
      </c>
      <c r="L4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4" s="4">
        <f>ROUND(IF(Tabla14[[#This Row],[OPERACIÓN]]=MAESTRO!$B$2,Tabla14[CAPITAL],IF(Tabla14[[#This Row],[OPERACIÓN]]=MAESTRO!$B$5,Tabla14[CAPITAL],-Tabla14[[#This Row],[CAPITAL]])),2)</f>
        <v>-72700000</v>
      </c>
    </row>
    <row r="405" spans="1:13" x14ac:dyDescent="0.3">
      <c r="A405" s="26">
        <v>46091</v>
      </c>
      <c r="B405" t="s">
        <v>298</v>
      </c>
      <c r="C405" t="s">
        <v>132</v>
      </c>
      <c r="D405" s="27" t="s">
        <v>17</v>
      </c>
      <c r="E405" s="4" t="s">
        <v>40</v>
      </c>
      <c r="F405" s="4">
        <v>257200000</v>
      </c>
      <c r="G405" s="8" t="str">
        <f>+VLOOKUP(Tabla14[[#This Row],[FONDO]],MAESTRO!$D$2:$E$119,2,FALSE)</f>
        <v>BBVA Banco Frances SA</v>
      </c>
      <c r="H405" s="8" t="str">
        <f>+VLOOKUP(Tabla14[[#This Row],[FONDO]],MAESTRO!D:F,3,FALSE)</f>
        <v>(T+0)</v>
      </c>
      <c r="I405" s="4" t="s">
        <v>9</v>
      </c>
      <c r="L4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5" s="4">
        <f>ROUND(IF(Tabla14[[#This Row],[OPERACIÓN]]=MAESTRO!$B$2,Tabla14[CAPITAL],IF(Tabla14[[#This Row],[OPERACIÓN]]=MAESTRO!$B$5,Tabla14[CAPITAL],-Tabla14[[#This Row],[CAPITAL]])),2)</f>
        <v>-257200000</v>
      </c>
    </row>
    <row r="406" spans="1:13" x14ac:dyDescent="0.3">
      <c r="A406" s="26">
        <v>46091</v>
      </c>
      <c r="B406" t="s">
        <v>299</v>
      </c>
      <c r="C406" t="s">
        <v>132</v>
      </c>
      <c r="D406" s="27" t="s">
        <v>17</v>
      </c>
      <c r="E406" s="4" t="s">
        <v>136</v>
      </c>
      <c r="F406" s="4">
        <v>260639892.46000001</v>
      </c>
      <c r="G406" s="8" t="str">
        <f>+VLOOKUP(Tabla14[[#This Row],[FONDO]],MAESTRO!$D$2:$E$119,2,FALSE)</f>
        <v>Gma Capital</v>
      </c>
      <c r="H406" s="8" t="str">
        <f>+VLOOKUP(Tabla14[[#This Row],[FONDO]],MAESTRO!D:F,3,FALSE)</f>
        <v>(T+0)</v>
      </c>
      <c r="I406" s="4" t="s">
        <v>9</v>
      </c>
      <c r="L4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6" s="4">
        <f>ROUND(IF(Tabla14[[#This Row],[OPERACIÓN]]=MAESTRO!$B$2,Tabla14[CAPITAL],IF(Tabla14[[#This Row],[OPERACIÓN]]=MAESTRO!$B$5,Tabla14[CAPITAL],-Tabla14[[#This Row],[CAPITAL]])),2)</f>
        <v>-260639892.46000001</v>
      </c>
    </row>
    <row r="407" spans="1:13" x14ac:dyDescent="0.3">
      <c r="A407" s="26">
        <v>46091</v>
      </c>
      <c r="B407" t="s">
        <v>299</v>
      </c>
      <c r="C407" t="s">
        <v>132</v>
      </c>
      <c r="D407" s="27" t="s">
        <v>17</v>
      </c>
      <c r="E407" s="4" t="s">
        <v>136</v>
      </c>
      <c r="F407" s="4">
        <v>250000000</v>
      </c>
      <c r="G407" s="8" t="str">
        <f>+VLOOKUP(Tabla14[[#This Row],[FONDO]],MAESTRO!$D$2:$E$119,2,FALSE)</f>
        <v>Gma Capital</v>
      </c>
      <c r="H407" s="8" t="str">
        <f>+VLOOKUP(Tabla14[[#This Row],[FONDO]],MAESTRO!D:F,3,FALSE)</f>
        <v>(T+0)</v>
      </c>
      <c r="I407" s="4" t="s">
        <v>9</v>
      </c>
      <c r="L4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7" s="4">
        <f>ROUND(IF(Tabla14[[#This Row],[OPERACIÓN]]=MAESTRO!$B$2,Tabla14[CAPITAL],IF(Tabla14[[#This Row],[OPERACIÓN]]=MAESTRO!$B$5,Tabla14[CAPITAL],-Tabla14[[#This Row],[CAPITAL]])),2)</f>
        <v>-250000000</v>
      </c>
    </row>
    <row r="408" spans="1:13" x14ac:dyDescent="0.3">
      <c r="A408" s="26">
        <v>46092</v>
      </c>
      <c r="B408" t="s">
        <v>126</v>
      </c>
      <c r="C408" t="s">
        <v>132</v>
      </c>
      <c r="D408" s="27" t="s">
        <v>17</v>
      </c>
      <c r="E408" s="4" t="s">
        <v>48</v>
      </c>
      <c r="F408" s="4">
        <v>6500000</v>
      </c>
      <c r="G408" s="8" t="str">
        <f>+VLOOKUP(Tabla14[[#This Row],[FONDO]],MAESTRO!$D$2:$E$119,2,FALSE)</f>
        <v>Banco Macro S.A.</v>
      </c>
      <c r="H408" s="8" t="str">
        <f>+VLOOKUP(Tabla14[[#This Row],[FONDO]],MAESTRO!D:F,3,FALSE)</f>
        <v>(T+0)</v>
      </c>
      <c r="I408" s="4" t="s">
        <v>9</v>
      </c>
      <c r="L4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8" s="4">
        <f>ROUND(IF(Tabla14[[#This Row],[OPERACIÓN]]=MAESTRO!$B$2,Tabla14[CAPITAL],IF(Tabla14[[#This Row],[OPERACIÓN]]=MAESTRO!$B$5,Tabla14[CAPITAL],-Tabla14[[#This Row],[CAPITAL]])),2)</f>
        <v>-6500000</v>
      </c>
    </row>
    <row r="409" spans="1:13" x14ac:dyDescent="0.3">
      <c r="A409" s="26">
        <v>46092</v>
      </c>
      <c r="B409" t="s">
        <v>292</v>
      </c>
      <c r="C409" t="s">
        <v>132</v>
      </c>
      <c r="D409" s="27" t="s">
        <v>17</v>
      </c>
      <c r="E409" s="4" t="s">
        <v>48</v>
      </c>
      <c r="F409" s="4">
        <v>41101671</v>
      </c>
      <c r="G409" s="8" t="str">
        <f>+VLOOKUP(Tabla14[[#This Row],[FONDO]],MAESTRO!$D$2:$E$119,2,FALSE)</f>
        <v>Banco Macro S.A.</v>
      </c>
      <c r="H409" s="8" t="str">
        <f>+VLOOKUP(Tabla14[[#This Row],[FONDO]],MAESTRO!D:F,3,FALSE)</f>
        <v>(T+0)</v>
      </c>
      <c r="I409" s="4" t="s">
        <v>9</v>
      </c>
      <c r="L4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09" s="4">
        <f>ROUND(IF(Tabla14[[#This Row],[OPERACIÓN]]=MAESTRO!$B$2,Tabla14[CAPITAL],IF(Tabla14[[#This Row],[OPERACIÓN]]=MAESTRO!$B$5,Tabla14[CAPITAL],-Tabla14[[#This Row],[CAPITAL]])),2)</f>
        <v>-41101671</v>
      </c>
    </row>
    <row r="410" spans="1:13" x14ac:dyDescent="0.3">
      <c r="A410" s="26">
        <v>46092</v>
      </c>
      <c r="B410" t="s">
        <v>298</v>
      </c>
      <c r="C410" t="s">
        <v>132</v>
      </c>
      <c r="D410" s="27" t="s">
        <v>17</v>
      </c>
      <c r="E410" s="4" t="s">
        <v>40</v>
      </c>
      <c r="F410" s="4">
        <v>327700000</v>
      </c>
      <c r="G410" s="8" t="str">
        <f>+VLOOKUP(Tabla14[[#This Row],[FONDO]],MAESTRO!$D$2:$E$119,2,FALSE)</f>
        <v>BBVA Banco Frances SA</v>
      </c>
      <c r="H410" s="8" t="str">
        <f>+VLOOKUP(Tabla14[[#This Row],[FONDO]],MAESTRO!D:F,3,FALSE)</f>
        <v>(T+0)</v>
      </c>
      <c r="I410" s="4" t="s">
        <v>9</v>
      </c>
      <c r="L4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0" s="4">
        <f>ROUND(IF(Tabla14[[#This Row],[OPERACIÓN]]=MAESTRO!$B$2,Tabla14[CAPITAL],IF(Tabla14[[#This Row],[OPERACIÓN]]=MAESTRO!$B$5,Tabla14[CAPITAL],-Tabla14[[#This Row],[CAPITAL]])),2)</f>
        <v>-327700000</v>
      </c>
    </row>
    <row r="411" spans="1:13" x14ac:dyDescent="0.3">
      <c r="A411" s="26">
        <v>46092</v>
      </c>
      <c r="B411" t="s">
        <v>299</v>
      </c>
      <c r="C411" t="s">
        <v>132</v>
      </c>
      <c r="D411" s="27" t="s">
        <v>17</v>
      </c>
      <c r="E411" s="4" t="s">
        <v>40</v>
      </c>
      <c r="F411" s="4">
        <v>66800000</v>
      </c>
      <c r="G411" s="8" t="str">
        <f>+VLOOKUP(Tabla14[[#This Row],[FONDO]],MAESTRO!$D$2:$E$119,2,FALSE)</f>
        <v>BBVA Banco Frances SA</v>
      </c>
      <c r="H411" s="8" t="str">
        <f>+VLOOKUP(Tabla14[[#This Row],[FONDO]],MAESTRO!D:F,3,FALSE)</f>
        <v>(T+0)</v>
      </c>
      <c r="I411" s="4" t="s">
        <v>9</v>
      </c>
      <c r="L4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1" s="4">
        <f>ROUND(IF(Tabla14[[#This Row],[OPERACIÓN]]=MAESTRO!$B$2,Tabla14[CAPITAL],IF(Tabla14[[#This Row],[OPERACIÓN]]=MAESTRO!$B$5,Tabla14[CAPITAL],-Tabla14[[#This Row],[CAPITAL]])),2)</f>
        <v>-66800000</v>
      </c>
    </row>
    <row r="412" spans="1:13" x14ac:dyDescent="0.3">
      <c r="A412" s="26">
        <v>46092</v>
      </c>
      <c r="B412" t="s">
        <v>298</v>
      </c>
      <c r="C412" t="s">
        <v>132</v>
      </c>
      <c r="D412" s="27" t="s">
        <v>16</v>
      </c>
      <c r="E412" s="4" t="s">
        <v>43</v>
      </c>
      <c r="F412" s="4">
        <v>6978000000</v>
      </c>
      <c r="G412" s="8" t="str">
        <f>+VLOOKUP(Tabla14[[#This Row],[FONDO]],MAESTRO!$D$2:$E$119,2,FALSE)</f>
        <v>Banco Santander Rio S.A.</v>
      </c>
      <c r="H412" s="8" t="str">
        <f>+VLOOKUP(Tabla14[[#This Row],[FONDO]],MAESTRO!D:F,3,FALSE)</f>
        <v>(T+0)</v>
      </c>
      <c r="I412" s="4" t="s">
        <v>9</v>
      </c>
      <c r="L4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2" s="4">
        <f>ROUND(IF(Tabla14[[#This Row],[OPERACIÓN]]=MAESTRO!$B$2,Tabla14[CAPITAL],IF(Tabla14[[#This Row],[OPERACIÓN]]=MAESTRO!$B$5,Tabla14[CAPITAL],-Tabla14[[#This Row],[CAPITAL]])),2)</f>
        <v>6978000000</v>
      </c>
    </row>
    <row r="413" spans="1:13" x14ac:dyDescent="0.3">
      <c r="A413" s="26">
        <v>46092</v>
      </c>
      <c r="B413" t="s">
        <v>298</v>
      </c>
      <c r="C413" t="s">
        <v>132</v>
      </c>
      <c r="D413" s="27" t="s">
        <v>17</v>
      </c>
      <c r="E413" s="4" t="s">
        <v>136</v>
      </c>
      <c r="F413" s="4">
        <v>81739863.170000002</v>
      </c>
      <c r="G413" s="8" t="str">
        <f>+VLOOKUP(Tabla14[[#This Row],[FONDO]],MAESTRO!$D$2:$E$119,2,FALSE)</f>
        <v>Gma Capital</v>
      </c>
      <c r="H413" s="8" t="str">
        <f>+VLOOKUP(Tabla14[[#This Row],[FONDO]],MAESTRO!D:F,3,FALSE)</f>
        <v>(T+0)</v>
      </c>
      <c r="I413" s="4" t="s">
        <v>9</v>
      </c>
      <c r="L4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3" s="4">
        <f>ROUND(IF(Tabla14[[#This Row],[OPERACIÓN]]=MAESTRO!$B$2,Tabla14[CAPITAL],IF(Tabla14[[#This Row],[OPERACIÓN]]=MAESTRO!$B$5,Tabla14[CAPITAL],-Tabla14[[#This Row],[CAPITAL]])),2)</f>
        <v>-81739863.170000002</v>
      </c>
    </row>
    <row r="414" spans="1:13" x14ac:dyDescent="0.3">
      <c r="A414" s="26">
        <v>46092</v>
      </c>
      <c r="B414" t="s">
        <v>298</v>
      </c>
      <c r="C414" t="s">
        <v>132</v>
      </c>
      <c r="D414" s="27" t="s">
        <v>17</v>
      </c>
      <c r="E414" s="4" t="s">
        <v>136</v>
      </c>
      <c r="F414" s="4">
        <v>67824932</v>
      </c>
      <c r="G414" s="8" t="str">
        <f>+VLOOKUP(Tabla14[[#This Row],[FONDO]],MAESTRO!$D$2:$E$119,2,FALSE)</f>
        <v>Gma Capital</v>
      </c>
      <c r="H414" s="8" t="str">
        <f>+VLOOKUP(Tabla14[[#This Row],[FONDO]],MAESTRO!D:F,3,FALSE)</f>
        <v>(T+0)</v>
      </c>
      <c r="I414" s="4" t="s">
        <v>9</v>
      </c>
      <c r="L4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4" s="4">
        <f>ROUND(IF(Tabla14[[#This Row],[OPERACIÓN]]=MAESTRO!$B$2,Tabla14[CAPITAL],IF(Tabla14[[#This Row],[OPERACIÓN]]=MAESTRO!$B$5,Tabla14[CAPITAL],-Tabla14[[#This Row],[CAPITAL]])),2)</f>
        <v>-67824932</v>
      </c>
    </row>
    <row r="415" spans="1:13" x14ac:dyDescent="0.3">
      <c r="A415" s="26">
        <v>46093</v>
      </c>
      <c r="B415" t="s">
        <v>298</v>
      </c>
      <c r="C415" t="s">
        <v>132</v>
      </c>
      <c r="D415" s="27" t="s">
        <v>17</v>
      </c>
      <c r="E415" s="4" t="s">
        <v>40</v>
      </c>
      <c r="F415" s="4">
        <v>114900000</v>
      </c>
      <c r="G415" s="8" t="str">
        <f>+VLOOKUP(Tabla14[[#This Row],[FONDO]],MAESTRO!$D$2:$E$119,2,FALSE)</f>
        <v>BBVA Banco Frances SA</v>
      </c>
      <c r="H415" s="8" t="str">
        <f>+VLOOKUP(Tabla14[[#This Row],[FONDO]],MAESTRO!D:F,3,FALSE)</f>
        <v>(T+0)</v>
      </c>
      <c r="I415" s="4" t="s">
        <v>9</v>
      </c>
      <c r="L4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5" s="4">
        <f>ROUND(IF(Tabla14[[#This Row],[OPERACIÓN]]=MAESTRO!$B$2,Tabla14[CAPITAL],IF(Tabla14[[#This Row],[OPERACIÓN]]=MAESTRO!$B$5,Tabla14[CAPITAL],-Tabla14[[#This Row],[CAPITAL]])),2)</f>
        <v>-114900000</v>
      </c>
    </row>
    <row r="416" spans="1:13" x14ac:dyDescent="0.3">
      <c r="A416" s="26">
        <v>46093</v>
      </c>
      <c r="B416" t="s">
        <v>299</v>
      </c>
      <c r="C416" t="s">
        <v>132</v>
      </c>
      <c r="D416" s="27" t="s">
        <v>16</v>
      </c>
      <c r="E416" s="4" t="s">
        <v>48</v>
      </c>
      <c r="F416" s="4">
        <v>8800000</v>
      </c>
      <c r="G416" s="8" t="str">
        <f>+VLOOKUP(Tabla14[[#This Row],[FONDO]],MAESTRO!$D$2:$E$119,2,FALSE)</f>
        <v>Banco Macro S.A.</v>
      </c>
      <c r="H416" s="8" t="str">
        <f>+VLOOKUP(Tabla14[[#This Row],[FONDO]],MAESTRO!D:F,3,FALSE)</f>
        <v>(T+0)</v>
      </c>
      <c r="I416" s="4" t="s">
        <v>9</v>
      </c>
      <c r="L4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6" s="4">
        <f>ROUND(IF(Tabla14[[#This Row],[OPERACIÓN]]=MAESTRO!$B$2,Tabla14[CAPITAL],IF(Tabla14[[#This Row],[OPERACIÓN]]=MAESTRO!$B$5,Tabla14[CAPITAL],-Tabla14[[#This Row],[CAPITAL]])),2)</f>
        <v>8800000</v>
      </c>
    </row>
    <row r="417" spans="1:13" x14ac:dyDescent="0.3">
      <c r="A417" s="26">
        <v>46093</v>
      </c>
      <c r="B417" t="s">
        <v>292</v>
      </c>
      <c r="C417" t="s">
        <v>132</v>
      </c>
      <c r="D417" s="27" t="s">
        <v>16</v>
      </c>
      <c r="E417" s="4" t="s">
        <v>136</v>
      </c>
      <c r="F417" s="4">
        <v>182889787.97999999</v>
      </c>
      <c r="G417" s="8" t="str">
        <f>+VLOOKUP(Tabla14[[#This Row],[FONDO]],MAESTRO!$D$2:$E$119,2,FALSE)</f>
        <v>Gma Capital</v>
      </c>
      <c r="H417" s="8" t="str">
        <f>+VLOOKUP(Tabla14[[#This Row],[FONDO]],MAESTRO!D:F,3,FALSE)</f>
        <v>(T+0)</v>
      </c>
      <c r="I417" s="4" t="s">
        <v>9</v>
      </c>
      <c r="L4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7" s="4">
        <f>ROUND(IF(Tabla14[[#This Row],[OPERACIÓN]]=MAESTRO!$B$2,Tabla14[CAPITAL],IF(Tabla14[[#This Row],[OPERACIÓN]]=MAESTRO!$B$5,Tabla14[CAPITAL],-Tabla14[[#This Row],[CAPITAL]])),2)</f>
        <v>182889787.97999999</v>
      </c>
    </row>
    <row r="418" spans="1:13" x14ac:dyDescent="0.3">
      <c r="A418" s="26">
        <v>46094</v>
      </c>
      <c r="B418" t="s">
        <v>298</v>
      </c>
      <c r="C418" t="s">
        <v>132</v>
      </c>
      <c r="D418" s="27" t="s">
        <v>17</v>
      </c>
      <c r="E418" s="4" t="s">
        <v>40</v>
      </c>
      <c r="F418" s="4">
        <v>257700000</v>
      </c>
      <c r="G418" s="8" t="str">
        <f>+VLOOKUP(Tabla14[[#This Row],[FONDO]],MAESTRO!$D$2:$E$119,2,FALSE)</f>
        <v>BBVA Banco Frances SA</v>
      </c>
      <c r="H418" s="8" t="str">
        <f>+VLOOKUP(Tabla14[[#This Row],[FONDO]],MAESTRO!D:F,3,FALSE)</f>
        <v>(T+0)</v>
      </c>
      <c r="I418" s="4" t="s">
        <v>9</v>
      </c>
      <c r="L4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8" s="4">
        <f>ROUND(IF(Tabla14[[#This Row],[OPERACIÓN]]=MAESTRO!$B$2,Tabla14[CAPITAL],IF(Tabla14[[#This Row],[OPERACIÓN]]=MAESTRO!$B$5,Tabla14[CAPITAL],-Tabla14[[#This Row],[CAPITAL]])),2)</f>
        <v>-257700000</v>
      </c>
    </row>
    <row r="419" spans="1:13" x14ac:dyDescent="0.3">
      <c r="A419" s="26">
        <v>46094</v>
      </c>
      <c r="B419" t="s">
        <v>299</v>
      </c>
      <c r="C419" t="s">
        <v>132</v>
      </c>
      <c r="D419" s="27" t="s">
        <v>16</v>
      </c>
      <c r="E419" s="4" t="s">
        <v>40</v>
      </c>
      <c r="F419" s="4">
        <v>600000000</v>
      </c>
      <c r="G419" s="8" t="str">
        <f>+VLOOKUP(Tabla14[[#This Row],[FONDO]],MAESTRO!$D$2:$E$119,2,FALSE)</f>
        <v>BBVA Banco Frances SA</v>
      </c>
      <c r="H419" s="8" t="str">
        <f>+VLOOKUP(Tabla14[[#This Row],[FONDO]],MAESTRO!D:F,3,FALSE)</f>
        <v>(T+0)</v>
      </c>
      <c r="I419" s="4" t="s">
        <v>9</v>
      </c>
      <c r="L4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19" s="4">
        <f>ROUND(IF(Tabla14[[#This Row],[OPERACIÓN]]=MAESTRO!$B$2,Tabla14[CAPITAL],IF(Tabla14[[#This Row],[OPERACIÓN]]=MAESTRO!$B$5,Tabla14[CAPITAL],-Tabla14[[#This Row],[CAPITAL]])),2)</f>
        <v>600000000</v>
      </c>
    </row>
    <row r="420" spans="1:13" x14ac:dyDescent="0.3">
      <c r="A420" s="26">
        <v>46094</v>
      </c>
      <c r="B420" t="s">
        <v>299</v>
      </c>
      <c r="C420" t="s">
        <v>132</v>
      </c>
      <c r="D420" s="27" t="s">
        <v>16</v>
      </c>
      <c r="E420" s="4" t="s">
        <v>48</v>
      </c>
      <c r="F420" s="4">
        <v>1987200000</v>
      </c>
      <c r="G420" s="8" t="str">
        <f>+VLOOKUP(Tabla14[[#This Row],[FONDO]],MAESTRO!$D$2:$E$119,2,FALSE)</f>
        <v>Banco Macro S.A.</v>
      </c>
      <c r="H420" s="8" t="str">
        <f>+VLOOKUP(Tabla14[[#This Row],[FONDO]],MAESTRO!D:F,3,FALSE)</f>
        <v>(T+0)</v>
      </c>
      <c r="I420" s="4" t="s">
        <v>9</v>
      </c>
      <c r="L4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0" s="4">
        <f>ROUND(IF(Tabla14[[#This Row],[OPERACIÓN]]=MAESTRO!$B$2,Tabla14[CAPITAL],IF(Tabla14[[#This Row],[OPERACIÓN]]=MAESTRO!$B$5,Tabla14[CAPITAL],-Tabla14[[#This Row],[CAPITAL]])),2)</f>
        <v>1987200000</v>
      </c>
    </row>
    <row r="421" spans="1:13" x14ac:dyDescent="0.3">
      <c r="A421" s="26">
        <v>46094</v>
      </c>
      <c r="B421" t="s">
        <v>292</v>
      </c>
      <c r="C421" t="s">
        <v>132</v>
      </c>
      <c r="D421" s="27" t="s">
        <v>16</v>
      </c>
      <c r="E421" s="4" t="s">
        <v>48</v>
      </c>
      <c r="F421" s="4">
        <v>7400000</v>
      </c>
      <c r="G421" s="8" t="str">
        <f>+VLOOKUP(Tabla14[[#This Row],[FONDO]],MAESTRO!$D$2:$E$119,2,FALSE)</f>
        <v>Banco Macro S.A.</v>
      </c>
      <c r="H421" s="8" t="str">
        <f>+VLOOKUP(Tabla14[[#This Row],[FONDO]],MAESTRO!D:F,3,FALSE)</f>
        <v>(T+0)</v>
      </c>
      <c r="I421" s="4" t="s">
        <v>9</v>
      </c>
      <c r="L4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1" s="4">
        <f>ROUND(IF(Tabla14[[#This Row],[OPERACIÓN]]=MAESTRO!$B$2,Tabla14[CAPITAL],IF(Tabla14[[#This Row],[OPERACIÓN]]=MAESTRO!$B$5,Tabla14[CAPITAL],-Tabla14[[#This Row],[CAPITAL]])),2)</f>
        <v>7400000</v>
      </c>
    </row>
    <row r="422" spans="1:13" x14ac:dyDescent="0.3">
      <c r="A422" s="26">
        <v>46094</v>
      </c>
      <c r="B422" t="s">
        <v>126</v>
      </c>
      <c r="C422" t="s">
        <v>132</v>
      </c>
      <c r="D422" s="27" t="s">
        <v>16</v>
      </c>
      <c r="E422" s="4" t="s">
        <v>48</v>
      </c>
      <c r="F422" s="4">
        <v>96800000</v>
      </c>
      <c r="G422" s="8" t="str">
        <f>+VLOOKUP(Tabla14[[#This Row],[FONDO]],MAESTRO!$D$2:$E$119,2,FALSE)</f>
        <v>Banco Macro S.A.</v>
      </c>
      <c r="H422" s="8" t="str">
        <f>+VLOOKUP(Tabla14[[#This Row],[FONDO]],MAESTRO!D:F,3,FALSE)</f>
        <v>(T+0)</v>
      </c>
      <c r="I422" s="4" t="s">
        <v>9</v>
      </c>
      <c r="L4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2" s="4">
        <f>ROUND(IF(Tabla14[[#This Row],[OPERACIÓN]]=MAESTRO!$B$2,Tabla14[CAPITAL],IF(Tabla14[[#This Row],[OPERACIÓN]]=MAESTRO!$B$5,Tabla14[CAPITAL],-Tabla14[[#This Row],[CAPITAL]])),2)</f>
        <v>96800000</v>
      </c>
    </row>
    <row r="423" spans="1:13" x14ac:dyDescent="0.3">
      <c r="A423" s="26">
        <v>46094</v>
      </c>
      <c r="B423" t="s">
        <v>299</v>
      </c>
      <c r="C423" t="s">
        <v>132</v>
      </c>
      <c r="D423" s="27" t="s">
        <v>17</v>
      </c>
      <c r="E423" s="4" t="s">
        <v>212</v>
      </c>
      <c r="F423" s="4">
        <v>107975730.31</v>
      </c>
      <c r="G423" s="8" t="str">
        <f>+VLOOKUP(Tabla14[[#This Row],[FONDO]],MAESTRO!$D$2:$E$119,2,FALSE)</f>
        <v>INTAGRO</v>
      </c>
      <c r="H423" s="8" t="str">
        <f>+VLOOKUP(Tabla14[[#This Row],[FONDO]],MAESTRO!D:F,3,FALSE)</f>
        <v>(T+0)</v>
      </c>
      <c r="I423" s="4" t="s">
        <v>9</v>
      </c>
      <c r="L4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3" s="4">
        <f>ROUND(IF(Tabla14[[#This Row],[OPERACIÓN]]=MAESTRO!$B$2,Tabla14[CAPITAL],IF(Tabla14[[#This Row],[OPERACIÓN]]=MAESTRO!$B$5,Tabla14[CAPITAL],-Tabla14[[#This Row],[CAPITAL]])),2)</f>
        <v>-107975730.31</v>
      </c>
    </row>
    <row r="424" spans="1:13" x14ac:dyDescent="0.3">
      <c r="A424" s="26">
        <v>46097</v>
      </c>
      <c r="B424" t="s">
        <v>299</v>
      </c>
      <c r="C424" t="s">
        <v>132</v>
      </c>
      <c r="D424" s="27" t="s">
        <v>17</v>
      </c>
      <c r="E424" s="4" t="s">
        <v>40</v>
      </c>
      <c r="F424" s="4">
        <v>19900000</v>
      </c>
      <c r="G424" s="8" t="str">
        <f>+VLOOKUP(Tabla14[[#This Row],[FONDO]],MAESTRO!$D$2:$E$119,2,FALSE)</f>
        <v>BBVA Banco Frances SA</v>
      </c>
      <c r="H424" s="8" t="str">
        <f>+VLOOKUP(Tabla14[[#This Row],[FONDO]],MAESTRO!D:F,3,FALSE)</f>
        <v>(T+0)</v>
      </c>
      <c r="I424" s="4" t="s">
        <v>9</v>
      </c>
      <c r="L4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4" s="4">
        <f>ROUND(IF(Tabla14[[#This Row],[OPERACIÓN]]=MAESTRO!$B$2,Tabla14[CAPITAL],IF(Tabla14[[#This Row],[OPERACIÓN]]=MAESTRO!$B$5,Tabla14[CAPITAL],-Tabla14[[#This Row],[CAPITAL]])),2)</f>
        <v>-19900000</v>
      </c>
    </row>
    <row r="425" spans="1:13" x14ac:dyDescent="0.3">
      <c r="A425" s="26">
        <v>46097</v>
      </c>
      <c r="B425" t="s">
        <v>298</v>
      </c>
      <c r="C425" t="s">
        <v>132</v>
      </c>
      <c r="D425" s="27" t="s">
        <v>17</v>
      </c>
      <c r="E425" s="4" t="s">
        <v>40</v>
      </c>
      <c r="F425" s="4">
        <v>389200000</v>
      </c>
      <c r="G425" s="8" t="str">
        <f>+VLOOKUP(Tabla14[[#This Row],[FONDO]],MAESTRO!$D$2:$E$119,2,FALSE)</f>
        <v>BBVA Banco Frances SA</v>
      </c>
      <c r="H425" s="8" t="str">
        <f>+VLOOKUP(Tabla14[[#This Row],[FONDO]],MAESTRO!D:F,3,FALSE)</f>
        <v>(T+0)</v>
      </c>
      <c r="I425" s="4" t="s">
        <v>9</v>
      </c>
      <c r="L4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5" s="4">
        <f>ROUND(IF(Tabla14[[#This Row],[OPERACIÓN]]=MAESTRO!$B$2,Tabla14[CAPITAL],IF(Tabla14[[#This Row],[OPERACIÓN]]=MAESTRO!$B$5,Tabla14[CAPITAL],-Tabla14[[#This Row],[CAPITAL]])),2)</f>
        <v>-389200000</v>
      </c>
    </row>
    <row r="426" spans="1:13" x14ac:dyDescent="0.3">
      <c r="A426" s="26">
        <v>46097</v>
      </c>
      <c r="B426" t="s">
        <v>292</v>
      </c>
      <c r="C426" t="s">
        <v>132</v>
      </c>
      <c r="D426" s="27" t="s">
        <v>16</v>
      </c>
      <c r="E426" s="4" t="s">
        <v>48</v>
      </c>
      <c r="F426" s="4">
        <v>36700000</v>
      </c>
      <c r="G426" s="8" t="str">
        <f>+VLOOKUP(Tabla14[[#This Row],[FONDO]],MAESTRO!$D$2:$E$119,2,FALSE)</f>
        <v>Banco Macro S.A.</v>
      </c>
      <c r="H426" s="8" t="str">
        <f>+VLOOKUP(Tabla14[[#This Row],[FONDO]],MAESTRO!D:F,3,FALSE)</f>
        <v>(T+0)</v>
      </c>
      <c r="I426" s="4" t="s">
        <v>9</v>
      </c>
      <c r="L4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6" s="4">
        <f>ROUND(IF(Tabla14[[#This Row],[OPERACIÓN]]=MAESTRO!$B$2,Tabla14[CAPITAL],IF(Tabla14[[#This Row],[OPERACIÓN]]=MAESTRO!$B$5,Tabla14[CAPITAL],-Tabla14[[#This Row],[CAPITAL]])),2)</f>
        <v>36700000</v>
      </c>
    </row>
    <row r="427" spans="1:13" x14ac:dyDescent="0.3">
      <c r="A427" s="26">
        <v>46098</v>
      </c>
      <c r="B427" t="s">
        <v>299</v>
      </c>
      <c r="C427" t="s">
        <v>132</v>
      </c>
      <c r="D427" s="27" t="s">
        <v>17</v>
      </c>
      <c r="E427" s="4" t="s">
        <v>48</v>
      </c>
      <c r="F427" s="4">
        <v>44300000</v>
      </c>
      <c r="G427" s="8" t="str">
        <f>+VLOOKUP(Tabla14[[#This Row],[FONDO]],MAESTRO!$D$2:$E$119,2,FALSE)</f>
        <v>Banco Macro S.A.</v>
      </c>
      <c r="H427" s="8" t="str">
        <f>+VLOOKUP(Tabla14[[#This Row],[FONDO]],MAESTRO!D:F,3,FALSE)</f>
        <v>(T+0)</v>
      </c>
      <c r="I427" s="4" t="s">
        <v>9</v>
      </c>
      <c r="L4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7" s="4">
        <f>ROUND(IF(Tabla14[[#This Row],[OPERACIÓN]]=MAESTRO!$B$2,Tabla14[CAPITAL],IF(Tabla14[[#This Row],[OPERACIÓN]]=MAESTRO!$B$5,Tabla14[CAPITAL],-Tabla14[[#This Row],[CAPITAL]])),2)</f>
        <v>-44300000</v>
      </c>
    </row>
    <row r="428" spans="1:13" x14ac:dyDescent="0.3">
      <c r="A428" s="26">
        <v>46098</v>
      </c>
      <c r="B428" t="s">
        <v>292</v>
      </c>
      <c r="C428" t="s">
        <v>132</v>
      </c>
      <c r="D428" s="27" t="s">
        <v>16</v>
      </c>
      <c r="E428" s="4" t="s">
        <v>48</v>
      </c>
      <c r="F428" s="4">
        <v>173700000</v>
      </c>
      <c r="G428" s="8" t="str">
        <f>+VLOOKUP(Tabla14[[#This Row],[FONDO]],MAESTRO!$D$2:$E$119,2,FALSE)</f>
        <v>Banco Macro S.A.</v>
      </c>
      <c r="H428" s="8" t="str">
        <f>+VLOOKUP(Tabla14[[#This Row],[FONDO]],MAESTRO!D:F,3,FALSE)</f>
        <v>(T+0)</v>
      </c>
      <c r="I428" s="4" t="s">
        <v>9</v>
      </c>
      <c r="L4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8" s="4">
        <f>ROUND(IF(Tabla14[[#This Row],[OPERACIÓN]]=MAESTRO!$B$2,Tabla14[CAPITAL],IF(Tabla14[[#This Row],[OPERACIÓN]]=MAESTRO!$B$5,Tabla14[CAPITAL],-Tabla14[[#This Row],[CAPITAL]])),2)</f>
        <v>173700000</v>
      </c>
    </row>
    <row r="429" spans="1:13" x14ac:dyDescent="0.3">
      <c r="A429" s="26">
        <v>46098</v>
      </c>
      <c r="B429" t="s">
        <v>298</v>
      </c>
      <c r="C429" t="s">
        <v>132</v>
      </c>
      <c r="D429" s="27" t="s">
        <v>16</v>
      </c>
      <c r="E429" s="4" t="s">
        <v>40</v>
      </c>
      <c r="F429" s="4">
        <v>40000000</v>
      </c>
      <c r="G429" s="8" t="str">
        <f>+VLOOKUP(Tabla14[[#This Row],[FONDO]],MAESTRO!$D$2:$E$119,2,FALSE)</f>
        <v>BBVA Banco Frances SA</v>
      </c>
      <c r="H429" s="8" t="str">
        <f>+VLOOKUP(Tabla14[[#This Row],[FONDO]],MAESTRO!D:F,3,FALSE)</f>
        <v>(T+0)</v>
      </c>
      <c r="I429" s="4" t="s">
        <v>9</v>
      </c>
      <c r="L4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29" s="4">
        <f>ROUND(IF(Tabla14[[#This Row],[OPERACIÓN]]=MAESTRO!$B$2,Tabla14[CAPITAL],IF(Tabla14[[#This Row],[OPERACIÓN]]=MAESTRO!$B$5,Tabla14[CAPITAL],-Tabla14[[#This Row],[CAPITAL]])),2)</f>
        <v>40000000</v>
      </c>
    </row>
    <row r="430" spans="1:13" x14ac:dyDescent="0.3">
      <c r="A430" s="26">
        <v>46098</v>
      </c>
      <c r="B430" t="s">
        <v>298</v>
      </c>
      <c r="C430" t="s">
        <v>132</v>
      </c>
      <c r="D430" s="27" t="s">
        <v>16</v>
      </c>
      <c r="E430" s="4" t="s">
        <v>43</v>
      </c>
      <c r="F430" s="4">
        <v>6480000000</v>
      </c>
      <c r="G430" s="8" t="str">
        <f>+VLOOKUP(Tabla14[[#This Row],[FONDO]],MAESTRO!$D$2:$E$119,2,FALSE)</f>
        <v>Banco Santander Rio S.A.</v>
      </c>
      <c r="H430" s="8" t="str">
        <f>+VLOOKUP(Tabla14[[#This Row],[FONDO]],MAESTRO!D:F,3,FALSE)</f>
        <v>(T+0)</v>
      </c>
      <c r="I430" s="4" t="s">
        <v>9</v>
      </c>
      <c r="L4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0" s="4">
        <f>ROUND(IF(Tabla14[[#This Row],[OPERACIÓN]]=MAESTRO!$B$2,Tabla14[CAPITAL],IF(Tabla14[[#This Row],[OPERACIÓN]]=MAESTRO!$B$5,Tabla14[CAPITAL],-Tabla14[[#This Row],[CAPITAL]])),2)</f>
        <v>6480000000</v>
      </c>
    </row>
    <row r="431" spans="1:13" x14ac:dyDescent="0.3">
      <c r="A431" s="26">
        <v>46098</v>
      </c>
      <c r="B431" t="s">
        <v>298</v>
      </c>
      <c r="C431" t="s">
        <v>132</v>
      </c>
      <c r="D431" s="27" t="s">
        <v>17</v>
      </c>
      <c r="E431" s="4" t="s">
        <v>40</v>
      </c>
      <c r="F431" s="4">
        <v>1500000000</v>
      </c>
      <c r="G431" s="8" t="str">
        <f>+VLOOKUP(Tabla14[[#This Row],[FONDO]],MAESTRO!$D$2:$E$119,2,FALSE)</f>
        <v>BBVA Banco Frances SA</v>
      </c>
      <c r="H431" s="8" t="str">
        <f>+VLOOKUP(Tabla14[[#This Row],[FONDO]],MAESTRO!D:F,3,FALSE)</f>
        <v>(T+0)</v>
      </c>
      <c r="I431" s="4" t="s">
        <v>9</v>
      </c>
      <c r="L4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1" s="4">
        <f>ROUND(IF(Tabla14[[#This Row],[OPERACIÓN]]=MAESTRO!$B$2,Tabla14[CAPITAL],IF(Tabla14[[#This Row],[OPERACIÓN]]=MAESTRO!$B$5,Tabla14[CAPITAL],-Tabla14[[#This Row],[CAPITAL]])),2)</f>
        <v>-1500000000</v>
      </c>
    </row>
    <row r="432" spans="1:13" x14ac:dyDescent="0.3">
      <c r="A432" s="26">
        <v>46098</v>
      </c>
      <c r="B432" t="s">
        <v>298</v>
      </c>
      <c r="C432" t="s">
        <v>132</v>
      </c>
      <c r="D432" s="27" t="s">
        <v>17</v>
      </c>
      <c r="E432" s="4" t="s">
        <v>136</v>
      </c>
      <c r="F432" s="4">
        <v>124001246.67</v>
      </c>
      <c r="G432" s="8" t="str">
        <f>+VLOOKUP(Tabla14[[#This Row],[FONDO]],MAESTRO!$D$2:$E$119,2,FALSE)</f>
        <v>Gma Capital</v>
      </c>
      <c r="H432" s="8" t="str">
        <f>+VLOOKUP(Tabla14[[#This Row],[FONDO]],MAESTRO!D:F,3,FALSE)</f>
        <v>(T+0)</v>
      </c>
      <c r="I432" s="4" t="s">
        <v>9</v>
      </c>
      <c r="L4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2" s="4">
        <f>ROUND(IF(Tabla14[[#This Row],[OPERACIÓN]]=MAESTRO!$B$2,Tabla14[CAPITAL],IF(Tabla14[[#This Row],[OPERACIÓN]]=MAESTRO!$B$5,Tabla14[CAPITAL],-Tabla14[[#This Row],[CAPITAL]])),2)</f>
        <v>-124001246.67</v>
      </c>
    </row>
    <row r="433" spans="1:13" x14ac:dyDescent="0.3">
      <c r="A433" s="26">
        <v>46098</v>
      </c>
      <c r="B433" t="s">
        <v>298</v>
      </c>
      <c r="C433" t="s">
        <v>132</v>
      </c>
      <c r="D433" s="27" t="s">
        <v>17</v>
      </c>
      <c r="E433" s="4" t="s">
        <v>136</v>
      </c>
      <c r="F433" s="4">
        <v>161796792.74000001</v>
      </c>
      <c r="G433" s="8" t="str">
        <f>+VLOOKUP(Tabla14[[#This Row],[FONDO]],MAESTRO!$D$2:$E$119,2,FALSE)</f>
        <v>Gma Capital</v>
      </c>
      <c r="H433" s="8" t="str">
        <f>+VLOOKUP(Tabla14[[#This Row],[FONDO]],MAESTRO!D:F,3,FALSE)</f>
        <v>(T+0)</v>
      </c>
      <c r="I433" s="4" t="s">
        <v>9</v>
      </c>
      <c r="L4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3" s="4">
        <f>ROUND(IF(Tabla14[[#This Row],[OPERACIÓN]]=MAESTRO!$B$2,Tabla14[CAPITAL],IF(Tabla14[[#This Row],[OPERACIÓN]]=MAESTRO!$B$5,Tabla14[CAPITAL],-Tabla14[[#This Row],[CAPITAL]])),2)</f>
        <v>-161796792.74000001</v>
      </c>
    </row>
    <row r="434" spans="1:13" x14ac:dyDescent="0.3">
      <c r="A434" s="26">
        <v>46098</v>
      </c>
      <c r="B434" t="s">
        <v>298</v>
      </c>
      <c r="C434" t="s">
        <v>132</v>
      </c>
      <c r="D434" s="27" t="s">
        <v>17</v>
      </c>
      <c r="E434" s="4" t="s">
        <v>204</v>
      </c>
      <c r="F434" s="4">
        <v>105568230.81999999</v>
      </c>
      <c r="G434" s="8" t="str">
        <f>+VLOOKUP(Tabla14[[#This Row],[FONDO]],MAESTRO!$D$2:$E$119,2,FALSE)</f>
        <v>Latin Securities</v>
      </c>
      <c r="H434" s="8" t="str">
        <f>+VLOOKUP(Tabla14[[#This Row],[FONDO]],MAESTRO!D:F,3,FALSE)</f>
        <v>(T+0)</v>
      </c>
      <c r="I434" s="4" t="s">
        <v>9</v>
      </c>
      <c r="L4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4" s="4">
        <f>ROUND(IF(Tabla14[[#This Row],[OPERACIÓN]]=MAESTRO!$B$2,Tabla14[CAPITAL],IF(Tabla14[[#This Row],[OPERACIÓN]]=MAESTRO!$B$5,Tabla14[CAPITAL],-Tabla14[[#This Row],[CAPITAL]])),2)</f>
        <v>-105568230.81999999</v>
      </c>
    </row>
    <row r="435" spans="1:13" x14ac:dyDescent="0.3">
      <c r="A435" s="26">
        <v>46098</v>
      </c>
      <c r="B435" t="s">
        <v>298</v>
      </c>
      <c r="C435" t="s">
        <v>132</v>
      </c>
      <c r="D435" s="27" t="s">
        <v>17</v>
      </c>
      <c r="E435" s="4" t="s">
        <v>204</v>
      </c>
      <c r="F435" s="4">
        <v>165011410.41999999</v>
      </c>
      <c r="G435" s="8" t="str">
        <f>+VLOOKUP(Tabla14[[#This Row],[FONDO]],MAESTRO!$D$2:$E$119,2,FALSE)</f>
        <v>Latin Securities</v>
      </c>
      <c r="H435" s="8" t="str">
        <f>+VLOOKUP(Tabla14[[#This Row],[FONDO]],MAESTRO!D:F,3,FALSE)</f>
        <v>(T+0)</v>
      </c>
      <c r="I435" s="4" t="s">
        <v>9</v>
      </c>
      <c r="L4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5" s="4">
        <f>ROUND(IF(Tabla14[[#This Row],[OPERACIÓN]]=MAESTRO!$B$2,Tabla14[CAPITAL],IF(Tabla14[[#This Row],[OPERACIÓN]]=MAESTRO!$B$5,Tabla14[CAPITAL],-Tabla14[[#This Row],[CAPITAL]])),2)</f>
        <v>-165011410.41999999</v>
      </c>
    </row>
    <row r="436" spans="1:13" x14ac:dyDescent="0.3">
      <c r="A436" s="26">
        <v>46098</v>
      </c>
      <c r="B436" t="s">
        <v>298</v>
      </c>
      <c r="C436" t="s">
        <v>132</v>
      </c>
      <c r="D436" s="27" t="s">
        <v>16</v>
      </c>
      <c r="E436" s="4" t="s">
        <v>136</v>
      </c>
      <c r="F436" s="4">
        <v>500000000</v>
      </c>
      <c r="G436" s="8" t="str">
        <f>+VLOOKUP(Tabla14[[#This Row],[FONDO]],MAESTRO!$D$2:$E$119,2,FALSE)</f>
        <v>Gma Capital</v>
      </c>
      <c r="H436" s="8" t="str">
        <f>+VLOOKUP(Tabla14[[#This Row],[FONDO]],MAESTRO!D:F,3,FALSE)</f>
        <v>(T+0)</v>
      </c>
      <c r="I436" s="4" t="s">
        <v>9</v>
      </c>
      <c r="L4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6" s="4">
        <f>ROUND(IF(Tabla14[[#This Row],[OPERACIÓN]]=MAESTRO!$B$2,Tabla14[CAPITAL],IF(Tabla14[[#This Row],[OPERACIÓN]]=MAESTRO!$B$5,Tabla14[CAPITAL],-Tabla14[[#This Row],[CAPITAL]])),2)</f>
        <v>500000000</v>
      </c>
    </row>
    <row r="437" spans="1:13" x14ac:dyDescent="0.3">
      <c r="A437" s="26">
        <v>46098</v>
      </c>
      <c r="B437" t="s">
        <v>298</v>
      </c>
      <c r="C437" t="s">
        <v>132</v>
      </c>
      <c r="D437" s="27" t="s">
        <v>16</v>
      </c>
      <c r="E437" s="4" t="s">
        <v>169</v>
      </c>
      <c r="F437" s="4">
        <v>500000000</v>
      </c>
      <c r="G437" s="8" t="str">
        <f>+VLOOKUP(Tabla14[[#This Row],[FONDO]],MAESTRO!$D$2:$E$119,2,FALSE)</f>
        <v>Max Capital</v>
      </c>
      <c r="H437" s="8" t="str">
        <f>+VLOOKUP(Tabla14[[#This Row],[FONDO]],MAESTRO!D:F,3,FALSE)</f>
        <v>(T+0)</v>
      </c>
      <c r="I437" s="4" t="s">
        <v>9</v>
      </c>
      <c r="L4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7" s="4">
        <f>ROUND(IF(Tabla14[[#This Row],[OPERACIÓN]]=MAESTRO!$B$2,Tabla14[CAPITAL],IF(Tabla14[[#This Row],[OPERACIÓN]]=MAESTRO!$B$5,Tabla14[CAPITAL],-Tabla14[[#This Row],[CAPITAL]])),2)</f>
        <v>500000000</v>
      </c>
    </row>
    <row r="438" spans="1:13" x14ac:dyDescent="0.3">
      <c r="A438" s="26">
        <v>46098</v>
      </c>
      <c r="B438" t="s">
        <v>298</v>
      </c>
      <c r="C438" t="s">
        <v>132</v>
      </c>
      <c r="D438" s="27" t="s">
        <v>16</v>
      </c>
      <c r="E438" s="4" t="s">
        <v>204</v>
      </c>
      <c r="F438" s="4">
        <v>500000000</v>
      </c>
      <c r="G438" s="8" t="str">
        <f>+VLOOKUP(Tabla14[[#This Row],[FONDO]],MAESTRO!$D$2:$E$119,2,FALSE)</f>
        <v>Latin Securities</v>
      </c>
      <c r="H438" s="8" t="str">
        <f>+VLOOKUP(Tabla14[[#This Row],[FONDO]],MAESTRO!D:F,3,FALSE)</f>
        <v>(T+0)</v>
      </c>
      <c r="I438" s="4" t="s">
        <v>9</v>
      </c>
      <c r="L4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8" s="4">
        <f>ROUND(IF(Tabla14[[#This Row],[OPERACIÓN]]=MAESTRO!$B$2,Tabla14[CAPITAL],IF(Tabla14[[#This Row],[OPERACIÓN]]=MAESTRO!$B$5,Tabla14[CAPITAL],-Tabla14[[#This Row],[CAPITAL]])),2)</f>
        <v>500000000</v>
      </c>
    </row>
    <row r="439" spans="1:13" x14ac:dyDescent="0.3">
      <c r="A439" s="26">
        <v>46099</v>
      </c>
      <c r="B439" t="s">
        <v>126</v>
      </c>
      <c r="C439" t="s">
        <v>132</v>
      </c>
      <c r="D439" s="27" t="s">
        <v>17</v>
      </c>
      <c r="E439" s="4" t="s">
        <v>48</v>
      </c>
      <c r="F439" s="4">
        <v>213100000</v>
      </c>
      <c r="G439" s="8" t="str">
        <f>+VLOOKUP(Tabla14[[#This Row],[FONDO]],MAESTRO!$D$2:$E$119,2,FALSE)</f>
        <v>Banco Macro S.A.</v>
      </c>
      <c r="H439" s="8" t="str">
        <f>+VLOOKUP(Tabla14[[#This Row],[FONDO]],MAESTRO!D:F,3,FALSE)</f>
        <v>(T+0)</v>
      </c>
      <c r="I439" s="4" t="s">
        <v>9</v>
      </c>
      <c r="L4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39" s="4">
        <f>ROUND(IF(Tabla14[[#This Row],[OPERACIÓN]]=MAESTRO!$B$2,Tabla14[CAPITAL],IF(Tabla14[[#This Row],[OPERACIÓN]]=MAESTRO!$B$5,Tabla14[CAPITAL],-Tabla14[[#This Row],[CAPITAL]])),2)</f>
        <v>-213100000</v>
      </c>
    </row>
    <row r="440" spans="1:13" x14ac:dyDescent="0.3">
      <c r="A440" s="26">
        <v>46099</v>
      </c>
      <c r="B440" t="s">
        <v>292</v>
      </c>
      <c r="C440" t="s">
        <v>132</v>
      </c>
      <c r="D440" s="27" t="s">
        <v>16</v>
      </c>
      <c r="E440" s="4" t="s">
        <v>48</v>
      </c>
      <c r="F440" s="4">
        <v>27100000</v>
      </c>
      <c r="G440" s="8" t="str">
        <f>+VLOOKUP(Tabla14[[#This Row],[FONDO]],MAESTRO!$D$2:$E$119,2,FALSE)</f>
        <v>Banco Macro S.A.</v>
      </c>
      <c r="H440" s="8" t="str">
        <f>+VLOOKUP(Tabla14[[#This Row],[FONDO]],MAESTRO!D:F,3,FALSE)</f>
        <v>(T+0)</v>
      </c>
      <c r="I440" s="4" t="s">
        <v>9</v>
      </c>
      <c r="L4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0" s="4">
        <f>ROUND(IF(Tabla14[[#This Row],[OPERACIÓN]]=MAESTRO!$B$2,Tabla14[CAPITAL],IF(Tabla14[[#This Row],[OPERACIÓN]]=MAESTRO!$B$5,Tabla14[CAPITAL],-Tabla14[[#This Row],[CAPITAL]])),2)</f>
        <v>27100000</v>
      </c>
    </row>
    <row r="441" spans="1:13" x14ac:dyDescent="0.3">
      <c r="A441" s="26">
        <v>46099</v>
      </c>
      <c r="B441" t="s">
        <v>299</v>
      </c>
      <c r="C441" t="s">
        <v>132</v>
      </c>
      <c r="D441" s="27" t="s">
        <v>16</v>
      </c>
      <c r="E441" s="4" t="s">
        <v>48</v>
      </c>
      <c r="F441" s="4">
        <v>24300000</v>
      </c>
      <c r="G441" s="8" t="str">
        <f>+VLOOKUP(Tabla14[[#This Row],[FONDO]],MAESTRO!$D$2:$E$119,2,FALSE)</f>
        <v>Banco Macro S.A.</v>
      </c>
      <c r="H441" s="8" t="str">
        <f>+VLOOKUP(Tabla14[[#This Row],[FONDO]],MAESTRO!D:F,3,FALSE)</f>
        <v>(T+0)</v>
      </c>
      <c r="I441" s="4" t="s">
        <v>9</v>
      </c>
      <c r="L4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1" s="4">
        <f>ROUND(IF(Tabla14[[#This Row],[OPERACIÓN]]=MAESTRO!$B$2,Tabla14[CAPITAL],IF(Tabla14[[#This Row],[OPERACIÓN]]=MAESTRO!$B$5,Tabla14[CAPITAL],-Tabla14[[#This Row],[CAPITAL]])),2)</f>
        <v>24300000</v>
      </c>
    </row>
    <row r="442" spans="1:13" x14ac:dyDescent="0.3">
      <c r="A442" s="26">
        <v>46099</v>
      </c>
      <c r="B442" t="s">
        <v>298</v>
      </c>
      <c r="C442" t="s">
        <v>132</v>
      </c>
      <c r="D442" s="27" t="s">
        <v>17</v>
      </c>
      <c r="E442" s="4" t="s">
        <v>43</v>
      </c>
      <c r="F442" s="4">
        <v>117300000</v>
      </c>
      <c r="G442" s="8" t="str">
        <f>+VLOOKUP(Tabla14[[#This Row],[FONDO]],MAESTRO!$D$2:$E$119,2,FALSE)</f>
        <v>Banco Santander Rio S.A.</v>
      </c>
      <c r="H442" s="8" t="str">
        <f>+VLOOKUP(Tabla14[[#This Row],[FONDO]],MAESTRO!D:F,3,FALSE)</f>
        <v>(T+0)</v>
      </c>
      <c r="I442" s="4" t="s">
        <v>9</v>
      </c>
      <c r="L4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2" s="4">
        <f>ROUND(IF(Tabla14[[#This Row],[OPERACIÓN]]=MAESTRO!$B$2,Tabla14[CAPITAL],IF(Tabla14[[#This Row],[OPERACIÓN]]=MAESTRO!$B$5,Tabla14[CAPITAL],-Tabla14[[#This Row],[CAPITAL]])),2)</f>
        <v>-117300000</v>
      </c>
    </row>
    <row r="443" spans="1:13" x14ac:dyDescent="0.3">
      <c r="A443" s="26">
        <v>46100</v>
      </c>
      <c r="B443" t="s">
        <v>292</v>
      </c>
      <c r="C443" t="s">
        <v>132</v>
      </c>
      <c r="D443" s="27" t="s">
        <v>17</v>
      </c>
      <c r="E443" s="4" t="s">
        <v>48</v>
      </c>
      <c r="F443" s="4">
        <v>140700000</v>
      </c>
      <c r="G443" s="8" t="str">
        <f>+VLOOKUP(Tabla14[[#This Row],[FONDO]],MAESTRO!$D$2:$E$119,2,FALSE)</f>
        <v>Banco Macro S.A.</v>
      </c>
      <c r="H443" s="8" t="str">
        <f>+VLOOKUP(Tabla14[[#This Row],[FONDO]],MAESTRO!D:F,3,FALSE)</f>
        <v>(T+0)</v>
      </c>
      <c r="I443" s="4" t="s">
        <v>9</v>
      </c>
      <c r="L4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3" s="4">
        <f>ROUND(IF(Tabla14[[#This Row],[OPERACIÓN]]=MAESTRO!$B$2,Tabla14[CAPITAL],IF(Tabla14[[#This Row],[OPERACIÓN]]=MAESTRO!$B$5,Tabla14[CAPITAL],-Tabla14[[#This Row],[CAPITAL]])),2)</f>
        <v>-140700000</v>
      </c>
    </row>
    <row r="444" spans="1:13" x14ac:dyDescent="0.3">
      <c r="A444" s="26">
        <v>46100</v>
      </c>
      <c r="B444" t="s">
        <v>126</v>
      </c>
      <c r="C444" t="s">
        <v>132</v>
      </c>
      <c r="D444" s="27" t="s">
        <v>17</v>
      </c>
      <c r="E444" s="4" t="s">
        <v>48</v>
      </c>
      <c r="F444" s="4">
        <v>1800000</v>
      </c>
      <c r="G444" s="8" t="str">
        <f>+VLOOKUP(Tabla14[[#This Row],[FONDO]],MAESTRO!$D$2:$E$119,2,FALSE)</f>
        <v>Banco Macro S.A.</v>
      </c>
      <c r="H444" s="8" t="str">
        <f>+VLOOKUP(Tabla14[[#This Row],[FONDO]],MAESTRO!D:F,3,FALSE)</f>
        <v>(T+0)</v>
      </c>
      <c r="I444" s="4" t="s">
        <v>9</v>
      </c>
      <c r="L4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4" s="4">
        <f>ROUND(IF(Tabla14[[#This Row],[OPERACIÓN]]=MAESTRO!$B$2,Tabla14[CAPITAL],IF(Tabla14[[#This Row],[OPERACIÓN]]=MAESTRO!$B$5,Tabla14[CAPITAL],-Tabla14[[#This Row],[CAPITAL]])),2)</f>
        <v>-1800000</v>
      </c>
    </row>
    <row r="445" spans="1:13" x14ac:dyDescent="0.3">
      <c r="A445" s="26">
        <v>46100</v>
      </c>
      <c r="B445" t="s">
        <v>298</v>
      </c>
      <c r="C445" t="s">
        <v>132</v>
      </c>
      <c r="D445" s="27" t="s">
        <v>17</v>
      </c>
      <c r="E445" s="4" t="s">
        <v>43</v>
      </c>
      <c r="F445" s="4">
        <v>310700000</v>
      </c>
      <c r="G445" s="8" t="str">
        <f>+VLOOKUP(Tabla14[[#This Row],[FONDO]],MAESTRO!$D$2:$E$119,2,FALSE)</f>
        <v>Banco Santander Rio S.A.</v>
      </c>
      <c r="H445" s="8" t="str">
        <f>+VLOOKUP(Tabla14[[#This Row],[FONDO]],MAESTRO!D:F,3,FALSE)</f>
        <v>(T+0)</v>
      </c>
      <c r="I445" s="4" t="s">
        <v>9</v>
      </c>
      <c r="L4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5" s="4">
        <f>ROUND(IF(Tabla14[[#This Row],[OPERACIÓN]]=MAESTRO!$B$2,Tabla14[CAPITAL],IF(Tabla14[[#This Row],[OPERACIÓN]]=MAESTRO!$B$5,Tabla14[CAPITAL],-Tabla14[[#This Row],[CAPITAL]])),2)</f>
        <v>-310700000</v>
      </c>
    </row>
    <row r="446" spans="1:13" x14ac:dyDescent="0.3">
      <c r="A446" s="26">
        <v>46100</v>
      </c>
      <c r="B446" t="s">
        <v>299</v>
      </c>
      <c r="C446" t="s">
        <v>132</v>
      </c>
      <c r="D446" s="27" t="s">
        <v>16</v>
      </c>
      <c r="E446" s="4" t="s">
        <v>40</v>
      </c>
      <c r="F446" s="4">
        <v>27000000</v>
      </c>
      <c r="G446" s="8" t="str">
        <f>+VLOOKUP(Tabla14[[#This Row],[FONDO]],MAESTRO!$D$2:$E$119,2,FALSE)</f>
        <v>BBVA Banco Frances SA</v>
      </c>
      <c r="H446" s="8" t="str">
        <f>+VLOOKUP(Tabla14[[#This Row],[FONDO]],MAESTRO!D:F,3,FALSE)</f>
        <v>(T+0)</v>
      </c>
      <c r="I446" s="4" t="s">
        <v>9</v>
      </c>
      <c r="L4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6" s="4">
        <f>ROUND(IF(Tabla14[[#This Row],[OPERACIÓN]]=MAESTRO!$B$2,Tabla14[CAPITAL],IF(Tabla14[[#This Row],[OPERACIÓN]]=MAESTRO!$B$5,Tabla14[CAPITAL],-Tabla14[[#This Row],[CAPITAL]])),2)</f>
        <v>27000000</v>
      </c>
    </row>
    <row r="447" spans="1:13" x14ac:dyDescent="0.3">
      <c r="A447" s="26">
        <v>46100</v>
      </c>
      <c r="B447" t="s">
        <v>298</v>
      </c>
      <c r="C447" t="s">
        <v>132</v>
      </c>
      <c r="D447" s="27" t="s">
        <v>17</v>
      </c>
      <c r="E447" s="4" t="s">
        <v>169</v>
      </c>
      <c r="F447" s="4">
        <v>166710152</v>
      </c>
      <c r="G447" s="8" t="str">
        <f>+VLOOKUP(Tabla14[[#This Row],[FONDO]],MAESTRO!$D$2:$E$119,2,FALSE)</f>
        <v>Max Capital</v>
      </c>
      <c r="H447" s="8" t="str">
        <f>+VLOOKUP(Tabla14[[#This Row],[FONDO]],MAESTRO!D:F,3,FALSE)</f>
        <v>(T+0)</v>
      </c>
      <c r="I447" s="4" t="s">
        <v>9</v>
      </c>
      <c r="L4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7" s="4">
        <f>ROUND(IF(Tabla14[[#This Row],[OPERACIÓN]]=MAESTRO!$B$2,Tabla14[CAPITAL],IF(Tabla14[[#This Row],[OPERACIÓN]]=MAESTRO!$B$5,Tabla14[CAPITAL],-Tabla14[[#This Row],[CAPITAL]])),2)</f>
        <v>-166710152</v>
      </c>
    </row>
    <row r="448" spans="1:13" x14ac:dyDescent="0.3">
      <c r="A448" s="26">
        <v>46100</v>
      </c>
      <c r="B448" t="s">
        <v>298</v>
      </c>
      <c r="C448" t="s">
        <v>132</v>
      </c>
      <c r="D448" s="27" t="s">
        <v>17</v>
      </c>
      <c r="E448" s="4" t="s">
        <v>169</v>
      </c>
      <c r="F448" s="4">
        <v>72624872.290000007</v>
      </c>
      <c r="G448" s="8" t="str">
        <f>+VLOOKUP(Tabla14[[#This Row],[FONDO]],MAESTRO!$D$2:$E$119,2,FALSE)</f>
        <v>Max Capital</v>
      </c>
      <c r="H448" s="8" t="str">
        <f>+VLOOKUP(Tabla14[[#This Row],[FONDO]],MAESTRO!D:F,3,FALSE)</f>
        <v>(T+0)</v>
      </c>
      <c r="I448" s="4" t="s">
        <v>9</v>
      </c>
      <c r="L4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8" s="4">
        <f>ROUND(IF(Tabla14[[#This Row],[OPERACIÓN]]=MAESTRO!$B$2,Tabla14[CAPITAL],IF(Tabla14[[#This Row],[OPERACIÓN]]=MAESTRO!$B$5,Tabla14[CAPITAL],-Tabla14[[#This Row],[CAPITAL]])),2)</f>
        <v>-72624872.290000007</v>
      </c>
    </row>
    <row r="449" spans="1:13" x14ac:dyDescent="0.3">
      <c r="A449" s="26">
        <v>46101</v>
      </c>
      <c r="B449" t="s">
        <v>292</v>
      </c>
      <c r="C449" t="s">
        <v>132</v>
      </c>
      <c r="D449" s="27" t="s">
        <v>17</v>
      </c>
      <c r="E449" s="4" t="s">
        <v>48</v>
      </c>
      <c r="F449" s="4">
        <v>60400000</v>
      </c>
      <c r="G449" s="8" t="str">
        <f>+VLOOKUP(Tabla14[[#This Row],[FONDO]],MAESTRO!$D$2:$E$119,2,FALSE)</f>
        <v>Banco Macro S.A.</v>
      </c>
      <c r="H449" s="8" t="str">
        <f>+VLOOKUP(Tabla14[[#This Row],[FONDO]],MAESTRO!D:F,3,FALSE)</f>
        <v>(T+0)</v>
      </c>
      <c r="I449" s="4" t="s">
        <v>9</v>
      </c>
      <c r="L4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49" s="4">
        <f>ROUND(IF(Tabla14[[#This Row],[OPERACIÓN]]=MAESTRO!$B$2,Tabla14[CAPITAL],IF(Tabla14[[#This Row],[OPERACIÓN]]=MAESTRO!$B$5,Tabla14[CAPITAL],-Tabla14[[#This Row],[CAPITAL]])),2)</f>
        <v>-60400000</v>
      </c>
    </row>
    <row r="450" spans="1:13" x14ac:dyDescent="0.3">
      <c r="A450" s="26">
        <v>46101</v>
      </c>
      <c r="B450" t="s">
        <v>299</v>
      </c>
      <c r="C450" t="s">
        <v>132</v>
      </c>
      <c r="D450" s="27" t="s">
        <v>17</v>
      </c>
      <c r="E450" s="4" t="s">
        <v>48</v>
      </c>
      <c r="F450" s="4">
        <v>141000000</v>
      </c>
      <c r="G450" s="8" t="str">
        <f>+VLOOKUP(Tabla14[[#This Row],[FONDO]],MAESTRO!$D$2:$E$119,2,FALSE)</f>
        <v>Banco Macro S.A.</v>
      </c>
      <c r="H450" s="8" t="str">
        <f>+VLOOKUP(Tabla14[[#This Row],[FONDO]],MAESTRO!D:F,3,FALSE)</f>
        <v>(T+0)</v>
      </c>
      <c r="I450" s="4" t="s">
        <v>9</v>
      </c>
      <c r="L4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0" s="4">
        <f>ROUND(IF(Tabla14[[#This Row],[OPERACIÓN]]=MAESTRO!$B$2,Tabla14[CAPITAL],IF(Tabla14[[#This Row],[OPERACIÓN]]=MAESTRO!$B$5,Tabla14[CAPITAL],-Tabla14[[#This Row],[CAPITAL]])),2)</f>
        <v>-141000000</v>
      </c>
    </row>
    <row r="451" spans="1:13" x14ac:dyDescent="0.3">
      <c r="A451" s="26">
        <v>46101</v>
      </c>
      <c r="B451" t="s">
        <v>298</v>
      </c>
      <c r="C451" t="s">
        <v>132</v>
      </c>
      <c r="D451" s="27" t="s">
        <v>17</v>
      </c>
      <c r="E451" s="4" t="s">
        <v>43</v>
      </c>
      <c r="F451" s="4">
        <v>473900000</v>
      </c>
      <c r="G451" s="8" t="str">
        <f>+VLOOKUP(Tabla14[[#This Row],[FONDO]],MAESTRO!$D$2:$E$119,2,FALSE)</f>
        <v>Banco Santander Rio S.A.</v>
      </c>
      <c r="H451" s="8" t="str">
        <f>+VLOOKUP(Tabla14[[#This Row],[FONDO]],MAESTRO!D:F,3,FALSE)</f>
        <v>(T+0)</v>
      </c>
      <c r="I451" s="4" t="s">
        <v>9</v>
      </c>
      <c r="L4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1" s="4">
        <f>ROUND(IF(Tabla14[[#This Row],[OPERACIÓN]]=MAESTRO!$B$2,Tabla14[CAPITAL],IF(Tabla14[[#This Row],[OPERACIÓN]]=MAESTRO!$B$5,Tabla14[CAPITAL],-Tabla14[[#This Row],[CAPITAL]])),2)</f>
        <v>-473900000</v>
      </c>
    </row>
    <row r="452" spans="1:13" x14ac:dyDescent="0.3">
      <c r="A452" s="26">
        <v>46101</v>
      </c>
      <c r="B452" t="s">
        <v>292</v>
      </c>
      <c r="C452" t="s">
        <v>132</v>
      </c>
      <c r="D452" s="27" t="s">
        <v>17</v>
      </c>
      <c r="E452" s="4" t="s">
        <v>136</v>
      </c>
      <c r="F452" s="4">
        <v>150000000</v>
      </c>
      <c r="G452" s="8" t="str">
        <f>+VLOOKUP(Tabla14[[#This Row],[FONDO]],MAESTRO!$D$2:$E$119,2,FALSE)</f>
        <v>Gma Capital</v>
      </c>
      <c r="H452" s="8" t="str">
        <f>+VLOOKUP(Tabla14[[#This Row],[FONDO]],MAESTRO!D:F,3,FALSE)</f>
        <v>(T+0)</v>
      </c>
      <c r="I452" s="4" t="s">
        <v>9</v>
      </c>
      <c r="L4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2" s="4">
        <f>ROUND(IF(Tabla14[[#This Row],[OPERACIÓN]]=MAESTRO!$B$2,Tabla14[CAPITAL],IF(Tabla14[[#This Row],[OPERACIÓN]]=MAESTRO!$B$5,Tabla14[CAPITAL],-Tabla14[[#This Row],[CAPITAL]])),2)</f>
        <v>-150000000</v>
      </c>
    </row>
    <row r="453" spans="1:13" x14ac:dyDescent="0.3">
      <c r="A453" s="37">
        <v>46106</v>
      </c>
      <c r="B453" s="20" t="s">
        <v>298</v>
      </c>
      <c r="C453" s="20" t="s">
        <v>132</v>
      </c>
      <c r="D453" s="38" t="s">
        <v>16</v>
      </c>
      <c r="E453" s="39" t="s">
        <v>40</v>
      </c>
      <c r="F453" s="39">
        <v>63684418.57</v>
      </c>
      <c r="G453" s="40" t="str">
        <f>+VLOOKUP(Tabla14[[#This Row],[FONDO]],MAESTRO!$D$2:$E$119,2,FALSE)</f>
        <v>BBVA Banco Frances SA</v>
      </c>
      <c r="H453" s="40" t="str">
        <f>+VLOOKUP(Tabla14[[#This Row],[FONDO]],MAESTRO!D:F,3,FALSE)</f>
        <v>(T+0)</v>
      </c>
      <c r="I453" s="39" t="s">
        <v>9</v>
      </c>
      <c r="J453" s="49"/>
      <c r="K453" s="20"/>
      <c r="L45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3" s="39">
        <f>ROUND(IF(Tabla14[[#This Row],[OPERACIÓN]]=MAESTRO!$B$2,Tabla14[CAPITAL],IF(Tabla14[[#This Row],[OPERACIÓN]]=MAESTRO!$B$5,Tabla14[CAPITAL],-Tabla14[[#This Row],[CAPITAL]])),2)</f>
        <v>63684418.57</v>
      </c>
    </row>
    <row r="454" spans="1:13" x14ac:dyDescent="0.3">
      <c r="A454" s="37">
        <v>46106</v>
      </c>
      <c r="B454" s="20" t="s">
        <v>299</v>
      </c>
      <c r="C454" s="20" t="s">
        <v>132</v>
      </c>
      <c r="D454" s="38" t="s">
        <v>16</v>
      </c>
      <c r="E454" s="39" t="s">
        <v>40</v>
      </c>
      <c r="F454" s="39">
        <v>17603657</v>
      </c>
      <c r="G454" s="40" t="str">
        <f>+VLOOKUP(Tabla14[[#This Row],[FONDO]],MAESTRO!$D$2:$E$119,2,FALSE)</f>
        <v>BBVA Banco Frances SA</v>
      </c>
      <c r="H454" s="40" t="str">
        <f>+VLOOKUP(Tabla14[[#This Row],[FONDO]],MAESTRO!D:F,3,FALSE)</f>
        <v>(T+0)</v>
      </c>
      <c r="I454" s="39" t="s">
        <v>9</v>
      </c>
      <c r="J454" s="49"/>
      <c r="K454" s="20"/>
      <c r="L45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4" s="39">
        <f>ROUND(IF(Tabla14[[#This Row],[OPERACIÓN]]=MAESTRO!$B$2,Tabla14[CAPITAL],IF(Tabla14[[#This Row],[OPERACIÓN]]=MAESTRO!$B$5,Tabla14[CAPITAL],-Tabla14[[#This Row],[CAPITAL]])),2)</f>
        <v>17603657</v>
      </c>
    </row>
    <row r="455" spans="1:13" x14ac:dyDescent="0.3">
      <c r="A455" s="37">
        <v>46106</v>
      </c>
      <c r="B455" s="20" t="s">
        <v>299</v>
      </c>
      <c r="C455" s="20" t="s">
        <v>132</v>
      </c>
      <c r="D455" s="38" t="s">
        <v>16</v>
      </c>
      <c r="E455" s="39" t="s">
        <v>48</v>
      </c>
      <c r="F455" s="39">
        <v>17362734</v>
      </c>
      <c r="G455" s="40" t="str">
        <f>+VLOOKUP(Tabla14[[#This Row],[FONDO]],MAESTRO!$D$2:$E$119,2,FALSE)</f>
        <v>Banco Macro S.A.</v>
      </c>
      <c r="H455" s="40" t="str">
        <f>+VLOOKUP(Tabla14[[#This Row],[FONDO]],MAESTRO!D:F,3,FALSE)</f>
        <v>(T+0)</v>
      </c>
      <c r="I455" s="39" t="s">
        <v>9</v>
      </c>
      <c r="J455" s="49"/>
      <c r="K455" s="20"/>
      <c r="L45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5" s="39">
        <f>ROUND(IF(Tabla14[[#This Row],[OPERACIÓN]]=MAESTRO!$B$2,Tabla14[CAPITAL],IF(Tabla14[[#This Row],[OPERACIÓN]]=MAESTRO!$B$5,Tabla14[CAPITAL],-Tabla14[[#This Row],[CAPITAL]])),2)</f>
        <v>17362734</v>
      </c>
    </row>
    <row r="456" spans="1:13" x14ac:dyDescent="0.3">
      <c r="A456" s="37">
        <v>46106</v>
      </c>
      <c r="B456" s="20" t="s">
        <v>126</v>
      </c>
      <c r="C456" s="20" t="s">
        <v>132</v>
      </c>
      <c r="D456" s="38" t="s">
        <v>16</v>
      </c>
      <c r="E456" s="39" t="s">
        <v>48</v>
      </c>
      <c r="F456" s="55">
        <v>5889024</v>
      </c>
      <c r="G456" s="40" t="str">
        <f>+VLOOKUP(Tabla14[[#This Row],[FONDO]],MAESTRO!$D$2:$E$119,2,FALSE)</f>
        <v>Banco Macro S.A.</v>
      </c>
      <c r="H456" s="40" t="str">
        <f>+VLOOKUP(Tabla14[[#This Row],[FONDO]],MAESTRO!D:F,3,FALSE)</f>
        <v>(T+0)</v>
      </c>
      <c r="I456" s="39" t="s">
        <v>9</v>
      </c>
      <c r="J456" s="49"/>
      <c r="K456" s="20"/>
      <c r="L45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6" s="39">
        <f>ROUND(IF(Tabla14[[#This Row],[OPERACIÓN]]=MAESTRO!$B$2,Tabla14[CAPITAL],IF(Tabla14[[#This Row],[OPERACIÓN]]=MAESTRO!$B$5,Tabla14[CAPITAL],-Tabla14[[#This Row],[CAPITAL]])),2)</f>
        <v>5889024</v>
      </c>
    </row>
    <row r="457" spans="1:13" x14ac:dyDescent="0.3">
      <c r="A457" s="26">
        <v>46106</v>
      </c>
      <c r="B457" t="s">
        <v>126</v>
      </c>
      <c r="C457" t="s">
        <v>132</v>
      </c>
      <c r="D457" s="27" t="s">
        <v>17</v>
      </c>
      <c r="E457" s="4" t="s">
        <v>48</v>
      </c>
      <c r="F457" s="4">
        <v>4200000</v>
      </c>
      <c r="G457" s="8" t="str">
        <f>+VLOOKUP(Tabla14[[#This Row],[FONDO]],MAESTRO!$D$2:$E$119,2,FALSE)</f>
        <v>Banco Macro S.A.</v>
      </c>
      <c r="H457" s="8" t="str">
        <f>+VLOOKUP(Tabla14[[#This Row],[FONDO]],MAESTRO!D:F,3,FALSE)</f>
        <v>(T+0)</v>
      </c>
      <c r="I457" s="4" t="s">
        <v>9</v>
      </c>
      <c r="L4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7" s="4">
        <f>ROUND(IF(Tabla14[[#This Row],[OPERACIÓN]]=MAESTRO!$B$2,Tabla14[CAPITAL],IF(Tabla14[[#This Row],[OPERACIÓN]]=MAESTRO!$B$5,Tabla14[CAPITAL],-Tabla14[[#This Row],[CAPITAL]])),2)</f>
        <v>-4200000</v>
      </c>
    </row>
    <row r="458" spans="1:13" x14ac:dyDescent="0.3">
      <c r="A458" s="26">
        <v>46106</v>
      </c>
      <c r="B458" t="s">
        <v>299</v>
      </c>
      <c r="C458" t="s">
        <v>132</v>
      </c>
      <c r="D458" s="27" t="s">
        <v>17</v>
      </c>
      <c r="E458" s="4" t="s">
        <v>48</v>
      </c>
      <c r="F458" s="4">
        <v>19500000</v>
      </c>
      <c r="G458" s="8" t="str">
        <f>+VLOOKUP(Tabla14[[#This Row],[FONDO]],MAESTRO!$D$2:$E$119,2,FALSE)</f>
        <v>Banco Macro S.A.</v>
      </c>
      <c r="H458" s="8" t="str">
        <f>+VLOOKUP(Tabla14[[#This Row],[FONDO]],MAESTRO!D:F,3,FALSE)</f>
        <v>(T+0)</v>
      </c>
      <c r="I458" s="4" t="s">
        <v>9</v>
      </c>
      <c r="L4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8" s="4">
        <f>ROUND(IF(Tabla14[[#This Row],[OPERACIÓN]]=MAESTRO!$B$2,Tabla14[CAPITAL],IF(Tabla14[[#This Row],[OPERACIÓN]]=MAESTRO!$B$5,Tabla14[CAPITAL],-Tabla14[[#This Row],[CAPITAL]])),2)</f>
        <v>-19500000</v>
      </c>
    </row>
    <row r="459" spans="1:13" x14ac:dyDescent="0.3">
      <c r="A459" s="26">
        <v>46106</v>
      </c>
      <c r="B459" t="s">
        <v>292</v>
      </c>
      <c r="C459" t="s">
        <v>132</v>
      </c>
      <c r="D459" s="27" t="s">
        <v>16</v>
      </c>
      <c r="E459" s="4" t="s">
        <v>48</v>
      </c>
      <c r="F459" s="4">
        <v>172400000</v>
      </c>
      <c r="G459" s="8" t="str">
        <f>+VLOOKUP(Tabla14[[#This Row],[FONDO]],MAESTRO!$D$2:$E$119,2,FALSE)</f>
        <v>Banco Macro S.A.</v>
      </c>
      <c r="H459" s="8" t="str">
        <f>+VLOOKUP(Tabla14[[#This Row],[FONDO]],MAESTRO!D:F,3,FALSE)</f>
        <v>(T+0)</v>
      </c>
      <c r="I459" s="4" t="s">
        <v>9</v>
      </c>
      <c r="L4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59" s="4">
        <f>ROUND(IF(Tabla14[[#This Row],[OPERACIÓN]]=MAESTRO!$B$2,Tabla14[CAPITAL],IF(Tabla14[[#This Row],[OPERACIÓN]]=MAESTRO!$B$5,Tabla14[CAPITAL],-Tabla14[[#This Row],[CAPITAL]])),2)</f>
        <v>172400000</v>
      </c>
    </row>
    <row r="460" spans="1:13" x14ac:dyDescent="0.3">
      <c r="A460" s="26">
        <v>46106</v>
      </c>
      <c r="B460" t="s">
        <v>298</v>
      </c>
      <c r="C460" t="s">
        <v>132</v>
      </c>
      <c r="D460" s="27" t="s">
        <v>17</v>
      </c>
      <c r="E460" s="4" t="s">
        <v>43</v>
      </c>
      <c r="F460" s="4">
        <v>750000000</v>
      </c>
      <c r="G460" s="8" t="str">
        <f>+VLOOKUP(Tabla14[[#This Row],[FONDO]],MAESTRO!$D$2:$E$119,2,FALSE)</f>
        <v>Banco Santander Rio S.A.</v>
      </c>
      <c r="H460" s="8" t="str">
        <f>+VLOOKUP(Tabla14[[#This Row],[FONDO]],MAESTRO!D:F,3,FALSE)</f>
        <v>(T+0)</v>
      </c>
      <c r="I460" s="4" t="s">
        <v>9</v>
      </c>
      <c r="L4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0" s="4">
        <f>ROUND(IF(Tabla14[[#This Row],[OPERACIÓN]]=MAESTRO!$B$2,Tabla14[CAPITAL],IF(Tabla14[[#This Row],[OPERACIÓN]]=MAESTRO!$B$5,Tabla14[CAPITAL],-Tabla14[[#This Row],[CAPITAL]])),2)</f>
        <v>-750000000</v>
      </c>
    </row>
    <row r="461" spans="1:13" x14ac:dyDescent="0.3">
      <c r="A461" s="26">
        <v>46106</v>
      </c>
      <c r="B461" t="s">
        <v>299</v>
      </c>
      <c r="C461" t="s">
        <v>132</v>
      </c>
      <c r="D461" s="27" t="s">
        <v>17</v>
      </c>
      <c r="E461" s="4" t="s">
        <v>40</v>
      </c>
      <c r="F461" s="4">
        <v>600000000</v>
      </c>
      <c r="G461" s="8" t="str">
        <f>+VLOOKUP(Tabla14[[#This Row],[FONDO]],MAESTRO!$D$2:$E$119,2,FALSE)</f>
        <v>BBVA Banco Frances SA</v>
      </c>
      <c r="H461" s="8" t="str">
        <f>+VLOOKUP(Tabla14[[#This Row],[FONDO]],MAESTRO!D:F,3,FALSE)</f>
        <v>(T+0)</v>
      </c>
      <c r="I461" s="4" t="s">
        <v>9</v>
      </c>
      <c r="L4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1" s="4">
        <f>ROUND(IF(Tabla14[[#This Row],[OPERACIÓN]]=MAESTRO!$B$2,Tabla14[CAPITAL],IF(Tabla14[[#This Row],[OPERACIÓN]]=MAESTRO!$B$5,Tabla14[CAPITAL],-Tabla14[[#This Row],[CAPITAL]])),2)</f>
        <v>-600000000</v>
      </c>
    </row>
    <row r="462" spans="1:13" x14ac:dyDescent="0.3">
      <c r="A462" s="26">
        <v>46106</v>
      </c>
      <c r="B462" t="s">
        <v>299</v>
      </c>
      <c r="C462" t="s">
        <v>132</v>
      </c>
      <c r="D462" s="27" t="s">
        <v>16</v>
      </c>
      <c r="E462" s="4" t="s">
        <v>136</v>
      </c>
      <c r="F462" s="4">
        <v>200000000</v>
      </c>
      <c r="G462" s="8" t="str">
        <f>+VLOOKUP(Tabla14[[#This Row],[FONDO]],MAESTRO!$D$2:$E$119,2,FALSE)</f>
        <v>Gma Capital</v>
      </c>
      <c r="H462" s="8" t="str">
        <f>+VLOOKUP(Tabla14[[#This Row],[FONDO]],MAESTRO!D:F,3,FALSE)</f>
        <v>(T+0)</v>
      </c>
      <c r="I462" s="4" t="s">
        <v>9</v>
      </c>
      <c r="L4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2" s="4">
        <f>ROUND(IF(Tabla14[[#This Row],[OPERACIÓN]]=MAESTRO!$B$2,Tabla14[CAPITAL],IF(Tabla14[[#This Row],[OPERACIÓN]]=MAESTRO!$B$5,Tabla14[CAPITAL],-Tabla14[[#This Row],[CAPITAL]])),2)</f>
        <v>200000000</v>
      </c>
    </row>
    <row r="463" spans="1:13" x14ac:dyDescent="0.3">
      <c r="A463" s="26">
        <v>46106</v>
      </c>
      <c r="B463" t="s">
        <v>299</v>
      </c>
      <c r="C463" t="s">
        <v>132</v>
      </c>
      <c r="D463" s="27" t="s">
        <v>16</v>
      </c>
      <c r="E463" s="4" t="s">
        <v>169</v>
      </c>
      <c r="F463" s="4">
        <v>400000000</v>
      </c>
      <c r="G463" s="8" t="str">
        <f>+VLOOKUP(Tabla14[[#This Row],[FONDO]],MAESTRO!$D$2:$E$119,2,FALSE)</f>
        <v>Max Capital</v>
      </c>
      <c r="H463" s="8" t="str">
        <f>+VLOOKUP(Tabla14[[#This Row],[FONDO]],MAESTRO!D:F,3,FALSE)</f>
        <v>(T+0)</v>
      </c>
      <c r="I463" s="4" t="s">
        <v>9</v>
      </c>
      <c r="L4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3" s="4">
        <f>ROUND(IF(Tabla14[[#This Row],[OPERACIÓN]]=MAESTRO!$B$2,Tabla14[CAPITAL],IF(Tabla14[[#This Row],[OPERACIÓN]]=MAESTRO!$B$5,Tabla14[CAPITAL],-Tabla14[[#This Row],[CAPITAL]])),2)</f>
        <v>400000000</v>
      </c>
    </row>
    <row r="464" spans="1:13" x14ac:dyDescent="0.3">
      <c r="A464" s="26">
        <v>46106</v>
      </c>
      <c r="B464" t="s">
        <v>292</v>
      </c>
      <c r="C464" t="s">
        <v>132</v>
      </c>
      <c r="D464" s="27" t="s">
        <v>16</v>
      </c>
      <c r="E464" s="4" t="s">
        <v>136</v>
      </c>
      <c r="F464" s="4">
        <v>52983411.210000001</v>
      </c>
      <c r="G464" s="8" t="str">
        <f>+VLOOKUP(Tabla14[[#This Row],[FONDO]],MAESTRO!$D$2:$E$119,2,FALSE)</f>
        <v>Gma Capital</v>
      </c>
      <c r="H464" s="8" t="str">
        <f>+VLOOKUP(Tabla14[[#This Row],[FONDO]],MAESTRO!D:F,3,FALSE)</f>
        <v>(T+0)</v>
      </c>
      <c r="I464" s="4" t="s">
        <v>9</v>
      </c>
      <c r="L4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4" s="4">
        <f>ROUND(IF(Tabla14[[#This Row],[OPERACIÓN]]=MAESTRO!$B$2,Tabla14[CAPITAL],IF(Tabla14[[#This Row],[OPERACIÓN]]=MAESTRO!$B$5,Tabla14[CAPITAL],-Tabla14[[#This Row],[CAPITAL]])),2)</f>
        <v>52983411.210000001</v>
      </c>
    </row>
    <row r="465" spans="1:13" x14ac:dyDescent="0.3">
      <c r="A465" s="26">
        <v>46107</v>
      </c>
      <c r="B465" t="s">
        <v>126</v>
      </c>
      <c r="C465" t="s">
        <v>132</v>
      </c>
      <c r="D465" s="27" t="s">
        <v>17</v>
      </c>
      <c r="E465" s="4" t="s">
        <v>48</v>
      </c>
      <c r="F465" s="4">
        <v>1100000</v>
      </c>
      <c r="G465" s="8" t="str">
        <f>+VLOOKUP(Tabla14[[#This Row],[FONDO]],MAESTRO!$D$2:$E$119,2,FALSE)</f>
        <v>Banco Macro S.A.</v>
      </c>
      <c r="H465" s="8" t="str">
        <f>+VLOOKUP(Tabla14[[#This Row],[FONDO]],MAESTRO!D:F,3,FALSE)</f>
        <v>(T+0)</v>
      </c>
      <c r="I465" s="4" t="s">
        <v>9</v>
      </c>
      <c r="L4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5" s="4">
        <f>ROUND(IF(Tabla14[[#This Row],[OPERACIÓN]]=MAESTRO!$B$2,Tabla14[CAPITAL],IF(Tabla14[[#This Row],[OPERACIÓN]]=MAESTRO!$B$5,Tabla14[CAPITAL],-Tabla14[[#This Row],[CAPITAL]])),2)</f>
        <v>-1100000</v>
      </c>
    </row>
    <row r="466" spans="1:13" x14ac:dyDescent="0.3">
      <c r="A466" s="26">
        <v>46107</v>
      </c>
      <c r="B466" t="s">
        <v>299</v>
      </c>
      <c r="C466" t="s">
        <v>132</v>
      </c>
      <c r="D466" s="27" t="s">
        <v>17</v>
      </c>
      <c r="E466" s="4" t="s">
        <v>48</v>
      </c>
      <c r="F466" s="4">
        <v>145500000</v>
      </c>
      <c r="G466" s="8" t="str">
        <f>+VLOOKUP(Tabla14[[#This Row],[FONDO]],MAESTRO!$D$2:$E$119,2,FALSE)</f>
        <v>Banco Macro S.A.</v>
      </c>
      <c r="H466" s="8" t="str">
        <f>+VLOOKUP(Tabla14[[#This Row],[FONDO]],MAESTRO!D:F,3,FALSE)</f>
        <v>(T+0)</v>
      </c>
      <c r="I466" s="4" t="s">
        <v>9</v>
      </c>
      <c r="L4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6" s="4">
        <f>ROUND(IF(Tabla14[[#This Row],[OPERACIÓN]]=MAESTRO!$B$2,Tabla14[CAPITAL],IF(Tabla14[[#This Row],[OPERACIÓN]]=MAESTRO!$B$5,Tabla14[CAPITAL],-Tabla14[[#This Row],[CAPITAL]])),2)</f>
        <v>-145500000</v>
      </c>
    </row>
    <row r="467" spans="1:13" x14ac:dyDescent="0.3">
      <c r="A467" s="26">
        <v>46107</v>
      </c>
      <c r="B467" t="s">
        <v>292</v>
      </c>
      <c r="C467" t="s">
        <v>132</v>
      </c>
      <c r="D467" s="27" t="s">
        <v>17</v>
      </c>
      <c r="E467" s="4" t="s">
        <v>48</v>
      </c>
      <c r="F467" s="4">
        <v>79700000</v>
      </c>
      <c r="G467" s="8" t="str">
        <f>+VLOOKUP(Tabla14[[#This Row],[FONDO]],MAESTRO!$D$2:$E$119,2,FALSE)</f>
        <v>Banco Macro S.A.</v>
      </c>
      <c r="H467" s="8" t="str">
        <f>+VLOOKUP(Tabla14[[#This Row],[FONDO]],MAESTRO!D:F,3,FALSE)</f>
        <v>(T+0)</v>
      </c>
      <c r="I467" s="4" t="s">
        <v>9</v>
      </c>
      <c r="L4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7" s="4">
        <f>ROUND(IF(Tabla14[[#This Row],[OPERACIÓN]]=MAESTRO!$B$2,Tabla14[CAPITAL],IF(Tabla14[[#This Row],[OPERACIÓN]]=MAESTRO!$B$5,Tabla14[CAPITAL],-Tabla14[[#This Row],[CAPITAL]])),2)</f>
        <v>-79700000</v>
      </c>
    </row>
    <row r="468" spans="1:13" x14ac:dyDescent="0.3">
      <c r="A468" s="26">
        <v>46107</v>
      </c>
      <c r="B468" t="s">
        <v>298</v>
      </c>
      <c r="C468" t="s">
        <v>132</v>
      </c>
      <c r="D468" s="27" t="s">
        <v>17</v>
      </c>
      <c r="E468" s="4" t="s">
        <v>43</v>
      </c>
      <c r="F468" s="4">
        <v>1290300000</v>
      </c>
      <c r="G468" s="8" t="str">
        <f>+VLOOKUP(Tabla14[[#This Row],[FONDO]],MAESTRO!$D$2:$E$119,2,FALSE)</f>
        <v>Banco Santander Rio S.A.</v>
      </c>
      <c r="H468" s="8" t="str">
        <f>+VLOOKUP(Tabla14[[#This Row],[FONDO]],MAESTRO!D:F,3,FALSE)</f>
        <v>(T+0)</v>
      </c>
      <c r="I468" s="4" t="s">
        <v>9</v>
      </c>
      <c r="L4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8" s="4">
        <f>ROUND(IF(Tabla14[[#This Row],[OPERACIÓN]]=MAESTRO!$B$2,Tabla14[CAPITAL],IF(Tabla14[[#This Row],[OPERACIÓN]]=MAESTRO!$B$5,Tabla14[CAPITAL],-Tabla14[[#This Row],[CAPITAL]])),2)</f>
        <v>-1290300000</v>
      </c>
    </row>
    <row r="469" spans="1:13" x14ac:dyDescent="0.3">
      <c r="A469" s="26">
        <v>46107</v>
      </c>
      <c r="B469" t="s">
        <v>298</v>
      </c>
      <c r="C469" t="s">
        <v>132</v>
      </c>
      <c r="D469" s="27" t="s">
        <v>17</v>
      </c>
      <c r="E469" s="4" t="s">
        <v>136</v>
      </c>
      <c r="F469" s="4">
        <v>137699380</v>
      </c>
      <c r="G469" s="8" t="str">
        <f>+VLOOKUP(Tabla14[[#This Row],[FONDO]],MAESTRO!$D$2:$E$119,2,FALSE)</f>
        <v>Gma Capital</v>
      </c>
      <c r="H469" s="8" t="str">
        <f>+VLOOKUP(Tabla14[[#This Row],[FONDO]],MAESTRO!D:F,3,FALSE)</f>
        <v>(T+0)</v>
      </c>
      <c r="I469" s="4" t="s">
        <v>9</v>
      </c>
      <c r="L4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69" s="4">
        <f>ROUND(IF(Tabla14[[#This Row],[OPERACIÓN]]=MAESTRO!$B$2,Tabla14[CAPITAL],IF(Tabla14[[#This Row],[OPERACIÓN]]=MAESTRO!$B$5,Tabla14[CAPITAL],-Tabla14[[#This Row],[CAPITAL]])),2)</f>
        <v>-137699380</v>
      </c>
    </row>
    <row r="470" spans="1:13" x14ac:dyDescent="0.3">
      <c r="A470" s="26">
        <v>46107</v>
      </c>
      <c r="B470" t="s">
        <v>298</v>
      </c>
      <c r="C470" t="s">
        <v>132</v>
      </c>
      <c r="D470" s="27" t="s">
        <v>17</v>
      </c>
      <c r="E470" s="4" t="s">
        <v>136</v>
      </c>
      <c r="F470" s="4">
        <v>103724510.26000001</v>
      </c>
      <c r="G470" s="8" t="str">
        <f>+VLOOKUP(Tabla14[[#This Row],[FONDO]],MAESTRO!$D$2:$E$119,2,FALSE)</f>
        <v>Gma Capital</v>
      </c>
      <c r="H470" s="8" t="str">
        <f>+VLOOKUP(Tabla14[[#This Row],[FONDO]],MAESTRO!D:F,3,FALSE)</f>
        <v>(T+0)</v>
      </c>
      <c r="I470" s="4" t="s">
        <v>9</v>
      </c>
      <c r="L4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0" s="4">
        <f>ROUND(IF(Tabla14[[#This Row],[OPERACIÓN]]=MAESTRO!$B$2,Tabla14[CAPITAL],IF(Tabla14[[#This Row],[OPERACIÓN]]=MAESTRO!$B$5,Tabla14[CAPITAL],-Tabla14[[#This Row],[CAPITAL]])),2)</f>
        <v>-103724510.26000001</v>
      </c>
    </row>
    <row r="471" spans="1:13" x14ac:dyDescent="0.3">
      <c r="A471" s="26">
        <v>46107</v>
      </c>
      <c r="B471" t="s">
        <v>299</v>
      </c>
      <c r="C471" t="s">
        <v>132</v>
      </c>
      <c r="D471" s="27" t="s">
        <v>17</v>
      </c>
      <c r="E471" s="4" t="s">
        <v>136</v>
      </c>
      <c r="F471" s="4">
        <v>100000000</v>
      </c>
      <c r="G471" s="8" t="str">
        <f>+VLOOKUP(Tabla14[[#This Row],[FONDO]],MAESTRO!$D$2:$E$119,2,FALSE)</f>
        <v>Gma Capital</v>
      </c>
      <c r="H471" s="8" t="str">
        <f>+VLOOKUP(Tabla14[[#This Row],[FONDO]],MAESTRO!D:F,3,FALSE)</f>
        <v>(T+0)</v>
      </c>
      <c r="I471" s="4" t="s">
        <v>9</v>
      </c>
      <c r="L4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1" s="4">
        <f>ROUND(IF(Tabla14[[#This Row],[OPERACIÓN]]=MAESTRO!$B$2,Tabla14[CAPITAL],IF(Tabla14[[#This Row],[OPERACIÓN]]=MAESTRO!$B$5,Tabla14[CAPITAL],-Tabla14[[#This Row],[CAPITAL]])),2)</f>
        <v>-100000000</v>
      </c>
    </row>
    <row r="472" spans="1:13" x14ac:dyDescent="0.3">
      <c r="A472" s="26">
        <v>46107</v>
      </c>
      <c r="B472" t="s">
        <v>299</v>
      </c>
      <c r="C472" t="s">
        <v>132</v>
      </c>
      <c r="D472" s="27" t="s">
        <v>17</v>
      </c>
      <c r="E472" s="4" t="s">
        <v>136</v>
      </c>
      <c r="F472" s="4">
        <v>124888815.34999999</v>
      </c>
      <c r="G472" s="8" t="str">
        <f>+VLOOKUP(Tabla14[[#This Row],[FONDO]],MAESTRO!$D$2:$E$119,2,FALSE)</f>
        <v>Gma Capital</v>
      </c>
      <c r="H472" s="8" t="str">
        <f>+VLOOKUP(Tabla14[[#This Row],[FONDO]],MAESTRO!D:F,3,FALSE)</f>
        <v>(T+0)</v>
      </c>
      <c r="I472" s="4" t="s">
        <v>9</v>
      </c>
      <c r="L4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2" s="4">
        <f>ROUND(IF(Tabla14[[#This Row],[OPERACIÓN]]=MAESTRO!$B$2,Tabla14[CAPITAL],IF(Tabla14[[#This Row],[OPERACIÓN]]=MAESTRO!$B$5,Tabla14[CAPITAL],-Tabla14[[#This Row],[CAPITAL]])),2)</f>
        <v>-124888815.34999999</v>
      </c>
    </row>
    <row r="473" spans="1:13" x14ac:dyDescent="0.3">
      <c r="A473" s="26">
        <v>46107</v>
      </c>
      <c r="B473" t="s">
        <v>298</v>
      </c>
      <c r="C473" t="s">
        <v>132</v>
      </c>
      <c r="D473" s="27" t="s">
        <v>17</v>
      </c>
      <c r="E473" s="4" t="s">
        <v>169</v>
      </c>
      <c r="F473" s="4">
        <v>165118950</v>
      </c>
      <c r="G473" s="8" t="str">
        <f>+VLOOKUP(Tabla14[[#This Row],[FONDO]],MAESTRO!$D$2:$E$119,2,FALSE)</f>
        <v>Max Capital</v>
      </c>
      <c r="H473" s="8" t="str">
        <f>+VLOOKUP(Tabla14[[#This Row],[FONDO]],MAESTRO!D:F,3,FALSE)</f>
        <v>(T+0)</v>
      </c>
      <c r="I473" s="4" t="s">
        <v>9</v>
      </c>
      <c r="L4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3" s="4">
        <f>ROUND(IF(Tabla14[[#This Row],[OPERACIÓN]]=MAESTRO!$B$2,Tabla14[CAPITAL],IF(Tabla14[[#This Row],[OPERACIÓN]]=MAESTRO!$B$5,Tabla14[CAPITAL],-Tabla14[[#This Row],[CAPITAL]])),2)</f>
        <v>-165118950</v>
      </c>
    </row>
    <row r="474" spans="1:13" x14ac:dyDescent="0.3">
      <c r="A474" s="26">
        <v>46107</v>
      </c>
      <c r="B474" t="s">
        <v>299</v>
      </c>
      <c r="C474" t="s">
        <v>132</v>
      </c>
      <c r="D474" s="27" t="s">
        <v>17</v>
      </c>
      <c r="E474" s="4" t="s">
        <v>169</v>
      </c>
      <c r="F474" s="4">
        <v>82199925.5</v>
      </c>
      <c r="G474" s="8" t="str">
        <f>+VLOOKUP(Tabla14[[#This Row],[FONDO]],MAESTRO!$D$2:$E$119,2,FALSE)</f>
        <v>Max Capital</v>
      </c>
      <c r="H474" s="8" t="str">
        <f>+VLOOKUP(Tabla14[[#This Row],[FONDO]],MAESTRO!D:F,3,FALSE)</f>
        <v>(T+0)</v>
      </c>
      <c r="I474" s="4" t="s">
        <v>9</v>
      </c>
      <c r="L4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4" s="4">
        <f>ROUND(IF(Tabla14[[#This Row],[OPERACIÓN]]=MAESTRO!$B$2,Tabla14[CAPITAL],IF(Tabla14[[#This Row],[OPERACIÓN]]=MAESTRO!$B$5,Tabla14[CAPITAL],-Tabla14[[#This Row],[CAPITAL]])),2)</f>
        <v>-82199925.5</v>
      </c>
    </row>
    <row r="475" spans="1:13" x14ac:dyDescent="0.3">
      <c r="A475" s="26">
        <v>46107</v>
      </c>
      <c r="B475" t="s">
        <v>299</v>
      </c>
      <c r="C475" t="s">
        <v>132</v>
      </c>
      <c r="D475" s="27" t="s">
        <v>17</v>
      </c>
      <c r="E475" s="4" t="s">
        <v>169</v>
      </c>
      <c r="F475" s="4">
        <v>132374121</v>
      </c>
      <c r="G475" s="8" t="str">
        <f>+VLOOKUP(Tabla14[[#This Row],[FONDO]],MAESTRO!$D$2:$E$119,2,FALSE)</f>
        <v>Max Capital</v>
      </c>
      <c r="H475" s="8" t="str">
        <f>+VLOOKUP(Tabla14[[#This Row],[FONDO]],MAESTRO!D:F,3,FALSE)</f>
        <v>(T+0)</v>
      </c>
      <c r="I475" s="4" t="s">
        <v>9</v>
      </c>
      <c r="L4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5" s="4">
        <f>ROUND(IF(Tabla14[[#This Row],[OPERACIÓN]]=MAESTRO!$B$2,Tabla14[CAPITAL],IF(Tabla14[[#This Row],[OPERACIÓN]]=MAESTRO!$B$5,Tabla14[CAPITAL],-Tabla14[[#This Row],[CAPITAL]])),2)</f>
        <v>-132374121</v>
      </c>
    </row>
    <row r="476" spans="1:13" x14ac:dyDescent="0.3">
      <c r="A476" s="26">
        <v>46108</v>
      </c>
      <c r="B476" t="s">
        <v>299</v>
      </c>
      <c r="C476" t="s">
        <v>132</v>
      </c>
      <c r="D476" s="27" t="s">
        <v>17</v>
      </c>
      <c r="E476" s="4" t="s">
        <v>48</v>
      </c>
      <c r="F476" s="4">
        <v>9500000</v>
      </c>
      <c r="G476" s="8" t="str">
        <f>+VLOOKUP(Tabla14[[#This Row],[FONDO]],MAESTRO!$D$2:$E$119,2,FALSE)</f>
        <v>Banco Macro S.A.</v>
      </c>
      <c r="H476" s="8" t="str">
        <f>+VLOOKUP(Tabla14[[#This Row],[FONDO]],MAESTRO!D:F,3,FALSE)</f>
        <v>(T+0)</v>
      </c>
      <c r="I476" s="4" t="s">
        <v>9</v>
      </c>
      <c r="L4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6" s="4">
        <f>ROUND(IF(Tabla14[[#This Row],[OPERACIÓN]]=MAESTRO!$B$2,Tabla14[CAPITAL],IF(Tabla14[[#This Row],[OPERACIÓN]]=MAESTRO!$B$5,Tabla14[CAPITAL],-Tabla14[[#This Row],[CAPITAL]])),2)</f>
        <v>-9500000</v>
      </c>
    </row>
    <row r="477" spans="1:13" x14ac:dyDescent="0.3">
      <c r="A477" s="26">
        <v>46108</v>
      </c>
      <c r="B477" t="s">
        <v>292</v>
      </c>
      <c r="C477" t="s">
        <v>132</v>
      </c>
      <c r="D477" s="27" t="s">
        <v>16</v>
      </c>
      <c r="E477" s="4" t="s">
        <v>48</v>
      </c>
      <c r="F477" s="4">
        <v>21000000</v>
      </c>
      <c r="G477" s="8" t="str">
        <f>+VLOOKUP(Tabla14[[#This Row],[FONDO]],MAESTRO!$D$2:$E$119,2,FALSE)</f>
        <v>Banco Macro S.A.</v>
      </c>
      <c r="H477" s="8" t="str">
        <f>+VLOOKUP(Tabla14[[#This Row],[FONDO]],MAESTRO!D:F,3,FALSE)</f>
        <v>(T+0)</v>
      </c>
      <c r="I477" s="4" t="s">
        <v>9</v>
      </c>
      <c r="L4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7" s="4">
        <f>ROUND(IF(Tabla14[[#This Row],[OPERACIÓN]]=MAESTRO!$B$2,Tabla14[CAPITAL],IF(Tabla14[[#This Row],[OPERACIÓN]]=MAESTRO!$B$5,Tabla14[CAPITAL],-Tabla14[[#This Row],[CAPITAL]])),2)</f>
        <v>21000000</v>
      </c>
    </row>
    <row r="478" spans="1:13" x14ac:dyDescent="0.3">
      <c r="A478" s="26">
        <v>46108</v>
      </c>
      <c r="B478" t="s">
        <v>298</v>
      </c>
      <c r="C478" t="s">
        <v>132</v>
      </c>
      <c r="D478" s="27" t="s">
        <v>16</v>
      </c>
      <c r="E478" s="4" t="s">
        <v>43</v>
      </c>
      <c r="F478" s="4">
        <v>3000000000</v>
      </c>
      <c r="G478" s="8" t="str">
        <f>+VLOOKUP(Tabla14[[#This Row],[FONDO]],MAESTRO!$D$2:$E$119,2,FALSE)</f>
        <v>Banco Santander Rio S.A.</v>
      </c>
      <c r="H478" s="8" t="str">
        <f>+VLOOKUP(Tabla14[[#This Row],[FONDO]],MAESTRO!D:F,3,FALSE)</f>
        <v>(T+0)</v>
      </c>
      <c r="I478" s="4" t="s">
        <v>9</v>
      </c>
      <c r="L4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8" s="4">
        <f>ROUND(IF(Tabla14[[#This Row],[OPERACIÓN]]=MAESTRO!$B$2,Tabla14[CAPITAL],IF(Tabla14[[#This Row],[OPERACIÓN]]=MAESTRO!$B$5,Tabla14[CAPITAL],-Tabla14[[#This Row],[CAPITAL]])),2)</f>
        <v>3000000000</v>
      </c>
    </row>
    <row r="479" spans="1:13" x14ac:dyDescent="0.3">
      <c r="A479" s="26">
        <v>46108</v>
      </c>
      <c r="B479" t="s">
        <v>298</v>
      </c>
      <c r="C479" t="s">
        <v>132</v>
      </c>
      <c r="D479" s="27" t="s">
        <v>16</v>
      </c>
      <c r="E479" s="4" t="s">
        <v>40</v>
      </c>
      <c r="F479" s="4">
        <v>3513400000</v>
      </c>
      <c r="G479" s="8" t="str">
        <f>+VLOOKUP(Tabla14[[#This Row],[FONDO]],MAESTRO!$D$2:$E$119,2,FALSE)</f>
        <v>BBVA Banco Frances SA</v>
      </c>
      <c r="H479" s="8" t="str">
        <f>+VLOOKUP(Tabla14[[#This Row],[FONDO]],MAESTRO!D:F,3,FALSE)</f>
        <v>(T+0)</v>
      </c>
      <c r="I479" s="4" t="s">
        <v>9</v>
      </c>
      <c r="L4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79" s="4">
        <f>ROUND(IF(Tabla14[[#This Row],[OPERACIÓN]]=MAESTRO!$B$2,Tabla14[CAPITAL],IF(Tabla14[[#This Row],[OPERACIÓN]]=MAESTRO!$B$5,Tabla14[CAPITAL],-Tabla14[[#This Row],[CAPITAL]])),2)</f>
        <v>3513400000</v>
      </c>
    </row>
    <row r="480" spans="1:13" x14ac:dyDescent="0.3">
      <c r="A480" s="37">
        <v>46111</v>
      </c>
      <c r="B480" s="20" t="s">
        <v>299</v>
      </c>
      <c r="C480" s="20" t="s">
        <v>132</v>
      </c>
      <c r="D480" s="38" t="s">
        <v>16</v>
      </c>
      <c r="E480" s="39" t="s">
        <v>212</v>
      </c>
      <c r="F480" s="39">
        <v>71387429.439999998</v>
      </c>
      <c r="G480" s="40" t="str">
        <f>+VLOOKUP(Tabla14[[#This Row],[FONDO]],MAESTRO!$D$2:$E$119,2,FALSE)</f>
        <v>INTAGRO</v>
      </c>
      <c r="H480" s="40" t="str">
        <f>+VLOOKUP(Tabla14[[#This Row],[FONDO]],MAESTRO!D:F,3,FALSE)</f>
        <v>(T+0)</v>
      </c>
      <c r="I480" s="39" t="s">
        <v>9</v>
      </c>
      <c r="J480" s="49"/>
      <c r="K480" s="20"/>
      <c r="L48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0" s="39">
        <f>ROUND(IF(Tabla14[[#This Row],[OPERACIÓN]]=MAESTRO!$B$2,Tabla14[CAPITAL],IF(Tabla14[[#This Row],[OPERACIÓN]]=MAESTRO!$B$5,Tabla14[CAPITAL],-Tabla14[[#This Row],[CAPITAL]])),2)</f>
        <v>71387429.439999998</v>
      </c>
    </row>
    <row r="481" spans="1:13" x14ac:dyDescent="0.3">
      <c r="A481" s="26">
        <v>46111</v>
      </c>
      <c r="B481" t="s">
        <v>299</v>
      </c>
      <c r="C481" t="s">
        <v>132</v>
      </c>
      <c r="D481" s="27" t="s">
        <v>17</v>
      </c>
      <c r="E481" s="4" t="s">
        <v>48</v>
      </c>
      <c r="F481" s="4">
        <v>44700000</v>
      </c>
      <c r="G481" s="8" t="str">
        <f>+VLOOKUP(Tabla14[[#This Row],[FONDO]],MAESTRO!$D$2:$E$119,2,FALSE)</f>
        <v>Banco Macro S.A.</v>
      </c>
      <c r="H481" s="8" t="str">
        <f>+VLOOKUP(Tabla14[[#This Row],[FONDO]],MAESTRO!D:F,3,FALSE)</f>
        <v>(T+0)</v>
      </c>
      <c r="I481" s="4" t="s">
        <v>9</v>
      </c>
      <c r="L4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1" s="4">
        <f>ROUND(IF(Tabla14[[#This Row],[OPERACIÓN]]=MAESTRO!$B$2,Tabla14[CAPITAL],IF(Tabla14[[#This Row],[OPERACIÓN]]=MAESTRO!$B$5,Tabla14[CAPITAL],-Tabla14[[#This Row],[CAPITAL]])),2)</f>
        <v>-44700000</v>
      </c>
    </row>
    <row r="482" spans="1:13" x14ac:dyDescent="0.3">
      <c r="A482" s="26">
        <v>46111</v>
      </c>
      <c r="B482" t="s">
        <v>292</v>
      </c>
      <c r="C482" t="s">
        <v>132</v>
      </c>
      <c r="D482" s="27" t="s">
        <v>16</v>
      </c>
      <c r="E482" s="4" t="s">
        <v>48</v>
      </c>
      <c r="F482" s="4">
        <v>65500000</v>
      </c>
      <c r="G482" s="8" t="str">
        <f>+VLOOKUP(Tabla14[[#This Row],[FONDO]],MAESTRO!$D$2:$E$119,2,FALSE)</f>
        <v>Banco Macro S.A.</v>
      </c>
      <c r="H482" s="8" t="str">
        <f>+VLOOKUP(Tabla14[[#This Row],[FONDO]],MAESTRO!D:F,3,FALSE)</f>
        <v>(T+0)</v>
      </c>
      <c r="I482" s="4" t="s">
        <v>9</v>
      </c>
      <c r="L4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2" s="4">
        <f>ROUND(IF(Tabla14[[#This Row],[OPERACIÓN]]=MAESTRO!$B$2,Tabla14[CAPITAL],IF(Tabla14[[#This Row],[OPERACIÓN]]=MAESTRO!$B$5,Tabla14[CAPITAL],-Tabla14[[#This Row],[CAPITAL]])),2)</f>
        <v>65500000</v>
      </c>
    </row>
    <row r="483" spans="1:13" x14ac:dyDescent="0.3">
      <c r="A483" s="26">
        <v>46111</v>
      </c>
      <c r="B483" t="s">
        <v>298</v>
      </c>
      <c r="C483" t="s">
        <v>132</v>
      </c>
      <c r="D483" s="27" t="s">
        <v>17</v>
      </c>
      <c r="E483" s="4" t="s">
        <v>43</v>
      </c>
      <c r="F483" s="4">
        <v>426400000</v>
      </c>
      <c r="G483" s="8" t="str">
        <f>+VLOOKUP(Tabla14[[#This Row],[FONDO]],MAESTRO!$D$2:$E$119,2,FALSE)</f>
        <v>Banco Santander Rio S.A.</v>
      </c>
      <c r="H483" s="8" t="str">
        <f>+VLOOKUP(Tabla14[[#This Row],[FONDO]],MAESTRO!D:F,3,FALSE)</f>
        <v>(T+0)</v>
      </c>
      <c r="I483" s="4" t="s">
        <v>9</v>
      </c>
      <c r="L4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3" s="4">
        <f>ROUND(IF(Tabla14[[#This Row],[OPERACIÓN]]=MAESTRO!$B$2,Tabla14[CAPITAL],IF(Tabla14[[#This Row],[OPERACIÓN]]=MAESTRO!$B$5,Tabla14[CAPITAL],-Tabla14[[#This Row],[CAPITAL]])),2)</f>
        <v>-426400000</v>
      </c>
    </row>
    <row r="484" spans="1:13" x14ac:dyDescent="0.3">
      <c r="A484" s="26">
        <v>46112</v>
      </c>
      <c r="B484" t="s">
        <v>299</v>
      </c>
      <c r="C484" t="s">
        <v>132</v>
      </c>
      <c r="D484" s="27" t="s">
        <v>17</v>
      </c>
      <c r="E484" s="4" t="s">
        <v>48</v>
      </c>
      <c r="F484" s="4">
        <v>126500000</v>
      </c>
      <c r="G484" s="8" t="str">
        <f>+VLOOKUP(Tabla14[[#This Row],[FONDO]],MAESTRO!$D$2:$E$119,2,FALSE)</f>
        <v>Banco Macro S.A.</v>
      </c>
      <c r="H484" s="8" t="str">
        <f>+VLOOKUP(Tabla14[[#This Row],[FONDO]],MAESTRO!D:F,3,FALSE)</f>
        <v>(T+0)</v>
      </c>
      <c r="I484" s="4" t="s">
        <v>9</v>
      </c>
      <c r="L4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4" s="4">
        <f>ROUND(IF(Tabla14[[#This Row],[OPERACIÓN]]=MAESTRO!$B$2,Tabla14[CAPITAL],IF(Tabla14[[#This Row],[OPERACIÓN]]=MAESTRO!$B$5,Tabla14[CAPITAL],-Tabla14[[#This Row],[CAPITAL]])),2)</f>
        <v>-126500000</v>
      </c>
    </row>
    <row r="485" spans="1:13" x14ac:dyDescent="0.3">
      <c r="A485" s="26">
        <v>46112</v>
      </c>
      <c r="B485" t="s">
        <v>292</v>
      </c>
      <c r="C485" t="s">
        <v>132</v>
      </c>
      <c r="D485" s="27" t="s">
        <v>16</v>
      </c>
      <c r="E485" s="4" t="s">
        <v>48</v>
      </c>
      <c r="F485" s="4">
        <v>29600000</v>
      </c>
      <c r="G485" s="8" t="str">
        <f>+VLOOKUP(Tabla14[[#This Row],[FONDO]],MAESTRO!$D$2:$E$119,2,FALSE)</f>
        <v>Banco Macro S.A.</v>
      </c>
      <c r="H485" s="8" t="str">
        <f>+VLOOKUP(Tabla14[[#This Row],[FONDO]],MAESTRO!D:F,3,FALSE)</f>
        <v>(T+0)</v>
      </c>
      <c r="I485" s="4" t="s">
        <v>9</v>
      </c>
      <c r="L4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5" s="4">
        <f>ROUND(IF(Tabla14[[#This Row],[OPERACIÓN]]=MAESTRO!$B$2,Tabla14[CAPITAL],IF(Tabla14[[#This Row],[OPERACIÓN]]=MAESTRO!$B$5,Tabla14[CAPITAL],-Tabla14[[#This Row],[CAPITAL]])),2)</f>
        <v>29600000</v>
      </c>
    </row>
    <row r="486" spans="1:13" x14ac:dyDescent="0.3">
      <c r="A486" s="26">
        <v>46112</v>
      </c>
      <c r="B486" t="s">
        <v>298</v>
      </c>
      <c r="C486" t="s">
        <v>132</v>
      </c>
      <c r="D486" s="27" t="s">
        <v>16</v>
      </c>
      <c r="E486" s="4" t="s">
        <v>43</v>
      </c>
      <c r="F486" s="4">
        <v>22800000</v>
      </c>
      <c r="G486" s="8" t="str">
        <f>+VLOOKUP(Tabla14[[#This Row],[FONDO]],MAESTRO!$D$2:$E$119,2,FALSE)</f>
        <v>Banco Santander Rio S.A.</v>
      </c>
      <c r="H486" s="8" t="str">
        <f>+VLOOKUP(Tabla14[[#This Row],[FONDO]],MAESTRO!D:F,3,FALSE)</f>
        <v>(T+0)</v>
      </c>
      <c r="I486" s="4" t="s">
        <v>9</v>
      </c>
      <c r="L4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6" s="4">
        <f>ROUND(IF(Tabla14[[#This Row],[OPERACIÓN]]=MAESTRO!$B$2,Tabla14[CAPITAL],IF(Tabla14[[#This Row],[OPERACIÓN]]=MAESTRO!$B$5,Tabla14[CAPITAL],-Tabla14[[#This Row],[CAPITAL]])),2)</f>
        <v>22800000</v>
      </c>
    </row>
    <row r="487" spans="1:13" x14ac:dyDescent="0.3">
      <c r="A487" s="26">
        <v>46112</v>
      </c>
      <c r="B487" t="s">
        <v>299</v>
      </c>
      <c r="C487" t="s">
        <v>132</v>
      </c>
      <c r="D487" s="27" t="s">
        <v>17</v>
      </c>
      <c r="E487" s="4" t="s">
        <v>136</v>
      </c>
      <c r="F487" s="4">
        <v>100882988.68000001</v>
      </c>
      <c r="G487" s="8" t="str">
        <f>+VLOOKUP(Tabla14[[#This Row],[FONDO]],MAESTRO!$D$2:$E$119,2,FALSE)</f>
        <v>Gma Capital</v>
      </c>
      <c r="H487" s="8" t="str">
        <f>+VLOOKUP(Tabla14[[#This Row],[FONDO]],MAESTRO!D:F,3,FALSE)</f>
        <v>(T+0)</v>
      </c>
      <c r="I487" s="4" t="s">
        <v>9</v>
      </c>
      <c r="L4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7" s="4">
        <f>ROUND(IF(Tabla14[[#This Row],[OPERACIÓN]]=MAESTRO!$B$2,Tabla14[CAPITAL],IF(Tabla14[[#This Row],[OPERACIÓN]]=MAESTRO!$B$5,Tabla14[CAPITAL],-Tabla14[[#This Row],[CAPITAL]])),2)</f>
        <v>-100882988.68000001</v>
      </c>
    </row>
    <row r="488" spans="1:13" x14ac:dyDescent="0.3">
      <c r="A488" s="26">
        <v>46112</v>
      </c>
      <c r="B488" t="s">
        <v>298</v>
      </c>
      <c r="C488" t="s">
        <v>132</v>
      </c>
      <c r="D488" s="27" t="s">
        <v>17</v>
      </c>
      <c r="E488" s="4" t="s">
        <v>136</v>
      </c>
      <c r="F488" s="4">
        <v>139744080</v>
      </c>
      <c r="G488" s="8" t="str">
        <f>+VLOOKUP(Tabla14[[#This Row],[FONDO]],MAESTRO!$D$2:$E$119,2,FALSE)</f>
        <v>Gma Capital</v>
      </c>
      <c r="H488" s="8" t="str">
        <f>+VLOOKUP(Tabla14[[#This Row],[FONDO]],MAESTRO!D:F,3,FALSE)</f>
        <v>(T+0)</v>
      </c>
      <c r="I488" s="4" t="s">
        <v>9</v>
      </c>
      <c r="L4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8" s="4">
        <f>ROUND(IF(Tabla14[[#This Row],[OPERACIÓN]]=MAESTRO!$B$2,Tabla14[CAPITAL],IF(Tabla14[[#This Row],[OPERACIÓN]]=MAESTRO!$B$5,Tabla14[CAPITAL],-Tabla14[[#This Row],[CAPITAL]])),2)</f>
        <v>-139744080</v>
      </c>
    </row>
    <row r="489" spans="1:13" x14ac:dyDescent="0.3">
      <c r="A489" s="26">
        <v>46112</v>
      </c>
      <c r="B489" t="s">
        <v>298</v>
      </c>
      <c r="C489" t="s">
        <v>132</v>
      </c>
      <c r="D489" s="27" t="s">
        <v>17</v>
      </c>
      <c r="E489" s="4" t="s">
        <v>136</v>
      </c>
      <c r="F489" s="4">
        <v>94105976.090000004</v>
      </c>
      <c r="G489" s="8" t="str">
        <f>+VLOOKUP(Tabla14[[#This Row],[FONDO]],MAESTRO!$D$2:$E$119,2,FALSE)</f>
        <v>Gma Capital</v>
      </c>
      <c r="H489" s="8" t="str">
        <f>+VLOOKUP(Tabla14[[#This Row],[FONDO]],MAESTRO!D:F,3,FALSE)</f>
        <v>(T+0)</v>
      </c>
      <c r="I489" s="4" t="s">
        <v>9</v>
      </c>
      <c r="L4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89" s="4">
        <f>ROUND(IF(Tabla14[[#This Row],[OPERACIÓN]]=MAESTRO!$B$2,Tabla14[CAPITAL],IF(Tabla14[[#This Row],[OPERACIÓN]]=MAESTRO!$B$5,Tabla14[CAPITAL],-Tabla14[[#This Row],[CAPITAL]])),2)</f>
        <v>-94105976.090000004</v>
      </c>
    </row>
    <row r="490" spans="1:13" x14ac:dyDescent="0.3">
      <c r="A490" s="26">
        <v>46112</v>
      </c>
      <c r="B490" t="s">
        <v>292</v>
      </c>
      <c r="C490" t="s">
        <v>132</v>
      </c>
      <c r="D490" s="27" t="s">
        <v>16</v>
      </c>
      <c r="E490" s="4" t="s">
        <v>136</v>
      </c>
      <c r="F490" s="4">
        <v>80618376.129999995</v>
      </c>
      <c r="G490" s="8" t="str">
        <f>+VLOOKUP(Tabla14[[#This Row],[FONDO]],MAESTRO!$D$2:$E$119,2,FALSE)</f>
        <v>Gma Capital</v>
      </c>
      <c r="H490" s="8" t="str">
        <f>+VLOOKUP(Tabla14[[#This Row],[FONDO]],MAESTRO!D:F,3,FALSE)</f>
        <v>(T+0)</v>
      </c>
      <c r="I490" s="4" t="s">
        <v>9</v>
      </c>
      <c r="L4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0" s="4">
        <f>ROUND(IF(Tabla14[[#This Row],[OPERACIÓN]]=MAESTRO!$B$2,Tabla14[CAPITAL],IF(Tabla14[[#This Row],[OPERACIÓN]]=MAESTRO!$B$5,Tabla14[CAPITAL],-Tabla14[[#This Row],[CAPITAL]])),2)</f>
        <v>80618376.129999995</v>
      </c>
    </row>
    <row r="491" spans="1:13" x14ac:dyDescent="0.3">
      <c r="A491" s="26">
        <v>46113</v>
      </c>
      <c r="B491" t="s">
        <v>126</v>
      </c>
      <c r="C491" t="s">
        <v>132</v>
      </c>
      <c r="D491" s="27" t="s">
        <v>17</v>
      </c>
      <c r="E491" s="4" t="s">
        <v>48</v>
      </c>
      <c r="F491" s="4">
        <v>4300000</v>
      </c>
      <c r="G491" s="66" t="str">
        <f>+VLOOKUP(Tabla14[[#This Row],[FONDO]],MAESTRO!$D$2:$E$119,2,FALSE)</f>
        <v>Banco Macro S.A.</v>
      </c>
      <c r="H491" s="8" t="str">
        <f>+VLOOKUP(Tabla14[[#This Row],[FONDO]],MAESTRO!D:F,3,FALSE)</f>
        <v>(T+0)</v>
      </c>
      <c r="I491" s="4" t="s">
        <v>9</v>
      </c>
      <c r="L4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1" s="4">
        <f>ROUND(IF(Tabla14[[#This Row],[OPERACIÓN]]=MAESTRO!$B$2,Tabla14[CAPITAL],IF(Tabla14[[#This Row],[OPERACIÓN]]=MAESTRO!$B$5,Tabla14[CAPITAL],-Tabla14[[#This Row],[CAPITAL]])),2)</f>
        <v>-4300000</v>
      </c>
    </row>
    <row r="492" spans="1:13" x14ac:dyDescent="0.3">
      <c r="A492" s="26">
        <v>46113</v>
      </c>
      <c r="B492" t="s">
        <v>292</v>
      </c>
      <c r="C492" t="s">
        <v>132</v>
      </c>
      <c r="D492" s="27" t="s">
        <v>17</v>
      </c>
      <c r="E492" s="4" t="s">
        <v>48</v>
      </c>
      <c r="F492" s="4">
        <v>223500000</v>
      </c>
      <c r="G492" s="66" t="str">
        <f>+VLOOKUP(Tabla14[[#This Row],[FONDO]],MAESTRO!$D$2:$E$119,2,FALSE)</f>
        <v>Banco Macro S.A.</v>
      </c>
      <c r="H492" s="8" t="str">
        <f>+VLOOKUP(Tabla14[[#This Row],[FONDO]],MAESTRO!D:F,3,FALSE)</f>
        <v>(T+0)</v>
      </c>
      <c r="I492" s="4" t="s">
        <v>9</v>
      </c>
      <c r="L4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2" s="4">
        <f>ROUND(IF(Tabla14[[#This Row],[OPERACIÓN]]=MAESTRO!$B$2,Tabla14[CAPITAL],IF(Tabla14[[#This Row],[OPERACIÓN]]=MAESTRO!$B$5,Tabla14[CAPITAL],-Tabla14[[#This Row],[CAPITAL]])),2)</f>
        <v>-223500000</v>
      </c>
    </row>
    <row r="493" spans="1:13" x14ac:dyDescent="0.3">
      <c r="A493" s="26">
        <v>46113</v>
      </c>
      <c r="B493" t="s">
        <v>299</v>
      </c>
      <c r="C493" t="s">
        <v>132</v>
      </c>
      <c r="D493" s="27" t="s">
        <v>17</v>
      </c>
      <c r="E493" s="4" t="s">
        <v>48</v>
      </c>
      <c r="F493" s="4">
        <v>126800000</v>
      </c>
      <c r="G493" s="66" t="str">
        <f>+VLOOKUP(Tabla14[[#This Row],[FONDO]],MAESTRO!$D$2:$E$119,2,FALSE)</f>
        <v>Banco Macro S.A.</v>
      </c>
      <c r="H493" s="8" t="str">
        <f>+VLOOKUP(Tabla14[[#This Row],[FONDO]],MAESTRO!D:F,3,FALSE)</f>
        <v>(T+0)</v>
      </c>
      <c r="I493" s="4" t="s">
        <v>9</v>
      </c>
      <c r="L4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3" s="4">
        <f>ROUND(IF(Tabla14[[#This Row],[OPERACIÓN]]=MAESTRO!$B$2,Tabla14[CAPITAL],IF(Tabla14[[#This Row],[OPERACIÓN]]=MAESTRO!$B$5,Tabla14[CAPITAL],-Tabla14[[#This Row],[CAPITAL]])),2)</f>
        <v>-126800000</v>
      </c>
    </row>
    <row r="494" spans="1:13" x14ac:dyDescent="0.3">
      <c r="A494" s="26">
        <v>46113</v>
      </c>
      <c r="B494" t="s">
        <v>298</v>
      </c>
      <c r="C494" t="s">
        <v>132</v>
      </c>
      <c r="D494" s="27" t="s">
        <v>17</v>
      </c>
      <c r="E494" s="4" t="s">
        <v>43</v>
      </c>
      <c r="F494" s="4">
        <v>1294500000</v>
      </c>
      <c r="G494" s="66" t="str">
        <f>+VLOOKUP(Tabla14[[#This Row],[FONDO]],MAESTRO!$D$2:$E$119,2,FALSE)</f>
        <v>Banco Santander Rio S.A.</v>
      </c>
      <c r="H494" s="8" t="str">
        <f>+VLOOKUP(Tabla14[[#This Row],[FONDO]],MAESTRO!D:F,3,FALSE)</f>
        <v>(T+0)</v>
      </c>
      <c r="I494" s="4" t="s">
        <v>9</v>
      </c>
      <c r="L4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4" s="4">
        <f>ROUND(IF(Tabla14[[#This Row],[OPERACIÓN]]=MAESTRO!$B$2,Tabla14[CAPITAL],IF(Tabla14[[#This Row],[OPERACIÓN]]=MAESTRO!$B$5,Tabla14[CAPITAL],-Tabla14[[#This Row],[CAPITAL]])),2)</f>
        <v>-1294500000</v>
      </c>
    </row>
    <row r="495" spans="1:13" x14ac:dyDescent="0.3">
      <c r="A495" s="26">
        <v>46113</v>
      </c>
      <c r="B495" t="s">
        <v>292</v>
      </c>
      <c r="C495" t="s">
        <v>132</v>
      </c>
      <c r="D495" s="27" t="s">
        <v>17</v>
      </c>
      <c r="E495" s="4" t="s">
        <v>136</v>
      </c>
      <c r="F495" s="4">
        <v>90000000</v>
      </c>
      <c r="G495" s="66" t="str">
        <f>+VLOOKUP(Tabla14[[#This Row],[FONDO]],MAESTRO!$D$2:$E$119,2,FALSE)</f>
        <v>Gma Capital</v>
      </c>
      <c r="H495" s="8" t="str">
        <f>+VLOOKUP(Tabla14[[#This Row],[FONDO]],MAESTRO!D:F,3,FALSE)</f>
        <v>(T+0)</v>
      </c>
      <c r="I495" s="4" t="s">
        <v>9</v>
      </c>
      <c r="L4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5" s="4">
        <f>ROUND(IF(Tabla14[[#This Row],[OPERACIÓN]]=MAESTRO!$B$2,Tabla14[CAPITAL],IF(Tabla14[[#This Row],[OPERACIÓN]]=MAESTRO!$B$5,Tabla14[CAPITAL],-Tabla14[[#This Row],[CAPITAL]])),2)</f>
        <v>-90000000</v>
      </c>
    </row>
    <row r="496" spans="1:13" x14ac:dyDescent="0.3">
      <c r="A496" s="26">
        <v>46113</v>
      </c>
      <c r="B496" t="s">
        <v>292</v>
      </c>
      <c r="C496" t="s">
        <v>132</v>
      </c>
      <c r="D496" s="27" t="s">
        <v>16</v>
      </c>
      <c r="E496" s="4" t="s">
        <v>40</v>
      </c>
      <c r="F496" s="4">
        <v>1380000000</v>
      </c>
      <c r="G496" s="66" t="str">
        <f>+VLOOKUP(Tabla14[[#This Row],[FONDO]],MAESTRO!$D$2:$E$119,2,FALSE)</f>
        <v>BBVA Banco Frances SA</v>
      </c>
      <c r="H496" s="8" t="str">
        <f>+VLOOKUP(Tabla14[[#This Row],[FONDO]],MAESTRO!D:F,3,FALSE)</f>
        <v>(T+0)</v>
      </c>
      <c r="I496" s="4" t="s">
        <v>9</v>
      </c>
      <c r="L4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6" s="4">
        <f>ROUND(IF(Tabla14[[#This Row],[OPERACIÓN]]=MAESTRO!$B$2,Tabla14[CAPITAL],IF(Tabla14[[#This Row],[OPERACIÓN]]=MAESTRO!$B$5,Tabla14[CAPITAL],-Tabla14[[#This Row],[CAPITAL]])),2)</f>
        <v>1380000000</v>
      </c>
    </row>
    <row r="497" spans="1:13" x14ac:dyDescent="0.3">
      <c r="A497" s="37">
        <v>46118</v>
      </c>
      <c r="B497" s="20" t="s">
        <v>299</v>
      </c>
      <c r="C497" s="20" t="s">
        <v>132</v>
      </c>
      <c r="D497" s="38" t="s">
        <v>16</v>
      </c>
      <c r="E497" s="39" t="s">
        <v>212</v>
      </c>
      <c r="F497" s="39">
        <v>63801302.5</v>
      </c>
      <c r="G497" s="40" t="str">
        <f>+VLOOKUP(Tabla14[[#This Row],[FONDO]],MAESTRO!$D$2:$E$119,2,FALSE)</f>
        <v>INTAGRO</v>
      </c>
      <c r="H497" s="40" t="str">
        <f>+VLOOKUP(Tabla14[[#This Row],[FONDO]],MAESTRO!D:F,3,FALSE)</f>
        <v>(T+0)</v>
      </c>
      <c r="I497" s="39" t="s">
        <v>9</v>
      </c>
      <c r="J497" s="49"/>
      <c r="K497" s="20"/>
      <c r="L49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7" s="39">
        <f>ROUND(IF(Tabla14[[#This Row],[OPERACIÓN]]=MAESTRO!$B$2,Tabla14[CAPITAL],IF(Tabla14[[#This Row],[OPERACIÓN]]=MAESTRO!$B$5,Tabla14[CAPITAL],-Tabla14[[#This Row],[CAPITAL]])),2)</f>
        <v>63801302.5</v>
      </c>
    </row>
    <row r="498" spans="1:13" x14ac:dyDescent="0.3">
      <c r="A498" s="37">
        <v>46118</v>
      </c>
      <c r="B498" s="20" t="s">
        <v>299</v>
      </c>
      <c r="C498" s="20" t="s">
        <v>132</v>
      </c>
      <c r="D498" s="38" t="s">
        <v>16</v>
      </c>
      <c r="E498" s="39" t="s">
        <v>48</v>
      </c>
      <c r="F498" s="39">
        <v>12268190</v>
      </c>
      <c r="G498" s="40" t="str">
        <f>+VLOOKUP(Tabla14[[#This Row],[FONDO]],MAESTRO!$D$2:$E$119,2,FALSE)</f>
        <v>Banco Macro S.A.</v>
      </c>
      <c r="H498" s="40" t="str">
        <f>+VLOOKUP(Tabla14[[#This Row],[FONDO]],MAESTRO!D:F,3,FALSE)</f>
        <v>(T+0)</v>
      </c>
      <c r="I498" s="39" t="s">
        <v>9</v>
      </c>
      <c r="J498" s="49"/>
      <c r="K498" s="20"/>
      <c r="L49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8" s="39">
        <f>ROUND(IF(Tabla14[[#This Row],[OPERACIÓN]]=MAESTRO!$B$2,Tabla14[CAPITAL],IF(Tabla14[[#This Row],[OPERACIÓN]]=MAESTRO!$B$5,Tabla14[CAPITAL],-Tabla14[[#This Row],[CAPITAL]])),2)</f>
        <v>12268190</v>
      </c>
    </row>
    <row r="499" spans="1:13" x14ac:dyDescent="0.3">
      <c r="A499" s="37">
        <v>46118</v>
      </c>
      <c r="B499" s="20" t="s">
        <v>299</v>
      </c>
      <c r="C499" s="20" t="s">
        <v>132</v>
      </c>
      <c r="D499" s="38" t="s">
        <v>16</v>
      </c>
      <c r="E499" s="39" t="s">
        <v>136</v>
      </c>
      <c r="F499" s="39">
        <v>7676133.3200000003</v>
      </c>
      <c r="G499" s="40" t="str">
        <f>+VLOOKUP(Tabla14[[#This Row],[FONDO]],MAESTRO!$D$2:$E$119,2,FALSE)</f>
        <v>Gma Capital</v>
      </c>
      <c r="H499" s="40" t="str">
        <f>+VLOOKUP(Tabla14[[#This Row],[FONDO]],MAESTRO!D:F,3,FALSE)</f>
        <v>(T+0)</v>
      </c>
      <c r="I499" s="39" t="s">
        <v>9</v>
      </c>
      <c r="J499" s="49"/>
      <c r="K499" s="20"/>
      <c r="L49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499" s="39">
        <f>ROUND(IF(Tabla14[[#This Row],[OPERACIÓN]]=MAESTRO!$B$2,Tabla14[CAPITAL],IF(Tabla14[[#This Row],[OPERACIÓN]]=MAESTRO!$B$5,Tabla14[CAPITAL],-Tabla14[[#This Row],[CAPITAL]])),2)</f>
        <v>7676133.3200000003</v>
      </c>
    </row>
    <row r="500" spans="1:13" x14ac:dyDescent="0.3">
      <c r="A500" s="37">
        <v>46118</v>
      </c>
      <c r="B500" s="20" t="s">
        <v>299</v>
      </c>
      <c r="C500" s="20" t="s">
        <v>132</v>
      </c>
      <c r="D500" s="38" t="s">
        <v>16</v>
      </c>
      <c r="E500" s="39" t="s">
        <v>169</v>
      </c>
      <c r="F500" s="39">
        <v>4703738.17</v>
      </c>
      <c r="G500" s="40" t="str">
        <f>+VLOOKUP(Tabla14[[#This Row],[FONDO]],MAESTRO!$D$2:$E$119,2,FALSE)</f>
        <v>Max Capital</v>
      </c>
      <c r="H500" s="40" t="str">
        <f>+VLOOKUP(Tabla14[[#This Row],[FONDO]],MAESTRO!D:F,3,FALSE)</f>
        <v>(T+0)</v>
      </c>
      <c r="I500" s="39" t="s">
        <v>9</v>
      </c>
      <c r="J500" s="49"/>
      <c r="K500" s="20"/>
      <c r="L50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0" s="39">
        <f>ROUND(IF(Tabla14[[#This Row],[OPERACIÓN]]=MAESTRO!$B$2,Tabla14[CAPITAL],IF(Tabla14[[#This Row],[OPERACIÓN]]=MAESTRO!$B$5,Tabla14[CAPITAL],-Tabla14[[#This Row],[CAPITAL]])),2)</f>
        <v>4703738.17</v>
      </c>
    </row>
    <row r="501" spans="1:13" x14ac:dyDescent="0.3">
      <c r="A501" s="37">
        <v>46118</v>
      </c>
      <c r="B501" s="20" t="s">
        <v>298</v>
      </c>
      <c r="C501" s="20" t="s">
        <v>132</v>
      </c>
      <c r="D501" s="38" t="s">
        <v>16</v>
      </c>
      <c r="E501" s="39" t="s">
        <v>136</v>
      </c>
      <c r="F501" s="39">
        <v>15542223.279999999</v>
      </c>
      <c r="G501" s="40" t="str">
        <f>+VLOOKUP(Tabla14[[#This Row],[FONDO]],MAESTRO!$D$2:$E$119,2,FALSE)</f>
        <v>Gma Capital</v>
      </c>
      <c r="H501" s="40" t="str">
        <f>+VLOOKUP(Tabla14[[#This Row],[FONDO]],MAESTRO!D:F,3,FALSE)</f>
        <v>(T+0)</v>
      </c>
      <c r="I501" s="39" t="s">
        <v>9</v>
      </c>
      <c r="J501" s="49"/>
      <c r="K501" s="20"/>
      <c r="L50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1" s="39">
        <f>ROUND(IF(Tabla14[[#This Row],[OPERACIÓN]]=MAESTRO!$B$2,Tabla14[CAPITAL],IF(Tabla14[[#This Row],[OPERACIÓN]]=MAESTRO!$B$5,Tabla14[CAPITAL],-Tabla14[[#This Row],[CAPITAL]])),2)</f>
        <v>15542223.279999999</v>
      </c>
    </row>
    <row r="502" spans="1:13" x14ac:dyDescent="0.3">
      <c r="A502" s="37">
        <v>46118</v>
      </c>
      <c r="B502" s="20" t="s">
        <v>298</v>
      </c>
      <c r="C502" s="20" t="s">
        <v>132</v>
      </c>
      <c r="D502" s="38" t="s">
        <v>16</v>
      </c>
      <c r="E502" s="39" t="s">
        <v>169</v>
      </c>
      <c r="F502" s="39">
        <v>10605680.27</v>
      </c>
      <c r="G502" s="40" t="str">
        <f>+VLOOKUP(Tabla14[[#This Row],[FONDO]],MAESTRO!$D$2:$E$119,2,FALSE)</f>
        <v>Max Capital</v>
      </c>
      <c r="H502" s="40" t="str">
        <f>+VLOOKUP(Tabla14[[#This Row],[FONDO]],MAESTRO!D:F,3,FALSE)</f>
        <v>(T+0)</v>
      </c>
      <c r="I502" s="39" t="s">
        <v>9</v>
      </c>
      <c r="J502" s="49"/>
      <c r="K502" s="20"/>
      <c r="L50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2" s="39">
        <f>ROUND(IF(Tabla14[[#This Row],[OPERACIÓN]]=MAESTRO!$B$2,Tabla14[CAPITAL],IF(Tabla14[[#This Row],[OPERACIÓN]]=MAESTRO!$B$5,Tabla14[CAPITAL],-Tabla14[[#This Row],[CAPITAL]])),2)</f>
        <v>10605680.27</v>
      </c>
    </row>
    <row r="503" spans="1:13" x14ac:dyDescent="0.3">
      <c r="A503" s="37">
        <v>46118</v>
      </c>
      <c r="B503" s="20" t="s">
        <v>298</v>
      </c>
      <c r="C503" s="20" t="s">
        <v>132</v>
      </c>
      <c r="D503" s="38" t="s">
        <v>16</v>
      </c>
      <c r="E503" s="39" t="s">
        <v>43</v>
      </c>
      <c r="F503" s="39">
        <v>195971831.66999999</v>
      </c>
      <c r="G503" s="40" t="str">
        <f>+VLOOKUP(Tabla14[[#This Row],[FONDO]],MAESTRO!$D$2:$E$119,2,FALSE)</f>
        <v>Banco Santander Rio S.A.</v>
      </c>
      <c r="H503" s="40" t="str">
        <f>+VLOOKUP(Tabla14[[#This Row],[FONDO]],MAESTRO!D:F,3,FALSE)</f>
        <v>(T+0)</v>
      </c>
      <c r="I503" s="39" t="s">
        <v>9</v>
      </c>
      <c r="J503" s="49"/>
      <c r="K503" s="20"/>
      <c r="L50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3" s="39">
        <f>ROUND(IF(Tabla14[[#This Row],[OPERACIÓN]]=MAESTRO!$B$2,Tabla14[CAPITAL],IF(Tabla14[[#This Row],[OPERACIÓN]]=MAESTRO!$B$5,Tabla14[CAPITAL],-Tabla14[[#This Row],[CAPITAL]])),2)</f>
        <v>195971831.66999999</v>
      </c>
    </row>
    <row r="504" spans="1:13" x14ac:dyDescent="0.3">
      <c r="A504" s="26">
        <v>46118</v>
      </c>
      <c r="B504" t="s">
        <v>299</v>
      </c>
      <c r="C504" t="s">
        <v>132</v>
      </c>
      <c r="D504" s="27" t="s">
        <v>17</v>
      </c>
      <c r="E504" s="4" t="s">
        <v>48</v>
      </c>
      <c r="F504" s="4">
        <v>8800000</v>
      </c>
      <c r="G504" s="8" t="str">
        <f>+VLOOKUP(Tabla14[[#This Row],[FONDO]],MAESTRO!$D$2:$E$119,2,FALSE)</f>
        <v>Banco Macro S.A.</v>
      </c>
      <c r="H504" s="8" t="str">
        <f>+VLOOKUP(Tabla14[[#This Row],[FONDO]],MAESTRO!D:F,3,FALSE)</f>
        <v>(T+0)</v>
      </c>
      <c r="I504" s="4" t="s">
        <v>9</v>
      </c>
      <c r="L5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4" s="4">
        <f>ROUND(IF(Tabla14[[#This Row],[OPERACIÓN]]=MAESTRO!$B$2,Tabla14[CAPITAL],IF(Tabla14[[#This Row],[OPERACIÓN]]=MAESTRO!$B$5,Tabla14[CAPITAL],-Tabla14[[#This Row],[CAPITAL]])),2)</f>
        <v>-8800000</v>
      </c>
    </row>
    <row r="505" spans="1:13" x14ac:dyDescent="0.3">
      <c r="A505" s="26">
        <v>46118</v>
      </c>
      <c r="B505" t="s">
        <v>292</v>
      </c>
      <c r="C505" t="s">
        <v>132</v>
      </c>
      <c r="D505" s="27" t="s">
        <v>16</v>
      </c>
      <c r="E505" s="4" t="s">
        <v>48</v>
      </c>
      <c r="F505" s="4">
        <v>205400000</v>
      </c>
      <c r="G505" s="8" t="str">
        <f>+VLOOKUP(Tabla14[[#This Row],[FONDO]],MAESTRO!$D$2:$E$119,2,FALSE)</f>
        <v>Banco Macro S.A.</v>
      </c>
      <c r="H505" s="8" t="str">
        <f>+VLOOKUP(Tabla14[[#This Row],[FONDO]],MAESTRO!D:F,3,FALSE)</f>
        <v>(T+0)</v>
      </c>
      <c r="I505" s="4" t="s">
        <v>9</v>
      </c>
      <c r="L5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5" s="4">
        <f>ROUND(IF(Tabla14[[#This Row],[OPERACIÓN]]=MAESTRO!$B$2,Tabla14[CAPITAL],IF(Tabla14[[#This Row],[OPERACIÓN]]=MAESTRO!$B$5,Tabla14[CAPITAL],-Tabla14[[#This Row],[CAPITAL]])),2)</f>
        <v>205400000</v>
      </c>
    </row>
    <row r="506" spans="1:13" x14ac:dyDescent="0.3">
      <c r="A506" s="26">
        <v>46118</v>
      </c>
      <c r="B506" t="s">
        <v>298</v>
      </c>
      <c r="C506" t="s">
        <v>132</v>
      </c>
      <c r="D506" s="27" t="s">
        <v>17</v>
      </c>
      <c r="E506" s="4" t="s">
        <v>43</v>
      </c>
      <c r="F506" s="4">
        <v>427000000</v>
      </c>
      <c r="G506" s="8" t="str">
        <f>+VLOOKUP(Tabla14[[#This Row],[FONDO]],MAESTRO!$D$2:$E$119,2,FALSE)</f>
        <v>Banco Santander Rio S.A.</v>
      </c>
      <c r="H506" s="8" t="str">
        <f>+VLOOKUP(Tabla14[[#This Row],[FONDO]],MAESTRO!D:F,3,FALSE)</f>
        <v>(T+0)</v>
      </c>
      <c r="I506" s="4" t="s">
        <v>9</v>
      </c>
      <c r="L5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6" s="4">
        <f>ROUND(IF(Tabla14[[#This Row],[OPERACIÓN]]=MAESTRO!$B$2,Tabla14[CAPITAL],IF(Tabla14[[#This Row],[OPERACIÓN]]=MAESTRO!$B$5,Tabla14[CAPITAL],-Tabla14[[#This Row],[CAPITAL]])),2)</f>
        <v>-427000000</v>
      </c>
    </row>
    <row r="507" spans="1:13" x14ac:dyDescent="0.3">
      <c r="A507" s="26">
        <v>46119</v>
      </c>
      <c r="B507" t="s">
        <v>126</v>
      </c>
      <c r="C507" t="s">
        <v>132</v>
      </c>
      <c r="D507" s="27" t="s">
        <v>17</v>
      </c>
      <c r="E507" s="4" t="s">
        <v>48</v>
      </c>
      <c r="F507" s="4">
        <v>3600000</v>
      </c>
      <c r="G507" s="8" t="str">
        <f>+VLOOKUP(Tabla14[[#This Row],[FONDO]],MAESTRO!$D$2:$E$119,2,FALSE)</f>
        <v>Banco Macro S.A.</v>
      </c>
      <c r="H507" s="8" t="str">
        <f>+VLOOKUP(Tabla14[[#This Row],[FONDO]],MAESTRO!D:F,3,FALSE)</f>
        <v>(T+0)</v>
      </c>
      <c r="I507" s="4" t="s">
        <v>9</v>
      </c>
      <c r="L5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7" s="4">
        <f>ROUND(IF(Tabla14[[#This Row],[OPERACIÓN]]=MAESTRO!$B$2,Tabla14[CAPITAL],IF(Tabla14[[#This Row],[OPERACIÓN]]=MAESTRO!$B$5,Tabla14[CAPITAL],-Tabla14[[#This Row],[CAPITAL]])),2)</f>
        <v>-3600000</v>
      </c>
    </row>
    <row r="508" spans="1:13" x14ac:dyDescent="0.3">
      <c r="A508" s="26">
        <v>46119</v>
      </c>
      <c r="B508" t="s">
        <v>292</v>
      </c>
      <c r="C508" t="s">
        <v>132</v>
      </c>
      <c r="D508" s="27" t="s">
        <v>17</v>
      </c>
      <c r="E508" s="4" t="s">
        <v>48</v>
      </c>
      <c r="F508" s="4">
        <v>15300000</v>
      </c>
      <c r="G508" s="8" t="str">
        <f>+VLOOKUP(Tabla14[[#This Row],[FONDO]],MAESTRO!$D$2:$E$119,2,FALSE)</f>
        <v>Banco Macro S.A.</v>
      </c>
      <c r="H508" s="8" t="str">
        <f>+VLOOKUP(Tabla14[[#This Row],[FONDO]],MAESTRO!D:F,3,FALSE)</f>
        <v>(T+0)</v>
      </c>
      <c r="I508" s="4" t="s">
        <v>9</v>
      </c>
      <c r="L5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8" s="4">
        <f>ROUND(IF(Tabla14[[#This Row],[OPERACIÓN]]=MAESTRO!$B$2,Tabla14[CAPITAL],IF(Tabla14[[#This Row],[OPERACIÓN]]=MAESTRO!$B$5,Tabla14[CAPITAL],-Tabla14[[#This Row],[CAPITAL]])),2)</f>
        <v>-15300000</v>
      </c>
    </row>
    <row r="509" spans="1:13" x14ac:dyDescent="0.3">
      <c r="A509" s="26">
        <v>46119</v>
      </c>
      <c r="B509" t="s">
        <v>299</v>
      </c>
      <c r="C509" t="s">
        <v>132</v>
      </c>
      <c r="D509" s="27" t="s">
        <v>16</v>
      </c>
      <c r="E509" s="4" t="s">
        <v>48</v>
      </c>
      <c r="F509" s="4">
        <v>3100000</v>
      </c>
      <c r="G509" s="8" t="str">
        <f>+VLOOKUP(Tabla14[[#This Row],[FONDO]],MAESTRO!$D$2:$E$119,2,FALSE)</f>
        <v>Banco Macro S.A.</v>
      </c>
      <c r="H509" s="8" t="str">
        <f>+VLOOKUP(Tabla14[[#This Row],[FONDO]],MAESTRO!D:F,3,FALSE)</f>
        <v>(T+0)</v>
      </c>
      <c r="I509" s="4" t="s">
        <v>9</v>
      </c>
      <c r="L5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09" s="4">
        <f>ROUND(IF(Tabla14[[#This Row],[OPERACIÓN]]=MAESTRO!$B$2,Tabla14[CAPITAL],IF(Tabla14[[#This Row],[OPERACIÓN]]=MAESTRO!$B$5,Tabla14[CAPITAL],-Tabla14[[#This Row],[CAPITAL]])),2)</f>
        <v>3100000</v>
      </c>
    </row>
    <row r="510" spans="1:13" x14ac:dyDescent="0.3">
      <c r="A510" s="26">
        <v>46119</v>
      </c>
      <c r="B510" t="s">
        <v>298</v>
      </c>
      <c r="C510" t="s">
        <v>132</v>
      </c>
      <c r="D510" s="27" t="s">
        <v>17</v>
      </c>
      <c r="E510" s="4" t="s">
        <v>43</v>
      </c>
      <c r="F510" s="4">
        <v>155500000</v>
      </c>
      <c r="G510" s="8" t="str">
        <f>+VLOOKUP(Tabla14[[#This Row],[FONDO]],MAESTRO!$D$2:$E$119,2,FALSE)</f>
        <v>Banco Santander Rio S.A.</v>
      </c>
      <c r="H510" s="8" t="str">
        <f>+VLOOKUP(Tabla14[[#This Row],[FONDO]],MAESTRO!D:F,3,FALSE)</f>
        <v>(T+0)</v>
      </c>
      <c r="I510" s="4" t="s">
        <v>9</v>
      </c>
      <c r="L5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0" s="4">
        <f>ROUND(IF(Tabla14[[#This Row],[OPERACIÓN]]=MAESTRO!$B$2,Tabla14[CAPITAL],IF(Tabla14[[#This Row],[OPERACIÓN]]=MAESTRO!$B$5,Tabla14[CAPITAL],-Tabla14[[#This Row],[CAPITAL]])),2)</f>
        <v>-155500000</v>
      </c>
    </row>
    <row r="511" spans="1:13" x14ac:dyDescent="0.3">
      <c r="A511" s="26">
        <v>46119</v>
      </c>
      <c r="B511" t="s">
        <v>298</v>
      </c>
      <c r="C511" t="s">
        <v>132</v>
      </c>
      <c r="D511" s="27" t="s">
        <v>16</v>
      </c>
      <c r="E511" s="4" t="s">
        <v>136</v>
      </c>
      <c r="F511" s="4">
        <v>400000000</v>
      </c>
      <c r="G511" s="8" t="str">
        <f>+VLOOKUP(Tabla14[[#This Row],[FONDO]],MAESTRO!$D$2:$E$119,2,FALSE)</f>
        <v>Gma Capital</v>
      </c>
      <c r="H511" s="8" t="str">
        <f>+VLOOKUP(Tabla14[[#This Row],[FONDO]],MAESTRO!D:F,3,FALSE)</f>
        <v>(T+0)</v>
      </c>
      <c r="I511" s="4" t="s">
        <v>9</v>
      </c>
      <c r="L5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1" s="4">
        <f>ROUND(IF(Tabla14[[#This Row],[OPERACIÓN]]=MAESTRO!$B$2,Tabla14[CAPITAL],IF(Tabla14[[#This Row],[OPERACIÓN]]=MAESTRO!$B$5,Tabla14[CAPITAL],-Tabla14[[#This Row],[CAPITAL]])),2)</f>
        <v>400000000</v>
      </c>
    </row>
    <row r="512" spans="1:13" x14ac:dyDescent="0.3">
      <c r="A512" s="26">
        <v>46119</v>
      </c>
      <c r="B512" t="s">
        <v>298</v>
      </c>
      <c r="C512" t="s">
        <v>132</v>
      </c>
      <c r="D512" s="27" t="s">
        <v>16</v>
      </c>
      <c r="E512" s="4" t="s">
        <v>169</v>
      </c>
      <c r="F512" s="4">
        <v>300000000</v>
      </c>
      <c r="G512" s="8" t="str">
        <f>+VLOOKUP(Tabla14[[#This Row],[FONDO]],MAESTRO!$D$2:$E$119,2,FALSE)</f>
        <v>Max Capital</v>
      </c>
      <c r="H512" s="8" t="str">
        <f>+VLOOKUP(Tabla14[[#This Row],[FONDO]],MAESTRO!D:F,3,FALSE)</f>
        <v>(T+0)</v>
      </c>
      <c r="I512" s="4" t="s">
        <v>9</v>
      </c>
      <c r="L5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2" s="4">
        <f>ROUND(IF(Tabla14[[#This Row],[OPERACIÓN]]=MAESTRO!$B$2,Tabla14[CAPITAL],IF(Tabla14[[#This Row],[OPERACIÓN]]=MAESTRO!$B$5,Tabla14[CAPITAL],-Tabla14[[#This Row],[CAPITAL]])),2)</f>
        <v>300000000</v>
      </c>
    </row>
    <row r="513" spans="1:13" x14ac:dyDescent="0.3">
      <c r="A513" s="26">
        <v>46119</v>
      </c>
      <c r="B513" t="s">
        <v>298</v>
      </c>
      <c r="C513" t="s">
        <v>132</v>
      </c>
      <c r="D513" s="27" t="s">
        <v>17</v>
      </c>
      <c r="E513" s="4" t="s">
        <v>40</v>
      </c>
      <c r="F513" s="4">
        <v>700000000</v>
      </c>
      <c r="G513" s="8" t="str">
        <f>+VLOOKUP(Tabla14[[#This Row],[FONDO]],MAESTRO!$D$2:$E$119,2,FALSE)</f>
        <v>BBVA Banco Frances SA</v>
      </c>
      <c r="H513" s="8" t="str">
        <f>+VLOOKUP(Tabla14[[#This Row],[FONDO]],MAESTRO!D:F,3,FALSE)</f>
        <v>(T+0)</v>
      </c>
      <c r="I513" s="4" t="s">
        <v>9</v>
      </c>
      <c r="L5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3" s="4">
        <f>ROUND(IF(Tabla14[[#This Row],[OPERACIÓN]]=MAESTRO!$B$2,Tabla14[CAPITAL],IF(Tabla14[[#This Row],[OPERACIÓN]]=MAESTRO!$B$5,Tabla14[CAPITAL],-Tabla14[[#This Row],[CAPITAL]])),2)</f>
        <v>-700000000</v>
      </c>
    </row>
    <row r="514" spans="1:13" x14ac:dyDescent="0.3">
      <c r="A514" s="26">
        <v>46119</v>
      </c>
      <c r="B514" t="s">
        <v>292</v>
      </c>
      <c r="C514" t="s">
        <v>132</v>
      </c>
      <c r="D514" s="27" t="s">
        <v>16</v>
      </c>
      <c r="E514" s="4" t="s">
        <v>136</v>
      </c>
      <c r="F514" s="4">
        <v>400000000</v>
      </c>
      <c r="G514" s="8" t="str">
        <f>+VLOOKUP(Tabla14[[#This Row],[FONDO]],MAESTRO!$D$2:$E$119,2,FALSE)</f>
        <v>Gma Capital</v>
      </c>
      <c r="H514" s="8" t="str">
        <f>+VLOOKUP(Tabla14[[#This Row],[FONDO]],MAESTRO!D:F,3,FALSE)</f>
        <v>(T+0)</v>
      </c>
      <c r="I514" s="4" t="s">
        <v>9</v>
      </c>
      <c r="L5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4" s="4">
        <f>ROUND(IF(Tabla14[[#This Row],[OPERACIÓN]]=MAESTRO!$B$2,Tabla14[CAPITAL],IF(Tabla14[[#This Row],[OPERACIÓN]]=MAESTRO!$B$5,Tabla14[CAPITAL],-Tabla14[[#This Row],[CAPITAL]])),2)</f>
        <v>400000000</v>
      </c>
    </row>
    <row r="515" spans="1:13" x14ac:dyDescent="0.3">
      <c r="A515" s="26">
        <v>46119</v>
      </c>
      <c r="B515" t="s">
        <v>292</v>
      </c>
      <c r="C515" t="s">
        <v>132</v>
      </c>
      <c r="D515" s="27" t="s">
        <v>17</v>
      </c>
      <c r="E515" s="4" t="s">
        <v>40</v>
      </c>
      <c r="F515" s="4">
        <v>400000000</v>
      </c>
      <c r="G515" s="8" t="str">
        <f>+VLOOKUP(Tabla14[[#This Row],[FONDO]],MAESTRO!$D$2:$E$119,2,FALSE)</f>
        <v>BBVA Banco Frances SA</v>
      </c>
      <c r="H515" s="8" t="str">
        <f>+VLOOKUP(Tabla14[[#This Row],[FONDO]],MAESTRO!D:F,3,FALSE)</f>
        <v>(T+0)</v>
      </c>
      <c r="I515" s="4" t="s">
        <v>9</v>
      </c>
      <c r="L5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5" s="4">
        <f>ROUND(IF(Tabla14[[#This Row],[OPERACIÓN]]=MAESTRO!$B$2,Tabla14[CAPITAL],IF(Tabla14[[#This Row],[OPERACIÓN]]=MAESTRO!$B$5,Tabla14[CAPITAL],-Tabla14[[#This Row],[CAPITAL]])),2)</f>
        <v>-400000000</v>
      </c>
    </row>
    <row r="516" spans="1:13" x14ac:dyDescent="0.3">
      <c r="A516" s="26">
        <v>46120</v>
      </c>
      <c r="B516" t="s">
        <v>292</v>
      </c>
      <c r="C516" t="s">
        <v>132</v>
      </c>
      <c r="D516" s="27" t="s">
        <v>17</v>
      </c>
      <c r="E516" s="4" t="s">
        <v>48</v>
      </c>
      <c r="F516" s="4">
        <v>40800000</v>
      </c>
      <c r="G516" s="67" t="str">
        <f>+VLOOKUP(Tabla14[[#This Row],[FONDO]],MAESTRO!$D$2:$E$119,2,FALSE)</f>
        <v>Banco Macro S.A.</v>
      </c>
      <c r="H516" s="8" t="str">
        <f>+VLOOKUP(Tabla14[[#This Row],[FONDO]],MAESTRO!D:F,3,FALSE)</f>
        <v>(T+0)</v>
      </c>
      <c r="I516" s="4" t="s">
        <v>9</v>
      </c>
      <c r="L5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6" s="4">
        <f>ROUND(IF(Tabla14[[#This Row],[OPERACIÓN]]=MAESTRO!$B$2,Tabla14[CAPITAL],IF(Tabla14[[#This Row],[OPERACIÓN]]=MAESTRO!$B$5,Tabla14[CAPITAL],-Tabla14[[#This Row],[CAPITAL]])),2)</f>
        <v>-40800000</v>
      </c>
    </row>
    <row r="517" spans="1:13" x14ac:dyDescent="0.3">
      <c r="A517" s="26">
        <v>46120</v>
      </c>
      <c r="B517" t="s">
        <v>299</v>
      </c>
      <c r="C517" t="s">
        <v>132</v>
      </c>
      <c r="D517" s="27" t="s">
        <v>17</v>
      </c>
      <c r="E517" s="4" t="s">
        <v>48</v>
      </c>
      <c r="F517" s="4">
        <v>143600000</v>
      </c>
      <c r="G517" s="67" t="str">
        <f>+VLOOKUP(Tabla14[[#This Row],[FONDO]],MAESTRO!$D$2:$E$119,2,FALSE)</f>
        <v>Banco Macro S.A.</v>
      </c>
      <c r="H517" s="8" t="str">
        <f>+VLOOKUP(Tabla14[[#This Row],[FONDO]],MAESTRO!D:F,3,FALSE)</f>
        <v>(T+0)</v>
      </c>
      <c r="I517" s="4" t="s">
        <v>9</v>
      </c>
      <c r="L5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7" s="4">
        <f>ROUND(IF(Tabla14[[#This Row],[OPERACIÓN]]=MAESTRO!$B$2,Tabla14[CAPITAL],IF(Tabla14[[#This Row],[OPERACIÓN]]=MAESTRO!$B$5,Tabla14[CAPITAL],-Tabla14[[#This Row],[CAPITAL]])),2)</f>
        <v>-143600000</v>
      </c>
    </row>
    <row r="518" spans="1:13" x14ac:dyDescent="0.3">
      <c r="A518" s="26">
        <v>46120</v>
      </c>
      <c r="B518" t="s">
        <v>298</v>
      </c>
      <c r="C518" t="s">
        <v>132</v>
      </c>
      <c r="D518" s="27" t="s">
        <v>17</v>
      </c>
      <c r="E518" s="4" t="s">
        <v>43</v>
      </c>
      <c r="F518" s="4">
        <v>586700000</v>
      </c>
      <c r="G518" s="67" t="str">
        <f>+VLOOKUP(Tabla14[[#This Row],[FONDO]],MAESTRO!$D$2:$E$119,2,FALSE)</f>
        <v>Banco Santander Rio S.A.</v>
      </c>
      <c r="H518" s="8" t="str">
        <f>+VLOOKUP(Tabla14[[#This Row],[FONDO]],MAESTRO!D:F,3,FALSE)</f>
        <v>(T+0)</v>
      </c>
      <c r="I518" s="4" t="s">
        <v>9</v>
      </c>
      <c r="L5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8" s="4">
        <f>ROUND(IF(Tabla14[[#This Row],[OPERACIÓN]]=MAESTRO!$B$2,Tabla14[CAPITAL],IF(Tabla14[[#This Row],[OPERACIÓN]]=MAESTRO!$B$5,Tabla14[CAPITAL],-Tabla14[[#This Row],[CAPITAL]])),2)</f>
        <v>-586700000</v>
      </c>
    </row>
    <row r="519" spans="1:13" x14ac:dyDescent="0.3">
      <c r="A519" s="26">
        <v>46120</v>
      </c>
      <c r="B519" t="s">
        <v>298</v>
      </c>
      <c r="C519" t="s">
        <v>132</v>
      </c>
      <c r="D519" s="27" t="s">
        <v>17</v>
      </c>
      <c r="E519" s="4" t="s">
        <v>43</v>
      </c>
      <c r="F519" s="4">
        <v>40000000</v>
      </c>
      <c r="G519" s="67" t="str">
        <f>+VLOOKUP(Tabla14[[#This Row],[FONDO]],MAESTRO!$D$2:$E$119,2,FALSE)</f>
        <v>Banco Santander Rio S.A.</v>
      </c>
      <c r="H519" s="8" t="str">
        <f>+VLOOKUP(Tabla14[[#This Row],[FONDO]],MAESTRO!D:F,3,FALSE)</f>
        <v>(T+0)</v>
      </c>
      <c r="I519" s="4" t="s">
        <v>9</v>
      </c>
      <c r="L5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19" s="4">
        <f>ROUND(IF(Tabla14[[#This Row],[OPERACIÓN]]=MAESTRO!$B$2,Tabla14[CAPITAL],IF(Tabla14[[#This Row],[OPERACIÓN]]=MAESTRO!$B$5,Tabla14[CAPITAL],-Tabla14[[#This Row],[CAPITAL]])),2)</f>
        <v>-40000000</v>
      </c>
    </row>
    <row r="520" spans="1:13" x14ac:dyDescent="0.3">
      <c r="A520" s="26">
        <v>46120</v>
      </c>
      <c r="B520" t="s">
        <v>298</v>
      </c>
      <c r="C520" t="s">
        <v>132</v>
      </c>
      <c r="D520" s="27" t="s">
        <v>17</v>
      </c>
      <c r="E520" s="4" t="s">
        <v>169</v>
      </c>
      <c r="F520" s="4">
        <v>96260385.650000006</v>
      </c>
      <c r="G520" s="67" t="str">
        <f>+VLOOKUP(Tabla14[[#This Row],[FONDO]],MAESTRO!$D$2:$E$119,2,FALSE)</f>
        <v>Max Capital</v>
      </c>
      <c r="H520" s="8" t="str">
        <f>+VLOOKUP(Tabla14[[#This Row],[FONDO]],MAESTRO!D:F,3,FALSE)</f>
        <v>(T+0)</v>
      </c>
      <c r="I520" s="4" t="s">
        <v>9</v>
      </c>
      <c r="L5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0" s="4">
        <f>ROUND(IF(Tabla14[[#This Row],[OPERACIÓN]]=MAESTRO!$B$2,Tabla14[CAPITAL],IF(Tabla14[[#This Row],[OPERACIÓN]]=MAESTRO!$B$5,Tabla14[CAPITAL],-Tabla14[[#This Row],[CAPITAL]])),2)</f>
        <v>-96260385.650000006</v>
      </c>
    </row>
    <row r="521" spans="1:13" x14ac:dyDescent="0.3">
      <c r="A521" s="26">
        <v>46120</v>
      </c>
      <c r="B521" t="s">
        <v>298</v>
      </c>
      <c r="C521" t="s">
        <v>132</v>
      </c>
      <c r="D521" s="27" t="s">
        <v>17</v>
      </c>
      <c r="E521" s="4" t="s">
        <v>169</v>
      </c>
      <c r="F521" s="4">
        <v>170794151.75</v>
      </c>
      <c r="G521" s="67" t="str">
        <f>+VLOOKUP(Tabla14[[#This Row],[FONDO]],MAESTRO!$D$2:$E$119,2,FALSE)</f>
        <v>Max Capital</v>
      </c>
      <c r="H521" s="8" t="str">
        <f>+VLOOKUP(Tabla14[[#This Row],[FONDO]],MAESTRO!D:F,3,FALSE)</f>
        <v>(T+0)</v>
      </c>
      <c r="I521" s="4" t="s">
        <v>9</v>
      </c>
      <c r="L5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1" s="4">
        <f>ROUND(IF(Tabla14[[#This Row],[OPERACIÓN]]=MAESTRO!$B$2,Tabla14[CAPITAL],IF(Tabla14[[#This Row],[OPERACIÓN]]=MAESTRO!$B$5,Tabla14[CAPITAL],-Tabla14[[#This Row],[CAPITAL]])),2)</f>
        <v>-170794151.75</v>
      </c>
    </row>
    <row r="522" spans="1:13" x14ac:dyDescent="0.3">
      <c r="A522" s="26">
        <v>46120</v>
      </c>
      <c r="B522" t="s">
        <v>298</v>
      </c>
      <c r="C522" t="s">
        <v>132</v>
      </c>
      <c r="D522" s="27" t="s">
        <v>17</v>
      </c>
      <c r="E522" s="4" t="s">
        <v>136</v>
      </c>
      <c r="F522" s="4">
        <v>58104960.590000004</v>
      </c>
      <c r="G522" s="67" t="str">
        <f>+VLOOKUP(Tabla14[[#This Row],[FONDO]],MAESTRO!$D$2:$E$119,2,FALSE)</f>
        <v>Gma Capital</v>
      </c>
      <c r="H522" s="8" t="str">
        <f>+VLOOKUP(Tabla14[[#This Row],[FONDO]],MAESTRO!D:F,3,FALSE)</f>
        <v>(T+0)</v>
      </c>
      <c r="I522" s="4" t="s">
        <v>9</v>
      </c>
      <c r="L5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2" s="4">
        <f>ROUND(IF(Tabla14[[#This Row],[OPERACIÓN]]=MAESTRO!$B$2,Tabla14[CAPITAL],IF(Tabla14[[#This Row],[OPERACIÓN]]=MAESTRO!$B$5,Tabla14[CAPITAL],-Tabla14[[#This Row],[CAPITAL]])),2)</f>
        <v>-58104960.590000004</v>
      </c>
    </row>
    <row r="523" spans="1:13" x14ac:dyDescent="0.3">
      <c r="A523" s="26">
        <v>46120</v>
      </c>
      <c r="B523" t="s">
        <v>298</v>
      </c>
      <c r="C523" t="s">
        <v>132</v>
      </c>
      <c r="D523" s="27" t="s">
        <v>17</v>
      </c>
      <c r="E523" s="4" t="s">
        <v>136</v>
      </c>
      <c r="F523" s="4">
        <v>156290176.34999999</v>
      </c>
      <c r="G523" s="67" t="str">
        <f>+VLOOKUP(Tabla14[[#This Row],[FONDO]],MAESTRO!$D$2:$E$119,2,FALSE)</f>
        <v>Gma Capital</v>
      </c>
      <c r="H523" s="8" t="str">
        <f>+VLOOKUP(Tabla14[[#This Row],[FONDO]],MAESTRO!D:F,3,FALSE)</f>
        <v>(T+0)</v>
      </c>
      <c r="I523" s="4" t="s">
        <v>9</v>
      </c>
      <c r="L5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3" s="4">
        <f>ROUND(IF(Tabla14[[#This Row],[OPERACIÓN]]=MAESTRO!$B$2,Tabla14[CAPITAL],IF(Tabla14[[#This Row],[OPERACIÓN]]=MAESTRO!$B$5,Tabla14[CAPITAL],-Tabla14[[#This Row],[CAPITAL]])),2)</f>
        <v>-156290176.34999999</v>
      </c>
    </row>
    <row r="524" spans="1:13" x14ac:dyDescent="0.3">
      <c r="A524" s="26">
        <v>46120</v>
      </c>
      <c r="B524" t="s">
        <v>292</v>
      </c>
      <c r="C524" t="s">
        <v>132</v>
      </c>
      <c r="D524" s="27" t="s">
        <v>17</v>
      </c>
      <c r="E524" s="4" t="s">
        <v>136</v>
      </c>
      <c r="F524" s="4">
        <v>132598330</v>
      </c>
      <c r="G524" s="67" t="str">
        <f>+VLOOKUP(Tabla14[[#This Row],[FONDO]],MAESTRO!$D$2:$E$119,2,FALSE)</f>
        <v>Gma Capital</v>
      </c>
      <c r="H524" s="8" t="str">
        <f>+VLOOKUP(Tabla14[[#This Row],[FONDO]],MAESTRO!D:F,3,FALSE)</f>
        <v>(T+0)</v>
      </c>
      <c r="I524" s="4" t="s">
        <v>9</v>
      </c>
      <c r="L5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4" s="4">
        <f>ROUND(IF(Tabla14[[#This Row],[OPERACIÓN]]=MAESTRO!$B$2,Tabla14[CAPITAL],IF(Tabla14[[#This Row],[OPERACIÓN]]=MAESTRO!$B$5,Tabla14[CAPITAL],-Tabla14[[#This Row],[CAPITAL]])),2)</f>
        <v>-132598330</v>
      </c>
    </row>
    <row r="525" spans="1:13" x14ac:dyDescent="0.3">
      <c r="A525" s="26">
        <v>46120</v>
      </c>
      <c r="B525" t="s">
        <v>292</v>
      </c>
      <c r="C525" t="s">
        <v>132</v>
      </c>
      <c r="D525" s="27" t="s">
        <v>17</v>
      </c>
      <c r="E525" s="4" t="s">
        <v>136</v>
      </c>
      <c r="F525" s="4">
        <v>155145646.47</v>
      </c>
      <c r="G525" s="67" t="str">
        <f>+VLOOKUP(Tabla14[[#This Row],[FONDO]],MAESTRO!$D$2:$E$119,2,FALSE)</f>
        <v>Gma Capital</v>
      </c>
      <c r="H525" s="8" t="str">
        <f>+VLOOKUP(Tabla14[[#This Row],[FONDO]],MAESTRO!D:F,3,FALSE)</f>
        <v>(T+0)</v>
      </c>
      <c r="I525" s="4" t="s">
        <v>9</v>
      </c>
      <c r="L5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5" s="4">
        <f>ROUND(IF(Tabla14[[#This Row],[OPERACIÓN]]=MAESTRO!$B$2,Tabla14[CAPITAL],IF(Tabla14[[#This Row],[OPERACIÓN]]=MAESTRO!$B$5,Tabla14[CAPITAL],-Tabla14[[#This Row],[CAPITAL]])),2)</f>
        <v>-155145646.47</v>
      </c>
    </row>
    <row r="526" spans="1:13" x14ac:dyDescent="0.3">
      <c r="A526" s="26">
        <v>46121</v>
      </c>
      <c r="B526" t="s">
        <v>298</v>
      </c>
      <c r="C526" t="s">
        <v>132</v>
      </c>
      <c r="D526" s="27" t="s">
        <v>17</v>
      </c>
      <c r="E526" s="4" t="s">
        <v>43</v>
      </c>
      <c r="F526" s="4">
        <v>799000000</v>
      </c>
      <c r="G526" s="67" t="str">
        <f>+VLOOKUP(Tabla14[[#This Row],[FONDO]],MAESTRO!$D$2:$E$119,2,FALSE)</f>
        <v>Banco Santander Rio S.A.</v>
      </c>
      <c r="H526" s="8" t="str">
        <f>+VLOOKUP(Tabla14[[#This Row],[FONDO]],MAESTRO!D:F,3,FALSE)</f>
        <v>(T+0)</v>
      </c>
      <c r="I526" s="4" t="s">
        <v>9</v>
      </c>
      <c r="L5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6" s="4">
        <f>ROUND(IF(Tabla14[[#This Row],[OPERACIÓN]]=MAESTRO!$B$2,Tabla14[CAPITAL],IF(Tabla14[[#This Row],[OPERACIÓN]]=MAESTRO!$B$5,Tabla14[CAPITAL],-Tabla14[[#This Row],[CAPITAL]])),2)</f>
        <v>-799000000</v>
      </c>
    </row>
    <row r="527" spans="1:13" x14ac:dyDescent="0.3">
      <c r="A527" s="26">
        <v>46121</v>
      </c>
      <c r="B527" t="s">
        <v>299</v>
      </c>
      <c r="C527" t="s">
        <v>132</v>
      </c>
      <c r="D527" s="27" t="s">
        <v>17</v>
      </c>
      <c r="E527" s="4" t="s">
        <v>48</v>
      </c>
      <c r="F527" s="4">
        <v>4600000</v>
      </c>
      <c r="G527" s="67" t="str">
        <f>+VLOOKUP(Tabla14[[#This Row],[FONDO]],MAESTRO!$D$2:$E$119,2,FALSE)</f>
        <v>Banco Macro S.A.</v>
      </c>
      <c r="H527" s="8" t="str">
        <f>+VLOOKUP(Tabla14[[#This Row],[FONDO]],MAESTRO!D:F,3,FALSE)</f>
        <v>(T+0)</v>
      </c>
      <c r="I527" s="4" t="s">
        <v>9</v>
      </c>
      <c r="L5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7" s="4">
        <f>ROUND(IF(Tabla14[[#This Row],[OPERACIÓN]]=MAESTRO!$B$2,Tabla14[CAPITAL],IF(Tabla14[[#This Row],[OPERACIÓN]]=MAESTRO!$B$5,Tabla14[CAPITAL],-Tabla14[[#This Row],[CAPITAL]])),2)</f>
        <v>-4600000</v>
      </c>
    </row>
    <row r="528" spans="1:13" x14ac:dyDescent="0.3">
      <c r="A528" s="26">
        <v>46121</v>
      </c>
      <c r="B528" t="s">
        <v>292</v>
      </c>
      <c r="C528" t="s">
        <v>132</v>
      </c>
      <c r="D528" s="27" t="s">
        <v>17</v>
      </c>
      <c r="E528" s="4" t="s">
        <v>40</v>
      </c>
      <c r="F528" s="4">
        <v>272700000</v>
      </c>
      <c r="G528" s="67" t="str">
        <f>+VLOOKUP(Tabla14[[#This Row],[FONDO]],MAESTRO!$D$2:$E$119,2,FALSE)</f>
        <v>BBVA Banco Frances SA</v>
      </c>
      <c r="H528" s="8" t="str">
        <f>+VLOOKUP(Tabla14[[#This Row],[FONDO]],MAESTRO!D:F,3,FALSE)</f>
        <v>(T+0)</v>
      </c>
      <c r="I528" s="4" t="s">
        <v>9</v>
      </c>
      <c r="L5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8" s="4">
        <f>ROUND(IF(Tabla14[[#This Row],[OPERACIÓN]]=MAESTRO!$B$2,Tabla14[CAPITAL],IF(Tabla14[[#This Row],[OPERACIÓN]]=MAESTRO!$B$5,Tabla14[CAPITAL],-Tabla14[[#This Row],[CAPITAL]])),2)</f>
        <v>-272700000</v>
      </c>
    </row>
    <row r="529" spans="1:13" x14ac:dyDescent="0.3">
      <c r="A529" s="26">
        <v>46122</v>
      </c>
      <c r="B529" t="s">
        <v>299</v>
      </c>
      <c r="C529" t="s">
        <v>132</v>
      </c>
      <c r="D529" s="27" t="s">
        <v>17</v>
      </c>
      <c r="E529" s="4" t="s">
        <v>48</v>
      </c>
      <c r="F529" s="4">
        <v>27600000</v>
      </c>
      <c r="G529" s="67" t="str">
        <f>+VLOOKUP(Tabla14[[#This Row],[FONDO]],MAESTRO!$D$2:$E$119,2,FALSE)</f>
        <v>Banco Macro S.A.</v>
      </c>
      <c r="H529" s="8" t="str">
        <f>+VLOOKUP(Tabla14[[#This Row],[FONDO]],MAESTRO!D:F,3,FALSE)</f>
        <v>(T+0)</v>
      </c>
      <c r="I529" s="4" t="s">
        <v>9</v>
      </c>
      <c r="L5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29" s="4">
        <f>ROUND(IF(Tabla14[[#This Row],[OPERACIÓN]]=MAESTRO!$B$2,Tabla14[CAPITAL],IF(Tabla14[[#This Row],[OPERACIÓN]]=MAESTRO!$B$5,Tabla14[CAPITAL],-Tabla14[[#This Row],[CAPITAL]])),2)</f>
        <v>-27600000</v>
      </c>
    </row>
    <row r="530" spans="1:13" x14ac:dyDescent="0.3">
      <c r="A530" s="26">
        <v>46122</v>
      </c>
      <c r="B530" t="s">
        <v>298</v>
      </c>
      <c r="C530" t="s">
        <v>132</v>
      </c>
      <c r="D530" s="27" t="s">
        <v>17</v>
      </c>
      <c r="E530" s="4" t="s">
        <v>43</v>
      </c>
      <c r="F530" s="4">
        <v>135900000</v>
      </c>
      <c r="G530" s="67" t="str">
        <f>+VLOOKUP(Tabla14[[#This Row],[FONDO]],MAESTRO!$D$2:$E$119,2,FALSE)</f>
        <v>Banco Santander Rio S.A.</v>
      </c>
      <c r="H530" s="8" t="str">
        <f>+VLOOKUP(Tabla14[[#This Row],[FONDO]],MAESTRO!D:F,3,FALSE)</f>
        <v>(T+0)</v>
      </c>
      <c r="I530" s="4" t="s">
        <v>9</v>
      </c>
      <c r="L5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0" s="4">
        <f>ROUND(IF(Tabla14[[#This Row],[OPERACIÓN]]=MAESTRO!$B$2,Tabla14[CAPITAL],IF(Tabla14[[#This Row],[OPERACIÓN]]=MAESTRO!$B$5,Tabla14[CAPITAL],-Tabla14[[#This Row],[CAPITAL]])),2)</f>
        <v>-135900000</v>
      </c>
    </row>
    <row r="531" spans="1:13" x14ac:dyDescent="0.3">
      <c r="A531" s="26">
        <v>46122</v>
      </c>
      <c r="B531" t="s">
        <v>292</v>
      </c>
      <c r="C531" t="s">
        <v>132</v>
      </c>
      <c r="D531" s="27" t="s">
        <v>16</v>
      </c>
      <c r="E531" s="4" t="s">
        <v>48</v>
      </c>
      <c r="F531" s="4">
        <v>6100000</v>
      </c>
      <c r="G531" s="67" t="str">
        <f>+VLOOKUP(Tabla14[[#This Row],[FONDO]],MAESTRO!$D$2:$E$119,2,FALSE)</f>
        <v>Banco Macro S.A.</v>
      </c>
      <c r="H531" s="8" t="str">
        <f>+VLOOKUP(Tabla14[[#This Row],[FONDO]],MAESTRO!D:F,3,FALSE)</f>
        <v>(T+0)</v>
      </c>
      <c r="I531" s="4" t="s">
        <v>9</v>
      </c>
      <c r="L5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1" s="4">
        <f>ROUND(IF(Tabla14[[#This Row],[OPERACIÓN]]=MAESTRO!$B$2,Tabla14[CAPITAL],IF(Tabla14[[#This Row],[OPERACIÓN]]=MAESTRO!$B$5,Tabla14[CAPITAL],-Tabla14[[#This Row],[CAPITAL]])),2)</f>
        <v>6100000</v>
      </c>
    </row>
    <row r="532" spans="1:13" x14ac:dyDescent="0.3">
      <c r="A532" s="26">
        <v>46122</v>
      </c>
      <c r="B532" t="s">
        <v>299</v>
      </c>
      <c r="C532" t="s">
        <v>132</v>
      </c>
      <c r="D532" s="27" t="s">
        <v>17</v>
      </c>
      <c r="E532" s="4" t="s">
        <v>40</v>
      </c>
      <c r="F532" s="4">
        <v>400000000</v>
      </c>
      <c r="G532" s="67" t="str">
        <f>+VLOOKUP(Tabla14[[#This Row],[FONDO]],MAESTRO!$D$2:$E$119,2,FALSE)</f>
        <v>BBVA Banco Frances SA</v>
      </c>
      <c r="H532" s="8" t="str">
        <f>+VLOOKUP(Tabla14[[#This Row],[FONDO]],MAESTRO!D:F,3,FALSE)</f>
        <v>(T+0)</v>
      </c>
      <c r="I532" s="4" t="s">
        <v>9</v>
      </c>
      <c r="L5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2" s="4">
        <f>ROUND(IF(Tabla14[[#This Row],[OPERACIÓN]]=MAESTRO!$B$2,Tabla14[CAPITAL],IF(Tabla14[[#This Row],[OPERACIÓN]]=MAESTRO!$B$5,Tabla14[CAPITAL],-Tabla14[[#This Row],[CAPITAL]])),2)</f>
        <v>-400000000</v>
      </c>
    </row>
    <row r="533" spans="1:13" x14ac:dyDescent="0.3">
      <c r="A533" s="26">
        <v>46122</v>
      </c>
      <c r="B533" t="s">
        <v>298</v>
      </c>
      <c r="C533" t="s">
        <v>132</v>
      </c>
      <c r="D533" s="27" t="s">
        <v>17</v>
      </c>
      <c r="E533" s="4" t="s">
        <v>40</v>
      </c>
      <c r="F533" s="4">
        <v>28000000</v>
      </c>
      <c r="G533" s="67" t="str">
        <f>+VLOOKUP(Tabla14[[#This Row],[FONDO]],MAESTRO!$D$2:$E$119,2,FALSE)</f>
        <v>BBVA Banco Frances SA</v>
      </c>
      <c r="H533" s="8" t="str">
        <f>+VLOOKUP(Tabla14[[#This Row],[FONDO]],MAESTRO!D:F,3,FALSE)</f>
        <v>(T+0)</v>
      </c>
      <c r="I533" s="4" t="s">
        <v>9</v>
      </c>
      <c r="L5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3" s="4">
        <f>ROUND(IF(Tabla14[[#This Row],[OPERACIÓN]]=MAESTRO!$B$2,Tabla14[CAPITAL],IF(Tabla14[[#This Row],[OPERACIÓN]]=MAESTRO!$B$5,Tabla14[CAPITAL],-Tabla14[[#This Row],[CAPITAL]])),2)</f>
        <v>-28000000</v>
      </c>
    </row>
    <row r="534" spans="1:13" x14ac:dyDescent="0.3">
      <c r="A534" s="26">
        <v>46122</v>
      </c>
      <c r="B534" t="s">
        <v>298</v>
      </c>
      <c r="C534" t="s">
        <v>132</v>
      </c>
      <c r="D534" s="27" t="s">
        <v>17</v>
      </c>
      <c r="E534" s="4" t="s">
        <v>169</v>
      </c>
      <c r="F534" s="4">
        <v>63632414.380000003</v>
      </c>
      <c r="G534" s="67" t="str">
        <f>+VLOOKUP(Tabla14[[#This Row],[FONDO]],MAESTRO!$D$2:$E$119,2,FALSE)</f>
        <v>Max Capital</v>
      </c>
      <c r="H534" s="8" t="str">
        <f>+VLOOKUP(Tabla14[[#This Row],[FONDO]],MAESTRO!D:F,3,FALSE)</f>
        <v>(T+0)</v>
      </c>
      <c r="I534" s="4" t="s">
        <v>9</v>
      </c>
      <c r="L5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4" s="4">
        <f>ROUND(IF(Tabla14[[#This Row],[OPERACIÓN]]=MAESTRO!$B$2,Tabla14[CAPITAL],IF(Tabla14[[#This Row],[OPERACIÓN]]=MAESTRO!$B$5,Tabla14[CAPITAL],-Tabla14[[#This Row],[CAPITAL]])),2)</f>
        <v>-63632414.380000003</v>
      </c>
    </row>
    <row r="535" spans="1:13" x14ac:dyDescent="0.3">
      <c r="A535" s="26">
        <v>46122</v>
      </c>
      <c r="B535" t="s">
        <v>298</v>
      </c>
      <c r="C535" t="s">
        <v>132</v>
      </c>
      <c r="D535" s="27" t="s">
        <v>17</v>
      </c>
      <c r="E535" s="4" t="s">
        <v>169</v>
      </c>
      <c r="F535" s="4">
        <v>138049240</v>
      </c>
      <c r="G535" s="67" t="str">
        <f>+VLOOKUP(Tabla14[[#This Row],[FONDO]],MAESTRO!$D$2:$E$119,2,FALSE)</f>
        <v>Max Capital</v>
      </c>
      <c r="H535" s="8" t="str">
        <f>+VLOOKUP(Tabla14[[#This Row],[FONDO]],MAESTRO!D:F,3,FALSE)</f>
        <v>(T+0)</v>
      </c>
      <c r="I535" s="4" t="s">
        <v>9</v>
      </c>
      <c r="L5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5" s="4">
        <f>ROUND(IF(Tabla14[[#This Row],[OPERACIÓN]]=MAESTRO!$B$2,Tabla14[CAPITAL],IF(Tabla14[[#This Row],[OPERACIÓN]]=MAESTRO!$B$5,Tabla14[CAPITAL],-Tabla14[[#This Row],[CAPITAL]])),2)</f>
        <v>-138049240</v>
      </c>
    </row>
    <row r="536" spans="1:13" x14ac:dyDescent="0.3">
      <c r="A536" s="26">
        <v>46122</v>
      </c>
      <c r="B536" t="s">
        <v>299</v>
      </c>
      <c r="C536" t="s">
        <v>132</v>
      </c>
      <c r="D536" s="27" t="s">
        <v>16</v>
      </c>
      <c r="E536" s="4" t="s">
        <v>255</v>
      </c>
      <c r="F536" s="4">
        <v>400000000</v>
      </c>
      <c r="G536" s="67" t="str">
        <f>+VLOOKUP(Tabla14[[#This Row],[FONDO]],MAESTRO!$D$2:$E$119,2,FALSE)</f>
        <v>Inviu inversiones</v>
      </c>
      <c r="H536" s="8" t="str">
        <f>+VLOOKUP(Tabla14[[#This Row],[FONDO]],MAESTRO!D:F,3,FALSE)</f>
        <v>(T+0)</v>
      </c>
      <c r="I536" s="4" t="s">
        <v>9</v>
      </c>
      <c r="L5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6" s="4">
        <f>ROUND(IF(Tabla14[[#This Row],[OPERACIÓN]]=MAESTRO!$B$2,Tabla14[CAPITAL],IF(Tabla14[[#This Row],[OPERACIÓN]]=MAESTRO!$B$5,Tabla14[CAPITAL],-Tabla14[[#This Row],[CAPITAL]])),2)</f>
        <v>400000000</v>
      </c>
    </row>
    <row r="537" spans="1:13" x14ac:dyDescent="0.3">
      <c r="A537" s="26">
        <v>46125</v>
      </c>
      <c r="B537" t="s">
        <v>299</v>
      </c>
      <c r="C537" t="s">
        <v>132</v>
      </c>
      <c r="D537" s="27" t="s">
        <v>17</v>
      </c>
      <c r="E537" s="4" t="s">
        <v>48</v>
      </c>
      <c r="F537" s="4">
        <v>43400000</v>
      </c>
      <c r="G537" s="67" t="str">
        <f>+VLOOKUP(Tabla14[[#This Row],[FONDO]],MAESTRO!$D$2:$E$119,2,FALSE)</f>
        <v>Banco Macro S.A.</v>
      </c>
      <c r="H537" s="8" t="str">
        <f>+VLOOKUP(Tabla14[[#This Row],[FONDO]],MAESTRO!D:F,3,FALSE)</f>
        <v>(T+0)</v>
      </c>
      <c r="I537" s="4" t="s">
        <v>9</v>
      </c>
      <c r="L5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7" s="4">
        <f>ROUND(IF(Tabla14[[#This Row],[OPERACIÓN]]=MAESTRO!$B$2,Tabla14[CAPITAL],IF(Tabla14[[#This Row],[OPERACIÓN]]=MAESTRO!$B$5,Tabla14[CAPITAL],-Tabla14[[#This Row],[CAPITAL]])),2)</f>
        <v>-43400000</v>
      </c>
    </row>
    <row r="538" spans="1:13" x14ac:dyDescent="0.3">
      <c r="A538" s="26">
        <v>46125</v>
      </c>
      <c r="B538" t="s">
        <v>298</v>
      </c>
      <c r="C538" t="s">
        <v>132</v>
      </c>
      <c r="D538" s="27" t="s">
        <v>17</v>
      </c>
      <c r="E538" s="4" t="s">
        <v>43</v>
      </c>
      <c r="F538" s="4">
        <v>491600000</v>
      </c>
      <c r="G538" s="67" t="str">
        <f>+VLOOKUP(Tabla14[[#This Row],[FONDO]],MAESTRO!$D$2:$E$119,2,FALSE)</f>
        <v>Banco Santander Rio S.A.</v>
      </c>
      <c r="H538" s="8" t="str">
        <f>+VLOOKUP(Tabla14[[#This Row],[FONDO]],MAESTRO!D:F,3,FALSE)</f>
        <v>(T+0)</v>
      </c>
      <c r="I538" s="4" t="s">
        <v>9</v>
      </c>
      <c r="L5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8" s="4">
        <f>ROUND(IF(Tabla14[[#This Row],[OPERACIÓN]]=MAESTRO!$B$2,Tabla14[CAPITAL],IF(Tabla14[[#This Row],[OPERACIÓN]]=MAESTRO!$B$5,Tabla14[CAPITAL],-Tabla14[[#This Row],[CAPITAL]])),2)</f>
        <v>-491600000</v>
      </c>
    </row>
    <row r="539" spans="1:13" x14ac:dyDescent="0.3">
      <c r="A539" s="26">
        <v>46125</v>
      </c>
      <c r="B539" t="s">
        <v>292</v>
      </c>
      <c r="C539" t="s">
        <v>132</v>
      </c>
      <c r="D539" s="27" t="s">
        <v>16</v>
      </c>
      <c r="E539" s="4" t="s">
        <v>48</v>
      </c>
      <c r="F539" s="4">
        <v>10600000</v>
      </c>
      <c r="G539" s="67" t="str">
        <f>+VLOOKUP(Tabla14[[#This Row],[FONDO]],MAESTRO!$D$2:$E$119,2,FALSE)</f>
        <v>Banco Macro S.A.</v>
      </c>
      <c r="H539" s="8" t="str">
        <f>+VLOOKUP(Tabla14[[#This Row],[FONDO]],MAESTRO!D:F,3,FALSE)</f>
        <v>(T+0)</v>
      </c>
      <c r="I539" s="4" t="s">
        <v>9</v>
      </c>
      <c r="L5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39" s="4">
        <f>ROUND(IF(Tabla14[[#This Row],[OPERACIÓN]]=MAESTRO!$B$2,Tabla14[CAPITAL],IF(Tabla14[[#This Row],[OPERACIÓN]]=MAESTRO!$B$5,Tabla14[CAPITAL],-Tabla14[[#This Row],[CAPITAL]])),2)</f>
        <v>10600000</v>
      </c>
    </row>
    <row r="540" spans="1:13" x14ac:dyDescent="0.3">
      <c r="A540" s="26">
        <v>46125</v>
      </c>
      <c r="B540" t="s">
        <v>126</v>
      </c>
      <c r="C540" t="s">
        <v>132</v>
      </c>
      <c r="D540" s="27" t="s">
        <v>16</v>
      </c>
      <c r="E540" s="4" t="s">
        <v>48</v>
      </c>
      <c r="F540" s="4">
        <v>36800000</v>
      </c>
      <c r="G540" s="67" t="str">
        <f>+VLOOKUP(Tabla14[[#This Row],[FONDO]],MAESTRO!$D$2:$E$119,2,FALSE)</f>
        <v>Banco Macro S.A.</v>
      </c>
      <c r="H540" s="8" t="str">
        <f>+VLOOKUP(Tabla14[[#This Row],[FONDO]],MAESTRO!D:F,3,FALSE)</f>
        <v>(T+0)</v>
      </c>
      <c r="I540" s="4" t="s">
        <v>9</v>
      </c>
      <c r="L5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0" s="4">
        <f>ROUND(IF(Tabla14[[#This Row],[OPERACIÓN]]=MAESTRO!$B$2,Tabla14[CAPITAL],IF(Tabla14[[#This Row],[OPERACIÓN]]=MAESTRO!$B$5,Tabla14[CAPITAL],-Tabla14[[#This Row],[CAPITAL]])),2)</f>
        <v>36800000</v>
      </c>
    </row>
    <row r="541" spans="1:13" x14ac:dyDescent="0.3">
      <c r="A541" s="26">
        <v>46125</v>
      </c>
      <c r="B541" t="s">
        <v>298</v>
      </c>
      <c r="C541" t="s">
        <v>132</v>
      </c>
      <c r="D541" s="27" t="s">
        <v>17</v>
      </c>
      <c r="E541" s="4" t="s">
        <v>204</v>
      </c>
      <c r="F541" s="4">
        <v>95553598.359999999</v>
      </c>
      <c r="G541" s="67" t="str">
        <f>+VLOOKUP(Tabla14[[#This Row],[FONDO]],MAESTRO!$D$2:$E$119,2,FALSE)</f>
        <v>Latin Securities</v>
      </c>
      <c r="H541" s="8" t="str">
        <f>+VLOOKUP(Tabla14[[#This Row],[FONDO]],MAESTRO!D:F,3,FALSE)</f>
        <v>(T+0)</v>
      </c>
      <c r="I541" s="4" t="s">
        <v>9</v>
      </c>
      <c r="L5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1" s="4">
        <f>ROUND(IF(Tabla14[[#This Row],[OPERACIÓN]]=MAESTRO!$B$2,Tabla14[CAPITAL],IF(Tabla14[[#This Row],[OPERACIÓN]]=MAESTRO!$B$5,Tabla14[CAPITAL],-Tabla14[[#This Row],[CAPITAL]])),2)</f>
        <v>-95553598.359999999</v>
      </c>
    </row>
    <row r="542" spans="1:13" x14ac:dyDescent="0.3">
      <c r="A542" s="26">
        <v>46125</v>
      </c>
      <c r="B542" t="s">
        <v>298</v>
      </c>
      <c r="C542" t="s">
        <v>132</v>
      </c>
      <c r="D542" s="27" t="s">
        <v>17</v>
      </c>
      <c r="E542" s="4" t="s">
        <v>204</v>
      </c>
      <c r="F542" s="4">
        <v>101316477.63</v>
      </c>
      <c r="G542" s="67" t="str">
        <f>+VLOOKUP(Tabla14[[#This Row],[FONDO]],MAESTRO!$D$2:$E$119,2,FALSE)</f>
        <v>Latin Securities</v>
      </c>
      <c r="H542" s="8" t="str">
        <f>+VLOOKUP(Tabla14[[#This Row],[FONDO]],MAESTRO!D:F,3,FALSE)</f>
        <v>(T+0)</v>
      </c>
      <c r="I542" s="4" t="s">
        <v>9</v>
      </c>
      <c r="L5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2" s="4">
        <f>ROUND(IF(Tabla14[[#This Row],[OPERACIÓN]]=MAESTRO!$B$2,Tabla14[CAPITAL],IF(Tabla14[[#This Row],[OPERACIÓN]]=MAESTRO!$B$5,Tabla14[CAPITAL],-Tabla14[[#This Row],[CAPITAL]])),2)</f>
        <v>-101316477.63</v>
      </c>
    </row>
    <row r="543" spans="1:13" x14ac:dyDescent="0.3">
      <c r="A543" s="26">
        <v>46125</v>
      </c>
      <c r="B543" t="s">
        <v>298</v>
      </c>
      <c r="C543" t="s">
        <v>132</v>
      </c>
      <c r="D543" s="27" t="s">
        <v>17</v>
      </c>
      <c r="E543" s="4" t="s">
        <v>136</v>
      </c>
      <c r="F543" s="4">
        <v>83974169.280000001</v>
      </c>
      <c r="G543" s="67" t="str">
        <f>+VLOOKUP(Tabla14[[#This Row],[FONDO]],MAESTRO!$D$2:$E$119,2,FALSE)</f>
        <v>Gma Capital</v>
      </c>
      <c r="H543" s="8" t="str">
        <f>+VLOOKUP(Tabla14[[#This Row],[FONDO]],MAESTRO!D:F,3,FALSE)</f>
        <v>(T+0)</v>
      </c>
      <c r="I543" s="4" t="s">
        <v>9</v>
      </c>
      <c r="L5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3" s="4">
        <f>ROUND(IF(Tabla14[[#This Row],[OPERACIÓN]]=MAESTRO!$B$2,Tabla14[CAPITAL],IF(Tabla14[[#This Row],[OPERACIÓN]]=MAESTRO!$B$5,Tabla14[CAPITAL],-Tabla14[[#This Row],[CAPITAL]])),2)</f>
        <v>-83974169.280000001</v>
      </c>
    </row>
    <row r="544" spans="1:13" x14ac:dyDescent="0.3">
      <c r="A544" s="26">
        <v>46125</v>
      </c>
      <c r="B544" t="s">
        <v>298</v>
      </c>
      <c r="C544" t="s">
        <v>132</v>
      </c>
      <c r="D544" s="27" t="s">
        <v>17</v>
      </c>
      <c r="E544" s="4" t="s">
        <v>136</v>
      </c>
      <c r="F544" s="4">
        <v>68265511.189999998</v>
      </c>
      <c r="G544" s="67" t="str">
        <f>+VLOOKUP(Tabla14[[#This Row],[FONDO]],MAESTRO!$D$2:$E$119,2,FALSE)</f>
        <v>Gma Capital</v>
      </c>
      <c r="H544" s="8" t="str">
        <f>+VLOOKUP(Tabla14[[#This Row],[FONDO]],MAESTRO!D:F,3,FALSE)</f>
        <v>(T+0)</v>
      </c>
      <c r="I544" s="4" t="s">
        <v>9</v>
      </c>
      <c r="L5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4" s="4">
        <f>ROUND(IF(Tabla14[[#This Row],[OPERACIÓN]]=MAESTRO!$B$2,Tabla14[CAPITAL],IF(Tabla14[[#This Row],[OPERACIÓN]]=MAESTRO!$B$5,Tabla14[CAPITAL],-Tabla14[[#This Row],[CAPITAL]])),2)</f>
        <v>-68265511.189999998</v>
      </c>
    </row>
    <row r="545" spans="1:13" x14ac:dyDescent="0.3">
      <c r="A545" s="26">
        <v>46125</v>
      </c>
      <c r="B545" t="s">
        <v>298</v>
      </c>
      <c r="C545" t="s">
        <v>132</v>
      </c>
      <c r="D545" s="27" t="s">
        <v>17</v>
      </c>
      <c r="E545" s="4" t="s">
        <v>169</v>
      </c>
      <c r="F545" s="4">
        <v>51774950.450000003</v>
      </c>
      <c r="G545" s="67" t="str">
        <f>+VLOOKUP(Tabla14[[#This Row],[FONDO]],MAESTRO!$D$2:$E$119,2,FALSE)</f>
        <v>Max Capital</v>
      </c>
      <c r="H545" s="8" t="str">
        <f>+VLOOKUP(Tabla14[[#This Row],[FONDO]],MAESTRO!D:F,3,FALSE)</f>
        <v>(T+0)</v>
      </c>
      <c r="I545" s="4" t="s">
        <v>9</v>
      </c>
      <c r="L5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5" s="4">
        <f>ROUND(IF(Tabla14[[#This Row],[OPERACIÓN]]=MAESTRO!$B$2,Tabla14[CAPITAL],IF(Tabla14[[#This Row],[OPERACIÓN]]=MAESTRO!$B$5,Tabla14[CAPITAL],-Tabla14[[#This Row],[CAPITAL]])),2)</f>
        <v>-51774950.450000003</v>
      </c>
    </row>
    <row r="546" spans="1:13" x14ac:dyDescent="0.3">
      <c r="A546" s="26">
        <v>46125</v>
      </c>
      <c r="B546" t="s">
        <v>298</v>
      </c>
      <c r="C546" t="s">
        <v>132</v>
      </c>
      <c r="D546" s="27" t="s">
        <v>17</v>
      </c>
      <c r="E546" s="4" t="s">
        <v>169</v>
      </c>
      <c r="F546" s="4">
        <v>54712008.560000002</v>
      </c>
      <c r="G546" s="67" t="str">
        <f>+VLOOKUP(Tabla14[[#This Row],[FONDO]],MAESTRO!$D$2:$E$119,2,FALSE)</f>
        <v>Max Capital</v>
      </c>
      <c r="H546" s="8" t="str">
        <f>+VLOOKUP(Tabla14[[#This Row],[FONDO]],MAESTRO!D:F,3,FALSE)</f>
        <v>(T+0)</v>
      </c>
      <c r="I546" s="4" t="s">
        <v>9</v>
      </c>
      <c r="L5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6" s="4">
        <f>ROUND(IF(Tabla14[[#This Row],[OPERACIÓN]]=MAESTRO!$B$2,Tabla14[CAPITAL],IF(Tabla14[[#This Row],[OPERACIÓN]]=MAESTRO!$B$5,Tabla14[CAPITAL],-Tabla14[[#This Row],[CAPITAL]])),2)</f>
        <v>-54712008.560000002</v>
      </c>
    </row>
    <row r="547" spans="1:13" x14ac:dyDescent="0.3">
      <c r="A547" s="26">
        <v>46125</v>
      </c>
      <c r="B547" t="s">
        <v>298</v>
      </c>
      <c r="C547" t="s">
        <v>132</v>
      </c>
      <c r="D547" s="27" t="s">
        <v>16</v>
      </c>
      <c r="E547" s="4" t="s">
        <v>40</v>
      </c>
      <c r="F547" s="4">
        <v>8160000000</v>
      </c>
      <c r="G547" s="8" t="str">
        <f>+VLOOKUP(Tabla14[[#This Row],[FONDO]],MAESTRO!$D$2:$E$119,2,FALSE)</f>
        <v>BBVA Banco Frances SA</v>
      </c>
      <c r="H547" s="8" t="str">
        <f>+VLOOKUP(Tabla14[[#This Row],[FONDO]],MAESTRO!D:F,3,FALSE)</f>
        <v>(T+0)</v>
      </c>
      <c r="I547" s="4" t="s">
        <v>9</v>
      </c>
      <c r="L5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7" s="4">
        <f>ROUND(IF(Tabla14[[#This Row],[OPERACIÓN]]=MAESTRO!$B$2,Tabla14[CAPITAL],IF(Tabla14[[#This Row],[OPERACIÓN]]=MAESTRO!$B$5,Tabla14[CAPITAL],-Tabla14[[#This Row],[CAPITAL]])),2)</f>
        <v>8160000000</v>
      </c>
    </row>
    <row r="548" spans="1:13" x14ac:dyDescent="0.3">
      <c r="A548" s="26">
        <v>46126</v>
      </c>
      <c r="B548" t="s">
        <v>292</v>
      </c>
      <c r="C548" t="s">
        <v>132</v>
      </c>
      <c r="D548" s="27" t="s">
        <v>17</v>
      </c>
      <c r="E548" s="4" t="s">
        <v>40</v>
      </c>
      <c r="F548" s="4">
        <v>71600000</v>
      </c>
      <c r="G548" s="68" t="str">
        <f>+VLOOKUP(Tabla14[[#This Row],[FONDO]],MAESTRO!$D$2:$E$119,2,FALSE)</f>
        <v>BBVA Banco Frances SA</v>
      </c>
      <c r="H548" s="8" t="str">
        <f>+VLOOKUP(Tabla14[[#This Row],[FONDO]],MAESTRO!D:F,3,FALSE)</f>
        <v>(T+0)</v>
      </c>
      <c r="I548" s="4" t="s">
        <v>9</v>
      </c>
      <c r="L5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8" s="4">
        <f>ROUND(IF(Tabla14[[#This Row],[OPERACIÓN]]=MAESTRO!$B$2,Tabla14[CAPITAL],IF(Tabla14[[#This Row],[OPERACIÓN]]=MAESTRO!$B$5,Tabla14[CAPITAL],-Tabla14[[#This Row],[CAPITAL]])),2)</f>
        <v>-71600000</v>
      </c>
    </row>
    <row r="549" spans="1:13" x14ac:dyDescent="0.3">
      <c r="A549" s="26">
        <v>46126</v>
      </c>
      <c r="B549" t="s">
        <v>299</v>
      </c>
      <c r="C549" t="s">
        <v>132</v>
      </c>
      <c r="D549" s="27" t="s">
        <v>17</v>
      </c>
      <c r="E549" s="4" t="s">
        <v>48</v>
      </c>
      <c r="F549" s="4">
        <v>97800000</v>
      </c>
      <c r="G549" s="68" t="str">
        <f>+VLOOKUP(Tabla14[[#This Row],[FONDO]],MAESTRO!$D$2:$E$119,2,FALSE)</f>
        <v>Banco Macro S.A.</v>
      </c>
      <c r="H549" s="8" t="str">
        <f>+VLOOKUP(Tabla14[[#This Row],[FONDO]],MAESTRO!D:F,3,FALSE)</f>
        <v>(T+0)</v>
      </c>
      <c r="I549" s="4" t="s">
        <v>9</v>
      </c>
      <c r="L5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49" s="4">
        <f>ROUND(IF(Tabla14[[#This Row],[OPERACIÓN]]=MAESTRO!$B$2,Tabla14[CAPITAL],IF(Tabla14[[#This Row],[OPERACIÓN]]=MAESTRO!$B$5,Tabla14[CAPITAL],-Tabla14[[#This Row],[CAPITAL]])),2)</f>
        <v>-97800000</v>
      </c>
    </row>
    <row r="550" spans="1:13" x14ac:dyDescent="0.3">
      <c r="A550" s="26">
        <v>46126</v>
      </c>
      <c r="B550" t="s">
        <v>298</v>
      </c>
      <c r="C550" t="s">
        <v>132</v>
      </c>
      <c r="D550" s="27" t="s">
        <v>17</v>
      </c>
      <c r="E550" s="4" t="s">
        <v>43</v>
      </c>
      <c r="F550" s="4">
        <v>235500000</v>
      </c>
      <c r="G550" s="68" t="str">
        <f>+VLOOKUP(Tabla14[[#This Row],[FONDO]],MAESTRO!$D$2:$E$119,2,FALSE)</f>
        <v>Banco Santander Rio S.A.</v>
      </c>
      <c r="H550" s="8" t="str">
        <f>+VLOOKUP(Tabla14[[#This Row],[FONDO]],MAESTRO!D:F,3,FALSE)</f>
        <v>(T+0)</v>
      </c>
      <c r="I550" s="4" t="s">
        <v>9</v>
      </c>
      <c r="L5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0" s="4">
        <f>ROUND(IF(Tabla14[[#This Row],[OPERACIÓN]]=MAESTRO!$B$2,Tabla14[CAPITAL],IF(Tabla14[[#This Row],[OPERACIÓN]]=MAESTRO!$B$5,Tabla14[CAPITAL],-Tabla14[[#This Row],[CAPITAL]])),2)</f>
        <v>-235500000</v>
      </c>
    </row>
    <row r="551" spans="1:13" x14ac:dyDescent="0.3">
      <c r="A551" s="26">
        <v>46126</v>
      </c>
      <c r="B551" t="s">
        <v>299</v>
      </c>
      <c r="C551" t="s">
        <v>132</v>
      </c>
      <c r="D551" s="27" t="s">
        <v>17</v>
      </c>
      <c r="E551" s="4" t="s">
        <v>169</v>
      </c>
      <c r="F551" s="4">
        <v>50000000</v>
      </c>
      <c r="G551" s="68" t="str">
        <f>+VLOOKUP(Tabla14[[#This Row],[FONDO]],MAESTRO!$D$2:$E$119,2,FALSE)</f>
        <v>Max Capital</v>
      </c>
      <c r="H551" s="8" t="str">
        <f>+VLOOKUP(Tabla14[[#This Row],[FONDO]],MAESTRO!D:F,3,FALSE)</f>
        <v>(T+0)</v>
      </c>
      <c r="I551" s="4" t="s">
        <v>9</v>
      </c>
      <c r="L5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1" s="4">
        <f>ROUND(IF(Tabla14[[#This Row],[OPERACIÓN]]=MAESTRO!$B$2,Tabla14[CAPITAL],IF(Tabla14[[#This Row],[OPERACIÓN]]=MAESTRO!$B$5,Tabla14[CAPITAL],-Tabla14[[#This Row],[CAPITAL]])),2)</f>
        <v>-50000000</v>
      </c>
    </row>
    <row r="552" spans="1:13" x14ac:dyDescent="0.3">
      <c r="A552" s="26">
        <v>46126</v>
      </c>
      <c r="B552" t="s">
        <v>299</v>
      </c>
      <c r="C552" t="s">
        <v>132</v>
      </c>
      <c r="D552" s="27" t="s">
        <v>17</v>
      </c>
      <c r="E552" s="4" t="s">
        <v>169</v>
      </c>
      <c r="F552" s="4">
        <v>47830818.93</v>
      </c>
      <c r="G552" s="68" t="str">
        <f>+VLOOKUP(Tabla14[[#This Row],[FONDO]],MAESTRO!$D$2:$E$119,2,FALSE)</f>
        <v>Max Capital</v>
      </c>
      <c r="H552" s="8" t="str">
        <f>+VLOOKUP(Tabla14[[#This Row],[FONDO]],MAESTRO!D:F,3,FALSE)</f>
        <v>(T+0)</v>
      </c>
      <c r="I552" s="4" t="s">
        <v>9</v>
      </c>
      <c r="L5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2" s="4">
        <f>ROUND(IF(Tabla14[[#This Row],[OPERACIÓN]]=MAESTRO!$B$2,Tabla14[CAPITAL],IF(Tabla14[[#This Row],[OPERACIÓN]]=MAESTRO!$B$5,Tabla14[CAPITAL],-Tabla14[[#This Row],[CAPITAL]])),2)</f>
        <v>-47830818.93</v>
      </c>
    </row>
    <row r="553" spans="1:13" x14ac:dyDescent="0.3">
      <c r="A553" s="26">
        <v>46126</v>
      </c>
      <c r="B553" t="s">
        <v>298</v>
      </c>
      <c r="C553" t="s">
        <v>132</v>
      </c>
      <c r="D553" s="27" t="s">
        <v>17</v>
      </c>
      <c r="E553" s="4" t="s">
        <v>40</v>
      </c>
      <c r="F553" s="4">
        <v>1500100000</v>
      </c>
      <c r="G553" s="68" t="str">
        <f>+VLOOKUP(Tabla14[[#This Row],[FONDO]],MAESTRO!$D$2:$E$119,2,FALSE)</f>
        <v>BBVA Banco Frances SA</v>
      </c>
      <c r="H553" s="8" t="str">
        <f>+VLOOKUP(Tabla14[[#This Row],[FONDO]],MAESTRO!D:F,3,FALSE)</f>
        <v>(T+0)</v>
      </c>
      <c r="I553" s="4" t="s">
        <v>9</v>
      </c>
      <c r="L5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3" s="4">
        <f>ROUND(IF(Tabla14[[#This Row],[OPERACIÓN]]=MAESTRO!$B$2,Tabla14[CAPITAL],IF(Tabla14[[#This Row],[OPERACIÓN]]=MAESTRO!$B$5,Tabla14[CAPITAL],-Tabla14[[#This Row],[CAPITAL]])),2)</f>
        <v>-1500100000</v>
      </c>
    </row>
    <row r="554" spans="1:13" x14ac:dyDescent="0.3">
      <c r="A554" s="26">
        <v>46126</v>
      </c>
      <c r="B554" t="s">
        <v>298</v>
      </c>
      <c r="C554" t="s">
        <v>132</v>
      </c>
      <c r="D554" s="27" t="s">
        <v>16</v>
      </c>
      <c r="E554" s="4" t="s">
        <v>136</v>
      </c>
      <c r="F554" s="4">
        <v>200000000</v>
      </c>
      <c r="G554" s="68" t="str">
        <f>+VLOOKUP(Tabla14[[#This Row],[FONDO]],MAESTRO!$D$2:$E$119,2,FALSE)</f>
        <v>Gma Capital</v>
      </c>
      <c r="H554" s="8" t="str">
        <f>+VLOOKUP(Tabla14[[#This Row],[FONDO]],MAESTRO!D:F,3,FALSE)</f>
        <v>(T+0)</v>
      </c>
      <c r="I554" s="4" t="s">
        <v>9</v>
      </c>
      <c r="L5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4" s="4">
        <f>ROUND(IF(Tabla14[[#This Row],[OPERACIÓN]]=MAESTRO!$B$2,Tabla14[CAPITAL],IF(Tabla14[[#This Row],[OPERACIÓN]]=MAESTRO!$B$5,Tabla14[CAPITAL],-Tabla14[[#This Row],[CAPITAL]])),2)</f>
        <v>200000000</v>
      </c>
    </row>
    <row r="555" spans="1:13" x14ac:dyDescent="0.3">
      <c r="A555" s="26">
        <v>46126</v>
      </c>
      <c r="B555" t="s">
        <v>298</v>
      </c>
      <c r="C555" t="s">
        <v>132</v>
      </c>
      <c r="D555" s="27" t="s">
        <v>16</v>
      </c>
      <c r="E555" s="4" t="s">
        <v>169</v>
      </c>
      <c r="F555" s="4">
        <v>300000000</v>
      </c>
      <c r="G555" s="68" t="str">
        <f>+VLOOKUP(Tabla14[[#This Row],[FONDO]],MAESTRO!$D$2:$E$119,2,FALSE)</f>
        <v>Max Capital</v>
      </c>
      <c r="H555" s="8" t="str">
        <f>+VLOOKUP(Tabla14[[#This Row],[FONDO]],MAESTRO!D:F,3,FALSE)</f>
        <v>(T+0)</v>
      </c>
      <c r="I555" s="4" t="s">
        <v>9</v>
      </c>
      <c r="L5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5" s="4">
        <f>ROUND(IF(Tabla14[[#This Row],[OPERACIÓN]]=MAESTRO!$B$2,Tabla14[CAPITAL],IF(Tabla14[[#This Row],[OPERACIÓN]]=MAESTRO!$B$5,Tabla14[CAPITAL],-Tabla14[[#This Row],[CAPITAL]])),2)</f>
        <v>300000000</v>
      </c>
    </row>
    <row r="556" spans="1:13" x14ac:dyDescent="0.3">
      <c r="A556" s="26">
        <v>46126</v>
      </c>
      <c r="B556" t="s">
        <v>298</v>
      </c>
      <c r="C556" t="s">
        <v>132</v>
      </c>
      <c r="D556" s="27" t="s">
        <v>16</v>
      </c>
      <c r="E556" s="4" t="s">
        <v>291</v>
      </c>
      <c r="F556" s="4">
        <v>1000000000</v>
      </c>
      <c r="G556" s="72" t="str">
        <f>+VLOOKUP(Tabla14[[#This Row],[FONDO]],MAESTRO!$D$2:$E$119,2,FALSE)</f>
        <v>Balanz</v>
      </c>
      <c r="H556" s="8" t="str">
        <f>+VLOOKUP(Tabla14[[#This Row],[FONDO]],MAESTRO!D:F,3,FALSE)</f>
        <v>(T+1)</v>
      </c>
      <c r="I556" s="4" t="s">
        <v>9</v>
      </c>
      <c r="L5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6" s="4">
        <f>ROUND(IF(Tabla14[[#This Row],[OPERACIÓN]]=MAESTRO!$B$2,Tabla14[CAPITAL],IF(Tabla14[[#This Row],[OPERACIÓN]]=MAESTRO!$B$5,Tabla14[CAPITAL],-Tabla14[[#This Row],[CAPITAL]])),2)</f>
        <v>1000000000</v>
      </c>
    </row>
    <row r="557" spans="1:13" x14ac:dyDescent="0.3">
      <c r="A557" s="26">
        <v>46127</v>
      </c>
      <c r="B557" t="s">
        <v>299</v>
      </c>
      <c r="C557" t="s">
        <v>132</v>
      </c>
      <c r="D557" s="27" t="s">
        <v>17</v>
      </c>
      <c r="E557" s="4" t="s">
        <v>48</v>
      </c>
      <c r="F557" s="4">
        <v>46400000</v>
      </c>
      <c r="G557" s="69" t="str">
        <f>+VLOOKUP(Tabla14[[#This Row],[FONDO]],MAESTRO!$D$2:$E$119,2,FALSE)</f>
        <v>Banco Macro S.A.</v>
      </c>
      <c r="H557" s="8" t="str">
        <f>+VLOOKUP(Tabla14[[#This Row],[FONDO]],MAESTRO!D:F,3,FALSE)</f>
        <v>(T+0)</v>
      </c>
      <c r="I557" s="4" t="s">
        <v>9</v>
      </c>
      <c r="L5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7" s="4">
        <f>ROUND(IF(Tabla14[[#This Row],[OPERACIÓN]]=MAESTRO!$B$2,Tabla14[CAPITAL],IF(Tabla14[[#This Row],[OPERACIÓN]]=MAESTRO!$B$5,Tabla14[CAPITAL],-Tabla14[[#This Row],[CAPITAL]])),2)</f>
        <v>-46400000</v>
      </c>
    </row>
    <row r="558" spans="1:13" x14ac:dyDescent="0.3">
      <c r="A558" s="26">
        <v>46127</v>
      </c>
      <c r="B558" t="s">
        <v>298</v>
      </c>
      <c r="C558" t="s">
        <v>132</v>
      </c>
      <c r="D558" s="27" t="s">
        <v>17</v>
      </c>
      <c r="E558" s="4" t="s">
        <v>43</v>
      </c>
      <c r="F558" s="4">
        <v>299800000</v>
      </c>
      <c r="G558" s="69" t="str">
        <f>+VLOOKUP(Tabla14[[#This Row],[FONDO]],MAESTRO!$D$2:$E$119,2,FALSE)</f>
        <v>Banco Santander Rio S.A.</v>
      </c>
      <c r="H558" s="8" t="str">
        <f>+VLOOKUP(Tabla14[[#This Row],[FONDO]],MAESTRO!D:F,3,FALSE)</f>
        <v>(T+0)</v>
      </c>
      <c r="I558" s="4" t="s">
        <v>9</v>
      </c>
      <c r="L5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8" s="4">
        <f>ROUND(IF(Tabla14[[#This Row],[OPERACIÓN]]=MAESTRO!$B$2,Tabla14[CAPITAL],IF(Tabla14[[#This Row],[OPERACIÓN]]=MAESTRO!$B$5,Tabla14[CAPITAL],-Tabla14[[#This Row],[CAPITAL]])),2)</f>
        <v>-299800000</v>
      </c>
    </row>
    <row r="559" spans="1:13" x14ac:dyDescent="0.3">
      <c r="A559" s="26">
        <v>46127</v>
      </c>
      <c r="B559" t="s">
        <v>292</v>
      </c>
      <c r="C559" t="s">
        <v>132</v>
      </c>
      <c r="D559" s="27" t="s">
        <v>16</v>
      </c>
      <c r="E559" s="4" t="s">
        <v>48</v>
      </c>
      <c r="F559" s="4">
        <v>191800000</v>
      </c>
      <c r="G559" s="69" t="str">
        <f>+VLOOKUP(Tabla14[[#This Row],[FONDO]],MAESTRO!$D$2:$E$119,2,FALSE)</f>
        <v>Banco Macro S.A.</v>
      </c>
      <c r="H559" s="8" t="str">
        <f>+VLOOKUP(Tabla14[[#This Row],[FONDO]],MAESTRO!D:F,3,FALSE)</f>
        <v>(T+0)</v>
      </c>
      <c r="I559" s="4" t="s">
        <v>9</v>
      </c>
      <c r="L5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59" s="4">
        <f>ROUND(IF(Tabla14[[#This Row],[OPERACIÓN]]=MAESTRO!$B$2,Tabla14[CAPITAL],IF(Tabla14[[#This Row],[OPERACIÓN]]=MAESTRO!$B$5,Tabla14[CAPITAL],-Tabla14[[#This Row],[CAPITAL]])),2)</f>
        <v>191800000</v>
      </c>
    </row>
    <row r="560" spans="1:13" x14ac:dyDescent="0.3">
      <c r="A560" s="26">
        <v>46127</v>
      </c>
      <c r="B560" t="s">
        <v>298</v>
      </c>
      <c r="C560" t="s">
        <v>132</v>
      </c>
      <c r="D560" s="27" t="s">
        <v>17</v>
      </c>
      <c r="E560" s="4" t="s">
        <v>136</v>
      </c>
      <c r="F560" s="4">
        <v>84276199.480000004</v>
      </c>
      <c r="G560" s="69" t="str">
        <f>+VLOOKUP(Tabla14[[#This Row],[FONDO]],MAESTRO!$D$2:$E$119,2,FALSE)</f>
        <v>Gma Capital</v>
      </c>
      <c r="H560" s="8" t="str">
        <f>+VLOOKUP(Tabla14[[#This Row],[FONDO]],MAESTRO!D:F,3,FALSE)</f>
        <v>(T+0)</v>
      </c>
      <c r="I560" s="4" t="s">
        <v>9</v>
      </c>
      <c r="L5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0" s="4">
        <f>ROUND(IF(Tabla14[[#This Row],[OPERACIÓN]]=MAESTRO!$B$2,Tabla14[CAPITAL],IF(Tabla14[[#This Row],[OPERACIÓN]]=MAESTRO!$B$5,Tabla14[CAPITAL],-Tabla14[[#This Row],[CAPITAL]])),2)</f>
        <v>-84276199.480000004</v>
      </c>
    </row>
    <row r="561" spans="1:13" x14ac:dyDescent="0.3">
      <c r="A561" s="26">
        <v>46127</v>
      </c>
      <c r="B561" t="s">
        <v>298</v>
      </c>
      <c r="C561" t="s">
        <v>132</v>
      </c>
      <c r="D561" s="27" t="s">
        <v>17</v>
      </c>
      <c r="E561" s="4" t="s">
        <v>136</v>
      </c>
      <c r="F561" s="4">
        <v>69443146.140000001</v>
      </c>
      <c r="G561" s="69" t="str">
        <f>+VLOOKUP(Tabla14[[#This Row],[FONDO]],MAESTRO!$D$2:$E$119,2,FALSE)</f>
        <v>Gma Capital</v>
      </c>
      <c r="H561" s="8" t="str">
        <f>+VLOOKUP(Tabla14[[#This Row],[FONDO]],MAESTRO!D:F,3,FALSE)</f>
        <v>(T+0)</v>
      </c>
      <c r="I561" s="4" t="s">
        <v>9</v>
      </c>
      <c r="L5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1" s="4">
        <f>ROUND(IF(Tabla14[[#This Row],[OPERACIÓN]]=MAESTRO!$B$2,Tabla14[CAPITAL],IF(Tabla14[[#This Row],[OPERACIÓN]]=MAESTRO!$B$5,Tabla14[CAPITAL],-Tabla14[[#This Row],[CAPITAL]])),2)</f>
        <v>-69443146.140000001</v>
      </c>
    </row>
    <row r="562" spans="1:13" x14ac:dyDescent="0.3">
      <c r="A562" s="26">
        <v>46127</v>
      </c>
      <c r="B562" t="s">
        <v>299</v>
      </c>
      <c r="C562" t="s">
        <v>132</v>
      </c>
      <c r="D562" s="27" t="s">
        <v>17</v>
      </c>
      <c r="E562" s="4" t="s">
        <v>136</v>
      </c>
      <c r="F562" s="4">
        <v>161335089.63</v>
      </c>
      <c r="G562" s="69" t="str">
        <f>+VLOOKUP(Tabla14[[#This Row],[FONDO]],MAESTRO!$D$2:$E$119,2,FALSE)</f>
        <v>Gma Capital</v>
      </c>
      <c r="H562" s="8" t="str">
        <f>+VLOOKUP(Tabla14[[#This Row],[FONDO]],MAESTRO!D:F,3,FALSE)</f>
        <v>(T+0)</v>
      </c>
      <c r="I562" s="4" t="s">
        <v>9</v>
      </c>
      <c r="L5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2" s="4">
        <f>ROUND(IF(Tabla14[[#This Row],[OPERACIÓN]]=MAESTRO!$B$2,Tabla14[CAPITAL],IF(Tabla14[[#This Row],[OPERACIÓN]]=MAESTRO!$B$5,Tabla14[CAPITAL],-Tabla14[[#This Row],[CAPITAL]])),2)</f>
        <v>-161335089.63</v>
      </c>
    </row>
    <row r="563" spans="1:13" x14ac:dyDescent="0.3">
      <c r="A563" s="26">
        <v>46127</v>
      </c>
      <c r="B563" t="s">
        <v>298</v>
      </c>
      <c r="C563" t="s">
        <v>132</v>
      </c>
      <c r="D563" s="27" t="s">
        <v>17</v>
      </c>
      <c r="E563" s="4" t="s">
        <v>169</v>
      </c>
      <c r="F563" s="4">
        <v>62501896.68</v>
      </c>
      <c r="G563" s="69" t="str">
        <f>+VLOOKUP(Tabla14[[#This Row],[FONDO]],MAESTRO!$D$2:$E$119,2,FALSE)</f>
        <v>Max Capital</v>
      </c>
      <c r="H563" s="8" t="str">
        <f>+VLOOKUP(Tabla14[[#This Row],[FONDO]],MAESTRO!D:F,3,FALSE)</f>
        <v>(T+0)</v>
      </c>
      <c r="I563" s="4" t="s">
        <v>9</v>
      </c>
      <c r="L5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3" s="4">
        <f>ROUND(IF(Tabla14[[#This Row],[OPERACIÓN]]=MAESTRO!$B$2,Tabla14[CAPITAL],IF(Tabla14[[#This Row],[OPERACIÓN]]=MAESTRO!$B$5,Tabla14[CAPITAL],-Tabla14[[#This Row],[CAPITAL]])),2)</f>
        <v>-62501896.68</v>
      </c>
    </row>
    <row r="564" spans="1:13" x14ac:dyDescent="0.3">
      <c r="A564" s="26">
        <v>46127</v>
      </c>
      <c r="B564" t="s">
        <v>298</v>
      </c>
      <c r="C564" t="s">
        <v>132</v>
      </c>
      <c r="D564" s="27" t="s">
        <v>17</v>
      </c>
      <c r="E564" s="4" t="s">
        <v>169</v>
      </c>
      <c r="F564" s="4">
        <v>172558629.88999999</v>
      </c>
      <c r="G564" s="69" t="str">
        <f>+VLOOKUP(Tabla14[[#This Row],[FONDO]],MAESTRO!$D$2:$E$119,2,FALSE)</f>
        <v>Max Capital</v>
      </c>
      <c r="H564" s="8" t="str">
        <f>+VLOOKUP(Tabla14[[#This Row],[FONDO]],MAESTRO!D:F,3,FALSE)</f>
        <v>(T+0)</v>
      </c>
      <c r="I564" s="4" t="s">
        <v>9</v>
      </c>
      <c r="L5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4" s="4">
        <f>ROUND(IF(Tabla14[[#This Row],[OPERACIÓN]]=MAESTRO!$B$2,Tabla14[CAPITAL],IF(Tabla14[[#This Row],[OPERACIÓN]]=MAESTRO!$B$5,Tabla14[CAPITAL],-Tabla14[[#This Row],[CAPITAL]])),2)</f>
        <v>-172558629.88999999</v>
      </c>
    </row>
    <row r="565" spans="1:13" x14ac:dyDescent="0.3">
      <c r="A565" s="26">
        <v>46127</v>
      </c>
      <c r="B565" t="s">
        <v>299</v>
      </c>
      <c r="C565" t="s">
        <v>132</v>
      </c>
      <c r="D565" s="27" t="s">
        <v>17</v>
      </c>
      <c r="E565" s="4" t="s">
        <v>169</v>
      </c>
      <c r="F565" s="4">
        <v>127946602.44</v>
      </c>
      <c r="G565" s="69" t="str">
        <f>+VLOOKUP(Tabla14[[#This Row],[FONDO]],MAESTRO!$D$2:$E$119,2,FALSE)</f>
        <v>Max Capital</v>
      </c>
      <c r="H565" s="8" t="str">
        <f>+VLOOKUP(Tabla14[[#This Row],[FONDO]],MAESTRO!D:F,3,FALSE)</f>
        <v>(T+0)</v>
      </c>
      <c r="I565" s="4" t="s">
        <v>9</v>
      </c>
      <c r="L5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5" s="4">
        <f>ROUND(IF(Tabla14[[#This Row],[OPERACIÓN]]=MAESTRO!$B$2,Tabla14[CAPITAL],IF(Tabla14[[#This Row],[OPERACIÓN]]=MAESTRO!$B$5,Tabla14[CAPITAL],-Tabla14[[#This Row],[CAPITAL]])),2)</f>
        <v>-127946602.44</v>
      </c>
    </row>
    <row r="566" spans="1:13" x14ac:dyDescent="0.3">
      <c r="A566" s="26">
        <v>46127</v>
      </c>
      <c r="B566" t="s">
        <v>298</v>
      </c>
      <c r="C566" t="s">
        <v>132</v>
      </c>
      <c r="D566" s="27" t="s">
        <v>17</v>
      </c>
      <c r="E566" s="4" t="s">
        <v>204</v>
      </c>
      <c r="F566" s="4">
        <v>64349969.020000003</v>
      </c>
      <c r="G566" s="69" t="str">
        <f>+VLOOKUP(Tabla14[[#This Row],[FONDO]],MAESTRO!$D$2:$E$119,2,FALSE)</f>
        <v>Latin Securities</v>
      </c>
      <c r="H566" s="8" t="str">
        <f>+VLOOKUP(Tabla14[[#This Row],[FONDO]],MAESTRO!D:F,3,FALSE)</f>
        <v>(T+0)</v>
      </c>
      <c r="I566" s="4" t="s">
        <v>9</v>
      </c>
      <c r="L5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6" s="4">
        <f>ROUND(IF(Tabla14[[#This Row],[OPERACIÓN]]=MAESTRO!$B$2,Tabla14[CAPITAL],IF(Tabla14[[#This Row],[OPERACIÓN]]=MAESTRO!$B$5,Tabla14[CAPITAL],-Tabla14[[#This Row],[CAPITAL]])),2)</f>
        <v>-64349969.020000003</v>
      </c>
    </row>
    <row r="567" spans="1:13" x14ac:dyDescent="0.3">
      <c r="A567" s="26">
        <v>46127</v>
      </c>
      <c r="B567" t="s">
        <v>298</v>
      </c>
      <c r="C567" t="s">
        <v>132</v>
      </c>
      <c r="D567" s="27" t="s">
        <v>17</v>
      </c>
      <c r="E567" s="4" t="s">
        <v>204</v>
      </c>
      <c r="F567" s="4">
        <v>139485093.22</v>
      </c>
      <c r="G567" s="69" t="str">
        <f>+VLOOKUP(Tabla14[[#This Row],[FONDO]],MAESTRO!$D$2:$E$119,2,FALSE)</f>
        <v>Latin Securities</v>
      </c>
      <c r="H567" s="8" t="str">
        <f>+VLOOKUP(Tabla14[[#This Row],[FONDO]],MAESTRO!D:F,3,FALSE)</f>
        <v>(T+0)</v>
      </c>
      <c r="I567" s="4" t="s">
        <v>9</v>
      </c>
      <c r="L5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7" s="4">
        <f>ROUND(IF(Tabla14[[#This Row],[OPERACIÓN]]=MAESTRO!$B$2,Tabla14[CAPITAL],IF(Tabla14[[#This Row],[OPERACIÓN]]=MAESTRO!$B$5,Tabla14[CAPITAL],-Tabla14[[#This Row],[CAPITAL]])),2)</f>
        <v>-139485093.22</v>
      </c>
    </row>
    <row r="568" spans="1:13" x14ac:dyDescent="0.3">
      <c r="A568" s="26">
        <v>46127</v>
      </c>
      <c r="B568" t="s">
        <v>299</v>
      </c>
      <c r="C568" t="s">
        <v>132</v>
      </c>
      <c r="D568" s="27" t="s">
        <v>17</v>
      </c>
      <c r="E568" s="4" t="s">
        <v>255</v>
      </c>
      <c r="F568" s="4">
        <v>309000000</v>
      </c>
      <c r="G568" s="72" t="str">
        <f>+VLOOKUP(Tabla14[[#This Row],[FONDO]],MAESTRO!$D$2:$E$119,2,FALSE)</f>
        <v>Inviu inversiones</v>
      </c>
      <c r="H568" s="8" t="str">
        <f>+VLOOKUP(Tabla14[[#This Row],[FONDO]],MAESTRO!D:F,3,FALSE)</f>
        <v>(T+0)</v>
      </c>
      <c r="I568" s="4" t="s">
        <v>9</v>
      </c>
      <c r="L5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8" s="4">
        <f>ROUND(IF(Tabla14[[#This Row],[OPERACIÓN]]=MAESTRO!$B$2,Tabla14[CAPITAL],IF(Tabla14[[#This Row],[OPERACIÓN]]=MAESTRO!$B$5,Tabla14[CAPITAL],-Tabla14[[#This Row],[CAPITAL]])),2)</f>
        <v>-309000000</v>
      </c>
    </row>
    <row r="569" spans="1:13" x14ac:dyDescent="0.3">
      <c r="A569" s="26">
        <v>46128</v>
      </c>
      <c r="B569" t="s">
        <v>298</v>
      </c>
      <c r="C569" t="s">
        <v>132</v>
      </c>
      <c r="D569" s="27" t="s">
        <v>17</v>
      </c>
      <c r="E569" s="4" t="s">
        <v>40</v>
      </c>
      <c r="F569" s="4">
        <v>630800000</v>
      </c>
      <c r="G569" s="8" t="str">
        <f>+VLOOKUP(Tabla14[[#This Row],[FONDO]],MAESTRO!$D$2:$E$119,2,FALSE)</f>
        <v>BBVA Banco Frances SA</v>
      </c>
      <c r="H569" s="8" t="str">
        <f>+VLOOKUP(Tabla14[[#This Row],[FONDO]],MAESTRO!D:F,3,FALSE)</f>
        <v>(T+0)</v>
      </c>
      <c r="I569" s="4" t="s">
        <v>9</v>
      </c>
      <c r="L5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69" s="4">
        <f>ROUND(IF(Tabla14[[#This Row],[OPERACIÓN]]=MAESTRO!$B$2,Tabla14[CAPITAL],IF(Tabla14[[#This Row],[OPERACIÓN]]=MAESTRO!$B$5,Tabla14[CAPITAL],-Tabla14[[#This Row],[CAPITAL]])),2)</f>
        <v>-630800000</v>
      </c>
    </row>
    <row r="570" spans="1:13" x14ac:dyDescent="0.3">
      <c r="A570" s="26">
        <v>46128</v>
      </c>
      <c r="B570" t="s">
        <v>299</v>
      </c>
      <c r="C570" t="s">
        <v>132</v>
      </c>
      <c r="D570" s="27" t="s">
        <v>16</v>
      </c>
      <c r="E570" s="4" t="s">
        <v>48</v>
      </c>
      <c r="F570" s="4">
        <v>49700000</v>
      </c>
      <c r="G570" s="8" t="str">
        <f>+VLOOKUP(Tabla14[[#This Row],[FONDO]],MAESTRO!$D$2:$E$119,2,FALSE)</f>
        <v>Banco Macro S.A.</v>
      </c>
      <c r="H570" s="8" t="str">
        <f>+VLOOKUP(Tabla14[[#This Row],[FONDO]],MAESTRO!D:F,3,FALSE)</f>
        <v>(T+0)</v>
      </c>
      <c r="I570" s="4" t="s">
        <v>9</v>
      </c>
      <c r="L5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0" s="4">
        <f>ROUND(IF(Tabla14[[#This Row],[OPERACIÓN]]=MAESTRO!$B$2,Tabla14[CAPITAL],IF(Tabla14[[#This Row],[OPERACIÓN]]=MAESTRO!$B$5,Tabla14[CAPITAL],-Tabla14[[#This Row],[CAPITAL]])),2)</f>
        <v>49700000</v>
      </c>
    </row>
    <row r="571" spans="1:13" x14ac:dyDescent="0.3">
      <c r="A571" s="26">
        <v>46128</v>
      </c>
      <c r="B571" t="s">
        <v>292</v>
      </c>
      <c r="C571" t="s">
        <v>132</v>
      </c>
      <c r="D571" s="27" t="s">
        <v>16</v>
      </c>
      <c r="E571" s="4" t="s">
        <v>48</v>
      </c>
      <c r="F571" s="4">
        <v>40300000</v>
      </c>
      <c r="G571" s="8" t="str">
        <f>+VLOOKUP(Tabla14[[#This Row],[FONDO]],MAESTRO!$D$2:$E$119,2,FALSE)</f>
        <v>Banco Macro S.A.</v>
      </c>
      <c r="H571" s="8" t="str">
        <f>+VLOOKUP(Tabla14[[#This Row],[FONDO]],MAESTRO!D:F,3,FALSE)</f>
        <v>(T+0)</v>
      </c>
      <c r="I571" s="4" t="s">
        <v>9</v>
      </c>
      <c r="L5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1" s="4">
        <f>ROUND(IF(Tabla14[[#This Row],[OPERACIÓN]]=MAESTRO!$B$2,Tabla14[CAPITAL],IF(Tabla14[[#This Row],[OPERACIÓN]]=MAESTRO!$B$5,Tabla14[CAPITAL],-Tabla14[[#This Row],[CAPITAL]])),2)</f>
        <v>40300000</v>
      </c>
    </row>
    <row r="572" spans="1:13" x14ac:dyDescent="0.3">
      <c r="A572" s="26">
        <v>46129</v>
      </c>
      <c r="B572" t="s">
        <v>299</v>
      </c>
      <c r="C572" t="s">
        <v>132</v>
      </c>
      <c r="D572" s="27" t="s">
        <v>17</v>
      </c>
      <c r="E572" s="4" t="s">
        <v>48</v>
      </c>
      <c r="F572" s="4">
        <v>138700000</v>
      </c>
      <c r="G572" s="70" t="str">
        <f>+VLOOKUP(Tabla14[[#This Row],[FONDO]],MAESTRO!$D$2:$E$119,2,FALSE)</f>
        <v>Banco Macro S.A.</v>
      </c>
      <c r="H572" s="8" t="str">
        <f>+VLOOKUP(Tabla14[[#This Row],[FONDO]],MAESTRO!D:F,3,FALSE)</f>
        <v>(T+0)</v>
      </c>
      <c r="I572" s="4" t="s">
        <v>9</v>
      </c>
      <c r="L5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2" s="4">
        <f>ROUND(IF(Tabla14[[#This Row],[OPERACIÓN]]=MAESTRO!$B$2,Tabla14[CAPITAL],IF(Tabla14[[#This Row],[OPERACIÓN]]=MAESTRO!$B$5,Tabla14[CAPITAL],-Tabla14[[#This Row],[CAPITAL]])),2)</f>
        <v>-138700000</v>
      </c>
    </row>
    <row r="573" spans="1:13" s="20" customFormat="1" x14ac:dyDescent="0.3">
      <c r="A573" s="26">
        <v>46129</v>
      </c>
      <c r="B573" t="s">
        <v>292</v>
      </c>
      <c r="C573" t="s">
        <v>132</v>
      </c>
      <c r="D573" s="27" t="s">
        <v>16</v>
      </c>
      <c r="E573" s="4" t="s">
        <v>48</v>
      </c>
      <c r="F573" s="4">
        <v>101700000</v>
      </c>
      <c r="G573" s="70" t="str">
        <f>+VLOOKUP(Tabla14[[#This Row],[FONDO]],MAESTRO!$D$2:$E$119,2,FALSE)</f>
        <v>Banco Macro S.A.</v>
      </c>
      <c r="H573" s="8" t="str">
        <f>+VLOOKUP(Tabla14[[#This Row],[FONDO]],MAESTRO!D:F,3,FALSE)</f>
        <v>(T+0)</v>
      </c>
      <c r="I573" s="4" t="s">
        <v>9</v>
      </c>
      <c r="J573" s="23"/>
      <c r="K573"/>
      <c r="L5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3" s="4">
        <f>ROUND(IF(Tabla14[[#This Row],[OPERACIÓN]]=MAESTRO!$B$2,Tabla14[CAPITAL],IF(Tabla14[[#This Row],[OPERACIÓN]]=MAESTRO!$B$5,Tabla14[CAPITAL],-Tabla14[[#This Row],[CAPITAL]])),2)</f>
        <v>101700000</v>
      </c>
    </row>
    <row r="574" spans="1:13" s="20" customFormat="1" x14ac:dyDescent="0.3">
      <c r="A574" s="26">
        <v>46129</v>
      </c>
      <c r="B574" t="s">
        <v>298</v>
      </c>
      <c r="C574" t="s">
        <v>132</v>
      </c>
      <c r="D574" s="27" t="s">
        <v>17</v>
      </c>
      <c r="E574" s="4" t="s">
        <v>43</v>
      </c>
      <c r="F574" s="4">
        <v>332700000</v>
      </c>
      <c r="G574" s="70" t="str">
        <f>+VLOOKUP(Tabla14[[#This Row],[FONDO]],MAESTRO!$D$2:$E$119,2,FALSE)</f>
        <v>Banco Santander Rio S.A.</v>
      </c>
      <c r="H574" s="8" t="str">
        <f>+VLOOKUP(Tabla14[[#This Row],[FONDO]],MAESTRO!D:F,3,FALSE)</f>
        <v>(T+0)</v>
      </c>
      <c r="I574" s="4" t="s">
        <v>9</v>
      </c>
      <c r="J574" s="23"/>
      <c r="K574"/>
      <c r="L5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4" s="4">
        <f>ROUND(IF(Tabla14[[#This Row],[OPERACIÓN]]=MAESTRO!$B$2,Tabla14[CAPITAL],IF(Tabla14[[#This Row],[OPERACIÓN]]=MAESTRO!$B$5,Tabla14[CAPITAL],-Tabla14[[#This Row],[CAPITAL]])),2)</f>
        <v>-332700000</v>
      </c>
    </row>
    <row r="575" spans="1:13" s="20" customFormat="1" x14ac:dyDescent="0.3">
      <c r="A575" s="26">
        <v>46129</v>
      </c>
      <c r="B575" t="s">
        <v>298</v>
      </c>
      <c r="C575" t="s">
        <v>132</v>
      </c>
      <c r="D575" s="27" t="s">
        <v>17</v>
      </c>
      <c r="E575" s="4" t="s">
        <v>43</v>
      </c>
      <c r="F575" s="4">
        <v>1900000000</v>
      </c>
      <c r="G575" s="70" t="str">
        <f>+VLOOKUP(Tabla14[[#This Row],[FONDO]],MAESTRO!$D$2:$E$119,2,FALSE)</f>
        <v>Banco Santander Rio S.A.</v>
      </c>
      <c r="H575" s="8" t="str">
        <f>+VLOOKUP(Tabla14[[#This Row],[FONDO]],MAESTRO!D:F,3,FALSE)</f>
        <v>(T+0)</v>
      </c>
      <c r="I575" s="4" t="s">
        <v>9</v>
      </c>
      <c r="J575" s="23"/>
      <c r="K575"/>
      <c r="L5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5" s="4">
        <f>ROUND(IF(Tabla14[[#This Row],[OPERACIÓN]]=MAESTRO!$B$2,Tabla14[CAPITAL],IF(Tabla14[[#This Row],[OPERACIÓN]]=MAESTRO!$B$5,Tabla14[CAPITAL],-Tabla14[[#This Row],[CAPITAL]])),2)</f>
        <v>-1900000000</v>
      </c>
    </row>
    <row r="576" spans="1:13" s="20" customFormat="1" x14ac:dyDescent="0.3">
      <c r="A576" s="26">
        <v>46129</v>
      </c>
      <c r="B576" t="s">
        <v>298</v>
      </c>
      <c r="C576" t="s">
        <v>132</v>
      </c>
      <c r="D576" s="27" t="s">
        <v>17</v>
      </c>
      <c r="E576" s="4" t="s">
        <v>40</v>
      </c>
      <c r="F576" s="4">
        <v>7000000</v>
      </c>
      <c r="G576" s="70" t="str">
        <f>+VLOOKUP(Tabla14[[#This Row],[FONDO]],MAESTRO!$D$2:$E$119,2,FALSE)</f>
        <v>BBVA Banco Frances SA</v>
      </c>
      <c r="H576" s="8" t="str">
        <f>+VLOOKUP(Tabla14[[#This Row],[FONDO]],MAESTRO!D:F,3,FALSE)</f>
        <v>(T+0)</v>
      </c>
      <c r="I576" s="4" t="s">
        <v>9</v>
      </c>
      <c r="J576" s="23"/>
      <c r="K576"/>
      <c r="L5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6" s="4">
        <f>ROUND(IF(Tabla14[[#This Row],[OPERACIÓN]]=MAESTRO!$B$2,Tabla14[CAPITAL],IF(Tabla14[[#This Row],[OPERACIÓN]]=MAESTRO!$B$5,Tabla14[CAPITAL],-Tabla14[[#This Row],[CAPITAL]])),2)</f>
        <v>-7000000</v>
      </c>
    </row>
    <row r="577" spans="1:13" s="20" customFormat="1" x14ac:dyDescent="0.3">
      <c r="A577" s="26">
        <v>46129</v>
      </c>
      <c r="B577" t="s">
        <v>298</v>
      </c>
      <c r="C577" t="s">
        <v>132</v>
      </c>
      <c r="D577" s="27" t="s">
        <v>16</v>
      </c>
      <c r="E577" s="4" t="s">
        <v>136</v>
      </c>
      <c r="F577" s="4">
        <v>1900000000</v>
      </c>
      <c r="G577" s="8" t="str">
        <f>+VLOOKUP(Tabla14[[#This Row],[FONDO]],MAESTRO!$D$2:$E$119,2,FALSE)</f>
        <v>Gma Capital</v>
      </c>
      <c r="H577" s="8" t="str">
        <f>+VLOOKUP(Tabla14[[#This Row],[FONDO]],MAESTRO!D:F,3,FALSE)</f>
        <v>(T+0)</v>
      </c>
      <c r="I577" s="4" t="s">
        <v>9</v>
      </c>
      <c r="J577" s="23"/>
      <c r="K577"/>
      <c r="L5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7" s="4">
        <f>ROUND(IF(Tabla14[[#This Row],[OPERACIÓN]]=MAESTRO!$B$2,Tabla14[CAPITAL],IF(Tabla14[[#This Row],[OPERACIÓN]]=MAESTRO!$B$5,Tabla14[CAPITAL],-Tabla14[[#This Row],[CAPITAL]])),2)</f>
        <v>1900000000</v>
      </c>
    </row>
    <row r="578" spans="1:13" s="20" customFormat="1" x14ac:dyDescent="0.3">
      <c r="A578" s="37">
        <v>46129</v>
      </c>
      <c r="B578" s="20" t="s">
        <v>298</v>
      </c>
      <c r="C578" s="20" t="s">
        <v>132</v>
      </c>
      <c r="D578" s="38" t="s">
        <v>16</v>
      </c>
      <c r="E578" s="39" t="s">
        <v>136</v>
      </c>
      <c r="F578" s="39">
        <v>4339957</v>
      </c>
      <c r="G578" s="40" t="str">
        <f>+VLOOKUP(Tabla14[[#This Row],[FONDO]],MAESTRO!$D$2:$E$119,2,FALSE)</f>
        <v>Gma Capital</v>
      </c>
      <c r="H578" s="40" t="str">
        <f>+VLOOKUP(Tabla14[[#This Row],[FONDO]],MAESTRO!D:F,3,FALSE)</f>
        <v>(T+0)</v>
      </c>
      <c r="I578" s="39" t="s">
        <v>9</v>
      </c>
      <c r="J578" s="49"/>
      <c r="L57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8" s="39">
        <f>ROUND(IF(Tabla14[[#This Row],[OPERACIÓN]]=MAESTRO!$B$2,Tabla14[CAPITAL],IF(Tabla14[[#This Row],[OPERACIÓN]]=MAESTRO!$B$5,Tabla14[CAPITAL],-Tabla14[[#This Row],[CAPITAL]])),2)</f>
        <v>4339957</v>
      </c>
    </row>
    <row r="579" spans="1:13" s="20" customFormat="1" x14ac:dyDescent="0.3">
      <c r="A579" s="37">
        <v>46129</v>
      </c>
      <c r="B579" s="20" t="s">
        <v>299</v>
      </c>
      <c r="C579" s="20" t="s">
        <v>132</v>
      </c>
      <c r="D579" s="38" t="s">
        <v>16</v>
      </c>
      <c r="E579" s="39" t="s">
        <v>136</v>
      </c>
      <c r="F579" s="39">
        <v>1737723.7</v>
      </c>
      <c r="G579" s="40" t="str">
        <f>+VLOOKUP(Tabla14[[#This Row],[FONDO]],MAESTRO!$D$2:$E$119,2,FALSE)</f>
        <v>Gma Capital</v>
      </c>
      <c r="H579" s="40" t="str">
        <f>+VLOOKUP(Tabla14[[#This Row],[FONDO]],MAESTRO!D:F,3,FALSE)</f>
        <v>(T+0)</v>
      </c>
      <c r="I579" s="39" t="s">
        <v>9</v>
      </c>
      <c r="J579" s="49"/>
      <c r="L57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79" s="39">
        <f>ROUND(IF(Tabla14[[#This Row],[OPERACIÓN]]=MAESTRO!$B$2,Tabla14[CAPITAL],IF(Tabla14[[#This Row],[OPERACIÓN]]=MAESTRO!$B$5,Tabla14[CAPITAL],-Tabla14[[#This Row],[CAPITAL]])),2)</f>
        <v>1737723.7</v>
      </c>
    </row>
    <row r="580" spans="1:13" s="20" customFormat="1" x14ac:dyDescent="0.3">
      <c r="A580" s="37">
        <v>46129</v>
      </c>
      <c r="B580" s="20" t="s">
        <v>292</v>
      </c>
      <c r="C580" s="20" t="s">
        <v>132</v>
      </c>
      <c r="D580" s="38" t="s">
        <v>16</v>
      </c>
      <c r="E580" s="39" t="s">
        <v>136</v>
      </c>
      <c r="F580" s="39">
        <v>2846000.75</v>
      </c>
      <c r="G580" s="40" t="str">
        <f>+VLOOKUP(Tabla14[[#This Row],[FONDO]],MAESTRO!$D$2:$E$119,2,FALSE)</f>
        <v>Gma Capital</v>
      </c>
      <c r="H580" s="40" t="str">
        <f>+VLOOKUP(Tabla14[[#This Row],[FONDO]],MAESTRO!D:F,3,FALSE)</f>
        <v>(T+0)</v>
      </c>
      <c r="I580" s="39" t="s">
        <v>9</v>
      </c>
      <c r="J580" s="49"/>
      <c r="L58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0" s="39">
        <f>ROUND(IF(Tabla14[[#This Row],[OPERACIÓN]]=MAESTRO!$B$2,Tabla14[CAPITAL],IF(Tabla14[[#This Row],[OPERACIÓN]]=MAESTRO!$B$5,Tabla14[CAPITAL],-Tabla14[[#This Row],[CAPITAL]])),2)</f>
        <v>2846000.75</v>
      </c>
    </row>
    <row r="581" spans="1:13" s="20" customFormat="1" x14ac:dyDescent="0.3">
      <c r="A581" s="37">
        <v>46129</v>
      </c>
      <c r="B581" s="20" t="s">
        <v>299</v>
      </c>
      <c r="C581" s="20" t="s">
        <v>132</v>
      </c>
      <c r="D581" s="38" t="s">
        <v>16</v>
      </c>
      <c r="E581" s="39" t="s">
        <v>169</v>
      </c>
      <c r="F581" s="39">
        <v>2316703.96</v>
      </c>
      <c r="G581" s="40" t="str">
        <f>+VLOOKUP(Tabla14[[#This Row],[FONDO]],MAESTRO!$D$2:$E$119,2,FALSE)</f>
        <v>Max Capital</v>
      </c>
      <c r="H581" s="40" t="str">
        <f>+VLOOKUP(Tabla14[[#This Row],[FONDO]],MAESTRO!D:F,3,FALSE)</f>
        <v>(T+0)</v>
      </c>
      <c r="I581" s="39" t="s">
        <v>9</v>
      </c>
      <c r="J581" s="49"/>
      <c r="L58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1" s="39">
        <f>ROUND(IF(Tabla14[[#This Row],[OPERACIÓN]]=MAESTRO!$B$2,Tabla14[CAPITAL],IF(Tabla14[[#This Row],[OPERACIÓN]]=MAESTRO!$B$5,Tabla14[CAPITAL],-Tabla14[[#This Row],[CAPITAL]])),2)</f>
        <v>2316703.96</v>
      </c>
    </row>
    <row r="582" spans="1:13" s="20" customFormat="1" x14ac:dyDescent="0.3">
      <c r="A582" s="37">
        <v>46129</v>
      </c>
      <c r="B582" s="20" t="s">
        <v>298</v>
      </c>
      <c r="C582" s="20" t="s">
        <v>132</v>
      </c>
      <c r="D582" s="38" t="s">
        <v>16</v>
      </c>
      <c r="E582" s="39" t="s">
        <v>169</v>
      </c>
      <c r="F582" s="39">
        <v>4089940.06</v>
      </c>
      <c r="G582" s="71" t="str">
        <f>+VLOOKUP(Tabla14[[#This Row],[FONDO]],MAESTRO!$D$2:$E$119,2,FALSE)</f>
        <v>Max Capital</v>
      </c>
      <c r="H582" s="40" t="str">
        <f>+VLOOKUP(Tabla14[[#This Row],[FONDO]],MAESTRO!D:F,3,FALSE)</f>
        <v>(T+0)</v>
      </c>
      <c r="I582" s="39" t="s">
        <v>9</v>
      </c>
      <c r="J582" s="49"/>
      <c r="L58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2" s="39">
        <f>ROUND(IF(Tabla14[[#This Row],[OPERACIÓN]]=MAESTRO!$B$2,Tabla14[CAPITAL],IF(Tabla14[[#This Row],[OPERACIÓN]]=MAESTRO!$B$5,Tabla14[CAPITAL],-Tabla14[[#This Row],[CAPITAL]])),2)</f>
        <v>4089940.06</v>
      </c>
    </row>
    <row r="583" spans="1:13" s="20" customFormat="1" x14ac:dyDescent="0.3">
      <c r="A583" s="37">
        <v>46129</v>
      </c>
      <c r="B583" s="20" t="s">
        <v>299</v>
      </c>
      <c r="C583" s="20" t="s">
        <v>132</v>
      </c>
      <c r="D583" s="38" t="s">
        <v>16</v>
      </c>
      <c r="E583" s="39" t="s">
        <v>212</v>
      </c>
      <c r="F583" s="39">
        <v>66123143.219999999</v>
      </c>
      <c r="G583" s="71" t="str">
        <f>+VLOOKUP(Tabla14[[#This Row],[FONDO]],MAESTRO!$D$2:$E$119,2,FALSE)</f>
        <v>INTAGRO</v>
      </c>
      <c r="H583" s="40" t="str">
        <f>+VLOOKUP(Tabla14[[#This Row],[FONDO]],MAESTRO!D:F,3,FALSE)</f>
        <v>(T+0)</v>
      </c>
      <c r="I583" s="39" t="s">
        <v>9</v>
      </c>
      <c r="J583" s="49"/>
      <c r="L58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3" s="39">
        <f>ROUND(IF(Tabla14[[#This Row],[OPERACIÓN]]=MAESTRO!$B$2,Tabla14[CAPITAL],IF(Tabla14[[#This Row],[OPERACIÓN]]=MAESTRO!$B$5,Tabla14[CAPITAL],-Tabla14[[#This Row],[CAPITAL]])),2)</f>
        <v>66123143.219999999</v>
      </c>
    </row>
    <row r="584" spans="1:13" s="20" customFormat="1" x14ac:dyDescent="0.3">
      <c r="A584" s="37">
        <v>46129</v>
      </c>
      <c r="B584" s="20" t="s">
        <v>298</v>
      </c>
      <c r="C584" s="20" t="s">
        <v>132</v>
      </c>
      <c r="D584" s="38" t="s">
        <v>16</v>
      </c>
      <c r="E584" s="39" t="s">
        <v>43</v>
      </c>
      <c r="F584" s="39">
        <v>63391023.600000001</v>
      </c>
      <c r="G584" s="71" t="str">
        <f>+VLOOKUP(Tabla14[[#This Row],[FONDO]],MAESTRO!$D$2:$E$119,2,FALSE)</f>
        <v>Banco Santander Rio S.A.</v>
      </c>
      <c r="H584" s="40" t="str">
        <f>+VLOOKUP(Tabla14[[#This Row],[FONDO]],MAESTRO!D:F,3,FALSE)</f>
        <v>(T+0)</v>
      </c>
      <c r="I584" s="39" t="s">
        <v>9</v>
      </c>
      <c r="J584" s="49"/>
      <c r="L58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4" s="39">
        <f>ROUND(IF(Tabla14[[#This Row],[OPERACIÓN]]=MAESTRO!$B$2,Tabla14[CAPITAL],IF(Tabla14[[#This Row],[OPERACIÓN]]=MAESTRO!$B$5,Tabla14[CAPITAL],-Tabla14[[#This Row],[CAPITAL]])),2)</f>
        <v>63391023.600000001</v>
      </c>
    </row>
    <row r="585" spans="1:13" s="20" customFormat="1" x14ac:dyDescent="0.3">
      <c r="A585" s="37">
        <v>46129</v>
      </c>
      <c r="B585" s="20" t="s">
        <v>298</v>
      </c>
      <c r="C585" s="20" t="s">
        <v>132</v>
      </c>
      <c r="D585" s="38" t="s">
        <v>16</v>
      </c>
      <c r="E585" s="39" t="s">
        <v>40</v>
      </c>
      <c r="F585" s="39">
        <v>83090609.620000005</v>
      </c>
      <c r="G585" s="71" t="str">
        <f>+VLOOKUP(Tabla14[[#This Row],[FONDO]],MAESTRO!$D$2:$E$119,2,FALSE)</f>
        <v>BBVA Banco Frances SA</v>
      </c>
      <c r="H585" s="40" t="str">
        <f>+VLOOKUP(Tabla14[[#This Row],[FONDO]],MAESTRO!D:F,3,FALSE)</f>
        <v>(T+0)</v>
      </c>
      <c r="I585" s="39" t="s">
        <v>9</v>
      </c>
      <c r="J585" s="49"/>
      <c r="L58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5" s="39">
        <f>ROUND(IF(Tabla14[[#This Row],[OPERACIÓN]]=MAESTRO!$B$2,Tabla14[CAPITAL],IF(Tabla14[[#This Row],[OPERACIÓN]]=MAESTRO!$B$5,Tabla14[CAPITAL],-Tabla14[[#This Row],[CAPITAL]])),2)</f>
        <v>83090609.620000005</v>
      </c>
    </row>
    <row r="586" spans="1:13" x14ac:dyDescent="0.3">
      <c r="A586" s="37">
        <v>46129</v>
      </c>
      <c r="B586" s="20" t="s">
        <v>299</v>
      </c>
      <c r="C586" s="20" t="s">
        <v>132</v>
      </c>
      <c r="D586" s="38" t="s">
        <v>16</v>
      </c>
      <c r="E586" s="39" t="s">
        <v>40</v>
      </c>
      <c r="F586" s="39">
        <v>7267117.29</v>
      </c>
      <c r="G586" s="71" t="str">
        <f>+VLOOKUP(Tabla14[[#This Row],[FONDO]],MAESTRO!$D$2:$E$119,2,FALSE)</f>
        <v>BBVA Banco Frances SA</v>
      </c>
      <c r="H586" s="40" t="str">
        <f>+VLOOKUP(Tabla14[[#This Row],[FONDO]],MAESTRO!D:F,3,FALSE)</f>
        <v>(T+0)</v>
      </c>
      <c r="I586" s="39" t="s">
        <v>9</v>
      </c>
      <c r="J586" s="49"/>
      <c r="K586" s="20"/>
      <c r="L58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6" s="39">
        <f>ROUND(IF(Tabla14[[#This Row],[OPERACIÓN]]=MAESTRO!$B$2,Tabla14[CAPITAL],IF(Tabla14[[#This Row],[OPERACIÓN]]=MAESTRO!$B$5,Tabla14[CAPITAL],-Tabla14[[#This Row],[CAPITAL]])),2)</f>
        <v>7267117.29</v>
      </c>
    </row>
    <row r="587" spans="1:13" x14ac:dyDescent="0.3">
      <c r="A587" s="37">
        <v>46129</v>
      </c>
      <c r="B587" s="20" t="s">
        <v>299</v>
      </c>
      <c r="C587" s="20" t="s">
        <v>132</v>
      </c>
      <c r="D587" s="38" t="s">
        <v>16</v>
      </c>
      <c r="E587" s="39" t="s">
        <v>48</v>
      </c>
      <c r="F587" s="39">
        <v>8479780</v>
      </c>
      <c r="G587" s="71" t="str">
        <f>+VLOOKUP(Tabla14[[#This Row],[FONDO]],MAESTRO!$D$2:$E$119,2,FALSE)</f>
        <v>Banco Macro S.A.</v>
      </c>
      <c r="H587" s="40" t="str">
        <f>+VLOOKUP(Tabla14[[#This Row],[FONDO]],MAESTRO!D:F,3,FALSE)</f>
        <v>(T+0)</v>
      </c>
      <c r="I587" s="39" t="s">
        <v>9</v>
      </c>
      <c r="J587" s="49"/>
      <c r="K587" s="20"/>
      <c r="L58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7" s="39">
        <f>ROUND(IF(Tabla14[[#This Row],[OPERACIÓN]]=MAESTRO!$B$2,Tabla14[CAPITAL],IF(Tabla14[[#This Row],[OPERACIÓN]]=MAESTRO!$B$5,Tabla14[CAPITAL],-Tabla14[[#This Row],[CAPITAL]])),2)</f>
        <v>8479780</v>
      </c>
    </row>
    <row r="588" spans="1:13" x14ac:dyDescent="0.3">
      <c r="A588" s="37">
        <v>46129</v>
      </c>
      <c r="B588" s="20" t="s">
        <v>292</v>
      </c>
      <c r="C588" s="20" t="s">
        <v>132</v>
      </c>
      <c r="D588" s="38" t="s">
        <v>16</v>
      </c>
      <c r="E588" s="39" t="s">
        <v>48</v>
      </c>
      <c r="F588" s="39">
        <v>2474144</v>
      </c>
      <c r="G588" s="71" t="str">
        <f>+VLOOKUP(Tabla14[[#This Row],[FONDO]],MAESTRO!$D$2:$E$119,2,FALSE)</f>
        <v>Banco Macro S.A.</v>
      </c>
      <c r="H588" s="40" t="str">
        <f>+VLOOKUP(Tabla14[[#This Row],[FONDO]],MAESTRO!D:F,3,FALSE)</f>
        <v>(T+0)</v>
      </c>
      <c r="I588" s="39" t="s">
        <v>9</v>
      </c>
      <c r="J588" s="49"/>
      <c r="K588" s="20"/>
      <c r="L58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8" s="39">
        <f>ROUND(IF(Tabla14[[#This Row],[OPERACIÓN]]=MAESTRO!$B$2,Tabla14[CAPITAL],IF(Tabla14[[#This Row],[OPERACIÓN]]=MAESTRO!$B$5,Tabla14[CAPITAL],-Tabla14[[#This Row],[CAPITAL]])),2)</f>
        <v>2474144</v>
      </c>
    </row>
    <row r="589" spans="1:13" x14ac:dyDescent="0.3">
      <c r="A589" s="37">
        <v>46129</v>
      </c>
      <c r="B589" s="20" t="s">
        <v>298</v>
      </c>
      <c r="C589" s="20" t="s">
        <v>132</v>
      </c>
      <c r="D589" s="38" t="s">
        <v>16</v>
      </c>
      <c r="E589" s="39" t="s">
        <v>204</v>
      </c>
      <c r="F589" s="39">
        <v>32023124.48</v>
      </c>
      <c r="G589" s="71" t="str">
        <f>+VLOOKUP(Tabla14[[#This Row],[FONDO]],MAESTRO!$D$2:$E$119,2,FALSE)</f>
        <v>Latin Securities</v>
      </c>
      <c r="H589" s="40" t="str">
        <f>+VLOOKUP(Tabla14[[#This Row],[FONDO]],MAESTRO!D:F,3,FALSE)</f>
        <v>(T+0)</v>
      </c>
      <c r="I589" s="39" t="s">
        <v>9</v>
      </c>
      <c r="J589" s="49"/>
      <c r="K589" s="20"/>
      <c r="L58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89" s="39">
        <f>ROUND(IF(Tabla14[[#This Row],[OPERACIÓN]]=MAESTRO!$B$2,Tabla14[CAPITAL],IF(Tabla14[[#This Row],[OPERACIÓN]]=MAESTRO!$B$5,Tabla14[CAPITAL],-Tabla14[[#This Row],[CAPITAL]])),2)</f>
        <v>32023124.48</v>
      </c>
    </row>
    <row r="590" spans="1:13" x14ac:dyDescent="0.3">
      <c r="A590" s="37">
        <v>46129</v>
      </c>
      <c r="B590" s="20" t="s">
        <v>299</v>
      </c>
      <c r="C590" s="20" t="s">
        <v>132</v>
      </c>
      <c r="D590" s="38" t="s">
        <v>16</v>
      </c>
      <c r="E590" s="39" t="s">
        <v>204</v>
      </c>
      <c r="F590" s="39">
        <v>2386576.4</v>
      </c>
      <c r="G590" s="71" t="str">
        <f>+VLOOKUP(Tabla14[[#This Row],[FONDO]],MAESTRO!$D$2:$E$119,2,FALSE)</f>
        <v>Latin Securities</v>
      </c>
      <c r="H590" s="40" t="str">
        <f>+VLOOKUP(Tabla14[[#This Row],[FONDO]],MAESTRO!D:F,3,FALSE)</f>
        <v>(T+0)</v>
      </c>
      <c r="I590" s="39" t="s">
        <v>9</v>
      </c>
      <c r="J590" s="49"/>
      <c r="K590" s="20"/>
      <c r="L59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0" s="39">
        <f>ROUND(IF(Tabla14[[#This Row],[OPERACIÓN]]=MAESTRO!$B$2,Tabla14[CAPITAL],IF(Tabla14[[#This Row],[OPERACIÓN]]=MAESTRO!$B$5,Tabla14[CAPITAL],-Tabla14[[#This Row],[CAPITAL]])),2)</f>
        <v>2386576.4</v>
      </c>
    </row>
    <row r="591" spans="1:13" x14ac:dyDescent="0.3">
      <c r="A591" s="26">
        <v>46132</v>
      </c>
      <c r="B591" t="s">
        <v>298</v>
      </c>
      <c r="C591" t="s">
        <v>132</v>
      </c>
      <c r="D591" s="27" t="s">
        <v>17</v>
      </c>
      <c r="E591" s="4" t="s">
        <v>43</v>
      </c>
      <c r="F591" s="4">
        <v>16900000</v>
      </c>
      <c r="G591" s="72" t="str">
        <f>+VLOOKUP(Tabla14[[#This Row],[FONDO]],MAESTRO!$D$2:$E$119,2,FALSE)</f>
        <v>Banco Santander Rio S.A.</v>
      </c>
      <c r="H591" s="8" t="str">
        <f>+VLOOKUP(Tabla14[[#This Row],[FONDO]],MAESTRO!D:F,3,FALSE)</f>
        <v>(T+0)</v>
      </c>
      <c r="I591" s="4" t="s">
        <v>9</v>
      </c>
      <c r="L5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1" s="4">
        <f>ROUND(IF(Tabla14[[#This Row],[OPERACIÓN]]=MAESTRO!$B$2,Tabla14[CAPITAL],IF(Tabla14[[#This Row],[OPERACIÓN]]=MAESTRO!$B$5,Tabla14[CAPITAL],-Tabla14[[#This Row],[CAPITAL]])),2)</f>
        <v>-16900000</v>
      </c>
    </row>
    <row r="592" spans="1:13" x14ac:dyDescent="0.3">
      <c r="A592" s="26">
        <v>46132</v>
      </c>
      <c r="B592" t="s">
        <v>298</v>
      </c>
      <c r="C592" t="s">
        <v>132</v>
      </c>
      <c r="D592" s="27" t="s">
        <v>17</v>
      </c>
      <c r="E592" s="4" t="s">
        <v>40</v>
      </c>
      <c r="F592" s="4">
        <v>104000000</v>
      </c>
      <c r="G592" s="72" t="str">
        <f>+VLOOKUP(Tabla14[[#This Row],[FONDO]],MAESTRO!$D$2:$E$119,2,FALSE)</f>
        <v>BBVA Banco Frances SA</v>
      </c>
      <c r="H592" s="8" t="str">
        <f>+VLOOKUP(Tabla14[[#This Row],[FONDO]],MAESTRO!D:F,3,FALSE)</f>
        <v>(T+0)</v>
      </c>
      <c r="I592" s="4" t="s">
        <v>9</v>
      </c>
      <c r="L5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2" s="4">
        <f>ROUND(IF(Tabla14[[#This Row],[OPERACIÓN]]=MAESTRO!$B$2,Tabla14[CAPITAL],IF(Tabla14[[#This Row],[OPERACIÓN]]=MAESTRO!$B$5,Tabla14[CAPITAL],-Tabla14[[#This Row],[CAPITAL]])),2)</f>
        <v>-104000000</v>
      </c>
    </row>
    <row r="593" spans="1:13" x14ac:dyDescent="0.3">
      <c r="A593" s="26">
        <v>46132</v>
      </c>
      <c r="B593" t="s">
        <v>292</v>
      </c>
      <c r="C593" t="s">
        <v>132</v>
      </c>
      <c r="D593" s="27" t="s">
        <v>16</v>
      </c>
      <c r="E593" s="4" t="s">
        <v>48</v>
      </c>
      <c r="F593" s="73">
        <v>119700000</v>
      </c>
      <c r="G593" s="72" t="str">
        <f>+VLOOKUP(Tabla14[[#This Row],[FONDO]],MAESTRO!$D$2:$E$119,2,FALSE)</f>
        <v>Banco Macro S.A.</v>
      </c>
      <c r="H593" s="8" t="str">
        <f>+VLOOKUP(Tabla14[[#This Row],[FONDO]],MAESTRO!D:F,3,FALSE)</f>
        <v>(T+0)</v>
      </c>
      <c r="I593" s="4" t="s">
        <v>9</v>
      </c>
      <c r="L5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3" s="4">
        <f>ROUND(IF(Tabla14[[#This Row],[OPERACIÓN]]=MAESTRO!$B$2,Tabla14[CAPITAL],IF(Tabla14[[#This Row],[OPERACIÓN]]=MAESTRO!$B$5,Tabla14[CAPITAL],-Tabla14[[#This Row],[CAPITAL]])),2)</f>
        <v>119700000</v>
      </c>
    </row>
    <row r="594" spans="1:13" x14ac:dyDescent="0.3">
      <c r="A594" s="26">
        <v>46132</v>
      </c>
      <c r="B594" t="s">
        <v>299</v>
      </c>
      <c r="C594" t="s">
        <v>132</v>
      </c>
      <c r="D594" s="27" t="s">
        <v>16</v>
      </c>
      <c r="E594" s="4" t="s">
        <v>48</v>
      </c>
      <c r="F594" s="4">
        <v>42800000</v>
      </c>
      <c r="G594" s="72" t="str">
        <f>+VLOOKUP(Tabla14[[#This Row],[FONDO]],MAESTRO!$D$2:$E$119,2,FALSE)</f>
        <v>Banco Macro S.A.</v>
      </c>
      <c r="H594" s="8" t="str">
        <f>+VLOOKUP(Tabla14[[#This Row],[FONDO]],MAESTRO!D:F,3,FALSE)</f>
        <v>(T+0)</v>
      </c>
      <c r="I594" s="4" t="s">
        <v>9</v>
      </c>
      <c r="L5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4" s="4">
        <f>ROUND(IF(Tabla14[[#This Row],[OPERACIÓN]]=MAESTRO!$B$2,Tabla14[CAPITAL],IF(Tabla14[[#This Row],[OPERACIÓN]]=MAESTRO!$B$5,Tabla14[CAPITAL],-Tabla14[[#This Row],[CAPITAL]])),2)</f>
        <v>42800000</v>
      </c>
    </row>
    <row r="595" spans="1:13" x14ac:dyDescent="0.3">
      <c r="A595" s="26">
        <v>46132</v>
      </c>
      <c r="B595" t="s">
        <v>126</v>
      </c>
      <c r="C595" t="s">
        <v>132</v>
      </c>
      <c r="D595" s="27" t="s">
        <v>17</v>
      </c>
      <c r="E595" s="4" t="s">
        <v>48</v>
      </c>
      <c r="F595" s="4">
        <v>2000000</v>
      </c>
      <c r="G595" s="72" t="str">
        <f>+VLOOKUP(Tabla14[[#This Row],[FONDO]],MAESTRO!$D$2:$E$119,2,FALSE)</f>
        <v>Banco Macro S.A.</v>
      </c>
      <c r="H595" s="8" t="str">
        <f>+VLOOKUP(Tabla14[[#This Row],[FONDO]],MAESTRO!D:F,3,FALSE)</f>
        <v>(T+0)</v>
      </c>
      <c r="I595" s="4" t="s">
        <v>9</v>
      </c>
      <c r="L5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5" s="4">
        <f>ROUND(IF(Tabla14[[#This Row],[OPERACIÓN]]=MAESTRO!$B$2,Tabla14[CAPITAL],IF(Tabla14[[#This Row],[OPERACIÓN]]=MAESTRO!$B$5,Tabla14[CAPITAL],-Tabla14[[#This Row],[CAPITAL]])),2)</f>
        <v>-2000000</v>
      </c>
    </row>
    <row r="596" spans="1:13" x14ac:dyDescent="0.3">
      <c r="A596" s="26">
        <v>46132</v>
      </c>
      <c r="B596" t="s">
        <v>298</v>
      </c>
      <c r="C596" t="s">
        <v>132</v>
      </c>
      <c r="D596" s="27" t="s">
        <v>17</v>
      </c>
      <c r="E596" s="4" t="s">
        <v>40</v>
      </c>
      <c r="F596" s="4">
        <v>2000000000</v>
      </c>
      <c r="G596" s="72" t="str">
        <f>+VLOOKUP(Tabla14[[#This Row],[FONDO]],MAESTRO!$D$2:$E$119,2,FALSE)</f>
        <v>BBVA Banco Frances SA</v>
      </c>
      <c r="H596" s="8" t="str">
        <f>+VLOOKUP(Tabla14[[#This Row],[FONDO]],MAESTRO!D:F,3,FALSE)</f>
        <v>(T+0)</v>
      </c>
      <c r="I596" s="4" t="s">
        <v>9</v>
      </c>
      <c r="L5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6" s="4">
        <f>ROUND(IF(Tabla14[[#This Row],[OPERACIÓN]]=MAESTRO!$B$2,Tabla14[CAPITAL],IF(Tabla14[[#This Row],[OPERACIÓN]]=MAESTRO!$B$5,Tabla14[CAPITAL],-Tabla14[[#This Row],[CAPITAL]])),2)</f>
        <v>-2000000000</v>
      </c>
    </row>
    <row r="597" spans="1:13" x14ac:dyDescent="0.3">
      <c r="A597" s="26">
        <v>46132</v>
      </c>
      <c r="B597" t="s">
        <v>298</v>
      </c>
      <c r="C597" t="s">
        <v>132</v>
      </c>
      <c r="D597" s="27" t="s">
        <v>16</v>
      </c>
      <c r="E597" s="4" t="s">
        <v>136</v>
      </c>
      <c r="F597" s="4">
        <v>1000000000</v>
      </c>
      <c r="G597" s="72" t="str">
        <f>+VLOOKUP(Tabla14[[#This Row],[FONDO]],MAESTRO!$D$2:$E$119,2,FALSE)</f>
        <v>Gma Capital</v>
      </c>
      <c r="H597" s="8" t="str">
        <f>+VLOOKUP(Tabla14[[#This Row],[FONDO]],MAESTRO!D:F,3,FALSE)</f>
        <v>(T+0)</v>
      </c>
      <c r="I597" s="4" t="s">
        <v>9</v>
      </c>
      <c r="L5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7" s="4">
        <f>ROUND(IF(Tabla14[[#This Row],[OPERACIÓN]]=MAESTRO!$B$2,Tabla14[CAPITAL],IF(Tabla14[[#This Row],[OPERACIÓN]]=MAESTRO!$B$5,Tabla14[CAPITAL],-Tabla14[[#This Row],[CAPITAL]])),2)</f>
        <v>1000000000</v>
      </c>
    </row>
    <row r="598" spans="1:13" x14ac:dyDescent="0.3">
      <c r="A598" s="26">
        <v>46132</v>
      </c>
      <c r="B598" t="s">
        <v>298</v>
      </c>
      <c r="C598" t="s">
        <v>132</v>
      </c>
      <c r="D598" s="27" t="s">
        <v>16</v>
      </c>
      <c r="E598" s="4" t="s">
        <v>136</v>
      </c>
      <c r="F598" s="4">
        <v>1000000000</v>
      </c>
      <c r="G598" s="72" t="str">
        <f>+VLOOKUP(Tabla14[[#This Row],[FONDO]],MAESTRO!$D$2:$E$119,2,FALSE)</f>
        <v>Gma Capital</v>
      </c>
      <c r="H598" s="8" t="str">
        <f>+VLOOKUP(Tabla14[[#This Row],[FONDO]],MAESTRO!D:F,3,FALSE)</f>
        <v>(T+0)</v>
      </c>
      <c r="I598" s="4" t="s">
        <v>9</v>
      </c>
      <c r="L5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8" s="4">
        <f>ROUND(IF(Tabla14[[#This Row],[OPERACIÓN]]=MAESTRO!$B$2,Tabla14[CAPITAL],IF(Tabla14[[#This Row],[OPERACIÓN]]=MAESTRO!$B$5,Tabla14[CAPITAL],-Tabla14[[#This Row],[CAPITAL]])),2)</f>
        <v>1000000000</v>
      </c>
    </row>
    <row r="599" spans="1:13" x14ac:dyDescent="0.3">
      <c r="A599" s="26">
        <v>46132</v>
      </c>
      <c r="B599" t="s">
        <v>298</v>
      </c>
      <c r="C599" t="s">
        <v>132</v>
      </c>
      <c r="D599" s="27" t="s">
        <v>17</v>
      </c>
      <c r="E599" s="4" t="s">
        <v>40</v>
      </c>
      <c r="F599" s="4">
        <v>1000000000</v>
      </c>
      <c r="G599" s="72" t="str">
        <f>+VLOOKUP(Tabla14[[#This Row],[FONDO]],MAESTRO!$D$2:$E$119,2,FALSE)</f>
        <v>BBVA Banco Frances SA</v>
      </c>
      <c r="H599" s="8" t="str">
        <f>+VLOOKUP(Tabla14[[#This Row],[FONDO]],MAESTRO!D:F,3,FALSE)</f>
        <v>(T+0)</v>
      </c>
      <c r="I599" s="4" t="s">
        <v>9</v>
      </c>
      <c r="L5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599" s="4">
        <f>ROUND(IF(Tabla14[[#This Row],[OPERACIÓN]]=MAESTRO!$B$2,Tabla14[CAPITAL],IF(Tabla14[[#This Row],[OPERACIÓN]]=MAESTRO!$B$5,Tabla14[CAPITAL],-Tabla14[[#This Row],[CAPITAL]])),2)</f>
        <v>-1000000000</v>
      </c>
    </row>
    <row r="600" spans="1:13" x14ac:dyDescent="0.3">
      <c r="A600" s="26">
        <v>46132</v>
      </c>
      <c r="B600" t="s">
        <v>298</v>
      </c>
      <c r="C600" t="s">
        <v>142</v>
      </c>
      <c r="D600" s="27" t="s">
        <v>16</v>
      </c>
      <c r="E600" s="4" t="s">
        <v>214</v>
      </c>
      <c r="F600" s="4">
        <v>1000000000</v>
      </c>
      <c r="G600" s="72" t="str">
        <f>+VLOOKUP(Tabla14[[#This Row],[FONDO]],MAESTRO!$D$2:$E$119,2,FALSE)</f>
        <v>BBVA Banco Frances SA</v>
      </c>
      <c r="H600" s="8" t="str">
        <f>+VLOOKUP(Tabla14[[#This Row],[FONDO]],MAESTRO!D:F,3,FALSE)</f>
        <v>PLAZO</v>
      </c>
      <c r="I600" s="4" t="s">
        <v>9</v>
      </c>
      <c r="J600" s="23" t="s">
        <v>262</v>
      </c>
      <c r="K600">
        <v>23.25</v>
      </c>
      <c r="L6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0" s="4">
        <f>ROUND(IF(Tabla14[[#This Row],[OPERACIÓN]]=MAESTRO!$B$2,Tabla14[CAPITAL],IF(Tabla14[[#This Row],[OPERACIÓN]]=MAESTRO!$B$5,Tabla14[CAPITAL],-Tabla14[[#This Row],[CAPITAL]])),2)</f>
        <v>1000000000</v>
      </c>
    </row>
    <row r="601" spans="1:13" x14ac:dyDescent="0.3">
      <c r="A601" s="26">
        <v>46133</v>
      </c>
      <c r="B601" t="s">
        <v>299</v>
      </c>
      <c r="C601" t="s">
        <v>132</v>
      </c>
      <c r="D601" s="27" t="s">
        <v>17</v>
      </c>
      <c r="E601" s="4" t="s">
        <v>40</v>
      </c>
      <c r="F601" s="4">
        <v>100000000</v>
      </c>
      <c r="G601" s="8" t="str">
        <f>+VLOOKUP(Tabla14[[#This Row],[FONDO]],MAESTRO!$D$2:$E$119,2,FALSE)</f>
        <v>BBVA Banco Frances SA</v>
      </c>
      <c r="H601" s="8" t="str">
        <f>+VLOOKUP(Tabla14[[#This Row],[FONDO]],MAESTRO!D:F,3,FALSE)</f>
        <v>(T+0)</v>
      </c>
      <c r="I601" s="4" t="s">
        <v>9</v>
      </c>
      <c r="L6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1" s="4">
        <f>ROUND(IF(Tabla14[[#This Row],[OPERACIÓN]]=MAESTRO!$B$2,Tabla14[CAPITAL],IF(Tabla14[[#This Row],[OPERACIÓN]]=MAESTRO!$B$5,Tabla14[CAPITAL],-Tabla14[[#This Row],[CAPITAL]])),2)</f>
        <v>-100000000</v>
      </c>
    </row>
    <row r="602" spans="1:13" x14ac:dyDescent="0.3">
      <c r="A602" s="26">
        <v>46133</v>
      </c>
      <c r="B602" t="s">
        <v>299</v>
      </c>
      <c r="C602" t="s">
        <v>132</v>
      </c>
      <c r="D602" s="27" t="s">
        <v>16</v>
      </c>
      <c r="E602" s="4" t="s">
        <v>255</v>
      </c>
      <c r="F602" s="4">
        <v>100000000</v>
      </c>
      <c r="G602" s="8" t="str">
        <f>+VLOOKUP(Tabla14[[#This Row],[FONDO]],MAESTRO!$D$2:$E$119,2,FALSE)</f>
        <v>Inviu inversiones</v>
      </c>
      <c r="H602" s="8" t="str">
        <f>+VLOOKUP(Tabla14[[#This Row],[FONDO]],MAESTRO!D:F,3,FALSE)</f>
        <v>(T+0)</v>
      </c>
      <c r="I602" s="4" t="s">
        <v>9</v>
      </c>
      <c r="L6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2" s="4">
        <f>ROUND(IF(Tabla14[[#This Row],[OPERACIÓN]]=MAESTRO!$B$2,Tabla14[CAPITAL],IF(Tabla14[[#This Row],[OPERACIÓN]]=MAESTRO!$B$5,Tabla14[CAPITAL],-Tabla14[[#This Row],[CAPITAL]])),2)</f>
        <v>100000000</v>
      </c>
    </row>
    <row r="603" spans="1:13" x14ac:dyDescent="0.3">
      <c r="A603" s="26">
        <v>46133</v>
      </c>
      <c r="B603" t="s">
        <v>126</v>
      </c>
      <c r="C603" t="s">
        <v>132</v>
      </c>
      <c r="D603" s="27" t="s">
        <v>17</v>
      </c>
      <c r="E603" s="4" t="s">
        <v>48</v>
      </c>
      <c r="F603" s="4">
        <v>17700000</v>
      </c>
      <c r="G603" s="72" t="str">
        <f>+VLOOKUP(Tabla14[[#This Row],[FONDO]],MAESTRO!$D$2:$E$119,2,FALSE)</f>
        <v>Banco Macro S.A.</v>
      </c>
      <c r="H603" s="8" t="str">
        <f>+VLOOKUP(Tabla14[[#This Row],[FONDO]],MAESTRO!D:F,3,FALSE)</f>
        <v>(T+0)</v>
      </c>
      <c r="I603" s="4" t="s">
        <v>9</v>
      </c>
      <c r="L6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3" s="4">
        <f>ROUND(IF(Tabla14[[#This Row],[OPERACIÓN]]=MAESTRO!$B$2,Tabla14[CAPITAL],IF(Tabla14[[#This Row],[OPERACIÓN]]=MAESTRO!$B$5,Tabla14[CAPITAL],-Tabla14[[#This Row],[CAPITAL]])),2)</f>
        <v>-17700000</v>
      </c>
    </row>
    <row r="604" spans="1:13" x14ac:dyDescent="0.3">
      <c r="A604" s="26">
        <v>46133</v>
      </c>
      <c r="B604" t="s">
        <v>299</v>
      </c>
      <c r="C604" t="s">
        <v>132</v>
      </c>
      <c r="D604" s="27" t="s">
        <v>17</v>
      </c>
      <c r="E604" s="4" t="s">
        <v>48</v>
      </c>
      <c r="F604" s="4">
        <v>48400000</v>
      </c>
      <c r="G604" s="72" t="str">
        <f>+VLOOKUP(Tabla14[[#This Row],[FONDO]],MAESTRO!$D$2:$E$119,2,FALSE)</f>
        <v>Banco Macro S.A.</v>
      </c>
      <c r="H604" s="8" t="str">
        <f>+VLOOKUP(Tabla14[[#This Row],[FONDO]],MAESTRO!D:F,3,FALSE)</f>
        <v>(T+0)</v>
      </c>
      <c r="I604" s="4" t="s">
        <v>9</v>
      </c>
      <c r="L6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4" s="4">
        <f>ROUND(IF(Tabla14[[#This Row],[OPERACIÓN]]=MAESTRO!$B$2,Tabla14[CAPITAL],IF(Tabla14[[#This Row],[OPERACIÓN]]=MAESTRO!$B$5,Tabla14[CAPITAL],-Tabla14[[#This Row],[CAPITAL]])),2)</f>
        <v>-48400000</v>
      </c>
    </row>
    <row r="605" spans="1:13" x14ac:dyDescent="0.3">
      <c r="A605" s="26">
        <v>46133</v>
      </c>
      <c r="B605" t="s">
        <v>298</v>
      </c>
      <c r="C605" t="s">
        <v>132</v>
      </c>
      <c r="D605" s="27" t="s">
        <v>17</v>
      </c>
      <c r="E605" s="4" t="s">
        <v>40</v>
      </c>
      <c r="F605" s="4">
        <v>1338200000</v>
      </c>
      <c r="G605" s="72" t="str">
        <f>+VLOOKUP(Tabla14[[#This Row],[FONDO]],MAESTRO!$D$2:$E$119,2,FALSE)</f>
        <v>BBVA Banco Frances SA</v>
      </c>
      <c r="H605" s="8" t="str">
        <f>+VLOOKUP(Tabla14[[#This Row],[FONDO]],MAESTRO!D:F,3,FALSE)</f>
        <v>(T+0)</v>
      </c>
      <c r="I605" s="4" t="s">
        <v>9</v>
      </c>
      <c r="L6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5" s="4">
        <f>ROUND(IF(Tabla14[[#This Row],[OPERACIÓN]]=MAESTRO!$B$2,Tabla14[CAPITAL],IF(Tabla14[[#This Row],[OPERACIÓN]]=MAESTRO!$B$5,Tabla14[CAPITAL],-Tabla14[[#This Row],[CAPITAL]])),2)</f>
        <v>-1338200000</v>
      </c>
    </row>
    <row r="606" spans="1:13" x14ac:dyDescent="0.3">
      <c r="A606" s="26">
        <v>46133</v>
      </c>
      <c r="B606" t="s">
        <v>292</v>
      </c>
      <c r="C606" t="s">
        <v>132</v>
      </c>
      <c r="D606" s="27" t="s">
        <v>16</v>
      </c>
      <c r="E606" s="4" t="s">
        <v>48</v>
      </c>
      <c r="F606" s="4">
        <v>17200000</v>
      </c>
      <c r="G606" s="72" t="str">
        <f>+VLOOKUP(Tabla14[[#This Row],[FONDO]],MAESTRO!$D$2:$E$119,2,FALSE)</f>
        <v>Banco Macro S.A.</v>
      </c>
      <c r="H606" s="8" t="str">
        <f>+VLOOKUP(Tabla14[[#This Row],[FONDO]],MAESTRO!D:F,3,FALSE)</f>
        <v>(T+0)</v>
      </c>
      <c r="I606" s="4" t="s">
        <v>9</v>
      </c>
      <c r="L6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6" s="4">
        <f>ROUND(IF(Tabla14[[#This Row],[OPERACIÓN]]=MAESTRO!$B$2,Tabla14[CAPITAL],IF(Tabla14[[#This Row],[OPERACIÓN]]=MAESTRO!$B$5,Tabla14[CAPITAL],-Tabla14[[#This Row],[CAPITAL]])),2)</f>
        <v>17200000</v>
      </c>
    </row>
    <row r="607" spans="1:13" x14ac:dyDescent="0.3">
      <c r="A607" s="26">
        <v>46133</v>
      </c>
      <c r="B607" t="s">
        <v>298</v>
      </c>
      <c r="C607" t="s">
        <v>132</v>
      </c>
      <c r="D607" s="27" t="s">
        <v>17</v>
      </c>
      <c r="E607" s="4" t="s">
        <v>204</v>
      </c>
      <c r="F607" s="4">
        <v>137644920</v>
      </c>
      <c r="G607" s="72" t="str">
        <f>+VLOOKUP(Tabla14[[#This Row],[FONDO]],MAESTRO!$D$2:$E$119,2,FALSE)</f>
        <v>Latin Securities</v>
      </c>
      <c r="H607" s="8" t="str">
        <f>+VLOOKUP(Tabla14[[#This Row],[FONDO]],MAESTRO!D:F,3,FALSE)</f>
        <v>(T+0)</v>
      </c>
      <c r="I607" s="4" t="s">
        <v>9</v>
      </c>
      <c r="L6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7" s="4">
        <f>ROUND(IF(Tabla14[[#This Row],[OPERACIÓN]]=MAESTRO!$B$2,Tabla14[CAPITAL],IF(Tabla14[[#This Row],[OPERACIÓN]]=MAESTRO!$B$5,Tabla14[CAPITAL],-Tabla14[[#This Row],[CAPITAL]])),2)</f>
        <v>-137644920</v>
      </c>
    </row>
    <row r="608" spans="1:13" x14ac:dyDescent="0.3">
      <c r="A608" s="26">
        <v>46133</v>
      </c>
      <c r="B608" t="s">
        <v>298</v>
      </c>
      <c r="C608" t="s">
        <v>132</v>
      </c>
      <c r="D608" s="27" t="s">
        <v>17</v>
      </c>
      <c r="E608" s="4" t="s">
        <v>204</v>
      </c>
      <c r="F608" s="4">
        <v>74299817.409999996</v>
      </c>
      <c r="G608" s="72" t="str">
        <f>+VLOOKUP(Tabla14[[#This Row],[FONDO]],MAESTRO!$D$2:$E$119,2,FALSE)</f>
        <v>Latin Securities</v>
      </c>
      <c r="H608" s="8" t="str">
        <f>+VLOOKUP(Tabla14[[#This Row],[FONDO]],MAESTRO!D:F,3,FALSE)</f>
        <v>(T+0)</v>
      </c>
      <c r="I608" s="4" t="s">
        <v>9</v>
      </c>
      <c r="L6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8" s="4">
        <f>ROUND(IF(Tabla14[[#This Row],[OPERACIÓN]]=MAESTRO!$B$2,Tabla14[CAPITAL],IF(Tabla14[[#This Row],[OPERACIÓN]]=MAESTRO!$B$5,Tabla14[CAPITAL],-Tabla14[[#This Row],[CAPITAL]])),2)</f>
        <v>-74299817.409999996</v>
      </c>
    </row>
    <row r="609" spans="1:13" x14ac:dyDescent="0.3">
      <c r="A609" s="26">
        <v>46134</v>
      </c>
      <c r="B609" t="s">
        <v>292</v>
      </c>
      <c r="C609" t="s">
        <v>132</v>
      </c>
      <c r="D609" s="27" t="s">
        <v>17</v>
      </c>
      <c r="E609" s="4" t="s">
        <v>48</v>
      </c>
      <c r="F609" s="4">
        <v>203400000</v>
      </c>
      <c r="G609" s="72" t="str">
        <f>+VLOOKUP(Tabla14[[#This Row],[FONDO]],MAESTRO!$D$2:$E$119,2,FALSE)</f>
        <v>Banco Macro S.A.</v>
      </c>
      <c r="H609" s="8" t="str">
        <f>+VLOOKUP(Tabla14[[#This Row],[FONDO]],MAESTRO!D:F,3,FALSE)</f>
        <v>(T+0)</v>
      </c>
      <c r="I609" s="4" t="s">
        <v>9</v>
      </c>
      <c r="L6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09" s="4">
        <f>ROUND(IF(Tabla14[[#This Row],[OPERACIÓN]]=MAESTRO!$B$2,Tabla14[CAPITAL],IF(Tabla14[[#This Row],[OPERACIÓN]]=MAESTRO!$B$5,Tabla14[CAPITAL],-Tabla14[[#This Row],[CAPITAL]])),2)</f>
        <v>-203400000</v>
      </c>
    </row>
    <row r="610" spans="1:13" x14ac:dyDescent="0.3">
      <c r="A610" s="26">
        <v>46134</v>
      </c>
      <c r="B610" t="s">
        <v>299</v>
      </c>
      <c r="C610" t="s">
        <v>132</v>
      </c>
      <c r="D610" s="27" t="s">
        <v>17</v>
      </c>
      <c r="E610" s="4" t="s">
        <v>48</v>
      </c>
      <c r="F610" s="4">
        <v>9200000</v>
      </c>
      <c r="G610" s="72" t="str">
        <f>+VLOOKUP(Tabla14[[#This Row],[FONDO]],MAESTRO!$D$2:$E$119,2,FALSE)</f>
        <v>Banco Macro S.A.</v>
      </c>
      <c r="H610" s="8" t="str">
        <f>+VLOOKUP(Tabla14[[#This Row],[FONDO]],MAESTRO!D:F,3,FALSE)</f>
        <v>(T+0)</v>
      </c>
      <c r="I610" s="4" t="s">
        <v>9</v>
      </c>
      <c r="L6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0" s="4">
        <f>ROUND(IF(Tabla14[[#This Row],[OPERACIÓN]]=MAESTRO!$B$2,Tabla14[CAPITAL],IF(Tabla14[[#This Row],[OPERACIÓN]]=MAESTRO!$B$5,Tabla14[CAPITAL],-Tabla14[[#This Row],[CAPITAL]])),2)</f>
        <v>-9200000</v>
      </c>
    </row>
    <row r="611" spans="1:13" x14ac:dyDescent="0.3">
      <c r="A611" s="26">
        <v>46134</v>
      </c>
      <c r="B611" t="s">
        <v>298</v>
      </c>
      <c r="C611" t="s">
        <v>132</v>
      </c>
      <c r="D611" s="27" t="s">
        <v>16</v>
      </c>
      <c r="E611" s="4" t="s">
        <v>48</v>
      </c>
      <c r="F611" s="4">
        <v>186000000</v>
      </c>
      <c r="G611" s="72" t="str">
        <f>+VLOOKUP(Tabla14[[#This Row],[FONDO]],MAESTRO!$D$2:$E$119,2,FALSE)</f>
        <v>Banco Macro S.A.</v>
      </c>
      <c r="H611" s="8" t="str">
        <f>+VLOOKUP(Tabla14[[#This Row],[FONDO]],MAESTRO!D:F,3,FALSE)</f>
        <v>(T+0)</v>
      </c>
      <c r="I611" s="4" t="s">
        <v>9</v>
      </c>
      <c r="L6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1" s="4">
        <f>ROUND(IF(Tabla14[[#This Row],[OPERACIÓN]]=MAESTRO!$B$2,Tabla14[CAPITAL],IF(Tabla14[[#This Row],[OPERACIÓN]]=MAESTRO!$B$5,Tabla14[CAPITAL],-Tabla14[[#This Row],[CAPITAL]])),2)</f>
        <v>186000000</v>
      </c>
    </row>
    <row r="612" spans="1:13" x14ac:dyDescent="0.3">
      <c r="A612" s="26">
        <v>46134</v>
      </c>
      <c r="B612" t="s">
        <v>298</v>
      </c>
      <c r="C612" t="s">
        <v>132</v>
      </c>
      <c r="D612" s="27" t="s">
        <v>16</v>
      </c>
      <c r="E612" s="4" t="s">
        <v>40</v>
      </c>
      <c r="F612" s="4">
        <v>6686100000</v>
      </c>
      <c r="G612" s="72" t="str">
        <f>+VLOOKUP(Tabla14[[#This Row],[FONDO]],MAESTRO!$D$2:$E$119,2,FALSE)</f>
        <v>BBVA Banco Frances SA</v>
      </c>
      <c r="H612" s="8" t="str">
        <f>+VLOOKUP(Tabla14[[#This Row],[FONDO]],MAESTRO!D:F,3,FALSE)</f>
        <v>(T+0)</v>
      </c>
      <c r="I612" s="4" t="s">
        <v>9</v>
      </c>
      <c r="L6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2" s="4">
        <f>ROUND(IF(Tabla14[[#This Row],[OPERACIÓN]]=MAESTRO!$B$2,Tabla14[CAPITAL],IF(Tabla14[[#This Row],[OPERACIÓN]]=MAESTRO!$B$5,Tabla14[CAPITAL],-Tabla14[[#This Row],[CAPITAL]])),2)</f>
        <v>6686100000</v>
      </c>
    </row>
    <row r="613" spans="1:13" x14ac:dyDescent="0.3">
      <c r="A613" s="26">
        <v>46134</v>
      </c>
      <c r="B613" t="s">
        <v>299</v>
      </c>
      <c r="C613" t="s">
        <v>132</v>
      </c>
      <c r="D613" s="27" t="s">
        <v>17</v>
      </c>
      <c r="E613" s="4" t="s">
        <v>255</v>
      </c>
      <c r="F613" s="4">
        <v>64873343.399999999</v>
      </c>
      <c r="G613" s="72" t="str">
        <f>+VLOOKUP(Tabla14[[#This Row],[FONDO]],MAESTRO!$D$2:$E$119,2,FALSE)</f>
        <v>Inviu inversiones</v>
      </c>
      <c r="H613" s="8" t="str">
        <f>+VLOOKUP(Tabla14[[#This Row],[FONDO]],MAESTRO!D:F,3,FALSE)</f>
        <v>(T+0)</v>
      </c>
      <c r="I613" s="4" t="s">
        <v>9</v>
      </c>
      <c r="L6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3" s="4">
        <f>ROUND(IF(Tabla14[[#This Row],[OPERACIÓN]]=MAESTRO!$B$2,Tabla14[CAPITAL],IF(Tabla14[[#This Row],[OPERACIÓN]]=MAESTRO!$B$5,Tabla14[CAPITAL],-Tabla14[[#This Row],[CAPITAL]])),2)</f>
        <v>-64873343.399999999</v>
      </c>
    </row>
    <row r="614" spans="1:13" x14ac:dyDescent="0.3">
      <c r="A614" s="26">
        <v>46134</v>
      </c>
      <c r="B614" t="s">
        <v>299</v>
      </c>
      <c r="C614" t="s">
        <v>132</v>
      </c>
      <c r="D614" s="27" t="s">
        <v>17</v>
      </c>
      <c r="E614" s="4" t="s">
        <v>255</v>
      </c>
      <c r="F614" s="4">
        <v>70660961.799999997</v>
      </c>
      <c r="G614" s="72" t="str">
        <f>+VLOOKUP(Tabla14[[#This Row],[FONDO]],MAESTRO!$D$2:$E$119,2,FALSE)</f>
        <v>Inviu inversiones</v>
      </c>
      <c r="H614" s="8" t="str">
        <f>+VLOOKUP(Tabla14[[#This Row],[FONDO]],MAESTRO!D:F,3,FALSE)</f>
        <v>(T+0)</v>
      </c>
      <c r="I614" s="4" t="s">
        <v>9</v>
      </c>
      <c r="L6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4" s="4">
        <f>ROUND(IF(Tabla14[[#This Row],[OPERACIÓN]]=MAESTRO!$B$2,Tabla14[CAPITAL],IF(Tabla14[[#This Row],[OPERACIÓN]]=MAESTRO!$B$5,Tabla14[CAPITAL],-Tabla14[[#This Row],[CAPITAL]])),2)</f>
        <v>-70660961.799999997</v>
      </c>
    </row>
    <row r="615" spans="1:13" x14ac:dyDescent="0.3">
      <c r="A615" s="26">
        <v>46135</v>
      </c>
      <c r="B615" t="s">
        <v>298</v>
      </c>
      <c r="C615" t="s">
        <v>132</v>
      </c>
      <c r="D615" s="27" t="s">
        <v>17</v>
      </c>
      <c r="E615" s="4" t="s">
        <v>40</v>
      </c>
      <c r="F615" s="4">
        <v>577900000</v>
      </c>
      <c r="G615" s="72" t="str">
        <f>+VLOOKUP(Tabla14[[#This Row],[FONDO]],MAESTRO!$D$2:$E$119,2,FALSE)</f>
        <v>BBVA Banco Frances SA</v>
      </c>
      <c r="H615" s="8" t="str">
        <f>+VLOOKUP(Tabla14[[#This Row],[FONDO]],MAESTRO!D:F,3,FALSE)</f>
        <v>(T+0)</v>
      </c>
      <c r="I615" s="4" t="s">
        <v>9</v>
      </c>
      <c r="L6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5" s="4">
        <f>ROUND(IF(Tabla14[[#This Row],[OPERACIÓN]]=MAESTRO!$B$2,Tabla14[CAPITAL],IF(Tabla14[[#This Row],[OPERACIÓN]]=MAESTRO!$B$5,Tabla14[CAPITAL],-Tabla14[[#This Row],[CAPITAL]])),2)</f>
        <v>-577900000</v>
      </c>
    </row>
    <row r="616" spans="1:13" x14ac:dyDescent="0.3">
      <c r="A616" s="26">
        <v>46135</v>
      </c>
      <c r="B616" t="s">
        <v>299</v>
      </c>
      <c r="C616" t="s">
        <v>132</v>
      </c>
      <c r="D616" s="27" t="s">
        <v>17</v>
      </c>
      <c r="E616" s="4" t="s">
        <v>48</v>
      </c>
      <c r="F616" s="4">
        <v>15300000</v>
      </c>
      <c r="G616" s="72" t="str">
        <f>+VLOOKUP(Tabla14[[#This Row],[FONDO]],MAESTRO!$D$2:$E$119,2,FALSE)</f>
        <v>Banco Macro S.A.</v>
      </c>
      <c r="H616" s="8" t="str">
        <f>+VLOOKUP(Tabla14[[#This Row],[FONDO]],MAESTRO!D:F,3,FALSE)</f>
        <v>(T+0)</v>
      </c>
      <c r="I616" s="4" t="s">
        <v>9</v>
      </c>
      <c r="L6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6" s="4">
        <f>ROUND(IF(Tabla14[[#This Row],[OPERACIÓN]]=MAESTRO!$B$2,Tabla14[CAPITAL],IF(Tabla14[[#This Row],[OPERACIÓN]]=MAESTRO!$B$5,Tabla14[CAPITAL],-Tabla14[[#This Row],[CAPITAL]])),2)</f>
        <v>-15300000</v>
      </c>
    </row>
    <row r="617" spans="1:13" x14ac:dyDescent="0.3">
      <c r="A617" s="26">
        <v>46135</v>
      </c>
      <c r="B617" t="s">
        <v>292</v>
      </c>
      <c r="C617" t="s">
        <v>132</v>
      </c>
      <c r="D617" s="27" t="s">
        <v>17</v>
      </c>
      <c r="E617" s="4" t="s">
        <v>48</v>
      </c>
      <c r="F617" s="4">
        <v>300000</v>
      </c>
      <c r="G617" s="72" t="str">
        <f>+VLOOKUP(Tabla14[[#This Row],[FONDO]],MAESTRO!$D$2:$E$119,2,FALSE)</f>
        <v>Banco Macro S.A.</v>
      </c>
      <c r="H617" s="8" t="str">
        <f>+VLOOKUP(Tabla14[[#This Row],[FONDO]],MAESTRO!D:F,3,FALSE)</f>
        <v>(T+0)</v>
      </c>
      <c r="I617" s="4" t="s">
        <v>9</v>
      </c>
      <c r="L6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7" s="4">
        <f>ROUND(IF(Tabla14[[#This Row],[OPERACIÓN]]=MAESTRO!$B$2,Tabla14[CAPITAL],IF(Tabla14[[#This Row],[OPERACIÓN]]=MAESTRO!$B$5,Tabla14[CAPITAL],-Tabla14[[#This Row],[CAPITAL]])),2)</f>
        <v>-300000</v>
      </c>
    </row>
    <row r="618" spans="1:13" x14ac:dyDescent="0.3">
      <c r="A618" s="26">
        <v>46135</v>
      </c>
      <c r="B618" t="s">
        <v>298</v>
      </c>
      <c r="C618" t="s">
        <v>132</v>
      </c>
      <c r="D618" s="27" t="s">
        <v>17</v>
      </c>
      <c r="E618" s="4" t="s">
        <v>40</v>
      </c>
      <c r="F618" s="4">
        <v>3000000000</v>
      </c>
      <c r="G618" s="72" t="str">
        <f>+VLOOKUP(Tabla14[[#This Row],[FONDO]],MAESTRO!$D$2:$E$119,2,FALSE)</f>
        <v>BBVA Banco Frances SA</v>
      </c>
      <c r="H618" s="8" t="str">
        <f>+VLOOKUP(Tabla14[[#This Row],[FONDO]],MAESTRO!D:F,3,FALSE)</f>
        <v>(T+0)</v>
      </c>
      <c r="I618" s="4" t="s">
        <v>9</v>
      </c>
      <c r="L6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8" s="4">
        <f>ROUND(IF(Tabla14[[#This Row],[OPERACIÓN]]=MAESTRO!$B$2,Tabla14[CAPITAL],IF(Tabla14[[#This Row],[OPERACIÓN]]=MAESTRO!$B$5,Tabla14[CAPITAL],-Tabla14[[#This Row],[CAPITAL]])),2)</f>
        <v>-3000000000</v>
      </c>
    </row>
    <row r="619" spans="1:13" x14ac:dyDescent="0.3">
      <c r="A619" s="26">
        <v>46135</v>
      </c>
      <c r="B619" t="s">
        <v>298</v>
      </c>
      <c r="C619" t="s">
        <v>132</v>
      </c>
      <c r="D619" s="27" t="s">
        <v>17</v>
      </c>
      <c r="E619" s="4" t="s">
        <v>43</v>
      </c>
      <c r="F619" s="4">
        <v>1990000000</v>
      </c>
      <c r="G619" s="72" t="str">
        <f>+VLOOKUP(Tabla14[[#This Row],[FONDO]],MAESTRO!$D$2:$E$119,2,FALSE)</f>
        <v>Banco Santander Rio S.A.</v>
      </c>
      <c r="H619" s="8" t="str">
        <f>+VLOOKUP(Tabla14[[#This Row],[FONDO]],MAESTRO!D:F,3,FALSE)</f>
        <v>(T+0)</v>
      </c>
      <c r="I619" s="4" t="s">
        <v>9</v>
      </c>
      <c r="L6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19" s="4">
        <f>ROUND(IF(Tabla14[[#This Row],[OPERACIÓN]]=MAESTRO!$B$2,Tabla14[CAPITAL],IF(Tabla14[[#This Row],[OPERACIÓN]]=MAESTRO!$B$5,Tabla14[CAPITAL],-Tabla14[[#This Row],[CAPITAL]])),2)</f>
        <v>-1990000000</v>
      </c>
    </row>
    <row r="620" spans="1:13" x14ac:dyDescent="0.3">
      <c r="A620" s="26">
        <v>46135</v>
      </c>
      <c r="B620" t="s">
        <v>298</v>
      </c>
      <c r="C620" t="s">
        <v>132</v>
      </c>
      <c r="D620" s="27" t="s">
        <v>16</v>
      </c>
      <c r="E620" s="4" t="s">
        <v>136</v>
      </c>
      <c r="F620" s="4">
        <v>4990000000</v>
      </c>
      <c r="G620" s="72" t="str">
        <f>+VLOOKUP(Tabla14[[#This Row],[FONDO]],MAESTRO!$D$2:$E$119,2,FALSE)</f>
        <v>Gma Capital</v>
      </c>
      <c r="H620" s="8" t="str">
        <f>+VLOOKUP(Tabla14[[#This Row],[FONDO]],MAESTRO!D:F,3,FALSE)</f>
        <v>(T+0)</v>
      </c>
      <c r="I620" s="4" t="s">
        <v>9</v>
      </c>
      <c r="L6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0" s="4">
        <f>ROUND(IF(Tabla14[[#This Row],[OPERACIÓN]]=MAESTRO!$B$2,Tabla14[CAPITAL],IF(Tabla14[[#This Row],[OPERACIÓN]]=MAESTRO!$B$5,Tabla14[CAPITAL],-Tabla14[[#This Row],[CAPITAL]])),2)</f>
        <v>4990000000</v>
      </c>
    </row>
    <row r="621" spans="1:13" x14ac:dyDescent="0.3">
      <c r="A621" s="26">
        <v>46135</v>
      </c>
      <c r="B621" t="s">
        <v>298</v>
      </c>
      <c r="C621" t="s">
        <v>132</v>
      </c>
      <c r="D621" s="27" t="s">
        <v>17</v>
      </c>
      <c r="E621" s="4" t="s">
        <v>255</v>
      </c>
      <c r="F621" s="4">
        <v>130103485.18000001</v>
      </c>
      <c r="G621" s="72" t="str">
        <f>+VLOOKUP(Tabla14[[#This Row],[FONDO]],MAESTRO!$D$2:$E$119,2,FALSE)</f>
        <v>Inviu inversiones</v>
      </c>
      <c r="H621" s="8" t="str">
        <f>+VLOOKUP(Tabla14[[#This Row],[FONDO]],MAESTRO!D:F,3,FALSE)</f>
        <v>(T+0)</v>
      </c>
      <c r="I621" s="4" t="s">
        <v>9</v>
      </c>
      <c r="L6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1" s="4">
        <f>ROUND(IF(Tabla14[[#This Row],[OPERACIÓN]]=MAESTRO!$B$2,Tabla14[CAPITAL],IF(Tabla14[[#This Row],[OPERACIÓN]]=MAESTRO!$B$5,Tabla14[CAPITAL],-Tabla14[[#This Row],[CAPITAL]])),2)</f>
        <v>-130103485.18000001</v>
      </c>
    </row>
    <row r="622" spans="1:13" x14ac:dyDescent="0.3">
      <c r="A622" s="26">
        <v>46135</v>
      </c>
      <c r="B622" t="s">
        <v>292</v>
      </c>
      <c r="C622" t="s">
        <v>132</v>
      </c>
      <c r="D622" s="27" t="s">
        <v>16</v>
      </c>
      <c r="E622" s="4" t="s">
        <v>136</v>
      </c>
      <c r="F622" s="4">
        <v>82994170.549999997</v>
      </c>
      <c r="G622" s="72" t="str">
        <f>+VLOOKUP(Tabla14[[#This Row],[FONDO]],MAESTRO!$D$2:$E$119,2,FALSE)</f>
        <v>Gma Capital</v>
      </c>
      <c r="H622" s="8" t="str">
        <f>+VLOOKUP(Tabla14[[#This Row],[FONDO]],MAESTRO!D:F,3,FALSE)</f>
        <v>(T+0)</v>
      </c>
      <c r="I622" s="4" t="s">
        <v>9</v>
      </c>
      <c r="L6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2" s="4">
        <f>ROUND(IF(Tabla14[[#This Row],[OPERACIÓN]]=MAESTRO!$B$2,Tabla14[CAPITAL],IF(Tabla14[[#This Row],[OPERACIÓN]]=MAESTRO!$B$5,Tabla14[CAPITAL],-Tabla14[[#This Row],[CAPITAL]])),2)</f>
        <v>82994170.549999997</v>
      </c>
    </row>
    <row r="623" spans="1:13" x14ac:dyDescent="0.3">
      <c r="A623" s="26">
        <v>46136</v>
      </c>
      <c r="B623" t="s">
        <v>292</v>
      </c>
      <c r="C623" t="s">
        <v>132</v>
      </c>
      <c r="D623" s="27" t="s">
        <v>16</v>
      </c>
      <c r="E623" s="4" t="s">
        <v>136</v>
      </c>
      <c r="F623" s="4">
        <v>275569777</v>
      </c>
      <c r="G623" s="72" t="str">
        <f>+VLOOKUP(Tabla14[[#This Row],[FONDO]],MAESTRO!$D$2:$E$119,2,FALSE)</f>
        <v>Gma Capital</v>
      </c>
      <c r="H623" s="8" t="str">
        <f>+VLOOKUP(Tabla14[[#This Row],[FONDO]],MAESTRO!D:F,3,FALSE)</f>
        <v>(T+0)</v>
      </c>
      <c r="I623" s="4" t="s">
        <v>9</v>
      </c>
      <c r="L6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3" s="4">
        <f>ROUND(IF(Tabla14[[#This Row],[OPERACIÓN]]=MAESTRO!$B$2,Tabla14[CAPITAL],IF(Tabla14[[#This Row],[OPERACIÓN]]=MAESTRO!$B$5,Tabla14[CAPITAL],-Tabla14[[#This Row],[CAPITAL]])),2)</f>
        <v>275569777</v>
      </c>
    </row>
    <row r="624" spans="1:13" x14ac:dyDescent="0.3">
      <c r="A624" s="26">
        <v>46136</v>
      </c>
      <c r="B624" t="s">
        <v>299</v>
      </c>
      <c r="C624" t="s">
        <v>132</v>
      </c>
      <c r="D624" s="27" t="s">
        <v>17</v>
      </c>
      <c r="E624" s="4" t="s">
        <v>48</v>
      </c>
      <c r="F624" s="4">
        <v>50900000</v>
      </c>
      <c r="G624" s="72" t="str">
        <f>+VLOOKUP(Tabla14[[#This Row],[FONDO]],MAESTRO!$D$2:$E$119,2,FALSE)</f>
        <v>Banco Macro S.A.</v>
      </c>
      <c r="H624" s="8" t="str">
        <f>+VLOOKUP(Tabla14[[#This Row],[FONDO]],MAESTRO!D:F,3,FALSE)</f>
        <v>(T+0)</v>
      </c>
      <c r="I624" s="4" t="s">
        <v>9</v>
      </c>
      <c r="L6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4" s="4">
        <f>ROUND(IF(Tabla14[[#This Row],[OPERACIÓN]]=MAESTRO!$B$2,Tabla14[CAPITAL],IF(Tabla14[[#This Row],[OPERACIÓN]]=MAESTRO!$B$5,Tabla14[CAPITAL],-Tabla14[[#This Row],[CAPITAL]])),2)</f>
        <v>-50900000</v>
      </c>
    </row>
    <row r="625" spans="1:13" x14ac:dyDescent="0.3">
      <c r="A625" s="26">
        <v>46136</v>
      </c>
      <c r="B625" t="s">
        <v>292</v>
      </c>
      <c r="C625" t="s">
        <v>132</v>
      </c>
      <c r="D625" s="27" t="s">
        <v>16</v>
      </c>
      <c r="E625" s="4" t="s">
        <v>48</v>
      </c>
      <c r="F625" s="4">
        <v>49300000</v>
      </c>
      <c r="G625" s="72" t="str">
        <f>+VLOOKUP(Tabla14[[#This Row],[FONDO]],MAESTRO!$D$2:$E$119,2,FALSE)</f>
        <v>Banco Macro S.A.</v>
      </c>
      <c r="H625" s="8" t="str">
        <f>+VLOOKUP(Tabla14[[#This Row],[FONDO]],MAESTRO!D:F,3,FALSE)</f>
        <v>(T+0)</v>
      </c>
      <c r="I625" s="4" t="s">
        <v>9</v>
      </c>
      <c r="L6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5" s="4">
        <f>ROUND(IF(Tabla14[[#This Row],[OPERACIÓN]]=MAESTRO!$B$2,Tabla14[CAPITAL],IF(Tabla14[[#This Row],[OPERACIÓN]]=MAESTRO!$B$5,Tabla14[CAPITAL],-Tabla14[[#This Row],[CAPITAL]])),2)</f>
        <v>49300000</v>
      </c>
    </row>
    <row r="626" spans="1:13" x14ac:dyDescent="0.3">
      <c r="A626" s="26">
        <v>46136</v>
      </c>
      <c r="B626" t="s">
        <v>298</v>
      </c>
      <c r="C626" t="s">
        <v>132</v>
      </c>
      <c r="D626" s="27" t="s">
        <v>17</v>
      </c>
      <c r="E626" s="4" t="s">
        <v>40</v>
      </c>
      <c r="F626" s="4">
        <v>189100000</v>
      </c>
      <c r="G626" s="72" t="str">
        <f>+VLOOKUP(Tabla14[[#This Row],[FONDO]],MAESTRO!$D$2:$E$119,2,FALSE)</f>
        <v>BBVA Banco Frances SA</v>
      </c>
      <c r="H626" s="8" t="str">
        <f>+VLOOKUP(Tabla14[[#This Row],[FONDO]],MAESTRO!D:F,3,FALSE)</f>
        <v>(T+0)</v>
      </c>
      <c r="I626" s="4" t="s">
        <v>9</v>
      </c>
      <c r="L6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6" s="4">
        <f>ROUND(IF(Tabla14[[#This Row],[OPERACIÓN]]=MAESTRO!$B$2,Tabla14[CAPITAL],IF(Tabla14[[#This Row],[OPERACIÓN]]=MAESTRO!$B$5,Tabla14[CAPITAL],-Tabla14[[#This Row],[CAPITAL]])),2)</f>
        <v>-189100000</v>
      </c>
    </row>
    <row r="627" spans="1:13" x14ac:dyDescent="0.3">
      <c r="A627" s="26">
        <v>46136</v>
      </c>
      <c r="B627" t="s">
        <v>298</v>
      </c>
      <c r="C627" t="s">
        <v>132</v>
      </c>
      <c r="D627" s="27" t="s">
        <v>17</v>
      </c>
      <c r="E627" s="4" t="s">
        <v>40</v>
      </c>
      <c r="F627" s="4">
        <v>3003700000</v>
      </c>
      <c r="G627" s="72" t="str">
        <f>+VLOOKUP(Tabla14[[#This Row],[FONDO]],MAESTRO!$D$2:$E$119,2,FALSE)</f>
        <v>BBVA Banco Frances SA</v>
      </c>
      <c r="H627" s="8" t="str">
        <f>+VLOOKUP(Tabla14[[#This Row],[FONDO]],MAESTRO!D:F,3,FALSE)</f>
        <v>(T+0)</v>
      </c>
      <c r="I627" s="4" t="s">
        <v>9</v>
      </c>
      <c r="L6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7" s="4">
        <f>ROUND(IF(Tabla14[[#This Row],[OPERACIÓN]]=MAESTRO!$B$2,Tabla14[CAPITAL],IF(Tabla14[[#This Row],[OPERACIÓN]]=MAESTRO!$B$5,Tabla14[CAPITAL],-Tabla14[[#This Row],[CAPITAL]])),2)</f>
        <v>-3003700000</v>
      </c>
    </row>
    <row r="628" spans="1:13" x14ac:dyDescent="0.3">
      <c r="A628" s="26">
        <v>46136</v>
      </c>
      <c r="B628" t="s">
        <v>298</v>
      </c>
      <c r="C628" t="s">
        <v>132</v>
      </c>
      <c r="D628" s="27" t="s">
        <v>17</v>
      </c>
      <c r="E628" s="4" t="s">
        <v>43</v>
      </c>
      <c r="F628" s="4">
        <v>1990000000</v>
      </c>
      <c r="G628" s="72" t="str">
        <f>+VLOOKUP(Tabla14[[#This Row],[FONDO]],MAESTRO!$D$2:$E$119,2,FALSE)</f>
        <v>Banco Santander Rio S.A.</v>
      </c>
      <c r="H628" s="8" t="str">
        <f>+VLOOKUP(Tabla14[[#This Row],[FONDO]],MAESTRO!D:F,3,FALSE)</f>
        <v>(T+0)</v>
      </c>
      <c r="I628" s="4" t="s">
        <v>9</v>
      </c>
      <c r="L6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8" s="4">
        <f>ROUND(IF(Tabla14[[#This Row],[OPERACIÓN]]=MAESTRO!$B$2,Tabla14[CAPITAL],IF(Tabla14[[#This Row],[OPERACIÓN]]=MAESTRO!$B$5,Tabla14[CAPITAL],-Tabla14[[#This Row],[CAPITAL]])),2)</f>
        <v>-1990000000</v>
      </c>
    </row>
    <row r="629" spans="1:13" x14ac:dyDescent="0.3">
      <c r="A629" s="26">
        <v>46136</v>
      </c>
      <c r="B629" t="s">
        <v>298</v>
      </c>
      <c r="C629" t="s">
        <v>132</v>
      </c>
      <c r="D629" s="27" t="s">
        <v>16</v>
      </c>
      <c r="E629" s="4" t="s">
        <v>136</v>
      </c>
      <c r="F629" s="4">
        <v>4990000000</v>
      </c>
      <c r="G629" s="72" t="str">
        <f>+VLOOKUP(Tabla14[[#This Row],[FONDO]],MAESTRO!$D$2:$E$119,2,FALSE)</f>
        <v>Gma Capital</v>
      </c>
      <c r="H629" s="8" t="str">
        <f>+VLOOKUP(Tabla14[[#This Row],[FONDO]],MAESTRO!D:F,3,FALSE)</f>
        <v>(T+0)</v>
      </c>
      <c r="I629" s="4" t="s">
        <v>9</v>
      </c>
      <c r="L6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29" s="4">
        <f>ROUND(IF(Tabla14[[#This Row],[OPERACIÓN]]=MAESTRO!$B$2,Tabla14[CAPITAL],IF(Tabla14[[#This Row],[OPERACIÓN]]=MAESTRO!$B$5,Tabla14[CAPITAL],-Tabla14[[#This Row],[CAPITAL]])),2)</f>
        <v>4990000000</v>
      </c>
    </row>
    <row r="630" spans="1:13" x14ac:dyDescent="0.3">
      <c r="A630" s="26">
        <v>46139</v>
      </c>
      <c r="B630" t="s">
        <v>126</v>
      </c>
      <c r="C630" t="s">
        <v>132</v>
      </c>
      <c r="D630" s="27" t="s">
        <v>17</v>
      </c>
      <c r="E630" s="4" t="s">
        <v>48</v>
      </c>
      <c r="F630" s="4">
        <v>200000</v>
      </c>
      <c r="G630" s="72" t="str">
        <f>+VLOOKUP(Tabla14[[#This Row],[FONDO]],MAESTRO!$D$2:$E$119,2,FALSE)</f>
        <v>Banco Macro S.A.</v>
      </c>
      <c r="H630" s="8" t="str">
        <f>+VLOOKUP(Tabla14[[#This Row],[FONDO]],MAESTRO!D:F,3,FALSE)</f>
        <v>(T+0)</v>
      </c>
      <c r="I630" s="4" t="s">
        <v>9</v>
      </c>
      <c r="L6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0" s="4">
        <f>ROUND(IF(Tabla14[[#This Row],[OPERACIÓN]]=MAESTRO!$B$2,Tabla14[CAPITAL],IF(Tabla14[[#This Row],[OPERACIÓN]]=MAESTRO!$B$5,Tabla14[CAPITAL],-Tabla14[[#This Row],[CAPITAL]])),2)</f>
        <v>-200000</v>
      </c>
    </row>
    <row r="631" spans="1:13" x14ac:dyDescent="0.3">
      <c r="A631" s="26">
        <v>46139</v>
      </c>
      <c r="B631" t="s">
        <v>299</v>
      </c>
      <c r="C631" t="s">
        <v>132</v>
      </c>
      <c r="D631" s="27" t="s">
        <v>17</v>
      </c>
      <c r="E631" s="4" t="s">
        <v>48</v>
      </c>
      <c r="F631" s="4">
        <v>158000000</v>
      </c>
      <c r="G631" s="72" t="str">
        <f>+VLOOKUP(Tabla14[[#This Row],[FONDO]],MAESTRO!$D$2:$E$119,2,FALSE)</f>
        <v>Banco Macro S.A.</v>
      </c>
      <c r="H631" s="8" t="str">
        <f>+VLOOKUP(Tabla14[[#This Row],[FONDO]],MAESTRO!D:F,3,FALSE)</f>
        <v>(T+0)</v>
      </c>
      <c r="I631" s="4" t="s">
        <v>9</v>
      </c>
      <c r="L6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1" s="4">
        <f>ROUND(IF(Tabla14[[#This Row],[OPERACIÓN]]=MAESTRO!$B$2,Tabla14[CAPITAL],IF(Tabla14[[#This Row],[OPERACIÓN]]=MAESTRO!$B$5,Tabla14[CAPITAL],-Tabla14[[#This Row],[CAPITAL]])),2)</f>
        <v>-158000000</v>
      </c>
    </row>
    <row r="632" spans="1:13" x14ac:dyDescent="0.3">
      <c r="A632" s="26">
        <v>46139</v>
      </c>
      <c r="B632" t="s">
        <v>298</v>
      </c>
      <c r="C632" t="s">
        <v>132</v>
      </c>
      <c r="D632" s="27" t="s">
        <v>17</v>
      </c>
      <c r="E632" s="4" t="s">
        <v>40</v>
      </c>
      <c r="F632" s="4">
        <v>616700000</v>
      </c>
      <c r="G632" s="72" t="str">
        <f>+VLOOKUP(Tabla14[[#This Row],[FONDO]],MAESTRO!$D$2:$E$119,2,FALSE)</f>
        <v>BBVA Banco Frances SA</v>
      </c>
      <c r="H632" s="8" t="str">
        <f>+VLOOKUP(Tabla14[[#This Row],[FONDO]],MAESTRO!D:F,3,FALSE)</f>
        <v>(T+0)</v>
      </c>
      <c r="I632" s="4" t="s">
        <v>9</v>
      </c>
      <c r="L6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2" s="4">
        <f>ROUND(IF(Tabla14[[#This Row],[OPERACIÓN]]=MAESTRO!$B$2,Tabla14[CAPITAL],IF(Tabla14[[#This Row],[OPERACIÓN]]=MAESTRO!$B$5,Tabla14[CAPITAL],-Tabla14[[#This Row],[CAPITAL]])),2)</f>
        <v>-616700000</v>
      </c>
    </row>
    <row r="633" spans="1:13" x14ac:dyDescent="0.3">
      <c r="A633" s="26">
        <v>46139</v>
      </c>
      <c r="B633" t="s">
        <v>292</v>
      </c>
      <c r="C633" t="s">
        <v>132</v>
      </c>
      <c r="D633" s="27" t="s">
        <v>16</v>
      </c>
      <c r="E633" s="4" t="s">
        <v>48</v>
      </c>
      <c r="F633" s="4">
        <v>14000000</v>
      </c>
      <c r="G633" s="72" t="str">
        <f>+VLOOKUP(Tabla14[[#This Row],[FONDO]],MAESTRO!$D$2:$E$119,2,FALSE)</f>
        <v>Banco Macro S.A.</v>
      </c>
      <c r="H633" s="8" t="str">
        <f>+VLOOKUP(Tabla14[[#This Row],[FONDO]],MAESTRO!D:F,3,FALSE)</f>
        <v>(T+0)</v>
      </c>
      <c r="I633" s="4" t="s">
        <v>9</v>
      </c>
      <c r="L6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3" s="4">
        <f>ROUND(IF(Tabla14[[#This Row],[OPERACIÓN]]=MAESTRO!$B$2,Tabla14[CAPITAL],IF(Tabla14[[#This Row],[OPERACIÓN]]=MAESTRO!$B$5,Tabla14[CAPITAL],-Tabla14[[#This Row],[CAPITAL]])),2)</f>
        <v>14000000</v>
      </c>
    </row>
    <row r="634" spans="1:13" x14ac:dyDescent="0.3">
      <c r="A634" s="26">
        <v>46139</v>
      </c>
      <c r="B634" t="s">
        <v>299</v>
      </c>
      <c r="C634" t="s">
        <v>132</v>
      </c>
      <c r="D634" s="27" t="s">
        <v>17</v>
      </c>
      <c r="E634" s="4" t="s">
        <v>40</v>
      </c>
      <c r="F634" s="4">
        <v>900000</v>
      </c>
      <c r="G634" s="72" t="str">
        <f>+VLOOKUP(Tabla14[[#This Row],[FONDO]],MAESTRO!$D$2:$E$119,2,FALSE)</f>
        <v>BBVA Banco Frances SA</v>
      </c>
      <c r="H634" s="8" t="str">
        <f>+VLOOKUP(Tabla14[[#This Row],[FONDO]],MAESTRO!D:F,3,FALSE)</f>
        <v>(T+0)</v>
      </c>
      <c r="I634" s="4" t="s">
        <v>9</v>
      </c>
      <c r="L6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4" s="4">
        <f>ROUND(IF(Tabla14[[#This Row],[OPERACIÓN]]=MAESTRO!$B$2,Tabla14[CAPITAL],IF(Tabla14[[#This Row],[OPERACIÓN]]=MAESTRO!$B$5,Tabla14[CAPITAL],-Tabla14[[#This Row],[CAPITAL]])),2)</f>
        <v>-900000</v>
      </c>
    </row>
    <row r="635" spans="1:13" x14ac:dyDescent="0.3">
      <c r="A635" s="26">
        <v>46139</v>
      </c>
      <c r="B635" t="s">
        <v>298</v>
      </c>
      <c r="C635" t="s">
        <v>132</v>
      </c>
      <c r="D635" s="27" t="s">
        <v>17</v>
      </c>
      <c r="E635" s="4" t="s">
        <v>40</v>
      </c>
      <c r="F635" s="4">
        <v>2000000000</v>
      </c>
      <c r="G635" s="72" t="str">
        <f>+VLOOKUP(Tabla14[[#This Row],[FONDO]],MAESTRO!$D$2:$E$119,2,FALSE)</f>
        <v>BBVA Banco Frances SA</v>
      </c>
      <c r="H635" s="8" t="str">
        <f>+VLOOKUP(Tabla14[[#This Row],[FONDO]],MAESTRO!D:F,3,FALSE)</f>
        <v>(T+0)</v>
      </c>
      <c r="I635" s="4" t="s">
        <v>9</v>
      </c>
      <c r="L6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5" s="4">
        <f>ROUND(IF(Tabla14[[#This Row],[OPERACIÓN]]=MAESTRO!$B$2,Tabla14[CAPITAL],IF(Tabla14[[#This Row],[OPERACIÓN]]=MAESTRO!$B$5,Tabla14[CAPITAL],-Tabla14[[#This Row],[CAPITAL]])),2)</f>
        <v>-2000000000</v>
      </c>
    </row>
    <row r="636" spans="1:13" x14ac:dyDescent="0.3">
      <c r="A636" s="26">
        <v>46139</v>
      </c>
      <c r="B636" t="s">
        <v>298</v>
      </c>
      <c r="C636" t="s">
        <v>132</v>
      </c>
      <c r="D636" s="27" t="s">
        <v>16</v>
      </c>
      <c r="E636" s="4" t="s">
        <v>136</v>
      </c>
      <c r="F636" s="4">
        <v>2000000000</v>
      </c>
      <c r="G636" s="72" t="str">
        <f>+VLOOKUP(Tabla14[[#This Row],[FONDO]],MAESTRO!$D$2:$E$119,2,FALSE)</f>
        <v>Gma Capital</v>
      </c>
      <c r="H636" s="8" t="str">
        <f>+VLOOKUP(Tabla14[[#This Row],[FONDO]],MAESTRO!D:F,3,FALSE)</f>
        <v>(T+0)</v>
      </c>
      <c r="I636" s="4" t="s">
        <v>9</v>
      </c>
      <c r="L6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6" s="4">
        <f>ROUND(IF(Tabla14[[#This Row],[OPERACIÓN]]=MAESTRO!$B$2,Tabla14[CAPITAL],IF(Tabla14[[#This Row],[OPERACIÓN]]=MAESTRO!$B$5,Tabla14[CAPITAL],-Tabla14[[#This Row],[CAPITAL]])),2)</f>
        <v>2000000000</v>
      </c>
    </row>
    <row r="637" spans="1:13" x14ac:dyDescent="0.3">
      <c r="A637" s="26">
        <v>46140</v>
      </c>
      <c r="B637" t="s">
        <v>126</v>
      </c>
      <c r="C637" t="s">
        <v>132</v>
      </c>
      <c r="D637" s="27" t="s">
        <v>17</v>
      </c>
      <c r="E637" s="4" t="s">
        <v>48</v>
      </c>
      <c r="F637" s="4">
        <v>500000</v>
      </c>
      <c r="G637" s="74" t="str">
        <f>+VLOOKUP(Tabla14[[#This Row],[FONDO]],MAESTRO!$D$2:$E$119,2,FALSE)</f>
        <v>Banco Macro S.A.</v>
      </c>
      <c r="H637" s="8" t="str">
        <f>+VLOOKUP(Tabla14[[#This Row],[FONDO]],MAESTRO!D:F,3,FALSE)</f>
        <v>(T+0)</v>
      </c>
      <c r="I637" s="4" t="s">
        <v>9</v>
      </c>
      <c r="L6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7" s="4">
        <f>ROUND(IF(Tabla14[[#This Row],[OPERACIÓN]]=MAESTRO!$B$2,Tabla14[CAPITAL],IF(Tabla14[[#This Row],[OPERACIÓN]]=MAESTRO!$B$5,Tabla14[CAPITAL],-Tabla14[[#This Row],[CAPITAL]])),2)</f>
        <v>-500000</v>
      </c>
    </row>
    <row r="638" spans="1:13" x14ac:dyDescent="0.3">
      <c r="A638" s="26">
        <v>46140</v>
      </c>
      <c r="B638" t="s">
        <v>292</v>
      </c>
      <c r="C638" t="s">
        <v>132</v>
      </c>
      <c r="D638" s="27" t="s">
        <v>17</v>
      </c>
      <c r="E638" s="4" t="s">
        <v>48</v>
      </c>
      <c r="F638" s="4">
        <v>9600000</v>
      </c>
      <c r="G638" s="74" t="str">
        <f>+VLOOKUP(Tabla14[[#This Row],[FONDO]],MAESTRO!$D$2:$E$119,2,FALSE)</f>
        <v>Banco Macro S.A.</v>
      </c>
      <c r="H638" s="8" t="str">
        <f>+VLOOKUP(Tabla14[[#This Row],[FONDO]],MAESTRO!D:F,3,FALSE)</f>
        <v>(T+0)</v>
      </c>
      <c r="I638" s="4" t="s">
        <v>9</v>
      </c>
      <c r="L6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8" s="4">
        <f>ROUND(IF(Tabla14[[#This Row],[OPERACIÓN]]=MAESTRO!$B$2,Tabla14[CAPITAL],IF(Tabla14[[#This Row],[OPERACIÓN]]=MAESTRO!$B$5,Tabla14[CAPITAL],-Tabla14[[#This Row],[CAPITAL]])),2)</f>
        <v>-9600000</v>
      </c>
    </row>
    <row r="639" spans="1:13" x14ac:dyDescent="0.3">
      <c r="A639" s="26">
        <v>46140</v>
      </c>
      <c r="B639" t="s">
        <v>299</v>
      </c>
      <c r="C639" t="s">
        <v>132</v>
      </c>
      <c r="D639" s="27" t="s">
        <v>17</v>
      </c>
      <c r="E639" s="4" t="s">
        <v>48</v>
      </c>
      <c r="F639" s="4">
        <v>88200000</v>
      </c>
      <c r="G639" s="74" t="str">
        <f>+VLOOKUP(Tabla14[[#This Row],[FONDO]],MAESTRO!$D$2:$E$119,2,FALSE)</f>
        <v>Banco Macro S.A.</v>
      </c>
      <c r="H639" s="8" t="str">
        <f>+VLOOKUP(Tabla14[[#This Row],[FONDO]],MAESTRO!D:F,3,FALSE)</f>
        <v>(T+0)</v>
      </c>
      <c r="I639" s="4" t="s">
        <v>9</v>
      </c>
      <c r="L6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39" s="4">
        <f>ROUND(IF(Tabla14[[#This Row],[OPERACIÓN]]=MAESTRO!$B$2,Tabla14[CAPITAL],IF(Tabla14[[#This Row],[OPERACIÓN]]=MAESTRO!$B$5,Tabla14[CAPITAL],-Tabla14[[#This Row],[CAPITAL]])),2)</f>
        <v>-88200000</v>
      </c>
    </row>
    <row r="640" spans="1:13" x14ac:dyDescent="0.3">
      <c r="A640" s="26">
        <v>46140</v>
      </c>
      <c r="B640" t="s">
        <v>298</v>
      </c>
      <c r="C640" t="s">
        <v>132</v>
      </c>
      <c r="D640" s="27" t="s">
        <v>17</v>
      </c>
      <c r="E640" s="4" t="s">
        <v>40</v>
      </c>
      <c r="F640" s="4">
        <v>139700000</v>
      </c>
      <c r="G640" s="74" t="str">
        <f>+VLOOKUP(Tabla14[[#This Row],[FONDO]],MAESTRO!$D$2:$E$119,2,FALSE)</f>
        <v>BBVA Banco Frances SA</v>
      </c>
      <c r="H640" s="8" t="str">
        <f>+VLOOKUP(Tabla14[[#This Row],[FONDO]],MAESTRO!D:F,3,FALSE)</f>
        <v>(T+0)</v>
      </c>
      <c r="I640" s="4" t="s">
        <v>9</v>
      </c>
      <c r="L6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0" s="4">
        <f>ROUND(IF(Tabla14[[#This Row],[OPERACIÓN]]=MAESTRO!$B$2,Tabla14[CAPITAL],IF(Tabla14[[#This Row],[OPERACIÓN]]=MAESTRO!$B$5,Tabla14[CAPITAL],-Tabla14[[#This Row],[CAPITAL]])),2)</f>
        <v>-139700000</v>
      </c>
    </row>
    <row r="641" spans="1:13" x14ac:dyDescent="0.3">
      <c r="A641" s="37">
        <v>46140</v>
      </c>
      <c r="B641" s="20" t="s">
        <v>298</v>
      </c>
      <c r="C641" s="20" t="s">
        <v>132</v>
      </c>
      <c r="D641" s="38" t="s">
        <v>16</v>
      </c>
      <c r="E641" s="39" t="s">
        <v>136</v>
      </c>
      <c r="F641" s="39">
        <v>53310768.200000003</v>
      </c>
      <c r="G641" s="40" t="str">
        <f>+VLOOKUP(Tabla14[[#This Row],[FONDO]],MAESTRO!$D$2:$E$119,2,FALSE)</f>
        <v>Gma Capital</v>
      </c>
      <c r="H641" s="40" t="str">
        <f>+VLOOKUP(Tabla14[[#This Row],[FONDO]],MAESTRO!D:F,3,FALSE)</f>
        <v>(T+0)</v>
      </c>
      <c r="I641" s="39" t="s">
        <v>9</v>
      </c>
      <c r="J641" s="49"/>
      <c r="K641" s="20"/>
      <c r="L64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1" s="39">
        <f>ROUND(IF(Tabla14[[#This Row],[OPERACIÓN]]=MAESTRO!$B$2,Tabla14[CAPITAL],IF(Tabla14[[#This Row],[OPERACIÓN]]=MAESTRO!$B$5,Tabla14[CAPITAL],-Tabla14[[#This Row],[CAPITAL]])),2)</f>
        <v>53310768.200000003</v>
      </c>
    </row>
    <row r="642" spans="1:13" x14ac:dyDescent="0.3">
      <c r="A642" s="26">
        <v>46140</v>
      </c>
      <c r="B642" t="s">
        <v>298</v>
      </c>
      <c r="C642" t="s">
        <v>132</v>
      </c>
      <c r="D642" s="27" t="s">
        <v>17</v>
      </c>
      <c r="E642" s="4" t="s">
        <v>136</v>
      </c>
      <c r="F642" s="4">
        <v>16000000000</v>
      </c>
      <c r="G642" s="75" t="str">
        <f>+VLOOKUP(Tabla14[[#This Row],[FONDO]],MAESTRO!$D$2:$E$119,2,FALSE)</f>
        <v>Gma Capital</v>
      </c>
      <c r="H642" s="8" t="str">
        <f>+VLOOKUP(Tabla14[[#This Row],[FONDO]],MAESTRO!D:F,3,FALSE)</f>
        <v>(T+0)</v>
      </c>
      <c r="I642" s="4" t="s">
        <v>9</v>
      </c>
      <c r="L6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2" s="4">
        <f>ROUND(IF(Tabla14[[#This Row],[OPERACIÓN]]=MAESTRO!$B$2,Tabla14[CAPITAL],IF(Tabla14[[#This Row],[OPERACIÓN]]=MAESTRO!$B$5,Tabla14[CAPITAL],-Tabla14[[#This Row],[CAPITAL]])),2)</f>
        <v>-16000000000</v>
      </c>
    </row>
    <row r="643" spans="1:13" x14ac:dyDescent="0.3">
      <c r="A643" s="26">
        <v>46140</v>
      </c>
      <c r="B643" t="s">
        <v>299</v>
      </c>
      <c r="C643" t="s">
        <v>132</v>
      </c>
      <c r="D643" s="27" t="s">
        <v>16</v>
      </c>
      <c r="E643" s="4" t="s">
        <v>136</v>
      </c>
      <c r="F643" s="53">
        <v>6000012107</v>
      </c>
      <c r="G643" s="75" t="str">
        <f>+VLOOKUP(Tabla14[[#This Row],[FONDO]],MAESTRO!$D$2:$E$119,2,FALSE)</f>
        <v>Gma Capital</v>
      </c>
      <c r="H643" s="8" t="str">
        <f>+VLOOKUP(Tabla14[[#This Row],[FONDO]],MAESTRO!D:F,3,FALSE)</f>
        <v>(T+0)</v>
      </c>
      <c r="I643" s="4" t="s">
        <v>9</v>
      </c>
      <c r="L6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3" s="4">
        <f>ROUND(IF(Tabla14[[#This Row],[OPERACIÓN]]=MAESTRO!$B$2,Tabla14[CAPITAL],IF(Tabla14[[#This Row],[OPERACIÓN]]=MAESTRO!$B$5,Tabla14[CAPITAL],-Tabla14[[#This Row],[CAPITAL]])),2)</f>
        <v>6000012107</v>
      </c>
    </row>
    <row r="644" spans="1:13" x14ac:dyDescent="0.3">
      <c r="A644" s="26">
        <v>46140</v>
      </c>
      <c r="B644" t="s">
        <v>292</v>
      </c>
      <c r="C644" t="s">
        <v>132</v>
      </c>
      <c r="D644" s="27" t="s">
        <v>16</v>
      </c>
      <c r="E644" s="4" t="s">
        <v>136</v>
      </c>
      <c r="F644" s="4">
        <v>16000000000</v>
      </c>
      <c r="G644" s="75" t="str">
        <f>+VLOOKUP(Tabla14[[#This Row],[FONDO]],MAESTRO!$D$2:$E$119,2,FALSE)</f>
        <v>Gma Capital</v>
      </c>
      <c r="H644" s="8" t="str">
        <f>+VLOOKUP(Tabla14[[#This Row],[FONDO]],MAESTRO!D:F,3,FALSE)</f>
        <v>(T+0)</v>
      </c>
      <c r="I644" s="4" t="s">
        <v>9</v>
      </c>
      <c r="L6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4" s="4">
        <f>ROUND(IF(Tabla14[[#This Row],[OPERACIÓN]]=MAESTRO!$B$2,Tabla14[CAPITAL],IF(Tabla14[[#This Row],[OPERACIÓN]]=MAESTRO!$B$5,Tabla14[CAPITAL],-Tabla14[[#This Row],[CAPITAL]])),2)</f>
        <v>16000000000</v>
      </c>
    </row>
    <row r="645" spans="1:13" x14ac:dyDescent="0.3">
      <c r="A645" s="26">
        <v>46140</v>
      </c>
      <c r="B645" t="s">
        <v>292</v>
      </c>
      <c r="C645" t="s">
        <v>132</v>
      </c>
      <c r="D645" s="27" t="s">
        <v>17</v>
      </c>
      <c r="E645" s="4" t="s">
        <v>136</v>
      </c>
      <c r="F645" s="4">
        <v>6000000000.5699997</v>
      </c>
      <c r="G645" s="75" t="str">
        <f>+VLOOKUP(Tabla14[[#This Row],[FONDO]],MAESTRO!$D$2:$E$119,2,FALSE)</f>
        <v>Gma Capital</v>
      </c>
      <c r="H645" s="8" t="str">
        <f>+VLOOKUP(Tabla14[[#This Row],[FONDO]],MAESTRO!D:F,3,FALSE)</f>
        <v>(T+0)</v>
      </c>
      <c r="I645" s="4" t="s">
        <v>9</v>
      </c>
      <c r="L6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5" s="4">
        <f>ROUND(IF(Tabla14[[#This Row],[OPERACIÓN]]=MAESTRO!$B$2,Tabla14[CAPITAL],IF(Tabla14[[#This Row],[OPERACIÓN]]=MAESTRO!$B$5,Tabla14[CAPITAL],-Tabla14[[#This Row],[CAPITAL]])),2)</f>
        <v>-6000000000.5699997</v>
      </c>
    </row>
    <row r="646" spans="1:13" x14ac:dyDescent="0.3">
      <c r="A646" s="26">
        <v>46140</v>
      </c>
      <c r="B646" t="s">
        <v>292</v>
      </c>
      <c r="C646" t="s">
        <v>132</v>
      </c>
      <c r="D646" s="27" t="s">
        <v>17</v>
      </c>
      <c r="E646" s="4" t="s">
        <v>136</v>
      </c>
      <c r="F646" s="4">
        <v>2878974797.7800002</v>
      </c>
      <c r="G646" s="75" t="str">
        <f>+VLOOKUP(Tabla14[[#This Row],[FONDO]],MAESTRO!$D$2:$E$119,2,FALSE)</f>
        <v>Gma Capital</v>
      </c>
      <c r="H646" s="8" t="str">
        <f>+VLOOKUP(Tabla14[[#This Row],[FONDO]],MAESTRO!D:F,3,FALSE)</f>
        <v>(T+0)</v>
      </c>
      <c r="I646" s="4" t="s">
        <v>9</v>
      </c>
      <c r="L6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6" s="4">
        <f>ROUND(IF(Tabla14[[#This Row],[OPERACIÓN]]=MAESTRO!$B$2,Tabla14[CAPITAL],IF(Tabla14[[#This Row],[OPERACIÓN]]=MAESTRO!$B$5,Tabla14[CAPITAL],-Tabla14[[#This Row],[CAPITAL]])),2)</f>
        <v>-2878974797.7800002</v>
      </c>
    </row>
    <row r="647" spans="1:13" x14ac:dyDescent="0.3">
      <c r="A647" s="26">
        <v>46141</v>
      </c>
      <c r="B647" t="s">
        <v>292</v>
      </c>
      <c r="C647" t="s">
        <v>132</v>
      </c>
      <c r="D647" s="27" t="s">
        <v>17</v>
      </c>
      <c r="E647" s="4" t="s">
        <v>48</v>
      </c>
      <c r="F647" s="4">
        <v>27400000</v>
      </c>
      <c r="G647" s="8" t="str">
        <f>+VLOOKUP(Tabla14[[#This Row],[FONDO]],MAESTRO!$D$2:$E$119,2,FALSE)</f>
        <v>Banco Macro S.A.</v>
      </c>
      <c r="H647" s="8" t="str">
        <f>+VLOOKUP(Tabla14[[#This Row],[FONDO]],MAESTRO!D:F,3,FALSE)</f>
        <v>(T+0)</v>
      </c>
      <c r="I647" s="4" t="s">
        <v>9</v>
      </c>
      <c r="L6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7" s="4">
        <f>ROUND(IF(Tabla14[[#This Row],[OPERACIÓN]]=MAESTRO!$B$2,Tabla14[CAPITAL],IF(Tabla14[[#This Row],[OPERACIÓN]]=MAESTRO!$B$5,Tabla14[CAPITAL],-Tabla14[[#This Row],[CAPITAL]])),2)</f>
        <v>-27400000</v>
      </c>
    </row>
    <row r="648" spans="1:13" x14ac:dyDescent="0.3">
      <c r="A648" s="26">
        <v>46141</v>
      </c>
      <c r="B648" t="s">
        <v>299</v>
      </c>
      <c r="C648" t="s">
        <v>132</v>
      </c>
      <c r="D648" s="27" t="s">
        <v>17</v>
      </c>
      <c r="E648" s="4" t="s">
        <v>48</v>
      </c>
      <c r="F648" s="4">
        <v>4800000</v>
      </c>
      <c r="G648" s="8" t="str">
        <f>+VLOOKUP(Tabla14[[#This Row],[FONDO]],MAESTRO!$D$2:$E$119,2,FALSE)</f>
        <v>Banco Macro S.A.</v>
      </c>
      <c r="H648" s="8" t="str">
        <f>+VLOOKUP(Tabla14[[#This Row],[FONDO]],MAESTRO!D:F,3,FALSE)</f>
        <v>(T+0)</v>
      </c>
      <c r="I648" s="4" t="s">
        <v>9</v>
      </c>
      <c r="L6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8" s="4">
        <f>ROUND(IF(Tabla14[[#This Row],[OPERACIÓN]]=MAESTRO!$B$2,Tabla14[CAPITAL],IF(Tabla14[[#This Row],[OPERACIÓN]]=MAESTRO!$B$5,Tabla14[CAPITAL],-Tabla14[[#This Row],[CAPITAL]])),2)</f>
        <v>-4800000</v>
      </c>
    </row>
    <row r="649" spans="1:13" x14ac:dyDescent="0.3">
      <c r="A649" s="26">
        <v>46141</v>
      </c>
      <c r="B649" t="s">
        <v>298</v>
      </c>
      <c r="C649" t="s">
        <v>132</v>
      </c>
      <c r="D649" s="27" t="s">
        <v>17</v>
      </c>
      <c r="E649" s="4" t="s">
        <v>43</v>
      </c>
      <c r="F649" s="4">
        <v>440300000</v>
      </c>
      <c r="G649" s="8" t="str">
        <f>+VLOOKUP(Tabla14[[#This Row],[FONDO]],MAESTRO!$D$2:$E$119,2,FALSE)</f>
        <v>Banco Santander Rio S.A.</v>
      </c>
      <c r="H649" s="8" t="str">
        <f>+VLOOKUP(Tabla14[[#This Row],[FONDO]],MAESTRO!D:F,3,FALSE)</f>
        <v>(T+0)</v>
      </c>
      <c r="I649" s="4" t="s">
        <v>9</v>
      </c>
      <c r="L6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49" s="4">
        <f>ROUND(IF(Tabla14[[#This Row],[OPERACIÓN]]=MAESTRO!$B$2,Tabla14[CAPITAL],IF(Tabla14[[#This Row],[OPERACIÓN]]=MAESTRO!$B$5,Tabla14[CAPITAL],-Tabla14[[#This Row],[CAPITAL]])),2)</f>
        <v>-440300000</v>
      </c>
    </row>
    <row r="650" spans="1:13" x14ac:dyDescent="0.3">
      <c r="A650" s="26">
        <v>46141</v>
      </c>
      <c r="B650" t="s">
        <v>298</v>
      </c>
      <c r="C650" t="s">
        <v>132</v>
      </c>
      <c r="D650" s="27" t="s">
        <v>17</v>
      </c>
      <c r="E650" s="4" t="s">
        <v>180</v>
      </c>
      <c r="F650" s="4">
        <v>384164646.70999998</v>
      </c>
      <c r="G650" s="8" t="str">
        <f>+VLOOKUP(Tabla14[[#This Row],[FONDO]],MAESTRO!$D$2:$E$119,2,FALSE)</f>
        <v>PP Inversiones</v>
      </c>
      <c r="H650" s="8" t="str">
        <f>+VLOOKUP(Tabla14[[#This Row],[FONDO]],MAESTRO!D:F,3,FALSE)</f>
        <v>(T+0)</v>
      </c>
      <c r="I650" s="4" t="s">
        <v>9</v>
      </c>
      <c r="L6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0" s="4">
        <f>ROUND(IF(Tabla14[[#This Row],[OPERACIÓN]]=MAESTRO!$B$2,Tabla14[CAPITAL],IF(Tabla14[[#This Row],[OPERACIÓN]]=MAESTRO!$B$5,Tabla14[CAPITAL],-Tabla14[[#This Row],[CAPITAL]])),2)</f>
        <v>-384164646.70999998</v>
      </c>
    </row>
    <row r="651" spans="1:13" x14ac:dyDescent="0.3">
      <c r="A651" s="26">
        <v>46141</v>
      </c>
      <c r="B651" t="s">
        <v>298</v>
      </c>
      <c r="C651" t="s">
        <v>132</v>
      </c>
      <c r="D651" s="27" t="s">
        <v>17</v>
      </c>
      <c r="E651" s="4" t="s">
        <v>169</v>
      </c>
      <c r="F651" s="4">
        <v>56416042.859999999</v>
      </c>
      <c r="G651" s="8" t="str">
        <f>+VLOOKUP(Tabla14[[#This Row],[FONDO]],MAESTRO!$D$2:$E$119,2,FALSE)</f>
        <v>Max Capital</v>
      </c>
      <c r="H651" s="8" t="str">
        <f>+VLOOKUP(Tabla14[[#This Row],[FONDO]],MAESTRO!D:F,3,FALSE)</f>
        <v>(T+0)</v>
      </c>
      <c r="I651" s="4" t="s">
        <v>9</v>
      </c>
      <c r="L6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1" s="4">
        <f>ROUND(IF(Tabla14[[#This Row],[OPERACIÓN]]=MAESTRO!$B$2,Tabla14[CAPITAL],IF(Tabla14[[#This Row],[OPERACIÓN]]=MAESTRO!$B$5,Tabla14[CAPITAL],-Tabla14[[#This Row],[CAPITAL]])),2)</f>
        <v>-56416042.859999999</v>
      </c>
    </row>
    <row r="652" spans="1:13" x14ac:dyDescent="0.3">
      <c r="A652" s="26">
        <v>46141</v>
      </c>
      <c r="B652" t="s">
        <v>298</v>
      </c>
      <c r="C652" t="s">
        <v>132</v>
      </c>
      <c r="D652" s="27" t="s">
        <v>17</v>
      </c>
      <c r="E652" s="4" t="s">
        <v>169</v>
      </c>
      <c r="F652" s="4">
        <v>64167637.490000002</v>
      </c>
      <c r="G652" s="8" t="str">
        <f>+VLOOKUP(Tabla14[[#This Row],[FONDO]],MAESTRO!$D$2:$E$119,2,FALSE)</f>
        <v>Max Capital</v>
      </c>
      <c r="H652" s="8" t="str">
        <f>+VLOOKUP(Tabla14[[#This Row],[FONDO]],MAESTRO!D:F,3,FALSE)</f>
        <v>(T+0)</v>
      </c>
      <c r="I652" s="4" t="s">
        <v>9</v>
      </c>
      <c r="L6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2" s="4">
        <f>ROUND(IF(Tabla14[[#This Row],[OPERACIÓN]]=MAESTRO!$B$2,Tabla14[CAPITAL],IF(Tabla14[[#This Row],[OPERACIÓN]]=MAESTRO!$B$5,Tabla14[CAPITAL],-Tabla14[[#This Row],[CAPITAL]])),2)</f>
        <v>-64167637.490000002</v>
      </c>
    </row>
    <row r="653" spans="1:13" x14ac:dyDescent="0.3">
      <c r="A653" s="26">
        <v>46141</v>
      </c>
      <c r="B653" t="s">
        <v>298</v>
      </c>
      <c r="C653" t="s">
        <v>132</v>
      </c>
      <c r="D653" s="27" t="s">
        <v>17</v>
      </c>
      <c r="E653" s="4" t="s">
        <v>40</v>
      </c>
      <c r="F653" s="4">
        <v>1000000000</v>
      </c>
      <c r="G653" s="8" t="str">
        <f>+VLOOKUP(Tabla14[[#This Row],[FONDO]],MAESTRO!$D$2:$E$119,2,FALSE)</f>
        <v>BBVA Banco Frances SA</v>
      </c>
      <c r="H653" s="8" t="str">
        <f>+VLOOKUP(Tabla14[[#This Row],[FONDO]],MAESTRO!D:F,3,FALSE)</f>
        <v>(T+0)</v>
      </c>
      <c r="I653" s="4" t="s">
        <v>9</v>
      </c>
      <c r="L6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3" s="4">
        <f>ROUND(IF(Tabla14[[#This Row],[OPERACIÓN]]=MAESTRO!$B$2,Tabla14[CAPITAL],IF(Tabla14[[#This Row],[OPERACIÓN]]=MAESTRO!$B$5,Tabla14[CAPITAL],-Tabla14[[#This Row],[CAPITAL]])),2)</f>
        <v>-1000000000</v>
      </c>
    </row>
    <row r="654" spans="1:13" x14ac:dyDescent="0.3">
      <c r="A654" s="26">
        <v>46141</v>
      </c>
      <c r="B654" t="s">
        <v>298</v>
      </c>
      <c r="C654" t="s">
        <v>132</v>
      </c>
      <c r="D654" s="27" t="s">
        <v>16</v>
      </c>
      <c r="E654" s="4" t="s">
        <v>180</v>
      </c>
      <c r="F654" s="4">
        <v>300000000</v>
      </c>
      <c r="G654" s="8" t="str">
        <f>+VLOOKUP(Tabla14[[#This Row],[FONDO]],MAESTRO!$D$2:$E$119,2,FALSE)</f>
        <v>PP Inversiones</v>
      </c>
      <c r="H654" s="8" t="str">
        <f>+VLOOKUP(Tabla14[[#This Row],[FONDO]],MAESTRO!D:F,3,FALSE)</f>
        <v>(T+0)</v>
      </c>
      <c r="I654" s="4" t="s">
        <v>9</v>
      </c>
      <c r="L6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4" s="4">
        <f>ROUND(IF(Tabla14[[#This Row],[OPERACIÓN]]=MAESTRO!$B$2,Tabla14[CAPITAL],IF(Tabla14[[#This Row],[OPERACIÓN]]=MAESTRO!$B$5,Tabla14[CAPITAL],-Tabla14[[#This Row],[CAPITAL]])),2)</f>
        <v>300000000</v>
      </c>
    </row>
    <row r="655" spans="1:13" x14ac:dyDescent="0.3">
      <c r="A655" s="26">
        <v>46141</v>
      </c>
      <c r="B655" t="s">
        <v>298</v>
      </c>
      <c r="C655" t="s">
        <v>132</v>
      </c>
      <c r="D655" s="27" t="s">
        <v>16</v>
      </c>
      <c r="E655" s="4" t="s">
        <v>169</v>
      </c>
      <c r="F655" s="4">
        <v>500000000</v>
      </c>
      <c r="G655" s="8" t="str">
        <f>+VLOOKUP(Tabla14[[#This Row],[FONDO]],MAESTRO!$D$2:$E$119,2,FALSE)</f>
        <v>Max Capital</v>
      </c>
      <c r="H655" s="8" t="str">
        <f>+VLOOKUP(Tabla14[[#This Row],[FONDO]],MAESTRO!D:F,3,FALSE)</f>
        <v>(T+0)</v>
      </c>
      <c r="I655" s="4" t="s">
        <v>9</v>
      </c>
      <c r="L6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5" s="4">
        <f>ROUND(IF(Tabla14[[#This Row],[OPERACIÓN]]=MAESTRO!$B$2,Tabla14[CAPITAL],IF(Tabla14[[#This Row],[OPERACIÓN]]=MAESTRO!$B$5,Tabla14[CAPITAL],-Tabla14[[#This Row],[CAPITAL]])),2)</f>
        <v>500000000</v>
      </c>
    </row>
    <row r="656" spans="1:13" x14ac:dyDescent="0.3">
      <c r="A656" s="26">
        <v>46141</v>
      </c>
      <c r="B656" t="s">
        <v>298</v>
      </c>
      <c r="C656" t="s">
        <v>132</v>
      </c>
      <c r="D656" s="27" t="s">
        <v>16</v>
      </c>
      <c r="E656" s="4" t="s">
        <v>255</v>
      </c>
      <c r="F656" s="4">
        <v>200000000</v>
      </c>
      <c r="G656" s="8" t="str">
        <f>+VLOOKUP(Tabla14[[#This Row],[FONDO]],MAESTRO!$D$2:$E$119,2,FALSE)</f>
        <v>Inviu inversiones</v>
      </c>
      <c r="H656" s="8" t="str">
        <f>+VLOOKUP(Tabla14[[#This Row],[FONDO]],MAESTRO!D:F,3,FALSE)</f>
        <v>(T+0)</v>
      </c>
      <c r="I656" s="4" t="s">
        <v>9</v>
      </c>
      <c r="L6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6" s="4">
        <f>ROUND(IF(Tabla14[[#This Row],[OPERACIÓN]]=MAESTRO!$B$2,Tabla14[CAPITAL],IF(Tabla14[[#This Row],[OPERACIÓN]]=MAESTRO!$B$5,Tabla14[CAPITAL],-Tabla14[[#This Row],[CAPITAL]])),2)</f>
        <v>200000000</v>
      </c>
    </row>
    <row r="657" spans="1:13" x14ac:dyDescent="0.3">
      <c r="A657" s="26">
        <v>46141</v>
      </c>
      <c r="B657" t="s">
        <v>298</v>
      </c>
      <c r="C657" t="s">
        <v>132</v>
      </c>
      <c r="D657" s="27" t="s">
        <v>17</v>
      </c>
      <c r="E657" s="4" t="s">
        <v>255</v>
      </c>
      <c r="F657" s="4">
        <v>70450195.760000005</v>
      </c>
      <c r="G657" s="8" t="str">
        <f>+VLOOKUP(Tabla14[[#This Row],[FONDO]],MAESTRO!$D$2:$E$119,2,FALSE)</f>
        <v>Inviu inversiones</v>
      </c>
      <c r="H657" s="8" t="str">
        <f>+VLOOKUP(Tabla14[[#This Row],[FONDO]],MAESTRO!D:F,3,FALSE)</f>
        <v>(T+0)</v>
      </c>
      <c r="I657" s="4" t="s">
        <v>9</v>
      </c>
      <c r="L6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7" s="4">
        <f>ROUND(IF(Tabla14[[#This Row],[OPERACIÓN]]=MAESTRO!$B$2,Tabla14[CAPITAL],IF(Tabla14[[#This Row],[OPERACIÓN]]=MAESTRO!$B$5,Tabla14[CAPITAL],-Tabla14[[#This Row],[CAPITAL]])),2)</f>
        <v>-70450195.760000005</v>
      </c>
    </row>
    <row r="658" spans="1:13" x14ac:dyDescent="0.3">
      <c r="A658" s="26">
        <v>46141</v>
      </c>
      <c r="B658" t="s">
        <v>292</v>
      </c>
      <c r="C658" t="s">
        <v>132</v>
      </c>
      <c r="D658" s="27" t="s">
        <v>17</v>
      </c>
      <c r="E658" s="4" t="s">
        <v>40</v>
      </c>
      <c r="F658" s="4">
        <v>88300000</v>
      </c>
      <c r="G658" s="8" t="str">
        <f>+VLOOKUP(Tabla14[[#This Row],[FONDO]],MAESTRO!$D$2:$E$119,2,FALSE)</f>
        <v>BBVA Banco Frances SA</v>
      </c>
      <c r="H658" s="8" t="str">
        <f>+VLOOKUP(Tabla14[[#This Row],[FONDO]],MAESTRO!D:F,3,FALSE)</f>
        <v>(T+0)</v>
      </c>
      <c r="I658" s="4" t="s">
        <v>9</v>
      </c>
      <c r="L6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8" s="4">
        <f>ROUND(IF(Tabla14[[#This Row],[OPERACIÓN]]=MAESTRO!$B$2,Tabla14[CAPITAL],IF(Tabla14[[#This Row],[OPERACIÓN]]=MAESTRO!$B$5,Tabla14[CAPITAL],-Tabla14[[#This Row],[CAPITAL]])),2)</f>
        <v>-88300000</v>
      </c>
    </row>
    <row r="659" spans="1:13" x14ac:dyDescent="0.3">
      <c r="A659" s="26">
        <v>46141</v>
      </c>
      <c r="B659" t="s">
        <v>299</v>
      </c>
      <c r="C659" t="s">
        <v>132</v>
      </c>
      <c r="D659" s="27" t="s">
        <v>17</v>
      </c>
      <c r="E659" s="4" t="s">
        <v>40</v>
      </c>
      <c r="F659" s="4">
        <v>147500000</v>
      </c>
      <c r="G659" s="8" t="str">
        <f>+VLOOKUP(Tabla14[[#This Row],[FONDO]],MAESTRO!$D$2:$E$119,2,FALSE)</f>
        <v>BBVA Banco Frances SA</v>
      </c>
      <c r="H659" s="8" t="str">
        <f>+VLOOKUP(Tabla14[[#This Row],[FONDO]],MAESTRO!D:F,3,FALSE)</f>
        <v>(T+0)</v>
      </c>
      <c r="I659" s="4" t="s">
        <v>9</v>
      </c>
      <c r="L6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59" s="4">
        <f>ROUND(IF(Tabla14[[#This Row],[OPERACIÓN]]=MAESTRO!$B$2,Tabla14[CAPITAL],IF(Tabla14[[#This Row],[OPERACIÓN]]=MAESTRO!$B$5,Tabla14[CAPITAL],-Tabla14[[#This Row],[CAPITAL]])),2)</f>
        <v>-147500000</v>
      </c>
    </row>
    <row r="660" spans="1:13" x14ac:dyDescent="0.3">
      <c r="A660" s="26">
        <v>46141</v>
      </c>
      <c r="B660" t="s">
        <v>298</v>
      </c>
      <c r="C660" t="s">
        <v>132</v>
      </c>
      <c r="D660" s="27" t="s">
        <v>17</v>
      </c>
      <c r="E660" s="4" t="s">
        <v>40</v>
      </c>
      <c r="F660" s="4">
        <v>17000000</v>
      </c>
      <c r="G660" s="8" t="str">
        <f>+VLOOKUP(Tabla14[[#This Row],[FONDO]],MAESTRO!$D$2:$E$119,2,FALSE)</f>
        <v>BBVA Banco Frances SA</v>
      </c>
      <c r="H660" s="8" t="str">
        <f>+VLOOKUP(Tabla14[[#This Row],[FONDO]],MAESTRO!D:F,3,FALSE)</f>
        <v>(T+0)</v>
      </c>
      <c r="I660" s="4" t="s">
        <v>9</v>
      </c>
      <c r="L6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0" s="4">
        <f>ROUND(IF(Tabla14[[#This Row],[OPERACIÓN]]=MAESTRO!$B$2,Tabla14[CAPITAL],IF(Tabla14[[#This Row],[OPERACIÓN]]=MAESTRO!$B$5,Tabla14[CAPITAL],-Tabla14[[#This Row],[CAPITAL]])),2)</f>
        <v>-17000000</v>
      </c>
    </row>
    <row r="661" spans="1:13" x14ac:dyDescent="0.3">
      <c r="A661" s="26">
        <v>46141</v>
      </c>
      <c r="B661" t="s">
        <v>298</v>
      </c>
      <c r="C661" t="s">
        <v>132</v>
      </c>
      <c r="D661" s="27" t="s">
        <v>16</v>
      </c>
      <c r="E661" s="4" t="s">
        <v>136</v>
      </c>
      <c r="F661" s="4">
        <v>2878057449</v>
      </c>
      <c r="G661" s="75" t="str">
        <f>+VLOOKUP(Tabla14[[#This Row],[FONDO]],MAESTRO!$D$2:$E$119,2,FALSE)</f>
        <v>Gma Capital</v>
      </c>
      <c r="H661" s="8" t="str">
        <f>+VLOOKUP(Tabla14[[#This Row],[FONDO]],MAESTRO!D:F,3,FALSE)</f>
        <v>(T+0)</v>
      </c>
      <c r="I661" s="4" t="s">
        <v>9</v>
      </c>
      <c r="L6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1" s="4">
        <f>ROUND(IF(Tabla14[[#This Row],[OPERACIÓN]]=MAESTRO!$B$2,Tabla14[CAPITAL],IF(Tabla14[[#This Row],[OPERACIÓN]]=MAESTRO!$B$5,Tabla14[CAPITAL],-Tabla14[[#This Row],[CAPITAL]])),2)</f>
        <v>2878057449</v>
      </c>
    </row>
    <row r="662" spans="1:13" x14ac:dyDescent="0.3">
      <c r="A662" s="37">
        <v>46141</v>
      </c>
      <c r="B662" s="20" t="s">
        <v>298</v>
      </c>
      <c r="C662" s="20" t="s">
        <v>132</v>
      </c>
      <c r="D662" s="38" t="s">
        <v>16</v>
      </c>
      <c r="E662" s="39" t="s">
        <v>136</v>
      </c>
      <c r="F662" s="52">
        <v>1759583.48</v>
      </c>
      <c r="G662" s="76" t="str">
        <f>+VLOOKUP(Tabla14[[#This Row],[FONDO]],MAESTRO!$D$2:$E$119,2,FALSE)</f>
        <v>Gma Capital</v>
      </c>
      <c r="H662" s="40" t="str">
        <f>+VLOOKUP(Tabla14[[#This Row],[FONDO]],MAESTRO!D:F,3,FALSE)</f>
        <v>(T+0)</v>
      </c>
      <c r="I662" s="39" t="s">
        <v>9</v>
      </c>
      <c r="J662" s="49"/>
      <c r="K662" s="20"/>
      <c r="L66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2" s="39">
        <f>ROUND(IF(Tabla14[[#This Row],[OPERACIÓN]]=MAESTRO!$B$2,Tabla14[CAPITAL],IF(Tabla14[[#This Row],[OPERACIÓN]]=MAESTRO!$B$5,Tabla14[CAPITAL],-Tabla14[[#This Row],[CAPITAL]])),2)</f>
        <v>1759583.48</v>
      </c>
    </row>
    <row r="663" spans="1:13" x14ac:dyDescent="0.3">
      <c r="A663" s="26">
        <v>46141</v>
      </c>
      <c r="B663" t="s">
        <v>299</v>
      </c>
      <c r="C663" t="s">
        <v>132</v>
      </c>
      <c r="D663" s="27" t="s">
        <v>16</v>
      </c>
      <c r="E663" s="4" t="s">
        <v>136</v>
      </c>
      <c r="F663" s="4">
        <v>4014366.1</v>
      </c>
      <c r="G663" s="75" t="str">
        <f>+VLOOKUP(Tabla14[[#This Row],[FONDO]],MAESTRO!$D$2:$E$119,2,FALSE)</f>
        <v>Gma Capital</v>
      </c>
      <c r="H663" s="8" t="str">
        <f>+VLOOKUP(Tabla14[[#This Row],[FONDO]],MAESTRO!D:F,3,FALSE)</f>
        <v>(T+0)</v>
      </c>
      <c r="I663" s="4" t="s">
        <v>9</v>
      </c>
      <c r="L6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3" s="4">
        <f>ROUND(IF(Tabla14[[#This Row],[OPERACIÓN]]=MAESTRO!$B$2,Tabla14[CAPITAL],IF(Tabla14[[#This Row],[OPERACIÓN]]=MAESTRO!$B$5,Tabla14[CAPITAL],-Tabla14[[#This Row],[CAPITAL]])),2)</f>
        <v>4014366.1</v>
      </c>
    </row>
    <row r="664" spans="1:13" x14ac:dyDescent="0.3">
      <c r="A664" s="37">
        <v>46141</v>
      </c>
      <c r="B664" s="20" t="s">
        <v>292</v>
      </c>
      <c r="C664" s="20" t="s">
        <v>132</v>
      </c>
      <c r="D664" s="38" t="s">
        <v>16</v>
      </c>
      <c r="E664" s="39" t="s">
        <v>136</v>
      </c>
      <c r="F664" s="39">
        <v>6302986.2000000002</v>
      </c>
      <c r="G664" s="76" t="str">
        <f>+VLOOKUP(Tabla14[[#This Row],[FONDO]],MAESTRO!$D$2:$E$119,2,FALSE)</f>
        <v>Gma Capital</v>
      </c>
      <c r="H664" s="40" t="str">
        <f>+VLOOKUP(Tabla14[[#This Row],[FONDO]],MAESTRO!D:F,3,FALSE)</f>
        <v>(T+0)</v>
      </c>
      <c r="I664" s="39" t="s">
        <v>9</v>
      </c>
      <c r="J664" s="49"/>
      <c r="K664" s="20"/>
      <c r="L66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4" s="39">
        <f>ROUND(IF(Tabla14[[#This Row],[OPERACIÓN]]=MAESTRO!$B$2,Tabla14[CAPITAL],IF(Tabla14[[#This Row],[OPERACIÓN]]=MAESTRO!$B$5,Tabla14[CAPITAL],-Tabla14[[#This Row],[CAPITAL]])),2)</f>
        <v>6302986.2000000002</v>
      </c>
    </row>
    <row r="665" spans="1:13" x14ac:dyDescent="0.3">
      <c r="A665" s="37">
        <v>46142</v>
      </c>
      <c r="B665" s="20" t="s">
        <v>298</v>
      </c>
      <c r="C665" s="20" t="s">
        <v>132</v>
      </c>
      <c r="D665" s="38" t="s">
        <v>16</v>
      </c>
      <c r="E665" s="39" t="s">
        <v>169</v>
      </c>
      <c r="F665" s="39">
        <v>1779590.31</v>
      </c>
      <c r="G665" s="76" t="str">
        <f>+VLOOKUP(Tabla14[[#This Row],[FONDO]],MAESTRO!$D$2:$E$119,2,FALSE)</f>
        <v>Max Capital</v>
      </c>
      <c r="H665" s="40" t="str">
        <f>+VLOOKUP(Tabla14[[#This Row],[FONDO]],MAESTRO!D:F,3,FALSE)</f>
        <v>(T+0)</v>
      </c>
      <c r="I665" s="39" t="s">
        <v>9</v>
      </c>
      <c r="J665" s="49"/>
      <c r="K665" s="20"/>
      <c r="L66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5" s="39">
        <f>ROUND(IF(Tabla14[[#This Row],[OPERACIÓN]]=MAESTRO!$B$2,Tabla14[CAPITAL],IF(Tabla14[[#This Row],[OPERACIÓN]]=MAESTRO!$B$5,Tabla14[CAPITAL],-Tabla14[[#This Row],[CAPITAL]])),2)</f>
        <v>1779590.31</v>
      </c>
    </row>
    <row r="666" spans="1:13" x14ac:dyDescent="0.3">
      <c r="A666" s="37">
        <v>46142</v>
      </c>
      <c r="B666" s="20" t="s">
        <v>299</v>
      </c>
      <c r="C666" s="20" t="s">
        <v>132</v>
      </c>
      <c r="D666" s="38" t="s">
        <v>16</v>
      </c>
      <c r="E666" s="39" t="s">
        <v>169</v>
      </c>
      <c r="F666" s="39">
        <v>361085.42</v>
      </c>
      <c r="G666" s="76" t="str">
        <f>+VLOOKUP(Tabla14[[#This Row],[FONDO]],MAESTRO!$D$2:$E$119,2,FALSE)</f>
        <v>Max Capital</v>
      </c>
      <c r="H666" s="40" t="str">
        <f>+VLOOKUP(Tabla14[[#This Row],[FONDO]],MAESTRO!D:F,3,FALSE)</f>
        <v>(T+0)</v>
      </c>
      <c r="I666" s="39" t="s">
        <v>9</v>
      </c>
      <c r="J666" s="49"/>
      <c r="K666" s="20"/>
      <c r="L66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6" s="39">
        <f>ROUND(IF(Tabla14[[#This Row],[OPERACIÓN]]=MAESTRO!$B$2,Tabla14[CAPITAL],IF(Tabla14[[#This Row],[OPERACIÓN]]=MAESTRO!$B$5,Tabla14[CAPITAL],-Tabla14[[#This Row],[CAPITAL]])),2)</f>
        <v>361085.42</v>
      </c>
    </row>
    <row r="667" spans="1:13" x14ac:dyDescent="0.3">
      <c r="A667" s="37">
        <v>46142</v>
      </c>
      <c r="B667" s="20" t="s">
        <v>126</v>
      </c>
      <c r="C667" s="20" t="s">
        <v>132</v>
      </c>
      <c r="D667" s="38" t="s">
        <v>16</v>
      </c>
      <c r="E667" s="39" t="s">
        <v>48</v>
      </c>
      <c r="F667" s="39">
        <v>6110880</v>
      </c>
      <c r="G667" s="76" t="str">
        <f>+VLOOKUP(Tabla14[[#This Row],[FONDO]],MAESTRO!$D$2:$E$119,2,FALSE)</f>
        <v>Banco Macro S.A.</v>
      </c>
      <c r="H667" s="40" t="str">
        <f>+VLOOKUP(Tabla14[[#This Row],[FONDO]],MAESTRO!D:F,3,FALSE)</f>
        <v>(T+0)</v>
      </c>
      <c r="I667" s="39" t="s">
        <v>9</v>
      </c>
      <c r="J667" s="49"/>
      <c r="K667" s="20"/>
      <c r="L66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7" s="39">
        <f>ROUND(IF(Tabla14[[#This Row],[OPERACIÓN]]=MAESTRO!$B$2,Tabla14[CAPITAL],IF(Tabla14[[#This Row],[OPERACIÓN]]=MAESTRO!$B$5,Tabla14[CAPITAL],-Tabla14[[#This Row],[CAPITAL]])),2)</f>
        <v>6110880</v>
      </c>
    </row>
    <row r="668" spans="1:13" x14ac:dyDescent="0.3">
      <c r="A668" s="37">
        <v>46142</v>
      </c>
      <c r="B668" s="20" t="s">
        <v>299</v>
      </c>
      <c r="C668" s="20" t="s">
        <v>132</v>
      </c>
      <c r="D668" s="38" t="s">
        <v>16</v>
      </c>
      <c r="E668" s="39" t="s">
        <v>48</v>
      </c>
      <c r="F668" s="39">
        <v>7136320</v>
      </c>
      <c r="G668" s="76" t="str">
        <f>+VLOOKUP(Tabla14[[#This Row],[FONDO]],MAESTRO!$D$2:$E$119,2,FALSE)</f>
        <v>Banco Macro S.A.</v>
      </c>
      <c r="H668" s="40" t="str">
        <f>+VLOOKUP(Tabla14[[#This Row],[FONDO]],MAESTRO!D:F,3,FALSE)</f>
        <v>(T+0)</v>
      </c>
      <c r="I668" s="39" t="s">
        <v>9</v>
      </c>
      <c r="J668" s="49"/>
      <c r="K668" s="20"/>
      <c r="L66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8" s="39">
        <f>ROUND(IF(Tabla14[[#This Row],[OPERACIÓN]]=MAESTRO!$B$2,Tabla14[CAPITAL],IF(Tabla14[[#This Row],[OPERACIÓN]]=MAESTRO!$B$5,Tabla14[CAPITAL],-Tabla14[[#This Row],[CAPITAL]])),2)</f>
        <v>7136320</v>
      </c>
    </row>
    <row r="669" spans="1:13" x14ac:dyDescent="0.3">
      <c r="A669" s="37">
        <v>46142</v>
      </c>
      <c r="B669" s="20" t="s">
        <v>298</v>
      </c>
      <c r="C669" s="20" t="s">
        <v>132</v>
      </c>
      <c r="D669" s="38" t="s">
        <v>16</v>
      </c>
      <c r="E669" s="39" t="s">
        <v>48</v>
      </c>
      <c r="F669" s="39">
        <v>747872</v>
      </c>
      <c r="G669" s="76" t="str">
        <f>+VLOOKUP(Tabla14[[#This Row],[FONDO]],MAESTRO!$D$2:$E$119,2,FALSE)</f>
        <v>Banco Macro S.A.</v>
      </c>
      <c r="H669" s="40" t="str">
        <f>+VLOOKUP(Tabla14[[#This Row],[FONDO]],MAESTRO!D:F,3,FALSE)</f>
        <v>(T+0)</v>
      </c>
      <c r="I669" s="39" t="s">
        <v>9</v>
      </c>
      <c r="J669" s="49"/>
      <c r="K669" s="20"/>
      <c r="L66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69" s="39">
        <f>ROUND(IF(Tabla14[[#This Row],[OPERACIÓN]]=MAESTRO!$B$2,Tabla14[CAPITAL],IF(Tabla14[[#This Row],[OPERACIÓN]]=MAESTRO!$B$5,Tabla14[CAPITAL],-Tabla14[[#This Row],[CAPITAL]])),2)</f>
        <v>747872</v>
      </c>
    </row>
    <row r="670" spans="1:13" x14ac:dyDescent="0.3">
      <c r="A670" s="37">
        <v>46142</v>
      </c>
      <c r="B670" s="20" t="s">
        <v>292</v>
      </c>
      <c r="C670" s="20" t="s">
        <v>132</v>
      </c>
      <c r="D670" s="38" t="s">
        <v>16</v>
      </c>
      <c r="E670" s="39" t="s">
        <v>48</v>
      </c>
      <c r="F670" s="39">
        <v>3388096</v>
      </c>
      <c r="G670" s="76" t="str">
        <f>+VLOOKUP(Tabla14[[#This Row],[FONDO]],MAESTRO!$D$2:$E$119,2,FALSE)</f>
        <v>Banco Macro S.A.</v>
      </c>
      <c r="H670" s="40" t="str">
        <f>+VLOOKUP(Tabla14[[#This Row],[FONDO]],MAESTRO!D:F,3,FALSE)</f>
        <v>(T+0)</v>
      </c>
      <c r="I670" s="39" t="s">
        <v>9</v>
      </c>
      <c r="J670" s="49"/>
      <c r="K670" s="20"/>
      <c r="L67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0" s="39">
        <f>ROUND(IF(Tabla14[[#This Row],[OPERACIÓN]]=MAESTRO!$B$2,Tabla14[CAPITAL],IF(Tabla14[[#This Row],[OPERACIÓN]]=MAESTRO!$B$5,Tabla14[CAPITAL],-Tabla14[[#This Row],[CAPITAL]])),2)</f>
        <v>3388096</v>
      </c>
    </row>
    <row r="671" spans="1:13" x14ac:dyDescent="0.3">
      <c r="A671" s="37">
        <v>46142</v>
      </c>
      <c r="B671" s="20" t="s">
        <v>298</v>
      </c>
      <c r="C671" s="20" t="s">
        <v>132</v>
      </c>
      <c r="D671" s="38" t="s">
        <v>16</v>
      </c>
      <c r="E671" s="39" t="s">
        <v>43</v>
      </c>
      <c r="F671" s="39">
        <v>32182445.460000001</v>
      </c>
      <c r="G671" s="76" t="str">
        <f>+VLOOKUP(Tabla14[[#This Row],[FONDO]],MAESTRO!$D$2:$E$119,2,FALSE)</f>
        <v>Banco Santander Rio S.A.</v>
      </c>
      <c r="H671" s="40" t="str">
        <f>+VLOOKUP(Tabla14[[#This Row],[FONDO]],MAESTRO!D:F,3,FALSE)</f>
        <v>(T+0)</v>
      </c>
      <c r="I671" s="39" t="s">
        <v>9</v>
      </c>
      <c r="J671" s="49"/>
      <c r="K671" s="20"/>
      <c r="L67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1" s="39">
        <f>ROUND(IF(Tabla14[[#This Row],[OPERACIÓN]]=MAESTRO!$B$2,Tabla14[CAPITAL],IF(Tabla14[[#This Row],[OPERACIÓN]]=MAESTRO!$B$5,Tabla14[CAPITAL],-Tabla14[[#This Row],[CAPITAL]])),2)</f>
        <v>32182445.460000001</v>
      </c>
    </row>
    <row r="672" spans="1:13" x14ac:dyDescent="0.3">
      <c r="A672" s="37">
        <v>46142</v>
      </c>
      <c r="B672" s="20" t="s">
        <v>298</v>
      </c>
      <c r="C672" s="20" t="s">
        <v>132</v>
      </c>
      <c r="D672" s="38" t="s">
        <v>16</v>
      </c>
      <c r="E672" s="39" t="s">
        <v>39</v>
      </c>
      <c r="F672" s="39">
        <v>5386663.9000000004</v>
      </c>
      <c r="G672" s="76" t="str">
        <f>+VLOOKUP(Tabla14[[#This Row],[FONDO]],MAESTRO!$D$2:$E$119,2,FALSE)</f>
        <v>Banco Supervielle, S.A.</v>
      </c>
      <c r="H672" s="40" t="str">
        <f>+VLOOKUP(Tabla14[[#This Row],[FONDO]],MAESTRO!D:F,3,FALSE)</f>
        <v>(T+0)</v>
      </c>
      <c r="I672" s="39" t="s">
        <v>9</v>
      </c>
      <c r="J672" s="49"/>
      <c r="K672" s="20"/>
      <c r="L67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2" s="39">
        <f>ROUND(IF(Tabla14[[#This Row],[OPERACIÓN]]=MAESTRO!$B$2,Tabla14[CAPITAL],IF(Tabla14[[#This Row],[OPERACIÓN]]=MAESTRO!$B$5,Tabla14[CAPITAL],-Tabla14[[#This Row],[CAPITAL]])),2)</f>
        <v>5386663.9000000004</v>
      </c>
    </row>
    <row r="673" spans="1:13" x14ac:dyDescent="0.3">
      <c r="A673" s="37">
        <v>46142</v>
      </c>
      <c r="B673" s="20" t="s">
        <v>299</v>
      </c>
      <c r="C673" s="20" t="s">
        <v>132</v>
      </c>
      <c r="D673" s="38" t="s">
        <v>16</v>
      </c>
      <c r="E673" s="39" t="s">
        <v>40</v>
      </c>
      <c r="F673" s="39">
        <v>1418824.69</v>
      </c>
      <c r="G673" s="76" t="str">
        <f>+VLOOKUP(Tabla14[[#This Row],[FONDO]],MAESTRO!$D$2:$E$119,2,FALSE)</f>
        <v>BBVA Banco Frances SA</v>
      </c>
      <c r="H673" s="40" t="str">
        <f>+VLOOKUP(Tabla14[[#This Row],[FONDO]],MAESTRO!D:F,3,FALSE)</f>
        <v>(T+0)</v>
      </c>
      <c r="I673" s="39" t="s">
        <v>9</v>
      </c>
      <c r="J673" s="49"/>
      <c r="K673" s="20"/>
      <c r="L67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3" s="39">
        <f>ROUND(IF(Tabla14[[#This Row],[OPERACIÓN]]=MAESTRO!$B$2,Tabla14[CAPITAL],IF(Tabla14[[#This Row],[OPERACIÓN]]=MAESTRO!$B$5,Tabla14[CAPITAL],-Tabla14[[#This Row],[CAPITAL]])),2)</f>
        <v>1418824.69</v>
      </c>
    </row>
    <row r="674" spans="1:13" x14ac:dyDescent="0.3">
      <c r="A674" s="37">
        <v>46142</v>
      </c>
      <c r="B674" s="20" t="s">
        <v>298</v>
      </c>
      <c r="C674" s="20" t="s">
        <v>132</v>
      </c>
      <c r="D674" s="38" t="s">
        <v>16</v>
      </c>
      <c r="E674" s="39" t="s">
        <v>40</v>
      </c>
      <c r="F674" s="39">
        <v>54286848.979999997</v>
      </c>
      <c r="G674" s="76" t="str">
        <f>+VLOOKUP(Tabla14[[#This Row],[FONDO]],MAESTRO!$D$2:$E$119,2,FALSE)</f>
        <v>BBVA Banco Frances SA</v>
      </c>
      <c r="H674" s="40" t="str">
        <f>+VLOOKUP(Tabla14[[#This Row],[FONDO]],MAESTRO!D:F,3,FALSE)</f>
        <v>(T+0)</v>
      </c>
      <c r="I674" s="39" t="s">
        <v>9</v>
      </c>
      <c r="J674" s="49"/>
      <c r="K674" s="20"/>
      <c r="L67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4" s="39">
        <f>ROUND(IF(Tabla14[[#This Row],[OPERACIÓN]]=MAESTRO!$B$2,Tabla14[CAPITAL],IF(Tabla14[[#This Row],[OPERACIÓN]]=MAESTRO!$B$5,Tabla14[CAPITAL],-Tabla14[[#This Row],[CAPITAL]])),2)</f>
        <v>54286848.979999997</v>
      </c>
    </row>
    <row r="675" spans="1:13" ht="14.1" customHeight="1" x14ac:dyDescent="0.3">
      <c r="A675" s="37">
        <v>46142</v>
      </c>
      <c r="B675" s="20" t="s">
        <v>292</v>
      </c>
      <c r="C675" s="20" t="s">
        <v>132</v>
      </c>
      <c r="D675" s="38" t="s">
        <v>16</v>
      </c>
      <c r="E675" s="39" t="s">
        <v>40</v>
      </c>
      <c r="F675" s="39">
        <v>12958862.060000001</v>
      </c>
      <c r="G675" s="76" t="str">
        <f>+VLOOKUP(Tabla14[[#This Row],[FONDO]],MAESTRO!$D$2:$E$119,2,FALSE)</f>
        <v>BBVA Banco Frances SA</v>
      </c>
      <c r="H675" s="40" t="str">
        <f>+VLOOKUP(Tabla14[[#This Row],[FONDO]],MAESTRO!D:F,3,FALSE)</f>
        <v>(T+0)</v>
      </c>
      <c r="I675" s="39" t="s">
        <v>9</v>
      </c>
      <c r="J675" s="49"/>
      <c r="K675" s="20"/>
      <c r="L67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5" s="39">
        <f>ROUND(IF(Tabla14[[#This Row],[OPERACIÓN]]=MAESTRO!$B$2,Tabla14[CAPITAL],IF(Tabla14[[#This Row],[OPERACIÓN]]=MAESTRO!$B$5,Tabla14[CAPITAL],-Tabla14[[#This Row],[CAPITAL]])),2)</f>
        <v>12958862.060000001</v>
      </c>
    </row>
    <row r="676" spans="1:13" x14ac:dyDescent="0.3">
      <c r="A676" s="37">
        <v>46142</v>
      </c>
      <c r="B676" s="20" t="s">
        <v>299</v>
      </c>
      <c r="C676" s="20" t="s">
        <v>132</v>
      </c>
      <c r="D676" s="38" t="s">
        <v>16</v>
      </c>
      <c r="E676" s="39" t="s">
        <v>204</v>
      </c>
      <c r="F676" s="39">
        <v>223636.08</v>
      </c>
      <c r="G676" s="76" t="str">
        <f>+VLOOKUP(Tabla14[[#This Row],[FONDO]],MAESTRO!$D$2:$E$119,2,FALSE)</f>
        <v>Latin Securities</v>
      </c>
      <c r="H676" s="40" t="str">
        <f>+VLOOKUP(Tabla14[[#This Row],[FONDO]],MAESTRO!D:F,3,FALSE)</f>
        <v>(T+0)</v>
      </c>
      <c r="I676" s="39" t="s">
        <v>9</v>
      </c>
      <c r="J676" s="49"/>
      <c r="K676" s="20"/>
      <c r="L67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6" s="39">
        <f>ROUND(IF(Tabla14[[#This Row],[OPERACIÓN]]=MAESTRO!$B$2,Tabla14[CAPITAL],IF(Tabla14[[#This Row],[OPERACIÓN]]=MAESTRO!$B$5,Tabla14[CAPITAL],-Tabla14[[#This Row],[CAPITAL]])),2)</f>
        <v>223636.08</v>
      </c>
    </row>
    <row r="677" spans="1:13" x14ac:dyDescent="0.3">
      <c r="A677" s="37">
        <v>46142</v>
      </c>
      <c r="B677" s="20" t="s">
        <v>298</v>
      </c>
      <c r="C677" s="20" t="s">
        <v>132</v>
      </c>
      <c r="D677" s="38" t="s">
        <v>16</v>
      </c>
      <c r="E677" s="39" t="s">
        <v>255</v>
      </c>
      <c r="F677" s="39">
        <v>37911663.130000003</v>
      </c>
      <c r="G677" s="76" t="str">
        <f>+VLOOKUP(Tabla14[[#This Row],[FONDO]],MAESTRO!$D$2:$E$119,2,FALSE)</f>
        <v>Inviu inversiones</v>
      </c>
      <c r="H677" s="40" t="str">
        <f>+VLOOKUP(Tabla14[[#This Row],[FONDO]],MAESTRO!D:F,3,FALSE)</f>
        <v>(T+0)</v>
      </c>
      <c r="I677" s="39" t="s">
        <v>9</v>
      </c>
      <c r="J677" s="49"/>
      <c r="K677" s="20"/>
      <c r="L67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7" s="39">
        <f>ROUND(IF(Tabla14[[#This Row],[OPERACIÓN]]=MAESTRO!$B$2,Tabla14[CAPITAL],IF(Tabla14[[#This Row],[OPERACIÓN]]=MAESTRO!$B$5,Tabla14[CAPITAL],-Tabla14[[#This Row],[CAPITAL]])),2)</f>
        <v>37911663.130000003</v>
      </c>
    </row>
    <row r="678" spans="1:13" x14ac:dyDescent="0.3">
      <c r="A678" s="37">
        <v>46142</v>
      </c>
      <c r="B678" s="20" t="s">
        <v>298</v>
      </c>
      <c r="C678" s="20" t="s">
        <v>132</v>
      </c>
      <c r="D678" s="38" t="s">
        <v>16</v>
      </c>
      <c r="E678" s="39" t="s">
        <v>204</v>
      </c>
      <c r="F678" s="39">
        <v>1116905.94</v>
      </c>
      <c r="G678" s="76" t="str">
        <f>+VLOOKUP(Tabla14[[#This Row],[FONDO]],MAESTRO!$D$2:$E$119,2,FALSE)</f>
        <v>Latin Securities</v>
      </c>
      <c r="H678" s="40" t="str">
        <f>+VLOOKUP(Tabla14[[#This Row],[FONDO]],MAESTRO!D:F,3,FALSE)</f>
        <v>(T+0)</v>
      </c>
      <c r="I678" s="39" t="s">
        <v>9</v>
      </c>
      <c r="J678" s="49"/>
      <c r="K678" s="20"/>
      <c r="L67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8" s="39">
        <f>ROUND(IF(Tabla14[[#This Row],[OPERACIÓN]]=MAESTRO!$B$2,Tabla14[CAPITAL],IF(Tabla14[[#This Row],[OPERACIÓN]]=MAESTRO!$B$5,Tabla14[CAPITAL],-Tabla14[[#This Row],[CAPITAL]])),2)</f>
        <v>1116905.94</v>
      </c>
    </row>
    <row r="679" spans="1:13" x14ac:dyDescent="0.3">
      <c r="A679" s="37">
        <v>46142</v>
      </c>
      <c r="B679" s="20" t="s">
        <v>298</v>
      </c>
      <c r="C679" s="20" t="s">
        <v>132</v>
      </c>
      <c r="D679" s="38" t="s">
        <v>16</v>
      </c>
      <c r="E679" s="39" t="s">
        <v>174</v>
      </c>
      <c r="F679" s="39">
        <v>1375791.61</v>
      </c>
      <c r="G679" s="76" t="str">
        <f>+VLOOKUP(Tabla14[[#This Row],[FONDO]],MAESTRO!$D$2:$E$119,2,FALSE)</f>
        <v>Zofingen</v>
      </c>
      <c r="H679" s="40" t="str">
        <f>+VLOOKUP(Tabla14[[#This Row],[FONDO]],MAESTRO!D:F,3,FALSE)</f>
        <v>(T+0)</v>
      </c>
      <c r="I679" s="39" t="s">
        <v>9</v>
      </c>
      <c r="J679" s="49"/>
      <c r="K679" s="20"/>
      <c r="L67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79" s="39">
        <f>ROUND(IF(Tabla14[[#This Row],[OPERACIÓN]]=MAESTRO!$B$2,Tabla14[CAPITAL],IF(Tabla14[[#This Row],[OPERACIÓN]]=MAESTRO!$B$5,Tabla14[CAPITAL],-Tabla14[[#This Row],[CAPITAL]])),2)</f>
        <v>1375791.61</v>
      </c>
    </row>
    <row r="680" spans="1:13" x14ac:dyDescent="0.3">
      <c r="A680" s="37">
        <v>46142</v>
      </c>
      <c r="B680" s="20" t="s">
        <v>298</v>
      </c>
      <c r="C680" s="20" t="s">
        <v>132</v>
      </c>
      <c r="D680" s="38" t="s">
        <v>16</v>
      </c>
      <c r="E680" s="39" t="s">
        <v>180</v>
      </c>
      <c r="F680" s="39">
        <v>36871554.229999997</v>
      </c>
      <c r="G680" s="76" t="str">
        <f>+VLOOKUP(Tabla14[[#This Row],[FONDO]],MAESTRO!$D$2:$E$119,2,FALSE)</f>
        <v>PP Inversiones</v>
      </c>
      <c r="H680" s="40" t="str">
        <f>+VLOOKUP(Tabla14[[#This Row],[FONDO]],MAESTRO!D:F,3,FALSE)</f>
        <v>(T+0)</v>
      </c>
      <c r="I680" s="39" t="s">
        <v>9</v>
      </c>
      <c r="J680" s="49"/>
      <c r="K680" s="20"/>
      <c r="L68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0" s="39">
        <f>ROUND(IF(Tabla14[[#This Row],[OPERACIÓN]]=MAESTRO!$B$2,Tabla14[CAPITAL],IF(Tabla14[[#This Row],[OPERACIÓN]]=MAESTRO!$B$5,Tabla14[CAPITAL],-Tabla14[[#This Row],[CAPITAL]])),2)</f>
        <v>36871554.229999997</v>
      </c>
    </row>
    <row r="681" spans="1:13" x14ac:dyDescent="0.3">
      <c r="A681" s="37">
        <v>46142</v>
      </c>
      <c r="B681" s="20" t="s">
        <v>298</v>
      </c>
      <c r="C681" s="20" t="s">
        <v>132</v>
      </c>
      <c r="D681" s="38" t="s">
        <v>16</v>
      </c>
      <c r="E681" s="39" t="s">
        <v>206</v>
      </c>
      <c r="F681" s="39">
        <v>5872813.8899999997</v>
      </c>
      <c r="G681" s="76" t="str">
        <f>+VLOOKUP(Tabla14[[#This Row],[FONDO]],MAESTRO!$D$2:$E$119,2,FALSE)</f>
        <v>Parakeet</v>
      </c>
      <c r="H681" s="40" t="str">
        <f>+VLOOKUP(Tabla14[[#This Row],[FONDO]],MAESTRO!D:F,3,FALSE)</f>
        <v>(T+0)</v>
      </c>
      <c r="I681" s="39" t="s">
        <v>9</v>
      </c>
      <c r="J681" s="49"/>
      <c r="K681" s="20"/>
      <c r="L68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1" s="39">
        <f>ROUND(IF(Tabla14[[#This Row],[OPERACIÓN]]=MAESTRO!$B$2,Tabla14[CAPITAL],IF(Tabla14[[#This Row],[OPERACIÓN]]=MAESTRO!$B$5,Tabla14[CAPITAL],-Tabla14[[#This Row],[CAPITAL]])),2)</f>
        <v>5872813.8899999997</v>
      </c>
    </row>
    <row r="682" spans="1:13" x14ac:dyDescent="0.3">
      <c r="A682" s="37">
        <v>46142</v>
      </c>
      <c r="B682" s="20" t="s">
        <v>298</v>
      </c>
      <c r="C682" s="20" t="s">
        <v>132</v>
      </c>
      <c r="D682" s="38" t="s">
        <v>16</v>
      </c>
      <c r="E682" s="39" t="s">
        <v>208</v>
      </c>
      <c r="F682" s="39">
        <v>17539994</v>
      </c>
      <c r="G682" s="76" t="str">
        <f>+VLOOKUP(Tabla14[[#This Row],[FONDO]],MAESTRO!$D$2:$E$119,2,FALSE)</f>
        <v>Facimex</v>
      </c>
      <c r="H682" s="40" t="str">
        <f>+VLOOKUP(Tabla14[[#This Row],[FONDO]],MAESTRO!D:F,3,FALSE)</f>
        <v>(T+0)</v>
      </c>
      <c r="I682" s="39" t="s">
        <v>9</v>
      </c>
      <c r="J682" s="49"/>
      <c r="K682" s="20"/>
      <c r="L68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2" s="39">
        <f>ROUND(IF(Tabla14[[#This Row],[OPERACIÓN]]=MAESTRO!$B$2,Tabla14[CAPITAL],IF(Tabla14[[#This Row],[OPERACIÓN]]=MAESTRO!$B$5,Tabla14[CAPITAL],-Tabla14[[#This Row],[CAPITAL]])),2)</f>
        <v>17539994</v>
      </c>
    </row>
    <row r="683" spans="1:13" x14ac:dyDescent="0.3">
      <c r="A683" s="37">
        <v>46142</v>
      </c>
      <c r="B683" s="20" t="s">
        <v>298</v>
      </c>
      <c r="C683" s="20" t="s">
        <v>132</v>
      </c>
      <c r="D683" s="38" t="s">
        <v>16</v>
      </c>
      <c r="E683" s="39" t="s">
        <v>258</v>
      </c>
      <c r="F683" s="39">
        <v>6027531.7999999998</v>
      </c>
      <c r="G683" s="76" t="str">
        <f>+VLOOKUP(Tabla14[[#This Row],[FONDO]],MAESTRO!$D$2:$E$119,2,FALSE)</f>
        <v>Allaria Ledesma y Cía. Inversiones</v>
      </c>
      <c r="H683" s="40" t="str">
        <f>+VLOOKUP(Tabla14[[#This Row],[FONDO]],MAESTRO!D:F,3,FALSE)</f>
        <v>(T+0)</v>
      </c>
      <c r="I683" s="39" t="s">
        <v>9</v>
      </c>
      <c r="J683" s="49"/>
      <c r="K683" s="20"/>
      <c r="L68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3" s="39">
        <f>ROUND(IF(Tabla14[[#This Row],[OPERACIÓN]]=MAESTRO!$B$2,Tabla14[CAPITAL],IF(Tabla14[[#This Row],[OPERACIÓN]]=MAESTRO!$B$5,Tabla14[CAPITAL],-Tabla14[[#This Row],[CAPITAL]])),2)</f>
        <v>6027531.7999999998</v>
      </c>
    </row>
    <row r="684" spans="1:13" x14ac:dyDescent="0.3">
      <c r="A684" s="37">
        <v>46142</v>
      </c>
      <c r="B684" s="20" t="s">
        <v>299</v>
      </c>
      <c r="C684" s="20" t="s">
        <v>132</v>
      </c>
      <c r="D684" s="38" t="s">
        <v>16</v>
      </c>
      <c r="E684" s="39" t="s">
        <v>255</v>
      </c>
      <c r="F684" s="39">
        <v>1847380.77</v>
      </c>
      <c r="G684" s="76" t="str">
        <f>+VLOOKUP(Tabla14[[#This Row],[FONDO]],MAESTRO!$D$2:$E$119,2,FALSE)</f>
        <v>Inviu inversiones</v>
      </c>
      <c r="H684" s="40" t="str">
        <f>+VLOOKUP(Tabla14[[#This Row],[FONDO]],MAESTRO!D:F,3,FALSE)</f>
        <v>(T+0)</v>
      </c>
      <c r="I684" s="39" t="s">
        <v>9</v>
      </c>
      <c r="J684" s="49"/>
      <c r="K684" s="20"/>
      <c r="L68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4" s="39">
        <f>ROUND(IF(Tabla14[[#This Row],[OPERACIÓN]]=MAESTRO!$B$2,Tabla14[CAPITAL],IF(Tabla14[[#This Row],[OPERACIÓN]]=MAESTRO!$B$5,Tabla14[CAPITAL],-Tabla14[[#This Row],[CAPITAL]])),2)</f>
        <v>1847380.77</v>
      </c>
    </row>
    <row r="685" spans="1:13" x14ac:dyDescent="0.3">
      <c r="A685" s="37">
        <v>46142</v>
      </c>
      <c r="B685" s="20" t="s">
        <v>298</v>
      </c>
      <c r="C685" s="20" t="s">
        <v>132</v>
      </c>
      <c r="D685" s="38" t="s">
        <v>16</v>
      </c>
      <c r="E685" s="39" t="s">
        <v>136</v>
      </c>
      <c r="F685" s="39">
        <v>1816769.38</v>
      </c>
      <c r="G685" s="76" t="str">
        <f>+VLOOKUP(Tabla14[[#This Row],[FONDO]],MAESTRO!$D$2:$E$119,2,FALSE)</f>
        <v>Gma Capital</v>
      </c>
      <c r="H685" s="40" t="str">
        <f>+VLOOKUP(Tabla14[[#This Row],[FONDO]],MAESTRO!D:F,3,FALSE)</f>
        <v>(T+0)</v>
      </c>
      <c r="I685" s="39" t="s">
        <v>9</v>
      </c>
      <c r="J685" s="49"/>
      <c r="K685" s="20"/>
      <c r="L68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5" s="39">
        <f>ROUND(IF(Tabla14[[#This Row],[OPERACIÓN]]=MAESTRO!$B$2,Tabla14[CAPITAL],IF(Tabla14[[#This Row],[OPERACIÓN]]=MAESTRO!$B$5,Tabla14[CAPITAL],-Tabla14[[#This Row],[CAPITAL]])),2)</f>
        <v>1816769.38</v>
      </c>
    </row>
    <row r="686" spans="1:13" x14ac:dyDescent="0.3">
      <c r="A686" s="37">
        <v>46142</v>
      </c>
      <c r="B686" s="20" t="s">
        <v>292</v>
      </c>
      <c r="C686" s="20" t="s">
        <v>132</v>
      </c>
      <c r="D686" s="38" t="s">
        <v>16</v>
      </c>
      <c r="E686" s="39" t="s">
        <v>136</v>
      </c>
      <c r="F686" s="39">
        <v>4660714</v>
      </c>
      <c r="G686" s="76" t="str">
        <f>+VLOOKUP(Tabla14[[#This Row],[FONDO]],MAESTRO!$D$2:$E$119,2,FALSE)</f>
        <v>Gma Capital</v>
      </c>
      <c r="H686" s="40" t="str">
        <f>+VLOOKUP(Tabla14[[#This Row],[FONDO]],MAESTRO!D:F,3,FALSE)</f>
        <v>(T+0)</v>
      </c>
      <c r="I686" s="39" t="s">
        <v>9</v>
      </c>
      <c r="J686" s="49"/>
      <c r="K686" s="20"/>
      <c r="L68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6" s="39">
        <f>ROUND(IF(Tabla14[[#This Row],[OPERACIÓN]]=MAESTRO!$B$2,Tabla14[CAPITAL],IF(Tabla14[[#This Row],[OPERACIÓN]]=MAESTRO!$B$5,Tabla14[CAPITAL],-Tabla14[[#This Row],[CAPITAL]])),2)</f>
        <v>4660714</v>
      </c>
    </row>
    <row r="687" spans="1:13" x14ac:dyDescent="0.3">
      <c r="A687" s="37">
        <v>46142</v>
      </c>
      <c r="B687" s="20" t="s">
        <v>299</v>
      </c>
      <c r="C687" s="20" t="s">
        <v>132</v>
      </c>
      <c r="D687" s="38" t="s">
        <v>16</v>
      </c>
      <c r="E687" s="39" t="s">
        <v>136</v>
      </c>
      <c r="F687" s="39">
        <v>3877500</v>
      </c>
      <c r="G687" s="76" t="str">
        <f>+VLOOKUP(Tabla14[[#This Row],[FONDO]],MAESTRO!$D$2:$E$119,2,FALSE)</f>
        <v>Gma Capital</v>
      </c>
      <c r="H687" s="40" t="str">
        <f>+VLOOKUP(Tabla14[[#This Row],[FONDO]],MAESTRO!D:F,3,FALSE)</f>
        <v>(T+0)</v>
      </c>
      <c r="I687" s="39" t="s">
        <v>9</v>
      </c>
      <c r="J687" s="49"/>
      <c r="K687" s="20"/>
      <c r="L68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7" s="39">
        <f>ROUND(IF(Tabla14[[#This Row],[OPERACIÓN]]=MAESTRO!$B$2,Tabla14[CAPITAL],IF(Tabla14[[#This Row],[OPERACIÓN]]=MAESTRO!$B$5,Tabla14[CAPITAL],-Tabla14[[#This Row],[CAPITAL]])),2)</f>
        <v>3877500</v>
      </c>
    </row>
    <row r="688" spans="1:13" x14ac:dyDescent="0.3">
      <c r="A688" s="26">
        <v>46142</v>
      </c>
      <c r="B688" t="s">
        <v>298</v>
      </c>
      <c r="C688" t="s">
        <v>132</v>
      </c>
      <c r="D688" s="27" t="s">
        <v>16</v>
      </c>
      <c r="E688" s="4" t="s">
        <v>43</v>
      </c>
      <c r="F688" s="4">
        <v>2423500000</v>
      </c>
      <c r="G688" s="8" t="str">
        <f>+VLOOKUP(Tabla14[[#This Row],[FONDO]],MAESTRO!$D$2:$E$119,2,FALSE)</f>
        <v>Banco Santander Rio S.A.</v>
      </c>
      <c r="H688" s="8" t="str">
        <f>+VLOOKUP(Tabla14[[#This Row],[FONDO]],MAESTRO!D:F,3,FALSE)</f>
        <v>(T+0)</v>
      </c>
      <c r="I688" s="4" t="s">
        <v>9</v>
      </c>
      <c r="L6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8" s="4">
        <f>ROUND(IF(Tabla14[[#This Row],[OPERACIÓN]]=MAESTRO!$B$2,Tabla14[CAPITAL],IF(Tabla14[[#This Row],[OPERACIÓN]]=MAESTRO!$B$5,Tabla14[CAPITAL],-Tabla14[[#This Row],[CAPITAL]])),2)</f>
        <v>2423500000</v>
      </c>
    </row>
    <row r="689" spans="1:13" x14ac:dyDescent="0.3">
      <c r="A689" s="26">
        <v>46142</v>
      </c>
      <c r="B689" t="s">
        <v>299</v>
      </c>
      <c r="C689" t="s">
        <v>132</v>
      </c>
      <c r="D689" s="27" t="s">
        <v>16</v>
      </c>
      <c r="E689" s="4" t="s">
        <v>48</v>
      </c>
      <c r="F689" s="4">
        <v>15900000</v>
      </c>
      <c r="G689" s="8" t="str">
        <f>+VLOOKUP(Tabla14[[#This Row],[FONDO]],MAESTRO!$D$2:$E$119,2,FALSE)</f>
        <v>Banco Macro S.A.</v>
      </c>
      <c r="H689" s="8" t="str">
        <f>+VLOOKUP(Tabla14[[#This Row],[FONDO]],MAESTRO!D:F,3,FALSE)</f>
        <v>(T+0)</v>
      </c>
      <c r="I689" s="4" t="s">
        <v>9</v>
      </c>
      <c r="L6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89" s="4">
        <f>ROUND(IF(Tabla14[[#This Row],[OPERACIÓN]]=MAESTRO!$B$2,Tabla14[CAPITAL],IF(Tabla14[[#This Row],[OPERACIÓN]]=MAESTRO!$B$5,Tabla14[CAPITAL],-Tabla14[[#This Row],[CAPITAL]])),2)</f>
        <v>15900000</v>
      </c>
    </row>
    <row r="690" spans="1:13" x14ac:dyDescent="0.3">
      <c r="A690" s="26">
        <v>46142</v>
      </c>
      <c r="B690" t="s">
        <v>292</v>
      </c>
      <c r="C690" t="s">
        <v>132</v>
      </c>
      <c r="D690" s="27" t="s">
        <v>16</v>
      </c>
      <c r="E690" s="4" t="s">
        <v>48</v>
      </c>
      <c r="F690" s="4">
        <v>45700000</v>
      </c>
      <c r="G690" s="8" t="str">
        <f>+VLOOKUP(Tabla14[[#This Row],[FONDO]],MAESTRO!$D$2:$E$119,2,FALSE)</f>
        <v>Banco Macro S.A.</v>
      </c>
      <c r="H690" s="8" t="str">
        <f>+VLOOKUP(Tabla14[[#This Row],[FONDO]],MAESTRO!D:F,3,FALSE)</f>
        <v>(T+0)</v>
      </c>
      <c r="I690" s="4" t="s">
        <v>9</v>
      </c>
      <c r="L6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0" s="4">
        <f>ROUND(IF(Tabla14[[#This Row],[OPERACIÓN]]=MAESTRO!$B$2,Tabla14[CAPITAL],IF(Tabla14[[#This Row],[OPERACIÓN]]=MAESTRO!$B$5,Tabla14[CAPITAL],-Tabla14[[#This Row],[CAPITAL]])),2)</f>
        <v>45700000</v>
      </c>
    </row>
    <row r="691" spans="1:13" x14ac:dyDescent="0.3">
      <c r="A691" s="26">
        <v>46146</v>
      </c>
      <c r="B691" t="s">
        <v>126</v>
      </c>
      <c r="C691" t="s">
        <v>132</v>
      </c>
      <c r="D691" s="27" t="s">
        <v>17</v>
      </c>
      <c r="E691" s="4" t="s">
        <v>48</v>
      </c>
      <c r="F691" s="4">
        <v>132000000</v>
      </c>
      <c r="G691" s="8" t="str">
        <f>+VLOOKUP(Tabla14[[#This Row],[FONDO]],MAESTRO!$D$2:$E$119,2,FALSE)</f>
        <v>Banco Macro S.A.</v>
      </c>
      <c r="H691" s="8" t="str">
        <f>+VLOOKUP(Tabla14[[#This Row],[FONDO]],MAESTRO!D:F,3,FALSE)</f>
        <v>(T+0)</v>
      </c>
      <c r="I691" s="4" t="s">
        <v>9</v>
      </c>
      <c r="L6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1" s="4">
        <f>ROUND(IF(Tabla14[[#This Row],[OPERACIÓN]]=MAESTRO!$B$2,Tabla14[CAPITAL],IF(Tabla14[[#This Row],[OPERACIÓN]]=MAESTRO!$B$5,Tabla14[CAPITAL],-Tabla14[[#This Row],[CAPITAL]])),2)</f>
        <v>-132000000</v>
      </c>
    </row>
    <row r="692" spans="1:13" x14ac:dyDescent="0.3">
      <c r="A692" s="26">
        <v>46146</v>
      </c>
      <c r="B692" t="s">
        <v>292</v>
      </c>
      <c r="C692" t="s">
        <v>132</v>
      </c>
      <c r="D692" s="27" t="s">
        <v>17</v>
      </c>
      <c r="E692" s="4" t="s">
        <v>48</v>
      </c>
      <c r="F692" s="4">
        <v>357700000</v>
      </c>
      <c r="G692" s="8" t="str">
        <f>+VLOOKUP(Tabla14[[#This Row],[FONDO]],MAESTRO!$D$2:$E$119,2,FALSE)</f>
        <v>Banco Macro S.A.</v>
      </c>
      <c r="H692" s="8" t="str">
        <f>+VLOOKUP(Tabla14[[#This Row],[FONDO]],MAESTRO!D:F,3,FALSE)</f>
        <v>(T+0)</v>
      </c>
      <c r="I692" s="4" t="s">
        <v>9</v>
      </c>
      <c r="L6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2" s="4">
        <f>ROUND(IF(Tabla14[[#This Row],[OPERACIÓN]]=MAESTRO!$B$2,Tabla14[CAPITAL],IF(Tabla14[[#This Row],[OPERACIÓN]]=MAESTRO!$B$5,Tabla14[CAPITAL],-Tabla14[[#This Row],[CAPITAL]])),2)</f>
        <v>-357700000</v>
      </c>
    </row>
    <row r="693" spans="1:13" x14ac:dyDescent="0.3">
      <c r="A693" s="26">
        <v>46146</v>
      </c>
      <c r="B693" t="s">
        <v>299</v>
      </c>
      <c r="C693" t="s">
        <v>132</v>
      </c>
      <c r="D693" s="27" t="s">
        <v>17</v>
      </c>
      <c r="E693" s="4" t="s">
        <v>48</v>
      </c>
      <c r="F693" s="4">
        <v>142600000</v>
      </c>
      <c r="G693" s="8" t="str">
        <f>+VLOOKUP(Tabla14[[#This Row],[FONDO]],MAESTRO!$D$2:$E$119,2,FALSE)</f>
        <v>Banco Macro S.A.</v>
      </c>
      <c r="H693" s="8" t="str">
        <f>+VLOOKUP(Tabla14[[#This Row],[FONDO]],MAESTRO!D:F,3,FALSE)</f>
        <v>(T+0)</v>
      </c>
      <c r="I693" s="4" t="s">
        <v>9</v>
      </c>
      <c r="L6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3" s="4">
        <f>ROUND(IF(Tabla14[[#This Row],[OPERACIÓN]]=MAESTRO!$B$2,Tabla14[CAPITAL],IF(Tabla14[[#This Row],[OPERACIÓN]]=MAESTRO!$B$5,Tabla14[CAPITAL],-Tabla14[[#This Row],[CAPITAL]])),2)</f>
        <v>-142600000</v>
      </c>
    </row>
    <row r="694" spans="1:13" x14ac:dyDescent="0.3">
      <c r="A694" s="26">
        <v>46146</v>
      </c>
      <c r="B694" t="s">
        <v>298</v>
      </c>
      <c r="C694" t="s">
        <v>132</v>
      </c>
      <c r="D694" s="27" t="s">
        <v>17</v>
      </c>
      <c r="E694" s="4" t="s">
        <v>43</v>
      </c>
      <c r="F694" s="4">
        <v>1201200000</v>
      </c>
      <c r="G694" s="8" t="str">
        <f>+VLOOKUP(Tabla14[[#This Row],[FONDO]],MAESTRO!$D$2:$E$119,2,FALSE)</f>
        <v>Banco Santander Rio S.A.</v>
      </c>
      <c r="H694" s="8" t="str">
        <f>+VLOOKUP(Tabla14[[#This Row],[FONDO]],MAESTRO!D:F,3,FALSE)</f>
        <v>(T+0)</v>
      </c>
      <c r="I694" s="4" t="s">
        <v>9</v>
      </c>
      <c r="L6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4" s="4">
        <f>ROUND(IF(Tabla14[[#This Row],[OPERACIÓN]]=MAESTRO!$B$2,Tabla14[CAPITAL],IF(Tabla14[[#This Row],[OPERACIÓN]]=MAESTRO!$B$5,Tabla14[CAPITAL],-Tabla14[[#This Row],[CAPITAL]])),2)</f>
        <v>-1201200000</v>
      </c>
    </row>
    <row r="695" spans="1:13" x14ac:dyDescent="0.3">
      <c r="A695" s="26">
        <v>46146</v>
      </c>
      <c r="B695" t="s">
        <v>298</v>
      </c>
      <c r="C695" t="s">
        <v>132</v>
      </c>
      <c r="D695" s="27" t="s">
        <v>17</v>
      </c>
      <c r="E695" s="4" t="s">
        <v>208</v>
      </c>
      <c r="F695" s="4">
        <v>79006863.849999994</v>
      </c>
      <c r="G695" s="8" t="str">
        <f>+VLOOKUP(Tabla14[[#This Row],[FONDO]],MAESTRO!$D$2:$E$119,2,FALSE)</f>
        <v>Facimex</v>
      </c>
      <c r="H695" s="8" t="str">
        <f>+VLOOKUP(Tabla14[[#This Row],[FONDO]],MAESTRO!D:F,3,FALSE)</f>
        <v>(T+0)</v>
      </c>
      <c r="I695" s="4" t="s">
        <v>9</v>
      </c>
      <c r="L6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5" s="4">
        <f>ROUND(IF(Tabla14[[#This Row],[OPERACIÓN]]=MAESTRO!$B$2,Tabla14[CAPITAL],IF(Tabla14[[#This Row],[OPERACIÓN]]=MAESTRO!$B$5,Tabla14[CAPITAL],-Tabla14[[#This Row],[CAPITAL]])),2)</f>
        <v>-79006863.849999994</v>
      </c>
    </row>
    <row r="696" spans="1:13" x14ac:dyDescent="0.3">
      <c r="A696" s="26">
        <v>46146</v>
      </c>
      <c r="B696" t="s">
        <v>298</v>
      </c>
      <c r="C696" t="s">
        <v>132</v>
      </c>
      <c r="D696" s="27" t="s">
        <v>17</v>
      </c>
      <c r="E696" s="4" t="s">
        <v>208</v>
      </c>
      <c r="F696" s="4">
        <v>79006863.849999994</v>
      </c>
      <c r="G696" s="8" t="str">
        <f>+VLOOKUP(Tabla14[[#This Row],[FONDO]],MAESTRO!$D$2:$E$119,2,FALSE)</f>
        <v>Facimex</v>
      </c>
      <c r="H696" s="8" t="str">
        <f>+VLOOKUP(Tabla14[[#This Row],[FONDO]],MAESTRO!D:F,3,FALSE)</f>
        <v>(T+0)</v>
      </c>
      <c r="I696" s="4" t="s">
        <v>9</v>
      </c>
      <c r="L6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6" s="4">
        <f>ROUND(IF(Tabla14[[#This Row],[OPERACIÓN]]=MAESTRO!$B$2,Tabla14[CAPITAL],IF(Tabla14[[#This Row],[OPERACIÓN]]=MAESTRO!$B$5,Tabla14[CAPITAL],-Tabla14[[#This Row],[CAPITAL]])),2)</f>
        <v>-79006863.849999994</v>
      </c>
    </row>
    <row r="697" spans="1:13" x14ac:dyDescent="0.3">
      <c r="A697" s="26">
        <v>46146</v>
      </c>
      <c r="B697" t="s">
        <v>298</v>
      </c>
      <c r="C697" t="s">
        <v>132</v>
      </c>
      <c r="D697" s="27" t="s">
        <v>17</v>
      </c>
      <c r="E697" s="4" t="s">
        <v>180</v>
      </c>
      <c r="F697" s="4">
        <v>122962263.92</v>
      </c>
      <c r="G697" s="8" t="str">
        <f>+VLOOKUP(Tabla14[[#This Row],[FONDO]],MAESTRO!$D$2:$E$119,2,FALSE)</f>
        <v>PP Inversiones</v>
      </c>
      <c r="H697" s="8" t="str">
        <f>+VLOOKUP(Tabla14[[#This Row],[FONDO]],MAESTRO!D:F,3,FALSE)</f>
        <v>(T+0)</v>
      </c>
      <c r="I697" s="4" t="s">
        <v>9</v>
      </c>
      <c r="L6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7" s="4">
        <f>ROUND(IF(Tabla14[[#This Row],[OPERACIÓN]]=MAESTRO!$B$2,Tabla14[CAPITAL],IF(Tabla14[[#This Row],[OPERACIÓN]]=MAESTRO!$B$5,Tabla14[CAPITAL],-Tabla14[[#This Row],[CAPITAL]])),2)</f>
        <v>-122962263.92</v>
      </c>
    </row>
    <row r="698" spans="1:13" x14ac:dyDescent="0.3">
      <c r="A698" s="26">
        <v>46146</v>
      </c>
      <c r="B698" t="s">
        <v>298</v>
      </c>
      <c r="C698" t="s">
        <v>132</v>
      </c>
      <c r="D698" s="27" t="s">
        <v>17</v>
      </c>
      <c r="E698" s="4" t="s">
        <v>255</v>
      </c>
      <c r="F698" s="4">
        <v>85861102.310000002</v>
      </c>
      <c r="G698" s="8" t="str">
        <f>+VLOOKUP(Tabla14[[#This Row],[FONDO]],MAESTRO!$D$2:$E$119,2,FALSE)</f>
        <v>Inviu inversiones</v>
      </c>
      <c r="H698" s="8" t="str">
        <f>+VLOOKUP(Tabla14[[#This Row],[FONDO]],MAESTRO!D:F,3,FALSE)</f>
        <v>(T+0)</v>
      </c>
      <c r="I698" s="4" t="s">
        <v>9</v>
      </c>
      <c r="L6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8" s="4">
        <f>ROUND(IF(Tabla14[[#This Row],[OPERACIÓN]]=MAESTRO!$B$2,Tabla14[CAPITAL],IF(Tabla14[[#This Row],[OPERACIÓN]]=MAESTRO!$B$5,Tabla14[CAPITAL],-Tabla14[[#This Row],[CAPITAL]])),2)</f>
        <v>-85861102.310000002</v>
      </c>
    </row>
    <row r="699" spans="1:13" x14ac:dyDescent="0.3">
      <c r="A699" s="26">
        <v>46146</v>
      </c>
      <c r="B699" t="s">
        <v>298</v>
      </c>
      <c r="C699" t="s">
        <v>132</v>
      </c>
      <c r="D699" s="27" t="s">
        <v>17</v>
      </c>
      <c r="E699" s="4" t="s">
        <v>255</v>
      </c>
      <c r="F699" s="4">
        <v>85861102.310000002</v>
      </c>
      <c r="G699" s="8" t="str">
        <f>+VLOOKUP(Tabla14[[#This Row],[FONDO]],MAESTRO!$D$2:$E$119,2,FALSE)</f>
        <v>Inviu inversiones</v>
      </c>
      <c r="H699" s="8" t="str">
        <f>+VLOOKUP(Tabla14[[#This Row],[FONDO]],MAESTRO!D:F,3,FALSE)</f>
        <v>(T+0)</v>
      </c>
      <c r="I699" s="4" t="s">
        <v>9</v>
      </c>
      <c r="L6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699" s="4">
        <f>ROUND(IF(Tabla14[[#This Row],[OPERACIÓN]]=MAESTRO!$B$2,Tabla14[CAPITAL],IF(Tabla14[[#This Row],[OPERACIÓN]]=MAESTRO!$B$5,Tabla14[CAPITAL],-Tabla14[[#This Row],[CAPITAL]])),2)</f>
        <v>-85861102.310000002</v>
      </c>
    </row>
    <row r="700" spans="1:13" x14ac:dyDescent="0.3">
      <c r="A700" s="26">
        <v>46146</v>
      </c>
      <c r="B700" t="s">
        <v>298</v>
      </c>
      <c r="C700" t="s">
        <v>132</v>
      </c>
      <c r="D700" s="27" t="s">
        <v>17</v>
      </c>
      <c r="E700" s="4" t="s">
        <v>169</v>
      </c>
      <c r="F700" s="4">
        <v>102225768.34999999</v>
      </c>
      <c r="G700" s="8" t="str">
        <f>+VLOOKUP(Tabla14[[#This Row],[FONDO]],MAESTRO!$D$2:$E$119,2,FALSE)</f>
        <v>Max Capital</v>
      </c>
      <c r="H700" s="8" t="str">
        <f>+VLOOKUP(Tabla14[[#This Row],[FONDO]],MAESTRO!D:F,3,FALSE)</f>
        <v>(T+0)</v>
      </c>
      <c r="I700" s="4" t="s">
        <v>9</v>
      </c>
      <c r="L7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0" s="4">
        <f>ROUND(IF(Tabla14[[#This Row],[OPERACIÓN]]=MAESTRO!$B$2,Tabla14[CAPITAL],IF(Tabla14[[#This Row],[OPERACIÓN]]=MAESTRO!$B$5,Tabla14[CAPITAL],-Tabla14[[#This Row],[CAPITAL]])),2)</f>
        <v>-102225768.34999999</v>
      </c>
    </row>
    <row r="701" spans="1:13" x14ac:dyDescent="0.3">
      <c r="A701" s="26">
        <v>46146</v>
      </c>
      <c r="B701" t="s">
        <v>298</v>
      </c>
      <c r="C701" t="s">
        <v>132</v>
      </c>
      <c r="D701" s="27" t="s">
        <v>17</v>
      </c>
      <c r="E701" s="4" t="s">
        <v>169</v>
      </c>
      <c r="F701" s="4">
        <v>102225768.34999999</v>
      </c>
      <c r="G701" s="8" t="str">
        <f>+VLOOKUP(Tabla14[[#This Row],[FONDO]],MAESTRO!$D$2:$E$119,2,FALSE)</f>
        <v>Max Capital</v>
      </c>
      <c r="H701" s="8" t="str">
        <f>+VLOOKUP(Tabla14[[#This Row],[FONDO]],MAESTRO!D:F,3,FALSE)</f>
        <v>(T+0)</v>
      </c>
      <c r="I701" s="4" t="s">
        <v>9</v>
      </c>
      <c r="L7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1" s="4">
        <f>ROUND(IF(Tabla14[[#This Row],[OPERACIÓN]]=MAESTRO!$B$2,Tabla14[CAPITAL],IF(Tabla14[[#This Row],[OPERACIÓN]]=MAESTRO!$B$5,Tabla14[CAPITAL],-Tabla14[[#This Row],[CAPITAL]])),2)</f>
        <v>-102225768.34999999</v>
      </c>
    </row>
    <row r="702" spans="1:13" x14ac:dyDescent="0.3">
      <c r="A702" s="26">
        <v>46146</v>
      </c>
      <c r="B702" t="s">
        <v>298</v>
      </c>
      <c r="C702" t="s">
        <v>172</v>
      </c>
      <c r="D702" s="27" t="s">
        <v>17</v>
      </c>
      <c r="E702" s="4" t="s">
        <v>202</v>
      </c>
      <c r="F702" s="4">
        <v>769000</v>
      </c>
      <c r="G702" s="8" t="str">
        <f>+VLOOKUP(Tabla14[[#This Row],[FONDO]],MAESTRO!$D$2:$E$119,2,FALSE)</f>
        <v>Gma Capital</v>
      </c>
      <c r="H702" s="8" t="str">
        <f>+VLOOKUP(Tabla14[[#This Row],[FONDO]],MAESTRO!D:F,3,FALSE)</f>
        <v>USD DL</v>
      </c>
      <c r="I702" s="4" t="s">
        <v>7</v>
      </c>
      <c r="J702" s="78" t="s">
        <v>262</v>
      </c>
      <c r="K702">
        <v>8</v>
      </c>
      <c r="L702" t="s">
        <v>273</v>
      </c>
      <c r="M702" s="4">
        <f>ROUND(IF(Tabla14[[#This Row],[OPERACIÓN]]=MAESTRO!$B$2,Tabla14[CAPITAL],IF(Tabla14[[#This Row],[OPERACIÓN]]=MAESTRO!$B$5,Tabla14[CAPITAL],-Tabla14[[#This Row],[CAPITAL]])),2)</f>
        <v>-769000</v>
      </c>
    </row>
    <row r="703" spans="1:13" x14ac:dyDescent="0.3">
      <c r="A703" s="26">
        <v>46146</v>
      </c>
      <c r="B703" t="s">
        <v>298</v>
      </c>
      <c r="C703" t="s">
        <v>172</v>
      </c>
      <c r="D703" s="27" t="s">
        <v>17</v>
      </c>
      <c r="E703" s="4" t="s">
        <v>202</v>
      </c>
      <c r="F703" s="4">
        <v>1300000</v>
      </c>
      <c r="G703" s="8" t="str">
        <f>+VLOOKUP(Tabla14[[#This Row],[FONDO]],MAESTRO!$D$2:$E$119,2,FALSE)</f>
        <v>Gma Capital</v>
      </c>
      <c r="H703" s="8" t="str">
        <f>+VLOOKUP(Tabla14[[#This Row],[FONDO]],MAESTRO!D:F,3,FALSE)</f>
        <v>USD DL</v>
      </c>
      <c r="I703" s="4" t="s">
        <v>7</v>
      </c>
      <c r="J703" s="78">
        <v>46183</v>
      </c>
      <c r="K703">
        <v>5</v>
      </c>
      <c r="L703" t="s">
        <v>274</v>
      </c>
      <c r="M703" s="4">
        <f>ROUND(IF(Tabla14[[#This Row],[OPERACIÓN]]=MAESTRO!$B$2,Tabla14[CAPITAL],IF(Tabla14[[#This Row],[OPERACIÓN]]=MAESTRO!$B$5,Tabla14[CAPITAL],-Tabla14[[#This Row],[CAPITAL]])),2)</f>
        <v>-1300000</v>
      </c>
    </row>
    <row r="704" spans="1:13" x14ac:dyDescent="0.3">
      <c r="A704" s="26">
        <v>46146</v>
      </c>
      <c r="B704" t="s">
        <v>298</v>
      </c>
      <c r="C704" t="s">
        <v>172</v>
      </c>
      <c r="D704" s="27" t="s">
        <v>17</v>
      </c>
      <c r="E704" s="4" t="s">
        <v>201</v>
      </c>
      <c r="F704" s="4">
        <v>600000</v>
      </c>
      <c r="G704" s="8" t="str">
        <f>+VLOOKUP(Tabla14[[#This Row],[FONDO]],MAESTRO!$D$2:$E$119,2,FALSE)</f>
        <v>Gma Capital</v>
      </c>
      <c r="H704" s="8" t="str">
        <f>+VLOOKUP(Tabla14[[#This Row],[FONDO]],MAESTRO!D:F,3,FALSE)</f>
        <v>USD DL</v>
      </c>
      <c r="I704" s="4" t="s">
        <v>7</v>
      </c>
      <c r="J704" s="78" t="s">
        <v>271</v>
      </c>
      <c r="K704">
        <v>5</v>
      </c>
      <c r="L704" t="s">
        <v>275</v>
      </c>
      <c r="M704" s="4">
        <f>ROUND(IF(Tabla14[[#This Row],[OPERACIÓN]]=MAESTRO!$B$2,Tabla14[CAPITAL],IF(Tabla14[[#This Row],[OPERACIÓN]]=MAESTRO!$B$5,Tabla14[CAPITAL],-Tabla14[[#This Row],[CAPITAL]])),2)</f>
        <v>-600000</v>
      </c>
    </row>
    <row r="705" spans="1:13" x14ac:dyDescent="0.3">
      <c r="A705" s="26">
        <v>46146</v>
      </c>
      <c r="B705" t="s">
        <v>298</v>
      </c>
      <c r="C705" t="s">
        <v>172</v>
      </c>
      <c r="D705" s="27" t="s">
        <v>17</v>
      </c>
      <c r="E705" s="4" t="s">
        <v>201</v>
      </c>
      <c r="F705" s="4">
        <v>800000</v>
      </c>
      <c r="G705" s="8" t="str">
        <f>+VLOOKUP(Tabla14[[#This Row],[FONDO]],MAESTRO!$D$2:$E$119,2,FALSE)</f>
        <v>Gma Capital</v>
      </c>
      <c r="H705" s="8" t="str">
        <f>+VLOOKUP(Tabla14[[#This Row],[FONDO]],MAESTRO!D:F,3,FALSE)</f>
        <v>USD DL</v>
      </c>
      <c r="I705" s="4" t="s">
        <v>7</v>
      </c>
      <c r="J705" s="78">
        <v>46204</v>
      </c>
      <c r="K705">
        <v>5</v>
      </c>
      <c r="L705" t="s">
        <v>278</v>
      </c>
      <c r="M705" s="4">
        <f>ROUND(IF(Tabla14[[#This Row],[OPERACIÓN]]=MAESTRO!$B$2,Tabla14[CAPITAL],IF(Tabla14[[#This Row],[OPERACIÓN]]=MAESTRO!$B$5,Tabla14[CAPITAL],-Tabla14[[#This Row],[CAPITAL]])),2)</f>
        <v>-800000</v>
      </c>
    </row>
    <row r="706" spans="1:13" x14ac:dyDescent="0.3">
      <c r="A706" s="26">
        <v>46146</v>
      </c>
      <c r="B706" t="s">
        <v>298</v>
      </c>
      <c r="C706" t="s">
        <v>132</v>
      </c>
      <c r="D706" s="27" t="s">
        <v>16</v>
      </c>
      <c r="E706" s="4" t="s">
        <v>136</v>
      </c>
      <c r="F706" s="4">
        <v>4761627868.0600004</v>
      </c>
      <c r="G706" s="8" t="str">
        <f>+VLOOKUP(Tabla14[[#This Row],[FONDO]],MAESTRO!$D$2:$E$119,2,FALSE)</f>
        <v>Gma Capital</v>
      </c>
      <c r="H706" s="8" t="str">
        <f>+VLOOKUP(Tabla14[[#This Row],[FONDO]],MAESTRO!D:F,3,FALSE)</f>
        <v>(T+0)</v>
      </c>
      <c r="I706" s="4" t="s">
        <v>9</v>
      </c>
      <c r="L7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6" s="4">
        <f>ROUND(IF(Tabla14[[#This Row],[OPERACIÓN]]=MAESTRO!$B$2,Tabla14[CAPITAL],IF(Tabla14[[#This Row],[OPERACIÓN]]=MAESTRO!$B$5,Tabla14[CAPITAL],-Tabla14[[#This Row],[CAPITAL]])),2)</f>
        <v>4761627868.0600004</v>
      </c>
    </row>
    <row r="707" spans="1:13" x14ac:dyDescent="0.3">
      <c r="A707" s="26">
        <v>46146</v>
      </c>
      <c r="B707" t="s">
        <v>292</v>
      </c>
      <c r="C707" t="s">
        <v>132</v>
      </c>
      <c r="D707" s="27" t="s">
        <v>17</v>
      </c>
      <c r="E707" s="4" t="s">
        <v>136</v>
      </c>
      <c r="F707" s="4">
        <v>2845986357.54</v>
      </c>
      <c r="G707" s="8" t="str">
        <f>+VLOOKUP(Tabla14[[#This Row],[FONDO]],MAESTRO!$D$2:$E$119,2,FALSE)</f>
        <v>Gma Capital</v>
      </c>
      <c r="H707" s="8" t="str">
        <f>+VLOOKUP(Tabla14[[#This Row],[FONDO]],MAESTRO!D:F,3,FALSE)</f>
        <v>(T+0)</v>
      </c>
      <c r="I707" s="4" t="s">
        <v>9</v>
      </c>
      <c r="L7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7" s="4">
        <f>ROUND(IF(Tabla14[[#This Row],[OPERACIÓN]]=MAESTRO!$B$2,Tabla14[CAPITAL],IF(Tabla14[[#This Row],[OPERACIÓN]]=MAESTRO!$B$5,Tabla14[CAPITAL],-Tabla14[[#This Row],[CAPITAL]])),2)</f>
        <v>-2845986357.54</v>
      </c>
    </row>
    <row r="708" spans="1:13" x14ac:dyDescent="0.3">
      <c r="A708" s="26">
        <v>46146</v>
      </c>
      <c r="B708" t="s">
        <v>299</v>
      </c>
      <c r="C708" t="s">
        <v>132</v>
      </c>
      <c r="D708" s="27" t="s">
        <v>17</v>
      </c>
      <c r="E708" s="4" t="s">
        <v>136</v>
      </c>
      <c r="F708" s="4">
        <v>1919359922.8299999</v>
      </c>
      <c r="G708" s="8" t="str">
        <f>+VLOOKUP(Tabla14[[#This Row],[FONDO]],MAESTRO!$D$2:$E$119,2,FALSE)</f>
        <v>Gma Capital</v>
      </c>
      <c r="H708" s="8" t="str">
        <f>+VLOOKUP(Tabla14[[#This Row],[FONDO]],MAESTRO!D:F,3,FALSE)</f>
        <v>(T+0)</v>
      </c>
      <c r="I708" s="4" t="s">
        <v>9</v>
      </c>
      <c r="L7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8" s="4">
        <f>ROUND(IF(Tabla14[[#This Row],[OPERACIÓN]]=MAESTRO!$B$2,Tabla14[CAPITAL],IF(Tabla14[[#This Row],[OPERACIÓN]]=MAESTRO!$B$5,Tabla14[CAPITAL],-Tabla14[[#This Row],[CAPITAL]])),2)</f>
        <v>-1919359922.8299999</v>
      </c>
    </row>
    <row r="709" spans="1:13" x14ac:dyDescent="0.3">
      <c r="A709" s="26">
        <v>46147</v>
      </c>
      <c r="B709" t="s">
        <v>299</v>
      </c>
      <c r="C709" t="s">
        <v>132</v>
      </c>
      <c r="D709" s="27" t="s">
        <v>17</v>
      </c>
      <c r="E709" s="4" t="s">
        <v>48</v>
      </c>
      <c r="F709" s="4">
        <v>153500000</v>
      </c>
      <c r="G709" s="77" t="str">
        <f>+VLOOKUP(Tabla14[[#This Row],[FONDO]],MAESTRO!$D$2:$E$119,2,FALSE)</f>
        <v>Banco Macro S.A.</v>
      </c>
      <c r="H709" s="8" t="str">
        <f>+VLOOKUP(Tabla14[[#This Row],[FONDO]],MAESTRO!D:F,3,FALSE)</f>
        <v>(T+0)</v>
      </c>
      <c r="I709" s="4" t="s">
        <v>9</v>
      </c>
      <c r="L7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09" s="4">
        <f>ROUND(IF(Tabla14[[#This Row],[OPERACIÓN]]=MAESTRO!$B$2,Tabla14[CAPITAL],IF(Tabla14[[#This Row],[OPERACIÓN]]=MAESTRO!$B$5,Tabla14[CAPITAL],-Tabla14[[#This Row],[CAPITAL]])),2)</f>
        <v>-153500000</v>
      </c>
    </row>
    <row r="710" spans="1:13" x14ac:dyDescent="0.3">
      <c r="A710" s="26">
        <v>46147</v>
      </c>
      <c r="B710" t="s">
        <v>298</v>
      </c>
      <c r="C710" t="s">
        <v>132</v>
      </c>
      <c r="D710" s="27" t="s">
        <v>17</v>
      </c>
      <c r="E710" s="4" t="s">
        <v>48</v>
      </c>
      <c r="F710" s="4">
        <v>73300000</v>
      </c>
      <c r="G710" s="77" t="str">
        <f>+VLOOKUP(Tabla14[[#This Row],[FONDO]],MAESTRO!$D$2:$E$119,2,FALSE)</f>
        <v>Banco Macro S.A.</v>
      </c>
      <c r="H710" s="8" t="str">
        <f>+VLOOKUP(Tabla14[[#This Row],[FONDO]],MAESTRO!D:F,3,FALSE)</f>
        <v>(T+0)</v>
      </c>
      <c r="I710" s="4" t="s">
        <v>9</v>
      </c>
      <c r="L7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0" s="4">
        <f>ROUND(IF(Tabla14[[#This Row],[OPERACIÓN]]=MAESTRO!$B$2,Tabla14[CAPITAL],IF(Tabla14[[#This Row],[OPERACIÓN]]=MAESTRO!$B$5,Tabla14[CAPITAL],-Tabla14[[#This Row],[CAPITAL]])),2)</f>
        <v>-73300000</v>
      </c>
    </row>
    <row r="711" spans="1:13" x14ac:dyDescent="0.3">
      <c r="A711" s="26">
        <v>46147</v>
      </c>
      <c r="B711" t="s">
        <v>292</v>
      </c>
      <c r="C711" t="s">
        <v>132</v>
      </c>
      <c r="D711" s="27" t="s">
        <v>16</v>
      </c>
      <c r="E711" s="4" t="s">
        <v>48</v>
      </c>
      <c r="F711" s="4">
        <v>572000000</v>
      </c>
      <c r="G711" s="77" t="str">
        <f>+VLOOKUP(Tabla14[[#This Row],[FONDO]],MAESTRO!$D$2:$E$119,2,FALSE)</f>
        <v>Banco Macro S.A.</v>
      </c>
      <c r="H711" s="8" t="str">
        <f>+VLOOKUP(Tabla14[[#This Row],[FONDO]],MAESTRO!D:F,3,FALSE)</f>
        <v>(T+0)</v>
      </c>
      <c r="I711" s="4" t="s">
        <v>9</v>
      </c>
      <c r="L7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1" s="4">
        <f>ROUND(IF(Tabla14[[#This Row],[OPERACIÓN]]=MAESTRO!$B$2,Tabla14[CAPITAL],IF(Tabla14[[#This Row],[OPERACIÓN]]=MAESTRO!$B$5,Tabla14[CAPITAL],-Tabla14[[#This Row],[CAPITAL]])),2)</f>
        <v>572000000</v>
      </c>
    </row>
    <row r="712" spans="1:13" x14ac:dyDescent="0.3">
      <c r="A712" s="26">
        <v>46147</v>
      </c>
      <c r="B712" t="s">
        <v>298</v>
      </c>
      <c r="C712" t="s">
        <v>132</v>
      </c>
      <c r="D712" s="27" t="s">
        <v>17</v>
      </c>
      <c r="E712" s="4" t="s">
        <v>40</v>
      </c>
      <c r="F712" s="4">
        <v>21200000</v>
      </c>
      <c r="G712" s="77" t="str">
        <f>+VLOOKUP(Tabla14[[#This Row],[FONDO]],MAESTRO!$D$2:$E$119,2,FALSE)</f>
        <v>BBVA Banco Frances SA</v>
      </c>
      <c r="H712" s="8" t="str">
        <f>+VLOOKUP(Tabla14[[#This Row],[FONDO]],MAESTRO!D:F,3,FALSE)</f>
        <v>(T+0)</v>
      </c>
      <c r="I712" s="4" t="s">
        <v>9</v>
      </c>
      <c r="L7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2" s="4">
        <f>ROUND(IF(Tabla14[[#This Row],[OPERACIÓN]]=MAESTRO!$B$2,Tabla14[CAPITAL],IF(Tabla14[[#This Row],[OPERACIÓN]]=MAESTRO!$B$5,Tabla14[CAPITAL],-Tabla14[[#This Row],[CAPITAL]])),2)</f>
        <v>-21200000</v>
      </c>
    </row>
    <row r="713" spans="1:13" x14ac:dyDescent="0.3">
      <c r="A713" s="26">
        <v>46148</v>
      </c>
      <c r="B713" t="s">
        <v>126</v>
      </c>
      <c r="C713" t="s">
        <v>132</v>
      </c>
      <c r="D713" s="27" t="s">
        <v>17</v>
      </c>
      <c r="E713" s="4" t="s">
        <v>48</v>
      </c>
      <c r="F713" s="4">
        <v>600000</v>
      </c>
      <c r="G713" s="79" t="str">
        <f>+VLOOKUP(Tabla14[[#This Row],[FONDO]],MAESTRO!$D$2:$E$119,2,FALSE)</f>
        <v>Banco Macro S.A.</v>
      </c>
      <c r="H713" s="8" t="str">
        <f>+VLOOKUP(Tabla14[[#This Row],[FONDO]],MAESTRO!D:F,3,FALSE)</f>
        <v>(T+0)</v>
      </c>
      <c r="I713" s="4" t="s">
        <v>9</v>
      </c>
      <c r="L7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3" s="4">
        <f>ROUND(IF(Tabla14[[#This Row],[OPERACIÓN]]=MAESTRO!$B$2,Tabla14[CAPITAL],IF(Tabla14[[#This Row],[OPERACIÓN]]=MAESTRO!$B$5,Tabla14[CAPITAL],-Tabla14[[#This Row],[CAPITAL]])),2)</f>
        <v>-600000</v>
      </c>
    </row>
    <row r="714" spans="1:13" x14ac:dyDescent="0.3">
      <c r="A714" s="26">
        <v>46148</v>
      </c>
      <c r="B714" t="s">
        <v>292</v>
      </c>
      <c r="C714" t="s">
        <v>132</v>
      </c>
      <c r="D714" s="27" t="s">
        <v>17</v>
      </c>
      <c r="E714" s="4" t="s">
        <v>48</v>
      </c>
      <c r="F714" s="4">
        <v>103600000</v>
      </c>
      <c r="G714" s="79" t="str">
        <f>+VLOOKUP(Tabla14[[#This Row],[FONDO]],MAESTRO!$D$2:$E$119,2,FALSE)</f>
        <v>Banco Macro S.A.</v>
      </c>
      <c r="H714" s="8" t="str">
        <f>+VLOOKUP(Tabla14[[#This Row],[FONDO]],MAESTRO!D:F,3,FALSE)</f>
        <v>(T+0)</v>
      </c>
      <c r="I714" s="4" t="s">
        <v>9</v>
      </c>
      <c r="L7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4" s="4">
        <f>ROUND(IF(Tabla14[[#This Row],[OPERACIÓN]]=MAESTRO!$B$2,Tabla14[CAPITAL],IF(Tabla14[[#This Row],[OPERACIÓN]]=MAESTRO!$B$5,Tabla14[CAPITAL],-Tabla14[[#This Row],[CAPITAL]])),2)</f>
        <v>-103600000</v>
      </c>
    </row>
    <row r="715" spans="1:13" x14ac:dyDescent="0.3">
      <c r="A715" s="26">
        <v>46148</v>
      </c>
      <c r="B715" t="s">
        <v>299</v>
      </c>
      <c r="C715" t="s">
        <v>132</v>
      </c>
      <c r="D715" s="27" t="s">
        <v>16</v>
      </c>
      <c r="E715" s="4" t="s">
        <v>48</v>
      </c>
      <c r="F715" s="4">
        <v>65400000</v>
      </c>
      <c r="G715" s="79" t="str">
        <f>+VLOOKUP(Tabla14[[#This Row],[FONDO]],MAESTRO!$D$2:$E$119,2,FALSE)</f>
        <v>Banco Macro S.A.</v>
      </c>
      <c r="H715" s="8" t="str">
        <f>+VLOOKUP(Tabla14[[#This Row],[FONDO]],MAESTRO!D:F,3,FALSE)</f>
        <v>(T+0)</v>
      </c>
      <c r="I715" s="4" t="s">
        <v>9</v>
      </c>
      <c r="L7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5" s="4">
        <f>ROUND(IF(Tabla14[[#This Row],[OPERACIÓN]]=MAESTRO!$B$2,Tabla14[CAPITAL],IF(Tabla14[[#This Row],[OPERACIÓN]]=MAESTRO!$B$5,Tabla14[CAPITAL],-Tabla14[[#This Row],[CAPITAL]])),2)</f>
        <v>65400000</v>
      </c>
    </row>
    <row r="716" spans="1:13" x14ac:dyDescent="0.3">
      <c r="A716" s="26">
        <v>46148</v>
      </c>
      <c r="B716" t="s">
        <v>298</v>
      </c>
      <c r="C716" t="s">
        <v>132</v>
      </c>
      <c r="D716" s="27" t="s">
        <v>17</v>
      </c>
      <c r="E716" s="4" t="s">
        <v>40</v>
      </c>
      <c r="F716" s="4">
        <v>1235700000</v>
      </c>
      <c r="G716" s="79" t="str">
        <f>+VLOOKUP(Tabla14[[#This Row],[FONDO]],MAESTRO!$D$2:$E$119,2,FALSE)</f>
        <v>BBVA Banco Frances SA</v>
      </c>
      <c r="H716" s="8" t="str">
        <f>+VLOOKUP(Tabla14[[#This Row],[FONDO]],MAESTRO!D:F,3,FALSE)</f>
        <v>(T+0)</v>
      </c>
      <c r="I716" s="4" t="s">
        <v>9</v>
      </c>
      <c r="L7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6" s="4">
        <f>ROUND(IF(Tabla14[[#This Row],[OPERACIÓN]]=MAESTRO!$B$2,Tabla14[CAPITAL],IF(Tabla14[[#This Row],[OPERACIÓN]]=MAESTRO!$B$5,Tabla14[CAPITAL],-Tabla14[[#This Row],[CAPITAL]])),2)</f>
        <v>-1235700000</v>
      </c>
    </row>
    <row r="717" spans="1:13" x14ac:dyDescent="0.3">
      <c r="A717" s="37">
        <v>46148</v>
      </c>
      <c r="B717" s="20" t="s">
        <v>298</v>
      </c>
      <c r="C717" s="20" t="s">
        <v>132</v>
      </c>
      <c r="D717" s="38" t="s">
        <v>16</v>
      </c>
      <c r="E717" s="39" t="s">
        <v>136</v>
      </c>
      <c r="F717" s="39">
        <v>16384430.560000001</v>
      </c>
      <c r="G717" s="80" t="str">
        <f>+VLOOKUP(Tabla14[[#This Row],[FONDO]],MAESTRO!$D$2:$E$119,2,FALSE)</f>
        <v>Gma Capital</v>
      </c>
      <c r="H717" s="40" t="str">
        <f>+VLOOKUP(Tabla14[[#This Row],[FONDO]],MAESTRO!D:F,3,FALSE)</f>
        <v>(T+0)</v>
      </c>
      <c r="I717" s="39" t="s">
        <v>9</v>
      </c>
      <c r="J717" s="49"/>
      <c r="K717" s="20"/>
      <c r="L71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7" s="39">
        <f>ROUND(IF(Tabla14[[#This Row],[OPERACIÓN]]=MAESTRO!$B$2,Tabla14[CAPITAL],IF(Tabla14[[#This Row],[OPERACIÓN]]=MAESTRO!$B$5,Tabla14[CAPITAL],-Tabla14[[#This Row],[CAPITAL]])),2)</f>
        <v>16384430.560000001</v>
      </c>
    </row>
    <row r="718" spans="1:13" x14ac:dyDescent="0.3">
      <c r="A718" s="26">
        <v>46149</v>
      </c>
      <c r="B718" t="s">
        <v>292</v>
      </c>
      <c r="C718" t="s">
        <v>132</v>
      </c>
      <c r="D718" s="27" t="s">
        <v>17</v>
      </c>
      <c r="E718" s="4" t="s">
        <v>48</v>
      </c>
      <c r="F718" s="4">
        <v>30200000</v>
      </c>
      <c r="G718" s="8" t="str">
        <f>+VLOOKUP(Tabla14[[#This Row],[FONDO]],MAESTRO!$D$2:$E$119,2,FALSE)</f>
        <v>Banco Macro S.A.</v>
      </c>
      <c r="H718" s="8" t="str">
        <f>+VLOOKUP(Tabla14[[#This Row],[FONDO]],MAESTRO!D:F,3,FALSE)</f>
        <v>(T+0)</v>
      </c>
      <c r="I718" s="4" t="s">
        <v>9</v>
      </c>
      <c r="L7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8" s="4">
        <f>ROUND(IF(Tabla14[[#This Row],[OPERACIÓN]]=MAESTRO!$B$2,Tabla14[CAPITAL],IF(Tabla14[[#This Row],[OPERACIÓN]]=MAESTRO!$B$5,Tabla14[CAPITAL],-Tabla14[[#This Row],[CAPITAL]])),2)</f>
        <v>-30200000</v>
      </c>
    </row>
    <row r="719" spans="1:13" x14ac:dyDescent="0.3">
      <c r="A719" s="26">
        <v>46149</v>
      </c>
      <c r="B719" t="s">
        <v>299</v>
      </c>
      <c r="C719" t="s">
        <v>132</v>
      </c>
      <c r="D719" s="27" t="s">
        <v>17</v>
      </c>
      <c r="E719" s="4" t="s">
        <v>48</v>
      </c>
      <c r="F719" s="4">
        <v>5000000</v>
      </c>
      <c r="G719" s="8" t="str">
        <f>+VLOOKUP(Tabla14[[#This Row],[FONDO]],MAESTRO!$D$2:$E$119,2,FALSE)</f>
        <v>Banco Macro S.A.</v>
      </c>
      <c r="H719" s="8" t="str">
        <f>+VLOOKUP(Tabla14[[#This Row],[FONDO]],MAESTRO!D:F,3,FALSE)</f>
        <v>(T+0)</v>
      </c>
      <c r="I719" s="4" t="s">
        <v>9</v>
      </c>
      <c r="L7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19" s="4">
        <f>ROUND(IF(Tabla14[[#This Row],[OPERACIÓN]]=MAESTRO!$B$2,Tabla14[CAPITAL],IF(Tabla14[[#This Row],[OPERACIÓN]]=MAESTRO!$B$5,Tabla14[CAPITAL],-Tabla14[[#This Row],[CAPITAL]])),2)</f>
        <v>-5000000</v>
      </c>
    </row>
    <row r="720" spans="1:13" x14ac:dyDescent="0.3">
      <c r="A720" s="26">
        <v>46149</v>
      </c>
      <c r="B720" t="s">
        <v>298</v>
      </c>
      <c r="C720" t="s">
        <v>132</v>
      </c>
      <c r="D720" s="27" t="s">
        <v>17</v>
      </c>
      <c r="E720" s="4" t="s">
        <v>43</v>
      </c>
      <c r="F720" s="4">
        <v>391000000</v>
      </c>
      <c r="G720" s="8" t="str">
        <f>+VLOOKUP(Tabla14[[#This Row],[FONDO]],MAESTRO!$D$2:$E$119,2,FALSE)</f>
        <v>Banco Santander Rio S.A.</v>
      </c>
      <c r="H720" s="8" t="str">
        <f>+VLOOKUP(Tabla14[[#This Row],[FONDO]],MAESTRO!D:F,3,FALSE)</f>
        <v>(T+0)</v>
      </c>
      <c r="I720" s="4" t="s">
        <v>9</v>
      </c>
      <c r="L7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0" s="4">
        <f>ROUND(IF(Tabla14[[#This Row],[OPERACIÓN]]=MAESTRO!$B$2,Tabla14[CAPITAL],IF(Tabla14[[#This Row],[OPERACIÓN]]=MAESTRO!$B$5,Tabla14[CAPITAL],-Tabla14[[#This Row],[CAPITAL]])),2)</f>
        <v>-391000000</v>
      </c>
    </row>
    <row r="721" spans="1:13" x14ac:dyDescent="0.3">
      <c r="A721" s="37">
        <v>46149</v>
      </c>
      <c r="B721" s="20" t="s">
        <v>299</v>
      </c>
      <c r="C721" s="20" t="s">
        <v>132</v>
      </c>
      <c r="D721" s="38" t="s">
        <v>16</v>
      </c>
      <c r="E721" s="39" t="s">
        <v>136</v>
      </c>
      <c r="F721" s="39">
        <v>23995118</v>
      </c>
      <c r="G721" s="40" t="str">
        <f>+VLOOKUP(Tabla14[[#This Row],[FONDO]],MAESTRO!$D$2:$E$119,2,FALSE)</f>
        <v>Gma Capital</v>
      </c>
      <c r="H721" s="40" t="str">
        <f>+VLOOKUP(Tabla14[[#This Row],[FONDO]],MAESTRO!D:F,3,FALSE)</f>
        <v>(T+0)</v>
      </c>
      <c r="I721" s="39" t="s">
        <v>9</v>
      </c>
      <c r="J721" s="49"/>
      <c r="K721" s="20"/>
      <c r="L72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1" s="39">
        <f>ROUND(IF(Tabla14[[#This Row],[OPERACIÓN]]=MAESTRO!$B$2,Tabla14[CAPITAL],IF(Tabla14[[#This Row],[OPERACIÓN]]=MAESTRO!$B$5,Tabla14[CAPITAL],-Tabla14[[#This Row],[CAPITAL]])),2)</f>
        <v>23995118</v>
      </c>
    </row>
    <row r="722" spans="1:13" x14ac:dyDescent="0.3">
      <c r="A722" s="37">
        <v>46149</v>
      </c>
      <c r="B722" s="20" t="s">
        <v>299</v>
      </c>
      <c r="C722" s="20" t="s">
        <v>132</v>
      </c>
      <c r="D722" s="38" t="s">
        <v>16</v>
      </c>
      <c r="E722" s="39" t="s">
        <v>169</v>
      </c>
      <c r="F722" s="39">
        <v>243849</v>
      </c>
      <c r="G722" s="40" t="str">
        <f>+VLOOKUP(Tabla14[[#This Row],[FONDO]],MAESTRO!$D$2:$E$119,2,FALSE)</f>
        <v>Max Capital</v>
      </c>
      <c r="H722" s="40" t="str">
        <f>+VLOOKUP(Tabla14[[#This Row],[FONDO]],MAESTRO!D:F,3,FALSE)</f>
        <v>(T+0)</v>
      </c>
      <c r="I722" s="39" t="s">
        <v>9</v>
      </c>
      <c r="J722" s="49"/>
      <c r="K722" s="20"/>
      <c r="L72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2" s="39">
        <f>ROUND(IF(Tabla14[[#This Row],[OPERACIÓN]]=MAESTRO!$B$2,Tabla14[CAPITAL],IF(Tabla14[[#This Row],[OPERACIÓN]]=MAESTRO!$B$5,Tabla14[CAPITAL],-Tabla14[[#This Row],[CAPITAL]])),2)</f>
        <v>243849</v>
      </c>
    </row>
    <row r="723" spans="1:13" x14ac:dyDescent="0.3">
      <c r="A723" s="37">
        <v>46149</v>
      </c>
      <c r="B723" s="20" t="s">
        <v>292</v>
      </c>
      <c r="C723" s="20" t="s">
        <v>132</v>
      </c>
      <c r="D723" s="38" t="s">
        <v>16</v>
      </c>
      <c r="E723" s="39" t="s">
        <v>136</v>
      </c>
      <c r="F723" s="39">
        <v>26833209.649999999</v>
      </c>
      <c r="G723" s="40" t="str">
        <f>+VLOOKUP(Tabla14[[#This Row],[FONDO]],MAESTRO!$D$2:$E$119,2,FALSE)</f>
        <v>Gma Capital</v>
      </c>
      <c r="H723" s="40" t="str">
        <f>+VLOOKUP(Tabla14[[#This Row],[FONDO]],MAESTRO!D:F,3,FALSE)</f>
        <v>(T+0)</v>
      </c>
      <c r="I723" s="39" t="s">
        <v>9</v>
      </c>
      <c r="J723" s="49"/>
      <c r="K723" s="20"/>
      <c r="L72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3" s="39">
        <f>ROUND(IF(Tabla14[[#This Row],[OPERACIÓN]]=MAESTRO!$B$2,Tabla14[CAPITAL],IF(Tabla14[[#This Row],[OPERACIÓN]]=MAESTRO!$B$5,Tabla14[CAPITAL],-Tabla14[[#This Row],[CAPITAL]])),2)</f>
        <v>26833209.649999999</v>
      </c>
    </row>
    <row r="724" spans="1:13" x14ac:dyDescent="0.3">
      <c r="A724" s="37">
        <v>46149</v>
      </c>
      <c r="B724" s="20" t="s">
        <v>298</v>
      </c>
      <c r="C724" s="20" t="s">
        <v>132</v>
      </c>
      <c r="D724" s="38" t="s">
        <v>16</v>
      </c>
      <c r="E724" s="39" t="s">
        <v>136</v>
      </c>
      <c r="F724" s="39">
        <v>4586225.46</v>
      </c>
      <c r="G724" s="40" t="str">
        <f>+VLOOKUP(Tabla14[[#This Row],[FONDO]],MAESTRO!$D$2:$E$119,2,FALSE)</f>
        <v>Gma Capital</v>
      </c>
      <c r="H724" s="40" t="str">
        <f>+VLOOKUP(Tabla14[[#This Row],[FONDO]],MAESTRO!D:F,3,FALSE)</f>
        <v>(T+0)</v>
      </c>
      <c r="I724" s="39" t="s">
        <v>9</v>
      </c>
      <c r="J724" s="49"/>
      <c r="K724" s="20"/>
      <c r="L72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4" s="39">
        <f>ROUND(IF(Tabla14[[#This Row],[OPERACIÓN]]=MAESTRO!$B$2,Tabla14[CAPITAL],IF(Tabla14[[#This Row],[OPERACIÓN]]=MAESTRO!$B$5,Tabla14[CAPITAL],-Tabla14[[#This Row],[CAPITAL]])),2)</f>
        <v>4586225.46</v>
      </c>
    </row>
    <row r="725" spans="1:13" x14ac:dyDescent="0.3">
      <c r="A725" s="37">
        <v>46149</v>
      </c>
      <c r="B725" s="20" t="s">
        <v>298</v>
      </c>
      <c r="C725" s="20" t="s">
        <v>132</v>
      </c>
      <c r="D725" s="38" t="s">
        <v>16</v>
      </c>
      <c r="E725" s="39" t="s">
        <v>169</v>
      </c>
      <c r="F725" s="39">
        <v>2498561.5499999998</v>
      </c>
      <c r="G725" s="40" t="str">
        <f>+VLOOKUP(Tabla14[[#This Row],[FONDO]],MAESTRO!$D$2:$E$119,2,FALSE)</f>
        <v>Max Capital</v>
      </c>
      <c r="H725" s="40" t="str">
        <f>+VLOOKUP(Tabla14[[#This Row],[FONDO]],MAESTRO!D:F,3,FALSE)</f>
        <v>(T+0)</v>
      </c>
      <c r="I725" s="39" t="s">
        <v>9</v>
      </c>
      <c r="J725" s="49"/>
      <c r="K725" s="20"/>
      <c r="L72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5" s="39">
        <f>ROUND(IF(Tabla14[[#This Row],[OPERACIÓN]]=MAESTRO!$B$2,Tabla14[CAPITAL],IF(Tabla14[[#This Row],[OPERACIÓN]]=MAESTRO!$B$5,Tabla14[CAPITAL],-Tabla14[[#This Row],[CAPITAL]])),2)</f>
        <v>2498561.5499999998</v>
      </c>
    </row>
    <row r="726" spans="1:13" x14ac:dyDescent="0.3">
      <c r="A726" s="26">
        <v>46150</v>
      </c>
      <c r="B726" t="s">
        <v>298</v>
      </c>
      <c r="C726" t="s">
        <v>132</v>
      </c>
      <c r="D726" s="27" t="s">
        <v>17</v>
      </c>
      <c r="E726" s="4" t="s">
        <v>43</v>
      </c>
      <c r="F726" s="4">
        <v>302000000</v>
      </c>
      <c r="G726" s="81" t="str">
        <f>+VLOOKUP(Tabla14[[#This Row],[FONDO]],MAESTRO!$D$2:$E$119,2,FALSE)</f>
        <v>Banco Santander Rio S.A.</v>
      </c>
      <c r="H726" s="8" t="str">
        <f>+VLOOKUP(Tabla14[[#This Row],[FONDO]],MAESTRO!D:F,3,FALSE)</f>
        <v>(T+0)</v>
      </c>
      <c r="I726" s="4" t="s">
        <v>9</v>
      </c>
      <c r="L7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6" s="4">
        <f>ROUND(IF(Tabla14[[#This Row],[OPERACIÓN]]=MAESTRO!$B$2,Tabla14[CAPITAL],IF(Tabla14[[#This Row],[OPERACIÓN]]=MAESTRO!$B$5,Tabla14[CAPITAL],-Tabla14[[#This Row],[CAPITAL]])),2)</f>
        <v>-302000000</v>
      </c>
    </row>
    <row r="727" spans="1:13" x14ac:dyDescent="0.3">
      <c r="A727" s="26">
        <v>46150</v>
      </c>
      <c r="B727" t="s">
        <v>292</v>
      </c>
      <c r="C727" t="s">
        <v>132</v>
      </c>
      <c r="D727" s="27" t="s">
        <v>16</v>
      </c>
      <c r="E727" s="4" t="s">
        <v>48</v>
      </c>
      <c r="F727" s="4">
        <v>354600000</v>
      </c>
      <c r="G727" s="81" t="str">
        <f>+VLOOKUP(Tabla14[[#This Row],[FONDO]],MAESTRO!$D$2:$E$119,2,FALSE)</f>
        <v>Banco Macro S.A.</v>
      </c>
      <c r="H727" s="8" t="str">
        <f>+VLOOKUP(Tabla14[[#This Row],[FONDO]],MAESTRO!D:F,3,FALSE)</f>
        <v>(T+0)</v>
      </c>
      <c r="I727" s="4" t="s">
        <v>9</v>
      </c>
      <c r="L7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7" s="4">
        <f>ROUND(IF(Tabla14[[#This Row],[OPERACIÓN]]=MAESTRO!$B$2,Tabla14[CAPITAL],IF(Tabla14[[#This Row],[OPERACIÓN]]=MAESTRO!$B$5,Tabla14[CAPITAL],-Tabla14[[#This Row],[CAPITAL]])),2)</f>
        <v>354600000</v>
      </c>
    </row>
    <row r="728" spans="1:13" x14ac:dyDescent="0.3">
      <c r="A728" s="26">
        <v>46150</v>
      </c>
      <c r="B728" t="s">
        <v>299</v>
      </c>
      <c r="C728" t="s">
        <v>132</v>
      </c>
      <c r="D728" s="27" t="s">
        <v>16</v>
      </c>
      <c r="E728" s="4" t="s">
        <v>48</v>
      </c>
      <c r="F728" s="4">
        <v>32300000</v>
      </c>
      <c r="G728" s="81" t="str">
        <f>+VLOOKUP(Tabla14[[#This Row],[FONDO]],MAESTRO!$D$2:$E$119,2,FALSE)</f>
        <v>Banco Macro S.A.</v>
      </c>
      <c r="H728" s="8" t="str">
        <f>+VLOOKUP(Tabla14[[#This Row],[FONDO]],MAESTRO!D:F,3,FALSE)</f>
        <v>(T+0)</v>
      </c>
      <c r="I728" s="4" t="s">
        <v>9</v>
      </c>
      <c r="L7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8" s="4">
        <f>ROUND(IF(Tabla14[[#This Row],[OPERACIÓN]]=MAESTRO!$B$2,Tabla14[CAPITAL],IF(Tabla14[[#This Row],[OPERACIÓN]]=MAESTRO!$B$5,Tabla14[CAPITAL],-Tabla14[[#This Row],[CAPITAL]])),2)</f>
        <v>32300000</v>
      </c>
    </row>
    <row r="729" spans="1:13" x14ac:dyDescent="0.3">
      <c r="A729" s="26">
        <v>46150</v>
      </c>
      <c r="B729" t="s">
        <v>298</v>
      </c>
      <c r="C729" t="s">
        <v>132</v>
      </c>
      <c r="D729" s="27" t="s">
        <v>17</v>
      </c>
      <c r="E729" s="4" t="s">
        <v>136</v>
      </c>
      <c r="F729" s="4">
        <v>72704297.480000004</v>
      </c>
      <c r="G729" s="81" t="str">
        <f>+VLOOKUP(Tabla14[[#This Row],[FONDO]],MAESTRO!$D$2:$E$119,2,FALSE)</f>
        <v>Gma Capital</v>
      </c>
      <c r="H729" s="8" t="str">
        <f>+VLOOKUP(Tabla14[[#This Row],[FONDO]],MAESTRO!D:F,3,FALSE)</f>
        <v>(T+0)</v>
      </c>
      <c r="I729" s="4" t="s">
        <v>9</v>
      </c>
      <c r="L7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29" s="4">
        <f>ROUND(IF(Tabla14[[#This Row],[OPERACIÓN]]=MAESTRO!$B$2,Tabla14[CAPITAL],IF(Tabla14[[#This Row],[OPERACIÓN]]=MAESTRO!$B$5,Tabla14[CAPITAL],-Tabla14[[#This Row],[CAPITAL]])),2)</f>
        <v>-72704297.480000004</v>
      </c>
    </row>
    <row r="730" spans="1:13" x14ac:dyDescent="0.3">
      <c r="A730" s="26">
        <v>46150</v>
      </c>
      <c r="B730" t="s">
        <v>298</v>
      </c>
      <c r="C730" t="s">
        <v>132</v>
      </c>
      <c r="D730" s="27" t="s">
        <v>17</v>
      </c>
      <c r="E730" s="4" t="s">
        <v>136</v>
      </c>
      <c r="F730" s="4">
        <v>125057027.92</v>
      </c>
      <c r="G730" s="81" t="str">
        <f>+VLOOKUP(Tabla14[[#This Row],[FONDO]],MAESTRO!$D$2:$E$119,2,FALSE)</f>
        <v>Gma Capital</v>
      </c>
      <c r="H730" s="8" t="str">
        <f>+VLOOKUP(Tabla14[[#This Row],[FONDO]],MAESTRO!D:F,3,FALSE)</f>
        <v>(T+0)</v>
      </c>
      <c r="I730" s="4" t="s">
        <v>9</v>
      </c>
      <c r="L7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0" s="4">
        <f>ROUND(IF(Tabla14[[#This Row],[OPERACIÓN]]=MAESTRO!$B$2,Tabla14[CAPITAL],IF(Tabla14[[#This Row],[OPERACIÓN]]=MAESTRO!$B$5,Tabla14[CAPITAL],-Tabla14[[#This Row],[CAPITAL]])),2)</f>
        <v>-125057027.92</v>
      </c>
    </row>
    <row r="731" spans="1:13" x14ac:dyDescent="0.3">
      <c r="A731" s="26">
        <v>46153</v>
      </c>
      <c r="B731" t="s">
        <v>292</v>
      </c>
      <c r="C731" t="s">
        <v>132</v>
      </c>
      <c r="D731" s="27" t="s">
        <v>17</v>
      </c>
      <c r="E731" s="4" t="s">
        <v>48</v>
      </c>
      <c r="F731" s="4">
        <v>356800000</v>
      </c>
      <c r="G731" s="81" t="str">
        <f>+VLOOKUP(Tabla14[[#This Row],[FONDO]],MAESTRO!$D$2:$E$119,2,FALSE)</f>
        <v>Banco Macro S.A.</v>
      </c>
      <c r="H731" s="8" t="str">
        <f>+VLOOKUP(Tabla14[[#This Row],[FONDO]],MAESTRO!D:F,3,FALSE)</f>
        <v>(T+0)</v>
      </c>
      <c r="I731" s="4" t="s">
        <v>9</v>
      </c>
      <c r="L7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1" s="4">
        <f>ROUND(IF(Tabla14[[#This Row],[OPERACIÓN]]=MAESTRO!$B$2,Tabla14[CAPITAL],IF(Tabla14[[#This Row],[OPERACIÓN]]=MAESTRO!$B$5,Tabla14[CAPITAL],-Tabla14[[#This Row],[CAPITAL]])),2)</f>
        <v>-356800000</v>
      </c>
    </row>
    <row r="732" spans="1:13" x14ac:dyDescent="0.3">
      <c r="A732" s="26">
        <v>46153</v>
      </c>
      <c r="B732" t="s">
        <v>299</v>
      </c>
      <c r="C732" t="s">
        <v>132</v>
      </c>
      <c r="D732" s="27" t="s">
        <v>17</v>
      </c>
      <c r="E732" s="4" t="s">
        <v>48</v>
      </c>
      <c r="F732" s="4">
        <v>110300000</v>
      </c>
      <c r="G732" s="81" t="str">
        <f>+VLOOKUP(Tabla14[[#This Row],[FONDO]],MAESTRO!$D$2:$E$119,2,FALSE)</f>
        <v>Banco Macro S.A.</v>
      </c>
      <c r="H732" s="8" t="str">
        <f>+VLOOKUP(Tabla14[[#This Row],[FONDO]],MAESTRO!D:F,3,FALSE)</f>
        <v>(T+0)</v>
      </c>
      <c r="I732" s="4" t="s">
        <v>9</v>
      </c>
      <c r="L7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2" s="4">
        <f>ROUND(IF(Tabla14[[#This Row],[OPERACIÓN]]=MAESTRO!$B$2,Tabla14[CAPITAL],IF(Tabla14[[#This Row],[OPERACIÓN]]=MAESTRO!$B$5,Tabla14[CAPITAL],-Tabla14[[#This Row],[CAPITAL]])),2)</f>
        <v>-110300000</v>
      </c>
    </row>
    <row r="733" spans="1:13" x14ac:dyDescent="0.3">
      <c r="A733" s="26">
        <v>46153</v>
      </c>
      <c r="B733" t="s">
        <v>298</v>
      </c>
      <c r="C733" t="s">
        <v>132</v>
      </c>
      <c r="D733" s="27" t="s">
        <v>17</v>
      </c>
      <c r="E733" s="4" t="s">
        <v>43</v>
      </c>
      <c r="F733" s="4">
        <v>1202100000</v>
      </c>
      <c r="G733" s="81" t="str">
        <f>+VLOOKUP(Tabla14[[#This Row],[FONDO]],MAESTRO!$D$2:$E$119,2,FALSE)</f>
        <v>Banco Santander Rio S.A.</v>
      </c>
      <c r="H733" s="8" t="str">
        <f>+VLOOKUP(Tabla14[[#This Row],[FONDO]],MAESTRO!D:F,3,FALSE)</f>
        <v>(T+0)</v>
      </c>
      <c r="I733" s="4" t="s">
        <v>9</v>
      </c>
      <c r="L7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3" s="4">
        <f>ROUND(IF(Tabla14[[#This Row],[OPERACIÓN]]=MAESTRO!$B$2,Tabla14[CAPITAL],IF(Tabla14[[#This Row],[OPERACIÓN]]=MAESTRO!$B$5,Tabla14[CAPITAL],-Tabla14[[#This Row],[CAPITAL]])),2)</f>
        <v>-1202100000</v>
      </c>
    </row>
    <row r="734" spans="1:13" x14ac:dyDescent="0.3">
      <c r="A734" s="26">
        <v>46153</v>
      </c>
      <c r="B734" t="s">
        <v>298</v>
      </c>
      <c r="C734" t="s">
        <v>132</v>
      </c>
      <c r="D734" s="27" t="s">
        <v>17</v>
      </c>
      <c r="E734" s="4" t="s">
        <v>43</v>
      </c>
      <c r="F734" s="4">
        <v>13300000</v>
      </c>
      <c r="G734" s="81" t="str">
        <f>+VLOOKUP(Tabla14[[#This Row],[FONDO]],MAESTRO!$D$2:$E$119,2,FALSE)</f>
        <v>Banco Santander Rio S.A.</v>
      </c>
      <c r="H734" s="8" t="str">
        <f>+VLOOKUP(Tabla14[[#This Row],[FONDO]],MAESTRO!D:F,3,FALSE)</f>
        <v>(T+0)</v>
      </c>
      <c r="I734" s="4" t="s">
        <v>9</v>
      </c>
      <c r="L7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4" s="4">
        <f>ROUND(IF(Tabla14[[#This Row],[OPERACIÓN]]=MAESTRO!$B$2,Tabla14[CAPITAL],IF(Tabla14[[#This Row],[OPERACIÓN]]=MAESTRO!$B$5,Tabla14[CAPITAL],-Tabla14[[#This Row],[CAPITAL]])),2)</f>
        <v>-13300000</v>
      </c>
    </row>
    <row r="735" spans="1:13" x14ac:dyDescent="0.3">
      <c r="A735" s="26">
        <v>46153</v>
      </c>
      <c r="B735" t="s">
        <v>298</v>
      </c>
      <c r="C735" t="s">
        <v>132</v>
      </c>
      <c r="D735" s="27" t="s">
        <v>17</v>
      </c>
      <c r="E735" s="4" t="s">
        <v>136</v>
      </c>
      <c r="F735" s="4">
        <v>65062411.549999997</v>
      </c>
      <c r="G735" s="81" t="str">
        <f>+VLOOKUP(Tabla14[[#This Row],[FONDO]],MAESTRO!$D$2:$E$119,2,FALSE)</f>
        <v>Gma Capital</v>
      </c>
      <c r="H735" s="8" t="str">
        <f>+VLOOKUP(Tabla14[[#This Row],[FONDO]],MAESTRO!D:F,3,FALSE)</f>
        <v>(T+0)</v>
      </c>
      <c r="I735" s="4" t="s">
        <v>9</v>
      </c>
      <c r="L7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5" s="4">
        <f>ROUND(IF(Tabla14[[#This Row],[OPERACIÓN]]=MAESTRO!$B$2,Tabla14[CAPITAL],IF(Tabla14[[#This Row],[OPERACIÓN]]=MAESTRO!$B$5,Tabla14[CAPITAL],-Tabla14[[#This Row],[CAPITAL]])),2)</f>
        <v>-65062411.549999997</v>
      </c>
    </row>
    <row r="736" spans="1:13" x14ac:dyDescent="0.3">
      <c r="A736" s="26">
        <v>46153</v>
      </c>
      <c r="B736" t="s">
        <v>298</v>
      </c>
      <c r="C736" t="s">
        <v>132</v>
      </c>
      <c r="D736" s="27" t="s">
        <v>17</v>
      </c>
      <c r="E736" s="4" t="s">
        <v>136</v>
      </c>
      <c r="F736" s="4">
        <v>69745699.829999998</v>
      </c>
      <c r="G736" s="81" t="str">
        <f>+VLOOKUP(Tabla14[[#This Row],[FONDO]],MAESTRO!$D$2:$E$119,2,FALSE)</f>
        <v>Gma Capital</v>
      </c>
      <c r="H736" s="8" t="str">
        <f>+VLOOKUP(Tabla14[[#This Row],[FONDO]],MAESTRO!D:F,3,FALSE)</f>
        <v>(T+0)</v>
      </c>
      <c r="I736" s="4" t="s">
        <v>9</v>
      </c>
      <c r="L7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6" s="4">
        <f>ROUND(IF(Tabla14[[#This Row],[OPERACIÓN]]=MAESTRO!$B$2,Tabla14[CAPITAL],IF(Tabla14[[#This Row],[OPERACIÓN]]=MAESTRO!$B$5,Tabla14[CAPITAL],-Tabla14[[#This Row],[CAPITAL]])),2)</f>
        <v>-69745699.829999998</v>
      </c>
    </row>
    <row r="737" spans="1:13" x14ac:dyDescent="0.3">
      <c r="A737" s="26">
        <v>46153</v>
      </c>
      <c r="B737" t="s">
        <v>298</v>
      </c>
      <c r="C737" t="s">
        <v>132</v>
      </c>
      <c r="D737" s="27" t="s">
        <v>17</v>
      </c>
      <c r="E737" s="4" t="s">
        <v>169</v>
      </c>
      <c r="F737" s="4">
        <v>65476155.75</v>
      </c>
      <c r="G737" s="81" t="str">
        <f>+VLOOKUP(Tabla14[[#This Row],[FONDO]],MAESTRO!$D$2:$E$119,2,FALSE)</f>
        <v>Max Capital</v>
      </c>
      <c r="H737" s="8" t="str">
        <f>+VLOOKUP(Tabla14[[#This Row],[FONDO]],MAESTRO!D:F,3,FALSE)</f>
        <v>(T+0)</v>
      </c>
      <c r="I737" s="4" t="s">
        <v>9</v>
      </c>
      <c r="L7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7" s="4">
        <f>ROUND(IF(Tabla14[[#This Row],[OPERACIÓN]]=MAESTRO!$B$2,Tabla14[CAPITAL],IF(Tabla14[[#This Row],[OPERACIÓN]]=MAESTRO!$B$5,Tabla14[CAPITAL],-Tabla14[[#This Row],[CAPITAL]])),2)</f>
        <v>-65476155.75</v>
      </c>
    </row>
    <row r="738" spans="1:13" x14ac:dyDescent="0.3">
      <c r="A738" s="26">
        <v>46153</v>
      </c>
      <c r="B738" t="s">
        <v>298</v>
      </c>
      <c r="C738" t="s">
        <v>132</v>
      </c>
      <c r="D738" s="27" t="s">
        <v>17</v>
      </c>
      <c r="E738" s="4" t="s">
        <v>169</v>
      </c>
      <c r="F738" s="4">
        <v>42886881.920000002</v>
      </c>
      <c r="G738" s="81" t="str">
        <f>+VLOOKUP(Tabla14[[#This Row],[FONDO]],MAESTRO!$D$2:$E$119,2,FALSE)</f>
        <v>Max Capital</v>
      </c>
      <c r="H738" s="8" t="str">
        <f>+VLOOKUP(Tabla14[[#This Row],[FONDO]],MAESTRO!D:F,3,FALSE)</f>
        <v>(T+0)</v>
      </c>
      <c r="I738" s="4" t="s">
        <v>9</v>
      </c>
      <c r="L7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8" s="4">
        <f>ROUND(IF(Tabla14[[#This Row],[OPERACIÓN]]=MAESTRO!$B$2,Tabla14[CAPITAL],IF(Tabla14[[#This Row],[OPERACIÓN]]=MAESTRO!$B$5,Tabla14[CAPITAL],-Tabla14[[#This Row],[CAPITAL]])),2)</f>
        <v>-42886881.920000002</v>
      </c>
    </row>
    <row r="739" spans="1:13" x14ac:dyDescent="0.3">
      <c r="A739" s="26">
        <v>46153</v>
      </c>
      <c r="B739" t="s">
        <v>298</v>
      </c>
      <c r="C739" t="s">
        <v>132</v>
      </c>
      <c r="D739" s="27" t="s">
        <v>17</v>
      </c>
      <c r="E739" s="4" t="s">
        <v>180</v>
      </c>
      <c r="F739" s="4">
        <v>21929233.91</v>
      </c>
      <c r="G739" s="81" t="str">
        <f>+VLOOKUP(Tabla14[[#This Row],[FONDO]],MAESTRO!$D$2:$E$119,2,FALSE)</f>
        <v>PP Inversiones</v>
      </c>
      <c r="H739" s="8" t="str">
        <f>+VLOOKUP(Tabla14[[#This Row],[FONDO]],MAESTRO!D:F,3,FALSE)</f>
        <v>(T+0)</v>
      </c>
      <c r="I739" s="4" t="s">
        <v>9</v>
      </c>
      <c r="L7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39" s="4">
        <f>ROUND(IF(Tabla14[[#This Row],[OPERACIÓN]]=MAESTRO!$B$2,Tabla14[CAPITAL],IF(Tabla14[[#This Row],[OPERACIÓN]]=MAESTRO!$B$5,Tabla14[CAPITAL],-Tabla14[[#This Row],[CAPITAL]])),2)</f>
        <v>-21929233.91</v>
      </c>
    </row>
    <row r="740" spans="1:13" x14ac:dyDescent="0.3">
      <c r="A740" s="26">
        <v>46153</v>
      </c>
      <c r="B740" t="s">
        <v>299</v>
      </c>
      <c r="C740" t="s">
        <v>132</v>
      </c>
      <c r="D740" s="27" t="s">
        <v>16</v>
      </c>
      <c r="E740" s="4" t="s">
        <v>169</v>
      </c>
      <c r="F740" s="4">
        <v>249777021.33000001</v>
      </c>
      <c r="G740" s="81" t="str">
        <f>+VLOOKUP(Tabla14[[#This Row],[FONDO]],MAESTRO!$D$2:$E$119,2,FALSE)</f>
        <v>Max Capital</v>
      </c>
      <c r="H740" s="8" t="str">
        <f>+VLOOKUP(Tabla14[[#This Row],[FONDO]],MAESTRO!D:F,3,FALSE)</f>
        <v>(T+0)</v>
      </c>
      <c r="I740" s="4" t="s">
        <v>9</v>
      </c>
      <c r="L7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40" s="4">
        <f>ROUND(IF(Tabla14[[#This Row],[OPERACIÓN]]=MAESTRO!$B$2,Tabla14[CAPITAL],IF(Tabla14[[#This Row],[OPERACIÓN]]=MAESTRO!$B$5,Tabla14[CAPITAL],-Tabla14[[#This Row],[CAPITAL]])),2)</f>
        <v>249777021.33000001</v>
      </c>
    </row>
    <row r="741" spans="1:13" x14ac:dyDescent="0.3">
      <c r="A741" s="26">
        <v>46153</v>
      </c>
      <c r="B741" t="s">
        <v>292</v>
      </c>
      <c r="C741" t="s">
        <v>132</v>
      </c>
      <c r="D741" s="27" t="s">
        <v>16</v>
      </c>
      <c r="E741" s="4" t="s">
        <v>136</v>
      </c>
      <c r="F741" s="4">
        <v>86379069.209999993</v>
      </c>
      <c r="G741" s="81" t="str">
        <f>+VLOOKUP(Tabla14[[#This Row],[FONDO]],MAESTRO!$D$2:$E$119,2,FALSE)</f>
        <v>Gma Capital</v>
      </c>
      <c r="H741" s="8" t="str">
        <f>+VLOOKUP(Tabla14[[#This Row],[FONDO]],MAESTRO!D:F,3,FALSE)</f>
        <v>(T+0)</v>
      </c>
      <c r="I741" s="4" t="s">
        <v>9</v>
      </c>
      <c r="L7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41" s="4">
        <f>ROUND(IF(Tabla14[[#This Row],[OPERACIÓN]]=MAESTRO!$B$2,Tabla14[CAPITAL],IF(Tabla14[[#This Row],[OPERACIÓN]]=MAESTRO!$B$5,Tabla14[CAPITAL],-Tabla14[[#This Row],[CAPITAL]])),2)</f>
        <v>86379069.209999993</v>
      </c>
    </row>
    <row r="742" spans="1:13" x14ac:dyDescent="0.3">
      <c r="A742" s="26">
        <v>46153</v>
      </c>
      <c r="B742" t="s">
        <v>298</v>
      </c>
      <c r="C742" t="s">
        <v>172</v>
      </c>
      <c r="D742" s="27" t="s">
        <v>17</v>
      </c>
      <c r="E742" s="4" t="s">
        <v>202</v>
      </c>
      <c r="F742" s="4">
        <v>700000</v>
      </c>
      <c r="G742" s="8" t="str">
        <f>+VLOOKUP(Tabla14[[#This Row],[FONDO]],MAESTRO!$D$2:$E$119,2,FALSE)</f>
        <v>Gma Capital</v>
      </c>
      <c r="H742" s="8" t="str">
        <f>+VLOOKUP(Tabla14[[#This Row],[FONDO]],MAESTRO!D:F,3,FALSE)</f>
        <v>USD DL</v>
      </c>
      <c r="I742" s="4" t="s">
        <v>7</v>
      </c>
      <c r="J742" s="23">
        <v>46330</v>
      </c>
      <c r="K742">
        <v>5</v>
      </c>
      <c r="L742" t="s">
        <v>287</v>
      </c>
      <c r="M742" s="4">
        <f>ROUND(IF(Tabla14[[#This Row],[OPERACIÓN]]=MAESTRO!$B$2,Tabla14[CAPITAL],IF(Tabla14[[#This Row],[OPERACIÓN]]=MAESTRO!$B$5,Tabla14[CAPITAL],-Tabla14[[#This Row],[CAPITAL]])),2)</f>
        <v>-700000</v>
      </c>
    </row>
    <row r="743" spans="1:13" x14ac:dyDescent="0.3">
      <c r="A743" s="26">
        <v>46153</v>
      </c>
      <c r="B743" t="s">
        <v>298</v>
      </c>
      <c r="C743" t="s">
        <v>172</v>
      </c>
      <c r="D743" s="27" t="s">
        <v>17</v>
      </c>
      <c r="E743" s="4" t="s">
        <v>202</v>
      </c>
      <c r="F743" s="4">
        <v>900000</v>
      </c>
      <c r="G743" s="8" t="str">
        <f>+VLOOKUP(Tabla14[[#This Row],[FONDO]],MAESTRO!$D$2:$E$119,2,FALSE)</f>
        <v>Gma Capital</v>
      </c>
      <c r="H743" s="8" t="str">
        <f>+VLOOKUP(Tabla14[[#This Row],[FONDO]],MAESTRO!D:F,3,FALSE)</f>
        <v>USD DL</v>
      </c>
      <c r="I743" s="4" t="s">
        <v>7</v>
      </c>
      <c r="J743" s="23" t="s">
        <v>272</v>
      </c>
      <c r="K743" s="19">
        <v>0.05</v>
      </c>
      <c r="L743" t="s">
        <v>276</v>
      </c>
      <c r="M743" s="4">
        <f>ROUND(IF(Tabla14[[#This Row],[OPERACIÓN]]=MAESTRO!$B$2,Tabla14[CAPITAL],IF(Tabla14[[#This Row],[OPERACIÓN]]=MAESTRO!$B$5,Tabla14[CAPITAL],-Tabla14[[#This Row],[CAPITAL]])),2)</f>
        <v>-900000</v>
      </c>
    </row>
    <row r="744" spans="1:13" x14ac:dyDescent="0.3">
      <c r="A744" s="26">
        <v>46153</v>
      </c>
      <c r="B744" t="s">
        <v>298</v>
      </c>
      <c r="C744" t="s">
        <v>172</v>
      </c>
      <c r="D744" s="27" t="s">
        <v>17</v>
      </c>
      <c r="E744" s="4" t="s">
        <v>202</v>
      </c>
      <c r="F744" s="4">
        <v>1000000</v>
      </c>
      <c r="G744" s="8" t="str">
        <f>+VLOOKUP(Tabla14[[#This Row],[FONDO]],MAESTRO!$D$2:$E$119,2,FALSE)</f>
        <v>Gma Capital</v>
      </c>
      <c r="H744" s="8" t="str">
        <f>+VLOOKUP(Tabla14[[#This Row],[FONDO]],MAESTRO!D:F,3,FALSE)</f>
        <v>USD DL</v>
      </c>
      <c r="I744" s="4" t="s">
        <v>7</v>
      </c>
      <c r="J744" s="23" t="s">
        <v>280</v>
      </c>
      <c r="K744">
        <v>5</v>
      </c>
      <c r="L744" t="s">
        <v>281</v>
      </c>
      <c r="M744" s="4">
        <f>ROUND(IF(Tabla14[[#This Row],[OPERACIÓN]]=MAESTRO!$B$2,Tabla14[CAPITAL],IF(Tabla14[[#This Row],[OPERACIÓN]]=MAESTRO!$B$5,Tabla14[CAPITAL],-Tabla14[[#This Row],[CAPITAL]])),2)</f>
        <v>-1000000</v>
      </c>
    </row>
    <row r="745" spans="1:13" x14ac:dyDescent="0.3">
      <c r="A745" s="26">
        <v>46153</v>
      </c>
      <c r="B745" t="s">
        <v>298</v>
      </c>
      <c r="C745" t="s">
        <v>172</v>
      </c>
      <c r="D745" s="27" t="s">
        <v>17</v>
      </c>
      <c r="E745" s="4" t="s">
        <v>202</v>
      </c>
      <c r="F745" s="4">
        <v>300000</v>
      </c>
      <c r="G745" s="8" t="str">
        <f>+VLOOKUP(Tabla14[[#This Row],[FONDO]],MAESTRO!$D$2:$E$119,2,FALSE)</f>
        <v>Gma Capital</v>
      </c>
      <c r="H745" s="8" t="str">
        <f>+VLOOKUP(Tabla14[[#This Row],[FONDO]],MAESTRO!D:F,3,FALSE)</f>
        <v>USD DL</v>
      </c>
      <c r="I745" s="4" t="s">
        <v>7</v>
      </c>
      <c r="J745" s="23">
        <v>46358</v>
      </c>
      <c r="K745">
        <v>5</v>
      </c>
      <c r="L745" t="s">
        <v>285</v>
      </c>
      <c r="M745" s="4">
        <f>ROUND(IF(Tabla14[[#This Row],[OPERACIÓN]]=MAESTRO!$B$2,Tabla14[CAPITAL],IF(Tabla14[[#This Row],[OPERACIÓN]]=MAESTRO!$B$5,Tabla14[CAPITAL],-Tabla14[[#This Row],[CAPITAL]])),2)</f>
        <v>-300000</v>
      </c>
    </row>
    <row r="746" spans="1:13" x14ac:dyDescent="0.3">
      <c r="A746" s="26">
        <v>46153</v>
      </c>
      <c r="B746" t="s">
        <v>298</v>
      </c>
      <c r="C746" t="s">
        <v>172</v>
      </c>
      <c r="D746" s="27" t="s">
        <v>17</v>
      </c>
      <c r="E746" s="4" t="s">
        <v>202</v>
      </c>
      <c r="F746" s="4">
        <v>400000</v>
      </c>
      <c r="G746" s="8" t="str">
        <f>+VLOOKUP(Tabla14[[#This Row],[FONDO]],MAESTRO!$D$2:$E$119,2,FALSE)</f>
        <v>Gma Capital</v>
      </c>
      <c r="H746" s="8" t="str">
        <f>+VLOOKUP(Tabla14[[#This Row],[FONDO]],MAESTRO!D:F,3,FALSE)</f>
        <v>USD DL</v>
      </c>
      <c r="I746" s="4" t="s">
        <v>7</v>
      </c>
      <c r="J746" s="23" t="s">
        <v>283</v>
      </c>
      <c r="K746">
        <v>5</v>
      </c>
      <c r="L746" t="s">
        <v>286</v>
      </c>
      <c r="M746" s="4">
        <f>ROUND(IF(Tabla14[[#This Row],[OPERACIÓN]]=MAESTRO!$B$2,Tabla14[CAPITAL],IF(Tabla14[[#This Row],[OPERACIÓN]]=MAESTRO!$B$5,Tabla14[CAPITAL],-Tabla14[[#This Row],[CAPITAL]])),2)</f>
        <v>-400000</v>
      </c>
    </row>
    <row r="747" spans="1:13" x14ac:dyDescent="0.3">
      <c r="A747" s="26">
        <v>46153</v>
      </c>
      <c r="B747" t="s">
        <v>292</v>
      </c>
      <c r="C747" t="s">
        <v>132</v>
      </c>
      <c r="D747" s="27" t="s">
        <v>17</v>
      </c>
      <c r="E747" s="4" t="s">
        <v>136</v>
      </c>
      <c r="F747" s="4">
        <v>4484092131</v>
      </c>
      <c r="G747" s="8" t="str">
        <f>+VLOOKUP(Tabla14[[#This Row],[FONDO]],MAESTRO!$D$2:$E$119,2,FALSE)</f>
        <v>Gma Capital</v>
      </c>
      <c r="H747" s="8" t="str">
        <f>+VLOOKUP(Tabla14[[#This Row],[FONDO]],MAESTRO!D:F,3,FALSE)</f>
        <v>(T+0)</v>
      </c>
      <c r="I747" s="4" t="s">
        <v>9</v>
      </c>
      <c r="L7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47" s="4">
        <f>ROUND(IF(Tabla14[[#This Row],[OPERACIÓN]]=MAESTRO!$B$2,Tabla14[CAPITAL],IF(Tabla14[[#This Row],[OPERACIÓN]]=MAESTRO!$B$5,Tabla14[CAPITAL],-Tabla14[[#This Row],[CAPITAL]])),2)</f>
        <v>-4484092131</v>
      </c>
    </row>
    <row r="748" spans="1:13" x14ac:dyDescent="0.3">
      <c r="A748" s="26">
        <v>46153</v>
      </c>
      <c r="B748" t="s">
        <v>298</v>
      </c>
      <c r="C748" t="s">
        <v>132</v>
      </c>
      <c r="D748" s="27" t="s">
        <v>16</v>
      </c>
      <c r="E748" s="4" t="s">
        <v>136</v>
      </c>
      <c r="F748" s="4">
        <v>4473191117</v>
      </c>
      <c r="G748" s="8" t="str">
        <f>+VLOOKUP(Tabla14[[#This Row],[FONDO]],MAESTRO!$D$2:$E$119,2,FALSE)</f>
        <v>Gma Capital</v>
      </c>
      <c r="H748" s="8" t="str">
        <f>+VLOOKUP(Tabla14[[#This Row],[FONDO]],MAESTRO!D:F,3,FALSE)</f>
        <v>(T+0)</v>
      </c>
      <c r="I748" s="4" t="s">
        <v>9</v>
      </c>
      <c r="L7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48" s="4">
        <f>ROUND(IF(Tabla14[[#This Row],[OPERACIÓN]]=MAESTRO!$B$2,Tabla14[CAPITAL],IF(Tabla14[[#This Row],[OPERACIÓN]]=MAESTRO!$B$5,Tabla14[CAPITAL],-Tabla14[[#This Row],[CAPITAL]])),2)</f>
        <v>4473191117</v>
      </c>
    </row>
    <row r="749" spans="1:13" x14ac:dyDescent="0.3">
      <c r="A749" s="26">
        <v>46154</v>
      </c>
      <c r="B749" t="s">
        <v>298</v>
      </c>
      <c r="C749" t="s">
        <v>132</v>
      </c>
      <c r="D749" s="27" t="s">
        <v>17</v>
      </c>
      <c r="E749" s="4" t="s">
        <v>43</v>
      </c>
      <c r="F749" s="4">
        <v>729000000</v>
      </c>
      <c r="G749" s="81" t="str">
        <f>+VLOOKUP(Tabla14[[#This Row],[FONDO]],MAESTRO!$D$2:$E$119,2,FALSE)</f>
        <v>Banco Santander Rio S.A.</v>
      </c>
      <c r="H749" s="8" t="str">
        <f>+VLOOKUP(Tabla14[[#This Row],[FONDO]],MAESTRO!D:F,3,FALSE)</f>
        <v>(T+0)</v>
      </c>
      <c r="I749" s="4" t="s">
        <v>9</v>
      </c>
      <c r="L7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49" s="4">
        <f>ROUND(IF(Tabla14[[#This Row],[OPERACIÓN]]=MAESTRO!$B$2,Tabla14[CAPITAL],IF(Tabla14[[#This Row],[OPERACIÓN]]=MAESTRO!$B$5,Tabla14[CAPITAL],-Tabla14[[#This Row],[CAPITAL]])),2)</f>
        <v>-729000000</v>
      </c>
    </row>
    <row r="750" spans="1:13" x14ac:dyDescent="0.3">
      <c r="A750" s="26">
        <v>46154</v>
      </c>
      <c r="B750" t="s">
        <v>298</v>
      </c>
      <c r="C750" t="s">
        <v>132</v>
      </c>
      <c r="D750" s="27" t="s">
        <v>17</v>
      </c>
      <c r="E750" s="4" t="s">
        <v>43</v>
      </c>
      <c r="F750" s="4">
        <v>600000</v>
      </c>
      <c r="G750" s="81" t="str">
        <f>+VLOOKUP(Tabla14[[#This Row],[FONDO]],MAESTRO!$D$2:$E$119,2,FALSE)</f>
        <v>Banco Santander Rio S.A.</v>
      </c>
      <c r="H750" s="8" t="str">
        <f>+VLOOKUP(Tabla14[[#This Row],[FONDO]],MAESTRO!D:F,3,FALSE)</f>
        <v>(T+0)</v>
      </c>
      <c r="I750" s="4" t="s">
        <v>9</v>
      </c>
      <c r="L7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0" s="4">
        <f>ROUND(IF(Tabla14[[#This Row],[OPERACIÓN]]=MAESTRO!$B$2,Tabla14[CAPITAL],IF(Tabla14[[#This Row],[OPERACIÓN]]=MAESTRO!$B$5,Tabla14[CAPITAL],-Tabla14[[#This Row],[CAPITAL]])),2)</f>
        <v>-600000</v>
      </c>
    </row>
    <row r="751" spans="1:13" x14ac:dyDescent="0.3">
      <c r="A751" s="26">
        <v>46154</v>
      </c>
      <c r="B751" t="s">
        <v>292</v>
      </c>
      <c r="C751" t="s">
        <v>132</v>
      </c>
      <c r="D751" s="27" t="s">
        <v>16</v>
      </c>
      <c r="E751" s="4" t="s">
        <v>48</v>
      </c>
      <c r="F751" s="4">
        <v>86600000</v>
      </c>
      <c r="G751" s="81" t="str">
        <f>+VLOOKUP(Tabla14[[#This Row],[FONDO]],MAESTRO!$D$2:$E$119,2,FALSE)</f>
        <v>Banco Macro S.A.</v>
      </c>
      <c r="H751" s="8" t="str">
        <f>+VLOOKUP(Tabla14[[#This Row],[FONDO]],MAESTRO!D:F,3,FALSE)</f>
        <v>(T+0)</v>
      </c>
      <c r="I751" s="4" t="s">
        <v>9</v>
      </c>
      <c r="L7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1" s="4">
        <f>ROUND(IF(Tabla14[[#This Row],[OPERACIÓN]]=MAESTRO!$B$2,Tabla14[CAPITAL],IF(Tabla14[[#This Row],[OPERACIÓN]]=MAESTRO!$B$5,Tabla14[CAPITAL],-Tabla14[[#This Row],[CAPITAL]])),2)</f>
        <v>86600000</v>
      </c>
    </row>
    <row r="752" spans="1:13" x14ac:dyDescent="0.3">
      <c r="A752" s="26">
        <v>46154</v>
      </c>
      <c r="B752" t="s">
        <v>299</v>
      </c>
      <c r="C752" t="s">
        <v>132</v>
      </c>
      <c r="D752" s="27" t="s">
        <v>16</v>
      </c>
      <c r="E752" s="4" t="s">
        <v>48</v>
      </c>
      <c r="F752" s="4">
        <v>1341600000</v>
      </c>
      <c r="G752" s="81" t="str">
        <f>+VLOOKUP(Tabla14[[#This Row],[FONDO]],MAESTRO!$D$2:$E$119,2,FALSE)</f>
        <v>Banco Macro S.A.</v>
      </c>
      <c r="H752" s="8" t="str">
        <f>+VLOOKUP(Tabla14[[#This Row],[FONDO]],MAESTRO!D:F,3,FALSE)</f>
        <v>(T+0)</v>
      </c>
      <c r="I752" s="4" t="s">
        <v>9</v>
      </c>
      <c r="L7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2" s="4">
        <f>ROUND(IF(Tabla14[[#This Row],[OPERACIÓN]]=MAESTRO!$B$2,Tabla14[CAPITAL],IF(Tabla14[[#This Row],[OPERACIÓN]]=MAESTRO!$B$5,Tabla14[CAPITAL],-Tabla14[[#This Row],[CAPITAL]])),2)</f>
        <v>1341600000</v>
      </c>
    </row>
    <row r="753" spans="1:13" x14ac:dyDescent="0.3">
      <c r="A753" s="26">
        <v>46154</v>
      </c>
      <c r="B753" t="s">
        <v>126</v>
      </c>
      <c r="C753" t="s">
        <v>132</v>
      </c>
      <c r="D753" s="27" t="s">
        <v>17</v>
      </c>
      <c r="E753" s="4" t="s">
        <v>48</v>
      </c>
      <c r="F753" s="4">
        <v>200000</v>
      </c>
      <c r="G753" s="81" t="str">
        <f>+VLOOKUP(Tabla14[[#This Row],[FONDO]],MAESTRO!$D$2:$E$119,2,FALSE)</f>
        <v>Banco Macro S.A.</v>
      </c>
      <c r="H753" s="8" t="str">
        <f>+VLOOKUP(Tabla14[[#This Row],[FONDO]],MAESTRO!D:F,3,FALSE)</f>
        <v>(T+0)</v>
      </c>
      <c r="I753" s="4" t="s">
        <v>9</v>
      </c>
      <c r="L7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3" s="4">
        <f>ROUND(IF(Tabla14[[#This Row],[OPERACIÓN]]=MAESTRO!$B$2,Tabla14[CAPITAL],IF(Tabla14[[#This Row],[OPERACIÓN]]=MAESTRO!$B$5,Tabla14[CAPITAL],-Tabla14[[#This Row],[CAPITAL]])),2)</f>
        <v>-200000</v>
      </c>
    </row>
    <row r="754" spans="1:13" x14ac:dyDescent="0.3">
      <c r="A754" s="26">
        <v>46154</v>
      </c>
      <c r="B754" t="s">
        <v>299</v>
      </c>
      <c r="C754" t="s">
        <v>132</v>
      </c>
      <c r="D754" s="27" t="s">
        <v>16</v>
      </c>
      <c r="E754" s="4" t="s">
        <v>169</v>
      </c>
      <c r="F754" s="4">
        <v>504868361.19</v>
      </c>
      <c r="G754" s="8" t="str">
        <f>+VLOOKUP(Tabla14[[#This Row],[FONDO]],MAESTRO!$D$2:$E$119,2,FALSE)</f>
        <v>Max Capital</v>
      </c>
      <c r="H754" s="8" t="str">
        <f>+VLOOKUP(Tabla14[[#This Row],[FONDO]],MAESTRO!D:F,3,FALSE)</f>
        <v>(T+0)</v>
      </c>
      <c r="I754" s="4" t="s">
        <v>9</v>
      </c>
      <c r="L7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4" s="4">
        <f>ROUND(IF(Tabla14[[#This Row],[OPERACIÓN]]=MAESTRO!$B$2,Tabla14[CAPITAL],IF(Tabla14[[#This Row],[OPERACIÓN]]=MAESTRO!$B$5,Tabla14[CAPITAL],-Tabla14[[#This Row],[CAPITAL]])),2)</f>
        <v>504868361.19</v>
      </c>
    </row>
    <row r="755" spans="1:13" x14ac:dyDescent="0.3">
      <c r="A755" s="26">
        <v>46155</v>
      </c>
      <c r="B755" t="s">
        <v>299</v>
      </c>
      <c r="C755" t="s">
        <v>132</v>
      </c>
      <c r="D755" s="27" t="s">
        <v>17</v>
      </c>
      <c r="E755" s="4" t="s">
        <v>48</v>
      </c>
      <c r="F755" s="4">
        <v>90800000</v>
      </c>
      <c r="G755" s="8" t="str">
        <f>+VLOOKUP(Tabla14[[#This Row],[FONDO]],MAESTRO!$D$2:$E$119,2,FALSE)</f>
        <v>Banco Macro S.A.</v>
      </c>
      <c r="H755" s="8" t="str">
        <f>+VLOOKUP(Tabla14[[#This Row],[FONDO]],MAESTRO!D:F,3,FALSE)</f>
        <v>(T+0)</v>
      </c>
      <c r="I755" s="4" t="s">
        <v>9</v>
      </c>
      <c r="L7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5" s="4">
        <f>ROUND(IF(Tabla14[[#This Row],[OPERACIÓN]]=MAESTRO!$B$2,Tabla14[CAPITAL],IF(Tabla14[[#This Row],[OPERACIÓN]]=MAESTRO!$B$5,Tabla14[CAPITAL],-Tabla14[[#This Row],[CAPITAL]])),2)</f>
        <v>-90800000</v>
      </c>
    </row>
    <row r="756" spans="1:13" x14ac:dyDescent="0.3">
      <c r="A756" s="26">
        <v>46155</v>
      </c>
      <c r="B756" t="s">
        <v>298</v>
      </c>
      <c r="C756" t="s">
        <v>132</v>
      </c>
      <c r="D756" s="27" t="s">
        <v>17</v>
      </c>
      <c r="E756" s="4" t="s">
        <v>43</v>
      </c>
      <c r="F756" s="4">
        <v>267000000</v>
      </c>
      <c r="G756" s="8" t="str">
        <f>+VLOOKUP(Tabla14[[#This Row],[FONDO]],MAESTRO!$D$2:$E$119,2,FALSE)</f>
        <v>Banco Santander Rio S.A.</v>
      </c>
      <c r="H756" s="8" t="str">
        <f>+VLOOKUP(Tabla14[[#This Row],[FONDO]],MAESTRO!D:F,3,FALSE)</f>
        <v>(T+0)</v>
      </c>
      <c r="I756" s="4" t="s">
        <v>9</v>
      </c>
      <c r="L7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6" s="4">
        <f>ROUND(IF(Tabla14[[#This Row],[OPERACIÓN]]=MAESTRO!$B$2,Tabla14[CAPITAL],IF(Tabla14[[#This Row],[OPERACIÓN]]=MAESTRO!$B$5,Tabla14[CAPITAL],-Tabla14[[#This Row],[CAPITAL]])),2)</f>
        <v>-267000000</v>
      </c>
    </row>
    <row r="757" spans="1:13" x14ac:dyDescent="0.3">
      <c r="A757" s="26">
        <v>46155</v>
      </c>
      <c r="B757" t="s">
        <v>292</v>
      </c>
      <c r="C757" t="s">
        <v>132</v>
      </c>
      <c r="D757" s="27" t="s">
        <v>16</v>
      </c>
      <c r="E757" s="4" t="s">
        <v>48</v>
      </c>
      <c r="F757" s="4">
        <v>69500000</v>
      </c>
      <c r="G757" s="8" t="str">
        <f>+VLOOKUP(Tabla14[[#This Row],[FONDO]],MAESTRO!$D$2:$E$119,2,FALSE)</f>
        <v>Banco Macro S.A.</v>
      </c>
      <c r="H757" s="8" t="str">
        <f>+VLOOKUP(Tabla14[[#This Row],[FONDO]],MAESTRO!D:F,3,FALSE)</f>
        <v>(T+0)</v>
      </c>
      <c r="I757" s="4" t="s">
        <v>9</v>
      </c>
      <c r="L7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7" s="4">
        <f>ROUND(IF(Tabla14[[#This Row],[OPERACIÓN]]=MAESTRO!$B$2,Tabla14[CAPITAL],IF(Tabla14[[#This Row],[OPERACIÓN]]=MAESTRO!$B$5,Tabla14[CAPITAL],-Tabla14[[#This Row],[CAPITAL]])),2)</f>
        <v>69500000</v>
      </c>
    </row>
    <row r="758" spans="1:13" x14ac:dyDescent="0.3">
      <c r="A758" s="26">
        <v>46155</v>
      </c>
      <c r="B758" t="s">
        <v>126</v>
      </c>
      <c r="C758" t="s">
        <v>132</v>
      </c>
      <c r="D758" s="27" t="s">
        <v>16</v>
      </c>
      <c r="E758" s="4" t="s">
        <v>48</v>
      </c>
      <c r="F758" s="4">
        <v>16000000</v>
      </c>
      <c r="G758" s="8" t="str">
        <f>+VLOOKUP(Tabla14[[#This Row],[FONDO]],MAESTRO!$D$2:$E$119,2,FALSE)</f>
        <v>Banco Macro S.A.</v>
      </c>
      <c r="H758" s="8" t="str">
        <f>+VLOOKUP(Tabla14[[#This Row],[FONDO]],MAESTRO!D:F,3,FALSE)</f>
        <v>(T+0)</v>
      </c>
      <c r="I758" s="4" t="s">
        <v>9</v>
      </c>
      <c r="L7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8" s="4">
        <f>ROUND(IF(Tabla14[[#This Row],[OPERACIÓN]]=MAESTRO!$B$2,Tabla14[CAPITAL],IF(Tabla14[[#This Row],[OPERACIÓN]]=MAESTRO!$B$5,Tabla14[CAPITAL],-Tabla14[[#This Row],[CAPITAL]])),2)</f>
        <v>16000000</v>
      </c>
    </row>
    <row r="759" spans="1:13" x14ac:dyDescent="0.3">
      <c r="A759" s="26">
        <v>46155</v>
      </c>
      <c r="B759" t="s">
        <v>298</v>
      </c>
      <c r="C759" t="s">
        <v>132</v>
      </c>
      <c r="D759" s="27" t="s">
        <v>17</v>
      </c>
      <c r="E759" s="4" t="s">
        <v>169</v>
      </c>
      <c r="F759" s="4">
        <v>57276934.130000003</v>
      </c>
      <c r="G759" s="8" t="str">
        <f>+VLOOKUP(Tabla14[[#This Row],[FONDO]],MAESTRO!$D$2:$E$119,2,FALSE)</f>
        <v>Max Capital</v>
      </c>
      <c r="H759" s="8" t="str">
        <f>+VLOOKUP(Tabla14[[#This Row],[FONDO]],MAESTRO!D:F,3,FALSE)</f>
        <v>(T+0)</v>
      </c>
      <c r="I759" s="4" t="s">
        <v>9</v>
      </c>
      <c r="L7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59" s="4">
        <f>ROUND(IF(Tabla14[[#This Row],[OPERACIÓN]]=MAESTRO!$B$2,Tabla14[CAPITAL],IF(Tabla14[[#This Row],[OPERACIÓN]]=MAESTRO!$B$5,Tabla14[CAPITAL],-Tabla14[[#This Row],[CAPITAL]])),2)</f>
        <v>-57276934.130000003</v>
      </c>
    </row>
    <row r="760" spans="1:13" x14ac:dyDescent="0.3">
      <c r="A760" s="26">
        <v>46155</v>
      </c>
      <c r="B760" t="s">
        <v>298</v>
      </c>
      <c r="C760" t="s">
        <v>132</v>
      </c>
      <c r="D760" s="27" t="s">
        <v>17</v>
      </c>
      <c r="E760" s="4" t="s">
        <v>169</v>
      </c>
      <c r="F760" s="4">
        <v>54788817.159999996</v>
      </c>
      <c r="G760" s="8" t="str">
        <f>+VLOOKUP(Tabla14[[#This Row],[FONDO]],MAESTRO!$D$2:$E$119,2,FALSE)</f>
        <v>Max Capital</v>
      </c>
      <c r="H760" s="8" t="str">
        <f>+VLOOKUP(Tabla14[[#This Row],[FONDO]],MAESTRO!D:F,3,FALSE)</f>
        <v>(T+0)</v>
      </c>
      <c r="I760" s="4" t="s">
        <v>9</v>
      </c>
      <c r="L7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0" s="4">
        <f>ROUND(IF(Tabla14[[#This Row],[OPERACIÓN]]=MAESTRO!$B$2,Tabla14[CAPITAL],IF(Tabla14[[#This Row],[OPERACIÓN]]=MAESTRO!$B$5,Tabla14[CAPITAL],-Tabla14[[#This Row],[CAPITAL]])),2)</f>
        <v>-54788817.159999996</v>
      </c>
    </row>
    <row r="761" spans="1:13" x14ac:dyDescent="0.3">
      <c r="A761" s="26">
        <v>46155</v>
      </c>
      <c r="B761" t="s">
        <v>298</v>
      </c>
      <c r="C761" t="s">
        <v>132</v>
      </c>
      <c r="D761" s="27" t="s">
        <v>17</v>
      </c>
      <c r="E761" s="4" t="s">
        <v>136</v>
      </c>
      <c r="F761" s="53">
        <v>85378844.579999998</v>
      </c>
      <c r="G761" s="8" t="str">
        <f>+VLOOKUP(Tabla14[[#This Row],[FONDO]],MAESTRO!$D$2:$E$119,2,FALSE)</f>
        <v>Gma Capital</v>
      </c>
      <c r="H761" s="8" t="str">
        <f>+VLOOKUP(Tabla14[[#This Row],[FONDO]],MAESTRO!D:F,3,FALSE)</f>
        <v>(T+0)</v>
      </c>
      <c r="I761" s="4" t="s">
        <v>9</v>
      </c>
      <c r="L7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1" s="4">
        <f>ROUND(IF(Tabla14[[#This Row],[OPERACIÓN]]=MAESTRO!$B$2,Tabla14[CAPITAL],IF(Tabla14[[#This Row],[OPERACIÓN]]=MAESTRO!$B$5,Tabla14[CAPITAL],-Tabla14[[#This Row],[CAPITAL]])),2)</f>
        <v>-85378844.579999998</v>
      </c>
    </row>
    <row r="762" spans="1:13" x14ac:dyDescent="0.3">
      <c r="A762" s="26">
        <v>46155</v>
      </c>
      <c r="B762" t="s">
        <v>298</v>
      </c>
      <c r="C762" t="s">
        <v>132</v>
      </c>
      <c r="D762" s="27" t="s">
        <v>17</v>
      </c>
      <c r="E762" s="4" t="s">
        <v>136</v>
      </c>
      <c r="F762" s="53">
        <v>231035189.59999999</v>
      </c>
      <c r="G762" s="8" t="str">
        <f>+VLOOKUP(Tabla14[[#This Row],[FONDO]],MAESTRO!$D$2:$E$119,2,FALSE)</f>
        <v>Gma Capital</v>
      </c>
      <c r="H762" s="8" t="str">
        <f>+VLOOKUP(Tabla14[[#This Row],[FONDO]],MAESTRO!D:F,3,FALSE)</f>
        <v>(T+0)</v>
      </c>
      <c r="I762" s="4" t="s">
        <v>9</v>
      </c>
      <c r="L7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2" s="4">
        <f>ROUND(IF(Tabla14[[#This Row],[OPERACIÓN]]=MAESTRO!$B$2,Tabla14[CAPITAL],IF(Tabla14[[#This Row],[OPERACIÓN]]=MAESTRO!$B$5,Tabla14[CAPITAL],-Tabla14[[#This Row],[CAPITAL]])),2)</f>
        <v>-231035189.59999999</v>
      </c>
    </row>
    <row r="763" spans="1:13" x14ac:dyDescent="0.3">
      <c r="A763" s="26">
        <v>46156</v>
      </c>
      <c r="B763" t="s">
        <v>126</v>
      </c>
      <c r="C763" t="s">
        <v>132</v>
      </c>
      <c r="D763" s="27" t="s">
        <v>17</v>
      </c>
      <c r="E763" s="4" t="s">
        <v>48</v>
      </c>
      <c r="F763" s="4">
        <v>200000</v>
      </c>
      <c r="G763" s="82" t="str">
        <f>+VLOOKUP(Tabla14[[#This Row],[FONDO]],MAESTRO!$D$2:$E$119,2,FALSE)</f>
        <v>Banco Macro S.A.</v>
      </c>
      <c r="H763" s="8" t="str">
        <f>+VLOOKUP(Tabla14[[#This Row],[FONDO]],MAESTRO!D:F,3,FALSE)</f>
        <v>(T+0)</v>
      </c>
      <c r="I763" s="4" t="s">
        <v>9</v>
      </c>
      <c r="L7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3" s="4">
        <f>ROUND(IF(Tabla14[[#This Row],[OPERACIÓN]]=MAESTRO!$B$2,Tabla14[CAPITAL],IF(Tabla14[[#This Row],[OPERACIÓN]]=MAESTRO!$B$5,Tabla14[CAPITAL],-Tabla14[[#This Row],[CAPITAL]])),2)</f>
        <v>-200000</v>
      </c>
    </row>
    <row r="764" spans="1:13" x14ac:dyDescent="0.3">
      <c r="A764" s="26">
        <v>46156</v>
      </c>
      <c r="B764" t="s">
        <v>298</v>
      </c>
      <c r="C764" t="s">
        <v>132</v>
      </c>
      <c r="D764" s="27" t="s">
        <v>17</v>
      </c>
      <c r="E764" s="4" t="s">
        <v>43</v>
      </c>
      <c r="F764" s="4">
        <v>829100000</v>
      </c>
      <c r="G764" s="82" t="str">
        <f>+VLOOKUP(Tabla14[[#This Row],[FONDO]],MAESTRO!$D$2:$E$119,2,FALSE)</f>
        <v>Banco Santander Rio S.A.</v>
      </c>
      <c r="H764" s="8" t="str">
        <f>+VLOOKUP(Tabla14[[#This Row],[FONDO]],MAESTRO!D:F,3,FALSE)</f>
        <v>(T+0)</v>
      </c>
      <c r="I764" s="4" t="s">
        <v>9</v>
      </c>
      <c r="L7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4" s="4">
        <f>ROUND(IF(Tabla14[[#This Row],[OPERACIÓN]]=MAESTRO!$B$2,Tabla14[CAPITAL],IF(Tabla14[[#This Row],[OPERACIÓN]]=MAESTRO!$B$5,Tabla14[CAPITAL],-Tabla14[[#This Row],[CAPITAL]])),2)</f>
        <v>-829100000</v>
      </c>
    </row>
    <row r="765" spans="1:13" x14ac:dyDescent="0.3">
      <c r="A765" s="26">
        <v>46156</v>
      </c>
      <c r="B765" t="s">
        <v>298</v>
      </c>
      <c r="C765" t="s">
        <v>132</v>
      </c>
      <c r="D765" s="27" t="s">
        <v>17</v>
      </c>
      <c r="E765" s="4" t="s">
        <v>136</v>
      </c>
      <c r="F765" s="4">
        <v>62136387.200000003</v>
      </c>
      <c r="G765" s="82" t="str">
        <f>+VLOOKUP(Tabla14[[#This Row],[FONDO]],MAESTRO!$D$2:$E$119,2,FALSE)</f>
        <v>Gma Capital</v>
      </c>
      <c r="H765" s="8" t="str">
        <f>+VLOOKUP(Tabla14[[#This Row],[FONDO]],MAESTRO!D:F,3,FALSE)</f>
        <v>(T+0)</v>
      </c>
      <c r="I765" s="4" t="s">
        <v>9</v>
      </c>
      <c r="L7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5" s="4">
        <f>ROUND(IF(Tabla14[[#This Row],[OPERACIÓN]]=MAESTRO!$B$2,Tabla14[CAPITAL],IF(Tabla14[[#This Row],[OPERACIÓN]]=MAESTRO!$B$5,Tabla14[CAPITAL],-Tabla14[[#This Row],[CAPITAL]])),2)</f>
        <v>-62136387.200000003</v>
      </c>
    </row>
    <row r="766" spans="1:13" x14ac:dyDescent="0.3">
      <c r="A766" s="26">
        <v>46156</v>
      </c>
      <c r="B766" t="s">
        <v>298</v>
      </c>
      <c r="C766" t="s">
        <v>132</v>
      </c>
      <c r="D766" s="27" t="s">
        <v>17</v>
      </c>
      <c r="E766" s="4" t="s">
        <v>136</v>
      </c>
      <c r="F766" s="4">
        <v>139148800</v>
      </c>
      <c r="G766" s="82" t="str">
        <f>+VLOOKUP(Tabla14[[#This Row],[FONDO]],MAESTRO!$D$2:$E$119,2,FALSE)</f>
        <v>Gma Capital</v>
      </c>
      <c r="H766" s="8" t="str">
        <f>+VLOOKUP(Tabla14[[#This Row],[FONDO]],MAESTRO!D:F,3,FALSE)</f>
        <v>(T+0)</v>
      </c>
      <c r="I766" s="4" t="s">
        <v>9</v>
      </c>
      <c r="L7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6" s="4">
        <f>ROUND(IF(Tabla14[[#This Row],[OPERACIÓN]]=MAESTRO!$B$2,Tabla14[CAPITAL],IF(Tabla14[[#This Row],[OPERACIÓN]]=MAESTRO!$B$5,Tabla14[CAPITAL],-Tabla14[[#This Row],[CAPITAL]])),2)</f>
        <v>-139148800</v>
      </c>
    </row>
    <row r="767" spans="1:13" x14ac:dyDescent="0.3">
      <c r="A767" s="26">
        <v>46156</v>
      </c>
      <c r="B767" t="s">
        <v>299</v>
      </c>
      <c r="C767" t="s">
        <v>132</v>
      </c>
      <c r="D767" s="27" t="s">
        <v>17</v>
      </c>
      <c r="E767" s="4" t="s">
        <v>136</v>
      </c>
      <c r="F767" s="4">
        <v>63054814.380000003</v>
      </c>
      <c r="G767" s="82" t="str">
        <f>+VLOOKUP(Tabla14[[#This Row],[FONDO]],MAESTRO!$D$2:$E$119,2,FALSE)</f>
        <v>Gma Capital</v>
      </c>
      <c r="H767" s="8" t="str">
        <f>+VLOOKUP(Tabla14[[#This Row],[FONDO]],MAESTRO!D:F,3,FALSE)</f>
        <v>(T+0)</v>
      </c>
      <c r="I767" s="4" t="s">
        <v>9</v>
      </c>
      <c r="L7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7" s="4">
        <f>ROUND(IF(Tabla14[[#This Row],[OPERACIÓN]]=MAESTRO!$B$2,Tabla14[CAPITAL],IF(Tabla14[[#This Row],[OPERACIÓN]]=MAESTRO!$B$5,Tabla14[CAPITAL],-Tabla14[[#This Row],[CAPITAL]])),2)</f>
        <v>-63054814.380000003</v>
      </c>
    </row>
    <row r="768" spans="1:13" x14ac:dyDescent="0.3">
      <c r="A768" s="26">
        <v>46156</v>
      </c>
      <c r="B768" t="s">
        <v>299</v>
      </c>
      <c r="C768" t="s">
        <v>132</v>
      </c>
      <c r="D768" s="27" t="s">
        <v>17</v>
      </c>
      <c r="E768" s="4" t="s">
        <v>136</v>
      </c>
      <c r="F768" s="4">
        <v>55323060.240000002</v>
      </c>
      <c r="G768" s="82" t="str">
        <f>+VLOOKUP(Tabla14[[#This Row],[FONDO]],MAESTRO!$D$2:$E$119,2,FALSE)</f>
        <v>Gma Capital</v>
      </c>
      <c r="H768" s="8" t="str">
        <f>+VLOOKUP(Tabla14[[#This Row],[FONDO]],MAESTRO!D:F,3,FALSE)</f>
        <v>(T+0)</v>
      </c>
      <c r="I768" s="4" t="s">
        <v>9</v>
      </c>
      <c r="L7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8" s="4">
        <f>ROUND(IF(Tabla14[[#This Row],[OPERACIÓN]]=MAESTRO!$B$2,Tabla14[CAPITAL],IF(Tabla14[[#This Row],[OPERACIÓN]]=MAESTRO!$B$5,Tabla14[CAPITAL],-Tabla14[[#This Row],[CAPITAL]])),2)</f>
        <v>-55323060.240000002</v>
      </c>
    </row>
    <row r="769" spans="1:13" x14ac:dyDescent="0.3">
      <c r="A769" s="26">
        <v>46157</v>
      </c>
      <c r="B769" t="s">
        <v>292</v>
      </c>
      <c r="C769" t="s">
        <v>132</v>
      </c>
      <c r="D769" s="27" t="s">
        <v>16</v>
      </c>
      <c r="E769" s="4" t="s">
        <v>48</v>
      </c>
      <c r="F769" s="4">
        <v>75500000</v>
      </c>
      <c r="G769" s="82" t="str">
        <f>+VLOOKUP(Tabla14[[#This Row],[FONDO]],MAESTRO!$D$2:$E$119,2,FALSE)</f>
        <v>Banco Macro S.A.</v>
      </c>
      <c r="H769" s="8" t="str">
        <f>+VLOOKUP(Tabla14[[#This Row],[FONDO]],MAESTRO!D:F,3,FALSE)</f>
        <v>(T+0)</v>
      </c>
      <c r="I769" s="4" t="s">
        <v>9</v>
      </c>
      <c r="L7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69" s="4">
        <f>ROUND(IF(Tabla14[[#This Row],[OPERACIÓN]]=MAESTRO!$B$2,Tabla14[CAPITAL],IF(Tabla14[[#This Row],[OPERACIÓN]]=MAESTRO!$B$5,Tabla14[CAPITAL],-Tabla14[[#This Row],[CAPITAL]])),2)</f>
        <v>75500000</v>
      </c>
    </row>
    <row r="770" spans="1:13" x14ac:dyDescent="0.3">
      <c r="A770" s="26">
        <v>46157</v>
      </c>
      <c r="B770" t="s">
        <v>299</v>
      </c>
      <c r="C770" t="s">
        <v>132</v>
      </c>
      <c r="D770" s="27" t="s">
        <v>16</v>
      </c>
      <c r="E770" s="4" t="s">
        <v>48</v>
      </c>
      <c r="F770" s="4">
        <v>380500000</v>
      </c>
      <c r="G770" s="82" t="str">
        <f>+VLOOKUP(Tabla14[[#This Row],[FONDO]],MAESTRO!$D$2:$E$119,2,FALSE)</f>
        <v>Banco Macro S.A.</v>
      </c>
      <c r="H770" s="8" t="str">
        <f>+VLOOKUP(Tabla14[[#This Row],[FONDO]],MAESTRO!D:F,3,FALSE)</f>
        <v>(T+0)</v>
      </c>
      <c r="I770" s="4" t="s">
        <v>9</v>
      </c>
      <c r="L7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0" s="4">
        <f>ROUND(IF(Tabla14[[#This Row],[OPERACIÓN]]=MAESTRO!$B$2,Tabla14[CAPITAL],IF(Tabla14[[#This Row],[OPERACIÓN]]=MAESTRO!$B$5,Tabla14[CAPITAL],-Tabla14[[#This Row],[CAPITAL]])),2)</f>
        <v>380500000</v>
      </c>
    </row>
    <row r="771" spans="1:13" x14ac:dyDescent="0.3">
      <c r="A771" s="26">
        <v>46157</v>
      </c>
      <c r="B771" t="s">
        <v>299</v>
      </c>
      <c r="C771" t="s">
        <v>132</v>
      </c>
      <c r="D771" s="27" t="s">
        <v>17</v>
      </c>
      <c r="E771" s="4" t="s">
        <v>48</v>
      </c>
      <c r="F771" s="4">
        <v>1900000</v>
      </c>
      <c r="G771" s="8" t="str">
        <f>+VLOOKUP(Tabla14[[#This Row],[FONDO]],MAESTRO!$D$2:$E$119,2,FALSE)</f>
        <v>Banco Macro S.A.</v>
      </c>
      <c r="H771" s="8" t="str">
        <f>+VLOOKUP(Tabla14[[#This Row],[FONDO]],MAESTRO!D:F,3,FALSE)</f>
        <v>(T+0)</v>
      </c>
      <c r="I771" s="4" t="s">
        <v>9</v>
      </c>
      <c r="L7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1" s="4">
        <f>ROUND(IF(Tabla14[[#This Row],[OPERACIÓN]]=MAESTRO!$B$2,Tabla14[CAPITAL],IF(Tabla14[[#This Row],[OPERACIÓN]]=MAESTRO!$B$5,Tabla14[CAPITAL],-Tabla14[[#This Row],[CAPITAL]])),2)</f>
        <v>-1900000</v>
      </c>
    </row>
    <row r="772" spans="1:13" x14ac:dyDescent="0.3">
      <c r="A772" s="26">
        <v>46157</v>
      </c>
      <c r="B772" t="s">
        <v>298</v>
      </c>
      <c r="C772" t="s">
        <v>132</v>
      </c>
      <c r="D772" s="27" t="s">
        <v>17</v>
      </c>
      <c r="E772" s="4" t="s">
        <v>40</v>
      </c>
      <c r="F772" s="4">
        <v>556200000</v>
      </c>
      <c r="G772" s="8" t="str">
        <f>+VLOOKUP(Tabla14[[#This Row],[FONDO]],MAESTRO!$D$2:$E$119,2,FALSE)</f>
        <v>BBVA Banco Frances SA</v>
      </c>
      <c r="H772" s="8" t="str">
        <f>+VLOOKUP(Tabla14[[#This Row],[FONDO]],MAESTRO!D:F,3,FALSE)</f>
        <v>(T+0)</v>
      </c>
      <c r="I772" s="4" t="s">
        <v>9</v>
      </c>
      <c r="L7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2" s="4">
        <f>ROUND(IF(Tabla14[[#This Row],[OPERACIÓN]]=MAESTRO!$B$2,Tabla14[CAPITAL],IF(Tabla14[[#This Row],[OPERACIÓN]]=MAESTRO!$B$5,Tabla14[CAPITAL],-Tabla14[[#This Row],[CAPITAL]])),2)</f>
        <v>-556200000</v>
      </c>
    </row>
    <row r="773" spans="1:13" x14ac:dyDescent="0.3">
      <c r="A773" s="26">
        <v>46157</v>
      </c>
      <c r="B773" t="s">
        <v>292</v>
      </c>
      <c r="C773" t="s">
        <v>132</v>
      </c>
      <c r="D773" s="27" t="s">
        <v>16</v>
      </c>
      <c r="E773" s="4" t="s">
        <v>48</v>
      </c>
      <c r="F773" s="4">
        <v>252500000</v>
      </c>
      <c r="G773" s="8" t="str">
        <f>+VLOOKUP(Tabla14[[#This Row],[FONDO]],MAESTRO!$D$2:$E$119,2,FALSE)</f>
        <v>Banco Macro S.A.</v>
      </c>
      <c r="H773" s="8" t="str">
        <f>+VLOOKUP(Tabla14[[#This Row],[FONDO]],MAESTRO!D:F,3,FALSE)</f>
        <v>(T+0)</v>
      </c>
      <c r="I773" s="4" t="s">
        <v>9</v>
      </c>
      <c r="L7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3" s="4">
        <f>ROUND(IF(Tabla14[[#This Row],[OPERACIÓN]]=MAESTRO!$B$2,Tabla14[CAPITAL],IF(Tabla14[[#This Row],[OPERACIÓN]]=MAESTRO!$B$5,Tabla14[CAPITAL],-Tabla14[[#This Row],[CAPITAL]])),2)</f>
        <v>252500000</v>
      </c>
    </row>
    <row r="774" spans="1:13" x14ac:dyDescent="0.3">
      <c r="A774" s="26">
        <v>46160</v>
      </c>
      <c r="B774" t="s">
        <v>298</v>
      </c>
      <c r="C774" t="s">
        <v>132</v>
      </c>
      <c r="D774" s="27" t="s">
        <v>17</v>
      </c>
      <c r="E774" s="4" t="s">
        <v>40</v>
      </c>
      <c r="F774" s="4">
        <v>500000</v>
      </c>
      <c r="G774" s="8" t="str">
        <f>+VLOOKUP(Tabla14[[#This Row],[FONDO]],MAESTRO!$D$2:$E$119,2,FALSE)</f>
        <v>BBVA Banco Frances SA</v>
      </c>
      <c r="H774" s="8" t="str">
        <f>+VLOOKUP(Tabla14[[#This Row],[FONDO]],MAESTRO!D:F,3,FALSE)</f>
        <v>(T+0)</v>
      </c>
      <c r="I774" s="4" t="s">
        <v>9</v>
      </c>
      <c r="L7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4" s="4">
        <f>ROUND(IF(Tabla14[[#This Row],[OPERACIÓN]]=MAESTRO!$B$2,Tabla14[CAPITAL],IF(Tabla14[[#This Row],[OPERACIÓN]]=MAESTRO!$B$5,Tabla14[CAPITAL],-Tabla14[[#This Row],[CAPITAL]])),2)</f>
        <v>-500000</v>
      </c>
    </row>
    <row r="775" spans="1:13" x14ac:dyDescent="0.3">
      <c r="A775" s="26">
        <v>46160</v>
      </c>
      <c r="B775" t="s">
        <v>299</v>
      </c>
      <c r="C775" t="s">
        <v>132</v>
      </c>
      <c r="D775" s="27" t="s">
        <v>17</v>
      </c>
      <c r="E775" s="4" t="s">
        <v>48</v>
      </c>
      <c r="F775" s="4">
        <v>42000000</v>
      </c>
      <c r="G775" s="8" t="str">
        <f>+VLOOKUP(Tabla14[[#This Row],[FONDO]],MAESTRO!$D$2:$E$119,2,FALSE)</f>
        <v>Banco Macro S.A.</v>
      </c>
      <c r="H775" s="8" t="str">
        <f>+VLOOKUP(Tabla14[[#This Row],[FONDO]],MAESTRO!D:F,3,FALSE)</f>
        <v>(T+0)</v>
      </c>
      <c r="I775" s="4" t="s">
        <v>9</v>
      </c>
      <c r="L7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5" s="4">
        <f>ROUND(IF(Tabla14[[#This Row],[OPERACIÓN]]=MAESTRO!$B$2,Tabla14[CAPITAL],IF(Tabla14[[#This Row],[OPERACIÓN]]=MAESTRO!$B$5,Tabla14[CAPITAL],-Tabla14[[#This Row],[CAPITAL]])),2)</f>
        <v>-42000000</v>
      </c>
    </row>
    <row r="776" spans="1:13" x14ac:dyDescent="0.3">
      <c r="A776" s="26">
        <v>46160</v>
      </c>
      <c r="B776" t="s">
        <v>292</v>
      </c>
      <c r="C776" t="s">
        <v>132</v>
      </c>
      <c r="D776" s="27" t="s">
        <v>16</v>
      </c>
      <c r="E776" s="4" t="s">
        <v>48</v>
      </c>
      <c r="F776" s="4">
        <v>26100000</v>
      </c>
      <c r="G776" s="8" t="str">
        <f>+VLOOKUP(Tabla14[[#This Row],[FONDO]],MAESTRO!$D$2:$E$119,2,FALSE)</f>
        <v>Banco Macro S.A.</v>
      </c>
      <c r="H776" s="8" t="str">
        <f>+VLOOKUP(Tabla14[[#This Row],[FONDO]],MAESTRO!D:F,3,FALSE)</f>
        <v>(T+0)</v>
      </c>
      <c r="I776" s="4" t="s">
        <v>9</v>
      </c>
      <c r="L7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6" s="4">
        <f>ROUND(IF(Tabla14[[#This Row],[OPERACIÓN]]=MAESTRO!$B$2,Tabla14[CAPITAL],IF(Tabla14[[#This Row],[OPERACIÓN]]=MAESTRO!$B$5,Tabla14[CAPITAL],-Tabla14[[#This Row],[CAPITAL]])),2)</f>
        <v>26100000</v>
      </c>
    </row>
    <row r="777" spans="1:13" x14ac:dyDescent="0.3">
      <c r="A777" s="26">
        <v>46160</v>
      </c>
      <c r="B777" t="s">
        <v>298</v>
      </c>
      <c r="C777" t="s">
        <v>132</v>
      </c>
      <c r="D777" s="27" t="s">
        <v>17</v>
      </c>
      <c r="E777" s="4" t="s">
        <v>40</v>
      </c>
      <c r="F777" s="4">
        <v>362100000</v>
      </c>
      <c r="G777" s="8" t="str">
        <f>+VLOOKUP(Tabla14[[#This Row],[FONDO]],MAESTRO!$D$2:$E$119,2,FALSE)</f>
        <v>BBVA Banco Frances SA</v>
      </c>
      <c r="H777" s="8" t="str">
        <f>+VLOOKUP(Tabla14[[#This Row],[FONDO]],MAESTRO!D:F,3,FALSE)</f>
        <v>(T+0)</v>
      </c>
      <c r="I777" s="4" t="s">
        <v>9</v>
      </c>
      <c r="L7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7" s="4">
        <f>ROUND(IF(Tabla14[[#This Row],[OPERACIÓN]]=MAESTRO!$B$2,Tabla14[CAPITAL],IF(Tabla14[[#This Row],[OPERACIÓN]]=MAESTRO!$B$5,Tabla14[CAPITAL],-Tabla14[[#This Row],[CAPITAL]])),2)</f>
        <v>-362100000</v>
      </c>
    </row>
    <row r="778" spans="1:13" x14ac:dyDescent="0.3">
      <c r="A778" s="26">
        <v>46160</v>
      </c>
      <c r="B778" t="s">
        <v>299</v>
      </c>
      <c r="C778" t="s">
        <v>132</v>
      </c>
      <c r="D778" s="27" t="s">
        <v>16</v>
      </c>
      <c r="E778" s="4" t="s">
        <v>136</v>
      </c>
      <c r="F778" s="4">
        <v>9964934.25</v>
      </c>
      <c r="G778" s="83" t="str">
        <f>+VLOOKUP(Tabla14[[#This Row],[FONDO]],MAESTRO!$D$2:$E$119,2,FALSE)</f>
        <v>Gma Capital</v>
      </c>
      <c r="H778" s="8" t="str">
        <f>+VLOOKUP(Tabla14[[#This Row],[FONDO]],MAESTRO!D:F,3,FALSE)</f>
        <v>(T+0)</v>
      </c>
      <c r="I778" s="4" t="s">
        <v>9</v>
      </c>
      <c r="L7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8" s="4">
        <f>ROUND(IF(Tabla14[[#This Row],[OPERACIÓN]]=MAESTRO!$B$2,Tabla14[CAPITAL],IF(Tabla14[[#This Row],[OPERACIÓN]]=MAESTRO!$B$5,Tabla14[CAPITAL],-Tabla14[[#This Row],[CAPITAL]])),2)</f>
        <v>9964934.25</v>
      </c>
    </row>
    <row r="779" spans="1:13" x14ac:dyDescent="0.3">
      <c r="A779" s="26">
        <v>46160</v>
      </c>
      <c r="B779" t="s">
        <v>299</v>
      </c>
      <c r="C779" t="s">
        <v>132</v>
      </c>
      <c r="D779" s="27" t="s">
        <v>16</v>
      </c>
      <c r="E779" s="4" t="s">
        <v>136</v>
      </c>
      <c r="F779" s="4">
        <v>13825.37</v>
      </c>
      <c r="G779" s="83" t="str">
        <f>+VLOOKUP(Tabla14[[#This Row],[FONDO]],MAESTRO!$D$2:$E$119,2,FALSE)</f>
        <v>Gma Capital</v>
      </c>
      <c r="H779" s="8" t="str">
        <f>+VLOOKUP(Tabla14[[#This Row],[FONDO]],MAESTRO!D:F,3,FALSE)</f>
        <v>(T+0)</v>
      </c>
      <c r="I779" s="4" t="s">
        <v>9</v>
      </c>
      <c r="L7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79" s="4">
        <f>ROUND(IF(Tabla14[[#This Row],[OPERACIÓN]]=MAESTRO!$B$2,Tabla14[CAPITAL],IF(Tabla14[[#This Row],[OPERACIÓN]]=MAESTRO!$B$5,Tabla14[CAPITAL],-Tabla14[[#This Row],[CAPITAL]])),2)</f>
        <v>13825.37</v>
      </c>
    </row>
    <row r="780" spans="1:13" x14ac:dyDescent="0.3">
      <c r="A780" s="26">
        <v>46160</v>
      </c>
      <c r="B780" t="s">
        <v>299</v>
      </c>
      <c r="C780" t="s">
        <v>132</v>
      </c>
      <c r="D780" s="27" t="s">
        <v>16</v>
      </c>
      <c r="E780" s="4" t="s">
        <v>136</v>
      </c>
      <c r="F780" s="4">
        <v>399800000</v>
      </c>
      <c r="G780" s="83" t="str">
        <f>+VLOOKUP(Tabla14[[#This Row],[FONDO]],MAESTRO!$D$2:$E$119,2,FALSE)</f>
        <v>Gma Capital</v>
      </c>
      <c r="H780" s="8" t="str">
        <f>+VLOOKUP(Tabla14[[#This Row],[FONDO]],MAESTRO!D:F,3,FALSE)</f>
        <v>(T+0)</v>
      </c>
      <c r="I780" s="4" t="s">
        <v>9</v>
      </c>
      <c r="L7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0" s="4">
        <f>ROUND(IF(Tabla14[[#This Row],[OPERACIÓN]]=MAESTRO!$B$2,Tabla14[CAPITAL],IF(Tabla14[[#This Row],[OPERACIÓN]]=MAESTRO!$B$5,Tabla14[CAPITAL],-Tabla14[[#This Row],[CAPITAL]])),2)</f>
        <v>399800000</v>
      </c>
    </row>
    <row r="781" spans="1:13" x14ac:dyDescent="0.3">
      <c r="A781" s="26">
        <v>46160</v>
      </c>
      <c r="B781" t="s">
        <v>299</v>
      </c>
      <c r="C781" t="s">
        <v>132</v>
      </c>
      <c r="D781" s="27" t="s">
        <v>16</v>
      </c>
      <c r="E781" s="4" t="s">
        <v>136</v>
      </c>
      <c r="F781" s="4">
        <v>394813409.44999999</v>
      </c>
      <c r="G781" s="83" t="str">
        <f>+VLOOKUP(Tabla14[[#This Row],[FONDO]],MAESTRO!$D$2:$E$119,2,FALSE)</f>
        <v>Gma Capital</v>
      </c>
      <c r="H781" s="8" t="str">
        <f>+VLOOKUP(Tabla14[[#This Row],[FONDO]],MAESTRO!D:F,3,FALSE)</f>
        <v>(T+0)</v>
      </c>
      <c r="I781" s="4" t="s">
        <v>9</v>
      </c>
      <c r="L7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1" s="4">
        <f>ROUND(IF(Tabla14[[#This Row],[OPERACIÓN]]=MAESTRO!$B$2,Tabla14[CAPITAL],IF(Tabla14[[#This Row],[OPERACIÓN]]=MAESTRO!$B$5,Tabla14[CAPITAL],-Tabla14[[#This Row],[CAPITAL]])),2)</f>
        <v>394813409.44999999</v>
      </c>
    </row>
    <row r="782" spans="1:13" x14ac:dyDescent="0.3">
      <c r="A782" s="26">
        <v>46160</v>
      </c>
      <c r="B782" t="s">
        <v>299</v>
      </c>
      <c r="C782" t="s">
        <v>132</v>
      </c>
      <c r="D782" s="27" t="s">
        <v>16</v>
      </c>
      <c r="E782" s="4" t="s">
        <v>136</v>
      </c>
      <c r="F782" s="4">
        <v>260130342.38999999</v>
      </c>
      <c r="G782" s="83" t="str">
        <f>+VLOOKUP(Tabla14[[#This Row],[FONDO]],MAESTRO!$D$2:$E$119,2,FALSE)</f>
        <v>Gma Capital</v>
      </c>
      <c r="H782" s="8" t="str">
        <f>+VLOOKUP(Tabla14[[#This Row],[FONDO]],MAESTRO!D:F,3,FALSE)</f>
        <v>(T+0)</v>
      </c>
      <c r="I782" s="4" t="s">
        <v>9</v>
      </c>
      <c r="L7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2" s="4">
        <f>ROUND(IF(Tabla14[[#This Row],[OPERACIÓN]]=MAESTRO!$B$2,Tabla14[CAPITAL],IF(Tabla14[[#This Row],[OPERACIÓN]]=MAESTRO!$B$5,Tabla14[CAPITAL],-Tabla14[[#This Row],[CAPITAL]])),2)</f>
        <v>260130342.38999999</v>
      </c>
    </row>
    <row r="783" spans="1:13" x14ac:dyDescent="0.3">
      <c r="A783" s="26">
        <v>46160</v>
      </c>
      <c r="B783" t="s">
        <v>299</v>
      </c>
      <c r="C783" t="s">
        <v>132</v>
      </c>
      <c r="D783" s="27" t="s">
        <v>16</v>
      </c>
      <c r="E783" s="4" t="s">
        <v>136</v>
      </c>
      <c r="F783" s="4">
        <v>122962263.92</v>
      </c>
      <c r="G783" s="83" t="str">
        <f>+VLOOKUP(Tabla14[[#This Row],[FONDO]],MAESTRO!$D$2:$E$119,2,FALSE)</f>
        <v>Gma Capital</v>
      </c>
      <c r="H783" s="8" t="str">
        <f>+VLOOKUP(Tabla14[[#This Row],[FONDO]],MAESTRO!D:F,3,FALSE)</f>
        <v>(T+0)</v>
      </c>
      <c r="I783" s="4" t="s">
        <v>9</v>
      </c>
      <c r="L7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3" s="4">
        <f>ROUND(IF(Tabla14[[#This Row],[OPERACIÓN]]=MAESTRO!$B$2,Tabla14[CAPITAL],IF(Tabla14[[#This Row],[OPERACIÓN]]=MAESTRO!$B$5,Tabla14[CAPITAL],-Tabla14[[#This Row],[CAPITAL]])),2)</f>
        <v>122962263.92</v>
      </c>
    </row>
    <row r="784" spans="1:13" x14ac:dyDescent="0.3">
      <c r="A784" s="26">
        <v>46160</v>
      </c>
      <c r="B784" t="s">
        <v>299</v>
      </c>
      <c r="C784" t="s">
        <v>132</v>
      </c>
      <c r="D784" s="27" t="s">
        <v>16</v>
      </c>
      <c r="E784" s="4" t="s">
        <v>136</v>
      </c>
      <c r="F784" s="4">
        <v>122962263.92</v>
      </c>
      <c r="G784" s="83" t="str">
        <f>+VLOOKUP(Tabla14[[#This Row],[FONDO]],MAESTRO!$D$2:$E$119,2,FALSE)</f>
        <v>Gma Capital</v>
      </c>
      <c r="H784" s="8" t="str">
        <f>+VLOOKUP(Tabla14[[#This Row],[FONDO]],MAESTRO!D:F,3,FALSE)</f>
        <v>(T+0)</v>
      </c>
      <c r="I784" s="4" t="s">
        <v>9</v>
      </c>
      <c r="L7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4" s="4">
        <f>ROUND(IF(Tabla14[[#This Row],[OPERACIÓN]]=MAESTRO!$B$2,Tabla14[CAPITAL],IF(Tabla14[[#This Row],[OPERACIÓN]]=MAESTRO!$B$5,Tabla14[CAPITAL],-Tabla14[[#This Row],[CAPITAL]])),2)</f>
        <v>122962263.92</v>
      </c>
    </row>
    <row r="785" spans="1:13" x14ac:dyDescent="0.3">
      <c r="A785" s="26">
        <v>46160</v>
      </c>
      <c r="B785" t="s">
        <v>299</v>
      </c>
      <c r="C785" t="s">
        <v>132</v>
      </c>
      <c r="D785" s="27" t="s">
        <v>17</v>
      </c>
      <c r="E785" s="4" t="s">
        <v>136</v>
      </c>
      <c r="F785" s="6">
        <v>1333578949.03</v>
      </c>
      <c r="G785" s="83" t="str">
        <f>+VLOOKUP(Tabla14[[#This Row],[FONDO]],MAESTRO!$D$2:$E$119,2,FALSE)</f>
        <v>Gma Capital</v>
      </c>
      <c r="H785" s="8" t="str">
        <f>+VLOOKUP(Tabla14[[#This Row],[FONDO]],MAESTRO!D:F,3,FALSE)</f>
        <v>(T+0)</v>
      </c>
      <c r="I785" s="4" t="s">
        <v>9</v>
      </c>
      <c r="L7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5" s="4">
        <f>ROUND(IF(Tabla14[[#This Row],[OPERACIÓN]]=MAESTRO!$B$2,Tabla14[CAPITAL],IF(Tabla14[[#This Row],[OPERACIÓN]]=MAESTRO!$B$5,Tabla14[CAPITAL],-Tabla14[[#This Row],[CAPITAL]])),2)</f>
        <v>-1333578949.03</v>
      </c>
    </row>
    <row r="786" spans="1:13" x14ac:dyDescent="0.3">
      <c r="A786" s="26">
        <v>46160</v>
      </c>
      <c r="B786" t="s">
        <v>299</v>
      </c>
      <c r="C786" t="s">
        <v>132</v>
      </c>
      <c r="D786" s="27" t="s">
        <v>17</v>
      </c>
      <c r="E786" s="4" t="s">
        <v>136</v>
      </c>
      <c r="F786" s="6">
        <v>322333168.80000001</v>
      </c>
      <c r="G786" s="83" t="str">
        <f>+VLOOKUP(Tabla14[[#This Row],[FONDO]],MAESTRO!$D$2:$E$119,2,FALSE)</f>
        <v>Gma Capital</v>
      </c>
      <c r="H786" s="8" t="str">
        <f>+VLOOKUP(Tabla14[[#This Row],[FONDO]],MAESTRO!D:F,3,FALSE)</f>
        <v>(T+0)</v>
      </c>
      <c r="I786" s="4" t="s">
        <v>9</v>
      </c>
      <c r="L7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6" s="4">
        <f>ROUND(IF(Tabla14[[#This Row],[OPERACIÓN]]=MAESTRO!$B$2,Tabla14[CAPITAL],IF(Tabla14[[#This Row],[OPERACIÓN]]=MAESTRO!$B$5,Tabla14[CAPITAL],-Tabla14[[#This Row],[CAPITAL]])),2)</f>
        <v>-322333168.80000001</v>
      </c>
    </row>
    <row r="787" spans="1:13" x14ac:dyDescent="0.3">
      <c r="A787" s="26">
        <v>46160</v>
      </c>
      <c r="B787" t="s">
        <v>298</v>
      </c>
      <c r="C787" t="s">
        <v>132</v>
      </c>
      <c r="D787" s="27" t="s">
        <v>16</v>
      </c>
      <c r="E787" s="4" t="s">
        <v>136</v>
      </c>
      <c r="F787" s="4">
        <v>1333578949.05</v>
      </c>
      <c r="G787" s="83" t="str">
        <f>+VLOOKUP(Tabla14[[#This Row],[FONDO]],MAESTRO!$D$2:$E$119,2,FALSE)</f>
        <v>Gma Capital</v>
      </c>
      <c r="H787" s="8" t="str">
        <f>+VLOOKUP(Tabla14[[#This Row],[FONDO]],MAESTRO!D:F,3,FALSE)</f>
        <v>(T+0)</v>
      </c>
      <c r="I787" s="4" t="s">
        <v>9</v>
      </c>
      <c r="L7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7" s="4">
        <f>ROUND(IF(Tabla14[[#This Row],[OPERACIÓN]]=MAESTRO!$B$2,Tabla14[CAPITAL],IF(Tabla14[[#This Row],[OPERACIÓN]]=MAESTRO!$B$5,Tabla14[CAPITAL],-Tabla14[[#This Row],[CAPITAL]])),2)</f>
        <v>1333578949.05</v>
      </c>
    </row>
    <row r="788" spans="1:13" x14ac:dyDescent="0.3">
      <c r="A788" s="26">
        <v>46160</v>
      </c>
      <c r="B788" t="s">
        <v>298</v>
      </c>
      <c r="C788" t="s">
        <v>132</v>
      </c>
      <c r="D788" s="27" t="s">
        <v>16</v>
      </c>
      <c r="E788" s="4" t="s">
        <v>136</v>
      </c>
      <c r="F788" s="4">
        <v>319673686.29000002</v>
      </c>
      <c r="G788" s="83" t="str">
        <f>+VLOOKUP(Tabla14[[#This Row],[FONDO]],MAESTRO!$D$2:$E$119,2,FALSE)</f>
        <v>Gma Capital</v>
      </c>
      <c r="H788" s="8" t="str">
        <f>+VLOOKUP(Tabla14[[#This Row],[FONDO]],MAESTRO!D:F,3,FALSE)</f>
        <v>(T+0)</v>
      </c>
      <c r="I788" s="4" t="s">
        <v>9</v>
      </c>
      <c r="L7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88" s="4">
        <f>ROUND(IF(Tabla14[[#This Row],[OPERACIÓN]]=MAESTRO!$B$2,Tabla14[CAPITAL],IF(Tabla14[[#This Row],[OPERACIÓN]]=MAESTRO!$B$5,Tabla14[CAPITAL],-Tabla14[[#This Row],[CAPITAL]])),2)</f>
        <v>319673686.29000002</v>
      </c>
    </row>
    <row r="789" spans="1:13" x14ac:dyDescent="0.3">
      <c r="A789" s="26">
        <v>46160</v>
      </c>
      <c r="B789" t="s">
        <v>298</v>
      </c>
      <c r="C789" t="s">
        <v>172</v>
      </c>
      <c r="D789" s="27" t="s">
        <v>17</v>
      </c>
      <c r="E789" s="4" t="s">
        <v>201</v>
      </c>
      <c r="F789" s="4">
        <v>600000</v>
      </c>
      <c r="G789" s="83" t="str">
        <f>+VLOOKUP(Tabla14[[#This Row],[FONDO]],MAESTRO!$D$2:$E$119,2,FALSE)</f>
        <v>Gma Capital</v>
      </c>
      <c r="H789" s="8" t="str">
        <f>+VLOOKUP(Tabla14[[#This Row],[FONDO]],MAESTRO!D:F,3,FALSE)</f>
        <v>USD DL</v>
      </c>
      <c r="I789" s="4" t="s">
        <v>7</v>
      </c>
      <c r="J789" s="84">
        <v>46150</v>
      </c>
      <c r="K789">
        <v>5</v>
      </c>
      <c r="L789" t="s">
        <v>279</v>
      </c>
      <c r="M789" s="4">
        <f>ROUND(IF(Tabla14[[#This Row],[OPERACIÓN]]=MAESTRO!$B$2,Tabla14[CAPITAL],IF(Tabla14[[#This Row],[OPERACIÓN]]=MAESTRO!$B$5,Tabla14[CAPITAL],-Tabla14[[#This Row],[CAPITAL]])),2)</f>
        <v>-600000</v>
      </c>
    </row>
    <row r="790" spans="1:13" x14ac:dyDescent="0.3">
      <c r="A790" s="26">
        <v>46160</v>
      </c>
      <c r="B790" t="s">
        <v>298</v>
      </c>
      <c r="C790" t="s">
        <v>172</v>
      </c>
      <c r="D790" s="27" t="s">
        <v>17</v>
      </c>
      <c r="E790" s="4" t="s">
        <v>201</v>
      </c>
      <c r="F790" s="4">
        <v>300000</v>
      </c>
      <c r="G790" s="83" t="str">
        <f>+VLOOKUP(Tabla14[[#This Row],[FONDO]],MAESTRO!$D$2:$E$119,2,FALSE)</f>
        <v>Gma Capital</v>
      </c>
      <c r="H790" s="8" t="str">
        <f>+VLOOKUP(Tabla14[[#This Row],[FONDO]],MAESTRO!D:F,3,FALSE)</f>
        <v>USD DL</v>
      </c>
      <c r="I790" s="4" t="s">
        <v>7</v>
      </c>
      <c r="J790" s="84">
        <v>46364</v>
      </c>
      <c r="K790">
        <v>5</v>
      </c>
      <c r="L790" t="s">
        <v>288</v>
      </c>
      <c r="M790" s="4">
        <f>ROUND(IF(Tabla14[[#This Row],[OPERACIÓN]]=MAESTRO!$B$2,Tabla14[CAPITAL],IF(Tabla14[[#This Row],[OPERACIÓN]]=MAESTRO!$B$5,Tabla14[CAPITAL],-Tabla14[[#This Row],[CAPITAL]])),2)</f>
        <v>-300000</v>
      </c>
    </row>
    <row r="791" spans="1:13" x14ac:dyDescent="0.3">
      <c r="A791" s="26">
        <v>46160</v>
      </c>
      <c r="B791" t="s">
        <v>298</v>
      </c>
      <c r="C791" t="s">
        <v>172</v>
      </c>
      <c r="D791" s="27" t="s">
        <v>17</v>
      </c>
      <c r="E791" s="4" t="s">
        <v>201</v>
      </c>
      <c r="F791" s="4">
        <v>300000</v>
      </c>
      <c r="G791" s="83" t="str">
        <f>+VLOOKUP(Tabla14[[#This Row],[FONDO]],MAESTRO!$D$2:$E$119,2,FALSE)</f>
        <v>Gma Capital</v>
      </c>
      <c r="H791" s="8" t="str">
        <f>+VLOOKUP(Tabla14[[#This Row],[FONDO]],MAESTRO!D:F,3,FALSE)</f>
        <v>USD DL</v>
      </c>
      <c r="I791" s="4" t="s">
        <v>7</v>
      </c>
      <c r="J791" s="84" t="s">
        <v>284</v>
      </c>
      <c r="K791">
        <v>5</v>
      </c>
      <c r="L791" t="s">
        <v>290</v>
      </c>
      <c r="M791" s="4">
        <f>ROUND(IF(Tabla14[[#This Row],[OPERACIÓN]]=MAESTRO!$B$2,Tabla14[CAPITAL],IF(Tabla14[[#This Row],[OPERACIÓN]]=MAESTRO!$B$5,Tabla14[CAPITAL],-Tabla14[[#This Row],[CAPITAL]])),2)</f>
        <v>-300000</v>
      </c>
    </row>
    <row r="792" spans="1:13" x14ac:dyDescent="0.3">
      <c r="A792" s="26">
        <v>46161</v>
      </c>
      <c r="B792" t="s">
        <v>299</v>
      </c>
      <c r="C792" t="s">
        <v>132</v>
      </c>
      <c r="D792" s="27" t="s">
        <v>17</v>
      </c>
      <c r="E792" s="4" t="s">
        <v>48</v>
      </c>
      <c r="F792" s="4">
        <v>2004700000</v>
      </c>
      <c r="G792" s="83" t="str">
        <f>+VLOOKUP(Tabla14[[#This Row],[FONDO]],MAESTRO!$D$2:$E$119,2,FALSE)</f>
        <v>Banco Macro S.A.</v>
      </c>
      <c r="H792" s="8" t="str">
        <f>+VLOOKUP(Tabla14[[#This Row],[FONDO]],MAESTRO!D:F,3,FALSE)</f>
        <v>(T+0)</v>
      </c>
      <c r="I792" s="4" t="s">
        <v>9</v>
      </c>
      <c r="L7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2" s="4">
        <f>ROUND(IF(Tabla14[[#This Row],[OPERACIÓN]]=MAESTRO!$B$2,Tabla14[CAPITAL],IF(Tabla14[[#This Row],[OPERACIÓN]]=MAESTRO!$B$5,Tabla14[CAPITAL],-Tabla14[[#This Row],[CAPITAL]])),2)</f>
        <v>-2004700000</v>
      </c>
    </row>
    <row r="793" spans="1:13" x14ac:dyDescent="0.3">
      <c r="A793" s="26">
        <v>46161</v>
      </c>
      <c r="B793" t="s">
        <v>298</v>
      </c>
      <c r="C793" t="s">
        <v>132</v>
      </c>
      <c r="D793" s="27" t="s">
        <v>17</v>
      </c>
      <c r="E793" s="4" t="s">
        <v>40</v>
      </c>
      <c r="F793" s="4">
        <v>244400000</v>
      </c>
      <c r="G793" s="83" t="str">
        <f>+VLOOKUP(Tabla14[[#This Row],[FONDO]],MAESTRO!$D$2:$E$119,2,FALSE)</f>
        <v>BBVA Banco Frances SA</v>
      </c>
      <c r="H793" s="8" t="str">
        <f>+VLOOKUP(Tabla14[[#This Row],[FONDO]],MAESTRO!D:F,3,FALSE)</f>
        <v>(T+0)</v>
      </c>
      <c r="I793" s="4" t="s">
        <v>9</v>
      </c>
      <c r="L7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3" s="4">
        <f>ROUND(IF(Tabla14[[#This Row],[OPERACIÓN]]=MAESTRO!$B$2,Tabla14[CAPITAL],IF(Tabla14[[#This Row],[OPERACIÓN]]=MAESTRO!$B$5,Tabla14[CAPITAL],-Tabla14[[#This Row],[CAPITAL]])),2)</f>
        <v>-244400000</v>
      </c>
    </row>
    <row r="794" spans="1:13" x14ac:dyDescent="0.3">
      <c r="A794" s="26">
        <v>46161</v>
      </c>
      <c r="B794" t="s">
        <v>292</v>
      </c>
      <c r="C794" t="s">
        <v>132</v>
      </c>
      <c r="D794" s="27" t="s">
        <v>16</v>
      </c>
      <c r="E794" s="4" t="s">
        <v>48</v>
      </c>
      <c r="F794" s="4">
        <v>51200000</v>
      </c>
      <c r="G794" s="83" t="str">
        <f>+VLOOKUP(Tabla14[[#This Row],[FONDO]],MAESTRO!$D$2:$E$119,2,FALSE)</f>
        <v>Banco Macro S.A.</v>
      </c>
      <c r="H794" s="8" t="str">
        <f>+VLOOKUP(Tabla14[[#This Row],[FONDO]],MAESTRO!D:F,3,FALSE)</f>
        <v>(T+0)</v>
      </c>
      <c r="I794" s="4" t="s">
        <v>9</v>
      </c>
      <c r="L7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4" s="4">
        <f>ROUND(IF(Tabla14[[#This Row],[OPERACIÓN]]=MAESTRO!$B$2,Tabla14[CAPITAL],IF(Tabla14[[#This Row],[OPERACIÓN]]=MAESTRO!$B$5,Tabla14[CAPITAL],-Tabla14[[#This Row],[CAPITAL]])),2)</f>
        <v>51200000</v>
      </c>
    </row>
    <row r="795" spans="1:13" x14ac:dyDescent="0.3">
      <c r="A795" s="26">
        <v>46161</v>
      </c>
      <c r="B795" t="s">
        <v>298</v>
      </c>
      <c r="C795" t="s">
        <v>132</v>
      </c>
      <c r="D795" s="27" t="s">
        <v>17</v>
      </c>
      <c r="E795" s="4" t="s">
        <v>136</v>
      </c>
      <c r="F795" s="4">
        <v>58323368.359999999</v>
      </c>
      <c r="G795" s="83" t="str">
        <f>+VLOOKUP(Tabla14[[#This Row],[FONDO]],MAESTRO!$D$2:$E$119,2,FALSE)</f>
        <v>Gma Capital</v>
      </c>
      <c r="H795" s="8" t="str">
        <f>+VLOOKUP(Tabla14[[#This Row],[FONDO]],MAESTRO!D:F,3,FALSE)</f>
        <v>(T+0)</v>
      </c>
      <c r="I795" s="4" t="s">
        <v>9</v>
      </c>
      <c r="L7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5" s="4">
        <f>ROUND(IF(Tabla14[[#This Row],[OPERACIÓN]]=MAESTRO!$B$2,Tabla14[CAPITAL],IF(Tabla14[[#This Row],[OPERACIÓN]]=MAESTRO!$B$5,Tabla14[CAPITAL],-Tabla14[[#This Row],[CAPITAL]])),2)</f>
        <v>-58323368.359999999</v>
      </c>
    </row>
    <row r="796" spans="1:13" x14ac:dyDescent="0.3">
      <c r="A796" s="26">
        <v>46161</v>
      </c>
      <c r="B796" t="s">
        <v>298</v>
      </c>
      <c r="C796" t="s">
        <v>132</v>
      </c>
      <c r="D796" s="27" t="s">
        <v>17</v>
      </c>
      <c r="E796" s="4" t="s">
        <v>136</v>
      </c>
      <c r="F796" s="4">
        <v>103899370</v>
      </c>
      <c r="G796" s="83" t="str">
        <f>+VLOOKUP(Tabla14[[#This Row],[FONDO]],MAESTRO!$D$2:$E$119,2,FALSE)</f>
        <v>Gma Capital</v>
      </c>
      <c r="H796" s="8" t="str">
        <f>+VLOOKUP(Tabla14[[#This Row],[FONDO]],MAESTRO!D:F,3,FALSE)</f>
        <v>(T+0)</v>
      </c>
      <c r="I796" s="4" t="s">
        <v>9</v>
      </c>
      <c r="L7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6" s="4">
        <f>ROUND(IF(Tabla14[[#This Row],[OPERACIÓN]]=MAESTRO!$B$2,Tabla14[CAPITAL],IF(Tabla14[[#This Row],[OPERACIÓN]]=MAESTRO!$B$5,Tabla14[CAPITAL],-Tabla14[[#This Row],[CAPITAL]])),2)</f>
        <v>-103899370</v>
      </c>
    </row>
    <row r="797" spans="1:13" x14ac:dyDescent="0.3">
      <c r="A797" s="26">
        <v>46161</v>
      </c>
      <c r="B797" t="s">
        <v>299</v>
      </c>
      <c r="C797" t="s">
        <v>132</v>
      </c>
      <c r="D797" s="27" t="s">
        <v>17</v>
      </c>
      <c r="E797" s="4" t="s">
        <v>136</v>
      </c>
      <c r="F797" s="4">
        <v>900000000</v>
      </c>
      <c r="G797" s="83" t="str">
        <f>+VLOOKUP(Tabla14[[#This Row],[FONDO]],MAESTRO!$D$2:$E$119,2,FALSE)</f>
        <v>Gma Capital</v>
      </c>
      <c r="H797" s="8" t="str">
        <f>+VLOOKUP(Tabla14[[#This Row],[FONDO]],MAESTRO!D:F,3,FALSE)</f>
        <v>(T+0)</v>
      </c>
      <c r="I797" s="4" t="s">
        <v>9</v>
      </c>
      <c r="L7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7" s="4">
        <f>ROUND(IF(Tabla14[[#This Row],[OPERACIÓN]]=MAESTRO!$B$2,Tabla14[CAPITAL],IF(Tabla14[[#This Row],[OPERACIÓN]]=MAESTRO!$B$5,Tabla14[CAPITAL],-Tabla14[[#This Row],[CAPITAL]])),2)</f>
        <v>-900000000</v>
      </c>
    </row>
    <row r="798" spans="1:13" x14ac:dyDescent="0.3">
      <c r="A798" s="26">
        <v>46161</v>
      </c>
      <c r="B798" t="s">
        <v>292</v>
      </c>
      <c r="C798" t="s">
        <v>132</v>
      </c>
      <c r="D798" s="27" t="s">
        <v>16</v>
      </c>
      <c r="E798" s="4" t="s">
        <v>169</v>
      </c>
      <c r="F798" s="4">
        <v>337341638.58999997</v>
      </c>
      <c r="G798" s="83" t="str">
        <f>+VLOOKUP(Tabla14[[#This Row],[FONDO]],MAESTRO!$D$2:$E$119,2,FALSE)</f>
        <v>Max Capital</v>
      </c>
      <c r="H798" s="8" t="str">
        <f>+VLOOKUP(Tabla14[[#This Row],[FONDO]],MAESTRO!D:F,3,FALSE)</f>
        <v>(T+0)</v>
      </c>
      <c r="I798" s="4" t="s">
        <v>9</v>
      </c>
      <c r="L7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8" s="4">
        <f>ROUND(IF(Tabla14[[#This Row],[OPERACIÓN]]=MAESTRO!$B$2,Tabla14[CAPITAL],IF(Tabla14[[#This Row],[OPERACIÓN]]=MAESTRO!$B$5,Tabla14[CAPITAL],-Tabla14[[#This Row],[CAPITAL]])),2)</f>
        <v>337341638.58999997</v>
      </c>
    </row>
    <row r="799" spans="1:13" x14ac:dyDescent="0.3">
      <c r="A799" s="26">
        <v>46161</v>
      </c>
      <c r="B799" t="s">
        <v>298</v>
      </c>
      <c r="C799" t="s">
        <v>132</v>
      </c>
      <c r="D799" s="27" t="s">
        <v>16</v>
      </c>
      <c r="E799" s="4" t="s">
        <v>40</v>
      </c>
      <c r="F799" s="4">
        <v>93000000</v>
      </c>
      <c r="G799" s="8" t="str">
        <f>+VLOOKUP(Tabla14[[#This Row],[FONDO]],MAESTRO!$D$2:$E$119,2,FALSE)</f>
        <v>BBVA Banco Frances SA</v>
      </c>
      <c r="H799" s="8" t="str">
        <f>+VLOOKUP(Tabla14[[#This Row],[FONDO]],MAESTRO!D:F,3,FALSE)</f>
        <v>(T+0)</v>
      </c>
      <c r="I799" s="4" t="s">
        <v>9</v>
      </c>
      <c r="L7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799" s="4">
        <f>ROUND(IF(Tabla14[[#This Row],[OPERACIÓN]]=MAESTRO!$B$2,Tabla14[CAPITAL],IF(Tabla14[[#This Row],[OPERACIÓN]]=MAESTRO!$B$5,Tabla14[CAPITAL],-Tabla14[[#This Row],[CAPITAL]])),2)</f>
        <v>93000000</v>
      </c>
    </row>
    <row r="800" spans="1:13" x14ac:dyDescent="0.3">
      <c r="A800" s="26">
        <v>46162</v>
      </c>
      <c r="B800" t="s">
        <v>298</v>
      </c>
      <c r="C800" t="s">
        <v>142</v>
      </c>
      <c r="D800" s="27" t="s">
        <v>17</v>
      </c>
      <c r="E800" s="4" t="s">
        <v>214</v>
      </c>
      <c r="F800" s="4">
        <v>1000000000</v>
      </c>
      <c r="G800" s="83" t="str">
        <f>+VLOOKUP(Tabla14[[#This Row],[FONDO]],MAESTRO!$D$2:$E$119,2,FALSE)</f>
        <v>BBVA Banco Frances SA</v>
      </c>
      <c r="H800" s="8" t="str">
        <f>+VLOOKUP(Tabla14[[#This Row],[FONDO]],MAESTRO!D:F,3,FALSE)</f>
        <v>PLAZO</v>
      </c>
      <c r="I800" s="4" t="s">
        <v>9</v>
      </c>
      <c r="J800" s="23" t="s">
        <v>262</v>
      </c>
      <c r="K800">
        <v>23.25</v>
      </c>
      <c r="L8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0" s="4">
        <f>ROUND(IF(Tabla14[[#This Row],[OPERACIÓN]]=MAESTRO!$B$2,Tabla14[CAPITAL],IF(Tabla14[[#This Row],[OPERACIÓN]]=MAESTRO!$B$5,Tabla14[CAPITAL],-Tabla14[[#This Row],[CAPITAL]])),2)</f>
        <v>-1000000000</v>
      </c>
    </row>
    <row r="801" spans="1:13" x14ac:dyDescent="0.3">
      <c r="A801" s="26">
        <v>46162</v>
      </c>
      <c r="B801" t="s">
        <v>299</v>
      </c>
      <c r="C801" t="s">
        <v>132</v>
      </c>
      <c r="D801" s="27" t="s">
        <v>17</v>
      </c>
      <c r="E801" s="4" t="s">
        <v>40</v>
      </c>
      <c r="F801" s="4">
        <v>40000000</v>
      </c>
      <c r="G801" s="83" t="str">
        <f>+VLOOKUP(Tabla14[[#This Row],[FONDO]],MAESTRO!$D$2:$E$119,2,FALSE)</f>
        <v>BBVA Banco Frances SA</v>
      </c>
      <c r="H801" s="8" t="str">
        <f>+VLOOKUP(Tabla14[[#This Row],[FONDO]],MAESTRO!D:F,3,FALSE)</f>
        <v>(T+0)</v>
      </c>
      <c r="I801" s="4" t="s">
        <v>9</v>
      </c>
      <c r="L8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1" s="4">
        <f>ROUND(IF(Tabla14[[#This Row],[OPERACIÓN]]=MAESTRO!$B$2,Tabla14[CAPITAL],IF(Tabla14[[#This Row],[OPERACIÓN]]=MAESTRO!$B$5,Tabla14[CAPITAL],-Tabla14[[#This Row],[CAPITAL]])),2)</f>
        <v>-40000000</v>
      </c>
    </row>
    <row r="802" spans="1:13" x14ac:dyDescent="0.3">
      <c r="A802" s="26">
        <v>46162</v>
      </c>
      <c r="B802" t="s">
        <v>292</v>
      </c>
      <c r="C802" t="s">
        <v>132</v>
      </c>
      <c r="D802" s="27" t="s">
        <v>17</v>
      </c>
      <c r="E802" s="4" t="s">
        <v>40</v>
      </c>
      <c r="F802" s="4">
        <v>87000000</v>
      </c>
      <c r="G802" s="83" t="str">
        <f>+VLOOKUP(Tabla14[[#This Row],[FONDO]],MAESTRO!$D$2:$E$119,2,FALSE)</f>
        <v>BBVA Banco Frances SA</v>
      </c>
      <c r="H802" s="8" t="str">
        <f>+VLOOKUP(Tabla14[[#This Row],[FONDO]],MAESTRO!D:F,3,FALSE)</f>
        <v>(T+0)</v>
      </c>
      <c r="I802" s="4" t="s">
        <v>9</v>
      </c>
      <c r="L8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2" s="4">
        <f>ROUND(IF(Tabla14[[#This Row],[OPERACIÓN]]=MAESTRO!$B$2,Tabla14[CAPITAL],IF(Tabla14[[#This Row],[OPERACIÓN]]=MAESTRO!$B$5,Tabla14[CAPITAL],-Tabla14[[#This Row],[CAPITAL]])),2)</f>
        <v>-87000000</v>
      </c>
    </row>
    <row r="803" spans="1:13" x14ac:dyDescent="0.3">
      <c r="A803" s="26">
        <v>46162</v>
      </c>
      <c r="B803" t="s">
        <v>126</v>
      </c>
      <c r="C803" t="s">
        <v>132</v>
      </c>
      <c r="D803" s="27" t="s">
        <v>17</v>
      </c>
      <c r="E803" s="4" t="s">
        <v>48</v>
      </c>
      <c r="F803" s="4">
        <v>1100000</v>
      </c>
      <c r="G803" s="8" t="str">
        <f>+VLOOKUP(Tabla14[[#This Row],[FONDO]],MAESTRO!$D$2:$E$119,2,FALSE)</f>
        <v>Banco Macro S.A.</v>
      </c>
      <c r="H803" s="8" t="str">
        <f>+VLOOKUP(Tabla14[[#This Row],[FONDO]],MAESTRO!D:F,3,FALSE)</f>
        <v>(T+0)</v>
      </c>
      <c r="I803" s="4" t="s">
        <v>9</v>
      </c>
      <c r="L8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3" s="4">
        <f>ROUND(IF(Tabla14[[#This Row],[OPERACIÓN]]=MAESTRO!$B$2,Tabla14[CAPITAL],IF(Tabla14[[#This Row],[OPERACIÓN]]=MAESTRO!$B$5,Tabla14[CAPITAL],-Tabla14[[#This Row],[CAPITAL]])),2)</f>
        <v>-1100000</v>
      </c>
    </row>
    <row r="804" spans="1:13" x14ac:dyDescent="0.3">
      <c r="A804" s="26">
        <v>46162</v>
      </c>
      <c r="B804" t="s">
        <v>292</v>
      </c>
      <c r="C804" t="s">
        <v>132</v>
      </c>
      <c r="D804" s="27" t="s">
        <v>17</v>
      </c>
      <c r="E804" s="4" t="s">
        <v>48</v>
      </c>
      <c r="F804" s="4">
        <v>7600000</v>
      </c>
      <c r="G804" s="8" t="str">
        <f>+VLOOKUP(Tabla14[[#This Row],[FONDO]],MAESTRO!$D$2:$E$119,2,FALSE)</f>
        <v>Banco Macro S.A.</v>
      </c>
      <c r="H804" s="8" t="str">
        <f>+VLOOKUP(Tabla14[[#This Row],[FONDO]],MAESTRO!D:F,3,FALSE)</f>
        <v>(T+0)</v>
      </c>
      <c r="I804" s="4" t="s">
        <v>9</v>
      </c>
      <c r="L8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4" s="4">
        <f>ROUND(IF(Tabla14[[#This Row],[OPERACIÓN]]=MAESTRO!$B$2,Tabla14[CAPITAL],IF(Tabla14[[#This Row],[OPERACIÓN]]=MAESTRO!$B$5,Tabla14[CAPITAL],-Tabla14[[#This Row],[CAPITAL]])),2)</f>
        <v>-7600000</v>
      </c>
    </row>
    <row r="805" spans="1:13" x14ac:dyDescent="0.3">
      <c r="A805" s="26">
        <v>46162</v>
      </c>
      <c r="B805" t="s">
        <v>298</v>
      </c>
      <c r="C805" t="s">
        <v>132</v>
      </c>
      <c r="D805" s="27" t="s">
        <v>17</v>
      </c>
      <c r="E805" s="4" t="s">
        <v>40</v>
      </c>
      <c r="F805" s="4">
        <v>578800000</v>
      </c>
      <c r="G805" s="8" t="str">
        <f>+VLOOKUP(Tabla14[[#This Row],[FONDO]],MAESTRO!$D$2:$E$119,2,FALSE)</f>
        <v>BBVA Banco Frances SA</v>
      </c>
      <c r="H805" s="8" t="str">
        <f>+VLOOKUP(Tabla14[[#This Row],[FONDO]],MAESTRO!D:F,3,FALSE)</f>
        <v>(T+0)</v>
      </c>
      <c r="I805" s="4" t="s">
        <v>9</v>
      </c>
      <c r="L8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5" s="4">
        <f>ROUND(IF(Tabla14[[#This Row],[OPERACIÓN]]=MAESTRO!$B$2,Tabla14[CAPITAL],IF(Tabla14[[#This Row],[OPERACIÓN]]=MAESTRO!$B$5,Tabla14[CAPITAL],-Tabla14[[#This Row],[CAPITAL]])),2)</f>
        <v>-578800000</v>
      </c>
    </row>
    <row r="806" spans="1:13" x14ac:dyDescent="0.3">
      <c r="A806" s="26">
        <v>46162</v>
      </c>
      <c r="B806" t="s">
        <v>299</v>
      </c>
      <c r="C806" t="s">
        <v>132</v>
      </c>
      <c r="D806" s="27" t="s">
        <v>16</v>
      </c>
      <c r="E806" s="4" t="s">
        <v>40</v>
      </c>
      <c r="F806" s="4">
        <v>498000000</v>
      </c>
      <c r="G806" s="8" t="str">
        <f>+VLOOKUP(Tabla14[[#This Row],[FONDO]],MAESTRO!$D$2:$E$119,2,FALSE)</f>
        <v>BBVA Banco Frances SA</v>
      </c>
      <c r="H806" s="8" t="str">
        <f>+VLOOKUP(Tabla14[[#This Row],[FONDO]],MAESTRO!D:F,3,FALSE)</f>
        <v>(T+0)</v>
      </c>
      <c r="I806" s="4" t="s">
        <v>9</v>
      </c>
      <c r="L8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6" s="4">
        <f>ROUND(IF(Tabla14[[#This Row],[OPERACIÓN]]=MAESTRO!$B$2,Tabla14[CAPITAL],IF(Tabla14[[#This Row],[OPERACIÓN]]=MAESTRO!$B$5,Tabla14[CAPITAL],-Tabla14[[#This Row],[CAPITAL]])),2)</f>
        <v>498000000</v>
      </c>
    </row>
    <row r="807" spans="1:13" x14ac:dyDescent="0.3">
      <c r="A807" s="26">
        <v>46162</v>
      </c>
      <c r="B807" t="s">
        <v>299</v>
      </c>
      <c r="C807" t="s">
        <v>132</v>
      </c>
      <c r="D807" s="27" t="s">
        <v>17</v>
      </c>
      <c r="E807" s="4" t="s">
        <v>169</v>
      </c>
      <c r="F807" s="4">
        <v>500000000</v>
      </c>
      <c r="G807" s="8" t="str">
        <f>+VLOOKUP(Tabla14[[#This Row],[FONDO]],MAESTRO!$D$2:$E$119,2,FALSE)</f>
        <v>Max Capital</v>
      </c>
      <c r="H807" s="8" t="str">
        <f>+VLOOKUP(Tabla14[[#This Row],[FONDO]],MAESTRO!D:F,3,FALSE)</f>
        <v>(T+0)</v>
      </c>
      <c r="I807" s="4" t="s">
        <v>9</v>
      </c>
      <c r="L8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7" s="4">
        <f>ROUND(IF(Tabla14[[#This Row],[OPERACIÓN]]=MAESTRO!$B$2,Tabla14[CAPITAL],IF(Tabla14[[#This Row],[OPERACIÓN]]=MAESTRO!$B$5,Tabla14[CAPITAL],-Tabla14[[#This Row],[CAPITAL]])),2)</f>
        <v>-500000000</v>
      </c>
    </row>
    <row r="808" spans="1:13" x14ac:dyDescent="0.3">
      <c r="A808" s="26">
        <v>46162</v>
      </c>
      <c r="B808" t="s">
        <v>298</v>
      </c>
      <c r="C808" t="s">
        <v>132</v>
      </c>
      <c r="D808" s="27" t="s">
        <v>17</v>
      </c>
      <c r="E808" s="4" t="s">
        <v>136</v>
      </c>
      <c r="F808" s="4">
        <v>495645905.73000002</v>
      </c>
      <c r="G808" s="8" t="str">
        <f>+VLOOKUP(Tabla14[[#This Row],[FONDO]],MAESTRO!$D$2:$E$119,2,FALSE)</f>
        <v>Gma Capital</v>
      </c>
      <c r="H808" s="8" t="str">
        <f>+VLOOKUP(Tabla14[[#This Row],[FONDO]],MAESTRO!D:F,3,FALSE)</f>
        <v>(T+0)</v>
      </c>
      <c r="I808" s="4" t="s">
        <v>9</v>
      </c>
      <c r="L8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8" s="4">
        <f>ROUND(IF(Tabla14[[#This Row],[OPERACIÓN]]=MAESTRO!$B$2,Tabla14[CAPITAL],IF(Tabla14[[#This Row],[OPERACIÓN]]=MAESTRO!$B$5,Tabla14[CAPITAL],-Tabla14[[#This Row],[CAPITAL]])),2)</f>
        <v>-495645905.73000002</v>
      </c>
    </row>
    <row r="809" spans="1:13" x14ac:dyDescent="0.3">
      <c r="A809" s="26">
        <v>46162</v>
      </c>
      <c r="B809" t="s">
        <v>299</v>
      </c>
      <c r="C809" t="s">
        <v>132</v>
      </c>
      <c r="D809" s="27" t="s">
        <v>16</v>
      </c>
      <c r="E809" s="4" t="s">
        <v>136</v>
      </c>
      <c r="F809" s="4">
        <v>792986727.91999996</v>
      </c>
      <c r="G809" s="85" t="str">
        <f>+VLOOKUP(Tabla14[[#This Row],[FONDO]],MAESTRO!$D$2:$E$119,2,FALSE)</f>
        <v>Gma Capital</v>
      </c>
      <c r="H809" s="8" t="str">
        <f>+VLOOKUP(Tabla14[[#This Row],[FONDO]],MAESTRO!D:F,3,FALSE)</f>
        <v>(T+0)</v>
      </c>
      <c r="I809" s="4" t="s">
        <v>9</v>
      </c>
      <c r="L8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09" s="4">
        <f>ROUND(IF(Tabla14[[#This Row],[OPERACIÓN]]=MAESTRO!$B$2,Tabla14[CAPITAL],IF(Tabla14[[#This Row],[OPERACIÓN]]=MAESTRO!$B$5,Tabla14[CAPITAL],-Tabla14[[#This Row],[CAPITAL]])),2)</f>
        <v>792986727.91999996</v>
      </c>
    </row>
    <row r="810" spans="1:13" x14ac:dyDescent="0.3">
      <c r="A810" s="26">
        <v>46163</v>
      </c>
      <c r="B810" t="s">
        <v>298</v>
      </c>
      <c r="C810" t="s">
        <v>132</v>
      </c>
      <c r="D810" s="27" t="s">
        <v>17</v>
      </c>
      <c r="E810" s="4" t="s">
        <v>40</v>
      </c>
      <c r="F810" s="4">
        <v>187700000</v>
      </c>
      <c r="G810" s="8" t="str">
        <f>+VLOOKUP(Tabla14[[#This Row],[FONDO]],MAESTRO!$D$2:$E$119,2,FALSE)</f>
        <v>BBVA Banco Frances SA</v>
      </c>
      <c r="H810" s="8" t="str">
        <f>+VLOOKUP(Tabla14[[#This Row],[FONDO]],MAESTRO!D:F,3,FALSE)</f>
        <v>(T+0)</v>
      </c>
      <c r="I810" s="4" t="s">
        <v>9</v>
      </c>
      <c r="L8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0" s="4">
        <f>ROUND(IF(Tabla14[[#This Row],[OPERACIÓN]]=MAESTRO!$B$2,Tabla14[CAPITAL],IF(Tabla14[[#This Row],[OPERACIÓN]]=MAESTRO!$B$5,Tabla14[CAPITAL],-Tabla14[[#This Row],[CAPITAL]])),2)</f>
        <v>-187700000</v>
      </c>
    </row>
    <row r="811" spans="1:13" x14ac:dyDescent="0.3">
      <c r="A811" s="26">
        <v>46163</v>
      </c>
      <c r="B811" t="s">
        <v>299</v>
      </c>
      <c r="C811" t="s">
        <v>132</v>
      </c>
      <c r="D811" s="27" t="s">
        <v>17</v>
      </c>
      <c r="E811" s="4" t="s">
        <v>40</v>
      </c>
      <c r="F811" s="4">
        <v>142400000</v>
      </c>
      <c r="G811" s="8" t="str">
        <f>+VLOOKUP(Tabla14[[#This Row],[FONDO]],MAESTRO!$D$2:$E$119,2,FALSE)</f>
        <v>BBVA Banco Frances SA</v>
      </c>
      <c r="H811" s="8" t="str">
        <f>+VLOOKUP(Tabla14[[#This Row],[FONDO]],MAESTRO!D:F,3,FALSE)</f>
        <v>(T+0)</v>
      </c>
      <c r="I811" s="4" t="s">
        <v>9</v>
      </c>
      <c r="L8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1" s="4">
        <f>ROUND(IF(Tabla14[[#This Row],[OPERACIÓN]]=MAESTRO!$B$2,Tabla14[CAPITAL],IF(Tabla14[[#This Row],[OPERACIÓN]]=MAESTRO!$B$5,Tabla14[CAPITAL],-Tabla14[[#This Row],[CAPITAL]])),2)</f>
        <v>-142400000</v>
      </c>
    </row>
    <row r="812" spans="1:13" x14ac:dyDescent="0.3">
      <c r="A812" s="26">
        <v>46163</v>
      </c>
      <c r="B812" t="s">
        <v>292</v>
      </c>
      <c r="C812" t="s">
        <v>132</v>
      </c>
      <c r="D812" s="27" t="s">
        <v>17</v>
      </c>
      <c r="E812" s="4" t="s">
        <v>48</v>
      </c>
      <c r="F812" s="4">
        <v>188900000</v>
      </c>
      <c r="G812" s="8" t="str">
        <f>+VLOOKUP(Tabla14[[#This Row],[FONDO]],MAESTRO!$D$2:$E$119,2,FALSE)</f>
        <v>Banco Macro S.A.</v>
      </c>
      <c r="H812" s="8" t="str">
        <f>+VLOOKUP(Tabla14[[#This Row],[FONDO]],MAESTRO!D:F,3,FALSE)</f>
        <v>(T+0)</v>
      </c>
      <c r="I812" s="4" t="s">
        <v>9</v>
      </c>
      <c r="L8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2" s="4">
        <f>ROUND(IF(Tabla14[[#This Row],[OPERACIÓN]]=MAESTRO!$B$2,Tabla14[CAPITAL],IF(Tabla14[[#This Row],[OPERACIÓN]]=MAESTRO!$B$5,Tabla14[CAPITAL],-Tabla14[[#This Row],[CAPITAL]])),2)</f>
        <v>-188900000</v>
      </c>
    </row>
    <row r="813" spans="1:13" x14ac:dyDescent="0.3">
      <c r="A813" s="26">
        <v>46163</v>
      </c>
      <c r="B813" t="s">
        <v>126</v>
      </c>
      <c r="C813" t="s">
        <v>132</v>
      </c>
      <c r="D813" s="27" t="s">
        <v>17</v>
      </c>
      <c r="E813" s="4" t="s">
        <v>48</v>
      </c>
      <c r="F813" s="4">
        <v>6900000</v>
      </c>
      <c r="G813" s="8" t="str">
        <f>+VLOOKUP(Tabla14[[#This Row],[FONDO]],MAESTRO!$D$2:$E$119,2,FALSE)</f>
        <v>Banco Macro S.A.</v>
      </c>
      <c r="H813" s="8" t="str">
        <f>+VLOOKUP(Tabla14[[#This Row],[FONDO]],MAESTRO!D:F,3,FALSE)</f>
        <v>(T+0)</v>
      </c>
      <c r="I813" s="4" t="s">
        <v>9</v>
      </c>
      <c r="L8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3" s="4">
        <f>ROUND(IF(Tabla14[[#This Row],[OPERACIÓN]]=MAESTRO!$B$2,Tabla14[CAPITAL],IF(Tabla14[[#This Row],[OPERACIÓN]]=MAESTRO!$B$5,Tabla14[CAPITAL],-Tabla14[[#This Row],[CAPITAL]])),2)</f>
        <v>-6900000</v>
      </c>
    </row>
    <row r="814" spans="1:13" x14ac:dyDescent="0.3">
      <c r="A814" s="26">
        <v>46163</v>
      </c>
      <c r="B814" t="s">
        <v>298</v>
      </c>
      <c r="C814" t="s">
        <v>132</v>
      </c>
      <c r="D814" s="27" t="s">
        <v>17</v>
      </c>
      <c r="E814" s="4" t="s">
        <v>136</v>
      </c>
      <c r="F814" s="4">
        <v>2000000000</v>
      </c>
      <c r="G814" s="8" t="str">
        <f>+VLOOKUP(Tabla14[[#This Row],[FONDO]],MAESTRO!$D$2:$E$119,2,FALSE)</f>
        <v>Gma Capital</v>
      </c>
      <c r="H814" s="8" t="str">
        <f>+VLOOKUP(Tabla14[[#This Row],[FONDO]],MAESTRO!D:F,3,FALSE)</f>
        <v>(T+0)</v>
      </c>
      <c r="I814" s="4" t="s">
        <v>9</v>
      </c>
      <c r="L8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4" s="4">
        <f>ROUND(IF(Tabla14[[#This Row],[OPERACIÓN]]=MAESTRO!$B$2,Tabla14[CAPITAL],IF(Tabla14[[#This Row],[OPERACIÓN]]=MAESTRO!$B$5,Tabla14[CAPITAL],-Tabla14[[#This Row],[CAPITAL]])),2)</f>
        <v>-2000000000</v>
      </c>
    </row>
    <row r="815" spans="1:13" x14ac:dyDescent="0.3">
      <c r="A815" s="26">
        <v>46163</v>
      </c>
      <c r="B815" t="s">
        <v>299</v>
      </c>
      <c r="C815" t="s">
        <v>132</v>
      </c>
      <c r="D815" s="27" t="s">
        <v>17</v>
      </c>
      <c r="E815" s="4" t="s">
        <v>40</v>
      </c>
      <c r="F815" s="4">
        <v>92700000</v>
      </c>
      <c r="G815" s="8" t="str">
        <f>+VLOOKUP(Tabla14[[#This Row],[FONDO]],MAESTRO!$D$2:$E$119,2,FALSE)</f>
        <v>BBVA Banco Frances SA</v>
      </c>
      <c r="H815" s="8" t="str">
        <f>+VLOOKUP(Tabla14[[#This Row],[FONDO]],MAESTRO!D:F,3,FALSE)</f>
        <v>(T+0)</v>
      </c>
      <c r="I815" s="4" t="s">
        <v>9</v>
      </c>
      <c r="L8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5" s="4">
        <f>ROUND(IF(Tabla14[[#This Row],[OPERACIÓN]]=MAESTRO!$B$2,Tabla14[CAPITAL],IF(Tabla14[[#This Row],[OPERACIÓN]]=MAESTRO!$B$5,Tabla14[CAPITAL],-Tabla14[[#This Row],[CAPITAL]])),2)</f>
        <v>-92700000</v>
      </c>
    </row>
    <row r="816" spans="1:13" x14ac:dyDescent="0.3">
      <c r="A816" s="26">
        <v>46163</v>
      </c>
      <c r="B816" t="s">
        <v>299</v>
      </c>
      <c r="C816" t="s">
        <v>132</v>
      </c>
      <c r="D816" s="27" t="s">
        <v>17</v>
      </c>
      <c r="E816" s="4" t="s">
        <v>136</v>
      </c>
      <c r="F816" s="4">
        <v>2762156001</v>
      </c>
      <c r="G816" s="8" t="str">
        <f>+VLOOKUP(Tabla14[[#This Row],[FONDO]],MAESTRO!$D$2:$E$119,2,FALSE)</f>
        <v>Gma Capital</v>
      </c>
      <c r="H816" s="8" t="str">
        <f>+VLOOKUP(Tabla14[[#This Row],[FONDO]],MAESTRO!D:F,3,FALSE)</f>
        <v>(T+0)</v>
      </c>
      <c r="I816" s="4" t="s">
        <v>9</v>
      </c>
      <c r="L8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6" s="4">
        <f>ROUND(IF(Tabla14[[#This Row],[OPERACIÓN]]=MAESTRO!$B$2,Tabla14[CAPITAL],IF(Tabla14[[#This Row],[OPERACIÓN]]=MAESTRO!$B$5,Tabla14[CAPITAL],-Tabla14[[#This Row],[CAPITAL]])),2)</f>
        <v>-2762156001</v>
      </c>
    </row>
    <row r="817" spans="1:13" x14ac:dyDescent="0.3">
      <c r="A817" s="26">
        <v>46163</v>
      </c>
      <c r="B817" t="s">
        <v>298</v>
      </c>
      <c r="C817" t="s">
        <v>132</v>
      </c>
      <c r="D817" s="27" t="s">
        <v>16</v>
      </c>
      <c r="E817" s="4" t="s">
        <v>136</v>
      </c>
      <c r="F817" s="4">
        <v>2757313761</v>
      </c>
      <c r="G817" s="8" t="str">
        <f>+VLOOKUP(Tabla14[[#This Row],[FONDO]],MAESTRO!$D$2:$E$119,2,FALSE)</f>
        <v>Gma Capital</v>
      </c>
      <c r="H817" s="8" t="str">
        <f>+VLOOKUP(Tabla14[[#This Row],[FONDO]],MAESTRO!D:F,3,FALSE)</f>
        <v>(T+0)</v>
      </c>
      <c r="I817" s="4" t="s">
        <v>9</v>
      </c>
      <c r="L8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7" s="4">
        <f>ROUND(IF(Tabla14[[#This Row],[OPERACIÓN]]=MAESTRO!$B$2,Tabla14[CAPITAL],IF(Tabla14[[#This Row],[OPERACIÓN]]=MAESTRO!$B$5,Tabla14[CAPITAL],-Tabla14[[#This Row],[CAPITAL]])),2)</f>
        <v>2757313761</v>
      </c>
    </row>
    <row r="818" spans="1:13" x14ac:dyDescent="0.3">
      <c r="A818" s="26">
        <v>46163</v>
      </c>
      <c r="B818" t="s">
        <v>298</v>
      </c>
      <c r="C818" t="s">
        <v>172</v>
      </c>
      <c r="D818" s="27" t="s">
        <v>17</v>
      </c>
      <c r="E818" s="4" t="s">
        <v>201</v>
      </c>
      <c r="F818" s="4">
        <v>2000000</v>
      </c>
      <c r="G818" s="8" t="str">
        <f>+VLOOKUP(Tabla14[[#This Row],[FONDO]],MAESTRO!$D$2:$E$119,2,FALSE)</f>
        <v>Gma Capital</v>
      </c>
      <c r="H818" s="8" t="str">
        <f>+VLOOKUP(Tabla14[[#This Row],[FONDO]],MAESTRO!D:F,3,FALSE)</f>
        <v>USD DL</v>
      </c>
      <c r="I818" s="4" t="s">
        <v>7</v>
      </c>
      <c r="J818" s="23" t="s">
        <v>282</v>
      </c>
      <c r="K818">
        <v>5</v>
      </c>
      <c r="L818" t="s">
        <v>289</v>
      </c>
      <c r="M818" s="4">
        <f>ROUND(IF(Tabla14[[#This Row],[OPERACIÓN]]=MAESTRO!$B$2,Tabla14[CAPITAL],IF(Tabla14[[#This Row],[OPERACIÓN]]=MAESTRO!$B$5,Tabla14[CAPITAL],-Tabla14[[#This Row],[CAPITAL]])),2)</f>
        <v>-2000000</v>
      </c>
    </row>
    <row r="819" spans="1:13" x14ac:dyDescent="0.3">
      <c r="A819" s="37">
        <v>46163</v>
      </c>
      <c r="B819" s="20" t="s">
        <v>298</v>
      </c>
      <c r="C819" s="20" t="s">
        <v>132</v>
      </c>
      <c r="D819" s="38" t="s">
        <v>16</v>
      </c>
      <c r="E819" s="39" t="s">
        <v>208</v>
      </c>
      <c r="F819" s="39">
        <v>1709156.87</v>
      </c>
      <c r="G819" s="40" t="str">
        <f>+VLOOKUP(Tabla14[[#This Row],[FONDO]],MAESTRO!$D$2:$E$119,2,FALSE)</f>
        <v>Facimex</v>
      </c>
      <c r="H819" s="40" t="str">
        <f>+VLOOKUP(Tabla14[[#This Row],[FONDO]],MAESTRO!D:F,3,FALSE)</f>
        <v>(T+0)</v>
      </c>
      <c r="I819" s="39" t="s">
        <v>9</v>
      </c>
      <c r="J819" s="49"/>
      <c r="K819" s="20"/>
      <c r="L81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19" s="39">
        <f>ROUND(IF(Tabla14[[#This Row],[OPERACIÓN]]=MAESTRO!$B$2,Tabla14[CAPITAL],IF(Tabla14[[#This Row],[OPERACIÓN]]=MAESTRO!$B$5,Tabla14[CAPITAL],-Tabla14[[#This Row],[CAPITAL]])),2)</f>
        <v>1709156.87</v>
      </c>
    </row>
    <row r="820" spans="1:13" x14ac:dyDescent="0.3">
      <c r="A820" s="37">
        <v>46164</v>
      </c>
      <c r="B820" s="20" t="s">
        <v>299</v>
      </c>
      <c r="C820" s="20" t="s">
        <v>132</v>
      </c>
      <c r="D820" s="38" t="s">
        <v>16</v>
      </c>
      <c r="E820" s="39" t="s">
        <v>136</v>
      </c>
      <c r="F820" s="52">
        <v>28430334.98</v>
      </c>
      <c r="G820" s="86" t="str">
        <f>+VLOOKUP(Tabla14[[#This Row],[FONDO]],MAESTRO!$D$2:$E$119,2,FALSE)</f>
        <v>Gma Capital</v>
      </c>
      <c r="H820" s="40" t="str">
        <f>+VLOOKUP(Tabla14[[#This Row],[FONDO]],MAESTRO!D:F,3,FALSE)</f>
        <v>(T+0)</v>
      </c>
      <c r="I820" s="39" t="s">
        <v>9</v>
      </c>
      <c r="J820" s="49"/>
      <c r="K820" s="20"/>
      <c r="L82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0" s="39">
        <f>ROUND(IF(Tabla14[[#This Row],[OPERACIÓN]]=MAESTRO!$B$2,Tabla14[CAPITAL],IF(Tabla14[[#This Row],[OPERACIÓN]]=MAESTRO!$B$5,Tabla14[CAPITAL],-Tabla14[[#This Row],[CAPITAL]])),2)</f>
        <v>28430334.98</v>
      </c>
    </row>
    <row r="821" spans="1:13" x14ac:dyDescent="0.3">
      <c r="A821" s="37">
        <v>46164</v>
      </c>
      <c r="B821" s="20" t="s">
        <v>299</v>
      </c>
      <c r="C821" s="20" t="s">
        <v>132</v>
      </c>
      <c r="D821" s="38" t="s">
        <v>16</v>
      </c>
      <c r="E821" s="39" t="s">
        <v>48</v>
      </c>
      <c r="F821" s="39">
        <v>11536832</v>
      </c>
      <c r="G821" s="86" t="str">
        <f>+VLOOKUP(Tabla14[[#This Row],[FONDO]],MAESTRO!$D$2:$E$119,2,FALSE)</f>
        <v>Banco Macro S.A.</v>
      </c>
      <c r="H821" s="40" t="str">
        <f>+VLOOKUP(Tabla14[[#This Row],[FONDO]],MAESTRO!D:F,3,FALSE)</f>
        <v>(T+0)</v>
      </c>
      <c r="I821" s="39" t="s">
        <v>9</v>
      </c>
      <c r="J821" s="49"/>
      <c r="K821" s="20"/>
      <c r="L82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1" s="39">
        <f>ROUND(IF(Tabla14[[#This Row],[OPERACIÓN]]=MAESTRO!$B$2,Tabla14[CAPITAL],IF(Tabla14[[#This Row],[OPERACIÓN]]=MAESTRO!$B$5,Tabla14[CAPITAL],-Tabla14[[#This Row],[CAPITAL]])),2)</f>
        <v>11536832</v>
      </c>
    </row>
    <row r="822" spans="1:13" x14ac:dyDescent="0.3">
      <c r="A822" s="37">
        <v>46164</v>
      </c>
      <c r="B822" s="20" t="s">
        <v>299</v>
      </c>
      <c r="C822" s="20" t="s">
        <v>132</v>
      </c>
      <c r="D822" s="38" t="s">
        <v>17</v>
      </c>
      <c r="E822" s="39" t="s">
        <v>212</v>
      </c>
      <c r="F822" s="39">
        <v>44337055.68</v>
      </c>
      <c r="G822" s="86" t="str">
        <f>+VLOOKUP(Tabla14[[#This Row],[FONDO]],MAESTRO!$D$2:$E$119,2,FALSE)</f>
        <v>INTAGRO</v>
      </c>
      <c r="H822" s="40" t="str">
        <f>+VLOOKUP(Tabla14[[#This Row],[FONDO]],MAESTRO!D:F,3,FALSE)</f>
        <v>(T+0)</v>
      </c>
      <c r="I822" s="39" t="s">
        <v>9</v>
      </c>
      <c r="J822" s="49"/>
      <c r="K822" s="20"/>
      <c r="L82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2" s="39">
        <f>ROUND(IF(Tabla14[[#This Row],[OPERACIÓN]]=MAESTRO!$B$2,Tabla14[CAPITAL],IF(Tabla14[[#This Row],[OPERACIÓN]]=MAESTRO!$B$5,Tabla14[CAPITAL],-Tabla14[[#This Row],[CAPITAL]])),2)</f>
        <v>-44337055.68</v>
      </c>
    </row>
    <row r="823" spans="1:13" x14ac:dyDescent="0.3">
      <c r="A823" s="26">
        <v>46164</v>
      </c>
      <c r="B823" t="s">
        <v>298</v>
      </c>
      <c r="C823" t="s">
        <v>132</v>
      </c>
      <c r="D823" s="27" t="s">
        <v>17</v>
      </c>
      <c r="E823" s="4" t="s">
        <v>136</v>
      </c>
      <c r="F823" s="4">
        <v>295167470</v>
      </c>
      <c r="G823" s="85" t="str">
        <f>+VLOOKUP(Tabla14[[#This Row],[FONDO]],MAESTRO!$D$2:$E$119,2,FALSE)</f>
        <v>Gma Capital</v>
      </c>
      <c r="H823" s="8" t="str">
        <f>+VLOOKUP(Tabla14[[#This Row],[FONDO]],MAESTRO!D:F,3,FALSE)</f>
        <v>(T+0)</v>
      </c>
      <c r="I823" s="4" t="s">
        <v>9</v>
      </c>
      <c r="L8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3" s="4">
        <f>ROUND(IF(Tabla14[[#This Row],[OPERACIÓN]]=MAESTRO!$B$2,Tabla14[CAPITAL],IF(Tabla14[[#This Row],[OPERACIÓN]]=MAESTRO!$B$5,Tabla14[CAPITAL],-Tabla14[[#This Row],[CAPITAL]])),2)</f>
        <v>-295167470</v>
      </c>
    </row>
    <row r="824" spans="1:13" x14ac:dyDescent="0.3">
      <c r="A824" s="26">
        <v>46164</v>
      </c>
      <c r="B824" t="s">
        <v>298</v>
      </c>
      <c r="C824" t="s">
        <v>132</v>
      </c>
      <c r="D824" s="27" t="s">
        <v>17</v>
      </c>
      <c r="E824" s="4" t="s">
        <v>136</v>
      </c>
      <c r="F824" s="4">
        <v>93191187.75</v>
      </c>
      <c r="G824" s="85" t="str">
        <f>+VLOOKUP(Tabla14[[#This Row],[FONDO]],MAESTRO!$D$2:$E$119,2,FALSE)</f>
        <v>Gma Capital</v>
      </c>
      <c r="H824" s="8" t="str">
        <f>+VLOOKUP(Tabla14[[#This Row],[FONDO]],MAESTRO!D:F,3,FALSE)</f>
        <v>(T+0)</v>
      </c>
      <c r="I824" s="4" t="s">
        <v>9</v>
      </c>
      <c r="L8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4" s="4">
        <f>ROUND(IF(Tabla14[[#This Row],[OPERACIÓN]]=MAESTRO!$B$2,Tabla14[CAPITAL],IF(Tabla14[[#This Row],[OPERACIÓN]]=MAESTRO!$B$5,Tabla14[CAPITAL],-Tabla14[[#This Row],[CAPITAL]])),2)</f>
        <v>-93191187.75</v>
      </c>
    </row>
    <row r="825" spans="1:13" x14ac:dyDescent="0.3">
      <c r="A825" s="26">
        <v>46164</v>
      </c>
      <c r="B825" t="s">
        <v>298</v>
      </c>
      <c r="C825" t="s">
        <v>132</v>
      </c>
      <c r="D825" s="27" t="s">
        <v>17</v>
      </c>
      <c r="E825" s="4" t="s">
        <v>136</v>
      </c>
      <c r="F825" s="4">
        <v>51878150.259999998</v>
      </c>
      <c r="G825" s="85" t="str">
        <f>+VLOOKUP(Tabla14[[#This Row],[FONDO]],MAESTRO!$D$2:$E$119,2,FALSE)</f>
        <v>Gma Capital</v>
      </c>
      <c r="H825" s="8" t="str">
        <f>+VLOOKUP(Tabla14[[#This Row],[FONDO]],MAESTRO!D:F,3,FALSE)</f>
        <v>(T+0)</v>
      </c>
      <c r="I825" s="4" t="s">
        <v>9</v>
      </c>
      <c r="L8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5" s="4">
        <f>ROUND(IF(Tabla14[[#This Row],[OPERACIÓN]]=MAESTRO!$B$2,Tabla14[CAPITAL],IF(Tabla14[[#This Row],[OPERACIÓN]]=MAESTRO!$B$5,Tabla14[CAPITAL],-Tabla14[[#This Row],[CAPITAL]])),2)</f>
        <v>-51878150.259999998</v>
      </c>
    </row>
    <row r="826" spans="1:13" x14ac:dyDescent="0.3">
      <c r="A826" s="26">
        <v>46164</v>
      </c>
      <c r="B826" t="s">
        <v>298</v>
      </c>
      <c r="C826" t="s">
        <v>132</v>
      </c>
      <c r="D826" s="27" t="s">
        <v>17</v>
      </c>
      <c r="E826" s="4" t="s">
        <v>136</v>
      </c>
      <c r="F826" s="4">
        <v>72005346.200000003</v>
      </c>
      <c r="G826" s="85" t="str">
        <f>+VLOOKUP(Tabla14[[#This Row],[FONDO]],MAESTRO!$D$2:$E$119,2,FALSE)</f>
        <v>Gma Capital</v>
      </c>
      <c r="H826" s="8" t="str">
        <f>+VLOOKUP(Tabla14[[#This Row],[FONDO]],MAESTRO!D:F,3,FALSE)</f>
        <v>(T+0)</v>
      </c>
      <c r="I826" s="4" t="s">
        <v>9</v>
      </c>
      <c r="L8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6" s="4">
        <f>ROUND(IF(Tabla14[[#This Row],[OPERACIÓN]]=MAESTRO!$B$2,Tabla14[CAPITAL],IF(Tabla14[[#This Row],[OPERACIÓN]]=MAESTRO!$B$5,Tabla14[CAPITAL],-Tabla14[[#This Row],[CAPITAL]])),2)</f>
        <v>-72005346.200000003</v>
      </c>
    </row>
    <row r="827" spans="1:13" x14ac:dyDescent="0.3">
      <c r="A827" s="26">
        <v>46164</v>
      </c>
      <c r="B827" t="s">
        <v>298</v>
      </c>
      <c r="C827" t="s">
        <v>132</v>
      </c>
      <c r="D827" s="27" t="s">
        <v>16</v>
      </c>
      <c r="E827" s="4" t="s">
        <v>170</v>
      </c>
      <c r="F827" s="4">
        <v>1000000000</v>
      </c>
      <c r="G827" s="85" t="str">
        <f>+VLOOKUP(Tabla14[[#This Row],[FONDO]],MAESTRO!$D$2:$E$119,2,FALSE)</f>
        <v>Banco Santander Rio S.A.</v>
      </c>
      <c r="H827" s="8" t="str">
        <f>+VLOOKUP(Tabla14[[#This Row],[FONDO]],MAESTRO!D:F,3,FALSE)</f>
        <v>(T+0)</v>
      </c>
      <c r="I827" s="4" t="s">
        <v>9</v>
      </c>
      <c r="L8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7" s="4">
        <f>ROUND(IF(Tabla14[[#This Row],[OPERACIÓN]]=MAESTRO!$B$2,Tabla14[CAPITAL],IF(Tabla14[[#This Row],[OPERACIÓN]]=MAESTRO!$B$5,Tabla14[CAPITAL],-Tabla14[[#This Row],[CAPITAL]])),2)</f>
        <v>1000000000</v>
      </c>
    </row>
    <row r="828" spans="1:13" x14ac:dyDescent="0.3">
      <c r="A828" s="26">
        <v>46164</v>
      </c>
      <c r="B828" t="s">
        <v>298</v>
      </c>
      <c r="C828" t="s">
        <v>132</v>
      </c>
      <c r="D828" s="27" t="s">
        <v>16</v>
      </c>
      <c r="E828" s="4" t="s">
        <v>48</v>
      </c>
      <c r="F828" s="4">
        <v>5644700000</v>
      </c>
      <c r="G828" s="85" t="str">
        <f>+VLOOKUP(Tabla14[[#This Row],[FONDO]],MAESTRO!$D$2:$E$119,2,FALSE)</f>
        <v>Banco Macro S.A.</v>
      </c>
      <c r="H828" s="8" t="str">
        <f>+VLOOKUP(Tabla14[[#This Row],[FONDO]],MAESTRO!D:F,3,FALSE)</f>
        <v>(T+0)</v>
      </c>
      <c r="I828" s="4" t="s">
        <v>9</v>
      </c>
      <c r="L8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8" s="4">
        <f>ROUND(IF(Tabla14[[#This Row],[OPERACIÓN]]=MAESTRO!$B$2,Tabla14[CAPITAL],IF(Tabla14[[#This Row],[OPERACIÓN]]=MAESTRO!$B$5,Tabla14[CAPITAL],-Tabla14[[#This Row],[CAPITAL]])),2)</f>
        <v>5644700000</v>
      </c>
    </row>
    <row r="829" spans="1:13" x14ac:dyDescent="0.3">
      <c r="A829" s="26">
        <v>46164</v>
      </c>
      <c r="B829" t="s">
        <v>299</v>
      </c>
      <c r="C829" t="s">
        <v>132</v>
      </c>
      <c r="D829" s="27" t="s">
        <v>16</v>
      </c>
      <c r="E829" s="4" t="s">
        <v>48</v>
      </c>
      <c r="F829" s="4">
        <v>11700000</v>
      </c>
      <c r="G829" s="85" t="str">
        <f>+VLOOKUP(Tabla14[[#This Row],[FONDO]],MAESTRO!$D$2:$E$119,2,FALSE)</f>
        <v>Banco Macro S.A.</v>
      </c>
      <c r="H829" s="8" t="str">
        <f>+VLOOKUP(Tabla14[[#This Row],[FONDO]],MAESTRO!D:F,3,FALSE)</f>
        <v>(T+0)</v>
      </c>
      <c r="I829" s="4" t="s">
        <v>9</v>
      </c>
      <c r="L8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29" s="4">
        <f>ROUND(IF(Tabla14[[#This Row],[OPERACIÓN]]=MAESTRO!$B$2,Tabla14[CAPITAL],IF(Tabla14[[#This Row],[OPERACIÓN]]=MAESTRO!$B$5,Tabla14[CAPITAL],-Tabla14[[#This Row],[CAPITAL]])),2)</f>
        <v>11700000</v>
      </c>
    </row>
    <row r="830" spans="1:13" x14ac:dyDescent="0.3">
      <c r="A830" s="26">
        <v>46164</v>
      </c>
      <c r="B830" t="s">
        <v>292</v>
      </c>
      <c r="C830" t="s">
        <v>132</v>
      </c>
      <c r="D830" s="27" t="s">
        <v>16</v>
      </c>
      <c r="E830" s="4" t="s">
        <v>48</v>
      </c>
      <c r="F830" s="4">
        <v>274100000</v>
      </c>
      <c r="G830" s="85" t="str">
        <f>+VLOOKUP(Tabla14[[#This Row],[FONDO]],MAESTRO!$D$2:$E$119,2,FALSE)</f>
        <v>Banco Macro S.A.</v>
      </c>
      <c r="H830" s="8" t="str">
        <f>+VLOOKUP(Tabla14[[#This Row],[FONDO]],MAESTRO!D:F,3,FALSE)</f>
        <v>(T+0)</v>
      </c>
      <c r="I830" s="4" t="s">
        <v>9</v>
      </c>
      <c r="L8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0" s="4">
        <f>ROUND(IF(Tabla14[[#This Row],[OPERACIÓN]]=MAESTRO!$B$2,Tabla14[CAPITAL],IF(Tabla14[[#This Row],[OPERACIÓN]]=MAESTRO!$B$5,Tabla14[CAPITAL],-Tabla14[[#This Row],[CAPITAL]])),2)</f>
        <v>274100000</v>
      </c>
    </row>
    <row r="831" spans="1:13" x14ac:dyDescent="0.3">
      <c r="A831" s="26">
        <v>46164</v>
      </c>
      <c r="B831" t="s">
        <v>298</v>
      </c>
      <c r="C831" t="s">
        <v>132</v>
      </c>
      <c r="D831" s="27" t="s">
        <v>16</v>
      </c>
      <c r="E831" s="4" t="s">
        <v>40</v>
      </c>
      <c r="F831" s="4">
        <v>93000000</v>
      </c>
      <c r="G831" s="85" t="str">
        <f>+VLOOKUP(Tabla14[[#This Row],[FONDO]],MAESTRO!$D$2:$E$119,2,FALSE)</f>
        <v>BBVA Banco Frances SA</v>
      </c>
      <c r="H831" s="8" t="str">
        <f>+VLOOKUP(Tabla14[[#This Row],[FONDO]],MAESTRO!D:F,3,FALSE)</f>
        <v>(T+0)</v>
      </c>
      <c r="I831" s="4" t="s">
        <v>9</v>
      </c>
      <c r="L8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1" s="4">
        <f>ROUND(IF(Tabla14[[#This Row],[OPERACIÓN]]=MAESTRO!$B$2,Tabla14[CAPITAL],IF(Tabla14[[#This Row],[OPERACIÓN]]=MAESTRO!$B$5,Tabla14[CAPITAL],-Tabla14[[#This Row],[CAPITAL]])),2)</f>
        <v>93000000</v>
      </c>
    </row>
    <row r="832" spans="1:13" x14ac:dyDescent="0.3">
      <c r="A832" s="26">
        <v>46168</v>
      </c>
      <c r="B832" t="s">
        <v>126</v>
      </c>
      <c r="C832" t="s">
        <v>132</v>
      </c>
      <c r="D832" s="27" t="s">
        <v>17</v>
      </c>
      <c r="E832" s="4" t="s">
        <v>48</v>
      </c>
      <c r="F832" s="4">
        <v>66500000</v>
      </c>
      <c r="G832" s="8" t="str">
        <f>+VLOOKUP(Tabla14[[#This Row],[FONDO]],MAESTRO!$D$2:$E$119,2,FALSE)</f>
        <v>Banco Macro S.A.</v>
      </c>
      <c r="H832" s="8" t="str">
        <f>+VLOOKUP(Tabla14[[#This Row],[FONDO]],MAESTRO!D:F,3,FALSE)</f>
        <v>(T+0)</v>
      </c>
      <c r="I832" s="4" t="s">
        <v>9</v>
      </c>
      <c r="L8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2" s="4">
        <f>ROUND(IF(Tabla14[[#This Row],[OPERACIÓN]]=MAESTRO!$B$2,Tabla14[CAPITAL],IF(Tabla14[[#This Row],[OPERACIÓN]]=MAESTRO!$B$5,Tabla14[CAPITAL],-Tabla14[[#This Row],[CAPITAL]])),2)</f>
        <v>-66500000</v>
      </c>
    </row>
    <row r="833" spans="1:13" x14ac:dyDescent="0.3">
      <c r="A833" s="26">
        <v>46168</v>
      </c>
      <c r="B833" t="s">
        <v>292</v>
      </c>
      <c r="C833" t="s">
        <v>132</v>
      </c>
      <c r="D833" s="27" t="s">
        <v>17</v>
      </c>
      <c r="E833" s="4" t="s">
        <v>48</v>
      </c>
      <c r="F833" s="4">
        <v>114500000</v>
      </c>
      <c r="G833" s="8" t="str">
        <f>+VLOOKUP(Tabla14[[#This Row],[FONDO]],MAESTRO!$D$2:$E$119,2,FALSE)</f>
        <v>Banco Macro S.A.</v>
      </c>
      <c r="H833" s="8" t="str">
        <f>+VLOOKUP(Tabla14[[#This Row],[FONDO]],MAESTRO!D:F,3,FALSE)</f>
        <v>(T+0)</v>
      </c>
      <c r="I833" s="4" t="s">
        <v>9</v>
      </c>
      <c r="L8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3" s="4">
        <f>ROUND(IF(Tabla14[[#This Row],[OPERACIÓN]]=MAESTRO!$B$2,Tabla14[CAPITAL],IF(Tabla14[[#This Row],[OPERACIÓN]]=MAESTRO!$B$5,Tabla14[CAPITAL],-Tabla14[[#This Row],[CAPITAL]])),2)</f>
        <v>-114500000</v>
      </c>
    </row>
    <row r="834" spans="1:13" x14ac:dyDescent="0.3">
      <c r="A834" s="26">
        <v>46168</v>
      </c>
      <c r="B834" t="s">
        <v>298</v>
      </c>
      <c r="C834" t="s">
        <v>132</v>
      </c>
      <c r="D834" s="27" t="s">
        <v>17</v>
      </c>
      <c r="E834" s="4" t="s">
        <v>48</v>
      </c>
      <c r="F834" s="4">
        <v>366500000</v>
      </c>
      <c r="G834" s="8" t="str">
        <f>+VLOOKUP(Tabla14[[#This Row],[FONDO]],MAESTRO!$D$2:$E$119,2,FALSE)</f>
        <v>Banco Macro S.A.</v>
      </c>
      <c r="H834" s="8" t="str">
        <f>+VLOOKUP(Tabla14[[#This Row],[FONDO]],MAESTRO!D:F,3,FALSE)</f>
        <v>(T+0)</v>
      </c>
      <c r="I834" s="4" t="s">
        <v>9</v>
      </c>
      <c r="L8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4" s="4">
        <f>ROUND(IF(Tabla14[[#This Row],[OPERACIÓN]]=MAESTRO!$B$2,Tabla14[CAPITAL],IF(Tabla14[[#This Row],[OPERACIÓN]]=MAESTRO!$B$5,Tabla14[CAPITAL],-Tabla14[[#This Row],[CAPITAL]])),2)</f>
        <v>-366500000</v>
      </c>
    </row>
    <row r="835" spans="1:13" x14ac:dyDescent="0.3">
      <c r="A835" s="26">
        <v>46168</v>
      </c>
      <c r="B835" t="s">
        <v>299</v>
      </c>
      <c r="C835" t="s">
        <v>132</v>
      </c>
      <c r="D835" s="27" t="s">
        <v>16</v>
      </c>
      <c r="E835" s="4" t="s">
        <v>48</v>
      </c>
      <c r="F835" s="4">
        <v>40100000</v>
      </c>
      <c r="G835" s="8" t="str">
        <f>+VLOOKUP(Tabla14[[#This Row],[FONDO]],MAESTRO!$D$2:$E$119,2,FALSE)</f>
        <v>Banco Macro S.A.</v>
      </c>
      <c r="H835" s="8" t="str">
        <f>+VLOOKUP(Tabla14[[#This Row],[FONDO]],MAESTRO!D:F,3,FALSE)</f>
        <v>(T+0)</v>
      </c>
      <c r="I835" s="4" t="s">
        <v>9</v>
      </c>
      <c r="L8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5" s="4">
        <f>ROUND(IF(Tabla14[[#This Row],[OPERACIÓN]]=MAESTRO!$B$2,Tabla14[CAPITAL],IF(Tabla14[[#This Row],[OPERACIÓN]]=MAESTRO!$B$5,Tabla14[CAPITAL],-Tabla14[[#This Row],[CAPITAL]])),2)</f>
        <v>40100000</v>
      </c>
    </row>
    <row r="836" spans="1:13" x14ac:dyDescent="0.3">
      <c r="A836" s="26">
        <v>46168</v>
      </c>
      <c r="B836" t="s">
        <v>298</v>
      </c>
      <c r="C836" t="s">
        <v>132</v>
      </c>
      <c r="D836" s="27" t="s">
        <v>17</v>
      </c>
      <c r="E836" s="4" t="s">
        <v>170</v>
      </c>
      <c r="F836" s="4">
        <v>777384775.75999999</v>
      </c>
      <c r="G836" s="8" t="str">
        <f>+VLOOKUP(Tabla14[[#This Row],[FONDO]],MAESTRO!$D$2:$E$119,2,FALSE)</f>
        <v>Banco Santander Rio S.A.</v>
      </c>
      <c r="H836" s="8" t="str">
        <f>+VLOOKUP(Tabla14[[#This Row],[FONDO]],MAESTRO!D:F,3,FALSE)</f>
        <v>(T+0)</v>
      </c>
      <c r="I836" s="4" t="s">
        <v>9</v>
      </c>
      <c r="L8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6" s="4">
        <f>ROUND(IF(Tabla14[[#This Row],[OPERACIÓN]]=MAESTRO!$B$2,Tabla14[CAPITAL],IF(Tabla14[[#This Row],[OPERACIÓN]]=MAESTRO!$B$5,Tabla14[CAPITAL],-Tabla14[[#This Row],[CAPITAL]])),2)</f>
        <v>-777384775.75999999</v>
      </c>
    </row>
    <row r="837" spans="1:13" x14ac:dyDescent="0.3">
      <c r="A837" s="26">
        <v>46169</v>
      </c>
      <c r="B837" t="s">
        <v>298</v>
      </c>
      <c r="C837" t="s">
        <v>132</v>
      </c>
      <c r="D837" s="27" t="s">
        <v>17</v>
      </c>
      <c r="E837" s="4" t="s">
        <v>48</v>
      </c>
      <c r="F837" s="4">
        <v>621400000</v>
      </c>
      <c r="G837" s="87" t="str">
        <f>+VLOOKUP(Tabla14[[#This Row],[FONDO]],MAESTRO!$D$2:$E$119,2,FALSE)</f>
        <v>Banco Macro S.A.</v>
      </c>
      <c r="H837" s="8" t="str">
        <f>+VLOOKUP(Tabla14[[#This Row],[FONDO]],MAESTRO!D:F,3,FALSE)</f>
        <v>(T+0)</v>
      </c>
      <c r="I837" s="4" t="s">
        <v>9</v>
      </c>
      <c r="L8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7" s="4">
        <f>ROUND(IF(Tabla14[[#This Row],[OPERACIÓN]]=MAESTRO!$B$2,Tabla14[CAPITAL],IF(Tabla14[[#This Row],[OPERACIÓN]]=MAESTRO!$B$5,Tabla14[CAPITAL],-Tabla14[[#This Row],[CAPITAL]])),2)</f>
        <v>-621400000</v>
      </c>
    </row>
    <row r="838" spans="1:13" x14ac:dyDescent="0.3">
      <c r="A838" s="26">
        <v>46169</v>
      </c>
      <c r="B838" t="s">
        <v>299</v>
      </c>
      <c r="C838" t="s">
        <v>132</v>
      </c>
      <c r="D838" s="27" t="s">
        <v>17</v>
      </c>
      <c r="E838" s="4" t="s">
        <v>48</v>
      </c>
      <c r="F838" s="4">
        <v>44300000</v>
      </c>
      <c r="G838" s="87" t="str">
        <f>+VLOOKUP(Tabla14[[#This Row],[FONDO]],MAESTRO!$D$2:$E$119,2,FALSE)</f>
        <v>Banco Macro S.A.</v>
      </c>
      <c r="H838" s="8" t="str">
        <f>+VLOOKUP(Tabla14[[#This Row],[FONDO]],MAESTRO!D:F,3,FALSE)</f>
        <v>(T+0)</v>
      </c>
      <c r="I838" s="4" t="s">
        <v>9</v>
      </c>
      <c r="L8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8" s="4">
        <f>ROUND(IF(Tabla14[[#This Row],[OPERACIÓN]]=MAESTRO!$B$2,Tabla14[CAPITAL],IF(Tabla14[[#This Row],[OPERACIÓN]]=MAESTRO!$B$5,Tabla14[CAPITAL],-Tabla14[[#This Row],[CAPITAL]])),2)</f>
        <v>-44300000</v>
      </c>
    </row>
    <row r="839" spans="1:13" x14ac:dyDescent="0.3">
      <c r="A839" s="26">
        <v>46169</v>
      </c>
      <c r="B839" t="s">
        <v>292</v>
      </c>
      <c r="C839" t="s">
        <v>132</v>
      </c>
      <c r="D839" s="27" t="s">
        <v>17</v>
      </c>
      <c r="E839" s="4" t="s">
        <v>48</v>
      </c>
      <c r="F839" s="4">
        <v>53900000</v>
      </c>
      <c r="G839" s="87" t="str">
        <f>+VLOOKUP(Tabla14[[#This Row],[FONDO]],MAESTRO!$D$2:$E$119,2,FALSE)</f>
        <v>Banco Macro S.A.</v>
      </c>
      <c r="H839" s="8" t="str">
        <f>+VLOOKUP(Tabla14[[#This Row],[FONDO]],MAESTRO!D:F,3,FALSE)</f>
        <v>(T+0)</v>
      </c>
      <c r="I839" s="4" t="s">
        <v>9</v>
      </c>
      <c r="L8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39" s="4">
        <f>ROUND(IF(Tabla14[[#This Row],[OPERACIÓN]]=MAESTRO!$B$2,Tabla14[CAPITAL],IF(Tabla14[[#This Row],[OPERACIÓN]]=MAESTRO!$B$5,Tabla14[CAPITAL],-Tabla14[[#This Row],[CAPITAL]])),2)</f>
        <v>-53900000</v>
      </c>
    </row>
    <row r="840" spans="1:13" x14ac:dyDescent="0.3">
      <c r="A840" s="26">
        <v>46169</v>
      </c>
      <c r="B840" t="s">
        <v>292</v>
      </c>
      <c r="C840" t="s">
        <v>132</v>
      </c>
      <c r="D840" s="27" t="s">
        <v>17</v>
      </c>
      <c r="E840" s="4" t="s">
        <v>136</v>
      </c>
      <c r="F840" s="4">
        <v>156378678.19</v>
      </c>
      <c r="G840" s="87" t="str">
        <f>+VLOOKUP(Tabla14[[#This Row],[FONDO]],MAESTRO!$D$2:$E$119,2,FALSE)</f>
        <v>Gma Capital</v>
      </c>
      <c r="H840" s="8" t="str">
        <f>+VLOOKUP(Tabla14[[#This Row],[FONDO]],MAESTRO!D:F,3,FALSE)</f>
        <v>(T+0)</v>
      </c>
      <c r="I840" s="4" t="s">
        <v>9</v>
      </c>
      <c r="L8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0" s="4">
        <f>ROUND(IF(Tabla14[[#This Row],[OPERACIÓN]]=MAESTRO!$B$2,Tabla14[CAPITAL],IF(Tabla14[[#This Row],[OPERACIÓN]]=MAESTRO!$B$5,Tabla14[CAPITAL],-Tabla14[[#This Row],[CAPITAL]])),2)</f>
        <v>-156378678.19</v>
      </c>
    </row>
    <row r="841" spans="1:13" x14ac:dyDescent="0.3">
      <c r="A841" s="26">
        <v>46169</v>
      </c>
      <c r="B841" t="s">
        <v>292</v>
      </c>
      <c r="C841" t="s">
        <v>132</v>
      </c>
      <c r="D841" s="27" t="s">
        <v>17</v>
      </c>
      <c r="E841" s="4" t="s">
        <v>136</v>
      </c>
      <c r="F841" s="4">
        <v>150409955.88</v>
      </c>
      <c r="G841" s="87" t="str">
        <f>+VLOOKUP(Tabla14[[#This Row],[FONDO]],MAESTRO!$D$2:$E$119,2,FALSE)</f>
        <v>Gma Capital</v>
      </c>
      <c r="H841" s="8" t="str">
        <f>+VLOOKUP(Tabla14[[#This Row],[FONDO]],MAESTRO!D:F,3,FALSE)</f>
        <v>(T+0)</v>
      </c>
      <c r="I841" s="4" t="s">
        <v>9</v>
      </c>
      <c r="L8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1" s="4">
        <f>ROUND(IF(Tabla14[[#This Row],[OPERACIÓN]]=MAESTRO!$B$2,Tabla14[CAPITAL],IF(Tabla14[[#This Row],[OPERACIÓN]]=MAESTRO!$B$5,Tabla14[CAPITAL],-Tabla14[[#This Row],[CAPITAL]])),2)</f>
        <v>-150409955.88</v>
      </c>
    </row>
    <row r="842" spans="1:13" x14ac:dyDescent="0.3">
      <c r="A842" s="26">
        <v>46169</v>
      </c>
      <c r="B842" t="s">
        <v>299</v>
      </c>
      <c r="C842" t="s">
        <v>132</v>
      </c>
      <c r="D842" s="27" t="s">
        <v>17</v>
      </c>
      <c r="E842" s="4" t="s">
        <v>136</v>
      </c>
      <c r="F842" s="4">
        <v>84904299.459999993</v>
      </c>
      <c r="G842" s="87" t="str">
        <f>+VLOOKUP(Tabla14[[#This Row],[FONDO]],MAESTRO!$D$2:$E$119,2,FALSE)</f>
        <v>Gma Capital</v>
      </c>
      <c r="H842" s="8" t="str">
        <f>+VLOOKUP(Tabla14[[#This Row],[FONDO]],MAESTRO!D:F,3,FALSE)</f>
        <v>(T+0)</v>
      </c>
      <c r="I842" s="4" t="s">
        <v>9</v>
      </c>
      <c r="L8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2" s="4">
        <f>ROUND(IF(Tabla14[[#This Row],[OPERACIÓN]]=MAESTRO!$B$2,Tabla14[CAPITAL],IF(Tabla14[[#This Row],[OPERACIÓN]]=MAESTRO!$B$5,Tabla14[CAPITAL],-Tabla14[[#This Row],[CAPITAL]])),2)</f>
        <v>-84904299.459999993</v>
      </c>
    </row>
    <row r="843" spans="1:13" x14ac:dyDescent="0.3">
      <c r="A843" s="26">
        <v>46169</v>
      </c>
      <c r="B843" t="s">
        <v>299</v>
      </c>
      <c r="C843" t="s">
        <v>132</v>
      </c>
      <c r="D843" s="27" t="s">
        <v>17</v>
      </c>
      <c r="E843" s="4" t="s">
        <v>136</v>
      </c>
      <c r="F843" s="4">
        <v>124245224.03</v>
      </c>
      <c r="G843" s="87" t="str">
        <f>+VLOOKUP(Tabla14[[#This Row],[FONDO]],MAESTRO!$D$2:$E$119,2,FALSE)</f>
        <v>Gma Capital</v>
      </c>
      <c r="H843" s="8" t="str">
        <f>+VLOOKUP(Tabla14[[#This Row],[FONDO]],MAESTRO!D:F,3,FALSE)</f>
        <v>(T+0)</v>
      </c>
      <c r="I843" s="4" t="s">
        <v>9</v>
      </c>
      <c r="L8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3" s="4">
        <f>ROUND(IF(Tabla14[[#This Row],[OPERACIÓN]]=MAESTRO!$B$2,Tabla14[CAPITAL],IF(Tabla14[[#This Row],[OPERACIÓN]]=MAESTRO!$B$5,Tabla14[CAPITAL],-Tabla14[[#This Row],[CAPITAL]])),2)</f>
        <v>-124245224.03</v>
      </c>
    </row>
    <row r="844" spans="1:13" x14ac:dyDescent="0.3">
      <c r="A844" s="26">
        <v>46169</v>
      </c>
      <c r="B844" t="s">
        <v>299</v>
      </c>
      <c r="C844" t="s">
        <v>132</v>
      </c>
      <c r="D844" s="27" t="s">
        <v>17</v>
      </c>
      <c r="E844" s="4" t="s">
        <v>169</v>
      </c>
      <c r="F844" s="4">
        <v>110672702.22</v>
      </c>
      <c r="G844" s="87" t="str">
        <f>+VLOOKUP(Tabla14[[#This Row],[FONDO]],MAESTRO!$D$2:$E$119,2,FALSE)</f>
        <v>Max Capital</v>
      </c>
      <c r="H844" s="8" t="str">
        <f>+VLOOKUP(Tabla14[[#This Row],[FONDO]],MAESTRO!D:F,3,FALSE)</f>
        <v>(T+0)</v>
      </c>
      <c r="I844" s="4" t="s">
        <v>9</v>
      </c>
      <c r="L8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4" s="4">
        <f>ROUND(IF(Tabla14[[#This Row],[OPERACIÓN]]=MAESTRO!$B$2,Tabla14[CAPITAL],IF(Tabla14[[#This Row],[OPERACIÓN]]=MAESTRO!$B$5,Tabla14[CAPITAL],-Tabla14[[#This Row],[CAPITAL]])),2)</f>
        <v>-110672702.22</v>
      </c>
    </row>
    <row r="845" spans="1:13" x14ac:dyDescent="0.3">
      <c r="A845" s="26">
        <v>46169</v>
      </c>
      <c r="B845" t="s">
        <v>299</v>
      </c>
      <c r="C845" t="s">
        <v>132</v>
      </c>
      <c r="D845" s="27" t="s">
        <v>17</v>
      </c>
      <c r="E845" s="4" t="s">
        <v>169</v>
      </c>
      <c r="F845" s="4">
        <v>61170370.520000003</v>
      </c>
      <c r="G845" s="87" t="str">
        <f>+VLOOKUP(Tabla14[[#This Row],[FONDO]],MAESTRO!$D$2:$E$119,2,FALSE)</f>
        <v>Max Capital</v>
      </c>
      <c r="H845" s="8" t="str">
        <f>+VLOOKUP(Tabla14[[#This Row],[FONDO]],MAESTRO!D:F,3,FALSE)</f>
        <v>(T+0)</v>
      </c>
      <c r="I845" s="4" t="s">
        <v>9</v>
      </c>
      <c r="L8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5" s="4">
        <f>ROUND(IF(Tabla14[[#This Row],[OPERACIÓN]]=MAESTRO!$B$2,Tabla14[CAPITAL],IF(Tabla14[[#This Row],[OPERACIÓN]]=MAESTRO!$B$5,Tabla14[CAPITAL],-Tabla14[[#This Row],[CAPITAL]])),2)</f>
        <v>-61170370.520000003</v>
      </c>
    </row>
    <row r="846" spans="1:13" x14ac:dyDescent="0.3">
      <c r="A846" s="26">
        <v>46169</v>
      </c>
      <c r="B846" t="s">
        <v>298</v>
      </c>
      <c r="C846" t="s">
        <v>132</v>
      </c>
      <c r="D846" s="27" t="s">
        <v>17</v>
      </c>
      <c r="E846" s="4" t="s">
        <v>136</v>
      </c>
      <c r="F846" s="4">
        <v>2000000000</v>
      </c>
      <c r="G846" s="87" t="str">
        <f>+VLOOKUP(Tabla14[[#This Row],[FONDO]],MAESTRO!$D$2:$E$119,2,FALSE)</f>
        <v>Gma Capital</v>
      </c>
      <c r="H846" s="8" t="str">
        <f>+VLOOKUP(Tabla14[[#This Row],[FONDO]],MAESTRO!D:F,3,FALSE)</f>
        <v>(T+0)</v>
      </c>
      <c r="I846" s="4" t="s">
        <v>9</v>
      </c>
      <c r="L8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6" s="4">
        <f>ROUND(IF(Tabla14[[#This Row],[OPERACIÓN]]=MAESTRO!$B$2,Tabla14[CAPITAL],IF(Tabla14[[#This Row],[OPERACIÓN]]=MAESTRO!$B$5,Tabla14[CAPITAL],-Tabla14[[#This Row],[CAPITAL]])),2)</f>
        <v>-2000000000</v>
      </c>
    </row>
    <row r="847" spans="1:13" x14ac:dyDescent="0.3">
      <c r="A847" s="26">
        <v>46169</v>
      </c>
      <c r="B847" t="s">
        <v>298</v>
      </c>
      <c r="C847" t="s">
        <v>132</v>
      </c>
      <c r="D847" s="27" t="s">
        <v>16</v>
      </c>
      <c r="E847" s="4" t="s">
        <v>208</v>
      </c>
      <c r="F847" s="4">
        <v>500000000</v>
      </c>
      <c r="G847" s="87" t="str">
        <f>+VLOOKUP(Tabla14[[#This Row],[FONDO]],MAESTRO!$D$2:$E$119,2,FALSE)</f>
        <v>Facimex</v>
      </c>
      <c r="H847" s="8" t="str">
        <f>+VLOOKUP(Tabla14[[#This Row],[FONDO]],MAESTRO!D:F,3,FALSE)</f>
        <v>(T+0)</v>
      </c>
      <c r="I847" s="4" t="s">
        <v>9</v>
      </c>
      <c r="L8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7" s="4">
        <f>ROUND(IF(Tabla14[[#This Row],[OPERACIÓN]]=MAESTRO!$B$2,Tabla14[CAPITAL],IF(Tabla14[[#This Row],[OPERACIÓN]]=MAESTRO!$B$5,Tabla14[CAPITAL],-Tabla14[[#This Row],[CAPITAL]])),2)</f>
        <v>500000000</v>
      </c>
    </row>
    <row r="848" spans="1:13" x14ac:dyDescent="0.3">
      <c r="A848" s="26">
        <v>46169</v>
      </c>
      <c r="B848" t="s">
        <v>298</v>
      </c>
      <c r="C848" t="s">
        <v>132</v>
      </c>
      <c r="D848" s="27" t="s">
        <v>16</v>
      </c>
      <c r="E848" s="4" t="s">
        <v>204</v>
      </c>
      <c r="F848" s="4">
        <v>500000000</v>
      </c>
      <c r="G848" s="87" t="str">
        <f>+VLOOKUP(Tabla14[[#This Row],[FONDO]],MAESTRO!$D$2:$E$119,2,FALSE)</f>
        <v>Latin Securities</v>
      </c>
      <c r="H848" s="8" t="str">
        <f>+VLOOKUP(Tabla14[[#This Row],[FONDO]],MAESTRO!D:F,3,FALSE)</f>
        <v>(T+0)</v>
      </c>
      <c r="I848" s="4" t="s">
        <v>9</v>
      </c>
      <c r="L8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8" s="4">
        <f>ROUND(IF(Tabla14[[#This Row],[OPERACIÓN]]=MAESTRO!$B$2,Tabla14[CAPITAL],IF(Tabla14[[#This Row],[OPERACIÓN]]=MAESTRO!$B$5,Tabla14[CAPITAL],-Tabla14[[#This Row],[CAPITAL]])),2)</f>
        <v>500000000</v>
      </c>
    </row>
    <row r="849" spans="1:13" x14ac:dyDescent="0.3">
      <c r="A849" s="26">
        <v>46169</v>
      </c>
      <c r="B849" t="s">
        <v>298</v>
      </c>
      <c r="C849" t="s">
        <v>132</v>
      </c>
      <c r="D849" s="27" t="s">
        <v>16</v>
      </c>
      <c r="E849" s="4" t="s">
        <v>169</v>
      </c>
      <c r="F849" s="4">
        <v>1000000000</v>
      </c>
      <c r="G849" s="87" t="str">
        <f>+VLOOKUP(Tabla14[[#This Row],[FONDO]],MAESTRO!$D$2:$E$119,2,FALSE)</f>
        <v>Max Capital</v>
      </c>
      <c r="H849" s="8" t="str">
        <f>+VLOOKUP(Tabla14[[#This Row],[FONDO]],MAESTRO!D:F,3,FALSE)</f>
        <v>(T+0)</v>
      </c>
      <c r="I849" s="4" t="s">
        <v>9</v>
      </c>
      <c r="L8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49" s="4">
        <f>ROUND(IF(Tabla14[[#This Row],[OPERACIÓN]]=MAESTRO!$B$2,Tabla14[CAPITAL],IF(Tabla14[[#This Row],[OPERACIÓN]]=MAESTRO!$B$5,Tabla14[CAPITAL],-Tabla14[[#This Row],[CAPITAL]])),2)</f>
        <v>1000000000</v>
      </c>
    </row>
    <row r="850" spans="1:13" x14ac:dyDescent="0.3">
      <c r="A850" s="26">
        <v>46170</v>
      </c>
      <c r="B850" t="s">
        <v>298</v>
      </c>
      <c r="C850" t="s">
        <v>132</v>
      </c>
      <c r="D850" s="27" t="s">
        <v>17</v>
      </c>
      <c r="E850" s="4" t="s">
        <v>136</v>
      </c>
      <c r="F850" s="4">
        <v>101297359.95999999</v>
      </c>
      <c r="G850" s="87" t="str">
        <f>+VLOOKUP(Tabla14[[#This Row],[FONDO]],MAESTRO!$D$2:$E$119,2,FALSE)</f>
        <v>Gma Capital</v>
      </c>
      <c r="H850" s="8" t="str">
        <f>+VLOOKUP(Tabla14[[#This Row],[FONDO]],MAESTRO!D:F,3,FALSE)</f>
        <v>(T+0)</v>
      </c>
      <c r="I850" s="4" t="s">
        <v>9</v>
      </c>
      <c r="L8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0" s="4">
        <f>ROUND(IF(Tabla14[[#This Row],[OPERACIÓN]]=MAESTRO!$B$2,Tabla14[CAPITAL],IF(Tabla14[[#This Row],[OPERACIÓN]]=MAESTRO!$B$5,Tabla14[CAPITAL],-Tabla14[[#This Row],[CAPITAL]])),2)</f>
        <v>-101297359.95999999</v>
      </c>
    </row>
    <row r="851" spans="1:13" x14ac:dyDescent="0.3">
      <c r="A851" s="26">
        <v>46170</v>
      </c>
      <c r="B851" t="s">
        <v>298</v>
      </c>
      <c r="C851" t="s">
        <v>132</v>
      </c>
      <c r="D851" s="27" t="s">
        <v>17</v>
      </c>
      <c r="E851" s="4" t="s">
        <v>136</v>
      </c>
      <c r="F851" s="4">
        <v>120821714.09999999</v>
      </c>
      <c r="G851" s="87" t="str">
        <f>+VLOOKUP(Tabla14[[#This Row],[FONDO]],MAESTRO!$D$2:$E$119,2,FALSE)</f>
        <v>Gma Capital</v>
      </c>
      <c r="H851" s="8" t="str">
        <f>+VLOOKUP(Tabla14[[#This Row],[FONDO]],MAESTRO!D:F,3,FALSE)</f>
        <v>(T+0)</v>
      </c>
      <c r="I851" s="4" t="s">
        <v>9</v>
      </c>
      <c r="L8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1" s="4">
        <f>ROUND(IF(Tabla14[[#This Row],[OPERACIÓN]]=MAESTRO!$B$2,Tabla14[CAPITAL],IF(Tabla14[[#This Row],[OPERACIÓN]]=MAESTRO!$B$5,Tabla14[CAPITAL],-Tabla14[[#This Row],[CAPITAL]])),2)</f>
        <v>-120821714.09999999</v>
      </c>
    </row>
    <row r="852" spans="1:13" x14ac:dyDescent="0.3">
      <c r="A852" s="26">
        <v>46170</v>
      </c>
      <c r="B852" t="s">
        <v>298</v>
      </c>
      <c r="C852" t="s">
        <v>132</v>
      </c>
      <c r="D852" s="27" t="s">
        <v>17</v>
      </c>
      <c r="E852" s="4" t="s">
        <v>169</v>
      </c>
      <c r="F852" s="4">
        <v>63963947.049999997</v>
      </c>
      <c r="G852" s="87" t="str">
        <f>+VLOOKUP(Tabla14[[#This Row],[FONDO]],MAESTRO!$D$2:$E$119,2,FALSE)</f>
        <v>Max Capital</v>
      </c>
      <c r="H852" s="8" t="str">
        <f>+VLOOKUP(Tabla14[[#This Row],[FONDO]],MAESTRO!D:F,3,FALSE)</f>
        <v>(T+0)</v>
      </c>
      <c r="I852" s="4" t="s">
        <v>9</v>
      </c>
      <c r="L8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2" s="4">
        <f>ROUND(IF(Tabla14[[#This Row],[OPERACIÓN]]=MAESTRO!$B$2,Tabla14[CAPITAL],IF(Tabla14[[#This Row],[OPERACIÓN]]=MAESTRO!$B$5,Tabla14[CAPITAL],-Tabla14[[#This Row],[CAPITAL]])),2)</f>
        <v>-63963947.049999997</v>
      </c>
    </row>
    <row r="853" spans="1:13" x14ac:dyDescent="0.3">
      <c r="A853" s="26">
        <v>46170</v>
      </c>
      <c r="B853" t="s">
        <v>298</v>
      </c>
      <c r="C853" t="s">
        <v>132</v>
      </c>
      <c r="D853" s="27" t="s">
        <v>17</v>
      </c>
      <c r="E853" s="4" t="s">
        <v>169</v>
      </c>
      <c r="F853" s="4">
        <v>61615049.990000002</v>
      </c>
      <c r="G853" s="87" t="str">
        <f>+VLOOKUP(Tabla14[[#This Row],[FONDO]],MAESTRO!$D$2:$E$119,2,FALSE)</f>
        <v>Max Capital</v>
      </c>
      <c r="H853" s="8" t="str">
        <f>+VLOOKUP(Tabla14[[#This Row],[FONDO]],MAESTRO!D:F,3,FALSE)</f>
        <v>(T+0)</v>
      </c>
      <c r="I853" s="4" t="s">
        <v>9</v>
      </c>
      <c r="L8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3" s="4">
        <f>ROUND(IF(Tabla14[[#This Row],[OPERACIÓN]]=MAESTRO!$B$2,Tabla14[CAPITAL],IF(Tabla14[[#This Row],[OPERACIÓN]]=MAESTRO!$B$5,Tabla14[CAPITAL],-Tabla14[[#This Row],[CAPITAL]])),2)</f>
        <v>-61615049.990000002</v>
      </c>
    </row>
    <row r="854" spans="1:13" x14ac:dyDescent="0.3">
      <c r="A854" s="26">
        <v>46170</v>
      </c>
      <c r="B854" t="s">
        <v>298</v>
      </c>
      <c r="C854" t="s">
        <v>132</v>
      </c>
      <c r="D854" s="27" t="s">
        <v>17</v>
      </c>
      <c r="E854" s="4" t="s">
        <v>204</v>
      </c>
      <c r="F854" s="4">
        <v>113097456.13</v>
      </c>
      <c r="G854" s="87" t="str">
        <f>+VLOOKUP(Tabla14[[#This Row],[FONDO]],MAESTRO!$D$2:$E$119,2,FALSE)</f>
        <v>Latin Securities</v>
      </c>
      <c r="H854" s="8" t="str">
        <f>+VLOOKUP(Tabla14[[#This Row],[FONDO]],MAESTRO!D:F,3,FALSE)</f>
        <v>(T+0)</v>
      </c>
      <c r="I854" s="4" t="s">
        <v>9</v>
      </c>
      <c r="L8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4" s="4">
        <f>ROUND(IF(Tabla14[[#This Row],[OPERACIÓN]]=MAESTRO!$B$2,Tabla14[CAPITAL],IF(Tabla14[[#This Row],[OPERACIÓN]]=MAESTRO!$B$5,Tabla14[CAPITAL],-Tabla14[[#This Row],[CAPITAL]])),2)</f>
        <v>-113097456.13</v>
      </c>
    </row>
    <row r="855" spans="1:13" x14ac:dyDescent="0.3">
      <c r="A855" s="26">
        <v>46170</v>
      </c>
      <c r="B855" t="s">
        <v>298</v>
      </c>
      <c r="C855" t="s">
        <v>132</v>
      </c>
      <c r="D855" s="27" t="s">
        <v>17</v>
      </c>
      <c r="E855" s="4" t="s">
        <v>170</v>
      </c>
      <c r="F855" s="4">
        <v>95674034.689999998</v>
      </c>
      <c r="G855" s="87" t="str">
        <f>+VLOOKUP(Tabla14[[#This Row],[FONDO]],MAESTRO!$D$2:$E$119,2,FALSE)</f>
        <v>Banco Santander Rio S.A.</v>
      </c>
      <c r="H855" s="8" t="str">
        <f>+VLOOKUP(Tabla14[[#This Row],[FONDO]],MAESTRO!D:F,3,FALSE)</f>
        <v>(T+0)</v>
      </c>
      <c r="I855" s="4" t="s">
        <v>9</v>
      </c>
      <c r="L8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5" s="4">
        <f>ROUND(IF(Tabla14[[#This Row],[OPERACIÓN]]=MAESTRO!$B$2,Tabla14[CAPITAL],IF(Tabla14[[#This Row],[OPERACIÓN]]=MAESTRO!$B$5,Tabla14[CAPITAL],-Tabla14[[#This Row],[CAPITAL]])),2)</f>
        <v>-95674034.689999998</v>
      </c>
    </row>
    <row r="856" spans="1:13" x14ac:dyDescent="0.3">
      <c r="A856" s="26">
        <v>46170</v>
      </c>
      <c r="B856" t="s">
        <v>292</v>
      </c>
      <c r="C856" t="s">
        <v>132</v>
      </c>
      <c r="D856" s="27" t="s">
        <v>16</v>
      </c>
      <c r="E856" s="4" t="s">
        <v>170</v>
      </c>
      <c r="F856" s="4">
        <v>95674034.689999998</v>
      </c>
      <c r="G856" s="87" t="str">
        <f>+VLOOKUP(Tabla14[[#This Row],[FONDO]],MAESTRO!$D$2:$E$119,2,FALSE)</f>
        <v>Banco Santander Rio S.A.</v>
      </c>
      <c r="H856" s="8" t="str">
        <f>+VLOOKUP(Tabla14[[#This Row],[FONDO]],MAESTRO!D:F,3,FALSE)</f>
        <v>(T+0)</v>
      </c>
      <c r="I856" s="4" t="s">
        <v>9</v>
      </c>
      <c r="L8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6" s="4">
        <f>ROUND(IF(Tabla14[[#This Row],[OPERACIÓN]]=MAESTRO!$B$2,Tabla14[CAPITAL],IF(Tabla14[[#This Row],[OPERACIÓN]]=MAESTRO!$B$5,Tabla14[CAPITAL],-Tabla14[[#This Row],[CAPITAL]])),2)</f>
        <v>95674034.689999998</v>
      </c>
    </row>
    <row r="857" spans="1:13" x14ac:dyDescent="0.3">
      <c r="A857" s="26">
        <v>46170</v>
      </c>
      <c r="B857" t="s">
        <v>298</v>
      </c>
      <c r="C857" t="s">
        <v>132</v>
      </c>
      <c r="D857" s="27" t="s">
        <v>17</v>
      </c>
      <c r="E857" s="4" t="s">
        <v>136</v>
      </c>
      <c r="F857" s="4">
        <v>1304000000</v>
      </c>
      <c r="G857" s="87" t="str">
        <f>+VLOOKUP(Tabla14[[#This Row],[FONDO]],MAESTRO!$D$2:$E$119,2,FALSE)</f>
        <v>Gma Capital</v>
      </c>
      <c r="H857" s="8" t="str">
        <f>+VLOOKUP(Tabla14[[#This Row],[FONDO]],MAESTRO!D:F,3,FALSE)</f>
        <v>(T+0)</v>
      </c>
      <c r="I857" s="4" t="s">
        <v>9</v>
      </c>
      <c r="L8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7" s="4">
        <f>ROUND(IF(Tabla14[[#This Row],[OPERACIÓN]]=MAESTRO!$B$2,Tabla14[CAPITAL],IF(Tabla14[[#This Row],[OPERACIÓN]]=MAESTRO!$B$5,Tabla14[CAPITAL],-Tabla14[[#This Row],[CAPITAL]])),2)</f>
        <v>-1304000000</v>
      </c>
    </row>
    <row r="858" spans="1:13" x14ac:dyDescent="0.3">
      <c r="A858" s="26">
        <v>46170</v>
      </c>
      <c r="B858" t="s">
        <v>298</v>
      </c>
      <c r="C858" t="s">
        <v>132</v>
      </c>
      <c r="D858" s="27" t="s">
        <v>16</v>
      </c>
      <c r="E858" s="4" t="s">
        <v>170</v>
      </c>
      <c r="F858" s="4">
        <v>1000000000</v>
      </c>
      <c r="G858" s="87" t="str">
        <f>+VLOOKUP(Tabla14[[#This Row],[FONDO]],MAESTRO!$D$2:$E$119,2,FALSE)</f>
        <v>Banco Santander Rio S.A.</v>
      </c>
      <c r="H858" s="8" t="str">
        <f>+VLOOKUP(Tabla14[[#This Row],[FONDO]],MAESTRO!D:F,3,FALSE)</f>
        <v>(T+0)</v>
      </c>
      <c r="I858" s="4" t="s">
        <v>9</v>
      </c>
      <c r="L8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8" s="4">
        <f>ROUND(IF(Tabla14[[#This Row],[OPERACIÓN]]=MAESTRO!$B$2,Tabla14[CAPITAL],IF(Tabla14[[#This Row],[OPERACIÓN]]=MAESTRO!$B$5,Tabla14[CAPITAL],-Tabla14[[#This Row],[CAPITAL]])),2)</f>
        <v>1000000000</v>
      </c>
    </row>
    <row r="859" spans="1:13" x14ac:dyDescent="0.3">
      <c r="A859" s="26">
        <v>46170</v>
      </c>
      <c r="B859" t="s">
        <v>298</v>
      </c>
      <c r="C859" t="s">
        <v>132</v>
      </c>
      <c r="D859" s="27" t="s">
        <v>17</v>
      </c>
      <c r="E859" s="4" t="s">
        <v>40</v>
      </c>
      <c r="F859" s="4">
        <v>200000</v>
      </c>
      <c r="G859" s="8" t="str">
        <f>+VLOOKUP(Tabla14[[#This Row],[FONDO]],MAESTRO!$D$2:$E$119,2,FALSE)</f>
        <v>BBVA Banco Frances SA</v>
      </c>
      <c r="H859" s="8" t="str">
        <f>+VLOOKUP(Tabla14[[#This Row],[FONDO]],MAESTRO!D:F,3,FALSE)</f>
        <v>(T+0)</v>
      </c>
      <c r="I859" s="4" t="s">
        <v>9</v>
      </c>
      <c r="L8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59" s="4">
        <f>ROUND(IF(Tabla14[[#This Row],[OPERACIÓN]]=MAESTRO!$B$2,Tabla14[CAPITAL],IF(Tabla14[[#This Row],[OPERACIÓN]]=MAESTRO!$B$5,Tabla14[CAPITAL],-Tabla14[[#This Row],[CAPITAL]])),2)</f>
        <v>-200000</v>
      </c>
    </row>
    <row r="860" spans="1:13" x14ac:dyDescent="0.3">
      <c r="A860" s="26">
        <v>46170</v>
      </c>
      <c r="B860" t="s">
        <v>299</v>
      </c>
      <c r="C860" t="s">
        <v>132</v>
      </c>
      <c r="D860" s="27" t="s">
        <v>16</v>
      </c>
      <c r="E860" s="4" t="s">
        <v>48</v>
      </c>
      <c r="F860" s="4">
        <v>381300000</v>
      </c>
      <c r="G860" s="98" t="str">
        <f>+VLOOKUP(Tabla14[[#This Row],[FONDO]],MAESTRO!$D$2:$E$119,2,FALSE)</f>
        <v>Banco Macro S.A.</v>
      </c>
      <c r="H860" s="8" t="str">
        <f>+VLOOKUP(Tabla14[[#This Row],[FONDO]],MAESTRO!D:F,3,FALSE)</f>
        <v>(T+0)</v>
      </c>
      <c r="I860" s="4" t="s">
        <v>9</v>
      </c>
      <c r="L8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0" s="4">
        <f>ROUND(IF(Tabla14[[#This Row],[OPERACIÓN]]=MAESTRO!$B$2,Tabla14[CAPITAL],IF(Tabla14[[#This Row],[OPERACIÓN]]=MAESTRO!$B$5,Tabla14[CAPITAL],-Tabla14[[#This Row],[CAPITAL]])),2)</f>
        <v>381300000</v>
      </c>
    </row>
    <row r="861" spans="1:13" s="20" customFormat="1" ht="15.75" customHeight="1" x14ac:dyDescent="0.3">
      <c r="A861" s="26">
        <v>46170</v>
      </c>
      <c r="B861" t="s">
        <v>292</v>
      </c>
      <c r="C861" t="s">
        <v>132</v>
      </c>
      <c r="D861" s="27" t="s">
        <v>16</v>
      </c>
      <c r="E861" s="4" t="s">
        <v>48</v>
      </c>
      <c r="F861" s="4">
        <v>89300000</v>
      </c>
      <c r="G861" s="98" t="str">
        <f>+VLOOKUP(Tabla14[[#This Row],[FONDO]],MAESTRO!$D$2:$E$119,2,FALSE)</f>
        <v>Banco Macro S.A.</v>
      </c>
      <c r="H861" s="8" t="str">
        <f>+VLOOKUP(Tabla14[[#This Row],[FONDO]],MAESTRO!D:F,3,FALSE)</f>
        <v>(T+0)</v>
      </c>
      <c r="I861" s="4" t="s">
        <v>9</v>
      </c>
      <c r="J861" s="23"/>
      <c r="K861"/>
      <c r="L8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1" s="4">
        <f>ROUND(IF(Tabla14[[#This Row],[OPERACIÓN]]=MAESTRO!$B$2,Tabla14[CAPITAL],IF(Tabla14[[#This Row],[OPERACIÓN]]=MAESTRO!$B$5,Tabla14[CAPITAL],-Tabla14[[#This Row],[CAPITAL]])),2)</f>
        <v>89300000</v>
      </c>
    </row>
    <row r="862" spans="1:13" s="20" customFormat="1" x14ac:dyDescent="0.3">
      <c r="A862" s="37">
        <v>46170</v>
      </c>
      <c r="B862" s="20" t="s">
        <v>299</v>
      </c>
      <c r="C862" s="20" t="s">
        <v>132</v>
      </c>
      <c r="D862" s="38" t="s">
        <v>16</v>
      </c>
      <c r="E862" s="39" t="s">
        <v>136</v>
      </c>
      <c r="F862" s="39">
        <v>2504522.0499999998</v>
      </c>
      <c r="G862" s="89" t="str">
        <f>+VLOOKUP(Tabla14[[#This Row],[FONDO]],MAESTRO!$D$2:$E$119,2,FALSE)</f>
        <v>Gma Capital</v>
      </c>
      <c r="H862" s="40" t="str">
        <f>+VLOOKUP(Tabla14[[#This Row],[FONDO]],MAESTRO!D:F,3,FALSE)</f>
        <v>(T+0)</v>
      </c>
      <c r="I862" s="39" t="s">
        <v>9</v>
      </c>
      <c r="J862" s="49"/>
      <c r="L86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2" s="39">
        <f>ROUND(IF(Tabla14[[#This Row],[OPERACIÓN]]=MAESTRO!$B$2,Tabla14[CAPITAL],IF(Tabla14[[#This Row],[OPERACIÓN]]=MAESTRO!$B$5,Tabla14[CAPITAL],-Tabla14[[#This Row],[CAPITAL]])),2)</f>
        <v>2504522.0499999998</v>
      </c>
    </row>
    <row r="863" spans="1:13" x14ac:dyDescent="0.3">
      <c r="A863" s="37">
        <v>46170</v>
      </c>
      <c r="B863" s="20" t="s">
        <v>299</v>
      </c>
      <c r="C863" s="20" t="s">
        <v>132</v>
      </c>
      <c r="D863" s="38" t="s">
        <v>16</v>
      </c>
      <c r="E863" s="39" t="s">
        <v>169</v>
      </c>
      <c r="F863" s="39">
        <v>3972553.83</v>
      </c>
      <c r="G863" s="89" t="str">
        <f>+VLOOKUP(Tabla14[[#This Row],[FONDO]],MAESTRO!$D$2:$E$119,2,FALSE)</f>
        <v>Max Capital</v>
      </c>
      <c r="H863" s="40" t="str">
        <f>+VLOOKUP(Tabla14[[#This Row],[FONDO]],MAESTRO!D:F,3,FALSE)</f>
        <v>(T+0)</v>
      </c>
      <c r="I863" s="39" t="s">
        <v>9</v>
      </c>
      <c r="J863" s="49"/>
      <c r="K863" s="20"/>
      <c r="L86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3" s="39">
        <f>ROUND(IF(Tabla14[[#This Row],[OPERACIÓN]]=MAESTRO!$B$2,Tabla14[CAPITAL],IF(Tabla14[[#This Row],[OPERACIÓN]]=MAESTRO!$B$5,Tabla14[CAPITAL],-Tabla14[[#This Row],[CAPITAL]])),2)</f>
        <v>3972553.83</v>
      </c>
    </row>
    <row r="864" spans="1:13" x14ac:dyDescent="0.3">
      <c r="A864" s="26">
        <v>46170</v>
      </c>
      <c r="B864" t="s">
        <v>292</v>
      </c>
      <c r="C864" t="s">
        <v>132</v>
      </c>
      <c r="D864" s="27" t="s">
        <v>16</v>
      </c>
      <c r="E864" s="4" t="s">
        <v>136</v>
      </c>
      <c r="F864" s="4">
        <v>14255111.65</v>
      </c>
      <c r="G864" s="88" t="str">
        <f>+VLOOKUP(Tabla14[[#This Row],[FONDO]],MAESTRO!$D$2:$E$119,2,FALSE)</f>
        <v>Gma Capital</v>
      </c>
      <c r="H864" s="8" t="str">
        <f>+VLOOKUP(Tabla14[[#This Row],[FONDO]],MAESTRO!D:F,3,FALSE)</f>
        <v>(T+0)</v>
      </c>
      <c r="I864" s="4" t="s">
        <v>9</v>
      </c>
      <c r="L8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4" s="4">
        <f>ROUND(IF(Tabla14[[#This Row],[OPERACIÓN]]=MAESTRO!$B$2,Tabla14[CAPITAL],IF(Tabla14[[#This Row],[OPERACIÓN]]=MAESTRO!$B$5,Tabla14[CAPITAL],-Tabla14[[#This Row],[CAPITAL]])),2)</f>
        <v>14255111.65</v>
      </c>
    </row>
    <row r="865" spans="1:13" x14ac:dyDescent="0.3">
      <c r="A865" s="26">
        <v>46171</v>
      </c>
      <c r="B865" t="s">
        <v>298</v>
      </c>
      <c r="C865" t="s">
        <v>132</v>
      </c>
      <c r="D865" s="27" t="s">
        <v>16</v>
      </c>
      <c r="E865" s="4" t="s">
        <v>40</v>
      </c>
      <c r="F865" s="4">
        <v>146800000</v>
      </c>
      <c r="G865" s="88" t="str">
        <f>+VLOOKUP(Tabla14[[#This Row],[FONDO]],MAESTRO!$D$2:$E$119,2,FALSE)</f>
        <v>BBVA Banco Frances SA</v>
      </c>
      <c r="H865" s="8" t="str">
        <f>+VLOOKUP(Tabla14[[#This Row],[FONDO]],MAESTRO!D:F,3,FALSE)</f>
        <v>(T+0)</v>
      </c>
      <c r="I865" s="4" t="s">
        <v>9</v>
      </c>
      <c r="L8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5" s="4">
        <f>ROUND(IF(Tabla14[[#This Row],[OPERACIÓN]]=MAESTRO!$B$2,Tabla14[CAPITAL],IF(Tabla14[[#This Row],[OPERACIÓN]]=MAESTRO!$B$5,Tabla14[CAPITAL],-Tabla14[[#This Row],[CAPITAL]])),2)</f>
        <v>146800000</v>
      </c>
    </row>
    <row r="866" spans="1:13" x14ac:dyDescent="0.3">
      <c r="A866" s="26">
        <v>46171</v>
      </c>
      <c r="B866" t="s">
        <v>299</v>
      </c>
      <c r="C866" t="s">
        <v>132</v>
      </c>
      <c r="D866" s="27" t="s">
        <v>17</v>
      </c>
      <c r="E866" s="4" t="s">
        <v>48</v>
      </c>
      <c r="F866" s="4">
        <v>138900000</v>
      </c>
      <c r="G866" s="88" t="str">
        <f>+VLOOKUP(Tabla14[[#This Row],[FONDO]],MAESTRO!$D$2:$E$119,2,FALSE)</f>
        <v>Banco Macro S.A.</v>
      </c>
      <c r="H866" s="8" t="str">
        <f>+VLOOKUP(Tabla14[[#This Row],[FONDO]],MAESTRO!D:F,3,FALSE)</f>
        <v>(T+0)</v>
      </c>
      <c r="I866" s="4" t="s">
        <v>9</v>
      </c>
      <c r="L8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6" s="4">
        <f>ROUND(IF(Tabla14[[#This Row],[OPERACIÓN]]=MAESTRO!$B$2,Tabla14[CAPITAL],IF(Tabla14[[#This Row],[OPERACIÓN]]=MAESTRO!$B$5,Tabla14[CAPITAL],-Tabla14[[#This Row],[CAPITAL]])),2)</f>
        <v>-138900000</v>
      </c>
    </row>
    <row r="867" spans="1:13" x14ac:dyDescent="0.3">
      <c r="A867" s="26">
        <v>46171</v>
      </c>
      <c r="B867" t="s">
        <v>298</v>
      </c>
      <c r="C867" t="s">
        <v>132</v>
      </c>
      <c r="D867" s="27" t="s">
        <v>17</v>
      </c>
      <c r="E867" s="4" t="s">
        <v>136</v>
      </c>
      <c r="F867" s="4">
        <v>500000000</v>
      </c>
      <c r="G867" s="88" t="str">
        <f>+VLOOKUP(Tabla14[[#This Row],[FONDO]],MAESTRO!$D$2:$E$119,2,FALSE)</f>
        <v>Gma Capital</v>
      </c>
      <c r="H867" s="8" t="str">
        <f>+VLOOKUP(Tabla14[[#This Row],[FONDO]],MAESTRO!D:F,3,FALSE)</f>
        <v>(T+0)</v>
      </c>
      <c r="I867" s="4" t="s">
        <v>9</v>
      </c>
      <c r="L8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7" s="4">
        <f>ROUND(IF(Tabla14[[#This Row],[OPERACIÓN]]=MAESTRO!$B$2,Tabla14[CAPITAL],IF(Tabla14[[#This Row],[OPERACIÓN]]=MAESTRO!$B$5,Tabla14[CAPITAL],-Tabla14[[#This Row],[CAPITAL]])),2)</f>
        <v>-500000000</v>
      </c>
    </row>
    <row r="868" spans="1:13" x14ac:dyDescent="0.3">
      <c r="A868" s="26">
        <v>46171</v>
      </c>
      <c r="B868" t="s">
        <v>298</v>
      </c>
      <c r="C868" t="s">
        <v>132</v>
      </c>
      <c r="D868" s="27" t="s">
        <v>16</v>
      </c>
      <c r="E868" s="4" t="s">
        <v>170</v>
      </c>
      <c r="F868" s="4">
        <v>1064800000</v>
      </c>
      <c r="G868" s="88" t="str">
        <f>+VLOOKUP(Tabla14[[#This Row],[FONDO]],MAESTRO!$D$2:$E$119,2,FALSE)</f>
        <v>Banco Santander Rio S.A.</v>
      </c>
      <c r="H868" s="8" t="str">
        <f>+VLOOKUP(Tabla14[[#This Row],[FONDO]],MAESTRO!D:F,3,FALSE)</f>
        <v>(T+0)</v>
      </c>
      <c r="I868" s="4" t="s">
        <v>9</v>
      </c>
      <c r="L8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8" s="4">
        <f>ROUND(IF(Tabla14[[#This Row],[OPERACIÓN]]=MAESTRO!$B$2,Tabla14[CAPITAL],IF(Tabla14[[#This Row],[OPERACIÓN]]=MAESTRO!$B$5,Tabla14[CAPITAL],-Tabla14[[#This Row],[CAPITAL]])),2)</f>
        <v>1064800000</v>
      </c>
    </row>
    <row r="869" spans="1:13" x14ac:dyDescent="0.3">
      <c r="A869" s="26">
        <v>46171</v>
      </c>
      <c r="B869" t="s">
        <v>292</v>
      </c>
      <c r="C869" t="s">
        <v>132</v>
      </c>
      <c r="D869" s="27" t="s">
        <v>16</v>
      </c>
      <c r="E869" s="4" t="s">
        <v>48</v>
      </c>
      <c r="F869" s="4">
        <v>142900000</v>
      </c>
      <c r="G869" s="88" t="str">
        <f>+VLOOKUP(Tabla14[[#This Row],[FONDO]],MAESTRO!$D$2:$E$119,2,FALSE)</f>
        <v>Banco Macro S.A.</v>
      </c>
      <c r="H869" s="8" t="str">
        <f>+VLOOKUP(Tabla14[[#This Row],[FONDO]],MAESTRO!D:F,3,FALSE)</f>
        <v>(T+0)</v>
      </c>
      <c r="I869" s="4" t="s">
        <v>9</v>
      </c>
      <c r="L8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69" s="4">
        <f>ROUND(IF(Tabla14[[#This Row],[OPERACIÓN]]=MAESTRO!$B$2,Tabla14[CAPITAL],IF(Tabla14[[#This Row],[OPERACIÓN]]=MAESTRO!$B$5,Tabla14[CAPITAL],-Tabla14[[#This Row],[CAPITAL]])),2)</f>
        <v>142900000</v>
      </c>
    </row>
    <row r="870" spans="1:13" x14ac:dyDescent="0.3">
      <c r="A870" s="26">
        <v>46174</v>
      </c>
      <c r="B870" t="s">
        <v>126</v>
      </c>
      <c r="C870" t="s">
        <v>132</v>
      </c>
      <c r="D870" s="27" t="s">
        <v>17</v>
      </c>
      <c r="E870" s="4" t="s">
        <v>48</v>
      </c>
      <c r="F870" s="4">
        <v>14100000</v>
      </c>
      <c r="G870" s="88" t="str">
        <f>+VLOOKUP(Tabla14[[#This Row],[FONDO]],MAESTRO!$D$2:$E$119,2,FALSE)</f>
        <v>Banco Macro S.A.</v>
      </c>
      <c r="H870" s="8" t="str">
        <f>+VLOOKUP(Tabla14[[#This Row],[FONDO]],MAESTRO!D:F,3,FALSE)</f>
        <v>(T+0)</v>
      </c>
      <c r="I870" s="4" t="s">
        <v>9</v>
      </c>
      <c r="L8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0" s="4">
        <f>ROUND(IF(Tabla14[[#This Row],[OPERACIÓN]]=MAESTRO!$B$2,Tabla14[CAPITAL],IF(Tabla14[[#This Row],[OPERACIÓN]]=MAESTRO!$B$5,Tabla14[CAPITAL],-Tabla14[[#This Row],[CAPITAL]])),2)</f>
        <v>-14100000</v>
      </c>
    </row>
    <row r="871" spans="1:13" x14ac:dyDescent="0.3">
      <c r="A871" s="26">
        <v>46174</v>
      </c>
      <c r="B871" t="s">
        <v>298</v>
      </c>
      <c r="C871" t="s">
        <v>132</v>
      </c>
      <c r="D871" s="27" t="s">
        <v>17</v>
      </c>
      <c r="E871" s="4" t="s">
        <v>43</v>
      </c>
      <c r="F871" s="4">
        <v>1177673751.1500001</v>
      </c>
      <c r="G871" s="98" t="str">
        <f>+VLOOKUP(Tabla14[[#This Row],[FONDO]],MAESTRO!$D$2:$E$119,2,FALSE)</f>
        <v>Banco Santander Rio S.A.</v>
      </c>
      <c r="H871" s="8" t="str">
        <f>+VLOOKUP(Tabla14[[#This Row],[FONDO]],MAESTRO!D:F,3,FALSE)</f>
        <v>(T+0)</v>
      </c>
      <c r="I871" s="4" t="s">
        <v>9</v>
      </c>
      <c r="L8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1" s="4">
        <f>ROUND(IF(Tabla14[[#This Row],[OPERACIÓN]]=MAESTRO!$B$2,Tabla14[CAPITAL],IF(Tabla14[[#This Row],[OPERACIÓN]]=MAESTRO!$B$5,Tabla14[CAPITAL],-Tabla14[[#This Row],[CAPITAL]])),2)</f>
        <v>-1177673751.1500001</v>
      </c>
    </row>
    <row r="872" spans="1:13" x14ac:dyDescent="0.3">
      <c r="A872" s="26">
        <v>46174</v>
      </c>
      <c r="B872" t="s">
        <v>292</v>
      </c>
      <c r="C872" t="s">
        <v>132</v>
      </c>
      <c r="D872" s="27" t="s">
        <v>17</v>
      </c>
      <c r="E872" s="4" t="s">
        <v>48</v>
      </c>
      <c r="F872" s="4">
        <v>315400000</v>
      </c>
      <c r="G872" s="88" t="str">
        <f>+VLOOKUP(Tabla14[[#This Row],[FONDO]],MAESTRO!$D$2:$E$119,2,FALSE)</f>
        <v>Banco Macro S.A.</v>
      </c>
      <c r="H872" s="8" t="str">
        <f>+VLOOKUP(Tabla14[[#This Row],[FONDO]],MAESTRO!D:F,3,FALSE)</f>
        <v>(T+0)</v>
      </c>
      <c r="I872" s="4" t="s">
        <v>9</v>
      </c>
      <c r="L8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2" s="4">
        <f>ROUND(IF(Tabla14[[#This Row],[OPERACIÓN]]=MAESTRO!$B$2,Tabla14[CAPITAL],IF(Tabla14[[#This Row],[OPERACIÓN]]=MAESTRO!$B$5,Tabla14[CAPITAL],-Tabla14[[#This Row],[CAPITAL]])),2)</f>
        <v>-315400000</v>
      </c>
    </row>
    <row r="873" spans="1:13" x14ac:dyDescent="0.3">
      <c r="A873" s="26">
        <v>46174</v>
      </c>
      <c r="B873" t="s">
        <v>298</v>
      </c>
      <c r="C873" t="s">
        <v>132</v>
      </c>
      <c r="D873" s="27" t="s">
        <v>16</v>
      </c>
      <c r="E873" s="4" t="s">
        <v>43</v>
      </c>
      <c r="F873" s="4">
        <v>1064800000</v>
      </c>
      <c r="G873" s="88" t="str">
        <f>+VLOOKUP(Tabla14[[#This Row],[FONDO]],MAESTRO!$D$2:$E$119,2,FALSE)</f>
        <v>Banco Santander Rio S.A.</v>
      </c>
      <c r="H873" s="8" t="str">
        <f>+VLOOKUP(Tabla14[[#This Row],[FONDO]],MAESTRO!D:F,3,FALSE)</f>
        <v>(T+0)</v>
      </c>
      <c r="I873" s="4" t="s">
        <v>9</v>
      </c>
      <c r="L8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3" s="4">
        <f>ROUND(IF(Tabla14[[#This Row],[OPERACIÓN]]=MAESTRO!$B$2,Tabla14[CAPITAL],IF(Tabla14[[#This Row],[OPERACIÓN]]=MAESTRO!$B$5,Tabla14[CAPITAL],-Tabla14[[#This Row],[CAPITAL]])),2)</f>
        <v>1064800000</v>
      </c>
    </row>
    <row r="874" spans="1:13" x14ac:dyDescent="0.3">
      <c r="A874" s="26">
        <v>46174</v>
      </c>
      <c r="B874" t="s">
        <v>298</v>
      </c>
      <c r="C874" t="s">
        <v>132</v>
      </c>
      <c r="D874" s="27" t="s">
        <v>16</v>
      </c>
      <c r="E874" s="4" t="s">
        <v>57</v>
      </c>
      <c r="F874" s="4">
        <v>499985384.81</v>
      </c>
      <c r="G874" s="88" t="str">
        <f>+VLOOKUP(Tabla14[[#This Row],[FONDO]],MAESTRO!$D$2:$E$119,2,FALSE)</f>
        <v>Banco Santander Rio S.A.</v>
      </c>
      <c r="H874" s="8" t="str">
        <f>+VLOOKUP(Tabla14[[#This Row],[FONDO]],MAESTRO!D:F,3,FALSE)</f>
        <v>(T+1)</v>
      </c>
      <c r="I874" s="4" t="s">
        <v>9</v>
      </c>
      <c r="L8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4" s="4">
        <f>ROUND(IF(Tabla14[[#This Row],[OPERACIÓN]]=MAESTRO!$B$2,Tabla14[CAPITAL],IF(Tabla14[[#This Row],[OPERACIÓN]]=MAESTRO!$B$5,Tabla14[CAPITAL],-Tabla14[[#This Row],[CAPITAL]])),2)</f>
        <v>499985384.81</v>
      </c>
    </row>
    <row r="875" spans="1:13" x14ac:dyDescent="0.3">
      <c r="A875" s="26">
        <v>46174</v>
      </c>
      <c r="B875" t="s">
        <v>298</v>
      </c>
      <c r="C875" t="s">
        <v>132</v>
      </c>
      <c r="D875" s="27" t="s">
        <v>17</v>
      </c>
      <c r="E875" s="4" t="s">
        <v>40</v>
      </c>
      <c r="F875" s="4">
        <v>200000</v>
      </c>
      <c r="G875" s="88" t="str">
        <f>+VLOOKUP(Tabla14[[#This Row],[FONDO]],MAESTRO!$D$2:$E$119,2,FALSE)</f>
        <v>BBVA Banco Frances SA</v>
      </c>
      <c r="H875" s="8" t="str">
        <f>+VLOOKUP(Tabla14[[#This Row],[FONDO]],MAESTRO!D:F,3,FALSE)</f>
        <v>(T+0)</v>
      </c>
      <c r="I875" s="4" t="s">
        <v>9</v>
      </c>
      <c r="L8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5" s="4">
        <f>ROUND(IF(Tabla14[[#This Row],[OPERACIÓN]]=MAESTRO!$B$2,Tabla14[CAPITAL],IF(Tabla14[[#This Row],[OPERACIÓN]]=MAESTRO!$B$5,Tabla14[CAPITAL],-Tabla14[[#This Row],[CAPITAL]])),2)</f>
        <v>-200000</v>
      </c>
    </row>
    <row r="876" spans="1:13" x14ac:dyDescent="0.3">
      <c r="A876" s="26">
        <v>46174</v>
      </c>
      <c r="B876" t="s">
        <v>299</v>
      </c>
      <c r="C876" t="s">
        <v>132</v>
      </c>
      <c r="D876" s="27" t="s">
        <v>17</v>
      </c>
      <c r="E876" s="4" t="s">
        <v>48</v>
      </c>
      <c r="F876" s="4">
        <v>101400000</v>
      </c>
      <c r="G876" s="88" t="str">
        <f>+VLOOKUP(Tabla14[[#This Row],[FONDO]],MAESTRO!$D$2:$E$119,2,FALSE)</f>
        <v>Banco Macro S.A.</v>
      </c>
      <c r="H876" s="8" t="str">
        <f>+VLOOKUP(Tabla14[[#This Row],[FONDO]],MAESTRO!D:F,3,FALSE)</f>
        <v>(T+0)</v>
      </c>
      <c r="I876" s="4" t="s">
        <v>9</v>
      </c>
      <c r="L8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6" s="4">
        <f>ROUND(IF(Tabla14[[#This Row],[OPERACIÓN]]=MAESTRO!$B$2,Tabla14[CAPITAL],IF(Tabla14[[#This Row],[OPERACIÓN]]=MAESTRO!$B$5,Tabla14[CAPITAL],-Tabla14[[#This Row],[CAPITAL]])),2)</f>
        <v>-101400000</v>
      </c>
    </row>
    <row r="877" spans="1:13" x14ac:dyDescent="0.3">
      <c r="A877" s="26">
        <v>46174</v>
      </c>
      <c r="B877" t="s">
        <v>299</v>
      </c>
      <c r="C877" t="s">
        <v>132</v>
      </c>
      <c r="D877" s="27" t="s">
        <v>16</v>
      </c>
      <c r="E877" s="4" t="s">
        <v>212</v>
      </c>
      <c r="F877" s="4">
        <v>46601867.5</v>
      </c>
      <c r="G877" s="88" t="str">
        <f>+VLOOKUP(Tabla14[[#This Row],[FONDO]],MAESTRO!$D$2:$E$119,2,FALSE)</f>
        <v>INTAGRO</v>
      </c>
      <c r="H877" s="8" t="str">
        <f>+VLOOKUP(Tabla14[[#This Row],[FONDO]],MAESTRO!D:F,3,FALSE)</f>
        <v>(T+0)</v>
      </c>
      <c r="I877" s="4" t="s">
        <v>9</v>
      </c>
      <c r="L8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7" s="4">
        <f>ROUND(IF(Tabla14[[#This Row],[OPERACIÓN]]=MAESTRO!$B$2,Tabla14[CAPITAL],IF(Tabla14[[#This Row],[OPERACIÓN]]=MAESTRO!$B$5,Tabla14[CAPITAL],-Tabla14[[#This Row],[CAPITAL]])),2)</f>
        <v>46601867.5</v>
      </c>
    </row>
    <row r="878" spans="1:13" x14ac:dyDescent="0.3">
      <c r="A878" s="26">
        <v>46175</v>
      </c>
      <c r="B878" t="s">
        <v>292</v>
      </c>
      <c r="C878" t="s">
        <v>132</v>
      </c>
      <c r="D878" s="27" t="s">
        <v>17</v>
      </c>
      <c r="E878" s="4" t="s">
        <v>48</v>
      </c>
      <c r="F878" s="4">
        <v>65700000</v>
      </c>
      <c r="G878" s="88" t="str">
        <f>+VLOOKUP(Tabla14[[#This Row],[FONDO]],MAESTRO!$D$2:$E$119,2,FALSE)</f>
        <v>Banco Macro S.A.</v>
      </c>
      <c r="H878" s="8" t="str">
        <f>+VLOOKUP(Tabla14[[#This Row],[FONDO]],MAESTRO!D:F,3,FALSE)</f>
        <v>(T+0)</v>
      </c>
      <c r="I878" s="4" t="s">
        <v>9</v>
      </c>
      <c r="L8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8" s="4">
        <f>ROUND(IF(Tabla14[[#This Row],[OPERACIÓN]]=MAESTRO!$B$2,Tabla14[CAPITAL],IF(Tabla14[[#This Row],[OPERACIÓN]]=MAESTRO!$B$5,Tabla14[CAPITAL],-Tabla14[[#This Row],[CAPITAL]])),2)</f>
        <v>-65700000</v>
      </c>
    </row>
    <row r="879" spans="1:13" x14ac:dyDescent="0.3">
      <c r="A879" s="26">
        <v>46175</v>
      </c>
      <c r="B879" t="s">
        <v>298</v>
      </c>
      <c r="C879" t="s">
        <v>132</v>
      </c>
      <c r="D879" s="27" t="s">
        <v>17</v>
      </c>
      <c r="E879" s="4" t="s">
        <v>48</v>
      </c>
      <c r="F879" s="4">
        <v>19500000</v>
      </c>
      <c r="G879" s="88" t="str">
        <f>+VLOOKUP(Tabla14[[#This Row],[FONDO]],MAESTRO!$D$2:$E$119,2,FALSE)</f>
        <v>Banco Macro S.A.</v>
      </c>
      <c r="H879" s="8" t="str">
        <f>+VLOOKUP(Tabla14[[#This Row],[FONDO]],MAESTRO!D:F,3,FALSE)</f>
        <v>(T+0)</v>
      </c>
      <c r="I879" s="4" t="s">
        <v>9</v>
      </c>
      <c r="L8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79" s="4">
        <f>ROUND(IF(Tabla14[[#This Row],[OPERACIÓN]]=MAESTRO!$B$2,Tabla14[CAPITAL],IF(Tabla14[[#This Row],[OPERACIÓN]]=MAESTRO!$B$5,Tabla14[CAPITAL],-Tabla14[[#This Row],[CAPITAL]])),2)</f>
        <v>-19500000</v>
      </c>
    </row>
    <row r="880" spans="1:13" x14ac:dyDescent="0.3">
      <c r="A880" s="26">
        <v>46175</v>
      </c>
      <c r="B880" t="s">
        <v>299</v>
      </c>
      <c r="C880" t="s">
        <v>132</v>
      </c>
      <c r="D880" s="27" t="s">
        <v>16</v>
      </c>
      <c r="E880" s="4" t="s">
        <v>169</v>
      </c>
      <c r="F880" s="4">
        <v>3448695485.77</v>
      </c>
      <c r="G880" s="88" t="str">
        <f>+VLOOKUP(Tabla14[[#This Row],[FONDO]],MAESTRO!$D$2:$E$119,2,FALSE)</f>
        <v>Max Capital</v>
      </c>
      <c r="H880" s="8" t="str">
        <f>+VLOOKUP(Tabla14[[#This Row],[FONDO]],MAESTRO!D:F,3,FALSE)</f>
        <v>(T+0)</v>
      </c>
      <c r="I880" s="4" t="s">
        <v>9</v>
      </c>
      <c r="L8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0" s="4">
        <f>ROUND(IF(Tabla14[[#This Row],[OPERACIÓN]]=MAESTRO!$B$2,Tabla14[CAPITAL],IF(Tabla14[[#This Row],[OPERACIÓN]]=MAESTRO!$B$5,Tabla14[CAPITAL],-Tabla14[[#This Row],[CAPITAL]])),2)</f>
        <v>3448695485.77</v>
      </c>
    </row>
    <row r="881" spans="1:13" x14ac:dyDescent="0.3">
      <c r="A881" s="26">
        <v>46175</v>
      </c>
      <c r="B881" t="s">
        <v>299</v>
      </c>
      <c r="C881" t="s">
        <v>132</v>
      </c>
      <c r="D881" s="27" t="s">
        <v>16</v>
      </c>
      <c r="E881" s="4" t="s">
        <v>48</v>
      </c>
      <c r="F881" s="4">
        <v>14900000</v>
      </c>
      <c r="G881" s="88" t="str">
        <f>+VLOOKUP(Tabla14[[#This Row],[FONDO]],MAESTRO!$D$2:$E$119,2,FALSE)</f>
        <v>Banco Macro S.A.</v>
      </c>
      <c r="H881" s="8" t="str">
        <f>+VLOOKUP(Tabla14[[#This Row],[FONDO]],MAESTRO!D:F,3,FALSE)</f>
        <v>(T+0)</v>
      </c>
      <c r="I881" s="4" t="s">
        <v>9</v>
      </c>
      <c r="L8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1" s="4">
        <f>ROUND(IF(Tabla14[[#This Row],[OPERACIÓN]]=MAESTRO!$B$2,Tabla14[CAPITAL],IF(Tabla14[[#This Row],[OPERACIÓN]]=MAESTRO!$B$5,Tabla14[CAPITAL],-Tabla14[[#This Row],[CAPITAL]])),2)</f>
        <v>14900000</v>
      </c>
    </row>
    <row r="882" spans="1:13" x14ac:dyDescent="0.3">
      <c r="A882" s="26">
        <v>46175</v>
      </c>
      <c r="B882" t="s">
        <v>299</v>
      </c>
      <c r="C882" t="s">
        <v>132</v>
      </c>
      <c r="D882" s="27" t="s">
        <v>16</v>
      </c>
      <c r="E882" s="4" t="s">
        <v>212</v>
      </c>
      <c r="F882" s="4">
        <v>82232400</v>
      </c>
      <c r="G882" s="88" t="str">
        <f>+VLOOKUP(Tabla14[[#This Row],[FONDO]],MAESTRO!$D$2:$E$119,2,FALSE)</f>
        <v>INTAGRO</v>
      </c>
      <c r="H882" s="8" t="str">
        <f>+VLOOKUP(Tabla14[[#This Row],[FONDO]],MAESTRO!D:F,3,FALSE)</f>
        <v>(T+0)</v>
      </c>
      <c r="I882" s="4" t="s">
        <v>9</v>
      </c>
      <c r="L8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2" s="4">
        <f>ROUND(IF(Tabla14[[#This Row],[OPERACIÓN]]=MAESTRO!$B$2,Tabla14[CAPITAL],IF(Tabla14[[#This Row],[OPERACIÓN]]=MAESTRO!$B$5,Tabla14[CAPITAL],-Tabla14[[#This Row],[CAPITAL]])),2)</f>
        <v>82232400</v>
      </c>
    </row>
    <row r="883" spans="1:13" x14ac:dyDescent="0.3">
      <c r="A883" s="26">
        <v>46176</v>
      </c>
      <c r="B883" t="s">
        <v>292</v>
      </c>
      <c r="C883" t="s">
        <v>132</v>
      </c>
      <c r="D883" s="27" t="s">
        <v>16</v>
      </c>
      <c r="E883" s="4" t="s">
        <v>48</v>
      </c>
      <c r="F883" s="4">
        <v>2200000</v>
      </c>
      <c r="G883" s="88" t="str">
        <f>+VLOOKUP(Tabla14[[#This Row],[FONDO]],MAESTRO!$D$2:$E$119,2,FALSE)</f>
        <v>Banco Macro S.A.</v>
      </c>
      <c r="H883" s="8" t="str">
        <f>+VLOOKUP(Tabla14[[#This Row],[FONDO]],MAESTRO!D:F,3,FALSE)</f>
        <v>(T+0)</v>
      </c>
      <c r="I883" s="4" t="s">
        <v>9</v>
      </c>
      <c r="L8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3" s="4">
        <f>ROUND(IF(Tabla14[[#This Row],[OPERACIÓN]]=MAESTRO!$B$2,Tabla14[CAPITAL],IF(Tabla14[[#This Row],[OPERACIÓN]]=MAESTRO!$B$5,Tabla14[CAPITAL],-Tabla14[[#This Row],[CAPITAL]])),2)</f>
        <v>2200000</v>
      </c>
    </row>
    <row r="884" spans="1:13" x14ac:dyDescent="0.3">
      <c r="A884" s="26">
        <v>46176</v>
      </c>
      <c r="B884" t="s">
        <v>298</v>
      </c>
      <c r="C884" t="s">
        <v>132</v>
      </c>
      <c r="D884" s="27" t="s">
        <v>16</v>
      </c>
      <c r="E884" s="4" t="s">
        <v>40</v>
      </c>
      <c r="F884" s="4">
        <v>267400000</v>
      </c>
      <c r="G884" s="88" t="str">
        <f>+VLOOKUP(Tabla14[[#This Row],[FONDO]],MAESTRO!$D$2:$E$119,2,FALSE)</f>
        <v>BBVA Banco Frances SA</v>
      </c>
      <c r="H884" s="8" t="str">
        <f>+VLOOKUP(Tabla14[[#This Row],[FONDO]],MAESTRO!D:F,3,FALSE)</f>
        <v>(T+0)</v>
      </c>
      <c r="I884" s="4" t="s">
        <v>9</v>
      </c>
      <c r="L8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4" s="4">
        <f>ROUND(IF(Tabla14[[#This Row],[OPERACIÓN]]=MAESTRO!$B$2,Tabla14[CAPITAL],IF(Tabla14[[#This Row],[OPERACIÓN]]=MAESTRO!$B$5,Tabla14[CAPITAL],-Tabla14[[#This Row],[CAPITAL]])),2)</f>
        <v>267400000</v>
      </c>
    </row>
    <row r="885" spans="1:13" x14ac:dyDescent="0.3">
      <c r="A885" s="26">
        <v>46176</v>
      </c>
      <c r="B885" t="s">
        <v>298</v>
      </c>
      <c r="C885" t="s">
        <v>132</v>
      </c>
      <c r="D885" s="27" t="s">
        <v>17</v>
      </c>
      <c r="E885" s="4" t="s">
        <v>136</v>
      </c>
      <c r="F885" s="4">
        <v>1000000000</v>
      </c>
      <c r="G885" s="88" t="str">
        <f>+VLOOKUP(Tabla14[[#This Row],[FONDO]],MAESTRO!$D$2:$E$119,2,FALSE)</f>
        <v>Gma Capital</v>
      </c>
      <c r="H885" s="8" t="str">
        <f>+VLOOKUP(Tabla14[[#This Row],[FONDO]],MAESTRO!D:F,3,FALSE)</f>
        <v>(T+0)</v>
      </c>
      <c r="I885" s="4" t="s">
        <v>9</v>
      </c>
      <c r="L8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5" s="4">
        <f>ROUND(IF(Tabla14[[#This Row],[OPERACIÓN]]=MAESTRO!$B$2,Tabla14[CAPITAL],IF(Tabla14[[#This Row],[OPERACIÓN]]=MAESTRO!$B$5,Tabla14[CAPITAL],-Tabla14[[#This Row],[CAPITAL]])),2)</f>
        <v>-1000000000</v>
      </c>
    </row>
    <row r="886" spans="1:13" x14ac:dyDescent="0.3">
      <c r="A886" s="26">
        <v>46176</v>
      </c>
      <c r="B886" t="s">
        <v>298</v>
      </c>
      <c r="C886" t="s">
        <v>132</v>
      </c>
      <c r="D886" s="27" t="s">
        <v>16</v>
      </c>
      <c r="E886" s="4" t="s">
        <v>268</v>
      </c>
      <c r="F886" s="4">
        <v>20153.240000000002</v>
      </c>
      <c r="G886" s="88" t="str">
        <f>+VLOOKUP(Tabla14[[#This Row],[FONDO]],MAESTRO!$D$2:$E$119,2,FALSE)</f>
        <v>Max Capital</v>
      </c>
      <c r="H886" s="8" t="str">
        <f>+VLOOKUP(Tabla14[[#This Row],[FONDO]],MAESTRO!D:F,3,FALSE)</f>
        <v>USD DL</v>
      </c>
      <c r="I886" s="4" t="s">
        <v>7</v>
      </c>
      <c r="M886" s="4">
        <f>ROUND(IF(Tabla14[[#This Row],[OPERACIÓN]]=MAESTRO!$B$2,Tabla14[CAPITAL],IF(Tabla14[[#This Row],[OPERACIÓN]]=MAESTRO!$B$5,Tabla14[CAPITAL],-Tabla14[[#This Row],[CAPITAL]])),2)</f>
        <v>20153.240000000002</v>
      </c>
    </row>
    <row r="887" spans="1:13" x14ac:dyDescent="0.3">
      <c r="A887" s="26">
        <v>46176</v>
      </c>
      <c r="B887" t="s">
        <v>298</v>
      </c>
      <c r="C887" t="s">
        <v>132</v>
      </c>
      <c r="D887" s="27" t="s">
        <v>16</v>
      </c>
      <c r="E887" s="4" t="s">
        <v>204</v>
      </c>
      <c r="F887" s="4">
        <v>500000000</v>
      </c>
      <c r="G887" s="88" t="str">
        <f>+VLOOKUP(Tabla14[[#This Row],[FONDO]],MAESTRO!$D$2:$E$119,2,FALSE)</f>
        <v>Latin Securities</v>
      </c>
      <c r="H887" s="8" t="str">
        <f>+VLOOKUP(Tabla14[[#This Row],[FONDO]],MAESTRO!D:F,3,FALSE)</f>
        <v>(T+0)</v>
      </c>
      <c r="I887" s="4" t="s">
        <v>9</v>
      </c>
      <c r="L8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7" s="4">
        <f>ROUND(IF(Tabla14[[#This Row],[OPERACIÓN]]=MAESTRO!$B$2,Tabla14[CAPITAL],IF(Tabla14[[#This Row],[OPERACIÓN]]=MAESTRO!$B$5,Tabla14[CAPITAL],-Tabla14[[#This Row],[CAPITAL]])),2)</f>
        <v>500000000</v>
      </c>
    </row>
    <row r="888" spans="1:13" x14ac:dyDescent="0.3">
      <c r="A888" s="26">
        <v>46176</v>
      </c>
      <c r="B888" t="s">
        <v>298</v>
      </c>
      <c r="C888" t="s">
        <v>132</v>
      </c>
      <c r="D888" s="27" t="s">
        <v>16</v>
      </c>
      <c r="E888" s="4" t="s">
        <v>170</v>
      </c>
      <c r="F888" s="4">
        <v>6012609.7599999998</v>
      </c>
      <c r="G888" s="88" t="str">
        <f>+VLOOKUP(Tabla14[[#This Row],[FONDO]],MAESTRO!$D$2:$E$119,2,FALSE)</f>
        <v>Banco Santander Rio S.A.</v>
      </c>
      <c r="H888" s="8" t="str">
        <f>+VLOOKUP(Tabla14[[#This Row],[FONDO]],MAESTRO!D:F,3,FALSE)</f>
        <v>(T+0)</v>
      </c>
      <c r="I888" s="4" t="s">
        <v>9</v>
      </c>
      <c r="L8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8" s="4">
        <f>ROUND(IF(Tabla14[[#This Row],[OPERACIÓN]]=MAESTRO!$B$2,Tabla14[CAPITAL],IF(Tabla14[[#This Row],[OPERACIÓN]]=MAESTRO!$B$5,Tabla14[CAPITAL],-Tabla14[[#This Row],[CAPITAL]])),2)</f>
        <v>6012609.7599999998</v>
      </c>
    </row>
    <row r="889" spans="1:13" x14ac:dyDescent="0.3">
      <c r="A889" s="26">
        <v>46176</v>
      </c>
      <c r="B889" t="s">
        <v>299</v>
      </c>
      <c r="C889" t="s">
        <v>132</v>
      </c>
      <c r="D889" s="27" t="s">
        <v>16</v>
      </c>
      <c r="E889" s="4" t="s">
        <v>48</v>
      </c>
      <c r="F889" s="4">
        <v>10000000</v>
      </c>
      <c r="G889" s="88" t="str">
        <f>+VLOOKUP(Tabla14[[#This Row],[FONDO]],MAESTRO!$D$2:$E$119,2,FALSE)</f>
        <v>Banco Macro S.A.</v>
      </c>
      <c r="H889" s="8" t="str">
        <f>+VLOOKUP(Tabla14[[#This Row],[FONDO]],MAESTRO!D:F,3,FALSE)</f>
        <v>(T+0)</v>
      </c>
      <c r="I889" s="4" t="s">
        <v>9</v>
      </c>
      <c r="L8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89" s="4">
        <f>ROUND(IF(Tabla14[[#This Row],[OPERACIÓN]]=MAESTRO!$B$2,Tabla14[CAPITAL],IF(Tabla14[[#This Row],[OPERACIÓN]]=MAESTRO!$B$5,Tabla14[CAPITAL],-Tabla14[[#This Row],[CAPITAL]])),2)</f>
        <v>10000000</v>
      </c>
    </row>
    <row r="890" spans="1:13" x14ac:dyDescent="0.3">
      <c r="A890" s="26">
        <v>46176</v>
      </c>
      <c r="B890" t="s">
        <v>298</v>
      </c>
      <c r="C890" t="s">
        <v>132</v>
      </c>
      <c r="D890" s="27" t="s">
        <v>16</v>
      </c>
      <c r="E890" s="4" t="s">
        <v>48</v>
      </c>
      <c r="F890" s="4">
        <v>31373628</v>
      </c>
      <c r="G890" s="88" t="str">
        <f>+VLOOKUP(Tabla14[[#This Row],[FONDO]],MAESTRO!$D$2:$E$119,2,FALSE)</f>
        <v>Banco Macro S.A.</v>
      </c>
      <c r="H890" s="8" t="str">
        <f>+VLOOKUP(Tabla14[[#This Row],[FONDO]],MAESTRO!D:F,3,FALSE)</f>
        <v>(T+0)</v>
      </c>
      <c r="I890" s="4" t="s">
        <v>9</v>
      </c>
      <c r="L8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0" s="4">
        <f>ROUND(IF(Tabla14[[#This Row],[OPERACIÓN]]=MAESTRO!$B$2,Tabla14[CAPITAL],IF(Tabla14[[#This Row],[OPERACIÓN]]=MAESTRO!$B$5,Tabla14[CAPITAL],-Tabla14[[#This Row],[CAPITAL]])),2)</f>
        <v>31373628</v>
      </c>
    </row>
    <row r="891" spans="1:13" x14ac:dyDescent="0.3">
      <c r="A891" s="26">
        <v>46176</v>
      </c>
      <c r="B891" t="s">
        <v>298</v>
      </c>
      <c r="C891" t="s">
        <v>132</v>
      </c>
      <c r="D891" s="27" t="s">
        <v>17</v>
      </c>
      <c r="E891" s="4" t="s">
        <v>40</v>
      </c>
      <c r="F891" s="4">
        <v>11800000</v>
      </c>
      <c r="G891" s="88" t="str">
        <f>+VLOOKUP(Tabla14[[#This Row],[FONDO]],MAESTRO!$D$2:$E$119,2,FALSE)</f>
        <v>BBVA Banco Frances SA</v>
      </c>
      <c r="H891" s="8" t="str">
        <f>+VLOOKUP(Tabla14[[#This Row],[FONDO]],MAESTRO!D:F,3,FALSE)</f>
        <v>(T+0)</v>
      </c>
      <c r="I891" s="4" t="s">
        <v>9</v>
      </c>
      <c r="L8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1" s="4">
        <f>ROUND(IF(Tabla14[[#This Row],[OPERACIÓN]]=MAESTRO!$B$2,Tabla14[CAPITAL],IF(Tabla14[[#This Row],[OPERACIÓN]]=MAESTRO!$B$5,Tabla14[CAPITAL],-Tabla14[[#This Row],[CAPITAL]])),2)</f>
        <v>-11800000</v>
      </c>
    </row>
    <row r="892" spans="1:13" x14ac:dyDescent="0.3">
      <c r="A892" s="26">
        <v>46176</v>
      </c>
      <c r="B892" t="s">
        <v>298</v>
      </c>
      <c r="C892" t="s">
        <v>132</v>
      </c>
      <c r="D892" s="27" t="s">
        <v>16</v>
      </c>
      <c r="E892" s="4" t="s">
        <v>40</v>
      </c>
      <c r="F892" s="4">
        <v>22177303.030000001</v>
      </c>
      <c r="G892" s="88" t="str">
        <f>+VLOOKUP(Tabla14[[#This Row],[FONDO]],MAESTRO!$D$2:$E$119,2,FALSE)</f>
        <v>BBVA Banco Frances SA</v>
      </c>
      <c r="H892" s="8" t="str">
        <f>+VLOOKUP(Tabla14[[#This Row],[FONDO]],MAESTRO!D:F,3,FALSE)</f>
        <v>(T+0)</v>
      </c>
      <c r="I892" s="4" t="s">
        <v>9</v>
      </c>
      <c r="L8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2" s="4">
        <f>ROUND(IF(Tabla14[[#This Row],[OPERACIÓN]]=MAESTRO!$B$2,Tabla14[CAPITAL],IF(Tabla14[[#This Row],[OPERACIÓN]]=MAESTRO!$B$5,Tabla14[CAPITAL],-Tabla14[[#This Row],[CAPITAL]])),2)</f>
        <v>22177303.030000001</v>
      </c>
    </row>
    <row r="893" spans="1:13" x14ac:dyDescent="0.3">
      <c r="A893" s="26">
        <v>46176</v>
      </c>
      <c r="B893" t="s">
        <v>299</v>
      </c>
      <c r="C893" t="s">
        <v>132</v>
      </c>
      <c r="D893" s="27" t="s">
        <v>16</v>
      </c>
      <c r="E893" s="4" t="s">
        <v>40</v>
      </c>
      <c r="F893" s="4">
        <v>2356177.7799999998</v>
      </c>
      <c r="G893" s="88" t="str">
        <f>+VLOOKUP(Tabla14[[#This Row],[FONDO]],MAESTRO!$D$2:$E$119,2,FALSE)</f>
        <v>BBVA Banco Frances SA</v>
      </c>
      <c r="H893" s="8" t="str">
        <f>+VLOOKUP(Tabla14[[#This Row],[FONDO]],MAESTRO!D:F,3,FALSE)</f>
        <v>(T+0)</v>
      </c>
      <c r="I893" s="4" t="s">
        <v>9</v>
      </c>
      <c r="L8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3" s="4">
        <f>ROUND(IF(Tabla14[[#This Row],[OPERACIÓN]]=MAESTRO!$B$2,Tabla14[CAPITAL],IF(Tabla14[[#This Row],[OPERACIÓN]]=MAESTRO!$B$5,Tabla14[CAPITAL],-Tabla14[[#This Row],[CAPITAL]])),2)</f>
        <v>2356177.7799999998</v>
      </c>
    </row>
    <row r="894" spans="1:13" x14ac:dyDescent="0.3">
      <c r="A894" s="26">
        <v>46176</v>
      </c>
      <c r="B894" t="s">
        <v>292</v>
      </c>
      <c r="C894" t="s">
        <v>132</v>
      </c>
      <c r="D894" s="27" t="s">
        <v>16</v>
      </c>
      <c r="E894" s="4" t="s">
        <v>40</v>
      </c>
      <c r="F894" s="4">
        <v>5302889.68</v>
      </c>
      <c r="G894" s="88" t="str">
        <f>+VLOOKUP(Tabla14[[#This Row],[FONDO]],MAESTRO!$D$2:$E$119,2,FALSE)</f>
        <v>BBVA Banco Frances SA</v>
      </c>
      <c r="H894" s="8" t="str">
        <f>+VLOOKUP(Tabla14[[#This Row],[FONDO]],MAESTRO!D:F,3,FALSE)</f>
        <v>(T+0)</v>
      </c>
      <c r="I894" s="4" t="s">
        <v>9</v>
      </c>
      <c r="L8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4" s="4">
        <f>ROUND(IF(Tabla14[[#This Row],[OPERACIÓN]]=MAESTRO!$B$2,Tabla14[CAPITAL],IF(Tabla14[[#This Row],[OPERACIÓN]]=MAESTRO!$B$5,Tabla14[CAPITAL],-Tabla14[[#This Row],[CAPITAL]])),2)</f>
        <v>5302889.68</v>
      </c>
    </row>
    <row r="895" spans="1:13" x14ac:dyDescent="0.3">
      <c r="A895" s="26">
        <v>46176</v>
      </c>
      <c r="B895" t="s">
        <v>292</v>
      </c>
      <c r="C895" t="s">
        <v>132</v>
      </c>
      <c r="D895" s="27" t="s">
        <v>16</v>
      </c>
      <c r="E895" s="4" t="s">
        <v>48</v>
      </c>
      <c r="F895" s="4">
        <v>15554270</v>
      </c>
      <c r="G895" s="88" t="str">
        <f>+VLOOKUP(Tabla14[[#This Row],[FONDO]],MAESTRO!$D$2:$E$119,2,FALSE)</f>
        <v>Banco Macro S.A.</v>
      </c>
      <c r="H895" s="8" t="str">
        <f>+VLOOKUP(Tabla14[[#This Row],[FONDO]],MAESTRO!D:F,3,FALSE)</f>
        <v>(T+0)</v>
      </c>
      <c r="I895" s="4" t="s">
        <v>9</v>
      </c>
      <c r="L8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5" s="4">
        <f>ROUND(IF(Tabla14[[#This Row],[OPERACIÓN]]=MAESTRO!$B$2,Tabla14[CAPITAL],IF(Tabla14[[#This Row],[OPERACIÓN]]=MAESTRO!$B$5,Tabla14[CAPITAL],-Tabla14[[#This Row],[CAPITAL]])),2)</f>
        <v>15554270</v>
      </c>
    </row>
    <row r="896" spans="1:13" x14ac:dyDescent="0.3">
      <c r="A896" s="26">
        <v>46176</v>
      </c>
      <c r="B896" t="s">
        <v>299</v>
      </c>
      <c r="C896" t="s">
        <v>132</v>
      </c>
      <c r="D896" s="27" t="s">
        <v>16</v>
      </c>
      <c r="E896" s="4" t="s">
        <v>48</v>
      </c>
      <c r="F896" s="4">
        <v>1602048</v>
      </c>
      <c r="G896" s="88" t="str">
        <f>+VLOOKUP(Tabla14[[#This Row],[FONDO]],MAESTRO!$D$2:$E$119,2,FALSE)</f>
        <v>Banco Macro S.A.</v>
      </c>
      <c r="H896" s="8" t="str">
        <f>+VLOOKUP(Tabla14[[#This Row],[FONDO]],MAESTRO!D:F,3,FALSE)</f>
        <v>(T+0)</v>
      </c>
      <c r="I896" s="4" t="s">
        <v>9</v>
      </c>
      <c r="L8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6" s="4">
        <f>ROUND(IF(Tabla14[[#This Row],[OPERACIÓN]]=MAESTRO!$B$2,Tabla14[CAPITAL],IF(Tabla14[[#This Row],[OPERACIÓN]]=MAESTRO!$B$5,Tabla14[CAPITAL],-Tabla14[[#This Row],[CAPITAL]])),2)</f>
        <v>1602048</v>
      </c>
    </row>
    <row r="897" spans="1:13" x14ac:dyDescent="0.3">
      <c r="A897" s="26">
        <v>46176</v>
      </c>
      <c r="B897" t="s">
        <v>299</v>
      </c>
      <c r="C897" t="s">
        <v>132</v>
      </c>
      <c r="D897" s="27" t="s">
        <v>16</v>
      </c>
      <c r="E897" s="4" t="s">
        <v>212</v>
      </c>
      <c r="F897" s="4">
        <v>12297750</v>
      </c>
      <c r="G897" s="88" t="str">
        <f>+VLOOKUP(Tabla14[[#This Row],[FONDO]],MAESTRO!$D$2:$E$119,2,FALSE)</f>
        <v>INTAGRO</v>
      </c>
      <c r="H897" s="8" t="str">
        <f>+VLOOKUP(Tabla14[[#This Row],[FONDO]],MAESTRO!D:F,3,FALSE)</f>
        <v>(T+0)</v>
      </c>
      <c r="I897" s="4" t="s">
        <v>9</v>
      </c>
      <c r="L8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7" s="4">
        <f>ROUND(IF(Tabla14[[#This Row],[OPERACIÓN]]=MAESTRO!$B$2,Tabla14[CAPITAL],IF(Tabla14[[#This Row],[OPERACIÓN]]=MAESTRO!$B$5,Tabla14[CAPITAL],-Tabla14[[#This Row],[CAPITAL]])),2)</f>
        <v>12297750</v>
      </c>
    </row>
    <row r="898" spans="1:13" x14ac:dyDescent="0.3">
      <c r="A898" s="26">
        <v>46177</v>
      </c>
      <c r="B898" t="s">
        <v>298</v>
      </c>
      <c r="C898" t="s">
        <v>132</v>
      </c>
      <c r="D898" s="27" t="s">
        <v>17</v>
      </c>
      <c r="E898" s="4" t="s">
        <v>40</v>
      </c>
      <c r="F898" s="4">
        <v>105000000</v>
      </c>
      <c r="G898" s="88" t="str">
        <f>+VLOOKUP(Tabla14[[#This Row],[FONDO]],MAESTRO!$D$2:$E$119,2,FALSE)</f>
        <v>BBVA Banco Frances SA</v>
      </c>
      <c r="H898" s="8" t="str">
        <f>+VLOOKUP(Tabla14[[#This Row],[FONDO]],MAESTRO!D:F,3,FALSE)</f>
        <v>(T+0)</v>
      </c>
      <c r="I898" s="4" t="s">
        <v>9</v>
      </c>
      <c r="L8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8" s="4">
        <f>ROUND(IF(Tabla14[[#This Row],[OPERACIÓN]]=MAESTRO!$B$2,Tabla14[CAPITAL],IF(Tabla14[[#This Row],[OPERACIÓN]]=MAESTRO!$B$5,Tabla14[CAPITAL],-Tabla14[[#This Row],[CAPITAL]])),2)</f>
        <v>-105000000</v>
      </c>
    </row>
    <row r="899" spans="1:13" x14ac:dyDescent="0.3">
      <c r="A899" s="26">
        <v>46177</v>
      </c>
      <c r="B899" t="s">
        <v>299</v>
      </c>
      <c r="C899" t="s">
        <v>132</v>
      </c>
      <c r="D899" s="27" t="s">
        <v>17</v>
      </c>
      <c r="E899" s="4" t="s">
        <v>40</v>
      </c>
      <c r="F899" s="4">
        <v>55000000</v>
      </c>
      <c r="G899" s="88" t="str">
        <f>+VLOOKUP(Tabla14[[#This Row],[FONDO]],MAESTRO!$D$2:$E$119,2,FALSE)</f>
        <v>BBVA Banco Frances SA</v>
      </c>
      <c r="H899" s="8" t="str">
        <f>+VLOOKUP(Tabla14[[#This Row],[FONDO]],MAESTRO!D:F,3,FALSE)</f>
        <v>(T+0)</v>
      </c>
      <c r="I899" s="4" t="s">
        <v>9</v>
      </c>
      <c r="L8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899" s="4">
        <f>ROUND(IF(Tabla14[[#This Row],[OPERACIÓN]]=MAESTRO!$B$2,Tabla14[CAPITAL],IF(Tabla14[[#This Row],[OPERACIÓN]]=MAESTRO!$B$5,Tabla14[CAPITAL],-Tabla14[[#This Row],[CAPITAL]])),2)</f>
        <v>-55000000</v>
      </c>
    </row>
    <row r="900" spans="1:13" x14ac:dyDescent="0.3">
      <c r="A900" s="26">
        <v>46177</v>
      </c>
      <c r="B900" t="s">
        <v>298</v>
      </c>
      <c r="C900" t="s">
        <v>132</v>
      </c>
      <c r="D900" s="27" t="s">
        <v>17</v>
      </c>
      <c r="E900" s="4" t="s">
        <v>170</v>
      </c>
      <c r="F900" s="4">
        <v>194912578.63999999</v>
      </c>
      <c r="G900" s="88" t="str">
        <f>+VLOOKUP(Tabla14[[#This Row],[FONDO]],MAESTRO!$D$2:$E$119,2,FALSE)</f>
        <v>Banco Santander Rio S.A.</v>
      </c>
      <c r="H900" s="8" t="str">
        <f>+VLOOKUP(Tabla14[[#This Row],[FONDO]],MAESTRO!D:F,3,FALSE)</f>
        <v>(T+0)</v>
      </c>
      <c r="I900" s="4" t="s">
        <v>9</v>
      </c>
      <c r="L9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0" s="4">
        <f>ROUND(IF(Tabla14[[#This Row],[OPERACIÓN]]=MAESTRO!$B$2,Tabla14[CAPITAL],IF(Tabla14[[#This Row],[OPERACIÓN]]=MAESTRO!$B$5,Tabla14[CAPITAL],-Tabla14[[#This Row],[CAPITAL]])),2)</f>
        <v>-194912578.63999999</v>
      </c>
    </row>
    <row r="901" spans="1:13" x14ac:dyDescent="0.3">
      <c r="A901" s="26">
        <v>46177</v>
      </c>
      <c r="B901" t="s">
        <v>298</v>
      </c>
      <c r="C901" t="s">
        <v>132</v>
      </c>
      <c r="D901" s="27" t="s">
        <v>17</v>
      </c>
      <c r="E901" s="4" t="s">
        <v>170</v>
      </c>
      <c r="F901" s="4">
        <v>75369652.799999997</v>
      </c>
      <c r="G901" s="88" t="str">
        <f>+VLOOKUP(Tabla14[[#This Row],[FONDO]],MAESTRO!$D$2:$E$119,2,FALSE)</f>
        <v>Banco Santander Rio S.A.</v>
      </c>
      <c r="H901" s="8" t="str">
        <f>+VLOOKUP(Tabla14[[#This Row],[FONDO]],MAESTRO!D:F,3,FALSE)</f>
        <v>(T+0)</v>
      </c>
      <c r="I901" s="4" t="s">
        <v>9</v>
      </c>
      <c r="L9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1" s="4">
        <f>ROUND(IF(Tabla14[[#This Row],[OPERACIÓN]]=MAESTRO!$B$2,Tabla14[CAPITAL],IF(Tabla14[[#This Row],[OPERACIÓN]]=MAESTRO!$B$5,Tabla14[CAPITAL],-Tabla14[[#This Row],[CAPITAL]])),2)</f>
        <v>-75369652.799999997</v>
      </c>
    </row>
    <row r="902" spans="1:13" x14ac:dyDescent="0.3">
      <c r="A902" s="26">
        <v>46177</v>
      </c>
      <c r="B902" t="s">
        <v>299</v>
      </c>
      <c r="C902" t="s">
        <v>132</v>
      </c>
      <c r="D902" s="27" t="s">
        <v>16</v>
      </c>
      <c r="E902" s="4" t="s">
        <v>212</v>
      </c>
      <c r="F902" s="4">
        <v>53310206</v>
      </c>
      <c r="G902" s="88" t="str">
        <f>+VLOOKUP(Tabla14[[#This Row],[FONDO]],MAESTRO!$D$2:$E$119,2,FALSE)</f>
        <v>INTAGRO</v>
      </c>
      <c r="H902" s="8" t="str">
        <f>+VLOOKUP(Tabla14[[#This Row],[FONDO]],MAESTRO!D:F,3,FALSE)</f>
        <v>(T+0)</v>
      </c>
      <c r="I902" s="4" t="s">
        <v>9</v>
      </c>
      <c r="L9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2" s="4">
        <f>ROUND(IF(Tabla14[[#This Row],[OPERACIÓN]]=MAESTRO!$B$2,Tabla14[CAPITAL],IF(Tabla14[[#This Row],[OPERACIÓN]]=MAESTRO!$B$5,Tabla14[CAPITAL],-Tabla14[[#This Row],[CAPITAL]])),2)</f>
        <v>53310206</v>
      </c>
    </row>
    <row r="903" spans="1:13" x14ac:dyDescent="0.3">
      <c r="A903" s="26">
        <v>46177</v>
      </c>
      <c r="B903" t="s">
        <v>299</v>
      </c>
      <c r="C903" t="s">
        <v>132</v>
      </c>
      <c r="D903" s="27" t="s">
        <v>16</v>
      </c>
      <c r="E903" s="4" t="s">
        <v>212</v>
      </c>
      <c r="F903" s="4">
        <v>51799160.719999999</v>
      </c>
      <c r="G903" s="88" t="str">
        <f>+VLOOKUP(Tabla14[[#This Row],[FONDO]],MAESTRO!$D$2:$E$119,2,FALSE)</f>
        <v>INTAGRO</v>
      </c>
      <c r="H903" s="8" t="str">
        <f>+VLOOKUP(Tabla14[[#This Row],[FONDO]],MAESTRO!D:F,3,FALSE)</f>
        <v>(T+0)</v>
      </c>
      <c r="I903" s="4" t="s">
        <v>9</v>
      </c>
      <c r="L9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3" s="4">
        <f>ROUND(IF(Tabla14[[#This Row],[OPERACIÓN]]=MAESTRO!$B$2,Tabla14[CAPITAL],IF(Tabla14[[#This Row],[OPERACIÓN]]=MAESTRO!$B$5,Tabla14[CAPITAL],-Tabla14[[#This Row],[CAPITAL]])),2)</f>
        <v>51799160.719999999</v>
      </c>
    </row>
    <row r="904" spans="1:13" x14ac:dyDescent="0.3">
      <c r="A904" s="26">
        <v>46177</v>
      </c>
      <c r="B904" t="s">
        <v>298</v>
      </c>
      <c r="C904" t="s">
        <v>132</v>
      </c>
      <c r="D904" s="27" t="s">
        <v>16</v>
      </c>
      <c r="E904" s="4" t="s">
        <v>169</v>
      </c>
      <c r="F904" s="4">
        <v>7548654.4299999997</v>
      </c>
      <c r="G904" s="88" t="str">
        <f>+VLOOKUP(Tabla14[[#This Row],[FONDO]],MAESTRO!$D$2:$E$119,2,FALSE)</f>
        <v>Max Capital</v>
      </c>
      <c r="H904" s="8" t="str">
        <f>+VLOOKUP(Tabla14[[#This Row],[FONDO]],MAESTRO!D:F,3,FALSE)</f>
        <v>(T+0)</v>
      </c>
      <c r="I904" s="4" t="s">
        <v>9</v>
      </c>
      <c r="L9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4" s="4">
        <f>ROUND(IF(Tabla14[[#This Row],[OPERACIÓN]]=MAESTRO!$B$2,Tabla14[CAPITAL],IF(Tabla14[[#This Row],[OPERACIÓN]]=MAESTRO!$B$5,Tabla14[CAPITAL],-Tabla14[[#This Row],[CAPITAL]])),2)</f>
        <v>7548654.4299999997</v>
      </c>
    </row>
    <row r="905" spans="1:13" x14ac:dyDescent="0.3">
      <c r="A905" s="26">
        <v>46177</v>
      </c>
      <c r="B905" t="s">
        <v>298</v>
      </c>
      <c r="C905" t="s">
        <v>132</v>
      </c>
      <c r="D905" s="27" t="s">
        <v>16</v>
      </c>
      <c r="E905" s="4" t="s">
        <v>268</v>
      </c>
      <c r="F905" s="4">
        <v>5993.02</v>
      </c>
      <c r="G905" s="88" t="str">
        <f>+VLOOKUP(Tabla14[[#This Row],[FONDO]],MAESTRO!$D$2:$E$119,2,FALSE)</f>
        <v>Max Capital</v>
      </c>
      <c r="H905" s="8" t="str">
        <f>+VLOOKUP(Tabla14[[#This Row],[FONDO]],MAESTRO!D:F,3,FALSE)</f>
        <v>USD DL</v>
      </c>
      <c r="I905" s="4" t="s">
        <v>7</v>
      </c>
      <c r="M905" s="4">
        <f>ROUND(IF(Tabla14[[#This Row],[OPERACIÓN]]=MAESTRO!$B$2,Tabla14[CAPITAL],IF(Tabla14[[#This Row],[OPERACIÓN]]=MAESTRO!$B$5,Tabla14[CAPITAL],-Tabla14[[#This Row],[CAPITAL]])),2)</f>
        <v>5993.02</v>
      </c>
    </row>
    <row r="906" spans="1:13" x14ac:dyDescent="0.3">
      <c r="A906" s="26">
        <v>46177</v>
      </c>
      <c r="B906" t="s">
        <v>292</v>
      </c>
      <c r="C906" t="s">
        <v>132</v>
      </c>
      <c r="D906" s="27" t="s">
        <v>17</v>
      </c>
      <c r="E906" s="4" t="s">
        <v>48</v>
      </c>
      <c r="F906" s="4">
        <v>18500000</v>
      </c>
      <c r="G906" s="88" t="str">
        <f>+VLOOKUP(Tabla14[[#This Row],[FONDO]],MAESTRO!$D$2:$E$119,2,FALSE)</f>
        <v>Banco Macro S.A.</v>
      </c>
      <c r="H906" s="8" t="str">
        <f>+VLOOKUP(Tabla14[[#This Row],[FONDO]],MAESTRO!D:F,3,FALSE)</f>
        <v>(T+0)</v>
      </c>
      <c r="I906" s="4" t="s">
        <v>9</v>
      </c>
      <c r="L9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6" s="4">
        <f>ROUND(IF(Tabla14[[#This Row],[OPERACIÓN]]=MAESTRO!$B$2,Tabla14[CAPITAL],IF(Tabla14[[#This Row],[OPERACIÓN]]=MAESTRO!$B$5,Tabla14[CAPITAL],-Tabla14[[#This Row],[CAPITAL]])),2)</f>
        <v>-18500000</v>
      </c>
    </row>
    <row r="907" spans="1:13" x14ac:dyDescent="0.3">
      <c r="A907" s="26">
        <v>46177</v>
      </c>
      <c r="B907" t="s">
        <v>299</v>
      </c>
      <c r="C907" t="s">
        <v>132</v>
      </c>
      <c r="D907" s="27" t="s">
        <v>17</v>
      </c>
      <c r="E907" s="4" t="s">
        <v>48</v>
      </c>
      <c r="F907" s="4">
        <v>102100000</v>
      </c>
      <c r="G907" s="88" t="str">
        <f>+VLOOKUP(Tabla14[[#This Row],[FONDO]],MAESTRO!$D$2:$E$119,2,FALSE)</f>
        <v>Banco Macro S.A.</v>
      </c>
      <c r="H907" s="8" t="str">
        <f>+VLOOKUP(Tabla14[[#This Row],[FONDO]],MAESTRO!D:F,3,FALSE)</f>
        <v>(T+0)</v>
      </c>
      <c r="I907" s="4" t="s">
        <v>9</v>
      </c>
      <c r="L9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7" s="4">
        <f>ROUND(IF(Tabla14[[#This Row],[OPERACIÓN]]=MAESTRO!$B$2,Tabla14[CAPITAL],IF(Tabla14[[#This Row],[OPERACIÓN]]=MAESTRO!$B$5,Tabla14[CAPITAL],-Tabla14[[#This Row],[CAPITAL]])),2)</f>
        <v>-102100000</v>
      </c>
    </row>
    <row r="908" spans="1:13" x14ac:dyDescent="0.3">
      <c r="A908" s="26">
        <v>46177</v>
      </c>
      <c r="B908" t="s">
        <v>298</v>
      </c>
      <c r="C908" t="s">
        <v>132</v>
      </c>
      <c r="D908" s="27" t="s">
        <v>17</v>
      </c>
      <c r="E908" s="4" t="s">
        <v>48</v>
      </c>
      <c r="F908" s="4">
        <v>1869400000</v>
      </c>
      <c r="G908" s="88" t="str">
        <f>+VLOOKUP(Tabla14[[#This Row],[FONDO]],MAESTRO!$D$2:$E$119,2,FALSE)</f>
        <v>Banco Macro S.A.</v>
      </c>
      <c r="H908" s="8" t="str">
        <f>+VLOOKUP(Tabla14[[#This Row],[FONDO]],MAESTRO!D:F,3,FALSE)</f>
        <v>(T+0)</v>
      </c>
      <c r="I908" s="4" t="s">
        <v>9</v>
      </c>
      <c r="L9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8" s="4">
        <f>ROUND(IF(Tabla14[[#This Row],[OPERACIÓN]]=MAESTRO!$B$2,Tabla14[CAPITAL],IF(Tabla14[[#This Row],[OPERACIÓN]]=MAESTRO!$B$5,Tabla14[CAPITAL],-Tabla14[[#This Row],[CAPITAL]])),2)</f>
        <v>-1869400000</v>
      </c>
    </row>
    <row r="909" spans="1:13" x14ac:dyDescent="0.3">
      <c r="A909" s="26">
        <v>46177</v>
      </c>
      <c r="B909" t="s">
        <v>292</v>
      </c>
      <c r="C909" t="s">
        <v>132</v>
      </c>
      <c r="D909" s="27" t="s">
        <v>16</v>
      </c>
      <c r="E909" s="4" t="s">
        <v>136</v>
      </c>
      <c r="F909" s="4">
        <v>25540106.460000001</v>
      </c>
      <c r="G909" s="88" t="str">
        <f>+VLOOKUP(Tabla14[[#This Row],[FONDO]],MAESTRO!$D$2:$E$119,2,FALSE)</f>
        <v>Gma Capital</v>
      </c>
      <c r="H909" s="8" t="str">
        <f>+VLOOKUP(Tabla14[[#This Row],[FONDO]],MAESTRO!D:F,3,FALSE)</f>
        <v>(T+0)</v>
      </c>
      <c r="I909" s="4" t="s">
        <v>9</v>
      </c>
      <c r="L9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09" s="4">
        <f>ROUND(IF(Tabla14[[#This Row],[OPERACIÓN]]=MAESTRO!$B$2,Tabla14[CAPITAL],IF(Tabla14[[#This Row],[OPERACIÓN]]=MAESTRO!$B$5,Tabla14[CAPITAL],-Tabla14[[#This Row],[CAPITAL]])),2)</f>
        <v>25540106.460000001</v>
      </c>
    </row>
    <row r="910" spans="1:13" x14ac:dyDescent="0.3">
      <c r="A910" s="26">
        <v>46177</v>
      </c>
      <c r="B910" t="s">
        <v>298</v>
      </c>
      <c r="C910" t="s">
        <v>132</v>
      </c>
      <c r="D910" s="27" t="s">
        <v>16</v>
      </c>
      <c r="E910" s="4" t="s">
        <v>40</v>
      </c>
      <c r="F910" s="4">
        <v>1700000</v>
      </c>
      <c r="G910" s="88" t="str">
        <f>+VLOOKUP(Tabla14[[#This Row],[FONDO]],MAESTRO!$D$2:$E$119,2,FALSE)</f>
        <v>BBVA Banco Frances SA</v>
      </c>
      <c r="H910" s="8" t="str">
        <f>+VLOOKUP(Tabla14[[#This Row],[FONDO]],MAESTRO!D:F,3,FALSE)</f>
        <v>(T+0)</v>
      </c>
      <c r="I910" s="4" t="s">
        <v>9</v>
      </c>
      <c r="L9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0" s="4">
        <f>ROUND(IF(Tabla14[[#This Row],[OPERACIÓN]]=MAESTRO!$B$2,Tabla14[CAPITAL],IF(Tabla14[[#This Row],[OPERACIÓN]]=MAESTRO!$B$5,Tabla14[CAPITAL],-Tabla14[[#This Row],[CAPITAL]])),2)</f>
        <v>1700000</v>
      </c>
    </row>
    <row r="911" spans="1:13" x14ac:dyDescent="0.3">
      <c r="A911" s="26">
        <v>46178</v>
      </c>
      <c r="B911" t="s">
        <v>292</v>
      </c>
      <c r="C911" t="s">
        <v>132</v>
      </c>
      <c r="D911" s="27" t="s">
        <v>17</v>
      </c>
      <c r="E911" s="4" t="s">
        <v>48</v>
      </c>
      <c r="F911" s="4">
        <v>41000000</v>
      </c>
      <c r="G911" s="88" t="str">
        <f>+VLOOKUP(Tabla14[[#This Row],[FONDO]],MAESTRO!$D$2:$E$119,2,FALSE)</f>
        <v>Banco Macro S.A.</v>
      </c>
      <c r="H911" s="8" t="str">
        <f>+VLOOKUP(Tabla14[[#This Row],[FONDO]],MAESTRO!D:F,3,FALSE)</f>
        <v>(T+0)</v>
      </c>
      <c r="I911" s="4" t="s">
        <v>9</v>
      </c>
      <c r="L9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1" s="4">
        <f>ROUND(IF(Tabla14[[#This Row],[OPERACIÓN]]=MAESTRO!$B$2,Tabla14[CAPITAL],IF(Tabla14[[#This Row],[OPERACIÓN]]=MAESTRO!$B$5,Tabla14[CAPITAL],-Tabla14[[#This Row],[CAPITAL]])),2)</f>
        <v>-41000000</v>
      </c>
    </row>
    <row r="912" spans="1:13" x14ac:dyDescent="0.3">
      <c r="A912" s="26">
        <v>46178</v>
      </c>
      <c r="B912" t="s">
        <v>299</v>
      </c>
      <c r="C912" t="s">
        <v>132</v>
      </c>
      <c r="D912" s="27" t="s">
        <v>17</v>
      </c>
      <c r="E912" s="4" t="s">
        <v>48</v>
      </c>
      <c r="F912" s="4">
        <v>96500000</v>
      </c>
      <c r="G912" s="88" t="str">
        <f>+VLOOKUP(Tabla14[[#This Row],[FONDO]],MAESTRO!$D$2:$E$119,2,FALSE)</f>
        <v>Banco Macro S.A.</v>
      </c>
      <c r="H912" s="8" t="str">
        <f>+VLOOKUP(Tabla14[[#This Row],[FONDO]],MAESTRO!D:F,3,FALSE)</f>
        <v>(T+0)</v>
      </c>
      <c r="I912" s="4" t="s">
        <v>9</v>
      </c>
      <c r="L9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2" s="4">
        <f>ROUND(IF(Tabla14[[#This Row],[OPERACIÓN]]=MAESTRO!$B$2,Tabla14[CAPITAL],IF(Tabla14[[#This Row],[OPERACIÓN]]=MAESTRO!$B$5,Tabla14[CAPITAL],-Tabla14[[#This Row],[CAPITAL]])),2)</f>
        <v>-96500000</v>
      </c>
    </row>
    <row r="913" spans="1:13" x14ac:dyDescent="0.3">
      <c r="A913" s="26">
        <v>46178</v>
      </c>
      <c r="B913" t="s">
        <v>298</v>
      </c>
      <c r="C913" t="s">
        <v>132</v>
      </c>
      <c r="D913" s="27" t="s">
        <v>17</v>
      </c>
      <c r="E913" s="4" t="s">
        <v>48</v>
      </c>
      <c r="F913" s="4">
        <v>208900000</v>
      </c>
      <c r="G913" s="88" t="str">
        <f>+VLOOKUP(Tabla14[[#This Row],[FONDO]],MAESTRO!$D$2:$E$119,2,FALSE)</f>
        <v>Banco Macro S.A.</v>
      </c>
      <c r="H913" s="8" t="str">
        <f>+VLOOKUP(Tabla14[[#This Row],[FONDO]],MAESTRO!D:F,3,FALSE)</f>
        <v>(T+0)</v>
      </c>
      <c r="I913" s="4" t="s">
        <v>9</v>
      </c>
      <c r="L9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3" s="4">
        <f>ROUND(IF(Tabla14[[#This Row],[OPERACIÓN]]=MAESTRO!$B$2,Tabla14[CAPITAL],IF(Tabla14[[#This Row],[OPERACIÓN]]=MAESTRO!$B$5,Tabla14[CAPITAL],-Tabla14[[#This Row],[CAPITAL]])),2)</f>
        <v>-208900000</v>
      </c>
    </row>
    <row r="914" spans="1:13" x14ac:dyDescent="0.3">
      <c r="A914" s="26">
        <v>46178</v>
      </c>
      <c r="B914" t="s">
        <v>120</v>
      </c>
      <c r="C914" t="s">
        <v>132</v>
      </c>
      <c r="D914" s="27" t="s">
        <v>16</v>
      </c>
      <c r="E914" s="4" t="s">
        <v>40</v>
      </c>
      <c r="F914" s="4">
        <v>11000000</v>
      </c>
      <c r="G914" s="88" t="str">
        <f>+VLOOKUP(Tabla14[[#This Row],[FONDO]],MAESTRO!$D$2:$E$119,2,FALSE)</f>
        <v>BBVA Banco Frances SA</v>
      </c>
      <c r="H914" s="8" t="str">
        <f>+VLOOKUP(Tabla14[[#This Row],[FONDO]],MAESTRO!D:F,3,FALSE)</f>
        <v>(T+0)</v>
      </c>
      <c r="I914" s="4" t="s">
        <v>9</v>
      </c>
      <c r="L9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4" s="4">
        <f>ROUND(IF(Tabla14[[#This Row],[OPERACIÓN]]=MAESTRO!$B$2,Tabla14[CAPITAL],IF(Tabla14[[#This Row],[OPERACIÓN]]=MAESTRO!$B$5,Tabla14[CAPITAL],-Tabla14[[#This Row],[CAPITAL]])),2)</f>
        <v>11000000</v>
      </c>
    </row>
    <row r="915" spans="1:13" x14ac:dyDescent="0.3">
      <c r="A915" s="26">
        <v>46178</v>
      </c>
      <c r="B915" t="s">
        <v>298</v>
      </c>
      <c r="C915" t="s">
        <v>132</v>
      </c>
      <c r="D915" s="27" t="s">
        <v>17</v>
      </c>
      <c r="E915" s="4" t="s">
        <v>170</v>
      </c>
      <c r="F915" s="4">
        <v>9300000</v>
      </c>
      <c r="G915" s="88" t="str">
        <f>+VLOOKUP(Tabla14[[#This Row],[FONDO]],MAESTRO!$D$2:$E$119,2,FALSE)</f>
        <v>Banco Santander Rio S.A.</v>
      </c>
      <c r="H915" s="8" t="str">
        <f>+VLOOKUP(Tabla14[[#This Row],[FONDO]],MAESTRO!D:F,3,FALSE)</f>
        <v>(T+0)</v>
      </c>
      <c r="I915" s="4" t="s">
        <v>9</v>
      </c>
      <c r="L9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5" s="4">
        <f>ROUND(IF(Tabla14[[#This Row],[OPERACIÓN]]=MAESTRO!$B$2,Tabla14[CAPITAL],IF(Tabla14[[#This Row],[OPERACIÓN]]=MAESTRO!$B$5,Tabla14[CAPITAL],-Tabla14[[#This Row],[CAPITAL]])),2)</f>
        <v>-9300000</v>
      </c>
    </row>
    <row r="916" spans="1:13" x14ac:dyDescent="0.3">
      <c r="A916" s="26">
        <v>46180</v>
      </c>
      <c r="B916" t="s">
        <v>298</v>
      </c>
      <c r="C916" t="s">
        <v>132</v>
      </c>
      <c r="D916" s="27" t="s">
        <v>17</v>
      </c>
      <c r="E916" s="4" t="s">
        <v>170</v>
      </c>
      <c r="F916" s="53">
        <v>397437330.37</v>
      </c>
      <c r="G916" s="8" t="str">
        <f>+VLOOKUP(Tabla14[[#This Row],[FONDO]],MAESTRO!$D$2:$E$119,2,FALSE)</f>
        <v>Banco Santander Rio S.A.</v>
      </c>
      <c r="H916" s="8" t="str">
        <f>+VLOOKUP(Tabla14[[#This Row],[FONDO]],MAESTRO!D:F,3,FALSE)</f>
        <v>(T+0)</v>
      </c>
      <c r="I916" s="4" t="s">
        <v>9</v>
      </c>
      <c r="L9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6" s="4">
        <f>ROUND(IF(Tabla14[[#This Row],[OPERACIÓN]]=MAESTRO!$B$2,Tabla14[CAPITAL],IF(Tabla14[[#This Row],[OPERACIÓN]]=MAESTRO!$B$5,Tabla14[CAPITAL],-Tabla14[[#This Row],[CAPITAL]])),2)</f>
        <v>-397437330.37</v>
      </c>
    </row>
    <row r="917" spans="1:13" x14ac:dyDescent="0.3">
      <c r="A917" s="26">
        <v>46180</v>
      </c>
      <c r="B917" t="s">
        <v>299</v>
      </c>
      <c r="C917" t="s">
        <v>132</v>
      </c>
      <c r="D917" s="27" t="s">
        <v>17</v>
      </c>
      <c r="E917" s="4" t="s">
        <v>136</v>
      </c>
      <c r="F917" s="4">
        <v>278631104.14999998</v>
      </c>
      <c r="G917" s="8" t="str">
        <f>+VLOOKUP(Tabla14[[#This Row],[FONDO]],MAESTRO!$D$2:$E$119,2,FALSE)</f>
        <v>Gma Capital</v>
      </c>
      <c r="H917" s="8" t="str">
        <f>+VLOOKUP(Tabla14[[#This Row],[FONDO]],MAESTRO!D:F,3,FALSE)</f>
        <v>(T+0)</v>
      </c>
      <c r="I917" s="4" t="s">
        <v>9</v>
      </c>
      <c r="L9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7" s="4">
        <f>ROUND(IF(Tabla14[[#This Row],[OPERACIÓN]]=MAESTRO!$B$2,Tabla14[CAPITAL],IF(Tabla14[[#This Row],[OPERACIÓN]]=MAESTRO!$B$5,Tabla14[CAPITAL],-Tabla14[[#This Row],[CAPITAL]])),2)</f>
        <v>-278631104.14999998</v>
      </c>
    </row>
    <row r="918" spans="1:13" x14ac:dyDescent="0.3">
      <c r="A918" s="26">
        <v>46180</v>
      </c>
      <c r="B918" t="s">
        <v>298</v>
      </c>
      <c r="C918" t="s">
        <v>132</v>
      </c>
      <c r="D918" s="27" t="s">
        <v>17</v>
      </c>
      <c r="E918" s="4" t="s">
        <v>170</v>
      </c>
      <c r="F918" s="4">
        <v>63085527.299999997</v>
      </c>
      <c r="G918" s="8" t="str">
        <f>+VLOOKUP(Tabla14[[#This Row],[FONDO]],MAESTRO!$D$2:$E$119,2,FALSE)</f>
        <v>Banco Santander Rio S.A.</v>
      </c>
      <c r="H918" s="8" t="str">
        <f>+VLOOKUP(Tabla14[[#This Row],[FONDO]],MAESTRO!D:F,3,FALSE)</f>
        <v>(T+0)</v>
      </c>
      <c r="I918" s="4" t="s">
        <v>9</v>
      </c>
      <c r="L9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8" s="4">
        <f>ROUND(IF(Tabla14[[#This Row],[OPERACIÓN]]=MAESTRO!$B$2,Tabla14[CAPITAL],IF(Tabla14[[#This Row],[OPERACIÓN]]=MAESTRO!$B$5,Tabla14[CAPITAL],-Tabla14[[#This Row],[CAPITAL]])),2)</f>
        <v>-63085527.299999997</v>
      </c>
    </row>
    <row r="919" spans="1:13" x14ac:dyDescent="0.3">
      <c r="A919" s="26">
        <v>46181</v>
      </c>
      <c r="B919" t="s">
        <v>298</v>
      </c>
      <c r="C919" t="s">
        <v>132</v>
      </c>
      <c r="D919" s="27" t="s">
        <v>17</v>
      </c>
      <c r="E919" s="4" t="s">
        <v>48</v>
      </c>
      <c r="F919" s="4">
        <v>465000000</v>
      </c>
      <c r="G919" s="88" t="str">
        <f>+VLOOKUP(Tabla14[[#This Row],[FONDO]],MAESTRO!$D$2:$E$119,2,FALSE)</f>
        <v>Banco Macro S.A.</v>
      </c>
      <c r="H919" s="8" t="str">
        <f>+VLOOKUP(Tabla14[[#This Row],[FONDO]],MAESTRO!D:F,3,FALSE)</f>
        <v>(T+0)</v>
      </c>
      <c r="I919" s="4" t="s">
        <v>9</v>
      </c>
      <c r="L9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19" s="4">
        <f>ROUND(IF(Tabla14[[#This Row],[OPERACIÓN]]=MAESTRO!$B$2,Tabla14[CAPITAL],IF(Tabla14[[#This Row],[OPERACIÓN]]=MAESTRO!$B$5,Tabla14[CAPITAL],-Tabla14[[#This Row],[CAPITAL]])),2)</f>
        <v>-465000000</v>
      </c>
    </row>
    <row r="920" spans="1:13" x14ac:dyDescent="0.3">
      <c r="A920" s="26">
        <v>46181</v>
      </c>
      <c r="B920" t="s">
        <v>299</v>
      </c>
      <c r="C920" t="s">
        <v>132</v>
      </c>
      <c r="D920" s="27" t="s">
        <v>17</v>
      </c>
      <c r="E920" s="4" t="s">
        <v>48</v>
      </c>
      <c r="F920" s="4">
        <v>38500000</v>
      </c>
      <c r="G920" s="88" t="str">
        <f>+VLOOKUP(Tabla14[[#This Row],[FONDO]],MAESTRO!$D$2:$E$119,2,FALSE)</f>
        <v>Banco Macro S.A.</v>
      </c>
      <c r="H920" s="8" t="str">
        <f>+VLOOKUP(Tabla14[[#This Row],[FONDO]],MAESTRO!D:F,3,FALSE)</f>
        <v>(T+0)</v>
      </c>
      <c r="I920" s="4" t="s">
        <v>9</v>
      </c>
      <c r="L9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0" s="4">
        <f>ROUND(IF(Tabla14[[#This Row],[OPERACIÓN]]=MAESTRO!$B$2,Tabla14[CAPITAL],IF(Tabla14[[#This Row],[OPERACIÓN]]=MAESTRO!$B$5,Tabla14[CAPITAL],-Tabla14[[#This Row],[CAPITAL]])),2)</f>
        <v>-38500000</v>
      </c>
    </row>
    <row r="921" spans="1:13" x14ac:dyDescent="0.3">
      <c r="A921" s="26">
        <v>46181</v>
      </c>
      <c r="B921" t="s">
        <v>292</v>
      </c>
      <c r="C921" t="s">
        <v>132</v>
      </c>
      <c r="D921" s="27" t="s">
        <v>17</v>
      </c>
      <c r="E921" s="4" t="s">
        <v>48</v>
      </c>
      <c r="F921" s="4">
        <v>109400000</v>
      </c>
      <c r="G921" s="88" t="str">
        <f>+VLOOKUP(Tabla14[[#This Row],[FONDO]],MAESTRO!$D$2:$E$119,2,FALSE)</f>
        <v>Banco Macro S.A.</v>
      </c>
      <c r="H921" s="8" t="str">
        <f>+VLOOKUP(Tabla14[[#This Row],[FONDO]],MAESTRO!D:F,3,FALSE)</f>
        <v>(T+0)</v>
      </c>
      <c r="I921" s="4" t="s">
        <v>9</v>
      </c>
      <c r="L9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1" s="4">
        <f>ROUND(IF(Tabla14[[#This Row],[OPERACIÓN]]=MAESTRO!$B$2,Tabla14[CAPITAL],IF(Tabla14[[#This Row],[OPERACIÓN]]=MAESTRO!$B$5,Tabla14[CAPITAL],-Tabla14[[#This Row],[CAPITAL]])),2)</f>
        <v>-109400000</v>
      </c>
    </row>
    <row r="922" spans="1:13" x14ac:dyDescent="0.3">
      <c r="A922" s="26">
        <v>46181</v>
      </c>
      <c r="B922" t="s">
        <v>126</v>
      </c>
      <c r="C922" t="s">
        <v>132</v>
      </c>
      <c r="D922" s="27" t="s">
        <v>17</v>
      </c>
      <c r="E922" s="4" t="s">
        <v>48</v>
      </c>
      <c r="F922" s="4">
        <v>200000</v>
      </c>
      <c r="G922" s="88" t="str">
        <f>+VLOOKUP(Tabla14[[#This Row],[FONDO]],MAESTRO!$D$2:$E$119,2,FALSE)</f>
        <v>Banco Macro S.A.</v>
      </c>
      <c r="H922" s="8" t="str">
        <f>+VLOOKUP(Tabla14[[#This Row],[FONDO]],MAESTRO!D:F,3,FALSE)</f>
        <v>(T+0)</v>
      </c>
      <c r="I922" s="4" t="s">
        <v>9</v>
      </c>
      <c r="L9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2" s="4">
        <f>ROUND(IF(Tabla14[[#This Row],[OPERACIÓN]]=MAESTRO!$B$2,Tabla14[CAPITAL],IF(Tabla14[[#This Row],[OPERACIÓN]]=MAESTRO!$B$5,Tabla14[CAPITAL],-Tabla14[[#This Row],[CAPITAL]])),2)</f>
        <v>-200000</v>
      </c>
    </row>
    <row r="923" spans="1:13" x14ac:dyDescent="0.3">
      <c r="A923" s="26">
        <v>46181</v>
      </c>
      <c r="B923" t="s">
        <v>298</v>
      </c>
      <c r="C923" t="s">
        <v>132</v>
      </c>
      <c r="D923" s="27" t="s">
        <v>17</v>
      </c>
      <c r="E923" s="4" t="s">
        <v>40</v>
      </c>
      <c r="F923" s="4">
        <v>200000</v>
      </c>
      <c r="G923" s="88" t="str">
        <f>+VLOOKUP(Tabla14[[#This Row],[FONDO]],MAESTRO!$D$2:$E$119,2,FALSE)</f>
        <v>BBVA Banco Frances SA</v>
      </c>
      <c r="H923" s="8" t="str">
        <f>+VLOOKUP(Tabla14[[#This Row],[FONDO]],MAESTRO!D:F,3,FALSE)</f>
        <v>(T+0)</v>
      </c>
      <c r="I923" s="4" t="s">
        <v>9</v>
      </c>
      <c r="L9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3" s="4">
        <f>ROUND(IF(Tabla14[[#This Row],[OPERACIÓN]]=MAESTRO!$B$2,Tabla14[CAPITAL],IF(Tabla14[[#This Row],[OPERACIÓN]]=MAESTRO!$B$5,Tabla14[CAPITAL],-Tabla14[[#This Row],[CAPITAL]])),2)</f>
        <v>-200000</v>
      </c>
    </row>
    <row r="924" spans="1:13" x14ac:dyDescent="0.3">
      <c r="A924" s="26">
        <v>46181</v>
      </c>
      <c r="B924" t="s">
        <v>298</v>
      </c>
      <c r="C924" t="s">
        <v>132</v>
      </c>
      <c r="D924" s="27" t="s">
        <v>17</v>
      </c>
      <c r="E924" s="4" t="s">
        <v>169</v>
      </c>
      <c r="F924" s="4">
        <v>86022309.290000007</v>
      </c>
      <c r="G924" s="88" t="str">
        <f>+VLOOKUP(Tabla14[[#This Row],[FONDO]],MAESTRO!$D$2:$E$119,2,FALSE)</f>
        <v>Max Capital</v>
      </c>
      <c r="H924" s="8" t="str">
        <f>+VLOOKUP(Tabla14[[#This Row],[FONDO]],MAESTRO!D:F,3,FALSE)</f>
        <v>(T+0)</v>
      </c>
      <c r="I924" s="4" t="s">
        <v>9</v>
      </c>
      <c r="L9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4" s="4">
        <f>ROUND(IF(Tabla14[[#This Row],[OPERACIÓN]]=MAESTRO!$B$2,Tabla14[CAPITAL],IF(Tabla14[[#This Row],[OPERACIÓN]]=MAESTRO!$B$5,Tabla14[CAPITAL],-Tabla14[[#This Row],[CAPITAL]])),2)</f>
        <v>-86022309.290000007</v>
      </c>
    </row>
    <row r="925" spans="1:13" x14ac:dyDescent="0.3">
      <c r="A925" s="26">
        <v>46181</v>
      </c>
      <c r="B925" t="s">
        <v>298</v>
      </c>
      <c r="C925" t="s">
        <v>132</v>
      </c>
      <c r="D925" s="27" t="s">
        <v>17</v>
      </c>
      <c r="E925" s="4" t="s">
        <v>169</v>
      </c>
      <c r="F925" s="4">
        <v>76458763.629999995</v>
      </c>
      <c r="G925" s="88" t="str">
        <f>+VLOOKUP(Tabla14[[#This Row],[FONDO]],MAESTRO!$D$2:$E$119,2,FALSE)</f>
        <v>Max Capital</v>
      </c>
      <c r="H925" s="8" t="str">
        <f>+VLOOKUP(Tabla14[[#This Row],[FONDO]],MAESTRO!D:F,3,FALSE)</f>
        <v>(T+0)</v>
      </c>
      <c r="I925" s="4" t="s">
        <v>9</v>
      </c>
      <c r="L9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5" s="4">
        <f>ROUND(IF(Tabla14[[#This Row],[OPERACIÓN]]=MAESTRO!$B$2,Tabla14[CAPITAL],IF(Tabla14[[#This Row],[OPERACIÓN]]=MAESTRO!$B$5,Tabla14[CAPITAL],-Tabla14[[#This Row],[CAPITAL]])),2)</f>
        <v>-76458763.629999995</v>
      </c>
    </row>
    <row r="926" spans="1:13" x14ac:dyDescent="0.3">
      <c r="A926" s="26">
        <v>46181</v>
      </c>
      <c r="B926" t="s">
        <v>298</v>
      </c>
      <c r="C926" t="s">
        <v>132</v>
      </c>
      <c r="D926" s="27" t="s">
        <v>17</v>
      </c>
      <c r="E926" s="4" t="s">
        <v>136</v>
      </c>
      <c r="F926" s="4">
        <v>192270839.88999999</v>
      </c>
      <c r="G926" s="88" t="str">
        <f>+VLOOKUP(Tabla14[[#This Row],[FONDO]],MAESTRO!$D$2:$E$119,2,FALSE)</f>
        <v>Gma Capital</v>
      </c>
      <c r="H926" s="8" t="str">
        <f>+VLOOKUP(Tabla14[[#This Row],[FONDO]],MAESTRO!D:F,3,FALSE)</f>
        <v>(T+0)</v>
      </c>
      <c r="I926" s="4" t="s">
        <v>9</v>
      </c>
      <c r="L9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6" s="4">
        <f>ROUND(IF(Tabla14[[#This Row],[OPERACIÓN]]=MAESTRO!$B$2,Tabla14[CAPITAL],IF(Tabla14[[#This Row],[OPERACIÓN]]=MAESTRO!$B$5,Tabla14[CAPITAL],-Tabla14[[#This Row],[CAPITAL]])),2)</f>
        <v>-192270839.88999999</v>
      </c>
    </row>
    <row r="927" spans="1:13" x14ac:dyDescent="0.3">
      <c r="A927" s="26">
        <v>46181</v>
      </c>
      <c r="B927" t="s">
        <v>298</v>
      </c>
      <c r="C927" t="s">
        <v>132</v>
      </c>
      <c r="D927" s="27" t="s">
        <v>17</v>
      </c>
      <c r="E927" s="4" t="s">
        <v>136</v>
      </c>
      <c r="F927" s="4">
        <v>131891912.45</v>
      </c>
      <c r="G927" s="88" t="str">
        <f>+VLOOKUP(Tabla14[[#This Row],[FONDO]],MAESTRO!$D$2:$E$119,2,FALSE)</f>
        <v>Gma Capital</v>
      </c>
      <c r="H927" s="8" t="str">
        <f>+VLOOKUP(Tabla14[[#This Row],[FONDO]],MAESTRO!D:F,3,FALSE)</f>
        <v>(T+0)</v>
      </c>
      <c r="I927" s="4" t="s">
        <v>9</v>
      </c>
      <c r="L9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7" s="4">
        <f>ROUND(IF(Tabla14[[#This Row],[OPERACIÓN]]=MAESTRO!$B$2,Tabla14[CAPITAL],IF(Tabla14[[#This Row],[OPERACIÓN]]=MAESTRO!$B$5,Tabla14[CAPITAL],-Tabla14[[#This Row],[CAPITAL]])),2)</f>
        <v>-131891912.45</v>
      </c>
    </row>
    <row r="928" spans="1:13" x14ac:dyDescent="0.3">
      <c r="A928" s="26">
        <v>46181</v>
      </c>
      <c r="B928" t="s">
        <v>299</v>
      </c>
      <c r="C928" t="s">
        <v>132</v>
      </c>
      <c r="D928" s="27" t="s">
        <v>17</v>
      </c>
      <c r="E928" s="4" t="s">
        <v>136</v>
      </c>
      <c r="F928" s="4">
        <v>300000000</v>
      </c>
      <c r="G928" s="88" t="str">
        <f>+VLOOKUP(Tabla14[[#This Row],[FONDO]],MAESTRO!$D$2:$E$119,2,FALSE)</f>
        <v>Gma Capital</v>
      </c>
      <c r="H928" s="8" t="str">
        <f>+VLOOKUP(Tabla14[[#This Row],[FONDO]],MAESTRO!D:F,3,FALSE)</f>
        <v>(T+0)</v>
      </c>
      <c r="I928" s="4" t="s">
        <v>9</v>
      </c>
      <c r="L9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8" s="4">
        <f>ROUND(IF(Tabla14[[#This Row],[OPERACIÓN]]=MAESTRO!$B$2,Tabla14[CAPITAL],IF(Tabla14[[#This Row],[OPERACIÓN]]=MAESTRO!$B$5,Tabla14[CAPITAL],-Tabla14[[#This Row],[CAPITAL]])),2)</f>
        <v>-300000000</v>
      </c>
    </row>
    <row r="929" spans="1:13" x14ac:dyDescent="0.3">
      <c r="A929" s="26">
        <v>46181</v>
      </c>
      <c r="B929" t="s">
        <v>299</v>
      </c>
      <c r="C929" t="s">
        <v>132</v>
      </c>
      <c r="D929" s="27" t="s">
        <v>16</v>
      </c>
      <c r="E929" s="4" t="s">
        <v>169</v>
      </c>
      <c r="F929" s="4">
        <v>300000000</v>
      </c>
      <c r="G929" s="99" t="str">
        <f>+VLOOKUP(Tabla14[[#This Row],[FONDO]],MAESTRO!$D$2:$E$119,2,FALSE)</f>
        <v>Max Capital</v>
      </c>
      <c r="H929" s="8" t="str">
        <f>+VLOOKUP(Tabla14[[#This Row],[FONDO]],MAESTRO!D:F,3,FALSE)</f>
        <v>(T+0)</v>
      </c>
      <c r="I929" s="4" t="s">
        <v>9</v>
      </c>
      <c r="L9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29" s="4">
        <f>ROUND(IF(Tabla14[[#This Row],[OPERACIÓN]]=MAESTRO!$B$2,Tabla14[CAPITAL],IF(Tabla14[[#This Row],[OPERACIÓN]]=MAESTRO!$B$5,Tabla14[CAPITAL],-Tabla14[[#This Row],[CAPITAL]])),2)</f>
        <v>300000000</v>
      </c>
    </row>
    <row r="930" spans="1:13" x14ac:dyDescent="0.3">
      <c r="A930" s="26">
        <v>46181</v>
      </c>
      <c r="B930" t="s">
        <v>292</v>
      </c>
      <c r="C930" t="s">
        <v>132</v>
      </c>
      <c r="D930" s="27" t="s">
        <v>17</v>
      </c>
      <c r="E930" s="4" t="s">
        <v>40</v>
      </c>
      <c r="F930" s="4">
        <v>80200000</v>
      </c>
      <c r="G930" s="8" t="str">
        <f>+VLOOKUP(Tabla14[[#This Row],[FONDO]],MAESTRO!$D$2:$E$119,2,FALSE)</f>
        <v>BBVA Banco Frances SA</v>
      </c>
      <c r="H930" s="8" t="str">
        <f>+VLOOKUP(Tabla14[[#This Row],[FONDO]],MAESTRO!D:F,3,FALSE)</f>
        <v>(T+0)</v>
      </c>
      <c r="I930" s="4" t="s">
        <v>9</v>
      </c>
      <c r="L9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0" s="4">
        <f>ROUND(IF(Tabla14[[#This Row],[OPERACIÓN]]=MAESTRO!$B$2,Tabla14[CAPITAL],IF(Tabla14[[#This Row],[OPERACIÓN]]=MAESTRO!$B$5,Tabla14[CAPITAL],-Tabla14[[#This Row],[CAPITAL]])),2)</f>
        <v>-80200000</v>
      </c>
    </row>
    <row r="931" spans="1:13" x14ac:dyDescent="0.3">
      <c r="A931" s="26">
        <v>46182</v>
      </c>
      <c r="B931" t="s">
        <v>292</v>
      </c>
      <c r="C931" t="s">
        <v>132</v>
      </c>
      <c r="D931" s="27" t="s">
        <v>17</v>
      </c>
      <c r="E931" s="4" t="s">
        <v>48</v>
      </c>
      <c r="F931" s="100">
        <v>379000000</v>
      </c>
      <c r="G931" s="99" t="str">
        <f>+VLOOKUP(Tabla14[[#This Row],[FONDO]],MAESTRO!$D$2:$E$119,2,FALSE)</f>
        <v>Banco Macro S.A.</v>
      </c>
      <c r="H931" s="8" t="str">
        <f>+VLOOKUP(Tabla14[[#This Row],[FONDO]],MAESTRO!D:F,3,FALSE)</f>
        <v>(T+0)</v>
      </c>
      <c r="I931" s="4" t="s">
        <v>9</v>
      </c>
      <c r="L9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1" s="4">
        <f>ROUND(IF(Tabla14[[#This Row],[OPERACIÓN]]=MAESTRO!$B$2,Tabla14[CAPITAL],IF(Tabla14[[#This Row],[OPERACIÓN]]=MAESTRO!$B$5,Tabla14[CAPITAL],-Tabla14[[#This Row],[CAPITAL]])),2)</f>
        <v>-379000000</v>
      </c>
    </row>
    <row r="932" spans="1:13" x14ac:dyDescent="0.3">
      <c r="A932" s="26">
        <v>46182</v>
      </c>
      <c r="B932" t="s">
        <v>298</v>
      </c>
      <c r="C932" t="s">
        <v>132</v>
      </c>
      <c r="D932" s="27" t="s">
        <v>17</v>
      </c>
      <c r="E932" s="4" t="s">
        <v>48</v>
      </c>
      <c r="F932" s="100">
        <v>1073400000</v>
      </c>
      <c r="G932" s="99" t="str">
        <f>+VLOOKUP(Tabla14[[#This Row],[FONDO]],MAESTRO!$D$2:$E$119,2,FALSE)</f>
        <v>Banco Macro S.A.</v>
      </c>
      <c r="H932" s="8" t="str">
        <f>+VLOOKUP(Tabla14[[#This Row],[FONDO]],MAESTRO!D:F,3,FALSE)</f>
        <v>(T+0)</v>
      </c>
      <c r="I932" s="4" t="s">
        <v>9</v>
      </c>
      <c r="L9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2" s="4">
        <f>ROUND(IF(Tabla14[[#This Row],[OPERACIÓN]]=MAESTRO!$B$2,Tabla14[CAPITAL],IF(Tabla14[[#This Row],[OPERACIÓN]]=MAESTRO!$B$5,Tabla14[CAPITAL],-Tabla14[[#This Row],[CAPITAL]])),2)</f>
        <v>-1073400000</v>
      </c>
    </row>
    <row r="933" spans="1:13" x14ac:dyDescent="0.3">
      <c r="A933" s="26">
        <v>46182</v>
      </c>
      <c r="B933" t="s">
        <v>299</v>
      </c>
      <c r="C933" t="s">
        <v>132</v>
      </c>
      <c r="D933" s="27" t="s">
        <v>16</v>
      </c>
      <c r="E933" s="4" t="s">
        <v>48</v>
      </c>
      <c r="F933" s="100">
        <v>271500000</v>
      </c>
      <c r="G933" s="99" t="str">
        <f>+VLOOKUP(Tabla14[[#This Row],[FONDO]],MAESTRO!$D$2:$E$119,2,FALSE)</f>
        <v>Banco Macro S.A.</v>
      </c>
      <c r="H933" s="8" t="str">
        <f>+VLOOKUP(Tabla14[[#This Row],[FONDO]],MAESTRO!D:F,3,FALSE)</f>
        <v>(T+0)</v>
      </c>
      <c r="I933" s="4" t="s">
        <v>9</v>
      </c>
      <c r="L9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3" s="4">
        <f>ROUND(IF(Tabla14[[#This Row],[OPERACIÓN]]=MAESTRO!$B$2,Tabla14[CAPITAL],IF(Tabla14[[#This Row],[OPERACIÓN]]=MAESTRO!$B$5,Tabla14[CAPITAL],-Tabla14[[#This Row],[CAPITAL]])),2)</f>
        <v>271500000</v>
      </c>
    </row>
    <row r="934" spans="1:13" x14ac:dyDescent="0.3">
      <c r="A934" s="26">
        <v>46182</v>
      </c>
      <c r="B934" t="s">
        <v>292</v>
      </c>
      <c r="C934" t="s">
        <v>132</v>
      </c>
      <c r="D934" s="27" t="s">
        <v>16</v>
      </c>
      <c r="E934" s="4" t="s">
        <v>136</v>
      </c>
      <c r="F934" s="4">
        <v>90800000</v>
      </c>
      <c r="G934" s="99" t="str">
        <f>+VLOOKUP(Tabla14[[#This Row],[FONDO]],MAESTRO!$D$2:$E$119,2,FALSE)</f>
        <v>Gma Capital</v>
      </c>
      <c r="H934" s="8" t="str">
        <f>+VLOOKUP(Tabla14[[#This Row],[FONDO]],MAESTRO!D:F,3,FALSE)</f>
        <v>(T+0)</v>
      </c>
      <c r="I934" s="4" t="s">
        <v>9</v>
      </c>
      <c r="L9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4" s="4">
        <f>ROUND(IF(Tabla14[[#This Row],[OPERACIÓN]]=MAESTRO!$B$2,Tabla14[CAPITAL],IF(Tabla14[[#This Row],[OPERACIÓN]]=MAESTRO!$B$5,Tabla14[CAPITAL],-Tabla14[[#This Row],[CAPITAL]])),2)</f>
        <v>90800000</v>
      </c>
    </row>
    <row r="935" spans="1:13" x14ac:dyDescent="0.3">
      <c r="A935" s="26">
        <v>46182</v>
      </c>
      <c r="B935" t="s">
        <v>292</v>
      </c>
      <c r="C935" t="s">
        <v>132</v>
      </c>
      <c r="D935" s="27" t="s">
        <v>17</v>
      </c>
      <c r="E935" s="4" t="s">
        <v>40</v>
      </c>
      <c r="F935" s="4">
        <v>400000</v>
      </c>
      <c r="G935" s="8" t="str">
        <f>+VLOOKUP(Tabla14[[#This Row],[FONDO]],MAESTRO!$D$2:$E$119,2,FALSE)</f>
        <v>BBVA Banco Frances SA</v>
      </c>
      <c r="H935" s="8" t="str">
        <f>+VLOOKUP(Tabla14[[#This Row],[FONDO]],MAESTRO!D:F,3,FALSE)</f>
        <v>(T+0)</v>
      </c>
      <c r="I935" s="4" t="s">
        <v>9</v>
      </c>
      <c r="L9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5" s="4">
        <f>ROUND(IF(Tabla14[[#This Row],[OPERACIÓN]]=MAESTRO!$B$2,Tabla14[CAPITAL],IF(Tabla14[[#This Row],[OPERACIÓN]]=MAESTRO!$B$5,Tabla14[CAPITAL],-Tabla14[[#This Row],[CAPITAL]])),2)</f>
        <v>-400000</v>
      </c>
    </row>
    <row r="936" spans="1:13" x14ac:dyDescent="0.3">
      <c r="A936" s="26">
        <v>46183</v>
      </c>
      <c r="B936" t="s">
        <v>299</v>
      </c>
      <c r="C936" t="s">
        <v>132</v>
      </c>
      <c r="D936" s="27" t="s">
        <v>17</v>
      </c>
      <c r="E936" s="4" t="s">
        <v>169</v>
      </c>
      <c r="F936" s="4">
        <v>759998979.52999997</v>
      </c>
      <c r="G936" s="99" t="str">
        <f>+VLOOKUP(Tabla14[[#This Row],[FONDO]],MAESTRO!$D$2:$E$119,2,FALSE)</f>
        <v>Max Capital</v>
      </c>
      <c r="H936" s="8" t="str">
        <f>+VLOOKUP(Tabla14[[#This Row],[FONDO]],MAESTRO!D:F,3,FALSE)</f>
        <v>(T+0)</v>
      </c>
      <c r="I936" s="4" t="s">
        <v>9</v>
      </c>
      <c r="L9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6" s="4">
        <f>ROUND(IF(Tabla14[[#This Row],[OPERACIÓN]]=MAESTRO!$B$2,Tabla14[CAPITAL],IF(Tabla14[[#This Row],[OPERACIÓN]]=MAESTRO!$B$5,Tabla14[CAPITAL],-Tabla14[[#This Row],[CAPITAL]])),2)</f>
        <v>-759998979.52999997</v>
      </c>
    </row>
    <row r="937" spans="1:13" x14ac:dyDescent="0.3">
      <c r="A937" s="26">
        <v>46183</v>
      </c>
      <c r="B937" t="s">
        <v>299</v>
      </c>
      <c r="C937" t="s">
        <v>132</v>
      </c>
      <c r="D937" s="27" t="s">
        <v>17</v>
      </c>
      <c r="E937" s="4" t="s">
        <v>169</v>
      </c>
      <c r="F937" s="4">
        <v>759999388.49000001</v>
      </c>
      <c r="G937" s="99" t="str">
        <f>+VLOOKUP(Tabla14[[#This Row],[FONDO]],MAESTRO!$D$2:$E$119,2,FALSE)</f>
        <v>Max Capital</v>
      </c>
      <c r="H937" s="8" t="str">
        <f>+VLOOKUP(Tabla14[[#This Row],[FONDO]],MAESTRO!D:F,3,FALSE)</f>
        <v>(T+0)</v>
      </c>
      <c r="I937" s="4" t="s">
        <v>9</v>
      </c>
      <c r="L9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7" s="4">
        <f>ROUND(IF(Tabla14[[#This Row],[OPERACIÓN]]=MAESTRO!$B$2,Tabla14[CAPITAL],IF(Tabla14[[#This Row],[OPERACIÓN]]=MAESTRO!$B$5,Tabla14[CAPITAL],-Tabla14[[#This Row],[CAPITAL]])),2)</f>
        <v>-759999388.49000001</v>
      </c>
    </row>
    <row r="938" spans="1:13" x14ac:dyDescent="0.3">
      <c r="A938" s="26">
        <v>46183</v>
      </c>
      <c r="B938" t="s">
        <v>298</v>
      </c>
      <c r="C938" t="s">
        <v>132</v>
      </c>
      <c r="D938" s="27" t="s">
        <v>17</v>
      </c>
      <c r="E938" s="4" t="s">
        <v>48</v>
      </c>
      <c r="F938" s="4">
        <v>334600000</v>
      </c>
      <c r="G938" s="8" t="str">
        <f>+VLOOKUP(Tabla14[[#This Row],[FONDO]],MAESTRO!$D$2:$E$119,2,FALSE)</f>
        <v>Banco Macro S.A.</v>
      </c>
      <c r="H938" s="8" t="str">
        <f>+VLOOKUP(Tabla14[[#This Row],[FONDO]],MAESTRO!D:F,3,FALSE)</f>
        <v>(T+0)</v>
      </c>
      <c r="I938" s="4" t="s">
        <v>9</v>
      </c>
      <c r="L9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8" s="4">
        <f>ROUND(IF(Tabla14[[#This Row],[OPERACIÓN]]=MAESTRO!$B$2,Tabla14[CAPITAL],IF(Tabla14[[#This Row],[OPERACIÓN]]=MAESTRO!$B$5,Tabla14[CAPITAL],-Tabla14[[#This Row],[CAPITAL]])),2)</f>
        <v>-334600000</v>
      </c>
    </row>
    <row r="939" spans="1:13" x14ac:dyDescent="0.3">
      <c r="A939" s="26">
        <v>46183</v>
      </c>
      <c r="B939" t="s">
        <v>126</v>
      </c>
      <c r="C939" t="s">
        <v>132</v>
      </c>
      <c r="D939" s="27" t="s">
        <v>16</v>
      </c>
      <c r="E939" s="4" t="s">
        <v>48</v>
      </c>
      <c r="F939" s="4">
        <v>335100000</v>
      </c>
      <c r="G939" s="8" t="str">
        <f>+VLOOKUP(Tabla14[[#This Row],[FONDO]],MAESTRO!$D$2:$E$119,2,FALSE)</f>
        <v>Banco Macro S.A.</v>
      </c>
      <c r="H939" s="8" t="str">
        <f>+VLOOKUP(Tabla14[[#This Row],[FONDO]],MAESTRO!D:F,3,FALSE)</f>
        <v>(T+0)</v>
      </c>
      <c r="I939" s="4" t="s">
        <v>9</v>
      </c>
      <c r="L9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39" s="4">
        <f>ROUND(IF(Tabla14[[#This Row],[OPERACIÓN]]=MAESTRO!$B$2,Tabla14[CAPITAL],IF(Tabla14[[#This Row],[OPERACIÓN]]=MAESTRO!$B$5,Tabla14[CAPITAL],-Tabla14[[#This Row],[CAPITAL]])),2)</f>
        <v>335100000</v>
      </c>
    </row>
    <row r="940" spans="1:13" x14ac:dyDescent="0.3">
      <c r="A940" s="26">
        <v>46183</v>
      </c>
      <c r="B940" t="s">
        <v>292</v>
      </c>
      <c r="C940" t="s">
        <v>132</v>
      </c>
      <c r="D940" s="27" t="s">
        <v>16</v>
      </c>
      <c r="E940" s="4" t="s">
        <v>48</v>
      </c>
      <c r="F940" s="4">
        <v>102500000</v>
      </c>
      <c r="G940" s="8" t="str">
        <f>+VLOOKUP(Tabla14[[#This Row],[FONDO]],MAESTRO!$D$2:$E$119,2,FALSE)</f>
        <v>Banco Macro S.A.</v>
      </c>
      <c r="H940" s="8" t="str">
        <f>+VLOOKUP(Tabla14[[#This Row],[FONDO]],MAESTRO!D:F,3,FALSE)</f>
        <v>(T+0)</v>
      </c>
      <c r="I940" s="4" t="s">
        <v>9</v>
      </c>
      <c r="L9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0" s="4">
        <f>ROUND(IF(Tabla14[[#This Row],[OPERACIÓN]]=MAESTRO!$B$2,Tabla14[CAPITAL],IF(Tabla14[[#This Row],[OPERACIÓN]]=MAESTRO!$B$5,Tabla14[CAPITAL],-Tabla14[[#This Row],[CAPITAL]])),2)</f>
        <v>102500000</v>
      </c>
    </row>
    <row r="941" spans="1:13" x14ac:dyDescent="0.3">
      <c r="A941" s="26">
        <v>46183</v>
      </c>
      <c r="B941" t="s">
        <v>299</v>
      </c>
      <c r="C941" t="s">
        <v>132</v>
      </c>
      <c r="D941" s="27" t="s">
        <v>16</v>
      </c>
      <c r="E941" s="4" t="s">
        <v>48</v>
      </c>
      <c r="F941" s="4">
        <v>69200000</v>
      </c>
      <c r="G941" s="8" t="str">
        <f>+VLOOKUP(Tabla14[[#This Row],[FONDO]],MAESTRO!$D$2:$E$119,2,FALSE)</f>
        <v>Banco Macro S.A.</v>
      </c>
      <c r="H941" s="8" t="str">
        <f>+VLOOKUP(Tabla14[[#This Row],[FONDO]],MAESTRO!D:F,3,FALSE)</f>
        <v>(T+0)</v>
      </c>
      <c r="I941" s="4" t="s">
        <v>9</v>
      </c>
      <c r="L9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1" s="4">
        <f>ROUND(IF(Tabla14[[#This Row],[OPERACIÓN]]=MAESTRO!$B$2,Tabla14[CAPITAL],IF(Tabla14[[#This Row],[OPERACIÓN]]=MAESTRO!$B$5,Tabla14[CAPITAL],-Tabla14[[#This Row],[CAPITAL]])),2)</f>
        <v>69200000</v>
      </c>
    </row>
    <row r="942" spans="1:13" x14ac:dyDescent="0.3">
      <c r="A942" s="26">
        <v>46183</v>
      </c>
      <c r="B942" t="s">
        <v>299</v>
      </c>
      <c r="C942" s="20" t="s">
        <v>132</v>
      </c>
      <c r="D942" s="38" t="s">
        <v>16</v>
      </c>
      <c r="E942" s="39" t="s">
        <v>204</v>
      </c>
      <c r="F942" s="39">
        <v>691462655.96000004</v>
      </c>
      <c r="G942" s="8" t="str">
        <f>+VLOOKUP(Tabla14[[#This Row],[FONDO]],MAESTRO!$D$2:$E$119,2,FALSE)</f>
        <v>Latin Securities</v>
      </c>
      <c r="H942" s="8" t="str">
        <f>+VLOOKUP(Tabla14[[#This Row],[FONDO]],MAESTRO!D:F,3,FALSE)</f>
        <v>(T+0)</v>
      </c>
      <c r="I942" s="4" t="s">
        <v>9</v>
      </c>
      <c r="L9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2" s="4">
        <f>ROUND(IF(Tabla14[[#This Row],[OPERACIÓN]]=MAESTRO!$B$2,Tabla14[CAPITAL],IF(Tabla14[[#This Row],[OPERACIÓN]]=MAESTRO!$B$5,Tabla14[CAPITAL],-Tabla14[[#This Row],[CAPITAL]])),2)</f>
        <v>691462655.96000004</v>
      </c>
    </row>
    <row r="943" spans="1:13" x14ac:dyDescent="0.3">
      <c r="A943" s="26">
        <v>46183</v>
      </c>
      <c r="B943" t="s">
        <v>298</v>
      </c>
      <c r="C943" t="s">
        <v>132</v>
      </c>
      <c r="D943" s="27" t="s">
        <v>17</v>
      </c>
      <c r="E943" s="4" t="s">
        <v>136</v>
      </c>
      <c r="F943" s="4">
        <v>559999505.86000001</v>
      </c>
      <c r="G943" s="8" t="str">
        <f>+VLOOKUP(Tabla14[[#This Row],[FONDO]],MAESTRO!$D$2:$E$119,2,FALSE)</f>
        <v>Gma Capital</v>
      </c>
      <c r="H943" s="8" t="str">
        <f>+VLOOKUP(Tabla14[[#This Row],[FONDO]],MAESTRO!D:F,3,FALSE)</f>
        <v>(T+0)</v>
      </c>
      <c r="I943" s="4" t="s">
        <v>9</v>
      </c>
      <c r="L9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3" s="4">
        <f>ROUND(IF(Tabla14[[#This Row],[OPERACIÓN]]=MAESTRO!$B$2,Tabla14[CAPITAL],IF(Tabla14[[#This Row],[OPERACIÓN]]=MAESTRO!$B$5,Tabla14[CAPITAL],-Tabla14[[#This Row],[CAPITAL]])),2)</f>
        <v>-559999505.86000001</v>
      </c>
    </row>
    <row r="944" spans="1:13" x14ac:dyDescent="0.3">
      <c r="A944" s="26">
        <v>46183</v>
      </c>
      <c r="B944" t="s">
        <v>298</v>
      </c>
      <c r="C944" t="s">
        <v>132</v>
      </c>
      <c r="D944" s="27" t="s">
        <v>17</v>
      </c>
      <c r="E944" s="4" t="s">
        <v>136</v>
      </c>
      <c r="F944" s="4">
        <v>49399053.380000003</v>
      </c>
      <c r="G944" s="8" t="str">
        <f>+VLOOKUP(Tabla14[[#This Row],[FONDO]],MAESTRO!$D$2:$E$119,2,FALSE)</f>
        <v>Gma Capital</v>
      </c>
      <c r="H944" s="8" t="str">
        <f>+VLOOKUP(Tabla14[[#This Row],[FONDO]],MAESTRO!D:F,3,FALSE)</f>
        <v>(T+0)</v>
      </c>
      <c r="I944" s="4" t="s">
        <v>9</v>
      </c>
      <c r="L9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4" s="4">
        <f>ROUND(IF(Tabla14[[#This Row],[OPERACIÓN]]=MAESTRO!$B$2,Tabla14[CAPITAL],IF(Tabla14[[#This Row],[OPERACIÓN]]=MAESTRO!$B$5,Tabla14[CAPITAL],-Tabla14[[#This Row],[CAPITAL]])),2)</f>
        <v>-49399053.380000003</v>
      </c>
    </row>
    <row r="945" spans="1:13" x14ac:dyDescent="0.3">
      <c r="A945" s="26">
        <v>46183</v>
      </c>
      <c r="B945" t="s">
        <v>299</v>
      </c>
      <c r="C945" t="s">
        <v>132</v>
      </c>
      <c r="D945" s="27" t="s">
        <v>17</v>
      </c>
      <c r="E945" s="4" t="s">
        <v>169</v>
      </c>
      <c r="F945" s="53">
        <v>1511499239.1099999</v>
      </c>
      <c r="G945" s="8" t="str">
        <f>+VLOOKUP(Tabla14[[#This Row],[FONDO]],MAESTRO!$D$2:$E$119,2,FALSE)</f>
        <v>Max Capital</v>
      </c>
      <c r="H945" s="8" t="str">
        <f>+VLOOKUP(Tabla14[[#This Row],[FONDO]],MAESTRO!D:F,3,FALSE)</f>
        <v>(T+0)</v>
      </c>
      <c r="I945" s="4" t="s">
        <v>9</v>
      </c>
      <c r="L9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5" s="4">
        <f>ROUND(IF(Tabla14[[#This Row],[OPERACIÓN]]=MAESTRO!$B$2,Tabla14[CAPITAL],IF(Tabla14[[#This Row],[OPERACIÓN]]=MAESTRO!$B$5,Tabla14[CAPITAL],-Tabla14[[#This Row],[CAPITAL]])),2)</f>
        <v>-1511499239.1099999</v>
      </c>
    </row>
    <row r="946" spans="1:13" x14ac:dyDescent="0.3">
      <c r="A946" s="26">
        <v>46184</v>
      </c>
      <c r="B946" t="s">
        <v>298</v>
      </c>
      <c r="C946" t="s">
        <v>132</v>
      </c>
      <c r="D946" s="27" t="s">
        <v>17</v>
      </c>
      <c r="E946" s="4" t="s">
        <v>48</v>
      </c>
      <c r="F946" s="4">
        <v>133000000</v>
      </c>
      <c r="G946" s="8" t="str">
        <f>+VLOOKUP(Tabla14[[#This Row],[FONDO]],MAESTRO!$D$2:$E$119,2,FALSE)</f>
        <v>Banco Macro S.A.</v>
      </c>
      <c r="H946" s="8" t="str">
        <f>+VLOOKUP(Tabla14[[#This Row],[FONDO]],MAESTRO!D:F,3,FALSE)</f>
        <v>(T+0)</v>
      </c>
      <c r="I946" s="4" t="s">
        <v>9</v>
      </c>
      <c r="L9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6" s="4">
        <f>ROUND(IF(Tabla14[[#This Row],[OPERACIÓN]]=MAESTRO!$B$2,Tabla14[CAPITAL],IF(Tabla14[[#This Row],[OPERACIÓN]]=MAESTRO!$B$5,Tabla14[CAPITAL],-Tabla14[[#This Row],[CAPITAL]])),2)</f>
        <v>-133000000</v>
      </c>
    </row>
    <row r="947" spans="1:13" x14ac:dyDescent="0.3">
      <c r="A947" s="26">
        <v>46184</v>
      </c>
      <c r="B947" t="s">
        <v>299</v>
      </c>
      <c r="C947" t="s">
        <v>132</v>
      </c>
      <c r="D947" s="27" t="s">
        <v>17</v>
      </c>
      <c r="E947" s="4" t="s">
        <v>48</v>
      </c>
      <c r="F947" s="4">
        <v>88100000</v>
      </c>
      <c r="G947" s="8" t="str">
        <f>+VLOOKUP(Tabla14[[#This Row],[FONDO]],MAESTRO!$D$2:$E$119,2,FALSE)</f>
        <v>Banco Macro S.A.</v>
      </c>
      <c r="H947" s="8" t="str">
        <f>+VLOOKUP(Tabla14[[#This Row],[FONDO]],MAESTRO!D:F,3,FALSE)</f>
        <v>(T+0)</v>
      </c>
      <c r="I947" s="4" t="s">
        <v>9</v>
      </c>
      <c r="L9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7" s="4">
        <f>ROUND(IF(Tabla14[[#This Row],[OPERACIÓN]]=MAESTRO!$B$2,Tabla14[CAPITAL],IF(Tabla14[[#This Row],[OPERACIÓN]]=MAESTRO!$B$5,Tabla14[CAPITAL],-Tabla14[[#This Row],[CAPITAL]])),2)</f>
        <v>-88100000</v>
      </c>
    </row>
    <row r="948" spans="1:13" x14ac:dyDescent="0.3">
      <c r="A948" s="26">
        <v>46184</v>
      </c>
      <c r="B948" t="s">
        <v>292</v>
      </c>
      <c r="C948" t="s">
        <v>132</v>
      </c>
      <c r="D948" s="27" t="s">
        <v>17</v>
      </c>
      <c r="E948" s="4" t="s">
        <v>48</v>
      </c>
      <c r="F948" s="4">
        <v>117600000</v>
      </c>
      <c r="G948" s="8" t="str">
        <f>+VLOOKUP(Tabla14[[#This Row],[FONDO]],MAESTRO!$D$2:$E$119,2,FALSE)</f>
        <v>Banco Macro S.A.</v>
      </c>
      <c r="H948" s="8" t="str">
        <f>+VLOOKUP(Tabla14[[#This Row],[FONDO]],MAESTRO!D:F,3,FALSE)</f>
        <v>(T+0)</v>
      </c>
      <c r="I948" s="4" t="s">
        <v>9</v>
      </c>
      <c r="L9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8" s="4">
        <f>ROUND(IF(Tabla14[[#This Row],[OPERACIÓN]]=MAESTRO!$B$2,Tabla14[CAPITAL],IF(Tabla14[[#This Row],[OPERACIÓN]]=MAESTRO!$B$5,Tabla14[CAPITAL],-Tabla14[[#This Row],[CAPITAL]])),2)</f>
        <v>-117600000</v>
      </c>
    </row>
    <row r="949" spans="1:13" x14ac:dyDescent="0.3">
      <c r="A949" s="26">
        <v>46184</v>
      </c>
      <c r="B949" t="s">
        <v>126</v>
      </c>
      <c r="C949" t="s">
        <v>132</v>
      </c>
      <c r="D949" s="27" t="s">
        <v>17</v>
      </c>
      <c r="E949" s="4" t="s">
        <v>48</v>
      </c>
      <c r="F949" s="4">
        <v>4700000</v>
      </c>
      <c r="G949" s="8" t="str">
        <f>+VLOOKUP(Tabla14[[#This Row],[FONDO]],MAESTRO!$D$2:$E$119,2,FALSE)</f>
        <v>Banco Macro S.A.</v>
      </c>
      <c r="H949" s="8" t="str">
        <f>+VLOOKUP(Tabla14[[#This Row],[FONDO]],MAESTRO!D:F,3,FALSE)</f>
        <v>(T+0)</v>
      </c>
      <c r="I949" s="4" t="s">
        <v>9</v>
      </c>
      <c r="L9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49" s="4">
        <f>ROUND(IF(Tabla14[[#This Row],[OPERACIÓN]]=MAESTRO!$B$2,Tabla14[CAPITAL],IF(Tabla14[[#This Row],[OPERACIÓN]]=MAESTRO!$B$5,Tabla14[CAPITAL],-Tabla14[[#This Row],[CAPITAL]])),2)</f>
        <v>-4700000</v>
      </c>
    </row>
    <row r="950" spans="1:13" x14ac:dyDescent="0.3">
      <c r="A950" s="26">
        <v>46184</v>
      </c>
      <c r="B950" t="s">
        <v>120</v>
      </c>
      <c r="C950" t="s">
        <v>132</v>
      </c>
      <c r="D950" s="27" t="s">
        <v>17</v>
      </c>
      <c r="E950" s="4" t="s">
        <v>40</v>
      </c>
      <c r="F950" s="4">
        <v>11000000</v>
      </c>
      <c r="G950" s="8" t="str">
        <f>+VLOOKUP(Tabla14[[#This Row],[FONDO]],MAESTRO!$D$2:$E$119,2,FALSE)</f>
        <v>BBVA Banco Frances SA</v>
      </c>
      <c r="H950" s="8" t="str">
        <f>+VLOOKUP(Tabla14[[#This Row],[FONDO]],MAESTRO!D:F,3,FALSE)</f>
        <v>(T+0)</v>
      </c>
      <c r="I950" s="4" t="s">
        <v>9</v>
      </c>
      <c r="L9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0" s="4">
        <f>ROUND(IF(Tabla14[[#This Row],[OPERACIÓN]]=MAESTRO!$B$2,Tabla14[CAPITAL],IF(Tabla14[[#This Row],[OPERACIÓN]]=MAESTRO!$B$5,Tabla14[CAPITAL],-Tabla14[[#This Row],[CAPITAL]])),2)</f>
        <v>-11000000</v>
      </c>
    </row>
    <row r="951" spans="1:13" x14ac:dyDescent="0.3">
      <c r="A951" s="26">
        <v>46184</v>
      </c>
      <c r="B951" t="s">
        <v>299</v>
      </c>
      <c r="C951" t="s">
        <v>132</v>
      </c>
      <c r="D951" s="27" t="s">
        <v>17</v>
      </c>
      <c r="E951" s="4" t="s">
        <v>40</v>
      </c>
      <c r="F951" s="4">
        <v>29600000</v>
      </c>
      <c r="G951" s="101" t="str">
        <f>+VLOOKUP(Tabla14[[#This Row],[FONDO]],MAESTRO!$D$2:$E$119,2,FALSE)</f>
        <v>BBVA Banco Frances SA</v>
      </c>
      <c r="H951" s="8" t="str">
        <f>+VLOOKUP(Tabla14[[#This Row],[FONDO]],MAESTRO!D:F,3,FALSE)</f>
        <v>(T+0)</v>
      </c>
      <c r="I951" s="4" t="s">
        <v>9</v>
      </c>
      <c r="L9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1" s="4">
        <f>ROUND(IF(Tabla14[[#This Row],[OPERACIÓN]]=MAESTRO!$B$2,Tabla14[CAPITAL],IF(Tabla14[[#This Row],[OPERACIÓN]]=MAESTRO!$B$5,Tabla14[CAPITAL],-Tabla14[[#This Row],[CAPITAL]])),2)</f>
        <v>-29600000</v>
      </c>
    </row>
    <row r="952" spans="1:13" x14ac:dyDescent="0.3">
      <c r="A952" s="26">
        <v>46185</v>
      </c>
      <c r="B952" t="s">
        <v>298</v>
      </c>
      <c r="C952" t="s">
        <v>132</v>
      </c>
      <c r="D952" s="27" t="s">
        <v>17</v>
      </c>
      <c r="E952" s="4" t="s">
        <v>136</v>
      </c>
      <c r="F952" s="4">
        <v>696100000</v>
      </c>
      <c r="G952" s="8" t="str">
        <f>+VLOOKUP(Tabla14[[#This Row],[FONDO]],MAESTRO!$D$2:$E$119,2,FALSE)</f>
        <v>Gma Capital</v>
      </c>
      <c r="H952" s="8" t="str">
        <f>+VLOOKUP(Tabla14[[#This Row],[FONDO]],MAESTRO!D:F,3,FALSE)</f>
        <v>(T+0)</v>
      </c>
      <c r="I952" s="4" t="s">
        <v>9</v>
      </c>
      <c r="L9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2" s="4">
        <f>ROUND(IF(Tabla14[[#This Row],[OPERACIÓN]]=MAESTRO!$B$2,Tabla14[CAPITAL],IF(Tabla14[[#This Row],[OPERACIÓN]]=MAESTRO!$B$5,Tabla14[CAPITAL],-Tabla14[[#This Row],[CAPITAL]])),2)</f>
        <v>-696100000</v>
      </c>
    </row>
    <row r="953" spans="1:13" x14ac:dyDescent="0.3">
      <c r="A953" s="26">
        <v>46185</v>
      </c>
      <c r="B953" t="s">
        <v>299</v>
      </c>
      <c r="C953" t="s">
        <v>132</v>
      </c>
      <c r="D953" s="27" t="s">
        <v>17</v>
      </c>
      <c r="E953" s="4" t="s">
        <v>48</v>
      </c>
      <c r="F953" s="4">
        <v>2100000</v>
      </c>
      <c r="G953" s="8" t="str">
        <f>+VLOOKUP(Tabla14[[#This Row],[FONDO]],MAESTRO!$D$2:$E$119,2,FALSE)</f>
        <v>Banco Macro S.A.</v>
      </c>
      <c r="H953" s="8" t="str">
        <f>+VLOOKUP(Tabla14[[#This Row],[FONDO]],MAESTRO!D:F,3,FALSE)</f>
        <v>(T+0)</v>
      </c>
      <c r="I953" s="4" t="s">
        <v>9</v>
      </c>
      <c r="L9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3" s="4">
        <f>ROUND(IF(Tabla14[[#This Row],[OPERACIÓN]]=MAESTRO!$B$2,Tabla14[CAPITAL],IF(Tabla14[[#This Row],[OPERACIÓN]]=MAESTRO!$B$5,Tabla14[CAPITAL],-Tabla14[[#This Row],[CAPITAL]])),2)</f>
        <v>-2100000</v>
      </c>
    </row>
    <row r="954" spans="1:13" x14ac:dyDescent="0.3">
      <c r="A954" s="26">
        <v>46185</v>
      </c>
      <c r="B954" t="s">
        <v>292</v>
      </c>
      <c r="C954" t="s">
        <v>132</v>
      </c>
      <c r="D954" s="27" t="s">
        <v>16</v>
      </c>
      <c r="E954" s="4" t="s">
        <v>48</v>
      </c>
      <c r="F954" s="4">
        <v>23300000</v>
      </c>
      <c r="G954" s="8" t="str">
        <f>+VLOOKUP(Tabla14[[#This Row],[FONDO]],MAESTRO!$D$2:$E$119,2,FALSE)</f>
        <v>Banco Macro S.A.</v>
      </c>
      <c r="H954" s="8" t="str">
        <f>+VLOOKUP(Tabla14[[#This Row],[FONDO]],MAESTRO!D:F,3,FALSE)</f>
        <v>(T+0)</v>
      </c>
      <c r="I954" s="4" t="s">
        <v>9</v>
      </c>
      <c r="L9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4" s="4">
        <f>ROUND(IF(Tabla14[[#This Row],[OPERACIÓN]]=MAESTRO!$B$2,Tabla14[CAPITAL],IF(Tabla14[[#This Row],[OPERACIÓN]]=MAESTRO!$B$5,Tabla14[CAPITAL],-Tabla14[[#This Row],[CAPITAL]])),2)</f>
        <v>23300000</v>
      </c>
    </row>
    <row r="955" spans="1:13" x14ac:dyDescent="0.3">
      <c r="A955" s="26">
        <v>46185</v>
      </c>
      <c r="B955" t="s">
        <v>126</v>
      </c>
      <c r="C955" t="s">
        <v>132</v>
      </c>
      <c r="D955" s="27" t="s">
        <v>16</v>
      </c>
      <c r="E955" s="4" t="s">
        <v>48</v>
      </c>
      <c r="F955" s="4">
        <v>6700000</v>
      </c>
      <c r="G955" s="8" t="str">
        <f>+VLOOKUP(Tabla14[[#This Row],[FONDO]],MAESTRO!$D$2:$E$119,2,FALSE)</f>
        <v>Banco Macro S.A.</v>
      </c>
      <c r="H955" s="8" t="str">
        <f>+VLOOKUP(Tabla14[[#This Row],[FONDO]],MAESTRO!D:F,3,FALSE)</f>
        <v>(T+0)</v>
      </c>
      <c r="I955" s="4" t="s">
        <v>9</v>
      </c>
      <c r="L9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5" s="4">
        <f>ROUND(IF(Tabla14[[#This Row],[OPERACIÓN]]=MAESTRO!$B$2,Tabla14[CAPITAL],IF(Tabla14[[#This Row],[OPERACIÓN]]=MAESTRO!$B$5,Tabla14[CAPITAL],-Tabla14[[#This Row],[CAPITAL]])),2)</f>
        <v>6700000</v>
      </c>
    </row>
    <row r="956" spans="1:13" x14ac:dyDescent="0.3">
      <c r="A956" s="26">
        <v>46189</v>
      </c>
      <c r="B956" t="s">
        <v>126</v>
      </c>
      <c r="C956" t="s">
        <v>132</v>
      </c>
      <c r="D956" s="27" t="s">
        <v>17</v>
      </c>
      <c r="E956" s="4" t="s">
        <v>48</v>
      </c>
      <c r="F956" s="4">
        <v>4000000</v>
      </c>
      <c r="G956" s="8" t="str">
        <f>+VLOOKUP(Tabla14[[#This Row],[FONDO]],MAESTRO!$D$2:$E$119,2,FALSE)</f>
        <v>Banco Macro S.A.</v>
      </c>
      <c r="H956" s="8" t="str">
        <f>+VLOOKUP(Tabla14[[#This Row],[FONDO]],MAESTRO!D:F,3,FALSE)</f>
        <v>(T+0)</v>
      </c>
      <c r="I956" s="4" t="s">
        <v>9</v>
      </c>
      <c r="L9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6" s="4">
        <f>ROUND(IF(Tabla14[[#This Row],[OPERACIÓN]]=MAESTRO!$B$2,Tabla14[CAPITAL],IF(Tabla14[[#This Row],[OPERACIÓN]]=MAESTRO!$B$5,Tabla14[CAPITAL],-Tabla14[[#This Row],[CAPITAL]])),2)</f>
        <v>-4000000</v>
      </c>
    </row>
    <row r="957" spans="1:13" x14ac:dyDescent="0.3">
      <c r="A957" s="26">
        <v>46189</v>
      </c>
      <c r="B957" t="s">
        <v>298</v>
      </c>
      <c r="C957" t="s">
        <v>132</v>
      </c>
      <c r="D957" s="27" t="s">
        <v>17</v>
      </c>
      <c r="E957" s="4" t="s">
        <v>48</v>
      </c>
      <c r="F957" s="4">
        <v>500000000</v>
      </c>
      <c r="G957" s="8" t="str">
        <f>+VLOOKUP(Tabla14[[#This Row],[FONDO]],MAESTRO!$D$2:$E$119,2,FALSE)</f>
        <v>Banco Macro S.A.</v>
      </c>
      <c r="H957" s="8" t="str">
        <f>+VLOOKUP(Tabla14[[#This Row],[FONDO]],MAESTRO!D:F,3,FALSE)</f>
        <v>(T+0)</v>
      </c>
      <c r="I957" s="4" t="s">
        <v>9</v>
      </c>
      <c r="L9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7" s="4">
        <f>ROUND(IF(Tabla14[[#This Row],[OPERACIÓN]]=MAESTRO!$B$2,Tabla14[CAPITAL],IF(Tabla14[[#This Row],[OPERACIÓN]]=MAESTRO!$B$5,Tabla14[CAPITAL],-Tabla14[[#This Row],[CAPITAL]])),2)</f>
        <v>-500000000</v>
      </c>
    </row>
    <row r="958" spans="1:13" x14ac:dyDescent="0.3">
      <c r="A958" s="26">
        <v>46189</v>
      </c>
      <c r="B958" t="s">
        <v>298</v>
      </c>
      <c r="C958" t="s">
        <v>132</v>
      </c>
      <c r="D958" s="27" t="s">
        <v>17</v>
      </c>
      <c r="E958" s="4" t="s">
        <v>40</v>
      </c>
      <c r="F958" s="4">
        <v>280000000</v>
      </c>
      <c r="G958" s="8" t="str">
        <f>+VLOOKUP(Tabla14[[#This Row],[FONDO]],MAESTRO!$D$2:$E$119,2,FALSE)</f>
        <v>BBVA Banco Frances SA</v>
      </c>
      <c r="H958" s="8" t="str">
        <f>+VLOOKUP(Tabla14[[#This Row],[FONDO]],MAESTRO!D:F,3,FALSE)</f>
        <v>(T+0)</v>
      </c>
      <c r="I958" s="4" t="s">
        <v>9</v>
      </c>
      <c r="L9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8" s="4">
        <f>ROUND(IF(Tabla14[[#This Row],[OPERACIÓN]]=MAESTRO!$B$2,Tabla14[CAPITAL],IF(Tabla14[[#This Row],[OPERACIÓN]]=MAESTRO!$B$5,Tabla14[CAPITAL],-Tabla14[[#This Row],[CAPITAL]])),2)</f>
        <v>-280000000</v>
      </c>
    </row>
    <row r="959" spans="1:13" x14ac:dyDescent="0.3">
      <c r="A959" s="26">
        <v>46189</v>
      </c>
      <c r="B959" t="s">
        <v>299</v>
      </c>
      <c r="C959" t="s">
        <v>132</v>
      </c>
      <c r="D959" s="27" t="s">
        <v>16</v>
      </c>
      <c r="E959" s="4" t="s">
        <v>48</v>
      </c>
      <c r="F959" s="4">
        <v>256000000</v>
      </c>
      <c r="G959" s="8" t="str">
        <f>+VLOOKUP(Tabla14[[#This Row],[FONDO]],MAESTRO!$D$2:$E$119,2,FALSE)</f>
        <v>Banco Macro S.A.</v>
      </c>
      <c r="H959" s="8" t="str">
        <f>+VLOOKUP(Tabla14[[#This Row],[FONDO]],MAESTRO!D:F,3,FALSE)</f>
        <v>(T+0)</v>
      </c>
      <c r="I959" s="4" t="s">
        <v>9</v>
      </c>
      <c r="L9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59" s="4">
        <f>ROUND(IF(Tabla14[[#This Row],[OPERACIÓN]]=MAESTRO!$B$2,Tabla14[CAPITAL],IF(Tabla14[[#This Row],[OPERACIÓN]]=MAESTRO!$B$5,Tabla14[CAPITAL],-Tabla14[[#This Row],[CAPITAL]])),2)</f>
        <v>256000000</v>
      </c>
    </row>
    <row r="960" spans="1:13" x14ac:dyDescent="0.3">
      <c r="A960" s="26">
        <v>46189</v>
      </c>
      <c r="B960" t="s">
        <v>292</v>
      </c>
      <c r="C960" t="s">
        <v>132</v>
      </c>
      <c r="D960" s="27" t="s">
        <v>16</v>
      </c>
      <c r="E960" s="4" t="s">
        <v>48</v>
      </c>
      <c r="F960" s="4">
        <v>40500000</v>
      </c>
      <c r="G960" s="8" t="str">
        <f>+VLOOKUP(Tabla14[[#This Row],[FONDO]],MAESTRO!$D$2:$E$119,2,FALSE)</f>
        <v>Banco Macro S.A.</v>
      </c>
      <c r="H960" s="8" t="str">
        <f>+VLOOKUP(Tabla14[[#This Row],[FONDO]],MAESTRO!D:F,3,FALSE)</f>
        <v>(T+0)</v>
      </c>
      <c r="I960" s="4" t="s">
        <v>9</v>
      </c>
      <c r="L9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0" s="4">
        <f>ROUND(IF(Tabla14[[#This Row],[OPERACIÓN]]=MAESTRO!$B$2,Tabla14[CAPITAL],IF(Tabla14[[#This Row],[OPERACIÓN]]=MAESTRO!$B$5,Tabla14[CAPITAL],-Tabla14[[#This Row],[CAPITAL]])),2)</f>
        <v>40500000</v>
      </c>
    </row>
    <row r="961" spans="1:13" x14ac:dyDescent="0.3">
      <c r="A961" s="26">
        <v>46190</v>
      </c>
      <c r="B961" t="s">
        <v>126</v>
      </c>
      <c r="C961" t="s">
        <v>132</v>
      </c>
      <c r="D961" s="27" t="s">
        <v>17</v>
      </c>
      <c r="E961" s="4" t="s">
        <v>48</v>
      </c>
      <c r="F961" s="4">
        <v>200000</v>
      </c>
      <c r="G961" s="8" t="str">
        <f>+VLOOKUP(Tabla14[[#This Row],[FONDO]],MAESTRO!$D$2:$E$119,2,FALSE)</f>
        <v>Banco Macro S.A.</v>
      </c>
      <c r="H961" s="8" t="str">
        <f>+VLOOKUP(Tabla14[[#This Row],[FONDO]],MAESTRO!D:F,3,FALSE)</f>
        <v>(T+0)</v>
      </c>
      <c r="I961" s="4" t="s">
        <v>9</v>
      </c>
      <c r="L9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1" s="4">
        <f>ROUND(IF(Tabla14[[#This Row],[OPERACIÓN]]=MAESTRO!$B$2,Tabla14[CAPITAL],IF(Tabla14[[#This Row],[OPERACIÓN]]=MAESTRO!$B$5,Tabla14[CAPITAL],-Tabla14[[#This Row],[CAPITAL]])),2)</f>
        <v>-200000</v>
      </c>
    </row>
    <row r="962" spans="1:13" x14ac:dyDescent="0.3">
      <c r="A962" s="26">
        <v>46190</v>
      </c>
      <c r="B962" t="s">
        <v>299</v>
      </c>
      <c r="C962" t="s">
        <v>132</v>
      </c>
      <c r="D962" s="27" t="s">
        <v>17</v>
      </c>
      <c r="E962" s="4" t="s">
        <v>48</v>
      </c>
      <c r="F962" s="4">
        <v>30100000</v>
      </c>
      <c r="G962" s="8" t="str">
        <f>+VLOOKUP(Tabla14[[#This Row],[FONDO]],MAESTRO!$D$2:$E$119,2,FALSE)</f>
        <v>Banco Macro S.A.</v>
      </c>
      <c r="H962" s="8" t="str">
        <f>+VLOOKUP(Tabla14[[#This Row],[FONDO]],MAESTRO!D:F,3,FALSE)</f>
        <v>(T+0)</v>
      </c>
      <c r="I962" s="4" t="s">
        <v>9</v>
      </c>
      <c r="L9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2" s="4">
        <f>ROUND(IF(Tabla14[[#This Row],[OPERACIÓN]]=MAESTRO!$B$2,Tabla14[CAPITAL],IF(Tabla14[[#This Row],[OPERACIÓN]]=MAESTRO!$B$5,Tabla14[CAPITAL],-Tabla14[[#This Row],[CAPITAL]])),2)</f>
        <v>-30100000</v>
      </c>
    </row>
    <row r="963" spans="1:13" x14ac:dyDescent="0.3">
      <c r="A963" s="26">
        <v>46190</v>
      </c>
      <c r="B963" t="s">
        <v>292</v>
      </c>
      <c r="C963" t="s">
        <v>132</v>
      </c>
      <c r="D963" s="27" t="s">
        <v>16</v>
      </c>
      <c r="E963" s="4" t="s">
        <v>48</v>
      </c>
      <c r="F963" s="4">
        <v>61400000</v>
      </c>
      <c r="G963" s="8" t="str">
        <f>+VLOOKUP(Tabla14[[#This Row],[FONDO]],MAESTRO!$D$2:$E$119,2,FALSE)</f>
        <v>Banco Macro S.A.</v>
      </c>
      <c r="H963" s="8" t="str">
        <f>+VLOOKUP(Tabla14[[#This Row],[FONDO]],MAESTRO!D:F,3,FALSE)</f>
        <v>(T+0)</v>
      </c>
      <c r="I963" s="4" t="s">
        <v>9</v>
      </c>
      <c r="L9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3" s="4">
        <f>ROUND(IF(Tabla14[[#This Row],[OPERACIÓN]]=MAESTRO!$B$2,Tabla14[CAPITAL],IF(Tabla14[[#This Row],[OPERACIÓN]]=MAESTRO!$B$5,Tabla14[CAPITAL],-Tabla14[[#This Row],[CAPITAL]])),2)</f>
        <v>61400000</v>
      </c>
    </row>
    <row r="964" spans="1:13" s="20" customFormat="1" x14ac:dyDescent="0.3">
      <c r="A964" s="26">
        <v>46190</v>
      </c>
      <c r="B964" t="s">
        <v>298</v>
      </c>
      <c r="C964" t="s">
        <v>132</v>
      </c>
      <c r="D964" s="27" t="s">
        <v>16</v>
      </c>
      <c r="E964" s="4" t="s">
        <v>40</v>
      </c>
      <c r="F964" s="4">
        <v>9356800000</v>
      </c>
      <c r="G964" s="8" t="str">
        <f>+VLOOKUP(Tabla14[[#This Row],[FONDO]],MAESTRO!$D$2:$E$119,2,FALSE)</f>
        <v>BBVA Banco Frances SA</v>
      </c>
      <c r="H964" s="8" t="str">
        <f>+VLOOKUP(Tabla14[[#This Row],[FONDO]],MAESTRO!D:F,3,FALSE)</f>
        <v>(T+0)</v>
      </c>
      <c r="I964" s="4" t="s">
        <v>9</v>
      </c>
      <c r="J964" s="23"/>
      <c r="K964"/>
      <c r="L9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4" s="4">
        <f>ROUND(IF(Tabla14[[#This Row],[OPERACIÓN]]=MAESTRO!$B$2,Tabla14[CAPITAL],IF(Tabla14[[#This Row],[OPERACIÓN]]=MAESTRO!$B$5,Tabla14[CAPITAL],-Tabla14[[#This Row],[CAPITAL]])),2)</f>
        <v>9356800000</v>
      </c>
    </row>
    <row r="965" spans="1:13" s="20" customFormat="1" x14ac:dyDescent="0.3">
      <c r="A965" s="26">
        <v>46190</v>
      </c>
      <c r="B965" t="s">
        <v>298</v>
      </c>
      <c r="C965" t="s">
        <v>132</v>
      </c>
      <c r="D965" s="27" t="s">
        <v>17</v>
      </c>
      <c r="E965" s="4" t="s">
        <v>136</v>
      </c>
      <c r="F965" s="4">
        <v>63029840.130000003</v>
      </c>
      <c r="G965" s="8" t="str">
        <f>+VLOOKUP(Tabla14[[#This Row],[FONDO]],MAESTRO!$D$2:$E$119,2,FALSE)</f>
        <v>Gma Capital</v>
      </c>
      <c r="H965" s="8" t="str">
        <f>+VLOOKUP(Tabla14[[#This Row],[FONDO]],MAESTRO!D:F,3,FALSE)</f>
        <v>(T+0)</v>
      </c>
      <c r="I965" s="4" t="s">
        <v>9</v>
      </c>
      <c r="J965" s="23"/>
      <c r="K965"/>
      <c r="L9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5" s="4">
        <f>ROUND(IF(Tabla14[[#This Row],[OPERACIÓN]]=MAESTRO!$B$2,Tabla14[CAPITAL],IF(Tabla14[[#This Row],[OPERACIÓN]]=MAESTRO!$B$5,Tabla14[CAPITAL],-Tabla14[[#This Row],[CAPITAL]])),2)</f>
        <v>-63029840.130000003</v>
      </c>
    </row>
    <row r="966" spans="1:13" s="20" customFormat="1" x14ac:dyDescent="0.3">
      <c r="A966" s="26">
        <v>46190</v>
      </c>
      <c r="B966" t="s">
        <v>298</v>
      </c>
      <c r="C966" t="s">
        <v>132</v>
      </c>
      <c r="D966" s="27" t="s">
        <v>17</v>
      </c>
      <c r="E966" s="4" t="s">
        <v>136</v>
      </c>
      <c r="F966" s="4">
        <v>55942343.399999999</v>
      </c>
      <c r="G966" s="8" t="str">
        <f>+VLOOKUP(Tabla14[[#This Row],[FONDO]],MAESTRO!$D$2:$E$119,2,FALSE)</f>
        <v>Gma Capital</v>
      </c>
      <c r="H966" s="8" t="str">
        <f>+VLOOKUP(Tabla14[[#This Row],[FONDO]],MAESTRO!D:F,3,FALSE)</f>
        <v>(T+0)</v>
      </c>
      <c r="I966" s="4" t="s">
        <v>9</v>
      </c>
      <c r="J966" s="23"/>
      <c r="K966"/>
      <c r="L9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6" s="4">
        <f>ROUND(IF(Tabla14[[#This Row],[OPERACIÓN]]=MAESTRO!$B$2,Tabla14[CAPITAL],IF(Tabla14[[#This Row],[OPERACIÓN]]=MAESTRO!$B$5,Tabla14[CAPITAL],-Tabla14[[#This Row],[CAPITAL]])),2)</f>
        <v>-55942343.399999999</v>
      </c>
    </row>
    <row r="967" spans="1:13" s="20" customFormat="1" x14ac:dyDescent="0.3">
      <c r="A967" s="26">
        <v>46190</v>
      </c>
      <c r="B967" t="s">
        <v>298</v>
      </c>
      <c r="C967" t="s">
        <v>132</v>
      </c>
      <c r="D967" s="27" t="s">
        <v>17</v>
      </c>
      <c r="E967" s="4" t="s">
        <v>170</v>
      </c>
      <c r="F967" s="4">
        <v>226903966.38</v>
      </c>
      <c r="G967" s="8" t="str">
        <f>+VLOOKUP(Tabla14[[#This Row],[FONDO]],MAESTRO!$D$2:$E$119,2,FALSE)</f>
        <v>Banco Santander Rio S.A.</v>
      </c>
      <c r="H967" s="8" t="str">
        <f>+VLOOKUP(Tabla14[[#This Row],[FONDO]],MAESTRO!D:F,3,FALSE)</f>
        <v>(T+0)</v>
      </c>
      <c r="I967" s="4" t="s">
        <v>9</v>
      </c>
      <c r="J967" s="23"/>
      <c r="K967"/>
      <c r="L9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7" s="4">
        <f>ROUND(IF(Tabla14[[#This Row],[OPERACIÓN]]=MAESTRO!$B$2,Tabla14[CAPITAL],IF(Tabla14[[#This Row],[OPERACIÓN]]=MAESTRO!$B$5,Tabla14[CAPITAL],-Tabla14[[#This Row],[CAPITAL]])),2)</f>
        <v>-226903966.38</v>
      </c>
    </row>
    <row r="968" spans="1:13" s="20" customFormat="1" x14ac:dyDescent="0.3">
      <c r="A968" s="37">
        <v>46190</v>
      </c>
      <c r="B968" s="20" t="s">
        <v>298</v>
      </c>
      <c r="C968" s="20" t="s">
        <v>132</v>
      </c>
      <c r="D968" s="38" t="s">
        <v>16</v>
      </c>
      <c r="E968" s="39" t="s">
        <v>136</v>
      </c>
      <c r="F968" s="39">
        <v>204121426.59999999</v>
      </c>
      <c r="G968" s="40" t="str">
        <f>+VLOOKUP(Tabla14[[#This Row],[FONDO]],MAESTRO!$D$2:$E$119,2,FALSE)</f>
        <v>Gma Capital</v>
      </c>
      <c r="H968" s="40" t="str">
        <f>+VLOOKUP(Tabla14[[#This Row],[FONDO]],MAESTRO!D:F,3,FALSE)</f>
        <v>(T+0)</v>
      </c>
      <c r="I968" s="39" t="s">
        <v>9</v>
      </c>
      <c r="J968" s="49"/>
      <c r="L96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8" s="39">
        <f>ROUND(IF(Tabla14[[#This Row],[OPERACIÓN]]=MAESTRO!$B$2,Tabla14[CAPITAL],IF(Tabla14[[#This Row],[OPERACIÓN]]=MAESTRO!$B$5,Tabla14[CAPITAL],-Tabla14[[#This Row],[CAPITAL]])),2)</f>
        <v>204121426.59999999</v>
      </c>
    </row>
    <row r="969" spans="1:13" s="20" customFormat="1" x14ac:dyDescent="0.3">
      <c r="A969" s="37">
        <v>46190</v>
      </c>
      <c r="B969" s="20" t="s">
        <v>298</v>
      </c>
      <c r="C969" s="20" t="s">
        <v>132</v>
      </c>
      <c r="D969" s="38" t="s">
        <v>16</v>
      </c>
      <c r="E969" s="39" t="s">
        <v>169</v>
      </c>
      <c r="F969" s="39">
        <v>6585704.7300000004</v>
      </c>
      <c r="G969" s="40" t="str">
        <f>+VLOOKUP(Tabla14[[#This Row],[FONDO]],MAESTRO!$D$2:$E$119,2,FALSE)</f>
        <v>Max Capital</v>
      </c>
      <c r="H969" s="40" t="str">
        <f>+VLOOKUP(Tabla14[[#This Row],[FONDO]],MAESTRO!D:F,3,FALSE)</f>
        <v>(T+0)</v>
      </c>
      <c r="I969" s="39" t="s">
        <v>9</v>
      </c>
      <c r="J969" s="49"/>
      <c r="L96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69" s="39">
        <f>ROUND(IF(Tabla14[[#This Row],[OPERACIÓN]]=MAESTRO!$B$2,Tabla14[CAPITAL],IF(Tabla14[[#This Row],[OPERACIÓN]]=MAESTRO!$B$5,Tabla14[CAPITAL],-Tabla14[[#This Row],[CAPITAL]])),2)</f>
        <v>6585704.7300000004</v>
      </c>
    </row>
    <row r="970" spans="1:13" s="20" customFormat="1" x14ac:dyDescent="0.3">
      <c r="A970" s="37">
        <v>46190</v>
      </c>
      <c r="B970" s="20" t="s">
        <v>298</v>
      </c>
      <c r="C970" s="20" t="s">
        <v>132</v>
      </c>
      <c r="D970" s="38" t="s">
        <v>16</v>
      </c>
      <c r="E970" s="39" t="s">
        <v>180</v>
      </c>
      <c r="F970" s="39">
        <v>6658616.6399999997</v>
      </c>
      <c r="G970" s="40" t="str">
        <f>+VLOOKUP(Tabla14[[#This Row],[FONDO]],MAESTRO!$D$2:$E$119,2,FALSE)</f>
        <v>PP Inversiones</v>
      </c>
      <c r="H970" s="40" t="str">
        <f>+VLOOKUP(Tabla14[[#This Row],[FONDO]],MAESTRO!D:F,3,FALSE)</f>
        <v>(T+0)</v>
      </c>
      <c r="I970" s="39" t="s">
        <v>9</v>
      </c>
      <c r="J970" s="49"/>
      <c r="L97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0" s="39">
        <f>ROUND(IF(Tabla14[[#This Row],[OPERACIÓN]]=MAESTRO!$B$2,Tabla14[CAPITAL],IF(Tabla14[[#This Row],[OPERACIÓN]]=MAESTRO!$B$5,Tabla14[CAPITAL],-Tabla14[[#This Row],[CAPITAL]])),2)</f>
        <v>6658616.6399999997</v>
      </c>
    </row>
    <row r="971" spans="1:13" s="20" customFormat="1" x14ac:dyDescent="0.3">
      <c r="A971" s="37">
        <v>46190</v>
      </c>
      <c r="B971" s="20" t="s">
        <v>298</v>
      </c>
      <c r="C971" s="20" t="s">
        <v>132</v>
      </c>
      <c r="D971" s="38" t="s">
        <v>16</v>
      </c>
      <c r="E971" s="39" t="s">
        <v>208</v>
      </c>
      <c r="F971" s="39">
        <v>6449491.4800000004</v>
      </c>
      <c r="G971" s="40" t="str">
        <f>+VLOOKUP(Tabla14[[#This Row],[FONDO]],MAESTRO!$D$2:$E$119,2,FALSE)</f>
        <v>Facimex</v>
      </c>
      <c r="H971" s="40" t="str">
        <f>+VLOOKUP(Tabla14[[#This Row],[FONDO]],MAESTRO!D:F,3,FALSE)</f>
        <v>(T+0)</v>
      </c>
      <c r="I971" s="39" t="s">
        <v>9</v>
      </c>
      <c r="J971" s="49"/>
      <c r="L97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1" s="39">
        <f>ROUND(IF(Tabla14[[#This Row],[OPERACIÓN]]=MAESTRO!$B$2,Tabla14[CAPITAL],IF(Tabla14[[#This Row],[OPERACIÓN]]=MAESTRO!$B$5,Tabla14[CAPITAL],-Tabla14[[#This Row],[CAPITAL]])),2)</f>
        <v>6449491.4800000004</v>
      </c>
    </row>
    <row r="972" spans="1:13" s="20" customFormat="1" x14ac:dyDescent="0.3">
      <c r="A972" s="37">
        <v>46190</v>
      </c>
      <c r="B972" s="20" t="s">
        <v>298</v>
      </c>
      <c r="C972" s="20" t="s">
        <v>132</v>
      </c>
      <c r="D972" s="38" t="s">
        <v>16</v>
      </c>
      <c r="E972" s="39" t="s">
        <v>206</v>
      </c>
      <c r="F972" s="39">
        <v>318471.02</v>
      </c>
      <c r="G972" s="40" t="str">
        <f>+VLOOKUP(Tabla14[[#This Row],[FONDO]],MAESTRO!$D$2:$E$119,2,FALSE)</f>
        <v>Parakeet</v>
      </c>
      <c r="H972" s="40" t="str">
        <f>+VLOOKUP(Tabla14[[#This Row],[FONDO]],MAESTRO!D:F,3,FALSE)</f>
        <v>(T+0)</v>
      </c>
      <c r="I972" s="39" t="s">
        <v>9</v>
      </c>
      <c r="J972" s="49"/>
      <c r="L97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2" s="39">
        <f>ROUND(IF(Tabla14[[#This Row],[OPERACIÓN]]=MAESTRO!$B$2,Tabla14[CAPITAL],IF(Tabla14[[#This Row],[OPERACIÓN]]=MAESTRO!$B$5,Tabla14[CAPITAL],-Tabla14[[#This Row],[CAPITAL]])),2)</f>
        <v>318471.02</v>
      </c>
    </row>
    <row r="973" spans="1:13" s="20" customFormat="1" x14ac:dyDescent="0.3">
      <c r="A973" s="37">
        <v>46190</v>
      </c>
      <c r="B973" s="20" t="s">
        <v>298</v>
      </c>
      <c r="C973" s="20" t="s">
        <v>132</v>
      </c>
      <c r="D973" s="38" t="s">
        <v>16</v>
      </c>
      <c r="E973" s="39" t="s">
        <v>258</v>
      </c>
      <c r="F973" s="39">
        <v>2986574</v>
      </c>
      <c r="G973" s="40" t="str">
        <f>+VLOOKUP(Tabla14[[#This Row],[FONDO]],MAESTRO!$D$2:$E$119,2,FALSE)</f>
        <v>Allaria Ledesma y Cía. Inversiones</v>
      </c>
      <c r="H973" s="40" t="str">
        <f>+VLOOKUP(Tabla14[[#This Row],[FONDO]],MAESTRO!D:F,3,FALSE)</f>
        <v>(T+0)</v>
      </c>
      <c r="I973" s="39" t="s">
        <v>9</v>
      </c>
      <c r="J973" s="49"/>
      <c r="L97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3" s="39">
        <f>ROUND(IF(Tabla14[[#This Row],[OPERACIÓN]]=MAESTRO!$B$2,Tabla14[CAPITAL],IF(Tabla14[[#This Row],[OPERACIÓN]]=MAESTRO!$B$5,Tabla14[CAPITAL],-Tabla14[[#This Row],[CAPITAL]])),2)</f>
        <v>2986574</v>
      </c>
    </row>
    <row r="974" spans="1:13" x14ac:dyDescent="0.3">
      <c r="A974" s="37">
        <v>46190</v>
      </c>
      <c r="B974" s="20" t="s">
        <v>298</v>
      </c>
      <c r="C974" s="20" t="s">
        <v>132</v>
      </c>
      <c r="D974" s="38" t="s">
        <v>16</v>
      </c>
      <c r="E974" s="39" t="s">
        <v>204</v>
      </c>
      <c r="F974" s="39">
        <v>9901660.5600000005</v>
      </c>
      <c r="G974" s="40" t="str">
        <f>+VLOOKUP(Tabla14[[#This Row],[FONDO]],MAESTRO!$D$2:$E$119,2,FALSE)</f>
        <v>Latin Securities</v>
      </c>
      <c r="H974" s="40" t="str">
        <f>+VLOOKUP(Tabla14[[#This Row],[FONDO]],MAESTRO!D:F,3,FALSE)</f>
        <v>(T+0)</v>
      </c>
      <c r="I974" s="39" t="s">
        <v>9</v>
      </c>
      <c r="J974" s="49"/>
      <c r="K974" s="20"/>
      <c r="L97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4" s="39">
        <f>ROUND(IF(Tabla14[[#This Row],[OPERACIÓN]]=MAESTRO!$B$2,Tabla14[CAPITAL],IF(Tabla14[[#This Row],[OPERACIÓN]]=MAESTRO!$B$5,Tabla14[CAPITAL],-Tabla14[[#This Row],[CAPITAL]])),2)</f>
        <v>9901660.5600000005</v>
      </c>
    </row>
    <row r="975" spans="1:13" x14ac:dyDescent="0.3">
      <c r="A975" s="37">
        <v>46190</v>
      </c>
      <c r="B975" s="20" t="s">
        <v>292</v>
      </c>
      <c r="C975" s="20" t="s">
        <v>132</v>
      </c>
      <c r="D975" s="38" t="s">
        <v>16</v>
      </c>
      <c r="E975" s="39" t="s">
        <v>48</v>
      </c>
      <c r="F975" s="39">
        <v>4048034</v>
      </c>
      <c r="G975" s="40" t="str">
        <f>+VLOOKUP(Tabla14[[#This Row],[FONDO]],MAESTRO!$D$2:$E$119,2,FALSE)</f>
        <v>Banco Macro S.A.</v>
      </c>
      <c r="H975" s="40" t="str">
        <f>+VLOOKUP(Tabla14[[#This Row],[FONDO]],MAESTRO!D:F,3,FALSE)</f>
        <v>(T+0)</v>
      </c>
      <c r="I975" s="39" t="s">
        <v>9</v>
      </c>
      <c r="J975" s="49"/>
      <c r="K975" s="20"/>
      <c r="L97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5" s="39">
        <f>ROUND(IF(Tabla14[[#This Row],[OPERACIÓN]]=MAESTRO!$B$2,Tabla14[CAPITAL],IF(Tabla14[[#This Row],[OPERACIÓN]]=MAESTRO!$B$5,Tabla14[CAPITAL],-Tabla14[[#This Row],[CAPITAL]])),2)</f>
        <v>4048034</v>
      </c>
    </row>
    <row r="976" spans="1:13" s="20" customFormat="1" x14ac:dyDescent="0.3">
      <c r="A976" s="37">
        <v>46190</v>
      </c>
      <c r="B976" s="20" t="s">
        <v>292</v>
      </c>
      <c r="C976" s="20" t="s">
        <v>132</v>
      </c>
      <c r="D976" s="38" t="s">
        <v>16</v>
      </c>
      <c r="E976" s="39" t="s">
        <v>169</v>
      </c>
      <c r="F976" s="39">
        <v>4605343.97</v>
      </c>
      <c r="G976" s="40" t="str">
        <f>+VLOOKUP(Tabla14[[#This Row],[FONDO]],MAESTRO!$D$2:$E$119,2,FALSE)</f>
        <v>Max Capital</v>
      </c>
      <c r="H976" s="40" t="str">
        <f>+VLOOKUP(Tabla14[[#This Row],[FONDO]],MAESTRO!D:F,3,FALSE)</f>
        <v>(T+0)</v>
      </c>
      <c r="I976" s="39" t="s">
        <v>9</v>
      </c>
      <c r="J976" s="49"/>
      <c r="L97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6" s="39">
        <f>ROUND(IF(Tabla14[[#This Row],[OPERACIÓN]]=MAESTRO!$B$2,Tabla14[CAPITAL],IF(Tabla14[[#This Row],[OPERACIÓN]]=MAESTRO!$B$5,Tabla14[CAPITAL],-Tabla14[[#This Row],[CAPITAL]])),2)</f>
        <v>4605343.97</v>
      </c>
    </row>
    <row r="977" spans="1:13" s="20" customFormat="1" x14ac:dyDescent="0.3">
      <c r="A977" s="37">
        <v>46190</v>
      </c>
      <c r="B977" s="20" t="s">
        <v>292</v>
      </c>
      <c r="C977" s="20" t="s">
        <v>132</v>
      </c>
      <c r="D977" s="38" t="s">
        <v>16</v>
      </c>
      <c r="E977" s="39" t="s">
        <v>136</v>
      </c>
      <c r="F977" s="39">
        <v>2253773.64</v>
      </c>
      <c r="G977" s="40" t="str">
        <f>+VLOOKUP(Tabla14[[#This Row],[FONDO]],MAESTRO!$D$2:$E$119,2,FALSE)</f>
        <v>Gma Capital</v>
      </c>
      <c r="H977" s="40" t="str">
        <f>+VLOOKUP(Tabla14[[#This Row],[FONDO]],MAESTRO!D:F,3,FALSE)</f>
        <v>(T+0)</v>
      </c>
      <c r="I977" s="39" t="s">
        <v>9</v>
      </c>
      <c r="J977" s="49"/>
      <c r="L97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7" s="39">
        <f>ROUND(IF(Tabla14[[#This Row],[OPERACIÓN]]=MAESTRO!$B$2,Tabla14[CAPITAL],IF(Tabla14[[#This Row],[OPERACIÓN]]=MAESTRO!$B$5,Tabla14[CAPITAL],-Tabla14[[#This Row],[CAPITAL]])),2)</f>
        <v>2253773.64</v>
      </c>
    </row>
    <row r="978" spans="1:13" s="20" customFormat="1" x14ac:dyDescent="0.3">
      <c r="A978" s="37">
        <v>46190</v>
      </c>
      <c r="B978" s="20" t="s">
        <v>299</v>
      </c>
      <c r="C978" s="20" t="s">
        <v>132</v>
      </c>
      <c r="D978" s="38" t="s">
        <v>16</v>
      </c>
      <c r="E978" s="39" t="s">
        <v>136</v>
      </c>
      <c r="F978" s="39">
        <v>5069581.72</v>
      </c>
      <c r="G978" s="40" t="str">
        <f>+VLOOKUP(Tabla14[[#This Row],[FONDO]],MAESTRO!$D$2:$E$119,2,FALSE)</f>
        <v>Gma Capital</v>
      </c>
      <c r="H978" s="40" t="str">
        <f>+VLOOKUP(Tabla14[[#This Row],[FONDO]],MAESTRO!D:F,3,FALSE)</f>
        <v>(T+0)</v>
      </c>
      <c r="I978" s="39" t="s">
        <v>9</v>
      </c>
      <c r="J978" s="49"/>
      <c r="L97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8" s="39">
        <f>ROUND(IF(Tabla14[[#This Row],[OPERACIÓN]]=MAESTRO!$B$2,Tabla14[CAPITAL],IF(Tabla14[[#This Row],[OPERACIÓN]]=MAESTRO!$B$5,Tabla14[CAPITAL],-Tabla14[[#This Row],[CAPITAL]])),2)</f>
        <v>5069581.72</v>
      </c>
    </row>
    <row r="979" spans="1:13" s="20" customFormat="1" x14ac:dyDescent="0.3">
      <c r="A979" s="37">
        <v>46190</v>
      </c>
      <c r="B979" s="20" t="s">
        <v>299</v>
      </c>
      <c r="C979" s="20" t="s">
        <v>132</v>
      </c>
      <c r="D979" s="38" t="s">
        <v>16</v>
      </c>
      <c r="E979" s="39" t="s">
        <v>169</v>
      </c>
      <c r="F979" s="39">
        <v>11464330.050000001</v>
      </c>
      <c r="G979" s="40" t="str">
        <f>+VLOOKUP(Tabla14[[#This Row],[FONDO]],MAESTRO!$D$2:$E$119,2,FALSE)</f>
        <v>Max Capital</v>
      </c>
      <c r="H979" s="40" t="str">
        <f>+VLOOKUP(Tabla14[[#This Row],[FONDO]],MAESTRO!D:F,3,FALSE)</f>
        <v>(T+0)</v>
      </c>
      <c r="I979" s="39" t="s">
        <v>9</v>
      </c>
      <c r="J979" s="49"/>
      <c r="L97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79" s="39">
        <f>ROUND(IF(Tabla14[[#This Row],[OPERACIÓN]]=MAESTRO!$B$2,Tabla14[CAPITAL],IF(Tabla14[[#This Row],[OPERACIÓN]]=MAESTRO!$B$5,Tabla14[CAPITAL],-Tabla14[[#This Row],[CAPITAL]])),2)</f>
        <v>11464330.050000001</v>
      </c>
    </row>
    <row r="980" spans="1:13" s="20" customFormat="1" x14ac:dyDescent="0.3">
      <c r="A980" s="37">
        <v>46190</v>
      </c>
      <c r="B980" s="20" t="s">
        <v>299</v>
      </c>
      <c r="C980" s="20" t="s">
        <v>132</v>
      </c>
      <c r="D980" s="38" t="s">
        <v>16</v>
      </c>
      <c r="E980" s="39" t="s">
        <v>204</v>
      </c>
      <c r="F980" s="39">
        <v>2509029.35</v>
      </c>
      <c r="G980" s="40" t="str">
        <f>+VLOOKUP(Tabla14[[#This Row],[FONDO]],MAESTRO!$D$2:$E$119,2,FALSE)</f>
        <v>Latin Securities</v>
      </c>
      <c r="H980" s="40" t="str">
        <f>+VLOOKUP(Tabla14[[#This Row],[FONDO]],MAESTRO!D:F,3,FALSE)</f>
        <v>(T+0)</v>
      </c>
      <c r="I980" s="39" t="s">
        <v>9</v>
      </c>
      <c r="J980" s="49"/>
      <c r="L98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0" s="39">
        <f>ROUND(IF(Tabla14[[#This Row],[OPERACIÓN]]=MAESTRO!$B$2,Tabla14[CAPITAL],IF(Tabla14[[#This Row],[OPERACIÓN]]=MAESTRO!$B$5,Tabla14[CAPITAL],-Tabla14[[#This Row],[CAPITAL]])),2)</f>
        <v>2509029.35</v>
      </c>
    </row>
    <row r="981" spans="1:13" s="20" customFormat="1" x14ac:dyDescent="0.3">
      <c r="A981" s="37">
        <v>46190</v>
      </c>
      <c r="B981" s="20" t="s">
        <v>299</v>
      </c>
      <c r="C981" s="20" t="s">
        <v>132</v>
      </c>
      <c r="D981" s="38" t="s">
        <v>16</v>
      </c>
      <c r="E981" s="39" t="s">
        <v>40</v>
      </c>
      <c r="F981" s="39">
        <v>961910.18</v>
      </c>
      <c r="G981" s="40" t="str">
        <f>+VLOOKUP(Tabla14[[#This Row],[FONDO]],MAESTRO!$D$2:$E$119,2,FALSE)</f>
        <v>BBVA Banco Frances SA</v>
      </c>
      <c r="H981" s="40" t="str">
        <f>+VLOOKUP(Tabla14[[#This Row],[FONDO]],MAESTRO!D:F,3,FALSE)</f>
        <v>(T+0)</v>
      </c>
      <c r="I981" s="39" t="s">
        <v>9</v>
      </c>
      <c r="J981" s="49"/>
      <c r="L98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1" s="39">
        <f>ROUND(IF(Tabla14[[#This Row],[OPERACIÓN]]=MAESTRO!$B$2,Tabla14[CAPITAL],IF(Tabla14[[#This Row],[OPERACIÓN]]=MAESTRO!$B$5,Tabla14[CAPITAL],-Tabla14[[#This Row],[CAPITAL]])),2)</f>
        <v>961910.18</v>
      </c>
    </row>
    <row r="982" spans="1:13" x14ac:dyDescent="0.3">
      <c r="A982" s="37">
        <v>46190</v>
      </c>
      <c r="B982" s="20" t="s">
        <v>299</v>
      </c>
      <c r="C982" s="20" t="s">
        <v>132</v>
      </c>
      <c r="D982" s="38" t="s">
        <v>16</v>
      </c>
      <c r="E982" s="39" t="s">
        <v>48</v>
      </c>
      <c r="F982" s="39">
        <v>1895550</v>
      </c>
      <c r="G982" s="40" t="str">
        <f>+VLOOKUP(Tabla14[[#This Row],[FONDO]],MAESTRO!$D$2:$E$119,2,FALSE)</f>
        <v>Banco Macro S.A.</v>
      </c>
      <c r="H982" s="40" t="str">
        <f>+VLOOKUP(Tabla14[[#This Row],[FONDO]],MAESTRO!D:F,3,FALSE)</f>
        <v>(T+0)</v>
      </c>
      <c r="I982" s="39" t="s">
        <v>9</v>
      </c>
      <c r="J982" s="49"/>
      <c r="K982" s="20"/>
      <c r="L98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2" s="39">
        <f>ROUND(IF(Tabla14[[#This Row],[OPERACIÓN]]=MAESTRO!$B$2,Tabla14[CAPITAL],IF(Tabla14[[#This Row],[OPERACIÓN]]=MAESTRO!$B$5,Tabla14[CAPITAL],-Tabla14[[#This Row],[CAPITAL]])),2)</f>
        <v>1895550</v>
      </c>
    </row>
    <row r="983" spans="1:13" x14ac:dyDescent="0.3">
      <c r="A983" s="37">
        <v>46190</v>
      </c>
      <c r="B983" s="20" t="s">
        <v>126</v>
      </c>
      <c r="C983" s="20" t="s">
        <v>132</v>
      </c>
      <c r="D983" s="38" t="s">
        <v>16</v>
      </c>
      <c r="E983" s="39" t="s">
        <v>48</v>
      </c>
      <c r="F983" s="39">
        <v>4736896</v>
      </c>
      <c r="G983" s="40" t="str">
        <f>+VLOOKUP(Tabla14[[#This Row],[FONDO]],MAESTRO!$D$2:$E$119,2,FALSE)</f>
        <v>Banco Macro S.A.</v>
      </c>
      <c r="H983" s="40" t="str">
        <f>+VLOOKUP(Tabla14[[#This Row],[FONDO]],MAESTRO!D:F,3,FALSE)</f>
        <v>(T+0)</v>
      </c>
      <c r="I983" s="39" t="s">
        <v>9</v>
      </c>
      <c r="J983" s="49"/>
      <c r="K983" s="20"/>
      <c r="L98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3" s="39">
        <f>ROUND(IF(Tabla14[[#This Row],[OPERACIÓN]]=MAESTRO!$B$2,Tabla14[CAPITAL],IF(Tabla14[[#This Row],[OPERACIÓN]]=MAESTRO!$B$5,Tabla14[CAPITAL],-Tabla14[[#This Row],[CAPITAL]])),2)</f>
        <v>4736896</v>
      </c>
    </row>
    <row r="984" spans="1:13" x14ac:dyDescent="0.3">
      <c r="A984" s="26">
        <v>46191</v>
      </c>
      <c r="B984" t="s">
        <v>298</v>
      </c>
      <c r="C984" t="s">
        <v>132</v>
      </c>
      <c r="D984" s="27" t="s">
        <v>17</v>
      </c>
      <c r="E984" s="4" t="s">
        <v>170</v>
      </c>
      <c r="F984" s="4">
        <v>91057213.989999995</v>
      </c>
      <c r="G984" s="102" t="str">
        <f>+VLOOKUP(Tabla14[[#This Row],[FONDO]],MAESTRO!$D$2:$E$119,2,FALSE)</f>
        <v>Banco Santander Rio S.A.</v>
      </c>
      <c r="H984" s="8" t="str">
        <f>+VLOOKUP(Tabla14[[#This Row],[FONDO]],MAESTRO!D:F,3,FALSE)</f>
        <v>(T+0)</v>
      </c>
      <c r="I984" s="4" t="s">
        <v>9</v>
      </c>
      <c r="L9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4" s="4">
        <f>ROUND(IF(Tabla14[[#This Row],[OPERACIÓN]]=MAESTRO!$B$2,Tabla14[CAPITAL],IF(Tabla14[[#This Row],[OPERACIÓN]]=MAESTRO!$B$5,Tabla14[CAPITAL],-Tabla14[[#This Row],[CAPITAL]])),2)</f>
        <v>-91057213.989999995</v>
      </c>
    </row>
    <row r="985" spans="1:13" x14ac:dyDescent="0.3">
      <c r="A985" s="26">
        <v>46191</v>
      </c>
      <c r="B985" t="s">
        <v>299</v>
      </c>
      <c r="C985" t="s">
        <v>132</v>
      </c>
      <c r="D985" s="27" t="s">
        <v>17</v>
      </c>
      <c r="E985" s="4" t="s">
        <v>204</v>
      </c>
      <c r="F985" s="4">
        <v>92505941.689999998</v>
      </c>
      <c r="G985" s="102" t="str">
        <f>+VLOOKUP(Tabla14[[#This Row],[FONDO]],MAESTRO!$D$2:$E$119,2,FALSE)</f>
        <v>Latin Securities</v>
      </c>
      <c r="H985" s="8" t="str">
        <f>+VLOOKUP(Tabla14[[#This Row],[FONDO]],MAESTRO!D:F,3,FALSE)</f>
        <v>(T+0)</v>
      </c>
      <c r="I985" s="4" t="s">
        <v>9</v>
      </c>
      <c r="L9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5" s="4">
        <f>ROUND(IF(Tabla14[[#This Row],[OPERACIÓN]]=MAESTRO!$B$2,Tabla14[CAPITAL],IF(Tabla14[[#This Row],[OPERACIÓN]]=MAESTRO!$B$5,Tabla14[CAPITAL],-Tabla14[[#This Row],[CAPITAL]])),2)</f>
        <v>-92505941.689999998</v>
      </c>
    </row>
    <row r="986" spans="1:13" x14ac:dyDescent="0.3">
      <c r="A986" s="26">
        <v>46191</v>
      </c>
      <c r="B986" t="s">
        <v>292</v>
      </c>
      <c r="C986" t="s">
        <v>132</v>
      </c>
      <c r="D986" s="38" t="s">
        <v>16</v>
      </c>
      <c r="E986" s="39" t="s">
        <v>170</v>
      </c>
      <c r="F986" s="39">
        <v>55470277.479999997</v>
      </c>
      <c r="G986" s="102" t="str">
        <f>+VLOOKUP(Tabla14[[#This Row],[FONDO]],MAESTRO!$D$2:$E$119,2,FALSE)</f>
        <v>Banco Santander Rio S.A.</v>
      </c>
      <c r="H986" s="8" t="str">
        <f>+VLOOKUP(Tabla14[[#This Row],[FONDO]],MAESTRO!D:F,3,FALSE)</f>
        <v>(T+0)</v>
      </c>
      <c r="I986" s="4" t="s">
        <v>9</v>
      </c>
      <c r="L9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6" s="4">
        <f>ROUND(IF(Tabla14[[#This Row],[OPERACIÓN]]=MAESTRO!$B$2,Tabla14[CAPITAL],IF(Tabla14[[#This Row],[OPERACIÓN]]=MAESTRO!$B$5,Tabla14[CAPITAL],-Tabla14[[#This Row],[CAPITAL]])),2)</f>
        <v>55470277.479999997</v>
      </c>
    </row>
    <row r="987" spans="1:13" x14ac:dyDescent="0.3">
      <c r="A987" s="26">
        <v>46191</v>
      </c>
      <c r="B987" t="s">
        <v>292</v>
      </c>
      <c r="C987" t="s">
        <v>132</v>
      </c>
      <c r="D987" s="27" t="s">
        <v>17</v>
      </c>
      <c r="E987" s="4" t="s">
        <v>48</v>
      </c>
      <c r="F987" s="4">
        <v>120200000</v>
      </c>
      <c r="G987" s="102" t="str">
        <f>+VLOOKUP(Tabla14[[#This Row],[FONDO]],MAESTRO!$D$2:$E$119,2,FALSE)</f>
        <v>Banco Macro S.A.</v>
      </c>
      <c r="H987" s="8" t="str">
        <f>+VLOOKUP(Tabla14[[#This Row],[FONDO]],MAESTRO!D:F,3,FALSE)</f>
        <v>(T+0)</v>
      </c>
      <c r="I987" s="4" t="s">
        <v>9</v>
      </c>
      <c r="L9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7" s="4">
        <f>ROUND(IF(Tabla14[[#This Row],[OPERACIÓN]]=MAESTRO!$B$2,Tabla14[CAPITAL],IF(Tabla14[[#This Row],[OPERACIÓN]]=MAESTRO!$B$5,Tabla14[CAPITAL],-Tabla14[[#This Row],[CAPITAL]])),2)</f>
        <v>-120200000</v>
      </c>
    </row>
    <row r="988" spans="1:13" x14ac:dyDescent="0.3">
      <c r="A988" s="26">
        <v>46191</v>
      </c>
      <c r="B988" t="s">
        <v>126</v>
      </c>
      <c r="C988" t="s">
        <v>132</v>
      </c>
      <c r="D988" s="27" t="s">
        <v>17</v>
      </c>
      <c r="E988" s="4" t="s">
        <v>48</v>
      </c>
      <c r="F988" s="4">
        <v>19300000</v>
      </c>
      <c r="G988" s="102" t="str">
        <f>+VLOOKUP(Tabla14[[#This Row],[FONDO]],MAESTRO!$D$2:$E$119,2,FALSE)</f>
        <v>Banco Macro S.A.</v>
      </c>
      <c r="H988" s="8" t="str">
        <f>+VLOOKUP(Tabla14[[#This Row],[FONDO]],MAESTRO!D:F,3,FALSE)</f>
        <v>(T+0)</v>
      </c>
      <c r="I988" s="4" t="s">
        <v>9</v>
      </c>
      <c r="L9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8" s="4">
        <f>ROUND(IF(Tabla14[[#This Row],[OPERACIÓN]]=MAESTRO!$B$2,Tabla14[CAPITAL],IF(Tabla14[[#This Row],[OPERACIÓN]]=MAESTRO!$B$5,Tabla14[CAPITAL],-Tabla14[[#This Row],[CAPITAL]])),2)</f>
        <v>-19300000</v>
      </c>
    </row>
    <row r="989" spans="1:13" x14ac:dyDescent="0.3">
      <c r="A989" s="26">
        <v>46191</v>
      </c>
      <c r="B989" t="s">
        <v>298</v>
      </c>
      <c r="C989" t="s">
        <v>132</v>
      </c>
      <c r="D989" s="27" t="s">
        <v>17</v>
      </c>
      <c r="E989" s="4" t="s">
        <v>40</v>
      </c>
      <c r="F989" s="4">
        <v>1643700000</v>
      </c>
      <c r="G989" s="102" t="str">
        <f>+VLOOKUP(Tabla14[[#This Row],[FONDO]],MAESTRO!$D$2:$E$119,2,FALSE)</f>
        <v>BBVA Banco Frances SA</v>
      </c>
      <c r="H989" s="8" t="str">
        <f>+VLOOKUP(Tabla14[[#This Row],[FONDO]],MAESTRO!D:F,3,FALSE)</f>
        <v>(T+0)</v>
      </c>
      <c r="I989" s="4" t="s">
        <v>9</v>
      </c>
      <c r="L9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89" s="4">
        <f>ROUND(IF(Tabla14[[#This Row],[OPERACIÓN]]=MAESTRO!$B$2,Tabla14[CAPITAL],IF(Tabla14[[#This Row],[OPERACIÓN]]=MAESTRO!$B$5,Tabla14[CAPITAL],-Tabla14[[#This Row],[CAPITAL]])),2)</f>
        <v>-1643700000</v>
      </c>
    </row>
    <row r="990" spans="1:13" x14ac:dyDescent="0.3">
      <c r="A990" s="26">
        <v>46191</v>
      </c>
      <c r="B990" t="s">
        <v>299</v>
      </c>
      <c r="C990" t="s">
        <v>132</v>
      </c>
      <c r="D990" s="27" t="s">
        <v>16</v>
      </c>
      <c r="E990" s="4" t="s">
        <v>40</v>
      </c>
      <c r="F990" s="4">
        <v>2802900000</v>
      </c>
      <c r="G990" s="102" t="str">
        <f>+VLOOKUP(Tabla14[[#This Row],[FONDO]],MAESTRO!$D$2:$E$119,2,FALSE)</f>
        <v>BBVA Banco Frances SA</v>
      </c>
      <c r="H990" s="8" t="str">
        <f>+VLOOKUP(Tabla14[[#This Row],[FONDO]],MAESTRO!D:F,3,FALSE)</f>
        <v>(T+0)</v>
      </c>
      <c r="I990" s="4" t="s">
        <v>9</v>
      </c>
      <c r="L9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0" s="4">
        <f>ROUND(IF(Tabla14[[#This Row],[OPERACIÓN]]=MAESTRO!$B$2,Tabla14[CAPITAL],IF(Tabla14[[#This Row],[OPERACIÓN]]=MAESTRO!$B$5,Tabla14[CAPITAL],-Tabla14[[#This Row],[CAPITAL]])),2)</f>
        <v>2802900000</v>
      </c>
    </row>
    <row r="991" spans="1:13" x14ac:dyDescent="0.3">
      <c r="A991" s="26">
        <v>46192</v>
      </c>
      <c r="B991" t="s">
        <v>126</v>
      </c>
      <c r="C991" t="s">
        <v>132</v>
      </c>
      <c r="D991" s="27" t="s">
        <v>17</v>
      </c>
      <c r="E991" s="4" t="s">
        <v>48</v>
      </c>
      <c r="F991" s="4">
        <v>18500000</v>
      </c>
      <c r="G991" s="8" t="str">
        <f>+VLOOKUP(Tabla14[[#This Row],[FONDO]],MAESTRO!$D$2:$E$119,2,FALSE)</f>
        <v>Banco Macro S.A.</v>
      </c>
      <c r="H991" s="8" t="str">
        <f>+VLOOKUP(Tabla14[[#This Row],[FONDO]],MAESTRO!D:F,3,FALSE)</f>
        <v>(T+0)</v>
      </c>
      <c r="I991" s="4" t="s">
        <v>9</v>
      </c>
      <c r="L9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1" s="4">
        <f>ROUND(IF(Tabla14[[#This Row],[OPERACIÓN]]=MAESTRO!$B$2,Tabla14[CAPITAL],IF(Tabla14[[#This Row],[OPERACIÓN]]=MAESTRO!$B$5,Tabla14[CAPITAL],-Tabla14[[#This Row],[CAPITAL]])),2)</f>
        <v>-18500000</v>
      </c>
    </row>
    <row r="992" spans="1:13" x14ac:dyDescent="0.3">
      <c r="A992" s="26">
        <v>46192</v>
      </c>
      <c r="B992" t="s">
        <v>292</v>
      </c>
      <c r="C992" t="s">
        <v>132</v>
      </c>
      <c r="D992" s="27" t="s">
        <v>17</v>
      </c>
      <c r="E992" s="4" t="s">
        <v>40</v>
      </c>
      <c r="F992" s="4">
        <v>150000000</v>
      </c>
      <c r="G992" s="8" t="str">
        <f>+VLOOKUP(Tabla14[[#This Row],[FONDO]],MAESTRO!$D$2:$E$119,2,FALSE)</f>
        <v>BBVA Banco Frances SA</v>
      </c>
      <c r="H992" s="8" t="str">
        <f>+VLOOKUP(Tabla14[[#This Row],[FONDO]],MAESTRO!D:F,3,FALSE)</f>
        <v>(T+0)</v>
      </c>
      <c r="I992" s="4" t="s">
        <v>9</v>
      </c>
      <c r="L9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2" s="4">
        <f>ROUND(IF(Tabla14[[#This Row],[OPERACIÓN]]=MAESTRO!$B$2,Tabla14[CAPITAL],IF(Tabla14[[#This Row],[OPERACIÓN]]=MAESTRO!$B$5,Tabla14[CAPITAL],-Tabla14[[#This Row],[CAPITAL]])),2)</f>
        <v>-150000000</v>
      </c>
    </row>
    <row r="993" spans="1:13" x14ac:dyDescent="0.3">
      <c r="A993" s="26">
        <v>46192</v>
      </c>
      <c r="B993" t="s">
        <v>292</v>
      </c>
      <c r="C993" t="s">
        <v>132</v>
      </c>
      <c r="D993" s="27" t="s">
        <v>17</v>
      </c>
      <c r="E993" s="4" t="s">
        <v>48</v>
      </c>
      <c r="F993" s="4">
        <v>197300000</v>
      </c>
      <c r="G993" s="8" t="str">
        <f>+VLOOKUP(Tabla14[[#This Row],[FONDO]],MAESTRO!$D$2:$E$119,2,FALSE)</f>
        <v>Banco Macro S.A.</v>
      </c>
      <c r="H993" s="8" t="str">
        <f>+VLOOKUP(Tabla14[[#This Row],[FONDO]],MAESTRO!D:F,3,FALSE)</f>
        <v>(T+0)</v>
      </c>
      <c r="I993" s="4" t="s">
        <v>9</v>
      </c>
      <c r="L9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3" s="4">
        <f>ROUND(IF(Tabla14[[#This Row],[OPERACIÓN]]=MAESTRO!$B$2,Tabla14[CAPITAL],IF(Tabla14[[#This Row],[OPERACIÓN]]=MAESTRO!$B$5,Tabla14[CAPITAL],-Tabla14[[#This Row],[CAPITAL]])),2)</f>
        <v>-197300000</v>
      </c>
    </row>
    <row r="994" spans="1:13" x14ac:dyDescent="0.3">
      <c r="A994" s="26">
        <v>46192</v>
      </c>
      <c r="B994" t="s">
        <v>299</v>
      </c>
      <c r="C994" t="s">
        <v>132</v>
      </c>
      <c r="D994" s="27" t="s">
        <v>17</v>
      </c>
      <c r="E994" s="4" t="s">
        <v>40</v>
      </c>
      <c r="F994" s="4">
        <v>87100000</v>
      </c>
      <c r="G994" s="8" t="str">
        <f>+VLOOKUP(Tabla14[[#This Row],[FONDO]],MAESTRO!$D$2:$E$119,2,FALSE)</f>
        <v>BBVA Banco Frances SA</v>
      </c>
      <c r="H994" s="8" t="str">
        <f>+VLOOKUP(Tabla14[[#This Row],[FONDO]],MAESTRO!D:F,3,FALSE)</f>
        <v>(T+0)</v>
      </c>
      <c r="I994" s="4" t="s">
        <v>9</v>
      </c>
      <c r="L9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4" s="4">
        <f>ROUND(IF(Tabla14[[#This Row],[OPERACIÓN]]=MAESTRO!$B$2,Tabla14[CAPITAL],IF(Tabla14[[#This Row],[OPERACIÓN]]=MAESTRO!$B$5,Tabla14[CAPITAL],-Tabla14[[#This Row],[CAPITAL]])),2)</f>
        <v>-87100000</v>
      </c>
    </row>
    <row r="995" spans="1:13" x14ac:dyDescent="0.3">
      <c r="A995" s="26">
        <v>46192</v>
      </c>
      <c r="B995" t="s">
        <v>298</v>
      </c>
      <c r="C995" t="s">
        <v>132</v>
      </c>
      <c r="D995" s="27" t="s">
        <v>17</v>
      </c>
      <c r="E995" s="4" t="s">
        <v>40</v>
      </c>
      <c r="F995" s="4">
        <v>1408400000</v>
      </c>
      <c r="G995" s="8" t="str">
        <f>+VLOOKUP(Tabla14[[#This Row],[FONDO]],MAESTRO!$D$2:$E$119,2,FALSE)</f>
        <v>BBVA Banco Frances SA</v>
      </c>
      <c r="H995" s="8" t="str">
        <f>+VLOOKUP(Tabla14[[#This Row],[FONDO]],MAESTRO!D:F,3,FALSE)</f>
        <v>(T+0)</v>
      </c>
      <c r="I995" s="4" t="s">
        <v>9</v>
      </c>
      <c r="L9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5" s="4">
        <f>ROUND(IF(Tabla14[[#This Row],[OPERACIÓN]]=MAESTRO!$B$2,Tabla14[CAPITAL],IF(Tabla14[[#This Row],[OPERACIÓN]]=MAESTRO!$B$5,Tabla14[CAPITAL],-Tabla14[[#This Row],[CAPITAL]])),2)</f>
        <v>-1408400000</v>
      </c>
    </row>
    <row r="996" spans="1:13" x14ac:dyDescent="0.3">
      <c r="A996" s="26">
        <v>46192</v>
      </c>
      <c r="B996" t="s">
        <v>292</v>
      </c>
      <c r="C996" t="s">
        <v>132</v>
      </c>
      <c r="D996" s="27" t="s">
        <v>17</v>
      </c>
      <c r="E996" s="4" t="s">
        <v>48</v>
      </c>
      <c r="F996" s="4">
        <v>21000000</v>
      </c>
      <c r="G996" s="8" t="str">
        <f>+VLOOKUP(Tabla14[[#This Row],[FONDO]],MAESTRO!$D$2:$E$119,2,FALSE)</f>
        <v>Banco Macro S.A.</v>
      </c>
      <c r="H996" s="8" t="str">
        <f>+VLOOKUP(Tabla14[[#This Row],[FONDO]],MAESTRO!D:F,3,FALSE)</f>
        <v>(T+0)</v>
      </c>
      <c r="I996" s="4" t="s">
        <v>9</v>
      </c>
      <c r="L9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6" s="4">
        <f>ROUND(IF(Tabla14[[#This Row],[OPERACIÓN]]=MAESTRO!$B$2,Tabla14[CAPITAL],IF(Tabla14[[#This Row],[OPERACIÓN]]=MAESTRO!$B$5,Tabla14[CAPITAL],-Tabla14[[#This Row],[CAPITAL]])),2)</f>
        <v>-21000000</v>
      </c>
    </row>
    <row r="997" spans="1:13" x14ac:dyDescent="0.3">
      <c r="A997" s="26">
        <v>46195</v>
      </c>
      <c r="B997" t="s">
        <v>126</v>
      </c>
      <c r="C997" t="s">
        <v>132</v>
      </c>
      <c r="D997" s="27" t="s">
        <v>17</v>
      </c>
      <c r="E997" s="4" t="s">
        <v>48</v>
      </c>
      <c r="F997" s="4">
        <v>15800000</v>
      </c>
      <c r="G997" s="103" t="str">
        <f>+VLOOKUP(Tabla14[[#This Row],[FONDO]],MAESTRO!$D$2:$E$119,2,FALSE)</f>
        <v>Banco Macro S.A.</v>
      </c>
      <c r="H997" s="8" t="str">
        <f>+VLOOKUP(Tabla14[[#This Row],[FONDO]],MAESTRO!D:F,3,FALSE)</f>
        <v>(T+0)</v>
      </c>
      <c r="I997" s="4" t="s">
        <v>9</v>
      </c>
      <c r="L9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7" s="4">
        <f>ROUND(IF(Tabla14[[#This Row],[OPERACIÓN]]=MAESTRO!$B$2,Tabla14[CAPITAL],IF(Tabla14[[#This Row],[OPERACIÓN]]=MAESTRO!$B$5,Tabla14[CAPITAL],-Tabla14[[#This Row],[CAPITAL]])),2)</f>
        <v>-15800000</v>
      </c>
    </row>
    <row r="998" spans="1:13" x14ac:dyDescent="0.3">
      <c r="A998" s="26">
        <v>46195</v>
      </c>
      <c r="B998" t="s">
        <v>299</v>
      </c>
      <c r="C998" t="s">
        <v>132</v>
      </c>
      <c r="D998" s="27" t="s">
        <v>17</v>
      </c>
      <c r="E998" s="4" t="s">
        <v>48</v>
      </c>
      <c r="F998" s="4">
        <v>67300000</v>
      </c>
      <c r="G998" s="103" t="str">
        <f>+VLOOKUP(Tabla14[[#This Row],[FONDO]],MAESTRO!$D$2:$E$119,2,FALSE)</f>
        <v>Banco Macro S.A.</v>
      </c>
      <c r="H998" s="8" t="str">
        <f>+VLOOKUP(Tabla14[[#This Row],[FONDO]],MAESTRO!D:F,3,FALSE)</f>
        <v>(T+0)</v>
      </c>
      <c r="I998" s="4" t="s">
        <v>9</v>
      </c>
      <c r="L9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8" s="4">
        <f>ROUND(IF(Tabla14[[#This Row],[OPERACIÓN]]=MAESTRO!$B$2,Tabla14[CAPITAL],IF(Tabla14[[#This Row],[OPERACIÓN]]=MAESTRO!$B$5,Tabla14[CAPITAL],-Tabla14[[#This Row],[CAPITAL]])),2)</f>
        <v>-67300000</v>
      </c>
    </row>
    <row r="999" spans="1:13" x14ac:dyDescent="0.3">
      <c r="A999" s="26">
        <v>46195</v>
      </c>
      <c r="B999" t="s">
        <v>298</v>
      </c>
      <c r="C999" t="s">
        <v>132</v>
      </c>
      <c r="D999" s="27" t="s">
        <v>17</v>
      </c>
      <c r="E999" s="4" t="s">
        <v>40</v>
      </c>
      <c r="F999" s="4">
        <v>304100000</v>
      </c>
      <c r="G999" s="103" t="str">
        <f>+VLOOKUP(Tabla14[[#This Row],[FONDO]],MAESTRO!$D$2:$E$119,2,FALSE)</f>
        <v>BBVA Banco Frances SA</v>
      </c>
      <c r="H999" s="8" t="str">
        <f>+VLOOKUP(Tabla14[[#This Row],[FONDO]],MAESTRO!D:F,3,FALSE)</f>
        <v>(T+0)</v>
      </c>
      <c r="I999" s="4" t="s">
        <v>9</v>
      </c>
      <c r="L9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999" s="4">
        <f>ROUND(IF(Tabla14[[#This Row],[OPERACIÓN]]=MAESTRO!$B$2,Tabla14[CAPITAL],IF(Tabla14[[#This Row],[OPERACIÓN]]=MAESTRO!$B$5,Tabla14[CAPITAL],-Tabla14[[#This Row],[CAPITAL]])),2)</f>
        <v>-304100000</v>
      </c>
    </row>
    <row r="1000" spans="1:13" x14ac:dyDescent="0.3">
      <c r="A1000" s="26">
        <v>46195</v>
      </c>
      <c r="B1000" t="s">
        <v>292</v>
      </c>
      <c r="C1000" t="s">
        <v>132</v>
      </c>
      <c r="D1000" s="27" t="s">
        <v>16</v>
      </c>
      <c r="E1000" s="4" t="s">
        <v>48</v>
      </c>
      <c r="F1000" s="4">
        <v>14100000</v>
      </c>
      <c r="G1000" s="103" t="str">
        <f>+VLOOKUP(Tabla14[[#This Row],[FONDO]],MAESTRO!$D$2:$E$119,2,FALSE)</f>
        <v>Banco Macro S.A.</v>
      </c>
      <c r="H1000" s="8" t="str">
        <f>+VLOOKUP(Tabla14[[#This Row],[FONDO]],MAESTRO!D:F,3,FALSE)</f>
        <v>(T+0)</v>
      </c>
      <c r="I1000" s="4" t="s">
        <v>9</v>
      </c>
      <c r="L10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0" s="4">
        <f>ROUND(IF(Tabla14[[#This Row],[OPERACIÓN]]=MAESTRO!$B$2,Tabla14[CAPITAL],IF(Tabla14[[#This Row],[OPERACIÓN]]=MAESTRO!$B$5,Tabla14[CAPITAL],-Tabla14[[#This Row],[CAPITAL]])),2)</f>
        <v>14100000</v>
      </c>
    </row>
    <row r="1001" spans="1:13" x14ac:dyDescent="0.3">
      <c r="A1001" s="26">
        <v>46196</v>
      </c>
      <c r="B1001" t="s">
        <v>299</v>
      </c>
      <c r="C1001" t="s">
        <v>132</v>
      </c>
      <c r="D1001" s="38" t="s">
        <v>16</v>
      </c>
      <c r="E1001" s="39" t="s">
        <v>169</v>
      </c>
      <c r="F1001" s="39">
        <v>1707594052</v>
      </c>
      <c r="G1001" s="103" t="str">
        <f>+VLOOKUP(Tabla14[[#This Row],[FONDO]],MAESTRO!$D$2:$E$119,2,FALSE)</f>
        <v>Max Capital</v>
      </c>
      <c r="H1001" s="8" t="str">
        <f>+VLOOKUP(Tabla14[[#This Row],[FONDO]],MAESTRO!D:F,3,FALSE)</f>
        <v>(T+0)</v>
      </c>
      <c r="I1001" s="4" t="s">
        <v>9</v>
      </c>
      <c r="L10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1" s="4">
        <f>ROUND(IF(Tabla14[[#This Row],[OPERACIÓN]]=MAESTRO!$B$2,Tabla14[CAPITAL],IF(Tabla14[[#This Row],[OPERACIÓN]]=MAESTRO!$B$5,Tabla14[CAPITAL],-Tabla14[[#This Row],[CAPITAL]])),2)</f>
        <v>1707594052</v>
      </c>
    </row>
    <row r="1002" spans="1:13" x14ac:dyDescent="0.3">
      <c r="A1002" s="26">
        <v>46196</v>
      </c>
      <c r="B1002" t="s">
        <v>298</v>
      </c>
      <c r="C1002" t="s">
        <v>132</v>
      </c>
      <c r="D1002" s="27" t="s">
        <v>17</v>
      </c>
      <c r="E1002" s="4" t="s">
        <v>170</v>
      </c>
      <c r="F1002" s="4">
        <v>78818100</v>
      </c>
      <c r="G1002" s="103" t="str">
        <f>+VLOOKUP(Tabla14[[#This Row],[FONDO]],MAESTRO!$D$2:$E$119,2,FALSE)</f>
        <v>Banco Santander Rio S.A.</v>
      </c>
      <c r="H1002" s="8" t="str">
        <f>+VLOOKUP(Tabla14[[#This Row],[FONDO]],MAESTRO!D:F,3,FALSE)</f>
        <v>(T+0)</v>
      </c>
      <c r="I1002" s="4" t="s">
        <v>9</v>
      </c>
      <c r="L10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2" s="4">
        <f>ROUND(IF(Tabla14[[#This Row],[OPERACIÓN]]=MAESTRO!$B$2,Tabla14[CAPITAL],IF(Tabla14[[#This Row],[OPERACIÓN]]=MAESTRO!$B$5,Tabla14[CAPITAL],-Tabla14[[#This Row],[CAPITAL]])),2)</f>
        <v>-78818100</v>
      </c>
    </row>
    <row r="1003" spans="1:13" x14ac:dyDescent="0.3">
      <c r="A1003" s="26">
        <v>46196</v>
      </c>
      <c r="B1003" t="s">
        <v>298</v>
      </c>
      <c r="C1003" t="s">
        <v>132</v>
      </c>
      <c r="D1003" s="27" t="s">
        <v>17</v>
      </c>
      <c r="E1003" s="4" t="s">
        <v>170</v>
      </c>
      <c r="F1003" s="4">
        <v>307518300</v>
      </c>
      <c r="G1003" s="103" t="str">
        <f>+VLOOKUP(Tabla14[[#This Row],[FONDO]],MAESTRO!$D$2:$E$119,2,FALSE)</f>
        <v>Banco Santander Rio S.A.</v>
      </c>
      <c r="H1003" s="8" t="str">
        <f>+VLOOKUP(Tabla14[[#This Row],[FONDO]],MAESTRO!D:F,3,FALSE)</f>
        <v>(T+0)</v>
      </c>
      <c r="I1003" s="4" t="s">
        <v>9</v>
      </c>
      <c r="L10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3" s="4">
        <f>ROUND(IF(Tabla14[[#This Row],[OPERACIÓN]]=MAESTRO!$B$2,Tabla14[CAPITAL],IF(Tabla14[[#This Row],[OPERACIÓN]]=MAESTRO!$B$5,Tabla14[CAPITAL],-Tabla14[[#This Row],[CAPITAL]])),2)</f>
        <v>-307518300</v>
      </c>
    </row>
    <row r="1004" spans="1:13" x14ac:dyDescent="0.3">
      <c r="A1004" s="26">
        <v>46196</v>
      </c>
      <c r="B1004" t="s">
        <v>126</v>
      </c>
      <c r="C1004" t="s">
        <v>132</v>
      </c>
      <c r="D1004" s="27" t="s">
        <v>17</v>
      </c>
      <c r="E1004" s="4" t="s">
        <v>48</v>
      </c>
      <c r="F1004" s="4">
        <v>5900000</v>
      </c>
      <c r="G1004" s="103" t="str">
        <f>+VLOOKUP(Tabla14[[#This Row],[FONDO]],MAESTRO!$D$2:$E$119,2,FALSE)</f>
        <v>Banco Macro S.A.</v>
      </c>
      <c r="H1004" s="8" t="str">
        <f>+VLOOKUP(Tabla14[[#This Row],[FONDO]],MAESTRO!D:F,3,FALSE)</f>
        <v>(T+0)</v>
      </c>
      <c r="I1004" s="4" t="s">
        <v>9</v>
      </c>
      <c r="L10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4" s="4">
        <f>ROUND(IF(Tabla14[[#This Row],[OPERACIÓN]]=MAESTRO!$B$2,Tabla14[CAPITAL],IF(Tabla14[[#This Row],[OPERACIÓN]]=MAESTRO!$B$5,Tabla14[CAPITAL],-Tabla14[[#This Row],[CAPITAL]])),2)</f>
        <v>-5900000</v>
      </c>
    </row>
    <row r="1005" spans="1:13" x14ac:dyDescent="0.3">
      <c r="A1005" s="26">
        <v>46196</v>
      </c>
      <c r="B1005" t="s">
        <v>299</v>
      </c>
      <c r="C1005" t="s">
        <v>132</v>
      </c>
      <c r="D1005" s="27" t="s">
        <v>17</v>
      </c>
      <c r="E1005" s="4" t="s">
        <v>40</v>
      </c>
      <c r="F1005" s="4">
        <v>550400000</v>
      </c>
      <c r="G1005" s="103" t="str">
        <f>+VLOOKUP(Tabla14[[#This Row],[FONDO]],MAESTRO!$D$2:$E$119,2,FALSE)</f>
        <v>BBVA Banco Frances SA</v>
      </c>
      <c r="H1005" s="8" t="str">
        <f>+VLOOKUP(Tabla14[[#This Row],[FONDO]],MAESTRO!D:F,3,FALSE)</f>
        <v>(T+0)</v>
      </c>
      <c r="I1005" s="4" t="s">
        <v>9</v>
      </c>
      <c r="L10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5" s="4">
        <f>ROUND(IF(Tabla14[[#This Row],[OPERACIÓN]]=MAESTRO!$B$2,Tabla14[CAPITAL],IF(Tabla14[[#This Row],[OPERACIÓN]]=MAESTRO!$B$5,Tabla14[CAPITAL],-Tabla14[[#This Row],[CAPITAL]])),2)</f>
        <v>-550400000</v>
      </c>
    </row>
    <row r="1006" spans="1:13" x14ac:dyDescent="0.3">
      <c r="A1006" s="26">
        <v>46196</v>
      </c>
      <c r="B1006" t="s">
        <v>292</v>
      </c>
      <c r="C1006" t="s">
        <v>132</v>
      </c>
      <c r="D1006" s="27" t="s">
        <v>16</v>
      </c>
      <c r="E1006" s="4" t="s">
        <v>48</v>
      </c>
      <c r="F1006" s="4">
        <v>85500000</v>
      </c>
      <c r="G1006" s="103" t="str">
        <f>+VLOOKUP(Tabla14[[#This Row],[FONDO]],MAESTRO!$D$2:$E$119,2,FALSE)</f>
        <v>Banco Macro S.A.</v>
      </c>
      <c r="H1006" s="8" t="str">
        <f>+VLOOKUP(Tabla14[[#This Row],[FONDO]],MAESTRO!D:F,3,FALSE)</f>
        <v>(T+0)</v>
      </c>
      <c r="I1006" s="4" t="s">
        <v>9</v>
      </c>
      <c r="L10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6" s="4">
        <f>ROUND(IF(Tabla14[[#This Row],[OPERACIÓN]]=MAESTRO!$B$2,Tabla14[CAPITAL],IF(Tabla14[[#This Row],[OPERACIÓN]]=MAESTRO!$B$5,Tabla14[CAPITAL],-Tabla14[[#This Row],[CAPITAL]])),2)</f>
        <v>85500000</v>
      </c>
    </row>
    <row r="1007" spans="1:13" x14ac:dyDescent="0.3">
      <c r="A1007" s="26">
        <v>46197</v>
      </c>
      <c r="B1007" t="s">
        <v>292</v>
      </c>
      <c r="C1007" t="s">
        <v>132</v>
      </c>
      <c r="D1007" s="27" t="s">
        <v>17</v>
      </c>
      <c r="E1007" s="4" t="s">
        <v>48</v>
      </c>
      <c r="F1007" s="4">
        <v>13800000</v>
      </c>
      <c r="G1007" s="8" t="str">
        <f>+VLOOKUP(Tabla14[[#This Row],[FONDO]],MAESTRO!$D$2:$E$119,2,FALSE)</f>
        <v>Banco Macro S.A.</v>
      </c>
      <c r="H1007" s="8" t="str">
        <f>+VLOOKUP(Tabla14[[#This Row],[FONDO]],MAESTRO!D:F,3,FALSE)</f>
        <v>(T+0)</v>
      </c>
      <c r="I1007" s="4" t="s">
        <v>9</v>
      </c>
      <c r="L10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7" s="4">
        <f>ROUND(IF(Tabla14[[#This Row],[OPERACIÓN]]=MAESTRO!$B$2,Tabla14[CAPITAL],IF(Tabla14[[#This Row],[OPERACIÓN]]=MAESTRO!$B$5,Tabla14[CAPITAL],-Tabla14[[#This Row],[CAPITAL]])),2)</f>
        <v>-13800000</v>
      </c>
    </row>
    <row r="1008" spans="1:13" x14ac:dyDescent="0.3">
      <c r="A1008" s="26">
        <v>46197</v>
      </c>
      <c r="B1008" t="s">
        <v>298</v>
      </c>
      <c r="C1008" t="s">
        <v>132</v>
      </c>
      <c r="D1008" s="27" t="s">
        <v>17</v>
      </c>
      <c r="E1008" s="4" t="s">
        <v>40</v>
      </c>
      <c r="F1008" s="4">
        <v>130700000</v>
      </c>
      <c r="G1008" s="8" t="str">
        <f>+VLOOKUP(Tabla14[[#This Row],[FONDO]],MAESTRO!$D$2:$E$119,2,FALSE)</f>
        <v>BBVA Banco Frances SA</v>
      </c>
      <c r="H1008" s="8" t="str">
        <f>+VLOOKUP(Tabla14[[#This Row],[FONDO]],MAESTRO!D:F,3,FALSE)</f>
        <v>(T+0)</v>
      </c>
      <c r="I1008" s="4" t="s">
        <v>9</v>
      </c>
      <c r="L10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8" s="4">
        <f>ROUND(IF(Tabla14[[#This Row],[OPERACIÓN]]=MAESTRO!$B$2,Tabla14[CAPITAL],IF(Tabla14[[#This Row],[OPERACIÓN]]=MAESTRO!$B$5,Tabla14[CAPITAL],-Tabla14[[#This Row],[CAPITAL]])),2)</f>
        <v>-130700000</v>
      </c>
    </row>
    <row r="1009" spans="1:13" x14ac:dyDescent="0.3">
      <c r="A1009" s="26">
        <v>46197</v>
      </c>
      <c r="B1009" t="s">
        <v>299</v>
      </c>
      <c r="C1009" t="s">
        <v>132</v>
      </c>
      <c r="D1009" s="27" t="s">
        <v>16</v>
      </c>
      <c r="E1009" s="4" t="s">
        <v>48</v>
      </c>
      <c r="F1009" s="4">
        <v>81800000</v>
      </c>
      <c r="G1009" s="8" t="str">
        <f>+VLOOKUP(Tabla14[[#This Row],[FONDO]],MAESTRO!$D$2:$E$119,2,FALSE)</f>
        <v>Banco Macro S.A.</v>
      </c>
      <c r="H1009" s="8" t="str">
        <f>+VLOOKUP(Tabla14[[#This Row],[FONDO]],MAESTRO!D:F,3,FALSE)</f>
        <v>(T+0)</v>
      </c>
      <c r="I1009" s="4" t="s">
        <v>9</v>
      </c>
      <c r="L10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09" s="4">
        <f>ROUND(IF(Tabla14[[#This Row],[OPERACIÓN]]=MAESTRO!$B$2,Tabla14[CAPITAL],IF(Tabla14[[#This Row],[OPERACIÓN]]=MAESTRO!$B$5,Tabla14[CAPITAL],-Tabla14[[#This Row],[CAPITAL]])),2)</f>
        <v>81800000</v>
      </c>
    </row>
    <row r="1010" spans="1:13" x14ac:dyDescent="0.3">
      <c r="A1010" s="26">
        <v>46197</v>
      </c>
      <c r="B1010" t="s">
        <v>298</v>
      </c>
      <c r="C1010" t="s">
        <v>132</v>
      </c>
      <c r="D1010" s="27" t="s">
        <v>17</v>
      </c>
      <c r="E1010" s="4" t="s">
        <v>136</v>
      </c>
      <c r="F1010" s="53">
        <v>541619911.69000006</v>
      </c>
      <c r="G1010" s="8" t="str">
        <f>+VLOOKUP(Tabla14[[#This Row],[FONDO]],MAESTRO!$D$2:$E$119,2,FALSE)</f>
        <v>Gma Capital</v>
      </c>
      <c r="H1010" s="8" t="str">
        <f>+VLOOKUP(Tabla14[[#This Row],[FONDO]],MAESTRO!D:F,3,FALSE)</f>
        <v>(T+0)</v>
      </c>
      <c r="I1010" s="4" t="s">
        <v>9</v>
      </c>
      <c r="L10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0" s="4">
        <f>ROUND(IF(Tabla14[[#This Row],[OPERACIÓN]]=MAESTRO!$B$2,Tabla14[CAPITAL],IF(Tabla14[[#This Row],[OPERACIÓN]]=MAESTRO!$B$5,Tabla14[CAPITAL],-Tabla14[[#This Row],[CAPITAL]])),2)</f>
        <v>-541619911.69000006</v>
      </c>
    </row>
    <row r="1011" spans="1:13" x14ac:dyDescent="0.3">
      <c r="A1011" s="26">
        <v>46197</v>
      </c>
      <c r="B1011" t="s">
        <v>298</v>
      </c>
      <c r="C1011" t="s">
        <v>132</v>
      </c>
      <c r="D1011" s="27" t="s">
        <v>17</v>
      </c>
      <c r="E1011" s="4" t="s">
        <v>136</v>
      </c>
      <c r="F1011" s="53">
        <v>172538371.00999999</v>
      </c>
      <c r="G1011" s="8" t="str">
        <f>+VLOOKUP(Tabla14[[#This Row],[FONDO]],MAESTRO!$D$2:$E$119,2,FALSE)</f>
        <v>Gma Capital</v>
      </c>
      <c r="H1011" s="8" t="str">
        <f>+VLOOKUP(Tabla14[[#This Row],[FONDO]],MAESTRO!D:F,3,FALSE)</f>
        <v>(T+0)</v>
      </c>
      <c r="I1011" s="4" t="s">
        <v>9</v>
      </c>
      <c r="L10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1" s="4">
        <f>ROUND(IF(Tabla14[[#This Row],[OPERACIÓN]]=MAESTRO!$B$2,Tabla14[CAPITAL],IF(Tabla14[[#This Row],[OPERACIÓN]]=MAESTRO!$B$5,Tabla14[CAPITAL],-Tabla14[[#This Row],[CAPITAL]])),2)</f>
        <v>-172538371.00999999</v>
      </c>
    </row>
    <row r="1012" spans="1:13" x14ac:dyDescent="0.3">
      <c r="A1012" s="26">
        <v>46197</v>
      </c>
      <c r="B1012" t="s">
        <v>298</v>
      </c>
      <c r="C1012" t="s">
        <v>132</v>
      </c>
      <c r="D1012" s="27" t="s">
        <v>17</v>
      </c>
      <c r="E1012" s="4" t="s">
        <v>169</v>
      </c>
      <c r="F1012" s="53">
        <v>64750185.159999996</v>
      </c>
      <c r="G1012" s="8" t="str">
        <f>+VLOOKUP(Tabla14[[#This Row],[FONDO]],MAESTRO!$D$2:$E$119,2,FALSE)</f>
        <v>Max Capital</v>
      </c>
      <c r="H1012" s="8" t="str">
        <f>+VLOOKUP(Tabla14[[#This Row],[FONDO]],MAESTRO!D:F,3,FALSE)</f>
        <v>(T+0)</v>
      </c>
      <c r="I1012" s="4" t="s">
        <v>9</v>
      </c>
      <c r="L10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2" s="4">
        <f>ROUND(IF(Tabla14[[#This Row],[OPERACIÓN]]=MAESTRO!$B$2,Tabla14[CAPITAL],IF(Tabla14[[#This Row],[OPERACIÓN]]=MAESTRO!$B$5,Tabla14[CAPITAL],-Tabla14[[#This Row],[CAPITAL]])),2)</f>
        <v>-64750185.159999996</v>
      </c>
    </row>
    <row r="1013" spans="1:13" x14ac:dyDescent="0.3">
      <c r="A1013" s="26">
        <v>46198</v>
      </c>
      <c r="B1013" t="s">
        <v>298</v>
      </c>
      <c r="C1013" t="s">
        <v>132</v>
      </c>
      <c r="D1013" s="27" t="s">
        <v>17</v>
      </c>
      <c r="E1013" s="4" t="s">
        <v>40</v>
      </c>
      <c r="F1013" s="4">
        <v>280000000</v>
      </c>
      <c r="G1013" s="8" t="str">
        <f>+VLOOKUP(Tabla14[[#This Row],[FONDO]],MAESTRO!$D$2:$E$119,2,FALSE)</f>
        <v>BBVA Banco Frances SA</v>
      </c>
      <c r="H1013" s="8" t="str">
        <f>+VLOOKUP(Tabla14[[#This Row],[FONDO]],MAESTRO!D:F,3,FALSE)</f>
        <v>(T+0)</v>
      </c>
      <c r="I1013" s="4" t="s">
        <v>9</v>
      </c>
      <c r="L10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3" s="4">
        <f>ROUND(IF(Tabla14[[#This Row],[OPERACIÓN]]=MAESTRO!$B$2,Tabla14[CAPITAL],IF(Tabla14[[#This Row],[OPERACIÓN]]=MAESTRO!$B$5,Tabla14[CAPITAL],-Tabla14[[#This Row],[CAPITAL]])),2)</f>
        <v>-280000000</v>
      </c>
    </row>
    <row r="1014" spans="1:13" x14ac:dyDescent="0.3">
      <c r="A1014" s="26">
        <v>46198</v>
      </c>
      <c r="B1014" t="s">
        <v>299</v>
      </c>
      <c r="C1014" t="s">
        <v>132</v>
      </c>
      <c r="D1014" s="27" t="s">
        <v>17</v>
      </c>
      <c r="E1014" s="4" t="s">
        <v>40</v>
      </c>
      <c r="F1014" s="4">
        <v>2000000000</v>
      </c>
      <c r="G1014" s="8" t="str">
        <f>+VLOOKUP(Tabla14[[#This Row],[FONDO]],MAESTRO!$D$2:$E$119,2,FALSE)</f>
        <v>BBVA Banco Frances SA</v>
      </c>
      <c r="H1014" s="8" t="str">
        <f>+VLOOKUP(Tabla14[[#This Row],[FONDO]],MAESTRO!D:F,3,FALSE)</f>
        <v>(T+0)</v>
      </c>
      <c r="I1014" s="4" t="s">
        <v>9</v>
      </c>
      <c r="L10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4" s="4">
        <f>ROUND(IF(Tabla14[[#This Row],[OPERACIÓN]]=MAESTRO!$B$2,Tabla14[CAPITAL],IF(Tabla14[[#This Row],[OPERACIÓN]]=MAESTRO!$B$5,Tabla14[CAPITAL],-Tabla14[[#This Row],[CAPITAL]])),2)</f>
        <v>-2000000000</v>
      </c>
    </row>
    <row r="1015" spans="1:13" x14ac:dyDescent="0.3">
      <c r="A1015" s="26">
        <v>46198</v>
      </c>
      <c r="B1015" t="s">
        <v>292</v>
      </c>
      <c r="C1015" t="s">
        <v>132</v>
      </c>
      <c r="D1015" s="27" t="s">
        <v>17</v>
      </c>
      <c r="E1015" s="4" t="s">
        <v>48</v>
      </c>
      <c r="F1015" s="4">
        <v>58500000</v>
      </c>
      <c r="G1015" s="104" t="str">
        <f>+VLOOKUP(Tabla14[[#This Row],[FONDO]],MAESTRO!$D$2:$E$119,2,FALSE)</f>
        <v>Banco Macro S.A.</v>
      </c>
      <c r="H1015" s="8" t="str">
        <f>+VLOOKUP(Tabla14[[#This Row],[FONDO]],MAESTRO!D:F,3,FALSE)</f>
        <v>(T+0)</v>
      </c>
      <c r="I1015" s="4" t="s">
        <v>9</v>
      </c>
      <c r="L10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5" s="4">
        <f>ROUND(IF(Tabla14[[#This Row],[OPERACIÓN]]=MAESTRO!$B$2,Tabla14[CAPITAL],IF(Tabla14[[#This Row],[OPERACIÓN]]=MAESTRO!$B$5,Tabla14[CAPITAL],-Tabla14[[#This Row],[CAPITAL]])),2)</f>
        <v>-58500000</v>
      </c>
    </row>
    <row r="1016" spans="1:13" x14ac:dyDescent="0.3">
      <c r="A1016" s="26">
        <v>46198</v>
      </c>
      <c r="B1016" t="s">
        <v>298</v>
      </c>
      <c r="C1016" t="s">
        <v>132</v>
      </c>
      <c r="D1016" s="27" t="s">
        <v>16</v>
      </c>
      <c r="E1016" s="4" t="s">
        <v>40</v>
      </c>
      <c r="F1016" s="4">
        <v>4200000000</v>
      </c>
      <c r="G1016" s="104" t="str">
        <f>+VLOOKUP(Tabla14[[#This Row],[FONDO]],MAESTRO!$D$2:$E$119,2,FALSE)</f>
        <v>BBVA Banco Frances SA</v>
      </c>
      <c r="H1016" s="8" t="str">
        <f>+VLOOKUP(Tabla14[[#This Row],[FONDO]],MAESTRO!D:F,3,FALSE)</f>
        <v>(T+0)</v>
      </c>
      <c r="I1016" s="4" t="s">
        <v>9</v>
      </c>
      <c r="L10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6" s="4">
        <f>ROUND(IF(Tabla14[[#This Row],[OPERACIÓN]]=MAESTRO!$B$2,Tabla14[CAPITAL],IF(Tabla14[[#This Row],[OPERACIÓN]]=MAESTRO!$B$5,Tabla14[CAPITAL],-Tabla14[[#This Row],[CAPITAL]])),2)</f>
        <v>4200000000</v>
      </c>
    </row>
    <row r="1017" spans="1:13" x14ac:dyDescent="0.3">
      <c r="A1017" s="26">
        <v>46198</v>
      </c>
      <c r="B1017" t="s">
        <v>299</v>
      </c>
      <c r="C1017" t="s">
        <v>132</v>
      </c>
      <c r="D1017" s="27" t="s">
        <v>16</v>
      </c>
      <c r="E1017" s="4" t="s">
        <v>48</v>
      </c>
      <c r="F1017" s="4">
        <v>93700000</v>
      </c>
      <c r="G1017" s="104" t="str">
        <f>+VLOOKUP(Tabla14[[#This Row],[FONDO]],MAESTRO!$D$2:$E$119,2,FALSE)</f>
        <v>Banco Macro S.A.</v>
      </c>
      <c r="H1017" s="8" t="str">
        <f>+VLOOKUP(Tabla14[[#This Row],[FONDO]],MAESTRO!D:F,3,FALSE)</f>
        <v>(T+0)</v>
      </c>
      <c r="I1017" s="4" t="s">
        <v>9</v>
      </c>
      <c r="L10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7" s="4">
        <f>ROUND(IF(Tabla14[[#This Row],[OPERACIÓN]]=MAESTRO!$B$2,Tabla14[CAPITAL],IF(Tabla14[[#This Row],[OPERACIÓN]]=MAESTRO!$B$5,Tabla14[CAPITAL],-Tabla14[[#This Row],[CAPITAL]])),2)</f>
        <v>93700000</v>
      </c>
    </row>
    <row r="1018" spans="1:13" x14ac:dyDescent="0.3">
      <c r="A1018" s="26">
        <v>46199</v>
      </c>
      <c r="B1018" t="s">
        <v>298</v>
      </c>
      <c r="C1018" t="s">
        <v>132</v>
      </c>
      <c r="D1018" s="27" t="s">
        <v>17</v>
      </c>
      <c r="E1018" s="4" t="s">
        <v>170</v>
      </c>
      <c r="F1018" s="4">
        <v>168987766.36000001</v>
      </c>
      <c r="G1018" s="8" t="str">
        <f>+VLOOKUP(Tabla14[[#This Row],[FONDO]],MAESTRO!$D$2:$E$119,2,FALSE)</f>
        <v>Banco Santander Rio S.A.</v>
      </c>
      <c r="H1018" s="8" t="str">
        <f>+VLOOKUP(Tabla14[[#This Row],[FONDO]],MAESTRO!D:F,3,FALSE)</f>
        <v>(T+0)</v>
      </c>
      <c r="I1018" s="4" t="s">
        <v>9</v>
      </c>
      <c r="L10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8" s="4">
        <f>ROUND(IF(Tabla14[[#This Row],[OPERACIÓN]]=MAESTRO!$B$2,Tabla14[CAPITAL],IF(Tabla14[[#This Row],[OPERACIÓN]]=MAESTRO!$B$5,Tabla14[CAPITAL],-Tabla14[[#This Row],[CAPITAL]])),2)</f>
        <v>-168987766.36000001</v>
      </c>
    </row>
    <row r="1019" spans="1:13" x14ac:dyDescent="0.3">
      <c r="A1019" s="26">
        <v>46199</v>
      </c>
      <c r="B1019" t="s">
        <v>298</v>
      </c>
      <c r="C1019" t="s">
        <v>132</v>
      </c>
      <c r="D1019" s="27" t="s">
        <v>17</v>
      </c>
      <c r="E1019" s="4" t="s">
        <v>136</v>
      </c>
      <c r="F1019" s="53">
        <v>51398433.780000001</v>
      </c>
      <c r="G1019" s="8" t="str">
        <f>+VLOOKUP(Tabla14[[#This Row],[FONDO]],MAESTRO!$D$2:$E$119,2,FALSE)</f>
        <v>Gma Capital</v>
      </c>
      <c r="H1019" s="8" t="str">
        <f>+VLOOKUP(Tabla14[[#This Row],[FONDO]],MAESTRO!D:F,3,FALSE)</f>
        <v>(T+0)</v>
      </c>
      <c r="I1019" s="4" t="s">
        <v>9</v>
      </c>
      <c r="L10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19" s="4">
        <f>ROUND(IF(Tabla14[[#This Row],[OPERACIÓN]]=MAESTRO!$B$2,Tabla14[CAPITAL],IF(Tabla14[[#This Row],[OPERACIÓN]]=MAESTRO!$B$5,Tabla14[CAPITAL],-Tabla14[[#This Row],[CAPITAL]])),2)</f>
        <v>-51398433.780000001</v>
      </c>
    </row>
    <row r="1020" spans="1:13" x14ac:dyDescent="0.3">
      <c r="A1020" s="26">
        <v>46199</v>
      </c>
      <c r="B1020" t="s">
        <v>298</v>
      </c>
      <c r="C1020" t="s">
        <v>132</v>
      </c>
      <c r="D1020" s="27" t="s">
        <v>17</v>
      </c>
      <c r="E1020" s="4" t="s">
        <v>136</v>
      </c>
      <c r="F1020" s="53">
        <v>60088215.990000002</v>
      </c>
      <c r="G1020" s="8" t="str">
        <f>+VLOOKUP(Tabla14[[#This Row],[FONDO]],MAESTRO!$D$2:$E$119,2,FALSE)</f>
        <v>Gma Capital</v>
      </c>
      <c r="H1020" s="8" t="str">
        <f>+VLOOKUP(Tabla14[[#This Row],[FONDO]],MAESTRO!D:F,3,FALSE)</f>
        <v>(T+0)</v>
      </c>
      <c r="I1020" s="4" t="s">
        <v>9</v>
      </c>
      <c r="L10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0" s="4">
        <f>ROUND(IF(Tabla14[[#This Row],[OPERACIÓN]]=MAESTRO!$B$2,Tabla14[CAPITAL],IF(Tabla14[[#This Row],[OPERACIÓN]]=MAESTRO!$B$5,Tabla14[CAPITAL],-Tabla14[[#This Row],[CAPITAL]])),2)</f>
        <v>-60088215.990000002</v>
      </c>
    </row>
    <row r="1021" spans="1:13" x14ac:dyDescent="0.3">
      <c r="A1021" s="26">
        <v>46199</v>
      </c>
      <c r="B1021" t="s">
        <v>292</v>
      </c>
      <c r="C1021" t="s">
        <v>132</v>
      </c>
      <c r="D1021" s="27" t="s">
        <v>17</v>
      </c>
      <c r="E1021" s="4" t="s">
        <v>136</v>
      </c>
      <c r="F1021" s="53">
        <v>79113005.560000002</v>
      </c>
      <c r="G1021" s="8" t="str">
        <f>+VLOOKUP(Tabla14[[#This Row],[FONDO]],MAESTRO!$D$2:$E$119,2,FALSE)</f>
        <v>Gma Capital</v>
      </c>
      <c r="H1021" s="8" t="str">
        <f>+VLOOKUP(Tabla14[[#This Row],[FONDO]],MAESTRO!D:F,3,FALSE)</f>
        <v>(T+0)</v>
      </c>
      <c r="I1021" s="4" t="s">
        <v>9</v>
      </c>
      <c r="L10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1" s="4">
        <f>ROUND(IF(Tabla14[[#This Row],[OPERACIÓN]]=MAESTRO!$B$2,Tabla14[CAPITAL],IF(Tabla14[[#This Row],[OPERACIÓN]]=MAESTRO!$B$5,Tabla14[CAPITAL],-Tabla14[[#This Row],[CAPITAL]])),2)</f>
        <v>-79113005.560000002</v>
      </c>
    </row>
    <row r="1022" spans="1:13" x14ac:dyDescent="0.3">
      <c r="A1022" s="26">
        <v>46199</v>
      </c>
      <c r="B1022" t="s">
        <v>292</v>
      </c>
      <c r="C1022" t="s">
        <v>132</v>
      </c>
      <c r="D1022" s="27" t="s">
        <v>17</v>
      </c>
      <c r="E1022" s="4" t="s">
        <v>169</v>
      </c>
      <c r="F1022" s="100">
        <v>300000000</v>
      </c>
      <c r="G1022" s="8" t="str">
        <f>+VLOOKUP(Tabla14[[#This Row],[FONDO]],MAESTRO!$D$2:$E$119,2,FALSE)</f>
        <v>Max Capital</v>
      </c>
      <c r="H1022" s="8" t="str">
        <f>+VLOOKUP(Tabla14[[#This Row],[FONDO]],MAESTRO!D:F,3,FALSE)</f>
        <v>(T+0)</v>
      </c>
      <c r="I1022" s="4" t="s">
        <v>9</v>
      </c>
      <c r="L10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2" s="4">
        <f>ROUND(IF(Tabla14[[#This Row],[OPERACIÓN]]=MAESTRO!$B$2,Tabla14[CAPITAL],IF(Tabla14[[#This Row],[OPERACIÓN]]=MAESTRO!$B$5,Tabla14[CAPITAL],-Tabla14[[#This Row],[CAPITAL]])),2)</f>
        <v>-300000000</v>
      </c>
    </row>
    <row r="1023" spans="1:13" x14ac:dyDescent="0.3">
      <c r="A1023" s="26">
        <v>46199</v>
      </c>
      <c r="B1023" t="s">
        <v>292</v>
      </c>
      <c r="C1023" t="s">
        <v>132</v>
      </c>
      <c r="D1023" s="27" t="s">
        <v>17</v>
      </c>
      <c r="E1023" s="4" t="s">
        <v>48</v>
      </c>
      <c r="F1023" s="4">
        <v>22600000</v>
      </c>
      <c r="G1023" s="8" t="str">
        <f>+VLOOKUP(Tabla14[[#This Row],[FONDO]],MAESTRO!$D$2:$E$119,2,FALSE)</f>
        <v>Banco Macro S.A.</v>
      </c>
      <c r="H1023" s="8" t="str">
        <f>+VLOOKUP(Tabla14[[#This Row],[FONDO]],MAESTRO!D:F,3,FALSE)</f>
        <v>(T+0)</v>
      </c>
      <c r="I1023" s="4" t="s">
        <v>9</v>
      </c>
      <c r="L10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3" s="4">
        <f>ROUND(IF(Tabla14[[#This Row],[OPERACIÓN]]=MAESTRO!$B$2,Tabla14[CAPITAL],IF(Tabla14[[#This Row],[OPERACIÓN]]=MAESTRO!$B$5,Tabla14[CAPITAL],-Tabla14[[#This Row],[CAPITAL]])),2)</f>
        <v>-22600000</v>
      </c>
    </row>
    <row r="1024" spans="1:13" x14ac:dyDescent="0.3">
      <c r="A1024" s="26">
        <v>46199</v>
      </c>
      <c r="B1024" t="s">
        <v>299</v>
      </c>
      <c r="C1024" t="s">
        <v>132</v>
      </c>
      <c r="D1024" s="27" t="s">
        <v>17</v>
      </c>
      <c r="E1024" s="4" t="s">
        <v>48</v>
      </c>
      <c r="F1024" s="4">
        <v>139000000</v>
      </c>
      <c r="G1024" s="8" t="str">
        <f>+VLOOKUP(Tabla14[[#This Row],[FONDO]],MAESTRO!$D$2:$E$119,2,FALSE)</f>
        <v>Banco Macro S.A.</v>
      </c>
      <c r="H1024" s="8" t="str">
        <f>+VLOOKUP(Tabla14[[#This Row],[FONDO]],MAESTRO!D:F,3,FALSE)</f>
        <v>(T+0)</v>
      </c>
      <c r="I1024" s="4" t="s">
        <v>9</v>
      </c>
      <c r="L10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4" s="4">
        <f>ROUND(IF(Tabla14[[#This Row],[OPERACIÓN]]=MAESTRO!$B$2,Tabla14[CAPITAL],IF(Tabla14[[#This Row],[OPERACIÓN]]=MAESTRO!$B$5,Tabla14[CAPITAL],-Tabla14[[#This Row],[CAPITAL]])),2)</f>
        <v>-139000000</v>
      </c>
    </row>
    <row r="1025" spans="1:13" x14ac:dyDescent="0.3">
      <c r="A1025" s="26">
        <v>46199</v>
      </c>
      <c r="B1025" t="s">
        <v>298</v>
      </c>
      <c r="C1025" t="s">
        <v>132</v>
      </c>
      <c r="D1025" s="27" t="s">
        <v>17</v>
      </c>
      <c r="E1025" s="4" t="s">
        <v>40</v>
      </c>
      <c r="F1025" s="4">
        <v>47100000</v>
      </c>
      <c r="G1025" s="8" t="str">
        <f>+VLOOKUP(Tabla14[[#This Row],[FONDO]],MAESTRO!$D$2:$E$119,2,FALSE)</f>
        <v>BBVA Banco Frances SA</v>
      </c>
      <c r="H1025" s="8" t="str">
        <f>+VLOOKUP(Tabla14[[#This Row],[FONDO]],MAESTRO!D:F,3,FALSE)</f>
        <v>(T+0)</v>
      </c>
      <c r="I1025" s="4" t="s">
        <v>9</v>
      </c>
      <c r="L10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5" s="4">
        <f>ROUND(IF(Tabla14[[#This Row],[OPERACIÓN]]=MAESTRO!$B$2,Tabla14[CAPITAL],IF(Tabla14[[#This Row],[OPERACIÓN]]=MAESTRO!$B$5,Tabla14[CAPITAL],-Tabla14[[#This Row],[CAPITAL]])),2)</f>
        <v>-47100000</v>
      </c>
    </row>
    <row r="1026" spans="1:13" x14ac:dyDescent="0.3">
      <c r="A1026" s="26">
        <v>46199</v>
      </c>
      <c r="B1026" t="s">
        <v>292</v>
      </c>
      <c r="C1026" t="s">
        <v>132</v>
      </c>
      <c r="D1026" s="27" t="s">
        <v>17</v>
      </c>
      <c r="E1026" s="4" t="s">
        <v>170</v>
      </c>
      <c r="F1026" s="4">
        <v>57100000</v>
      </c>
      <c r="G1026" s="105" t="str">
        <f>+VLOOKUP(Tabla14[[#This Row],[FONDO]],MAESTRO!$D$2:$E$119,2,FALSE)</f>
        <v>Banco Santander Rio S.A.</v>
      </c>
      <c r="H1026" s="8" t="str">
        <f>+VLOOKUP(Tabla14[[#This Row],[FONDO]],MAESTRO!D:F,3,FALSE)</f>
        <v>(T+0)</v>
      </c>
      <c r="I1026" s="4" t="s">
        <v>9</v>
      </c>
      <c r="L10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6" s="4">
        <f>ROUND(IF(Tabla14[[#This Row],[OPERACIÓN]]=MAESTRO!$B$2,Tabla14[CAPITAL],IF(Tabla14[[#This Row],[OPERACIÓN]]=MAESTRO!$B$5,Tabla14[CAPITAL],-Tabla14[[#This Row],[CAPITAL]])),2)</f>
        <v>-57100000</v>
      </c>
    </row>
    <row r="1027" spans="1:13" x14ac:dyDescent="0.3">
      <c r="A1027" s="26">
        <v>46199</v>
      </c>
      <c r="B1027" t="s">
        <v>292</v>
      </c>
      <c r="C1027" t="s">
        <v>132</v>
      </c>
      <c r="D1027" s="27" t="s">
        <v>17</v>
      </c>
      <c r="E1027" s="4" t="s">
        <v>170</v>
      </c>
      <c r="F1027" s="4">
        <v>60100000</v>
      </c>
      <c r="G1027" s="105" t="str">
        <f>+VLOOKUP(Tabla14[[#This Row],[FONDO]],MAESTRO!$D$2:$E$119,2,FALSE)</f>
        <v>Banco Santander Rio S.A.</v>
      </c>
      <c r="H1027" s="8" t="str">
        <f>+VLOOKUP(Tabla14[[#This Row],[FONDO]],MAESTRO!D:F,3,FALSE)</f>
        <v>(T+0)</v>
      </c>
      <c r="I1027" s="4" t="s">
        <v>9</v>
      </c>
      <c r="L10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7" s="4">
        <f>ROUND(IF(Tabla14[[#This Row],[OPERACIÓN]]=MAESTRO!$B$2,Tabla14[CAPITAL],IF(Tabla14[[#This Row],[OPERACIÓN]]=MAESTRO!$B$5,Tabla14[CAPITAL],-Tabla14[[#This Row],[CAPITAL]])),2)</f>
        <v>-60100000</v>
      </c>
    </row>
    <row r="1028" spans="1:13" x14ac:dyDescent="0.3">
      <c r="A1028" s="26">
        <v>46202</v>
      </c>
      <c r="B1028" t="s">
        <v>299</v>
      </c>
      <c r="C1028" t="s">
        <v>132</v>
      </c>
      <c r="D1028" s="27" t="s">
        <v>17</v>
      </c>
      <c r="E1028" s="4" t="s">
        <v>48</v>
      </c>
      <c r="F1028" s="4">
        <v>55300000</v>
      </c>
      <c r="G1028" s="8" t="str">
        <f>+VLOOKUP(Tabla14[[#This Row],[FONDO]],MAESTRO!$D$2:$E$119,2,FALSE)</f>
        <v>Banco Macro S.A.</v>
      </c>
      <c r="H1028" s="8" t="str">
        <f>+VLOOKUP(Tabla14[[#This Row],[FONDO]],MAESTRO!D:F,3,FALSE)</f>
        <v>(T+0)</v>
      </c>
      <c r="I1028" s="4" t="s">
        <v>9</v>
      </c>
      <c r="L10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8" s="4">
        <f>ROUND(IF(Tabla14[[#This Row],[OPERACIÓN]]=MAESTRO!$B$2,Tabla14[CAPITAL],IF(Tabla14[[#This Row],[OPERACIÓN]]=MAESTRO!$B$5,Tabla14[CAPITAL],-Tabla14[[#This Row],[CAPITAL]])),2)</f>
        <v>-55300000</v>
      </c>
    </row>
    <row r="1029" spans="1:13" x14ac:dyDescent="0.3">
      <c r="A1029" s="26">
        <v>46202</v>
      </c>
      <c r="B1029" t="s">
        <v>298</v>
      </c>
      <c r="C1029" t="s">
        <v>132</v>
      </c>
      <c r="D1029" s="27" t="s">
        <v>17</v>
      </c>
      <c r="E1029" s="4" t="s">
        <v>40</v>
      </c>
      <c r="F1029" s="4">
        <v>337400000</v>
      </c>
      <c r="G1029" s="8" t="str">
        <f>+VLOOKUP(Tabla14[[#This Row],[FONDO]],MAESTRO!$D$2:$E$119,2,FALSE)</f>
        <v>BBVA Banco Frances SA</v>
      </c>
      <c r="H1029" s="8" t="str">
        <f>+VLOOKUP(Tabla14[[#This Row],[FONDO]],MAESTRO!D:F,3,FALSE)</f>
        <v>(T+0)</v>
      </c>
      <c r="I1029" s="4" t="s">
        <v>9</v>
      </c>
      <c r="L10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29" s="4">
        <f>ROUND(IF(Tabla14[[#This Row],[OPERACIÓN]]=MAESTRO!$B$2,Tabla14[CAPITAL],IF(Tabla14[[#This Row],[OPERACIÓN]]=MAESTRO!$B$5,Tabla14[CAPITAL],-Tabla14[[#This Row],[CAPITAL]])),2)</f>
        <v>-337400000</v>
      </c>
    </row>
    <row r="1030" spans="1:13" x14ac:dyDescent="0.3">
      <c r="A1030" s="26">
        <v>46202</v>
      </c>
      <c r="B1030" t="s">
        <v>292</v>
      </c>
      <c r="C1030" t="s">
        <v>132</v>
      </c>
      <c r="D1030" s="27" t="s">
        <v>16</v>
      </c>
      <c r="E1030" s="4" t="s">
        <v>48</v>
      </c>
      <c r="F1030" s="4">
        <v>380700000</v>
      </c>
      <c r="G1030" s="8" t="str">
        <f>+VLOOKUP(Tabla14[[#This Row],[FONDO]],MAESTRO!$D$2:$E$119,2,FALSE)</f>
        <v>Banco Macro S.A.</v>
      </c>
      <c r="H1030" s="8" t="str">
        <f>+VLOOKUP(Tabla14[[#This Row],[FONDO]],MAESTRO!D:F,3,FALSE)</f>
        <v>(T+0)</v>
      </c>
      <c r="I1030" s="4" t="s">
        <v>9</v>
      </c>
      <c r="L10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0" s="4">
        <f>ROUND(IF(Tabla14[[#This Row],[OPERACIÓN]]=MAESTRO!$B$2,Tabla14[CAPITAL],IF(Tabla14[[#This Row],[OPERACIÓN]]=MAESTRO!$B$5,Tabla14[CAPITAL],-Tabla14[[#This Row],[CAPITAL]])),2)</f>
        <v>380700000</v>
      </c>
    </row>
    <row r="1031" spans="1:13" x14ac:dyDescent="0.3">
      <c r="A1031" s="26">
        <v>46202</v>
      </c>
      <c r="B1031" t="s">
        <v>298</v>
      </c>
      <c r="C1031" t="s">
        <v>132</v>
      </c>
      <c r="D1031" s="27" t="s">
        <v>17</v>
      </c>
      <c r="E1031" s="4" t="s">
        <v>136</v>
      </c>
      <c r="F1031" s="4">
        <v>1270654442.55</v>
      </c>
      <c r="G1031" s="8" t="str">
        <f>+VLOOKUP(Tabla14[[#This Row],[FONDO]],MAESTRO!$D$2:$E$119,2,FALSE)</f>
        <v>Gma Capital</v>
      </c>
      <c r="H1031" s="8" t="str">
        <f>+VLOOKUP(Tabla14[[#This Row],[FONDO]],MAESTRO!D:F,3,FALSE)</f>
        <v>(T+0)</v>
      </c>
      <c r="I1031" s="4" t="s">
        <v>9</v>
      </c>
      <c r="L10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1" s="4">
        <f>ROUND(IF(Tabla14[[#This Row],[OPERACIÓN]]=MAESTRO!$B$2,Tabla14[CAPITAL],IF(Tabla14[[#This Row],[OPERACIÓN]]=MAESTRO!$B$5,Tabla14[CAPITAL],-Tabla14[[#This Row],[CAPITAL]])),2)</f>
        <v>-1270654442.55</v>
      </c>
    </row>
    <row r="1032" spans="1:13" x14ac:dyDescent="0.3">
      <c r="A1032" s="26">
        <v>46202</v>
      </c>
      <c r="B1032" t="s">
        <v>292</v>
      </c>
      <c r="C1032" t="s">
        <v>132</v>
      </c>
      <c r="D1032" s="27" t="s">
        <v>17</v>
      </c>
      <c r="E1032" s="4" t="s">
        <v>136</v>
      </c>
      <c r="F1032" s="4">
        <v>100627005.54000001</v>
      </c>
      <c r="G1032" s="8" t="str">
        <f>+VLOOKUP(Tabla14[[#This Row],[FONDO]],MAESTRO!$D$2:$E$119,2,FALSE)</f>
        <v>Gma Capital</v>
      </c>
      <c r="H1032" s="8" t="str">
        <f>+VLOOKUP(Tabla14[[#This Row],[FONDO]],MAESTRO!D:F,3,FALSE)</f>
        <v>(T+0)</v>
      </c>
      <c r="I1032" s="4" t="s">
        <v>9</v>
      </c>
      <c r="L10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2" s="4">
        <f>ROUND(IF(Tabla14[[#This Row],[OPERACIÓN]]=MAESTRO!$B$2,Tabla14[CAPITAL],IF(Tabla14[[#This Row],[OPERACIÓN]]=MAESTRO!$B$5,Tabla14[CAPITAL],-Tabla14[[#This Row],[CAPITAL]])),2)</f>
        <v>-100627005.54000001</v>
      </c>
    </row>
    <row r="1033" spans="1:13" x14ac:dyDescent="0.3">
      <c r="A1033" s="26">
        <v>46202</v>
      </c>
      <c r="B1033" t="s">
        <v>299</v>
      </c>
      <c r="C1033" t="s">
        <v>132</v>
      </c>
      <c r="D1033" s="27" t="s">
        <v>17</v>
      </c>
      <c r="E1033" s="4" t="s">
        <v>136</v>
      </c>
      <c r="F1033" s="4">
        <v>3801952.23</v>
      </c>
      <c r="G1033" s="8" t="str">
        <f>+VLOOKUP(Tabla14[[#This Row],[FONDO]],MAESTRO!$D$2:$E$119,2,FALSE)</f>
        <v>Gma Capital</v>
      </c>
      <c r="H1033" s="8" t="str">
        <f>+VLOOKUP(Tabla14[[#This Row],[FONDO]],MAESTRO!D:F,3,FALSE)</f>
        <v>(T+0)</v>
      </c>
      <c r="I1033" s="4" t="s">
        <v>9</v>
      </c>
      <c r="L10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3" s="4">
        <f>ROUND(IF(Tabla14[[#This Row],[OPERACIÓN]]=MAESTRO!$B$2,Tabla14[CAPITAL],IF(Tabla14[[#This Row],[OPERACIÓN]]=MAESTRO!$B$5,Tabla14[CAPITAL],-Tabla14[[#This Row],[CAPITAL]])),2)</f>
        <v>-3801952.23</v>
      </c>
    </row>
    <row r="1034" spans="1:13" x14ac:dyDescent="0.3">
      <c r="A1034" s="26">
        <v>46202</v>
      </c>
      <c r="B1034" t="s">
        <v>299</v>
      </c>
      <c r="C1034" t="s">
        <v>132</v>
      </c>
      <c r="D1034" s="27" t="s">
        <v>17</v>
      </c>
      <c r="E1034" s="4" t="s">
        <v>40</v>
      </c>
      <c r="F1034" s="4">
        <v>400000</v>
      </c>
      <c r="G1034" s="8" t="str">
        <f>+VLOOKUP(Tabla14[[#This Row],[FONDO]],MAESTRO!$D$2:$E$119,2,FALSE)</f>
        <v>BBVA Banco Frances SA</v>
      </c>
      <c r="H1034" s="8" t="str">
        <f>+VLOOKUP(Tabla14[[#This Row],[FONDO]],MAESTRO!D:F,3,FALSE)</f>
        <v>(T+0)</v>
      </c>
      <c r="I1034" s="4" t="s">
        <v>9</v>
      </c>
      <c r="L10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4" s="4">
        <f>ROUND(IF(Tabla14[[#This Row],[OPERACIÓN]]=MAESTRO!$B$2,Tabla14[CAPITAL],IF(Tabla14[[#This Row],[OPERACIÓN]]=MAESTRO!$B$5,Tabla14[CAPITAL],-Tabla14[[#This Row],[CAPITAL]])),2)</f>
        <v>-400000</v>
      </c>
    </row>
    <row r="1035" spans="1:13" x14ac:dyDescent="0.3">
      <c r="A1035" s="26">
        <v>46203</v>
      </c>
      <c r="B1035" t="s">
        <v>299</v>
      </c>
      <c r="C1035" t="s">
        <v>132</v>
      </c>
      <c r="D1035" s="27" t="s">
        <v>16</v>
      </c>
      <c r="E1035" s="4" t="s">
        <v>136</v>
      </c>
      <c r="F1035" s="100">
        <v>1590538321</v>
      </c>
      <c r="G1035" s="106" t="str">
        <f>+VLOOKUP(Tabla14[[#This Row],[FONDO]],MAESTRO!$D$2:$E$119,2,FALSE)</f>
        <v>Gma Capital</v>
      </c>
      <c r="H1035" s="8" t="str">
        <f>+VLOOKUP(Tabla14[[#This Row],[FONDO]],MAESTRO!D:F,3,FALSE)</f>
        <v>(T+0)</v>
      </c>
      <c r="I1035" s="4" t="s">
        <v>9</v>
      </c>
      <c r="L10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5" s="4">
        <f>ROUND(IF(Tabla14[[#This Row],[OPERACIÓN]]=MAESTRO!$B$2,Tabla14[CAPITAL],IF(Tabla14[[#This Row],[OPERACIÓN]]=MAESTRO!$B$5,Tabla14[CAPITAL],-Tabla14[[#This Row],[CAPITAL]])),2)</f>
        <v>1590538321</v>
      </c>
    </row>
    <row r="1036" spans="1:13" x14ac:dyDescent="0.3">
      <c r="A1036" s="26">
        <v>46203</v>
      </c>
      <c r="B1036" t="s">
        <v>298</v>
      </c>
      <c r="C1036" t="s">
        <v>132</v>
      </c>
      <c r="D1036" s="27" t="s">
        <v>17</v>
      </c>
      <c r="E1036" s="4" t="s">
        <v>136</v>
      </c>
      <c r="F1036" s="53">
        <v>88910527.659999996</v>
      </c>
      <c r="G1036" s="106" t="str">
        <f>+VLOOKUP(Tabla14[[#This Row],[FONDO]],MAESTRO!$D$2:$E$119,2,FALSE)</f>
        <v>Gma Capital</v>
      </c>
      <c r="H1036" s="8" t="str">
        <f>+VLOOKUP(Tabla14[[#This Row],[FONDO]],MAESTRO!D:F,3,FALSE)</f>
        <v>(T+0)</v>
      </c>
      <c r="I1036" s="4" t="s">
        <v>9</v>
      </c>
      <c r="L10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6" s="4">
        <f>ROUND(IF(Tabla14[[#This Row],[OPERACIÓN]]=MAESTRO!$B$2,Tabla14[CAPITAL],IF(Tabla14[[#This Row],[OPERACIÓN]]=MAESTRO!$B$5,Tabla14[CAPITAL],-Tabla14[[#This Row],[CAPITAL]])),2)</f>
        <v>-88910527.659999996</v>
      </c>
    </row>
    <row r="1037" spans="1:13" x14ac:dyDescent="0.3">
      <c r="A1037" s="26">
        <v>46203</v>
      </c>
      <c r="B1037" t="s">
        <v>298</v>
      </c>
      <c r="C1037" t="s">
        <v>132</v>
      </c>
      <c r="D1037" s="27" t="s">
        <v>17</v>
      </c>
      <c r="E1037" s="4" t="s">
        <v>136</v>
      </c>
      <c r="F1037" s="53">
        <v>110689963.09999999</v>
      </c>
      <c r="G1037" s="106" t="str">
        <f>+VLOOKUP(Tabla14[[#This Row],[FONDO]],MAESTRO!$D$2:$E$119,2,FALSE)</f>
        <v>Gma Capital</v>
      </c>
      <c r="H1037" s="8" t="str">
        <f>+VLOOKUP(Tabla14[[#This Row],[FONDO]],MAESTRO!D:F,3,FALSE)</f>
        <v>(T+0)</v>
      </c>
      <c r="I1037" s="4" t="s">
        <v>9</v>
      </c>
      <c r="L10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7" s="4">
        <f>ROUND(IF(Tabla14[[#This Row],[OPERACIÓN]]=MAESTRO!$B$2,Tabla14[CAPITAL],IF(Tabla14[[#This Row],[OPERACIÓN]]=MAESTRO!$B$5,Tabla14[CAPITAL],-Tabla14[[#This Row],[CAPITAL]])),2)</f>
        <v>-110689963.09999999</v>
      </c>
    </row>
    <row r="1038" spans="1:13" x14ac:dyDescent="0.3">
      <c r="A1038" s="26">
        <v>46203</v>
      </c>
      <c r="B1038" t="s">
        <v>298</v>
      </c>
      <c r="C1038" t="s">
        <v>132</v>
      </c>
      <c r="D1038" s="27" t="s">
        <v>17</v>
      </c>
      <c r="E1038" s="4" t="s">
        <v>169</v>
      </c>
      <c r="F1038" s="53">
        <v>58790288.82</v>
      </c>
      <c r="G1038" s="106" t="str">
        <f>+VLOOKUP(Tabla14[[#This Row],[FONDO]],MAESTRO!$D$2:$E$119,2,FALSE)</f>
        <v>Max Capital</v>
      </c>
      <c r="H1038" s="8" t="str">
        <f>+VLOOKUP(Tabla14[[#This Row],[FONDO]],MAESTRO!D:F,3,FALSE)</f>
        <v>(T+0)</v>
      </c>
      <c r="I1038" s="4" t="s">
        <v>9</v>
      </c>
      <c r="L10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8" s="4">
        <f>ROUND(IF(Tabla14[[#This Row],[OPERACIÓN]]=MAESTRO!$B$2,Tabla14[CAPITAL],IF(Tabla14[[#This Row],[OPERACIÓN]]=MAESTRO!$B$5,Tabla14[CAPITAL],-Tabla14[[#This Row],[CAPITAL]])),2)</f>
        <v>-58790288.82</v>
      </c>
    </row>
    <row r="1039" spans="1:13" x14ac:dyDescent="0.3">
      <c r="A1039" s="26">
        <v>46203</v>
      </c>
      <c r="B1039" t="s">
        <v>299</v>
      </c>
      <c r="C1039" t="s">
        <v>132</v>
      </c>
      <c r="D1039" s="27" t="s">
        <v>17</v>
      </c>
      <c r="E1039" s="4" t="s">
        <v>48</v>
      </c>
      <c r="F1039" s="53">
        <v>19200000</v>
      </c>
      <c r="G1039" s="106" t="str">
        <f>+VLOOKUP(Tabla14[[#This Row],[FONDO]],MAESTRO!$D$2:$E$119,2,FALSE)</f>
        <v>Banco Macro S.A.</v>
      </c>
      <c r="H1039" s="8" t="str">
        <f>+VLOOKUP(Tabla14[[#This Row],[FONDO]],MAESTRO!D:F,3,FALSE)</f>
        <v>(T+0)</v>
      </c>
      <c r="I1039" s="4" t="s">
        <v>9</v>
      </c>
      <c r="L10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39" s="4">
        <f>ROUND(IF(Tabla14[[#This Row],[OPERACIÓN]]=MAESTRO!$B$2,Tabla14[CAPITAL],IF(Tabla14[[#This Row],[OPERACIÓN]]=MAESTRO!$B$5,Tabla14[CAPITAL],-Tabla14[[#This Row],[CAPITAL]])),2)</f>
        <v>-19200000</v>
      </c>
    </row>
    <row r="1040" spans="1:13" x14ac:dyDescent="0.3">
      <c r="A1040" s="26">
        <v>46203</v>
      </c>
      <c r="B1040" t="s">
        <v>126</v>
      </c>
      <c r="C1040" t="s">
        <v>132</v>
      </c>
      <c r="D1040" s="27" t="s">
        <v>17</v>
      </c>
      <c r="E1040" s="4" t="s">
        <v>48</v>
      </c>
      <c r="F1040" s="53">
        <v>67600000</v>
      </c>
      <c r="G1040" s="106" t="str">
        <f>+VLOOKUP(Tabla14[[#This Row],[FONDO]],MAESTRO!$D$2:$E$119,2,FALSE)</f>
        <v>Banco Macro S.A.</v>
      </c>
      <c r="H1040" s="8" t="str">
        <f>+VLOOKUP(Tabla14[[#This Row],[FONDO]],MAESTRO!D:F,3,FALSE)</f>
        <v>(T+0)</v>
      </c>
      <c r="I1040" s="4" t="s">
        <v>9</v>
      </c>
      <c r="L10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0" s="4">
        <f>ROUND(IF(Tabla14[[#This Row],[OPERACIÓN]]=MAESTRO!$B$2,Tabla14[CAPITAL],IF(Tabla14[[#This Row],[OPERACIÓN]]=MAESTRO!$B$5,Tabla14[CAPITAL],-Tabla14[[#This Row],[CAPITAL]])),2)</f>
        <v>-67600000</v>
      </c>
    </row>
    <row r="1041" spans="1:13" x14ac:dyDescent="0.3">
      <c r="A1041" s="26">
        <v>46203</v>
      </c>
      <c r="B1041" t="s">
        <v>120</v>
      </c>
      <c r="C1041" t="s">
        <v>132</v>
      </c>
      <c r="D1041" s="27" t="s">
        <v>16</v>
      </c>
      <c r="E1041" s="4" t="s">
        <v>40</v>
      </c>
      <c r="F1041" s="4">
        <v>2900000</v>
      </c>
      <c r="G1041" s="106" t="str">
        <f>+VLOOKUP(Tabla14[[#This Row],[FONDO]],MAESTRO!$D$2:$E$119,2,FALSE)</f>
        <v>BBVA Banco Frances SA</v>
      </c>
      <c r="H1041" s="8" t="str">
        <f>+VLOOKUP(Tabla14[[#This Row],[FONDO]],MAESTRO!D:F,3,FALSE)</f>
        <v>(T+0)</v>
      </c>
      <c r="I1041" s="4" t="s">
        <v>9</v>
      </c>
      <c r="L10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1" s="4">
        <f>ROUND(IF(Tabla14[[#This Row],[OPERACIÓN]]=MAESTRO!$B$2,Tabla14[CAPITAL],IF(Tabla14[[#This Row],[OPERACIÓN]]=MAESTRO!$B$5,Tabla14[CAPITAL],-Tabla14[[#This Row],[CAPITAL]])),2)</f>
        <v>2900000</v>
      </c>
    </row>
    <row r="1042" spans="1:13" x14ac:dyDescent="0.3">
      <c r="A1042" s="26">
        <v>46203</v>
      </c>
      <c r="B1042" t="s">
        <v>298</v>
      </c>
      <c r="C1042" t="s">
        <v>132</v>
      </c>
      <c r="D1042" s="27" t="s">
        <v>16</v>
      </c>
      <c r="E1042" s="4" t="s">
        <v>48</v>
      </c>
      <c r="F1042" s="53">
        <v>328500000</v>
      </c>
      <c r="G1042" s="106" t="str">
        <f>+VLOOKUP(Tabla14[[#This Row],[FONDO]],MAESTRO!$D$2:$E$119,2,FALSE)</f>
        <v>Banco Macro S.A.</v>
      </c>
      <c r="H1042" s="8" t="str">
        <f>+VLOOKUP(Tabla14[[#This Row],[FONDO]],MAESTRO!D:F,3,FALSE)</f>
        <v>(T+0)</v>
      </c>
      <c r="I1042" s="4" t="s">
        <v>9</v>
      </c>
      <c r="L10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2" s="4">
        <f>ROUND(IF(Tabla14[[#This Row],[OPERACIÓN]]=MAESTRO!$B$2,Tabla14[CAPITAL],IF(Tabla14[[#This Row],[OPERACIÓN]]=MAESTRO!$B$5,Tabla14[CAPITAL],-Tabla14[[#This Row],[CAPITAL]])),2)</f>
        <v>328500000</v>
      </c>
    </row>
    <row r="1043" spans="1:13" x14ac:dyDescent="0.3">
      <c r="A1043" s="26">
        <v>46203</v>
      </c>
      <c r="B1043" t="s">
        <v>292</v>
      </c>
      <c r="C1043" t="s">
        <v>132</v>
      </c>
      <c r="D1043" s="27" t="s">
        <v>16</v>
      </c>
      <c r="E1043" s="4" t="s">
        <v>48</v>
      </c>
      <c r="F1043" s="53">
        <v>7000000</v>
      </c>
      <c r="G1043" s="106" t="str">
        <f>+VLOOKUP(Tabla14[[#This Row],[FONDO]],MAESTRO!$D$2:$E$119,2,FALSE)</f>
        <v>Banco Macro S.A.</v>
      </c>
      <c r="H1043" s="8" t="str">
        <f>+VLOOKUP(Tabla14[[#This Row],[FONDO]],MAESTRO!D:F,3,FALSE)</f>
        <v>(T+0)</v>
      </c>
      <c r="I1043" s="4" t="s">
        <v>9</v>
      </c>
      <c r="L10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3" s="4">
        <f>ROUND(IF(Tabla14[[#This Row],[OPERACIÓN]]=MAESTRO!$B$2,Tabla14[CAPITAL],IF(Tabla14[[#This Row],[OPERACIÓN]]=MAESTRO!$B$5,Tabla14[CAPITAL],-Tabla14[[#This Row],[CAPITAL]])),2)</f>
        <v>7000000</v>
      </c>
    </row>
    <row r="1044" spans="1:13" x14ac:dyDescent="0.3">
      <c r="A1044" s="37">
        <v>46203</v>
      </c>
      <c r="B1044" s="20" t="s">
        <v>298</v>
      </c>
      <c r="C1044" s="20" t="s">
        <v>132</v>
      </c>
      <c r="D1044" s="38" t="s">
        <v>16</v>
      </c>
      <c r="E1044" s="39" t="s">
        <v>57</v>
      </c>
      <c r="F1044" s="39">
        <v>8259887</v>
      </c>
      <c r="G1044" s="107" t="str">
        <f>+VLOOKUP(Tabla14[[#This Row],[FONDO]],MAESTRO!$D$2:$E$119,2,FALSE)</f>
        <v>Banco Santander Rio S.A.</v>
      </c>
      <c r="H1044" s="40" t="str">
        <f>+VLOOKUP(Tabla14[[#This Row],[FONDO]],MAESTRO!D:F,3,FALSE)</f>
        <v>(T+1)</v>
      </c>
      <c r="I1044" s="39" t="s">
        <v>9</v>
      </c>
      <c r="J1044" s="49"/>
      <c r="K1044" s="20"/>
      <c r="L104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4" s="39">
        <f>ROUND(IF(Tabla14[[#This Row],[OPERACIÓN]]=MAESTRO!$B$2,Tabla14[CAPITAL],IF(Tabla14[[#This Row],[OPERACIÓN]]=MAESTRO!$B$5,Tabla14[CAPITAL],-Tabla14[[#This Row],[CAPITAL]])),2)</f>
        <v>8259887</v>
      </c>
    </row>
    <row r="1045" spans="1:13" x14ac:dyDescent="0.3">
      <c r="A1045" s="26">
        <v>46204</v>
      </c>
      <c r="B1045" t="s">
        <v>126</v>
      </c>
      <c r="C1045" t="s">
        <v>132</v>
      </c>
      <c r="D1045" s="27" t="s">
        <v>17</v>
      </c>
      <c r="E1045" s="4" t="s">
        <v>48</v>
      </c>
      <c r="F1045" s="4">
        <v>34900000</v>
      </c>
      <c r="G1045" s="8" t="str">
        <f>+VLOOKUP(Tabla14[[#This Row],[FONDO]],MAESTRO!$D$2:$E$119,2,FALSE)</f>
        <v>Banco Macro S.A.</v>
      </c>
      <c r="H1045" s="8" t="str">
        <f>+VLOOKUP(Tabla14[[#This Row],[FONDO]],MAESTRO!D:F,3,FALSE)</f>
        <v>(T+0)</v>
      </c>
      <c r="I1045" s="4" t="s">
        <v>9</v>
      </c>
      <c r="L10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5" s="4">
        <f>ROUND(IF(Tabla14[[#This Row],[OPERACIÓN]]=MAESTRO!$B$2,Tabla14[CAPITAL],IF(Tabla14[[#This Row],[OPERACIÓN]]=MAESTRO!$B$5,Tabla14[CAPITAL],-Tabla14[[#This Row],[CAPITAL]])),2)</f>
        <v>-34900000</v>
      </c>
    </row>
    <row r="1046" spans="1:13" x14ac:dyDescent="0.3">
      <c r="A1046" s="26">
        <v>46204</v>
      </c>
      <c r="B1046" t="s">
        <v>292</v>
      </c>
      <c r="C1046" t="s">
        <v>132</v>
      </c>
      <c r="D1046" s="27" t="s">
        <v>17</v>
      </c>
      <c r="E1046" s="4" t="s">
        <v>48</v>
      </c>
      <c r="F1046" s="4">
        <v>355200000</v>
      </c>
      <c r="G1046" s="8" t="str">
        <f>+VLOOKUP(Tabla14[[#This Row],[FONDO]],MAESTRO!$D$2:$E$119,2,FALSE)</f>
        <v>Banco Macro S.A.</v>
      </c>
      <c r="H1046" s="8" t="str">
        <f>+VLOOKUP(Tabla14[[#This Row],[FONDO]],MAESTRO!D:F,3,FALSE)</f>
        <v>(T+0)</v>
      </c>
      <c r="I1046" s="4" t="s">
        <v>9</v>
      </c>
      <c r="L10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6" s="4">
        <f>ROUND(IF(Tabla14[[#This Row],[OPERACIÓN]]=MAESTRO!$B$2,Tabla14[CAPITAL],IF(Tabla14[[#This Row],[OPERACIÓN]]=MAESTRO!$B$5,Tabla14[CAPITAL],-Tabla14[[#This Row],[CAPITAL]])),2)</f>
        <v>-355200000</v>
      </c>
    </row>
    <row r="1047" spans="1:13" x14ac:dyDescent="0.3">
      <c r="A1047" s="26">
        <v>46204</v>
      </c>
      <c r="B1047" t="s">
        <v>298</v>
      </c>
      <c r="C1047" t="s">
        <v>132</v>
      </c>
      <c r="D1047" s="27" t="s">
        <v>17</v>
      </c>
      <c r="E1047" s="4" t="s">
        <v>40</v>
      </c>
      <c r="F1047" s="4">
        <v>1148600000</v>
      </c>
      <c r="G1047" s="8" t="str">
        <f>+VLOOKUP(Tabla14[[#This Row],[FONDO]],MAESTRO!$D$2:$E$119,2,FALSE)</f>
        <v>BBVA Banco Frances SA</v>
      </c>
      <c r="H1047" s="8" t="str">
        <f>+VLOOKUP(Tabla14[[#This Row],[FONDO]],MAESTRO!D:F,3,FALSE)</f>
        <v>(T+0)</v>
      </c>
      <c r="I1047" s="4" t="s">
        <v>9</v>
      </c>
      <c r="L10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7" s="4">
        <f>ROUND(IF(Tabla14[[#This Row],[OPERACIÓN]]=MAESTRO!$B$2,Tabla14[CAPITAL],IF(Tabla14[[#This Row],[OPERACIÓN]]=MAESTRO!$B$5,Tabla14[CAPITAL],-Tabla14[[#This Row],[CAPITAL]])),2)</f>
        <v>-1148600000</v>
      </c>
    </row>
    <row r="1048" spans="1:13" x14ac:dyDescent="0.3">
      <c r="A1048" s="26">
        <v>46204</v>
      </c>
      <c r="B1048" t="s">
        <v>299</v>
      </c>
      <c r="C1048" t="s">
        <v>132</v>
      </c>
      <c r="D1048" s="27" t="s">
        <v>16</v>
      </c>
      <c r="E1048" s="4" t="s">
        <v>48</v>
      </c>
      <c r="F1048" s="4">
        <v>318500000</v>
      </c>
      <c r="G1048" s="8" t="str">
        <f>+VLOOKUP(Tabla14[[#This Row],[FONDO]],MAESTRO!$D$2:$E$119,2,FALSE)</f>
        <v>Banco Macro S.A.</v>
      </c>
      <c r="H1048" s="8" t="str">
        <f>+VLOOKUP(Tabla14[[#This Row],[FONDO]],MAESTRO!D:F,3,FALSE)</f>
        <v>(T+0)</v>
      </c>
      <c r="I1048" s="4" t="s">
        <v>9</v>
      </c>
      <c r="L10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8" s="4">
        <f>ROUND(IF(Tabla14[[#This Row],[OPERACIÓN]]=MAESTRO!$B$2,Tabla14[CAPITAL],IF(Tabla14[[#This Row],[OPERACIÓN]]=MAESTRO!$B$5,Tabla14[CAPITAL],-Tabla14[[#This Row],[CAPITAL]])),2)</f>
        <v>318500000</v>
      </c>
    </row>
    <row r="1049" spans="1:13" x14ac:dyDescent="0.3">
      <c r="A1049" s="26">
        <v>46204</v>
      </c>
      <c r="B1049" t="s">
        <v>292</v>
      </c>
      <c r="C1049" t="s">
        <v>132</v>
      </c>
      <c r="D1049" s="27" t="s">
        <v>16</v>
      </c>
      <c r="E1049" s="4" t="s">
        <v>170</v>
      </c>
      <c r="F1049" s="4">
        <v>2972000000</v>
      </c>
      <c r="G1049" s="8" t="str">
        <f>+VLOOKUP(Tabla14[[#This Row],[FONDO]],MAESTRO!$D$2:$E$119,2,FALSE)</f>
        <v>Banco Santander Rio S.A.</v>
      </c>
      <c r="H1049" s="8" t="str">
        <f>+VLOOKUP(Tabla14[[#This Row],[FONDO]],MAESTRO!D:F,3,FALSE)</f>
        <v>(T+0)</v>
      </c>
      <c r="I1049" s="4" t="s">
        <v>9</v>
      </c>
      <c r="L10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49" s="4">
        <f>ROUND(IF(Tabla14[[#This Row],[OPERACIÓN]]=MAESTRO!$B$2,Tabla14[CAPITAL],IF(Tabla14[[#This Row],[OPERACIÓN]]=MAESTRO!$B$5,Tabla14[CAPITAL],-Tabla14[[#This Row],[CAPITAL]])),2)</f>
        <v>2972000000</v>
      </c>
    </row>
    <row r="1050" spans="1:13" x14ac:dyDescent="0.3">
      <c r="A1050" s="26">
        <v>46204</v>
      </c>
      <c r="B1050" t="s">
        <v>298</v>
      </c>
      <c r="C1050" t="s">
        <v>132</v>
      </c>
      <c r="D1050" s="27" t="s">
        <v>16</v>
      </c>
      <c r="E1050" s="4" t="s">
        <v>40</v>
      </c>
      <c r="F1050" s="4">
        <v>13000000</v>
      </c>
      <c r="G1050" s="8" t="str">
        <f>+VLOOKUP(Tabla14[[#This Row],[FONDO]],MAESTRO!$D$2:$E$119,2,FALSE)</f>
        <v>BBVA Banco Frances SA</v>
      </c>
      <c r="H1050" s="8" t="str">
        <f>+VLOOKUP(Tabla14[[#This Row],[FONDO]],MAESTRO!D:F,3,FALSE)</f>
        <v>(T+0)</v>
      </c>
      <c r="I1050" s="4" t="s">
        <v>9</v>
      </c>
      <c r="L10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0" s="4">
        <f>ROUND(IF(Tabla14[[#This Row],[OPERACIÓN]]=MAESTRO!$B$2,Tabla14[CAPITAL],IF(Tabla14[[#This Row],[OPERACIÓN]]=MAESTRO!$B$5,Tabla14[CAPITAL],-Tabla14[[#This Row],[CAPITAL]])),2)</f>
        <v>13000000</v>
      </c>
    </row>
    <row r="1051" spans="1:13" x14ac:dyDescent="0.3">
      <c r="A1051" s="26">
        <v>46205</v>
      </c>
      <c r="B1051" t="s">
        <v>292</v>
      </c>
      <c r="C1051" t="s">
        <v>132</v>
      </c>
      <c r="D1051" s="27" t="s">
        <v>17</v>
      </c>
      <c r="E1051" s="4" t="s">
        <v>136</v>
      </c>
      <c r="F1051" s="53">
        <v>58566775.549999997</v>
      </c>
      <c r="G1051" s="108" t="str">
        <f>+VLOOKUP(Tabla14[[#This Row],[FONDO]],MAESTRO!$D$2:$E$119,2,FALSE)</f>
        <v>Gma Capital</v>
      </c>
      <c r="H1051" s="8" t="str">
        <f>+VLOOKUP(Tabla14[[#This Row],[FONDO]],MAESTRO!D:F,3,FALSE)</f>
        <v>(T+0)</v>
      </c>
      <c r="I1051" s="4" t="s">
        <v>9</v>
      </c>
      <c r="L10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1" s="4">
        <f>ROUND(IF(Tabla14[[#This Row],[OPERACIÓN]]=MAESTRO!$B$2,Tabla14[CAPITAL],IF(Tabla14[[#This Row],[OPERACIÓN]]=MAESTRO!$B$5,Tabla14[CAPITAL],-Tabla14[[#This Row],[CAPITAL]])),2)</f>
        <v>-58566775.549999997</v>
      </c>
    </row>
    <row r="1052" spans="1:13" x14ac:dyDescent="0.3">
      <c r="A1052" s="26">
        <v>46205</v>
      </c>
      <c r="B1052" t="s">
        <v>298</v>
      </c>
      <c r="C1052" t="s">
        <v>132</v>
      </c>
      <c r="D1052" s="27" t="s">
        <v>17</v>
      </c>
      <c r="E1052" s="4" t="s">
        <v>136</v>
      </c>
      <c r="F1052" s="53">
        <v>114271763.48</v>
      </c>
      <c r="G1052" s="108" t="str">
        <f>+VLOOKUP(Tabla14[[#This Row],[FONDO]],MAESTRO!$D$2:$E$119,2,FALSE)</f>
        <v>Gma Capital</v>
      </c>
      <c r="H1052" s="8" t="str">
        <f>+VLOOKUP(Tabla14[[#This Row],[FONDO]],MAESTRO!D:F,3,FALSE)</f>
        <v>(T+0)</v>
      </c>
      <c r="I1052" s="4" t="s">
        <v>9</v>
      </c>
      <c r="L10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2" s="4">
        <f>ROUND(IF(Tabla14[[#This Row],[OPERACIÓN]]=MAESTRO!$B$2,Tabla14[CAPITAL],IF(Tabla14[[#This Row],[OPERACIÓN]]=MAESTRO!$B$5,Tabla14[CAPITAL],-Tabla14[[#This Row],[CAPITAL]])),2)</f>
        <v>-114271763.48</v>
      </c>
    </row>
    <row r="1053" spans="1:13" x14ac:dyDescent="0.3">
      <c r="A1053" s="26">
        <v>46205</v>
      </c>
      <c r="B1053" t="s">
        <v>298</v>
      </c>
      <c r="C1053" t="s">
        <v>132</v>
      </c>
      <c r="D1053" s="27" t="s">
        <v>17</v>
      </c>
      <c r="E1053" s="4" t="s">
        <v>136</v>
      </c>
      <c r="F1053" s="53">
        <v>96894061.730000004</v>
      </c>
      <c r="G1053" s="108" t="str">
        <f>+VLOOKUP(Tabla14[[#This Row],[FONDO]],MAESTRO!$D$2:$E$119,2,FALSE)</f>
        <v>Gma Capital</v>
      </c>
      <c r="H1053" s="8" t="str">
        <f>+VLOOKUP(Tabla14[[#This Row],[FONDO]],MAESTRO!D:F,3,FALSE)</f>
        <v>(T+0)</v>
      </c>
      <c r="I1053" s="4" t="s">
        <v>9</v>
      </c>
      <c r="L10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3" s="4">
        <f>ROUND(IF(Tabla14[[#This Row],[OPERACIÓN]]=MAESTRO!$B$2,Tabla14[CAPITAL],IF(Tabla14[[#This Row],[OPERACIÓN]]=MAESTRO!$B$5,Tabla14[CAPITAL],-Tabla14[[#This Row],[CAPITAL]])),2)</f>
        <v>-96894061.730000004</v>
      </c>
    </row>
    <row r="1054" spans="1:13" x14ac:dyDescent="0.3">
      <c r="A1054" s="26">
        <v>46205</v>
      </c>
      <c r="B1054" t="s">
        <v>292</v>
      </c>
      <c r="C1054" t="s">
        <v>132</v>
      </c>
      <c r="D1054" s="27" t="s">
        <v>17</v>
      </c>
      <c r="E1054" s="4" t="s">
        <v>170</v>
      </c>
      <c r="F1054" s="53">
        <v>184383343.40000001</v>
      </c>
      <c r="G1054" s="108" t="str">
        <f>+VLOOKUP(Tabla14[[#This Row],[FONDO]],MAESTRO!$D$2:$E$119,2,FALSE)</f>
        <v>Banco Santander Rio S.A.</v>
      </c>
      <c r="H1054" s="8" t="str">
        <f>+VLOOKUP(Tabla14[[#This Row],[FONDO]],MAESTRO!D:F,3,FALSE)</f>
        <v>(T+0)</v>
      </c>
      <c r="I1054" s="4" t="s">
        <v>9</v>
      </c>
      <c r="L10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4" s="4">
        <f>ROUND(IF(Tabla14[[#This Row],[OPERACIÓN]]=MAESTRO!$B$2,Tabla14[CAPITAL],IF(Tabla14[[#This Row],[OPERACIÓN]]=MAESTRO!$B$5,Tabla14[CAPITAL],-Tabla14[[#This Row],[CAPITAL]])),2)</f>
        <v>-184383343.40000001</v>
      </c>
    </row>
    <row r="1055" spans="1:13" x14ac:dyDescent="0.3">
      <c r="A1055" s="26">
        <v>46205</v>
      </c>
      <c r="B1055" t="s">
        <v>292</v>
      </c>
      <c r="C1055" t="s">
        <v>132</v>
      </c>
      <c r="D1055" s="27" t="s">
        <v>17</v>
      </c>
      <c r="E1055" s="4" t="s">
        <v>170</v>
      </c>
      <c r="F1055" s="100">
        <v>170000000</v>
      </c>
      <c r="G1055" s="108" t="str">
        <f>+VLOOKUP(Tabla14[[#This Row],[FONDO]],MAESTRO!$D$2:$E$119,2,FALSE)</f>
        <v>Banco Santander Rio S.A.</v>
      </c>
      <c r="H1055" s="8" t="str">
        <f>+VLOOKUP(Tabla14[[#This Row],[FONDO]],MAESTRO!D:F,3,FALSE)</f>
        <v>(T+0)</v>
      </c>
      <c r="I1055" s="4" t="s">
        <v>9</v>
      </c>
      <c r="L10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5" s="4">
        <f>ROUND(IF(Tabla14[[#This Row],[OPERACIÓN]]=MAESTRO!$B$2,Tabla14[CAPITAL],IF(Tabla14[[#This Row],[OPERACIÓN]]=MAESTRO!$B$5,Tabla14[CAPITAL],-Tabla14[[#This Row],[CAPITAL]])),2)</f>
        <v>-170000000</v>
      </c>
    </row>
    <row r="1056" spans="1:13" x14ac:dyDescent="0.3">
      <c r="A1056" s="26">
        <v>46205</v>
      </c>
      <c r="B1056" t="s">
        <v>298</v>
      </c>
      <c r="C1056" t="s">
        <v>132</v>
      </c>
      <c r="D1056" s="27" t="s">
        <v>17</v>
      </c>
      <c r="E1056" s="4" t="s">
        <v>170</v>
      </c>
      <c r="F1056" s="53">
        <v>79956206.180000007</v>
      </c>
      <c r="G1056" s="108" t="str">
        <f>+VLOOKUP(Tabla14[[#This Row],[FONDO]],MAESTRO!$D$2:$E$119,2,FALSE)</f>
        <v>Banco Santander Rio S.A.</v>
      </c>
      <c r="H1056" s="8" t="str">
        <f>+VLOOKUP(Tabla14[[#This Row],[FONDO]],MAESTRO!D:F,3,FALSE)</f>
        <v>(T+0)</v>
      </c>
      <c r="I1056" s="4" t="s">
        <v>9</v>
      </c>
      <c r="L10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6" s="4">
        <f>ROUND(IF(Tabla14[[#This Row],[OPERACIÓN]]=MAESTRO!$B$2,Tabla14[CAPITAL],IF(Tabla14[[#This Row],[OPERACIÓN]]=MAESTRO!$B$5,Tabla14[CAPITAL],-Tabla14[[#This Row],[CAPITAL]])),2)</f>
        <v>-79956206.180000007</v>
      </c>
    </row>
    <row r="1057" spans="1:13" x14ac:dyDescent="0.3">
      <c r="A1057" s="26">
        <v>46205</v>
      </c>
      <c r="B1057" t="s">
        <v>126</v>
      </c>
      <c r="C1057" t="s">
        <v>132</v>
      </c>
      <c r="D1057" s="27" t="s">
        <v>17</v>
      </c>
      <c r="E1057" s="4" t="s">
        <v>48</v>
      </c>
      <c r="F1057" s="4">
        <v>58200000</v>
      </c>
      <c r="G1057" s="108" t="str">
        <f>+VLOOKUP(Tabla14[[#This Row],[FONDO]],MAESTRO!$D$2:$E$119,2,FALSE)</f>
        <v>Banco Macro S.A.</v>
      </c>
      <c r="H1057" s="8" t="str">
        <f>+VLOOKUP(Tabla14[[#This Row],[FONDO]],MAESTRO!D:F,3,FALSE)</f>
        <v>(T+0)</v>
      </c>
      <c r="I1057" s="4" t="s">
        <v>9</v>
      </c>
      <c r="L10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7" s="4">
        <f>ROUND(IF(Tabla14[[#This Row],[OPERACIÓN]]=MAESTRO!$B$2,Tabla14[CAPITAL],IF(Tabla14[[#This Row],[OPERACIÓN]]=MAESTRO!$B$5,Tabla14[CAPITAL],-Tabla14[[#This Row],[CAPITAL]])),2)</f>
        <v>-58200000</v>
      </c>
    </row>
    <row r="1058" spans="1:13" x14ac:dyDescent="0.3">
      <c r="A1058" s="26">
        <v>46205</v>
      </c>
      <c r="B1058" t="s">
        <v>120</v>
      </c>
      <c r="C1058" t="s">
        <v>132</v>
      </c>
      <c r="D1058" s="27" t="s">
        <v>17</v>
      </c>
      <c r="E1058" s="4" t="s">
        <v>40</v>
      </c>
      <c r="F1058" s="4">
        <v>200000</v>
      </c>
      <c r="G1058" s="108" t="str">
        <f>+VLOOKUP(Tabla14[[#This Row],[FONDO]],MAESTRO!$D$2:$E$119,2,FALSE)</f>
        <v>BBVA Banco Frances SA</v>
      </c>
      <c r="H1058" s="8" t="str">
        <f>+VLOOKUP(Tabla14[[#This Row],[FONDO]],MAESTRO!D:F,3,FALSE)</f>
        <v>(T+0)</v>
      </c>
      <c r="I1058" s="4" t="s">
        <v>9</v>
      </c>
      <c r="L10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8" s="4">
        <f>ROUND(IF(Tabla14[[#This Row],[OPERACIÓN]]=MAESTRO!$B$2,Tabla14[CAPITAL],IF(Tabla14[[#This Row],[OPERACIÓN]]=MAESTRO!$B$5,Tabla14[CAPITAL],-Tabla14[[#This Row],[CAPITAL]])),2)</f>
        <v>-200000</v>
      </c>
    </row>
    <row r="1059" spans="1:13" x14ac:dyDescent="0.3">
      <c r="A1059" s="26">
        <v>46205</v>
      </c>
      <c r="B1059" t="s">
        <v>292</v>
      </c>
      <c r="C1059" t="s">
        <v>132</v>
      </c>
      <c r="D1059" s="27" t="s">
        <v>17</v>
      </c>
      <c r="E1059" s="4" t="s">
        <v>48</v>
      </c>
      <c r="F1059" s="4">
        <v>58800000</v>
      </c>
      <c r="G1059" s="108" t="str">
        <f>+VLOOKUP(Tabla14[[#This Row],[FONDO]],MAESTRO!$D$2:$E$119,2,FALSE)</f>
        <v>Banco Macro S.A.</v>
      </c>
      <c r="H1059" s="8" t="str">
        <f>+VLOOKUP(Tabla14[[#This Row],[FONDO]],MAESTRO!D:F,3,FALSE)</f>
        <v>(T+0)</v>
      </c>
      <c r="I1059" s="4" t="s">
        <v>9</v>
      </c>
      <c r="L10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59" s="4">
        <f>ROUND(IF(Tabla14[[#This Row],[OPERACIÓN]]=MAESTRO!$B$2,Tabla14[CAPITAL],IF(Tabla14[[#This Row],[OPERACIÓN]]=MAESTRO!$B$5,Tabla14[CAPITAL],-Tabla14[[#This Row],[CAPITAL]])),2)</f>
        <v>-58800000</v>
      </c>
    </row>
    <row r="1060" spans="1:13" x14ac:dyDescent="0.3">
      <c r="A1060" s="26">
        <v>46205</v>
      </c>
      <c r="B1060" t="s">
        <v>299</v>
      </c>
      <c r="C1060" t="s">
        <v>132</v>
      </c>
      <c r="D1060" s="27" t="s">
        <v>17</v>
      </c>
      <c r="E1060" s="4" t="s">
        <v>48</v>
      </c>
      <c r="F1060" s="4">
        <v>17000000</v>
      </c>
      <c r="G1060" s="108" t="str">
        <f>+VLOOKUP(Tabla14[[#This Row],[FONDO]],MAESTRO!$D$2:$E$119,2,FALSE)</f>
        <v>Banco Macro S.A.</v>
      </c>
      <c r="H1060" s="8" t="str">
        <f>+VLOOKUP(Tabla14[[#This Row],[FONDO]],MAESTRO!D:F,3,FALSE)</f>
        <v>(T+0)</v>
      </c>
      <c r="I1060" s="4" t="s">
        <v>9</v>
      </c>
      <c r="L10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0" s="4">
        <f>ROUND(IF(Tabla14[[#This Row],[OPERACIÓN]]=MAESTRO!$B$2,Tabla14[CAPITAL],IF(Tabla14[[#This Row],[OPERACIÓN]]=MAESTRO!$B$5,Tabla14[CAPITAL],-Tabla14[[#This Row],[CAPITAL]])),2)</f>
        <v>-17000000</v>
      </c>
    </row>
    <row r="1061" spans="1:13" x14ac:dyDescent="0.3">
      <c r="A1061" s="26">
        <v>46205</v>
      </c>
      <c r="B1061" t="s">
        <v>298</v>
      </c>
      <c r="C1061" t="s">
        <v>132</v>
      </c>
      <c r="D1061" s="27" t="s">
        <v>17</v>
      </c>
      <c r="E1061" s="4" t="s">
        <v>40</v>
      </c>
      <c r="F1061" s="4">
        <v>267300000</v>
      </c>
      <c r="G1061" s="108" t="str">
        <f>+VLOOKUP(Tabla14[[#This Row],[FONDO]],MAESTRO!$D$2:$E$119,2,FALSE)</f>
        <v>BBVA Banco Frances SA</v>
      </c>
      <c r="H1061" s="8" t="str">
        <f>+VLOOKUP(Tabla14[[#This Row],[FONDO]],MAESTRO!D:F,3,FALSE)</f>
        <v>(T+0)</v>
      </c>
      <c r="I1061" s="4" t="s">
        <v>9</v>
      </c>
      <c r="L10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1" s="4">
        <f>ROUND(IF(Tabla14[[#This Row],[OPERACIÓN]]=MAESTRO!$B$2,Tabla14[CAPITAL],IF(Tabla14[[#This Row],[OPERACIÓN]]=MAESTRO!$B$5,Tabla14[CAPITAL],-Tabla14[[#This Row],[CAPITAL]])),2)</f>
        <v>-267300000</v>
      </c>
    </row>
    <row r="1062" spans="1:13" x14ac:dyDescent="0.3">
      <c r="A1062" s="26">
        <v>46205</v>
      </c>
      <c r="B1062" t="s">
        <v>299</v>
      </c>
      <c r="C1062" t="s">
        <v>132</v>
      </c>
      <c r="D1062" s="27" t="s">
        <v>16</v>
      </c>
      <c r="E1062" s="4" t="s">
        <v>169</v>
      </c>
      <c r="F1062" s="53">
        <v>48522311.560000002</v>
      </c>
      <c r="G1062" s="108" t="str">
        <f>+VLOOKUP(Tabla14[[#This Row],[FONDO]],MAESTRO!$D$2:$E$119,2,FALSE)</f>
        <v>Max Capital</v>
      </c>
      <c r="H1062" s="8" t="str">
        <f>+VLOOKUP(Tabla14[[#This Row],[FONDO]],MAESTRO!D:F,3,FALSE)</f>
        <v>(T+0)</v>
      </c>
      <c r="I1062" s="4" t="s">
        <v>9</v>
      </c>
      <c r="L10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2" s="4">
        <f>ROUND(IF(Tabla14[[#This Row],[OPERACIÓN]]=MAESTRO!$B$2,Tabla14[CAPITAL],IF(Tabla14[[#This Row],[OPERACIÓN]]=MAESTRO!$B$5,Tabla14[CAPITAL],-Tabla14[[#This Row],[CAPITAL]])),2)</f>
        <v>48522311.560000002</v>
      </c>
    </row>
    <row r="1063" spans="1:13" x14ac:dyDescent="0.3">
      <c r="A1063" s="26">
        <v>46205</v>
      </c>
      <c r="B1063" t="s">
        <v>298</v>
      </c>
      <c r="C1063" t="s">
        <v>132</v>
      </c>
      <c r="D1063" s="27" t="s">
        <v>17</v>
      </c>
      <c r="E1063" s="4" t="s">
        <v>40</v>
      </c>
      <c r="F1063" s="4">
        <v>7800000</v>
      </c>
      <c r="G1063" s="108" t="str">
        <f>+VLOOKUP(Tabla14[[#This Row],[FONDO]],MAESTRO!$D$2:$E$119,2,FALSE)</f>
        <v>BBVA Banco Frances SA</v>
      </c>
      <c r="H1063" s="8" t="str">
        <f>+VLOOKUP(Tabla14[[#This Row],[FONDO]],MAESTRO!D:F,3,FALSE)</f>
        <v>(T+0)</v>
      </c>
      <c r="I1063" s="4" t="s">
        <v>9</v>
      </c>
      <c r="L10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3" s="4">
        <f>ROUND(IF(Tabla14[[#This Row],[OPERACIÓN]]=MAESTRO!$B$2,Tabla14[CAPITAL],IF(Tabla14[[#This Row],[OPERACIÓN]]=MAESTRO!$B$5,Tabla14[CAPITAL],-Tabla14[[#This Row],[CAPITAL]])),2)</f>
        <v>-7800000</v>
      </c>
    </row>
    <row r="1064" spans="1:13" x14ac:dyDescent="0.3">
      <c r="A1064" s="26">
        <v>46206</v>
      </c>
      <c r="B1064" t="s">
        <v>292</v>
      </c>
      <c r="C1064" t="s">
        <v>132</v>
      </c>
      <c r="D1064" s="27" t="s">
        <v>17</v>
      </c>
      <c r="E1064" s="4" t="s">
        <v>48</v>
      </c>
      <c r="F1064" s="4">
        <v>72400000</v>
      </c>
      <c r="G1064" s="8" t="str">
        <f>+VLOOKUP(Tabla14[[#This Row],[FONDO]],MAESTRO!$D$2:$E$119,2,FALSE)</f>
        <v>Banco Macro S.A.</v>
      </c>
      <c r="H1064" s="8" t="str">
        <f>+VLOOKUP(Tabla14[[#This Row],[FONDO]],MAESTRO!D:F,3,FALSE)</f>
        <v>(T+0)</v>
      </c>
      <c r="I1064" s="4" t="s">
        <v>9</v>
      </c>
      <c r="L106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4" s="4">
        <f>ROUND(IF(Tabla14[[#This Row],[OPERACIÓN]]=MAESTRO!$B$2,Tabla14[CAPITAL],IF(Tabla14[[#This Row],[OPERACIÓN]]=MAESTRO!$B$5,Tabla14[CAPITAL],-Tabla14[[#This Row],[CAPITAL]])),2)</f>
        <v>-72400000</v>
      </c>
    </row>
    <row r="1065" spans="1:13" x14ac:dyDescent="0.3">
      <c r="A1065" s="26">
        <v>46206</v>
      </c>
      <c r="B1065" t="s">
        <v>299</v>
      </c>
      <c r="C1065" t="s">
        <v>132</v>
      </c>
      <c r="D1065" s="27" t="s">
        <v>17</v>
      </c>
      <c r="E1065" s="4" t="s">
        <v>48</v>
      </c>
      <c r="F1065" s="4">
        <v>100400000</v>
      </c>
      <c r="G1065" s="8" t="str">
        <f>+VLOOKUP(Tabla14[[#This Row],[FONDO]],MAESTRO!$D$2:$E$119,2,FALSE)</f>
        <v>Banco Macro S.A.</v>
      </c>
      <c r="H1065" s="8" t="str">
        <f>+VLOOKUP(Tabla14[[#This Row],[FONDO]],MAESTRO!D:F,3,FALSE)</f>
        <v>(T+0)</v>
      </c>
      <c r="I1065" s="4" t="s">
        <v>9</v>
      </c>
      <c r="L10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5" s="4">
        <f>ROUND(IF(Tabla14[[#This Row],[OPERACIÓN]]=MAESTRO!$B$2,Tabla14[CAPITAL],IF(Tabla14[[#This Row],[OPERACIÓN]]=MAESTRO!$B$5,Tabla14[CAPITAL],-Tabla14[[#This Row],[CAPITAL]])),2)</f>
        <v>-100400000</v>
      </c>
    </row>
    <row r="1066" spans="1:13" x14ac:dyDescent="0.3">
      <c r="A1066" s="26">
        <v>46206</v>
      </c>
      <c r="B1066" t="s">
        <v>298</v>
      </c>
      <c r="C1066" t="s">
        <v>132</v>
      </c>
      <c r="D1066" s="27" t="s">
        <v>17</v>
      </c>
      <c r="E1066" s="4" t="s">
        <v>40</v>
      </c>
      <c r="F1066" s="4">
        <v>78100000</v>
      </c>
      <c r="G1066" s="8" t="str">
        <f>+VLOOKUP(Tabla14[[#This Row],[FONDO]],MAESTRO!$D$2:$E$119,2,FALSE)</f>
        <v>BBVA Banco Frances SA</v>
      </c>
      <c r="H1066" s="8" t="str">
        <f>+VLOOKUP(Tabla14[[#This Row],[FONDO]],MAESTRO!D:F,3,FALSE)</f>
        <v>(T+0)</v>
      </c>
      <c r="I1066" s="4" t="s">
        <v>9</v>
      </c>
      <c r="L10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6" s="4">
        <f>ROUND(IF(Tabla14[[#This Row],[OPERACIÓN]]=MAESTRO!$B$2,Tabla14[CAPITAL],IF(Tabla14[[#This Row],[OPERACIÓN]]=MAESTRO!$B$5,Tabla14[CAPITAL],-Tabla14[[#This Row],[CAPITAL]])),2)</f>
        <v>-78100000</v>
      </c>
    </row>
    <row r="1067" spans="1:13" x14ac:dyDescent="0.3">
      <c r="A1067" s="26">
        <v>46206</v>
      </c>
      <c r="B1067" t="s">
        <v>298</v>
      </c>
      <c r="C1067" t="s">
        <v>132</v>
      </c>
      <c r="D1067" s="27" t="s">
        <v>17</v>
      </c>
      <c r="E1067" s="4" t="s">
        <v>40</v>
      </c>
      <c r="F1067" s="4">
        <v>409000000</v>
      </c>
      <c r="G1067" s="8" t="str">
        <f>+VLOOKUP(Tabla14[[#This Row],[FONDO]],MAESTRO!$D$2:$E$119,2,FALSE)</f>
        <v>BBVA Banco Frances SA</v>
      </c>
      <c r="H1067" s="8" t="str">
        <f>+VLOOKUP(Tabla14[[#This Row],[FONDO]],MAESTRO!D:F,3,FALSE)</f>
        <v>(T+0)</v>
      </c>
      <c r="I1067" s="4" t="s">
        <v>9</v>
      </c>
      <c r="L10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7" s="4">
        <f>ROUND(IF(Tabla14[[#This Row],[OPERACIÓN]]=MAESTRO!$B$2,Tabla14[CAPITAL],IF(Tabla14[[#This Row],[OPERACIÓN]]=MAESTRO!$B$5,Tabla14[CAPITAL],-Tabla14[[#This Row],[CAPITAL]])),2)</f>
        <v>-409000000</v>
      </c>
    </row>
    <row r="1068" spans="1:13" x14ac:dyDescent="0.3">
      <c r="A1068" s="26">
        <v>46206</v>
      </c>
      <c r="B1068" t="s">
        <v>298</v>
      </c>
      <c r="C1068" t="s">
        <v>132</v>
      </c>
      <c r="D1068" s="27" t="s">
        <v>16</v>
      </c>
      <c r="E1068" s="4" t="s">
        <v>136</v>
      </c>
      <c r="F1068" s="4">
        <v>49000000</v>
      </c>
      <c r="G1068" s="8" t="str">
        <f>+VLOOKUP(Tabla14[[#This Row],[FONDO]],MAESTRO!$D$2:$E$119,2,FALSE)</f>
        <v>Gma Capital</v>
      </c>
      <c r="H1068" s="8" t="str">
        <f>+VLOOKUP(Tabla14[[#This Row],[FONDO]],MAESTRO!D:F,3,FALSE)</f>
        <v>(T+0)</v>
      </c>
      <c r="I1068" s="4" t="s">
        <v>9</v>
      </c>
      <c r="L10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8" s="4">
        <f>ROUND(IF(Tabla14[[#This Row],[OPERACIÓN]]=MAESTRO!$B$2,Tabla14[CAPITAL],IF(Tabla14[[#This Row],[OPERACIÓN]]=MAESTRO!$B$5,Tabla14[CAPITAL],-Tabla14[[#This Row],[CAPITAL]])),2)</f>
        <v>49000000</v>
      </c>
    </row>
    <row r="1069" spans="1:13" x14ac:dyDescent="0.3">
      <c r="A1069" s="26">
        <v>46209</v>
      </c>
      <c r="B1069" t="s">
        <v>298</v>
      </c>
      <c r="C1069" t="s">
        <v>132</v>
      </c>
      <c r="D1069" s="27" t="s">
        <v>16</v>
      </c>
      <c r="E1069" s="4" t="s">
        <v>295</v>
      </c>
      <c r="F1069" s="4">
        <v>300000000</v>
      </c>
      <c r="G1069" s="109" t="str">
        <f>+VLOOKUP(Tabla14[[#This Row],[FONDO]],MAESTRO!$D$2:$E$119,2,FALSE)</f>
        <v>Black Toro</v>
      </c>
      <c r="H1069" s="8" t="str">
        <f>+VLOOKUP(Tabla14[[#This Row],[FONDO]],MAESTRO!D:F,3,FALSE)</f>
        <v>(T+1)</v>
      </c>
      <c r="I1069" s="4" t="s">
        <v>9</v>
      </c>
      <c r="L10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69" s="4">
        <f>ROUND(IF(Tabla14[[#This Row],[OPERACIÓN]]=MAESTRO!$B$2,Tabla14[CAPITAL],IF(Tabla14[[#This Row],[OPERACIÓN]]=MAESTRO!$B$5,Tabla14[CAPITAL],-Tabla14[[#This Row],[CAPITAL]])),2)</f>
        <v>300000000</v>
      </c>
    </row>
    <row r="1070" spans="1:13" x14ac:dyDescent="0.3">
      <c r="A1070" s="26">
        <v>46209</v>
      </c>
      <c r="B1070" t="s">
        <v>298</v>
      </c>
      <c r="C1070" t="s">
        <v>132</v>
      </c>
      <c r="D1070" s="27" t="s">
        <v>17</v>
      </c>
      <c r="E1070" s="4" t="s">
        <v>40</v>
      </c>
      <c r="F1070" s="4">
        <v>300000000</v>
      </c>
      <c r="G1070" s="8" t="str">
        <f>+VLOOKUP(Tabla14[[#This Row],[FONDO]],MAESTRO!$D$2:$E$119,2,FALSE)</f>
        <v>BBVA Banco Frances SA</v>
      </c>
      <c r="H1070" s="8" t="str">
        <f>+VLOOKUP(Tabla14[[#This Row],[FONDO]],MAESTRO!D:F,3,FALSE)</f>
        <v>(T+0)</v>
      </c>
      <c r="I1070" s="4" t="s">
        <v>9</v>
      </c>
      <c r="L10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0" s="4">
        <f>ROUND(IF(Tabla14[[#This Row],[OPERACIÓN]]=MAESTRO!$B$2,Tabla14[CAPITAL],IF(Tabla14[[#This Row],[OPERACIÓN]]=MAESTRO!$B$5,Tabla14[CAPITAL],-Tabla14[[#This Row],[CAPITAL]])),2)</f>
        <v>-300000000</v>
      </c>
    </row>
    <row r="1071" spans="1:13" x14ac:dyDescent="0.3">
      <c r="A1071" s="26">
        <v>46209</v>
      </c>
      <c r="B1071" t="s">
        <v>120</v>
      </c>
      <c r="C1071" t="s">
        <v>132</v>
      </c>
      <c r="D1071" s="27" t="s">
        <v>17</v>
      </c>
      <c r="E1071" s="4" t="s">
        <v>40</v>
      </c>
      <c r="F1071" s="4">
        <v>2700000</v>
      </c>
      <c r="G1071" s="8" t="str">
        <f>+VLOOKUP(Tabla14[[#This Row],[FONDO]],MAESTRO!$D$2:$E$119,2,FALSE)</f>
        <v>BBVA Banco Frances SA</v>
      </c>
      <c r="H1071" s="8" t="str">
        <f>+VLOOKUP(Tabla14[[#This Row],[FONDO]],MAESTRO!D:F,3,FALSE)</f>
        <v>(T+0)</v>
      </c>
      <c r="I1071" s="4" t="s">
        <v>9</v>
      </c>
      <c r="L10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1" s="4">
        <f>ROUND(IF(Tabla14[[#This Row],[OPERACIÓN]]=MAESTRO!$B$2,Tabla14[CAPITAL],IF(Tabla14[[#This Row],[OPERACIÓN]]=MAESTRO!$B$5,Tabla14[CAPITAL],-Tabla14[[#This Row],[CAPITAL]])),2)</f>
        <v>-2700000</v>
      </c>
    </row>
    <row r="1072" spans="1:13" x14ac:dyDescent="0.3">
      <c r="A1072" s="26">
        <v>46209</v>
      </c>
      <c r="B1072" t="s">
        <v>126</v>
      </c>
      <c r="C1072" t="s">
        <v>132</v>
      </c>
      <c r="D1072" s="27" t="s">
        <v>17</v>
      </c>
      <c r="E1072" s="4" t="s">
        <v>48</v>
      </c>
      <c r="F1072" s="4">
        <v>2300000</v>
      </c>
      <c r="G1072" s="8" t="str">
        <f>+VLOOKUP(Tabla14[[#This Row],[FONDO]],MAESTRO!$D$2:$E$119,2,FALSE)</f>
        <v>Banco Macro S.A.</v>
      </c>
      <c r="H1072" s="8" t="str">
        <f>+VLOOKUP(Tabla14[[#This Row],[FONDO]],MAESTRO!D:F,3,FALSE)</f>
        <v>(T+0)</v>
      </c>
      <c r="I1072" s="4" t="s">
        <v>9</v>
      </c>
      <c r="L10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2" s="4">
        <f>ROUND(IF(Tabla14[[#This Row],[OPERACIÓN]]=MAESTRO!$B$2,Tabla14[CAPITAL],IF(Tabla14[[#This Row],[OPERACIÓN]]=MAESTRO!$B$5,Tabla14[CAPITAL],-Tabla14[[#This Row],[CAPITAL]])),2)</f>
        <v>-2300000</v>
      </c>
    </row>
    <row r="1073" spans="1:13" x14ac:dyDescent="0.3">
      <c r="A1073" s="26">
        <v>46209</v>
      </c>
      <c r="B1073" t="s">
        <v>299</v>
      </c>
      <c r="C1073" t="s">
        <v>132</v>
      </c>
      <c r="D1073" s="27" t="s">
        <v>17</v>
      </c>
      <c r="E1073" s="4" t="s">
        <v>48</v>
      </c>
      <c r="F1073" s="4">
        <v>26200000</v>
      </c>
      <c r="G1073" s="8" t="str">
        <f>+VLOOKUP(Tabla14[[#This Row],[FONDO]],MAESTRO!$D$2:$E$119,2,FALSE)</f>
        <v>Banco Macro S.A.</v>
      </c>
      <c r="H1073" s="8" t="str">
        <f>+VLOOKUP(Tabla14[[#This Row],[FONDO]],MAESTRO!D:F,3,FALSE)</f>
        <v>(T+0)</v>
      </c>
      <c r="I1073" s="4" t="s">
        <v>9</v>
      </c>
      <c r="L10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3" s="4">
        <f>ROUND(IF(Tabla14[[#This Row],[OPERACIÓN]]=MAESTRO!$B$2,Tabla14[CAPITAL],IF(Tabla14[[#This Row],[OPERACIÓN]]=MAESTRO!$B$5,Tabla14[CAPITAL],-Tabla14[[#This Row],[CAPITAL]])),2)</f>
        <v>-26200000</v>
      </c>
    </row>
    <row r="1074" spans="1:13" x14ac:dyDescent="0.3">
      <c r="A1074" s="26">
        <v>46209</v>
      </c>
      <c r="B1074" t="s">
        <v>298</v>
      </c>
      <c r="C1074" t="s">
        <v>132</v>
      </c>
      <c r="D1074" s="27" t="s">
        <v>17</v>
      </c>
      <c r="E1074" s="4" t="s">
        <v>40</v>
      </c>
      <c r="F1074" s="4">
        <v>2047200000</v>
      </c>
      <c r="G1074" s="8" t="str">
        <f>+VLOOKUP(Tabla14[[#This Row],[FONDO]],MAESTRO!$D$2:$E$119,2,FALSE)</f>
        <v>BBVA Banco Frances SA</v>
      </c>
      <c r="H1074" s="8" t="str">
        <f>+VLOOKUP(Tabla14[[#This Row],[FONDO]],MAESTRO!D:F,3,FALSE)</f>
        <v>(T+0)</v>
      </c>
      <c r="I1074" s="4" t="s">
        <v>9</v>
      </c>
      <c r="L10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4" s="4">
        <f>ROUND(IF(Tabla14[[#This Row],[OPERACIÓN]]=MAESTRO!$B$2,Tabla14[CAPITAL],IF(Tabla14[[#This Row],[OPERACIÓN]]=MAESTRO!$B$5,Tabla14[CAPITAL],-Tabla14[[#This Row],[CAPITAL]])),2)</f>
        <v>-2047200000</v>
      </c>
    </row>
    <row r="1075" spans="1:13" x14ac:dyDescent="0.3">
      <c r="A1075" s="26">
        <v>46209</v>
      </c>
      <c r="B1075" t="s">
        <v>292</v>
      </c>
      <c r="C1075" t="s">
        <v>132</v>
      </c>
      <c r="D1075" s="27" t="s">
        <v>16</v>
      </c>
      <c r="E1075" s="4" t="s">
        <v>48</v>
      </c>
      <c r="F1075" s="4">
        <v>112200000</v>
      </c>
      <c r="G1075" s="8" t="str">
        <f>+VLOOKUP(Tabla14[[#This Row],[FONDO]],MAESTRO!$D$2:$E$119,2,FALSE)</f>
        <v>Banco Macro S.A.</v>
      </c>
      <c r="H1075" s="8" t="str">
        <f>+VLOOKUP(Tabla14[[#This Row],[FONDO]],MAESTRO!D:F,3,FALSE)</f>
        <v>(T+0)</v>
      </c>
      <c r="I1075" s="4" t="s">
        <v>9</v>
      </c>
      <c r="L10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5" s="4">
        <f>ROUND(IF(Tabla14[[#This Row],[OPERACIÓN]]=MAESTRO!$B$2,Tabla14[CAPITAL],IF(Tabla14[[#This Row],[OPERACIÓN]]=MAESTRO!$B$5,Tabla14[CAPITAL],-Tabla14[[#This Row],[CAPITAL]])),2)</f>
        <v>112200000</v>
      </c>
    </row>
    <row r="1076" spans="1:13" x14ac:dyDescent="0.3">
      <c r="A1076" s="26">
        <v>46209</v>
      </c>
      <c r="B1076" t="s">
        <v>299</v>
      </c>
      <c r="C1076" t="s">
        <v>132</v>
      </c>
      <c r="D1076" s="27" t="s">
        <v>17</v>
      </c>
      <c r="E1076" s="4" t="s">
        <v>169</v>
      </c>
      <c r="F1076" s="4">
        <v>59544646.649999999</v>
      </c>
      <c r="G1076" s="8" t="str">
        <f>+VLOOKUP(Tabla14[[#This Row],[FONDO]],MAESTRO!$D$2:$E$119,2,FALSE)</f>
        <v>Max Capital</v>
      </c>
      <c r="H1076" s="8" t="str">
        <f>+VLOOKUP(Tabla14[[#This Row],[FONDO]],MAESTRO!D:F,3,FALSE)</f>
        <v>(T+0)</v>
      </c>
      <c r="I1076" s="4" t="s">
        <v>9</v>
      </c>
      <c r="L10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6" s="4">
        <f>ROUND(IF(Tabla14[[#This Row],[OPERACIÓN]]=MAESTRO!$B$2,Tabla14[CAPITAL],IF(Tabla14[[#This Row],[OPERACIÓN]]=MAESTRO!$B$5,Tabla14[CAPITAL],-Tabla14[[#This Row],[CAPITAL]])),2)</f>
        <v>-59544646.649999999</v>
      </c>
    </row>
    <row r="1077" spans="1:13" x14ac:dyDescent="0.3">
      <c r="A1077" s="26">
        <v>46209</v>
      </c>
      <c r="B1077" t="s">
        <v>299</v>
      </c>
      <c r="C1077" t="s">
        <v>132</v>
      </c>
      <c r="D1077" s="27" t="s">
        <v>17</v>
      </c>
      <c r="E1077" s="4" t="s">
        <v>169</v>
      </c>
      <c r="F1077" s="4">
        <v>118749310.72</v>
      </c>
      <c r="G1077" s="8" t="str">
        <f>+VLOOKUP(Tabla14[[#This Row],[FONDO]],MAESTRO!$D$2:$E$119,2,FALSE)</f>
        <v>Max Capital</v>
      </c>
      <c r="H1077" s="8" t="str">
        <f>+VLOOKUP(Tabla14[[#This Row],[FONDO]],MAESTRO!D:F,3,FALSE)</f>
        <v>(T+0)</v>
      </c>
      <c r="I1077" s="4" t="s">
        <v>9</v>
      </c>
      <c r="L10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7" s="4">
        <f>ROUND(IF(Tabla14[[#This Row],[OPERACIÓN]]=MAESTRO!$B$2,Tabla14[CAPITAL],IF(Tabla14[[#This Row],[OPERACIÓN]]=MAESTRO!$B$5,Tabla14[CAPITAL],-Tabla14[[#This Row],[CAPITAL]])),2)</f>
        <v>-118749310.72</v>
      </c>
    </row>
    <row r="1078" spans="1:13" x14ac:dyDescent="0.3">
      <c r="A1078" s="26">
        <v>46209</v>
      </c>
      <c r="B1078" t="s">
        <v>298</v>
      </c>
      <c r="C1078" t="s">
        <v>132</v>
      </c>
      <c r="D1078" s="27" t="s">
        <v>17</v>
      </c>
      <c r="E1078" s="4" t="s">
        <v>136</v>
      </c>
      <c r="F1078" s="4">
        <v>67512164.450000003</v>
      </c>
      <c r="G1078" s="8" t="str">
        <f>+VLOOKUP(Tabla14[[#This Row],[FONDO]],MAESTRO!$D$2:$E$119,2,FALSE)</f>
        <v>Gma Capital</v>
      </c>
      <c r="H1078" s="8" t="str">
        <f>+VLOOKUP(Tabla14[[#This Row],[FONDO]],MAESTRO!D:F,3,FALSE)</f>
        <v>(T+0)</v>
      </c>
      <c r="I1078" s="4" t="s">
        <v>9</v>
      </c>
      <c r="L10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8" s="4">
        <f>ROUND(IF(Tabla14[[#This Row],[OPERACIÓN]]=MAESTRO!$B$2,Tabla14[CAPITAL],IF(Tabla14[[#This Row],[OPERACIÓN]]=MAESTRO!$B$5,Tabla14[CAPITAL],-Tabla14[[#This Row],[CAPITAL]])),2)</f>
        <v>-67512164.450000003</v>
      </c>
    </row>
    <row r="1079" spans="1:13" x14ac:dyDescent="0.3">
      <c r="A1079" s="26">
        <v>46209</v>
      </c>
      <c r="B1079" t="s">
        <v>298</v>
      </c>
      <c r="C1079" t="s">
        <v>132</v>
      </c>
      <c r="D1079" s="27" t="s">
        <v>17</v>
      </c>
      <c r="E1079" s="4" t="s">
        <v>136</v>
      </c>
      <c r="F1079" s="4">
        <v>175200834.68000001</v>
      </c>
      <c r="G1079" s="8" t="str">
        <f>+VLOOKUP(Tabla14[[#This Row],[FONDO]],MAESTRO!$D$2:$E$119,2,FALSE)</f>
        <v>Gma Capital</v>
      </c>
      <c r="H1079" s="8" t="str">
        <f>+VLOOKUP(Tabla14[[#This Row],[FONDO]],MAESTRO!D:F,3,FALSE)</f>
        <v>(T+0)</v>
      </c>
      <c r="I1079" s="4" t="s">
        <v>9</v>
      </c>
      <c r="L10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79" s="4">
        <f>ROUND(IF(Tabla14[[#This Row],[OPERACIÓN]]=MAESTRO!$B$2,Tabla14[CAPITAL],IF(Tabla14[[#This Row],[OPERACIÓN]]=MAESTRO!$B$5,Tabla14[CAPITAL],-Tabla14[[#This Row],[CAPITAL]])),2)</f>
        <v>-175200834.68000001</v>
      </c>
    </row>
    <row r="1080" spans="1:13" x14ac:dyDescent="0.3">
      <c r="A1080" s="26">
        <v>46209</v>
      </c>
      <c r="B1080" t="s">
        <v>299</v>
      </c>
      <c r="C1080" t="s">
        <v>132</v>
      </c>
      <c r="D1080" s="27" t="s">
        <v>17</v>
      </c>
      <c r="E1080" s="4" t="s">
        <v>136</v>
      </c>
      <c r="F1080" s="4">
        <v>54745277.829999998</v>
      </c>
      <c r="G1080" s="8" t="str">
        <f>+VLOOKUP(Tabla14[[#This Row],[FONDO]],MAESTRO!$D$2:$E$119,2,FALSE)</f>
        <v>Gma Capital</v>
      </c>
      <c r="H1080" s="8" t="str">
        <f>+VLOOKUP(Tabla14[[#This Row],[FONDO]],MAESTRO!D:F,3,FALSE)</f>
        <v>(T+0)</v>
      </c>
      <c r="I1080" s="4" t="s">
        <v>9</v>
      </c>
      <c r="L10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0" s="4">
        <f>ROUND(IF(Tabla14[[#This Row],[OPERACIÓN]]=MAESTRO!$B$2,Tabla14[CAPITAL],IF(Tabla14[[#This Row],[OPERACIÓN]]=MAESTRO!$B$5,Tabla14[CAPITAL],-Tabla14[[#This Row],[CAPITAL]])),2)</f>
        <v>-54745277.829999998</v>
      </c>
    </row>
    <row r="1081" spans="1:13" x14ac:dyDescent="0.3">
      <c r="A1081" s="26">
        <v>46209</v>
      </c>
      <c r="B1081" t="s">
        <v>298</v>
      </c>
      <c r="C1081" t="s">
        <v>132</v>
      </c>
      <c r="D1081" s="27" t="s">
        <v>17</v>
      </c>
      <c r="E1081" s="4" t="s">
        <v>170</v>
      </c>
      <c r="F1081" s="4">
        <v>49611166.710000001</v>
      </c>
      <c r="G1081" s="8" t="str">
        <f>+VLOOKUP(Tabla14[[#This Row],[FONDO]],MAESTRO!$D$2:$E$119,2,FALSE)</f>
        <v>Banco Santander Rio S.A.</v>
      </c>
      <c r="H1081" s="8" t="str">
        <f>+VLOOKUP(Tabla14[[#This Row],[FONDO]],MAESTRO!D:F,3,FALSE)</f>
        <v>(T+0)</v>
      </c>
      <c r="I1081" s="4" t="s">
        <v>9</v>
      </c>
      <c r="L10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1" s="4">
        <f>ROUND(IF(Tabla14[[#This Row],[OPERACIÓN]]=MAESTRO!$B$2,Tabla14[CAPITAL],IF(Tabla14[[#This Row],[OPERACIÓN]]=MAESTRO!$B$5,Tabla14[CAPITAL],-Tabla14[[#This Row],[CAPITAL]])),2)</f>
        <v>-49611166.710000001</v>
      </c>
    </row>
    <row r="1082" spans="1:13" x14ac:dyDescent="0.3">
      <c r="A1082" s="26">
        <v>46209</v>
      </c>
      <c r="B1082" t="s">
        <v>292</v>
      </c>
      <c r="C1082" t="s">
        <v>132</v>
      </c>
      <c r="D1082" s="27" t="s">
        <v>17</v>
      </c>
      <c r="E1082" s="4" t="s">
        <v>170</v>
      </c>
      <c r="F1082" s="4">
        <v>71313156.799999997</v>
      </c>
      <c r="G1082" s="8" t="str">
        <f>+VLOOKUP(Tabla14[[#This Row],[FONDO]],MAESTRO!$D$2:$E$119,2,FALSE)</f>
        <v>Banco Santander Rio S.A.</v>
      </c>
      <c r="H1082" s="8" t="str">
        <f>+VLOOKUP(Tabla14[[#This Row],[FONDO]],MAESTRO!D:F,3,FALSE)</f>
        <v>(T+0)</v>
      </c>
      <c r="I1082" s="4" t="s">
        <v>9</v>
      </c>
      <c r="L10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2" s="4">
        <f>ROUND(IF(Tabla14[[#This Row],[OPERACIÓN]]=MAESTRO!$B$2,Tabla14[CAPITAL],IF(Tabla14[[#This Row],[OPERACIÓN]]=MAESTRO!$B$5,Tabla14[CAPITAL],-Tabla14[[#This Row],[CAPITAL]])),2)</f>
        <v>-71313156.799999997</v>
      </c>
    </row>
    <row r="1083" spans="1:13" x14ac:dyDescent="0.3">
      <c r="A1083" s="26">
        <v>46209</v>
      </c>
      <c r="B1083" t="s">
        <v>292</v>
      </c>
      <c r="C1083" t="s">
        <v>132</v>
      </c>
      <c r="D1083" s="27" t="s">
        <v>17</v>
      </c>
      <c r="E1083" s="4" t="s">
        <v>170</v>
      </c>
      <c r="F1083" s="4">
        <v>100201205.65000001</v>
      </c>
      <c r="G1083" s="8" t="str">
        <f>+VLOOKUP(Tabla14[[#This Row],[FONDO]],MAESTRO!$D$2:$E$119,2,FALSE)</f>
        <v>Banco Santander Rio S.A.</v>
      </c>
      <c r="H1083" s="8" t="str">
        <f>+VLOOKUP(Tabla14[[#This Row],[FONDO]],MAESTRO!D:F,3,FALSE)</f>
        <v>(T+0)</v>
      </c>
      <c r="I1083" s="4" t="s">
        <v>9</v>
      </c>
      <c r="L10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3" s="4">
        <f>ROUND(IF(Tabla14[[#This Row],[OPERACIÓN]]=MAESTRO!$B$2,Tabla14[CAPITAL],IF(Tabla14[[#This Row],[OPERACIÓN]]=MAESTRO!$B$5,Tabla14[CAPITAL],-Tabla14[[#This Row],[CAPITAL]])),2)</f>
        <v>-100201205.65000001</v>
      </c>
    </row>
    <row r="1084" spans="1:13" x14ac:dyDescent="0.3">
      <c r="A1084" s="26">
        <v>46210</v>
      </c>
      <c r="B1084" t="s">
        <v>299</v>
      </c>
      <c r="C1084" t="s">
        <v>132</v>
      </c>
      <c r="D1084" s="27" t="s">
        <v>17</v>
      </c>
      <c r="E1084" s="4" t="s">
        <v>48</v>
      </c>
      <c r="F1084" s="4">
        <v>73600000</v>
      </c>
      <c r="G1084" s="8" t="str">
        <f>+VLOOKUP(Tabla14[[#This Row],[FONDO]],MAESTRO!$D$2:$E$119,2,FALSE)</f>
        <v>Banco Macro S.A.</v>
      </c>
      <c r="H1084" s="8" t="str">
        <f>+VLOOKUP(Tabla14[[#This Row],[FONDO]],MAESTRO!D:F,3,FALSE)</f>
        <v>(T+0)</v>
      </c>
      <c r="I1084" s="4" t="s">
        <v>9</v>
      </c>
      <c r="L10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4" s="4">
        <f>ROUND(IF(Tabla14[[#This Row],[OPERACIÓN]]=MAESTRO!$B$2,Tabla14[CAPITAL],IF(Tabla14[[#This Row],[OPERACIÓN]]=MAESTRO!$B$5,Tabla14[CAPITAL],-Tabla14[[#This Row],[CAPITAL]])),2)</f>
        <v>-73600000</v>
      </c>
    </row>
    <row r="1085" spans="1:13" x14ac:dyDescent="0.3">
      <c r="A1085" s="26">
        <v>46210</v>
      </c>
      <c r="B1085" t="s">
        <v>298</v>
      </c>
      <c r="C1085" t="s">
        <v>132</v>
      </c>
      <c r="D1085" s="27" t="s">
        <v>17</v>
      </c>
      <c r="E1085" s="4" t="s">
        <v>40</v>
      </c>
      <c r="F1085" s="4">
        <v>330600000</v>
      </c>
      <c r="G1085" s="8" t="str">
        <f>+VLOOKUP(Tabla14[[#This Row],[FONDO]],MAESTRO!$D$2:$E$119,2,FALSE)</f>
        <v>BBVA Banco Frances SA</v>
      </c>
      <c r="H1085" s="8" t="str">
        <f>+VLOOKUP(Tabla14[[#This Row],[FONDO]],MAESTRO!D:F,3,FALSE)</f>
        <v>(T+0)</v>
      </c>
      <c r="I1085" s="4" t="s">
        <v>9</v>
      </c>
      <c r="L10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5" s="4">
        <f>ROUND(IF(Tabla14[[#This Row],[OPERACIÓN]]=MAESTRO!$B$2,Tabla14[CAPITAL],IF(Tabla14[[#This Row],[OPERACIÓN]]=MAESTRO!$B$5,Tabla14[CAPITAL],-Tabla14[[#This Row],[CAPITAL]])),2)</f>
        <v>-330600000</v>
      </c>
    </row>
    <row r="1086" spans="1:13" x14ac:dyDescent="0.3">
      <c r="A1086" s="26">
        <v>46210</v>
      </c>
      <c r="B1086" t="s">
        <v>292</v>
      </c>
      <c r="C1086" t="s">
        <v>132</v>
      </c>
      <c r="D1086" s="27" t="s">
        <v>16</v>
      </c>
      <c r="E1086" s="4" t="s">
        <v>48</v>
      </c>
      <c r="F1086" s="4">
        <v>52300000</v>
      </c>
      <c r="G1086" s="8" t="str">
        <f>+VLOOKUP(Tabla14[[#This Row],[FONDO]],MAESTRO!$D$2:$E$119,2,FALSE)</f>
        <v>Banco Macro S.A.</v>
      </c>
      <c r="H1086" s="8" t="str">
        <f>+VLOOKUP(Tabla14[[#This Row],[FONDO]],MAESTRO!D:F,3,FALSE)</f>
        <v>(T+0)</v>
      </c>
      <c r="I1086" s="4" t="s">
        <v>9</v>
      </c>
      <c r="L10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6" s="4">
        <f>ROUND(IF(Tabla14[[#This Row],[OPERACIÓN]]=MAESTRO!$B$2,Tabla14[CAPITAL],IF(Tabla14[[#This Row],[OPERACIÓN]]=MAESTRO!$B$5,Tabla14[CAPITAL],-Tabla14[[#This Row],[CAPITAL]])),2)</f>
        <v>52300000</v>
      </c>
    </row>
    <row r="1087" spans="1:13" x14ac:dyDescent="0.3">
      <c r="A1087" s="26">
        <v>46210</v>
      </c>
      <c r="B1087" t="s">
        <v>298</v>
      </c>
      <c r="C1087" t="s">
        <v>132</v>
      </c>
      <c r="D1087" s="27" t="s">
        <v>16</v>
      </c>
      <c r="E1087" s="4" t="s">
        <v>48</v>
      </c>
      <c r="F1087" s="4">
        <v>7443000000</v>
      </c>
      <c r="G1087" s="8" t="str">
        <f>+VLOOKUP(Tabla14[[#This Row],[FONDO]],MAESTRO!$D$2:$E$119,2,FALSE)</f>
        <v>Banco Macro S.A.</v>
      </c>
      <c r="H1087" s="8" t="str">
        <f>+VLOOKUP(Tabla14[[#This Row],[FONDO]],MAESTRO!D:F,3,FALSE)</f>
        <v>(T+0)</v>
      </c>
      <c r="I1087" s="4" t="s">
        <v>9</v>
      </c>
      <c r="L10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7" s="4">
        <f>ROUND(IF(Tabla14[[#This Row],[OPERACIÓN]]=MAESTRO!$B$2,Tabla14[CAPITAL],IF(Tabla14[[#This Row],[OPERACIÓN]]=MAESTRO!$B$5,Tabla14[CAPITAL],-Tabla14[[#This Row],[CAPITAL]])),2)</f>
        <v>7443000000</v>
      </c>
    </row>
    <row r="1088" spans="1:13" x14ac:dyDescent="0.3">
      <c r="A1088" s="26">
        <v>46210</v>
      </c>
      <c r="B1088" t="s">
        <v>299</v>
      </c>
      <c r="C1088" t="s">
        <v>132</v>
      </c>
      <c r="D1088" s="27" t="s">
        <v>16</v>
      </c>
      <c r="E1088" s="4" t="s">
        <v>136</v>
      </c>
      <c r="F1088" s="4">
        <v>6376000</v>
      </c>
      <c r="G1088" s="8" t="str">
        <f>+VLOOKUP(Tabla14[[#This Row],[FONDO]],MAESTRO!$D$2:$E$119,2,FALSE)</f>
        <v>Gma Capital</v>
      </c>
      <c r="H1088" s="8" t="str">
        <f>+VLOOKUP(Tabla14[[#This Row],[FONDO]],MAESTRO!D:F,3,FALSE)</f>
        <v>(T+0)</v>
      </c>
      <c r="I1088" s="4" t="s">
        <v>9</v>
      </c>
      <c r="L10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8" s="4">
        <f>ROUND(IF(Tabla14[[#This Row],[OPERACIÓN]]=MAESTRO!$B$2,Tabla14[CAPITAL],IF(Tabla14[[#This Row],[OPERACIÓN]]=MAESTRO!$B$5,Tabla14[CAPITAL],-Tabla14[[#This Row],[CAPITAL]])),2)</f>
        <v>6376000</v>
      </c>
    </row>
    <row r="1089" spans="1:13" x14ac:dyDescent="0.3">
      <c r="A1089" s="26">
        <v>46211</v>
      </c>
      <c r="B1089" t="s">
        <v>292</v>
      </c>
      <c r="C1089" t="s">
        <v>132</v>
      </c>
      <c r="D1089" s="27" t="s">
        <v>17</v>
      </c>
      <c r="E1089" s="4" t="s">
        <v>48</v>
      </c>
      <c r="F1089" s="4">
        <v>76500000</v>
      </c>
      <c r="G1089" s="110" t="str">
        <f>+VLOOKUP(Tabla14[[#This Row],[FONDO]],MAESTRO!$D$2:$E$119,2,FALSE)</f>
        <v>Banco Macro S.A.</v>
      </c>
      <c r="H1089" s="8" t="str">
        <f>+VLOOKUP(Tabla14[[#This Row],[FONDO]],MAESTRO!D:F,3,FALSE)</f>
        <v>(T+0)</v>
      </c>
      <c r="I1089" s="4" t="s">
        <v>9</v>
      </c>
      <c r="L10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89" s="4">
        <f>ROUND(IF(Tabla14[[#This Row],[OPERACIÓN]]=MAESTRO!$B$2,Tabla14[CAPITAL],IF(Tabla14[[#This Row],[OPERACIÓN]]=MAESTRO!$B$5,Tabla14[CAPITAL],-Tabla14[[#This Row],[CAPITAL]])),2)</f>
        <v>-76500000</v>
      </c>
    </row>
    <row r="1090" spans="1:13" x14ac:dyDescent="0.3">
      <c r="A1090" s="26">
        <v>46211</v>
      </c>
      <c r="B1090" t="s">
        <v>299</v>
      </c>
      <c r="C1090" t="s">
        <v>132</v>
      </c>
      <c r="D1090" s="27" t="s">
        <v>17</v>
      </c>
      <c r="E1090" s="4" t="s">
        <v>48</v>
      </c>
      <c r="F1090" s="4">
        <v>48100000</v>
      </c>
      <c r="G1090" s="110" t="str">
        <f>+VLOOKUP(Tabla14[[#This Row],[FONDO]],MAESTRO!$D$2:$E$119,2,FALSE)</f>
        <v>Banco Macro S.A.</v>
      </c>
      <c r="H1090" s="8" t="str">
        <f>+VLOOKUP(Tabla14[[#This Row],[FONDO]],MAESTRO!D:F,3,FALSE)</f>
        <v>(T+0)</v>
      </c>
      <c r="I1090" s="4" t="s">
        <v>9</v>
      </c>
      <c r="L10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0" s="4">
        <f>ROUND(IF(Tabla14[[#This Row],[OPERACIÓN]]=MAESTRO!$B$2,Tabla14[CAPITAL],IF(Tabla14[[#This Row],[OPERACIÓN]]=MAESTRO!$B$5,Tabla14[CAPITAL],-Tabla14[[#This Row],[CAPITAL]])),2)</f>
        <v>-48100000</v>
      </c>
    </row>
    <row r="1091" spans="1:13" x14ac:dyDescent="0.3">
      <c r="A1091" s="26">
        <v>46211</v>
      </c>
      <c r="B1091" t="s">
        <v>298</v>
      </c>
      <c r="C1091" t="s">
        <v>132</v>
      </c>
      <c r="D1091" s="27" t="s">
        <v>17</v>
      </c>
      <c r="E1091" s="4" t="s">
        <v>48</v>
      </c>
      <c r="F1091" s="4">
        <v>169400000</v>
      </c>
      <c r="G1091" s="110" t="str">
        <f>+VLOOKUP(Tabla14[[#This Row],[FONDO]],MAESTRO!$D$2:$E$119,2,FALSE)</f>
        <v>Banco Macro S.A.</v>
      </c>
      <c r="H1091" s="8" t="str">
        <f>+VLOOKUP(Tabla14[[#This Row],[FONDO]],MAESTRO!D:F,3,FALSE)</f>
        <v>(T+0)</v>
      </c>
      <c r="I1091" s="4" t="s">
        <v>9</v>
      </c>
      <c r="L10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1" s="4">
        <f>ROUND(IF(Tabla14[[#This Row],[OPERACIÓN]]=MAESTRO!$B$2,Tabla14[CAPITAL],IF(Tabla14[[#This Row],[OPERACIÓN]]=MAESTRO!$B$5,Tabla14[CAPITAL],-Tabla14[[#This Row],[CAPITAL]])),2)</f>
        <v>-169400000</v>
      </c>
    </row>
    <row r="1092" spans="1:13" x14ac:dyDescent="0.3">
      <c r="A1092" s="26">
        <v>46211</v>
      </c>
      <c r="B1092" t="s">
        <v>299</v>
      </c>
      <c r="C1092" t="s">
        <v>132</v>
      </c>
      <c r="D1092" s="27" t="s">
        <v>17</v>
      </c>
      <c r="E1092" s="4" t="s">
        <v>204</v>
      </c>
      <c r="F1092" s="53">
        <v>409809436.75999999</v>
      </c>
      <c r="G1092" s="110" t="str">
        <f>+VLOOKUP(Tabla14[[#This Row],[FONDO]],MAESTRO!$D$2:$E$119,2,FALSE)</f>
        <v>Latin Securities</v>
      </c>
      <c r="H1092" s="8" t="str">
        <f>+VLOOKUP(Tabla14[[#This Row],[FONDO]],MAESTRO!D:F,3,FALSE)</f>
        <v>(T+0)</v>
      </c>
      <c r="I1092" s="4" t="s">
        <v>9</v>
      </c>
      <c r="L10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2" s="4">
        <f>ROUND(IF(Tabla14[[#This Row],[OPERACIÓN]]=MAESTRO!$B$2,Tabla14[CAPITAL],IF(Tabla14[[#This Row],[OPERACIÓN]]=MAESTRO!$B$5,Tabla14[CAPITAL],-Tabla14[[#This Row],[CAPITAL]])),2)</f>
        <v>-409809436.75999999</v>
      </c>
    </row>
    <row r="1093" spans="1:13" x14ac:dyDescent="0.3">
      <c r="A1093" s="26">
        <v>46211</v>
      </c>
      <c r="B1093" t="s">
        <v>299</v>
      </c>
      <c r="C1093" t="s">
        <v>132</v>
      </c>
      <c r="D1093" s="27" t="s">
        <v>17</v>
      </c>
      <c r="E1093" s="4" t="s">
        <v>169</v>
      </c>
      <c r="F1093" s="4">
        <v>700000000</v>
      </c>
      <c r="G1093" s="110" t="str">
        <f>+VLOOKUP(Tabla14[[#This Row],[FONDO]],MAESTRO!$D$2:$E$119,2,FALSE)</f>
        <v>Max Capital</v>
      </c>
      <c r="H1093" s="8" t="str">
        <f>+VLOOKUP(Tabla14[[#This Row],[FONDO]],MAESTRO!D:F,3,FALSE)</f>
        <v>(T+0)</v>
      </c>
      <c r="I1093" s="4" t="s">
        <v>9</v>
      </c>
      <c r="L10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3" s="4">
        <f>ROUND(IF(Tabla14[[#This Row],[OPERACIÓN]]=MAESTRO!$B$2,Tabla14[CAPITAL],IF(Tabla14[[#This Row],[OPERACIÓN]]=MAESTRO!$B$5,Tabla14[CAPITAL],-Tabla14[[#This Row],[CAPITAL]])),2)</f>
        <v>-700000000</v>
      </c>
    </row>
    <row r="1094" spans="1:13" x14ac:dyDescent="0.3">
      <c r="A1094" s="26">
        <v>46211</v>
      </c>
      <c r="B1094" t="s">
        <v>299</v>
      </c>
      <c r="C1094" t="s">
        <v>132</v>
      </c>
      <c r="D1094" s="27" t="s">
        <v>17</v>
      </c>
      <c r="E1094" s="4" t="s">
        <v>136</v>
      </c>
      <c r="F1094" s="53">
        <v>647017420.39999998</v>
      </c>
      <c r="G1094" s="110" t="str">
        <f>+VLOOKUP(Tabla14[[#This Row],[FONDO]],MAESTRO!$D$2:$E$119,2,FALSE)</f>
        <v>Gma Capital</v>
      </c>
      <c r="H1094" s="8" t="str">
        <f>+VLOOKUP(Tabla14[[#This Row],[FONDO]],MAESTRO!D:F,3,FALSE)</f>
        <v>(T+0)</v>
      </c>
      <c r="I1094" s="4" t="s">
        <v>9</v>
      </c>
      <c r="L10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4" s="4">
        <f>ROUND(IF(Tabla14[[#This Row],[OPERACIÓN]]=MAESTRO!$B$2,Tabla14[CAPITAL],IF(Tabla14[[#This Row],[OPERACIÓN]]=MAESTRO!$B$5,Tabla14[CAPITAL],-Tabla14[[#This Row],[CAPITAL]])),2)</f>
        <v>-647017420.39999998</v>
      </c>
    </row>
    <row r="1095" spans="1:13" x14ac:dyDescent="0.3">
      <c r="A1095" s="26">
        <v>46211</v>
      </c>
      <c r="B1095" t="s">
        <v>298</v>
      </c>
      <c r="C1095" t="s">
        <v>132</v>
      </c>
      <c r="D1095" s="27" t="s">
        <v>17</v>
      </c>
      <c r="E1095" s="4" t="s">
        <v>40</v>
      </c>
      <c r="F1095" s="4">
        <v>200200000</v>
      </c>
      <c r="G1095" s="110" t="str">
        <f>+VLOOKUP(Tabla14[[#This Row],[FONDO]],MAESTRO!$D$2:$E$119,2,FALSE)</f>
        <v>BBVA Banco Frances SA</v>
      </c>
      <c r="H1095" s="8" t="str">
        <f>+VLOOKUP(Tabla14[[#This Row],[FONDO]],MAESTRO!D:F,3,FALSE)</f>
        <v>(T+0)</v>
      </c>
      <c r="I1095" s="4" t="s">
        <v>9</v>
      </c>
      <c r="L10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5" s="4">
        <f>ROUND(IF(Tabla14[[#This Row],[OPERACIÓN]]=MAESTRO!$B$2,Tabla14[CAPITAL],IF(Tabla14[[#This Row],[OPERACIÓN]]=MAESTRO!$B$5,Tabla14[CAPITAL],-Tabla14[[#This Row],[CAPITAL]])),2)</f>
        <v>-200200000</v>
      </c>
    </row>
    <row r="1096" spans="1:13" x14ac:dyDescent="0.3">
      <c r="A1096" s="26">
        <v>46211</v>
      </c>
      <c r="B1096" t="s">
        <v>298</v>
      </c>
      <c r="C1096" t="s">
        <v>132</v>
      </c>
      <c r="D1096" s="27" t="s">
        <v>16</v>
      </c>
      <c r="E1096" s="4" t="s">
        <v>295</v>
      </c>
      <c r="F1096" s="4">
        <v>200000000</v>
      </c>
      <c r="G1096" s="110" t="str">
        <f>+VLOOKUP(Tabla14[[#This Row],[FONDO]],MAESTRO!$D$2:$E$119,2,FALSE)</f>
        <v>Black Toro</v>
      </c>
      <c r="H1096" s="8" t="str">
        <f>+VLOOKUP(Tabla14[[#This Row],[FONDO]],MAESTRO!D:F,3,FALSE)</f>
        <v>(T+1)</v>
      </c>
      <c r="I1096" s="4" t="s">
        <v>9</v>
      </c>
      <c r="L10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6" s="4">
        <f>ROUND(IF(Tabla14[[#This Row],[OPERACIÓN]]=MAESTRO!$B$2,Tabla14[CAPITAL],IF(Tabla14[[#This Row],[OPERACIÓN]]=MAESTRO!$B$5,Tabla14[CAPITAL],-Tabla14[[#This Row],[CAPITAL]])),2)</f>
        <v>200000000</v>
      </c>
    </row>
    <row r="1097" spans="1:13" x14ac:dyDescent="0.3">
      <c r="A1097" s="26">
        <v>46211</v>
      </c>
      <c r="B1097" t="s">
        <v>299</v>
      </c>
      <c r="C1097" t="s">
        <v>132</v>
      </c>
      <c r="D1097" s="27" t="s">
        <v>17</v>
      </c>
      <c r="E1097" s="4" t="s">
        <v>212</v>
      </c>
      <c r="F1097" s="4">
        <v>116952168.59999999</v>
      </c>
      <c r="G1097" s="8" t="str">
        <f>+VLOOKUP(Tabla14[[#This Row],[FONDO]],MAESTRO!$D$2:$E$119,2,FALSE)</f>
        <v>INTAGRO</v>
      </c>
      <c r="H1097" s="8" t="str">
        <f>+VLOOKUP(Tabla14[[#This Row],[FONDO]],MAESTRO!D:F,3,FALSE)</f>
        <v>(T+0)</v>
      </c>
      <c r="I1097" s="4" t="s">
        <v>9</v>
      </c>
      <c r="L10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7" s="4">
        <f>ROUND(IF(Tabla14[[#This Row],[OPERACIÓN]]=MAESTRO!$B$2,Tabla14[CAPITAL],IF(Tabla14[[#This Row],[OPERACIÓN]]=MAESTRO!$B$5,Tabla14[CAPITAL],-Tabla14[[#This Row],[CAPITAL]])),2)</f>
        <v>-116952168.59999999</v>
      </c>
    </row>
    <row r="1098" spans="1:13" x14ac:dyDescent="0.3">
      <c r="A1098" s="37">
        <v>46211</v>
      </c>
      <c r="B1098" s="20" t="s">
        <v>299</v>
      </c>
      <c r="C1098" s="20" t="s">
        <v>132</v>
      </c>
      <c r="D1098" s="38" t="s">
        <v>16</v>
      </c>
      <c r="E1098" s="39" t="s">
        <v>48</v>
      </c>
      <c r="F1098" s="39">
        <v>5790000</v>
      </c>
      <c r="G1098" s="40" t="str">
        <f>+VLOOKUP(Tabla14[[#This Row],[FONDO]],MAESTRO!$D$2:$E$119,2,FALSE)</f>
        <v>Banco Macro S.A.</v>
      </c>
      <c r="H1098" s="40" t="str">
        <f>+VLOOKUP(Tabla14[[#This Row],[FONDO]],MAESTRO!D:F,3,FALSE)</f>
        <v>(T+0)</v>
      </c>
      <c r="I1098" s="39" t="s">
        <v>9</v>
      </c>
      <c r="J1098" s="49"/>
      <c r="K1098" s="20"/>
      <c r="L109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8" s="39">
        <f>ROUND(IF(Tabla14[[#This Row],[OPERACIÓN]]=MAESTRO!$B$2,Tabla14[CAPITAL],IF(Tabla14[[#This Row],[OPERACIÓN]]=MAESTRO!$B$5,Tabla14[CAPITAL],-Tabla14[[#This Row],[CAPITAL]])),2)</f>
        <v>5790000</v>
      </c>
    </row>
    <row r="1099" spans="1:13" s="20" customFormat="1" x14ac:dyDescent="0.3">
      <c r="A1099" s="37">
        <v>46211</v>
      </c>
      <c r="B1099" s="20" t="s">
        <v>292</v>
      </c>
      <c r="C1099" s="20" t="s">
        <v>132</v>
      </c>
      <c r="D1099" s="38" t="s">
        <v>16</v>
      </c>
      <c r="E1099" s="39" t="s">
        <v>48</v>
      </c>
      <c r="F1099" s="39">
        <v>2330000</v>
      </c>
      <c r="G1099" s="40" t="str">
        <f>+VLOOKUP(Tabla14[[#This Row],[FONDO]],MAESTRO!$D$2:$E$119,2,FALSE)</f>
        <v>Banco Macro S.A.</v>
      </c>
      <c r="H1099" s="40" t="str">
        <f>+VLOOKUP(Tabla14[[#This Row],[FONDO]],MAESTRO!D:F,3,FALSE)</f>
        <v>(T+0)</v>
      </c>
      <c r="I1099" s="39" t="s">
        <v>9</v>
      </c>
      <c r="J1099" s="49"/>
      <c r="L109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099" s="39">
        <f>ROUND(IF(Tabla14[[#This Row],[OPERACIÓN]]=MAESTRO!$B$2,Tabla14[CAPITAL],IF(Tabla14[[#This Row],[OPERACIÓN]]=MAESTRO!$B$5,Tabla14[CAPITAL],-Tabla14[[#This Row],[CAPITAL]])),2)</f>
        <v>2330000</v>
      </c>
    </row>
    <row r="1100" spans="1:13" s="20" customFormat="1" x14ac:dyDescent="0.3">
      <c r="A1100" s="37">
        <v>46211</v>
      </c>
      <c r="B1100" s="20" t="s">
        <v>126</v>
      </c>
      <c r="C1100" s="20" t="s">
        <v>132</v>
      </c>
      <c r="D1100" s="38" t="s">
        <v>16</v>
      </c>
      <c r="E1100" s="39" t="s">
        <v>48</v>
      </c>
      <c r="F1100" s="39">
        <v>2440000</v>
      </c>
      <c r="G1100" s="40" t="str">
        <f>+VLOOKUP(Tabla14[[#This Row],[FONDO]],MAESTRO!$D$2:$E$119,2,FALSE)</f>
        <v>Banco Macro S.A.</v>
      </c>
      <c r="H1100" s="40" t="str">
        <f>+VLOOKUP(Tabla14[[#This Row],[FONDO]],MAESTRO!D:F,3,FALSE)</f>
        <v>(T+0)</v>
      </c>
      <c r="I1100" s="39" t="s">
        <v>9</v>
      </c>
      <c r="J1100" s="49"/>
      <c r="L110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0" s="39">
        <f>ROUND(IF(Tabla14[[#This Row],[OPERACIÓN]]=MAESTRO!$B$2,Tabla14[CAPITAL],IF(Tabla14[[#This Row],[OPERACIÓN]]=MAESTRO!$B$5,Tabla14[CAPITAL],-Tabla14[[#This Row],[CAPITAL]])),2)</f>
        <v>2440000</v>
      </c>
    </row>
    <row r="1101" spans="1:13" s="20" customFormat="1" x14ac:dyDescent="0.3">
      <c r="A1101" s="37">
        <v>46211</v>
      </c>
      <c r="B1101" s="20" t="s">
        <v>298</v>
      </c>
      <c r="C1101" s="20" t="s">
        <v>132</v>
      </c>
      <c r="D1101" s="38" t="s">
        <v>16</v>
      </c>
      <c r="E1101" s="39" t="s">
        <v>48</v>
      </c>
      <c r="F1101" s="39">
        <v>17980000</v>
      </c>
      <c r="G1101" s="40" t="str">
        <f>+VLOOKUP(Tabla14[[#This Row],[FONDO]],MAESTRO!$D$2:$E$119,2,FALSE)</f>
        <v>Banco Macro S.A.</v>
      </c>
      <c r="H1101" s="40" t="str">
        <f>+VLOOKUP(Tabla14[[#This Row],[FONDO]],MAESTRO!D:F,3,FALSE)</f>
        <v>(T+0)</v>
      </c>
      <c r="I1101" s="39" t="s">
        <v>9</v>
      </c>
      <c r="J1101" s="49"/>
      <c r="L110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1" s="39">
        <f>ROUND(IF(Tabla14[[#This Row],[OPERACIÓN]]=MAESTRO!$B$2,Tabla14[CAPITAL],IF(Tabla14[[#This Row],[OPERACIÓN]]=MAESTRO!$B$5,Tabla14[CAPITAL],-Tabla14[[#This Row],[CAPITAL]])),2)</f>
        <v>17980000</v>
      </c>
    </row>
    <row r="1102" spans="1:13" s="20" customFormat="1" x14ac:dyDescent="0.3">
      <c r="A1102" s="37">
        <v>46211</v>
      </c>
      <c r="B1102" s="20" t="s">
        <v>298</v>
      </c>
      <c r="C1102" s="20" t="s">
        <v>132</v>
      </c>
      <c r="D1102" s="38" t="s">
        <v>16</v>
      </c>
      <c r="E1102" s="39" t="s">
        <v>57</v>
      </c>
      <c r="F1102" s="39">
        <v>2730000</v>
      </c>
      <c r="G1102" s="40" t="str">
        <f>+VLOOKUP(Tabla14[[#This Row],[FONDO]],MAESTRO!$D$2:$E$119,2,FALSE)</f>
        <v>Banco Santander Rio S.A.</v>
      </c>
      <c r="H1102" s="40" t="str">
        <f>+VLOOKUP(Tabla14[[#This Row],[FONDO]],MAESTRO!D:F,3,FALSE)</f>
        <v>(T+1)</v>
      </c>
      <c r="I1102" s="39" t="s">
        <v>9</v>
      </c>
      <c r="J1102" s="49"/>
      <c r="L110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2" s="39">
        <f>ROUND(IF(Tabla14[[#This Row],[OPERACIÓN]]=MAESTRO!$B$2,Tabla14[CAPITAL],IF(Tabla14[[#This Row],[OPERACIÓN]]=MAESTRO!$B$5,Tabla14[CAPITAL],-Tabla14[[#This Row],[CAPITAL]])),2)</f>
        <v>2730000</v>
      </c>
    </row>
    <row r="1103" spans="1:13" s="20" customFormat="1" x14ac:dyDescent="0.3">
      <c r="A1103" s="26">
        <v>46211</v>
      </c>
      <c r="B1103" t="s">
        <v>292</v>
      </c>
      <c r="C1103" t="s">
        <v>132</v>
      </c>
      <c r="D1103" s="27" t="s">
        <v>17</v>
      </c>
      <c r="E1103" s="4" t="s">
        <v>170</v>
      </c>
      <c r="F1103" s="4">
        <v>896950000</v>
      </c>
      <c r="G1103" s="8" t="str">
        <f>+VLOOKUP(Tabla14[[#This Row],[FONDO]],MAESTRO!$D$2:$E$119,2,FALSE)</f>
        <v>Banco Santander Rio S.A.</v>
      </c>
      <c r="H1103" s="8" t="str">
        <f>+VLOOKUP(Tabla14[[#This Row],[FONDO]],MAESTRO!D:F,3,FALSE)</f>
        <v>(T+0)</v>
      </c>
      <c r="I1103" s="4" t="s">
        <v>9</v>
      </c>
      <c r="J1103" s="23"/>
      <c r="K1103"/>
      <c r="L11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3" s="4">
        <f>ROUND(IF(Tabla14[[#This Row],[OPERACIÓN]]=MAESTRO!$B$2,Tabla14[CAPITAL],IF(Tabla14[[#This Row],[OPERACIÓN]]=MAESTRO!$B$5,Tabla14[CAPITAL],-Tabla14[[#This Row],[CAPITAL]])),2)</f>
        <v>-896950000</v>
      </c>
    </row>
    <row r="1104" spans="1:13" x14ac:dyDescent="0.3">
      <c r="A1104" s="37">
        <v>46211</v>
      </c>
      <c r="B1104" s="20" t="s">
        <v>299</v>
      </c>
      <c r="C1104" s="20" t="s">
        <v>132</v>
      </c>
      <c r="D1104" s="38" t="s">
        <v>16</v>
      </c>
      <c r="E1104" s="39" t="s">
        <v>169</v>
      </c>
      <c r="F1104" s="39">
        <v>14180000</v>
      </c>
      <c r="G1104" s="40" t="str">
        <f>+VLOOKUP(Tabla14[[#This Row],[FONDO]],MAESTRO!$D$2:$E$119,2,FALSE)</f>
        <v>Max Capital</v>
      </c>
      <c r="H1104" s="40" t="str">
        <f>+VLOOKUP(Tabla14[[#This Row],[FONDO]],MAESTRO!D:F,3,FALSE)</f>
        <v>(T+0)</v>
      </c>
      <c r="I1104" s="39" t="s">
        <v>9</v>
      </c>
      <c r="J1104" s="49"/>
      <c r="K1104" s="20"/>
      <c r="L110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4" s="39">
        <f>ROUND(IF(Tabla14[[#This Row],[OPERACIÓN]]=MAESTRO!$B$2,Tabla14[CAPITAL],IF(Tabla14[[#This Row],[OPERACIÓN]]=MAESTRO!$B$5,Tabla14[CAPITAL],-Tabla14[[#This Row],[CAPITAL]])),2)</f>
        <v>14180000</v>
      </c>
    </row>
    <row r="1105" spans="1:13" s="20" customFormat="1" x14ac:dyDescent="0.3">
      <c r="A1105" s="26">
        <v>46216</v>
      </c>
      <c r="B1105" t="s">
        <v>292</v>
      </c>
      <c r="C1105" t="s">
        <v>132</v>
      </c>
      <c r="D1105" s="27" t="s">
        <v>17</v>
      </c>
      <c r="E1105" s="4" t="s">
        <v>40</v>
      </c>
      <c r="F1105" s="53">
        <v>189400000</v>
      </c>
      <c r="G1105" s="111" t="str">
        <f>+VLOOKUP(Tabla14[[#This Row],[FONDO]],MAESTRO!$D$2:$E$119,2,FALSE)</f>
        <v>BBVA Banco Frances SA</v>
      </c>
      <c r="H1105" s="8" t="str">
        <f>+VLOOKUP(Tabla14[[#This Row],[FONDO]],MAESTRO!D:F,3,FALSE)</f>
        <v>(T+0)</v>
      </c>
      <c r="I1105" s="4" t="s">
        <v>9</v>
      </c>
      <c r="J1105" s="23"/>
      <c r="K1105"/>
      <c r="L11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5" s="4">
        <f>ROUND(IF(Tabla14[[#This Row],[OPERACIÓN]]=MAESTRO!$B$2,Tabla14[CAPITAL],IF(Tabla14[[#This Row],[OPERACIÓN]]=MAESTRO!$B$5,Tabla14[CAPITAL],-Tabla14[[#This Row],[CAPITAL]])),2)</f>
        <v>-189400000</v>
      </c>
    </row>
    <row r="1106" spans="1:13" x14ac:dyDescent="0.3">
      <c r="A1106" s="26">
        <v>46216</v>
      </c>
      <c r="B1106" t="s">
        <v>298</v>
      </c>
      <c r="C1106" t="s">
        <v>132</v>
      </c>
      <c r="D1106" s="27" t="s">
        <v>17</v>
      </c>
      <c r="E1106" s="4" t="s">
        <v>48</v>
      </c>
      <c r="F1106" s="53">
        <v>3212000000</v>
      </c>
      <c r="G1106" s="111" t="str">
        <f>+VLOOKUP(Tabla14[[#This Row],[FONDO]],MAESTRO!$D$2:$E$119,2,FALSE)</f>
        <v>Banco Macro S.A.</v>
      </c>
      <c r="H1106" s="8" t="str">
        <f>+VLOOKUP(Tabla14[[#This Row],[FONDO]],MAESTRO!D:F,3,FALSE)</f>
        <v>(T+0)</v>
      </c>
      <c r="I1106" s="4" t="s">
        <v>9</v>
      </c>
      <c r="L11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6" s="4">
        <f>ROUND(IF(Tabla14[[#This Row],[OPERACIÓN]]=MAESTRO!$B$2,Tabla14[CAPITAL],IF(Tabla14[[#This Row],[OPERACIÓN]]=MAESTRO!$B$5,Tabla14[CAPITAL],-Tabla14[[#This Row],[CAPITAL]])),2)</f>
        <v>-3212000000</v>
      </c>
    </row>
    <row r="1107" spans="1:13" x14ac:dyDescent="0.3">
      <c r="A1107" s="26">
        <v>46216</v>
      </c>
      <c r="B1107" t="s">
        <v>299</v>
      </c>
      <c r="C1107" t="s">
        <v>132</v>
      </c>
      <c r="D1107" s="27" t="s">
        <v>16</v>
      </c>
      <c r="E1107" s="4" t="s">
        <v>48</v>
      </c>
      <c r="F1107" s="53">
        <v>5800000</v>
      </c>
      <c r="G1107" s="111" t="str">
        <f>+VLOOKUP(Tabla14[[#This Row],[FONDO]],MAESTRO!$D$2:$E$119,2,FALSE)</f>
        <v>Banco Macro S.A.</v>
      </c>
      <c r="H1107" s="8" t="str">
        <f>+VLOOKUP(Tabla14[[#This Row],[FONDO]],MAESTRO!D:F,3,FALSE)</f>
        <v>(T+0)</v>
      </c>
      <c r="I1107" s="4" t="s">
        <v>9</v>
      </c>
      <c r="L11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7" s="4">
        <f>ROUND(IF(Tabla14[[#This Row],[OPERACIÓN]]=MAESTRO!$B$2,Tabla14[CAPITAL],IF(Tabla14[[#This Row],[OPERACIÓN]]=MAESTRO!$B$5,Tabla14[CAPITAL],-Tabla14[[#This Row],[CAPITAL]])),2)</f>
        <v>5800000</v>
      </c>
    </row>
    <row r="1108" spans="1:13" x14ac:dyDescent="0.3">
      <c r="A1108" s="26">
        <v>46216</v>
      </c>
      <c r="B1108" t="s">
        <v>299</v>
      </c>
      <c r="C1108" t="s">
        <v>132</v>
      </c>
      <c r="D1108" s="27" t="s">
        <v>17</v>
      </c>
      <c r="E1108" s="4" t="s">
        <v>136</v>
      </c>
      <c r="F1108" s="4">
        <v>700000000</v>
      </c>
      <c r="G1108" s="111" t="str">
        <f>+VLOOKUP(Tabla14[[#This Row],[FONDO]],MAESTRO!$D$2:$E$119,2,FALSE)</f>
        <v>Gma Capital</v>
      </c>
      <c r="H1108" s="8" t="str">
        <f>+VLOOKUP(Tabla14[[#This Row],[FONDO]],MAESTRO!D:F,3,FALSE)</f>
        <v>(T+0)</v>
      </c>
      <c r="I1108" s="4" t="s">
        <v>9</v>
      </c>
      <c r="L11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8" s="4">
        <f>ROUND(IF(Tabla14[[#This Row],[OPERACIÓN]]=MAESTRO!$B$2,Tabla14[CAPITAL],IF(Tabla14[[#This Row],[OPERACIÓN]]=MAESTRO!$B$5,Tabla14[CAPITAL],-Tabla14[[#This Row],[CAPITAL]])),2)</f>
        <v>-700000000</v>
      </c>
    </row>
    <row r="1109" spans="1:13" x14ac:dyDescent="0.3">
      <c r="A1109" s="26">
        <v>46216</v>
      </c>
      <c r="B1109" t="s">
        <v>299</v>
      </c>
      <c r="C1109" t="s">
        <v>132</v>
      </c>
      <c r="D1109" s="27" t="s">
        <v>17</v>
      </c>
      <c r="E1109" s="4" t="s">
        <v>169</v>
      </c>
      <c r="F1109" s="4">
        <v>700000000</v>
      </c>
      <c r="G1109" s="111" t="str">
        <f>+VLOOKUP(Tabla14[[#This Row],[FONDO]],MAESTRO!$D$2:$E$119,2,FALSE)</f>
        <v>Max Capital</v>
      </c>
      <c r="H1109" s="8" t="str">
        <f>+VLOOKUP(Tabla14[[#This Row],[FONDO]],MAESTRO!D:F,3,FALSE)</f>
        <v>(T+0)</v>
      </c>
      <c r="I1109" s="4" t="s">
        <v>9</v>
      </c>
      <c r="L11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09" s="4">
        <f>ROUND(IF(Tabla14[[#This Row],[OPERACIÓN]]=MAESTRO!$B$2,Tabla14[CAPITAL],IF(Tabla14[[#This Row],[OPERACIÓN]]=MAESTRO!$B$5,Tabla14[CAPITAL],-Tabla14[[#This Row],[CAPITAL]])),2)</f>
        <v>-700000000</v>
      </c>
    </row>
    <row r="1110" spans="1:13" x14ac:dyDescent="0.3">
      <c r="A1110" s="26">
        <v>46216</v>
      </c>
      <c r="B1110" t="s">
        <v>292</v>
      </c>
      <c r="C1110" t="s">
        <v>132</v>
      </c>
      <c r="D1110" s="27" t="s">
        <v>17</v>
      </c>
      <c r="E1110" s="4" t="s">
        <v>170</v>
      </c>
      <c r="F1110" s="4">
        <v>400000000</v>
      </c>
      <c r="G1110" s="111" t="str">
        <f>+VLOOKUP(Tabla14[[#This Row],[FONDO]],MAESTRO!$D$2:$E$119,2,FALSE)</f>
        <v>Banco Santander Rio S.A.</v>
      </c>
      <c r="H1110" s="8" t="str">
        <f>+VLOOKUP(Tabla14[[#This Row],[FONDO]],MAESTRO!D:F,3,FALSE)</f>
        <v>(T+0)</v>
      </c>
      <c r="I1110" s="4" t="s">
        <v>9</v>
      </c>
      <c r="L11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0" s="4">
        <f>ROUND(IF(Tabla14[[#This Row],[OPERACIÓN]]=MAESTRO!$B$2,Tabla14[CAPITAL],IF(Tabla14[[#This Row],[OPERACIÓN]]=MAESTRO!$B$5,Tabla14[CAPITAL],-Tabla14[[#This Row],[CAPITAL]])),2)</f>
        <v>-400000000</v>
      </c>
    </row>
    <row r="1111" spans="1:13" x14ac:dyDescent="0.3">
      <c r="A1111" s="26">
        <v>46216</v>
      </c>
      <c r="B1111" t="s">
        <v>298</v>
      </c>
      <c r="C1111" t="s">
        <v>132</v>
      </c>
      <c r="D1111" s="27" t="s">
        <v>16</v>
      </c>
      <c r="E1111" s="4" t="s">
        <v>170</v>
      </c>
      <c r="F1111" s="4">
        <v>1000000000</v>
      </c>
      <c r="G1111" s="111" t="str">
        <f>+VLOOKUP(Tabla14[[#This Row],[FONDO]],MAESTRO!$D$2:$E$119,2,FALSE)</f>
        <v>Banco Santander Rio S.A.</v>
      </c>
      <c r="H1111" s="8" t="str">
        <f>+VLOOKUP(Tabla14[[#This Row],[FONDO]],MAESTRO!D:F,3,FALSE)</f>
        <v>(T+0)</v>
      </c>
      <c r="I1111" s="4" t="s">
        <v>9</v>
      </c>
      <c r="L11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1" s="4">
        <f>ROUND(IF(Tabla14[[#This Row],[OPERACIÓN]]=MAESTRO!$B$2,Tabla14[CAPITAL],IF(Tabla14[[#This Row],[OPERACIÓN]]=MAESTRO!$B$5,Tabla14[CAPITAL],-Tabla14[[#This Row],[CAPITAL]])),2)</f>
        <v>1000000000</v>
      </c>
    </row>
    <row r="1112" spans="1:13" x14ac:dyDescent="0.3">
      <c r="A1112" s="26">
        <v>46216</v>
      </c>
      <c r="B1112" t="s">
        <v>298</v>
      </c>
      <c r="C1112" t="s">
        <v>132</v>
      </c>
      <c r="D1112" s="27" t="s">
        <v>17</v>
      </c>
      <c r="E1112" s="4" t="s">
        <v>170</v>
      </c>
      <c r="F1112" s="4">
        <v>332284833.60000002</v>
      </c>
      <c r="G1112" s="8" t="str">
        <f>+VLOOKUP(Tabla14[[#This Row],[FONDO]],MAESTRO!$D$2:$E$119,2,FALSE)</f>
        <v>Banco Santander Rio S.A.</v>
      </c>
      <c r="H1112" s="8" t="str">
        <f>+VLOOKUP(Tabla14[[#This Row],[FONDO]],MAESTRO!D:F,3,FALSE)</f>
        <v>(T+0)</v>
      </c>
      <c r="I1112" s="4" t="s">
        <v>9</v>
      </c>
      <c r="L11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2" s="4">
        <f>ROUND(IF(Tabla14[[#This Row],[OPERACIÓN]]=MAESTRO!$B$2,Tabla14[CAPITAL],IF(Tabla14[[#This Row],[OPERACIÓN]]=MAESTRO!$B$5,Tabla14[CAPITAL],-Tabla14[[#This Row],[CAPITAL]])),2)</f>
        <v>-332284833.60000002</v>
      </c>
    </row>
    <row r="1113" spans="1:13" s="20" customFormat="1" x14ac:dyDescent="0.3">
      <c r="A1113" s="37">
        <v>46217</v>
      </c>
      <c r="B1113" s="20" t="s">
        <v>299</v>
      </c>
      <c r="C1113" s="20" t="s">
        <v>132</v>
      </c>
      <c r="D1113" s="38" t="s">
        <v>16</v>
      </c>
      <c r="E1113" s="39" t="s">
        <v>40</v>
      </c>
      <c r="F1113" s="39">
        <v>12460000</v>
      </c>
      <c r="G1113" s="112" t="str">
        <f>+VLOOKUP(Tabla14[[#This Row],[FONDO]],MAESTRO!$D$2:$E$119,2,FALSE)</f>
        <v>BBVA Banco Frances SA</v>
      </c>
      <c r="H1113" s="40" t="str">
        <f>+VLOOKUP(Tabla14[[#This Row],[FONDO]],MAESTRO!D:F,3,FALSE)</f>
        <v>(T+0)</v>
      </c>
      <c r="I1113" s="39" t="s">
        <v>9</v>
      </c>
      <c r="J1113" s="49"/>
      <c r="L111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3" s="39">
        <f>ROUND(IF(Tabla14[[#This Row],[OPERACIÓN]]=MAESTRO!$B$2,Tabla14[CAPITAL],IF(Tabla14[[#This Row],[OPERACIÓN]]=MAESTRO!$B$5,Tabla14[CAPITAL],-Tabla14[[#This Row],[CAPITAL]])),2)</f>
        <v>12460000</v>
      </c>
    </row>
    <row r="1114" spans="1:13" s="20" customFormat="1" x14ac:dyDescent="0.3">
      <c r="A1114" s="37">
        <v>46217</v>
      </c>
      <c r="B1114" s="20" t="s">
        <v>298</v>
      </c>
      <c r="C1114" s="20" t="s">
        <v>132</v>
      </c>
      <c r="D1114" s="38" t="s">
        <v>16</v>
      </c>
      <c r="E1114" s="39" t="s">
        <v>40</v>
      </c>
      <c r="F1114" s="39">
        <v>92950000</v>
      </c>
      <c r="G1114" s="112" t="str">
        <f>+VLOOKUP(Tabla14[[#This Row],[FONDO]],MAESTRO!$D$2:$E$119,2,FALSE)</f>
        <v>BBVA Banco Frances SA</v>
      </c>
      <c r="H1114" s="40" t="str">
        <f>+VLOOKUP(Tabla14[[#This Row],[FONDO]],MAESTRO!D:F,3,FALSE)</f>
        <v>(T+0)</v>
      </c>
      <c r="I1114" s="39" t="s">
        <v>9</v>
      </c>
      <c r="J1114" s="49"/>
      <c r="L111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4" s="39">
        <f>ROUND(IF(Tabla14[[#This Row],[OPERACIÓN]]=MAESTRO!$B$2,Tabla14[CAPITAL],IF(Tabla14[[#This Row],[OPERACIÓN]]=MAESTRO!$B$5,Tabla14[CAPITAL],-Tabla14[[#This Row],[CAPITAL]])),2)</f>
        <v>92950000</v>
      </c>
    </row>
    <row r="1115" spans="1:13" s="20" customFormat="1" x14ac:dyDescent="0.3">
      <c r="A1115" s="37">
        <v>46217</v>
      </c>
      <c r="B1115" s="20" t="s">
        <v>292</v>
      </c>
      <c r="C1115" s="20" t="s">
        <v>132</v>
      </c>
      <c r="D1115" s="38" t="s">
        <v>16</v>
      </c>
      <c r="E1115" s="39" t="s">
        <v>40</v>
      </c>
      <c r="F1115" s="39">
        <v>6130000</v>
      </c>
      <c r="G1115" s="112" t="str">
        <f>+VLOOKUP(Tabla14[[#This Row],[FONDO]],MAESTRO!$D$2:$E$119,2,FALSE)</f>
        <v>BBVA Banco Frances SA</v>
      </c>
      <c r="H1115" s="40" t="str">
        <f>+VLOOKUP(Tabla14[[#This Row],[FONDO]],MAESTRO!D:F,3,FALSE)</f>
        <v>(T+0)</v>
      </c>
      <c r="I1115" s="39" t="s">
        <v>9</v>
      </c>
      <c r="J1115" s="49"/>
      <c r="L111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5" s="39">
        <f>ROUND(IF(Tabla14[[#This Row],[OPERACIÓN]]=MAESTRO!$B$2,Tabla14[CAPITAL],IF(Tabla14[[#This Row],[OPERACIÓN]]=MAESTRO!$B$5,Tabla14[CAPITAL],-Tabla14[[#This Row],[CAPITAL]])),2)</f>
        <v>6130000</v>
      </c>
    </row>
    <row r="1116" spans="1:13" s="20" customFormat="1" x14ac:dyDescent="0.3">
      <c r="A1116" s="37">
        <v>46217</v>
      </c>
      <c r="B1116" s="20" t="s">
        <v>299</v>
      </c>
      <c r="C1116" s="20" t="s">
        <v>132</v>
      </c>
      <c r="D1116" s="38" t="s">
        <v>16</v>
      </c>
      <c r="E1116" s="39" t="s">
        <v>48</v>
      </c>
      <c r="F1116" s="39">
        <v>1440000</v>
      </c>
      <c r="G1116" s="112" t="str">
        <f>+VLOOKUP(Tabla14[[#This Row],[FONDO]],MAESTRO!$D$2:$E$119,2,FALSE)</f>
        <v>Banco Macro S.A.</v>
      </c>
      <c r="H1116" s="40" t="str">
        <f>+VLOOKUP(Tabla14[[#This Row],[FONDO]],MAESTRO!D:F,3,FALSE)</f>
        <v>(T+0)</v>
      </c>
      <c r="I1116" s="39" t="s">
        <v>9</v>
      </c>
      <c r="J1116" s="49"/>
      <c r="L111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6" s="39">
        <f>ROUND(IF(Tabla14[[#This Row],[OPERACIÓN]]=MAESTRO!$B$2,Tabla14[CAPITAL],IF(Tabla14[[#This Row],[OPERACIÓN]]=MAESTRO!$B$5,Tabla14[CAPITAL],-Tabla14[[#This Row],[CAPITAL]])),2)</f>
        <v>1440000</v>
      </c>
    </row>
    <row r="1117" spans="1:13" s="20" customFormat="1" x14ac:dyDescent="0.3">
      <c r="A1117" s="37">
        <v>46217</v>
      </c>
      <c r="B1117" s="20" t="s">
        <v>298</v>
      </c>
      <c r="C1117" s="20" t="s">
        <v>132</v>
      </c>
      <c r="D1117" s="38" t="s">
        <v>16</v>
      </c>
      <c r="E1117" s="39" t="s">
        <v>48</v>
      </c>
      <c r="F1117" s="39">
        <v>20130000</v>
      </c>
      <c r="G1117" s="112" t="str">
        <f>+VLOOKUP(Tabla14[[#This Row],[FONDO]],MAESTRO!$D$2:$E$119,2,FALSE)</f>
        <v>Banco Macro S.A.</v>
      </c>
      <c r="H1117" s="40" t="str">
        <f>+VLOOKUP(Tabla14[[#This Row],[FONDO]],MAESTRO!D:F,3,FALSE)</f>
        <v>(T+0)</v>
      </c>
      <c r="I1117" s="39" t="s">
        <v>9</v>
      </c>
      <c r="J1117" s="49"/>
      <c r="L111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7" s="39">
        <f>ROUND(IF(Tabla14[[#This Row],[OPERACIÓN]]=MAESTRO!$B$2,Tabla14[CAPITAL],IF(Tabla14[[#This Row],[OPERACIÓN]]=MAESTRO!$B$5,Tabla14[CAPITAL],-Tabla14[[#This Row],[CAPITAL]])),2)</f>
        <v>20130000</v>
      </c>
    </row>
    <row r="1118" spans="1:13" x14ac:dyDescent="0.3">
      <c r="A1118" s="26">
        <v>46217</v>
      </c>
      <c r="B1118" t="s">
        <v>292</v>
      </c>
      <c r="C1118" t="s">
        <v>132</v>
      </c>
      <c r="D1118" s="27" t="s">
        <v>17</v>
      </c>
      <c r="E1118" s="4" t="s">
        <v>170</v>
      </c>
      <c r="F1118" s="4">
        <v>126020669.97</v>
      </c>
      <c r="G1118" s="111" t="str">
        <f>+VLOOKUP(Tabla14[[#This Row],[FONDO]],MAESTRO!$D$2:$E$119,2,FALSE)</f>
        <v>Banco Santander Rio S.A.</v>
      </c>
      <c r="H1118" s="8" t="str">
        <f>+VLOOKUP(Tabla14[[#This Row],[FONDO]],MAESTRO!D:F,3,FALSE)</f>
        <v>(T+0)</v>
      </c>
      <c r="I1118" s="4" t="s">
        <v>9</v>
      </c>
      <c r="L11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8" s="4">
        <f>ROUND(IF(Tabla14[[#This Row],[OPERACIÓN]]=MAESTRO!$B$2,Tabla14[CAPITAL],IF(Tabla14[[#This Row],[OPERACIÓN]]=MAESTRO!$B$5,Tabla14[CAPITAL],-Tabla14[[#This Row],[CAPITAL]])),2)</f>
        <v>-126020669.97</v>
      </c>
    </row>
    <row r="1119" spans="1:13" x14ac:dyDescent="0.3">
      <c r="A1119" s="26">
        <v>46217</v>
      </c>
      <c r="B1119" t="s">
        <v>292</v>
      </c>
      <c r="C1119" t="s">
        <v>132</v>
      </c>
      <c r="D1119" s="27" t="s">
        <v>17</v>
      </c>
      <c r="E1119" s="4" t="s">
        <v>170</v>
      </c>
      <c r="F1119" s="4">
        <v>23034711.18</v>
      </c>
      <c r="G1119" s="111" t="str">
        <f>+VLOOKUP(Tabla14[[#This Row],[FONDO]],MAESTRO!$D$2:$E$119,2,FALSE)</f>
        <v>Banco Santander Rio S.A.</v>
      </c>
      <c r="H1119" s="8" t="str">
        <f>+VLOOKUP(Tabla14[[#This Row],[FONDO]],MAESTRO!D:F,3,FALSE)</f>
        <v>(T+0)</v>
      </c>
      <c r="I1119" s="4" t="s">
        <v>9</v>
      </c>
      <c r="L11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19" s="4">
        <f>ROUND(IF(Tabla14[[#This Row],[OPERACIÓN]]=MAESTRO!$B$2,Tabla14[CAPITAL],IF(Tabla14[[#This Row],[OPERACIÓN]]=MAESTRO!$B$5,Tabla14[CAPITAL],-Tabla14[[#This Row],[CAPITAL]])),2)</f>
        <v>-23034711.18</v>
      </c>
    </row>
    <row r="1120" spans="1:13" x14ac:dyDescent="0.3">
      <c r="A1120" s="26">
        <v>46217</v>
      </c>
      <c r="B1120" t="s">
        <v>298</v>
      </c>
      <c r="C1120" t="s">
        <v>132</v>
      </c>
      <c r="D1120" s="27" t="s">
        <v>17</v>
      </c>
      <c r="E1120" s="4" t="s">
        <v>170</v>
      </c>
      <c r="F1120" s="4">
        <v>643673849.51999998</v>
      </c>
      <c r="G1120" s="111" t="str">
        <f>+VLOOKUP(Tabla14[[#This Row],[FONDO]],MAESTRO!$D$2:$E$119,2,FALSE)</f>
        <v>Banco Santander Rio S.A.</v>
      </c>
      <c r="H1120" s="8" t="str">
        <f>+VLOOKUP(Tabla14[[#This Row],[FONDO]],MAESTRO!D:F,3,FALSE)</f>
        <v>(T+0)</v>
      </c>
      <c r="I1120" s="4" t="s">
        <v>9</v>
      </c>
      <c r="L11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0" s="4">
        <f>ROUND(IF(Tabla14[[#This Row],[OPERACIÓN]]=MAESTRO!$B$2,Tabla14[CAPITAL],IF(Tabla14[[#This Row],[OPERACIÓN]]=MAESTRO!$B$5,Tabla14[CAPITAL],-Tabla14[[#This Row],[CAPITAL]])),2)</f>
        <v>-643673849.51999998</v>
      </c>
    </row>
    <row r="1121" spans="1:13" x14ac:dyDescent="0.3">
      <c r="A1121" s="26">
        <v>46217</v>
      </c>
      <c r="B1121" t="s">
        <v>298</v>
      </c>
      <c r="C1121" t="s">
        <v>132</v>
      </c>
      <c r="D1121" s="27" t="s">
        <v>17</v>
      </c>
      <c r="E1121" s="4" t="s">
        <v>170</v>
      </c>
      <c r="F1121" s="4">
        <v>114828515.04000001</v>
      </c>
      <c r="G1121" s="111" t="str">
        <f>+VLOOKUP(Tabla14[[#This Row],[FONDO]],MAESTRO!$D$2:$E$119,2,FALSE)</f>
        <v>Banco Santander Rio S.A.</v>
      </c>
      <c r="H1121" s="8" t="str">
        <f>+VLOOKUP(Tabla14[[#This Row],[FONDO]],MAESTRO!D:F,3,FALSE)</f>
        <v>(T+0)</v>
      </c>
      <c r="I1121" s="4" t="s">
        <v>9</v>
      </c>
      <c r="L1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1" s="4">
        <f>ROUND(IF(Tabla14[[#This Row],[OPERACIÓN]]=MAESTRO!$B$2,Tabla14[CAPITAL],IF(Tabla14[[#This Row],[OPERACIÓN]]=MAESTRO!$B$5,Tabla14[CAPITAL],-Tabla14[[#This Row],[CAPITAL]])),2)</f>
        <v>-114828515.04000001</v>
      </c>
    </row>
    <row r="1122" spans="1:13" x14ac:dyDescent="0.3">
      <c r="A1122" s="26">
        <v>46217</v>
      </c>
      <c r="B1122" t="s">
        <v>298</v>
      </c>
      <c r="C1122" t="s">
        <v>132</v>
      </c>
      <c r="D1122" s="27" t="s">
        <v>17</v>
      </c>
      <c r="E1122" s="4" t="s">
        <v>136</v>
      </c>
      <c r="F1122" s="113">
        <v>117470916.54000001</v>
      </c>
      <c r="G1122" s="8" t="str">
        <f>+VLOOKUP(Tabla14[[#This Row],[FONDO]],MAESTRO!$D$2:$E$119,2,FALSE)</f>
        <v>Gma Capital</v>
      </c>
      <c r="H1122" s="8" t="str">
        <f>+VLOOKUP(Tabla14[[#This Row],[FONDO]],MAESTRO!D:F,3,FALSE)</f>
        <v>(T+0)</v>
      </c>
      <c r="I1122" s="4" t="s">
        <v>9</v>
      </c>
      <c r="L11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2" s="4">
        <f>ROUND(IF(Tabla14[[#This Row],[OPERACIÓN]]=MAESTRO!$B$2,Tabla14[CAPITAL],IF(Tabla14[[#This Row],[OPERACIÓN]]=MAESTRO!$B$5,Tabla14[CAPITAL],-Tabla14[[#This Row],[CAPITAL]])),2)</f>
        <v>-117470916.54000001</v>
      </c>
    </row>
    <row r="1123" spans="1:13" x14ac:dyDescent="0.3">
      <c r="A1123" s="26">
        <v>46217</v>
      </c>
      <c r="B1123" t="s">
        <v>298</v>
      </c>
      <c r="C1123" t="s">
        <v>132</v>
      </c>
      <c r="D1123" s="27" t="s">
        <v>17</v>
      </c>
      <c r="E1123" s="4" t="s">
        <v>136</v>
      </c>
      <c r="F1123" s="53">
        <v>165357375.21000001</v>
      </c>
      <c r="G1123" s="8" t="str">
        <f>+VLOOKUP(Tabla14[[#This Row],[FONDO]],MAESTRO!$D$2:$E$119,2,FALSE)</f>
        <v>Gma Capital</v>
      </c>
      <c r="H1123" s="8" t="str">
        <f>+VLOOKUP(Tabla14[[#This Row],[FONDO]],MAESTRO!D:F,3,FALSE)</f>
        <v>(T+0)</v>
      </c>
      <c r="I1123" s="4" t="s">
        <v>9</v>
      </c>
      <c r="L11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3" s="4">
        <f>ROUND(IF(Tabla14[[#This Row],[OPERACIÓN]]=MAESTRO!$B$2,Tabla14[CAPITAL],IF(Tabla14[[#This Row],[OPERACIÓN]]=MAESTRO!$B$5,Tabla14[CAPITAL],-Tabla14[[#This Row],[CAPITAL]])),2)</f>
        <v>-165357375.21000001</v>
      </c>
    </row>
    <row r="1124" spans="1:13" x14ac:dyDescent="0.3">
      <c r="A1124" s="26">
        <v>46217</v>
      </c>
      <c r="B1124" t="s">
        <v>298</v>
      </c>
      <c r="C1124" t="s">
        <v>132</v>
      </c>
      <c r="D1124" s="27" t="s">
        <v>17</v>
      </c>
      <c r="E1124" s="4" t="s">
        <v>169</v>
      </c>
      <c r="F1124" s="53">
        <v>69303310.980000004</v>
      </c>
      <c r="G1124" s="8" t="str">
        <f>+VLOOKUP(Tabla14[[#This Row],[FONDO]],MAESTRO!$D$2:$E$119,2,FALSE)</f>
        <v>Max Capital</v>
      </c>
      <c r="H1124" s="8" t="str">
        <f>+VLOOKUP(Tabla14[[#This Row],[FONDO]],MAESTRO!D:F,3,FALSE)</f>
        <v>(T+0)</v>
      </c>
      <c r="I1124" s="4" t="s">
        <v>9</v>
      </c>
      <c r="L11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4" s="4">
        <f>ROUND(IF(Tabla14[[#This Row],[OPERACIÓN]]=MAESTRO!$B$2,Tabla14[CAPITAL],IF(Tabla14[[#This Row],[OPERACIÓN]]=MAESTRO!$B$5,Tabla14[CAPITAL],-Tabla14[[#This Row],[CAPITAL]])),2)</f>
        <v>-69303310.980000004</v>
      </c>
    </row>
    <row r="1125" spans="1:13" x14ac:dyDescent="0.3">
      <c r="A1125" s="26">
        <v>46217</v>
      </c>
      <c r="B1125" t="s">
        <v>298</v>
      </c>
      <c r="C1125" t="s">
        <v>132</v>
      </c>
      <c r="D1125" s="27" t="s">
        <v>17</v>
      </c>
      <c r="E1125" s="4" t="s">
        <v>169</v>
      </c>
      <c r="F1125" s="53">
        <v>84391747.349999994</v>
      </c>
      <c r="G1125" s="8" t="str">
        <f>+VLOOKUP(Tabla14[[#This Row],[FONDO]],MAESTRO!$D$2:$E$119,2,FALSE)</f>
        <v>Max Capital</v>
      </c>
      <c r="H1125" s="8" t="str">
        <f>+VLOOKUP(Tabla14[[#This Row],[FONDO]],MAESTRO!D:F,3,FALSE)</f>
        <v>(T+0)</v>
      </c>
      <c r="I1125" s="4" t="s">
        <v>9</v>
      </c>
      <c r="L11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5" s="4">
        <f>ROUND(IF(Tabla14[[#This Row],[OPERACIÓN]]=MAESTRO!$B$2,Tabla14[CAPITAL],IF(Tabla14[[#This Row],[OPERACIÓN]]=MAESTRO!$B$5,Tabla14[CAPITAL],-Tabla14[[#This Row],[CAPITAL]])),2)</f>
        <v>-84391747.349999994</v>
      </c>
    </row>
    <row r="1126" spans="1:13" x14ac:dyDescent="0.3">
      <c r="A1126" s="26">
        <v>46217</v>
      </c>
      <c r="B1126" t="s">
        <v>298</v>
      </c>
      <c r="C1126" t="s">
        <v>132</v>
      </c>
      <c r="D1126" s="27" t="s">
        <v>17</v>
      </c>
      <c r="E1126" s="4" t="s">
        <v>204</v>
      </c>
      <c r="F1126" s="53">
        <v>61647551.840000004</v>
      </c>
      <c r="G1126" s="8" t="str">
        <f>+VLOOKUP(Tabla14[[#This Row],[FONDO]],MAESTRO!$D$2:$E$119,2,FALSE)</f>
        <v>Latin Securities</v>
      </c>
      <c r="H1126" s="8" t="str">
        <f>+VLOOKUP(Tabla14[[#This Row],[FONDO]],MAESTRO!D:F,3,FALSE)</f>
        <v>(T+0)</v>
      </c>
      <c r="I1126" s="4" t="s">
        <v>9</v>
      </c>
      <c r="L11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6" s="4">
        <f>ROUND(IF(Tabla14[[#This Row],[OPERACIÓN]]=MAESTRO!$B$2,Tabla14[CAPITAL],IF(Tabla14[[#This Row],[OPERACIÓN]]=MAESTRO!$B$5,Tabla14[CAPITAL],-Tabla14[[#This Row],[CAPITAL]])),2)</f>
        <v>-61647551.840000004</v>
      </c>
    </row>
    <row r="1127" spans="1:13" x14ac:dyDescent="0.3">
      <c r="A1127" s="26">
        <v>46217</v>
      </c>
      <c r="B1127" t="s">
        <v>298</v>
      </c>
      <c r="C1127" t="s">
        <v>132</v>
      </c>
      <c r="D1127" s="27" t="s">
        <v>17</v>
      </c>
      <c r="E1127" s="4" t="s">
        <v>204</v>
      </c>
      <c r="F1127" s="53">
        <v>52084845.310000002</v>
      </c>
      <c r="G1127" s="8" t="str">
        <f>+VLOOKUP(Tabla14[[#This Row],[FONDO]],MAESTRO!$D$2:$E$119,2,FALSE)</f>
        <v>Latin Securities</v>
      </c>
      <c r="H1127" s="8" t="str">
        <f>+VLOOKUP(Tabla14[[#This Row],[FONDO]],MAESTRO!D:F,3,FALSE)</f>
        <v>(T+0)</v>
      </c>
      <c r="I1127" s="4" t="s">
        <v>9</v>
      </c>
      <c r="L11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7" s="4">
        <f>ROUND(IF(Tabla14[[#This Row],[OPERACIÓN]]=MAESTRO!$B$2,Tabla14[CAPITAL],IF(Tabla14[[#This Row],[OPERACIÓN]]=MAESTRO!$B$5,Tabla14[CAPITAL],-Tabla14[[#This Row],[CAPITAL]])),2)</f>
        <v>-52084845.310000002</v>
      </c>
    </row>
    <row r="1128" spans="1:13" x14ac:dyDescent="0.3">
      <c r="A1128" s="26">
        <v>46217</v>
      </c>
      <c r="B1128" t="s">
        <v>298</v>
      </c>
      <c r="C1128" t="s">
        <v>132</v>
      </c>
      <c r="D1128" s="27" t="s">
        <v>17</v>
      </c>
      <c r="E1128" s="4" t="s">
        <v>48</v>
      </c>
      <c r="F1128" s="4">
        <v>243600000</v>
      </c>
      <c r="G1128" s="8" t="str">
        <f>+VLOOKUP(Tabla14[[#This Row],[FONDO]],MAESTRO!$D$2:$E$119,2,FALSE)</f>
        <v>Banco Macro S.A.</v>
      </c>
      <c r="H1128" s="8" t="str">
        <f>+VLOOKUP(Tabla14[[#This Row],[FONDO]],MAESTRO!D:F,3,FALSE)</f>
        <v>(T+0)</v>
      </c>
      <c r="I1128" s="4" t="s">
        <v>9</v>
      </c>
      <c r="L11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8" s="4">
        <f>ROUND(IF(Tabla14[[#This Row],[OPERACIÓN]]=MAESTRO!$B$2,Tabla14[CAPITAL],IF(Tabla14[[#This Row],[OPERACIÓN]]=MAESTRO!$B$5,Tabla14[CAPITAL],-Tabla14[[#This Row],[CAPITAL]])),2)</f>
        <v>-243600000</v>
      </c>
    </row>
    <row r="1129" spans="1:13" x14ac:dyDescent="0.3">
      <c r="A1129" s="26">
        <v>46218</v>
      </c>
      <c r="B1129" t="s">
        <v>126</v>
      </c>
      <c r="C1129" t="s">
        <v>132</v>
      </c>
      <c r="D1129" s="27" t="s">
        <v>17</v>
      </c>
      <c r="E1129" s="4" t="s">
        <v>48</v>
      </c>
      <c r="F1129" s="4">
        <v>4000000</v>
      </c>
      <c r="G1129" s="8" t="str">
        <f>+VLOOKUP(Tabla14[[#This Row],[FONDO]],MAESTRO!$D$2:$E$119,2,FALSE)</f>
        <v>Banco Macro S.A.</v>
      </c>
      <c r="H1129" s="8" t="str">
        <f>+VLOOKUP(Tabla14[[#This Row],[FONDO]],MAESTRO!D:F,3,FALSE)</f>
        <v>(T+0)</v>
      </c>
      <c r="I1129" s="4" t="s">
        <v>9</v>
      </c>
      <c r="L11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29" s="4">
        <f>ROUND(IF(Tabla14[[#This Row],[OPERACIÓN]]=MAESTRO!$B$2,Tabla14[CAPITAL],IF(Tabla14[[#This Row],[OPERACIÓN]]=MAESTRO!$B$5,Tabla14[CAPITAL],-Tabla14[[#This Row],[CAPITAL]])),2)</f>
        <v>-4000000</v>
      </c>
    </row>
    <row r="1130" spans="1:13" x14ac:dyDescent="0.3">
      <c r="A1130" s="26">
        <v>46218</v>
      </c>
      <c r="B1130" t="s">
        <v>292</v>
      </c>
      <c r="C1130" t="s">
        <v>132</v>
      </c>
      <c r="D1130" s="27" t="s">
        <v>17</v>
      </c>
      <c r="E1130" s="4" t="s">
        <v>48</v>
      </c>
      <c r="F1130" s="4">
        <v>40200000</v>
      </c>
      <c r="G1130" s="8" t="str">
        <f>+VLOOKUP(Tabla14[[#This Row],[FONDO]],MAESTRO!$D$2:$E$119,2,FALSE)</f>
        <v>Banco Macro S.A.</v>
      </c>
      <c r="H1130" s="8" t="str">
        <f>+VLOOKUP(Tabla14[[#This Row],[FONDO]],MAESTRO!D:F,3,FALSE)</f>
        <v>(T+0)</v>
      </c>
      <c r="I1130" s="4" t="s">
        <v>9</v>
      </c>
      <c r="L11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0" s="4">
        <f>ROUND(IF(Tabla14[[#This Row],[OPERACIÓN]]=MAESTRO!$B$2,Tabla14[CAPITAL],IF(Tabla14[[#This Row],[OPERACIÓN]]=MAESTRO!$B$5,Tabla14[CAPITAL],-Tabla14[[#This Row],[CAPITAL]])),2)</f>
        <v>-40200000</v>
      </c>
    </row>
    <row r="1131" spans="1:13" x14ac:dyDescent="0.3">
      <c r="A1131" s="26">
        <v>46218</v>
      </c>
      <c r="B1131" t="s">
        <v>299</v>
      </c>
      <c r="C1131" t="s">
        <v>132</v>
      </c>
      <c r="D1131" s="27" t="s">
        <v>17</v>
      </c>
      <c r="E1131" s="4" t="s">
        <v>48</v>
      </c>
      <c r="F1131" s="4">
        <v>87700000</v>
      </c>
      <c r="G1131" s="8" t="str">
        <f>+VLOOKUP(Tabla14[[#This Row],[FONDO]],MAESTRO!$D$2:$E$119,2,FALSE)</f>
        <v>Banco Macro S.A.</v>
      </c>
      <c r="H1131" s="8" t="str">
        <f>+VLOOKUP(Tabla14[[#This Row],[FONDO]],MAESTRO!D:F,3,FALSE)</f>
        <v>(T+0)</v>
      </c>
      <c r="I1131" s="4" t="s">
        <v>9</v>
      </c>
      <c r="L11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1" s="4">
        <f>ROUND(IF(Tabla14[[#This Row],[OPERACIÓN]]=MAESTRO!$B$2,Tabla14[CAPITAL],IF(Tabla14[[#This Row],[OPERACIÓN]]=MAESTRO!$B$5,Tabla14[CAPITAL],-Tabla14[[#This Row],[CAPITAL]])),2)</f>
        <v>-87700000</v>
      </c>
    </row>
    <row r="1132" spans="1:13" x14ac:dyDescent="0.3">
      <c r="A1132" s="26">
        <v>46218</v>
      </c>
      <c r="B1132" t="s">
        <v>298</v>
      </c>
      <c r="C1132" t="s">
        <v>132</v>
      </c>
      <c r="D1132" s="27" t="s">
        <v>17</v>
      </c>
      <c r="E1132" s="4" t="s">
        <v>48</v>
      </c>
      <c r="F1132" s="4">
        <v>6200000</v>
      </c>
      <c r="G1132" s="8" t="str">
        <f>+VLOOKUP(Tabla14[[#This Row],[FONDO]],MAESTRO!$D$2:$E$119,2,FALSE)</f>
        <v>Banco Macro S.A.</v>
      </c>
      <c r="H1132" s="8" t="str">
        <f>+VLOOKUP(Tabla14[[#This Row],[FONDO]],MAESTRO!D:F,3,FALSE)</f>
        <v>(T+0)</v>
      </c>
      <c r="I1132" s="4" t="s">
        <v>9</v>
      </c>
      <c r="L11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2" s="4">
        <f>ROUND(IF(Tabla14[[#This Row],[OPERACIÓN]]=MAESTRO!$B$2,Tabla14[CAPITAL],IF(Tabla14[[#This Row],[OPERACIÓN]]=MAESTRO!$B$5,Tabla14[CAPITAL],-Tabla14[[#This Row],[CAPITAL]])),2)</f>
        <v>-6200000</v>
      </c>
    </row>
    <row r="1133" spans="1:13" x14ac:dyDescent="0.3">
      <c r="A1133" s="26">
        <v>46218</v>
      </c>
      <c r="B1133" t="s">
        <v>299</v>
      </c>
      <c r="C1133" t="s">
        <v>132</v>
      </c>
      <c r="D1133" s="27" t="s">
        <v>16</v>
      </c>
      <c r="E1133" s="4" t="s">
        <v>40</v>
      </c>
      <c r="F1133" s="4">
        <v>170000000</v>
      </c>
      <c r="G1133" s="8" t="str">
        <f>+VLOOKUP(Tabla14[[#This Row],[FONDO]],MAESTRO!$D$2:$E$119,2,FALSE)</f>
        <v>BBVA Banco Frances SA</v>
      </c>
      <c r="H1133" s="8" t="str">
        <f>+VLOOKUP(Tabla14[[#This Row],[FONDO]],MAESTRO!D:F,3,FALSE)</f>
        <v>(T+0)</v>
      </c>
      <c r="I1133" s="4" t="s">
        <v>9</v>
      </c>
      <c r="L11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3" s="4">
        <f>ROUND(IF(Tabla14[[#This Row],[OPERACIÓN]]=MAESTRO!$B$2,Tabla14[CAPITAL],IF(Tabla14[[#This Row],[OPERACIÓN]]=MAESTRO!$B$5,Tabla14[CAPITAL],-Tabla14[[#This Row],[CAPITAL]])),2)</f>
        <v>170000000</v>
      </c>
    </row>
    <row r="1134" spans="1:13" x14ac:dyDescent="0.3">
      <c r="A1134" s="26">
        <v>46218</v>
      </c>
      <c r="B1134" t="s">
        <v>298</v>
      </c>
      <c r="C1134" t="s">
        <v>132</v>
      </c>
      <c r="D1134" s="27" t="s">
        <v>16</v>
      </c>
      <c r="E1134" s="4" t="s">
        <v>170</v>
      </c>
      <c r="F1134" s="4">
        <v>21850000</v>
      </c>
      <c r="G1134" s="8" t="str">
        <f>+VLOOKUP(Tabla14[[#This Row],[FONDO]],MAESTRO!$D$2:$E$119,2,FALSE)</f>
        <v>Banco Santander Rio S.A.</v>
      </c>
      <c r="H1134" s="8" t="str">
        <f>+VLOOKUP(Tabla14[[#This Row],[FONDO]],MAESTRO!D:F,3,FALSE)</f>
        <v>(T+0)</v>
      </c>
      <c r="I1134" s="4" t="s">
        <v>9</v>
      </c>
      <c r="L11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4" s="4">
        <f>ROUND(IF(Tabla14[[#This Row],[OPERACIÓN]]=MAESTRO!$B$2,Tabla14[CAPITAL],IF(Tabla14[[#This Row],[OPERACIÓN]]=MAESTRO!$B$5,Tabla14[CAPITAL],-Tabla14[[#This Row],[CAPITAL]])),2)</f>
        <v>21850000</v>
      </c>
    </row>
    <row r="1135" spans="1:13" x14ac:dyDescent="0.3">
      <c r="A1135" s="26">
        <v>46218</v>
      </c>
      <c r="B1135" t="s">
        <v>298</v>
      </c>
      <c r="C1135" t="s">
        <v>132</v>
      </c>
      <c r="D1135" s="27" t="s">
        <v>16</v>
      </c>
      <c r="E1135" s="4" t="s">
        <v>40</v>
      </c>
      <c r="F1135" s="4">
        <v>7380000000</v>
      </c>
      <c r="G1135" s="8" t="str">
        <f>+VLOOKUP(Tabla14[[#This Row],[FONDO]],MAESTRO!$D$2:$E$119,2,FALSE)</f>
        <v>BBVA Banco Frances SA</v>
      </c>
      <c r="H1135" s="8" t="str">
        <f>+VLOOKUP(Tabla14[[#This Row],[FONDO]],MAESTRO!D:F,3,FALSE)</f>
        <v>(T+0)</v>
      </c>
      <c r="I1135" s="4" t="s">
        <v>9</v>
      </c>
      <c r="L11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5" s="4">
        <f>ROUND(IF(Tabla14[[#This Row],[OPERACIÓN]]=MAESTRO!$B$2,Tabla14[CAPITAL],IF(Tabla14[[#This Row],[OPERACIÓN]]=MAESTRO!$B$5,Tabla14[CAPITAL],-Tabla14[[#This Row],[CAPITAL]])),2)</f>
        <v>7380000000</v>
      </c>
    </row>
    <row r="1136" spans="1:13" x14ac:dyDescent="0.3">
      <c r="A1136" s="26">
        <v>46219</v>
      </c>
      <c r="B1136" t="s">
        <v>298</v>
      </c>
      <c r="C1136" t="s">
        <v>132</v>
      </c>
      <c r="D1136" s="27" t="s">
        <v>17</v>
      </c>
      <c r="E1136" s="4" t="s">
        <v>40</v>
      </c>
      <c r="F1136" s="4">
        <v>500000000</v>
      </c>
      <c r="G1136" s="8" t="str">
        <f>+VLOOKUP(Tabla14[[#This Row],[FONDO]],MAESTRO!$D$2:$E$119,2,FALSE)</f>
        <v>BBVA Banco Frances SA</v>
      </c>
      <c r="H1136" s="8" t="str">
        <f>+VLOOKUP(Tabla14[[#This Row],[FONDO]],MAESTRO!D:F,3,FALSE)</f>
        <v>(T+0)</v>
      </c>
      <c r="I1136" s="4" t="s">
        <v>9</v>
      </c>
      <c r="L11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6" s="4">
        <f>ROUND(IF(Tabla14[[#This Row],[OPERACIÓN]]=MAESTRO!$B$2,Tabla14[CAPITAL],IF(Tabla14[[#This Row],[OPERACIÓN]]=MAESTRO!$B$5,Tabla14[CAPITAL],-Tabla14[[#This Row],[CAPITAL]])),2)</f>
        <v>-500000000</v>
      </c>
    </row>
    <row r="1137" spans="1:13" x14ac:dyDescent="0.3">
      <c r="A1137" s="26">
        <v>46219</v>
      </c>
      <c r="B1137" t="s">
        <v>298</v>
      </c>
      <c r="C1137" t="s">
        <v>132</v>
      </c>
      <c r="D1137" s="27" t="s">
        <v>16</v>
      </c>
      <c r="E1137" s="4" t="s">
        <v>255</v>
      </c>
      <c r="F1137" s="4">
        <v>300000000</v>
      </c>
      <c r="G1137" s="8" t="str">
        <f>+VLOOKUP(Tabla14[[#This Row],[FONDO]],MAESTRO!$D$2:$E$119,2,FALSE)</f>
        <v>Inviu inversiones</v>
      </c>
      <c r="H1137" s="8" t="str">
        <f>+VLOOKUP(Tabla14[[#This Row],[FONDO]],MAESTRO!D:F,3,FALSE)</f>
        <v>(T+0)</v>
      </c>
      <c r="I1137" s="4" t="s">
        <v>9</v>
      </c>
      <c r="L11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7" s="4">
        <f>ROUND(IF(Tabla14[[#This Row],[OPERACIÓN]]=MAESTRO!$B$2,Tabla14[CAPITAL],IF(Tabla14[[#This Row],[OPERACIÓN]]=MAESTRO!$B$5,Tabla14[CAPITAL],-Tabla14[[#This Row],[CAPITAL]])),2)</f>
        <v>300000000</v>
      </c>
    </row>
    <row r="1138" spans="1:13" x14ac:dyDescent="0.3">
      <c r="A1138" s="26">
        <v>46219</v>
      </c>
      <c r="B1138" t="s">
        <v>298</v>
      </c>
      <c r="C1138" t="s">
        <v>132</v>
      </c>
      <c r="D1138" s="27" t="s">
        <v>16</v>
      </c>
      <c r="E1138" s="4" t="s">
        <v>296</v>
      </c>
      <c r="F1138" s="4">
        <v>200000000</v>
      </c>
      <c r="G1138" s="8" t="str">
        <f>+VLOOKUP(Tabla14[[#This Row],[FONDO]],MAESTRO!$D$2:$E$119,2,FALSE)</f>
        <v>Black Toro</v>
      </c>
      <c r="H1138" s="8" t="str">
        <f>+VLOOKUP(Tabla14[[#This Row],[FONDO]],MAESTRO!D:F,3,FALSE)</f>
        <v>(T+0)</v>
      </c>
      <c r="I1138" s="4" t="s">
        <v>9</v>
      </c>
      <c r="L11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8" s="4">
        <f>ROUND(IF(Tabla14[[#This Row],[OPERACIÓN]]=MAESTRO!$B$2,Tabla14[CAPITAL],IF(Tabla14[[#This Row],[OPERACIÓN]]=MAESTRO!$B$5,Tabla14[CAPITAL],-Tabla14[[#This Row],[CAPITAL]])),2)</f>
        <v>200000000</v>
      </c>
    </row>
    <row r="1139" spans="1:13" x14ac:dyDescent="0.3">
      <c r="A1139" s="26">
        <v>46219</v>
      </c>
      <c r="B1139" t="s">
        <v>298</v>
      </c>
      <c r="C1139" t="s">
        <v>132</v>
      </c>
      <c r="D1139" s="27" t="s">
        <v>17</v>
      </c>
      <c r="E1139" s="4" t="s">
        <v>170</v>
      </c>
      <c r="F1139" s="4">
        <v>57294644.899999999</v>
      </c>
      <c r="G1139" s="8" t="str">
        <f>+VLOOKUP(Tabla14[[#This Row],[FONDO]],MAESTRO!$D$2:$E$119,2,FALSE)</f>
        <v>Banco Santander Rio S.A.</v>
      </c>
      <c r="H1139" s="8" t="str">
        <f>+VLOOKUP(Tabla14[[#This Row],[FONDO]],MAESTRO!D:F,3,FALSE)</f>
        <v>(T+0)</v>
      </c>
      <c r="I1139" s="4" t="s">
        <v>9</v>
      </c>
      <c r="L11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39" s="4">
        <f>ROUND(IF(Tabla14[[#This Row],[OPERACIÓN]]=MAESTRO!$B$2,Tabla14[CAPITAL],IF(Tabla14[[#This Row],[OPERACIÓN]]=MAESTRO!$B$5,Tabla14[CAPITAL],-Tabla14[[#This Row],[CAPITAL]])),2)</f>
        <v>-57294644.899999999</v>
      </c>
    </row>
    <row r="1140" spans="1:13" x14ac:dyDescent="0.3">
      <c r="A1140" s="26">
        <v>46219</v>
      </c>
      <c r="B1140" t="s">
        <v>298</v>
      </c>
      <c r="C1140" t="s">
        <v>132</v>
      </c>
      <c r="D1140" s="27" t="s">
        <v>17</v>
      </c>
      <c r="E1140" s="4" t="s">
        <v>136</v>
      </c>
      <c r="F1140" s="4">
        <v>434714936.83999997</v>
      </c>
      <c r="G1140" s="8" t="str">
        <f>+VLOOKUP(Tabla14[[#This Row],[FONDO]],MAESTRO!$D$2:$E$119,2,FALSE)</f>
        <v>Gma Capital</v>
      </c>
      <c r="H1140" s="8" t="str">
        <f>+VLOOKUP(Tabla14[[#This Row],[FONDO]],MAESTRO!D:F,3,FALSE)</f>
        <v>(T+0)</v>
      </c>
      <c r="I1140" s="4" t="s">
        <v>9</v>
      </c>
      <c r="L11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0" s="4">
        <f>ROUND(IF(Tabla14[[#This Row],[OPERACIÓN]]=MAESTRO!$B$2,Tabla14[CAPITAL],IF(Tabla14[[#This Row],[OPERACIÓN]]=MAESTRO!$B$5,Tabla14[CAPITAL],-Tabla14[[#This Row],[CAPITAL]])),2)</f>
        <v>-434714936.83999997</v>
      </c>
    </row>
    <row r="1141" spans="1:13" x14ac:dyDescent="0.3">
      <c r="A1141" s="26">
        <v>46219</v>
      </c>
      <c r="B1141" t="s">
        <v>298</v>
      </c>
      <c r="C1141" t="s">
        <v>132</v>
      </c>
      <c r="D1141" s="27" t="s">
        <v>17</v>
      </c>
      <c r="E1141" s="4" t="s">
        <v>136</v>
      </c>
      <c r="F1141" s="4">
        <v>310433562.61000001</v>
      </c>
      <c r="G1141" s="8" t="str">
        <f>+VLOOKUP(Tabla14[[#This Row],[FONDO]],MAESTRO!$D$2:$E$119,2,FALSE)</f>
        <v>Gma Capital</v>
      </c>
      <c r="H1141" s="8" t="str">
        <f>+VLOOKUP(Tabla14[[#This Row],[FONDO]],MAESTRO!D:F,3,FALSE)</f>
        <v>(T+0)</v>
      </c>
      <c r="I1141" s="4" t="s">
        <v>9</v>
      </c>
      <c r="L11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1" s="4">
        <f>ROUND(IF(Tabla14[[#This Row],[OPERACIÓN]]=MAESTRO!$B$2,Tabla14[CAPITAL],IF(Tabla14[[#This Row],[OPERACIÓN]]=MAESTRO!$B$5,Tabla14[CAPITAL],-Tabla14[[#This Row],[CAPITAL]])),2)</f>
        <v>-310433562.61000001</v>
      </c>
    </row>
    <row r="1142" spans="1:13" x14ac:dyDescent="0.3">
      <c r="A1142" s="26">
        <v>46219</v>
      </c>
      <c r="B1142" t="s">
        <v>298</v>
      </c>
      <c r="C1142" t="s">
        <v>132</v>
      </c>
      <c r="D1142" s="27" t="s">
        <v>17</v>
      </c>
      <c r="E1142" s="4" t="s">
        <v>204</v>
      </c>
      <c r="F1142" s="4">
        <v>64437391.520000003</v>
      </c>
      <c r="G1142" s="8" t="str">
        <f>+VLOOKUP(Tabla14[[#This Row],[FONDO]],MAESTRO!$D$2:$E$119,2,FALSE)</f>
        <v>Latin Securities</v>
      </c>
      <c r="H1142" s="8" t="str">
        <f>+VLOOKUP(Tabla14[[#This Row],[FONDO]],MAESTRO!D:F,3,FALSE)</f>
        <v>(T+0)</v>
      </c>
      <c r="I1142" s="4" t="s">
        <v>9</v>
      </c>
      <c r="L11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2" s="4">
        <f>ROUND(IF(Tabla14[[#This Row],[OPERACIÓN]]=MAESTRO!$B$2,Tabla14[CAPITAL],IF(Tabla14[[#This Row],[OPERACIÓN]]=MAESTRO!$B$5,Tabla14[CAPITAL],-Tabla14[[#This Row],[CAPITAL]])),2)</f>
        <v>-64437391.520000003</v>
      </c>
    </row>
    <row r="1143" spans="1:13" x14ac:dyDescent="0.3">
      <c r="A1143" s="26">
        <v>46219</v>
      </c>
      <c r="B1143" t="s">
        <v>298</v>
      </c>
      <c r="C1143" t="s">
        <v>132</v>
      </c>
      <c r="D1143" s="27" t="s">
        <v>17</v>
      </c>
      <c r="E1143" s="4" t="s">
        <v>204</v>
      </c>
      <c r="F1143" s="4">
        <v>149552951.53999999</v>
      </c>
      <c r="G1143" s="8" t="str">
        <f>+VLOOKUP(Tabla14[[#This Row],[FONDO]],MAESTRO!$D$2:$E$119,2,FALSE)</f>
        <v>Latin Securities</v>
      </c>
      <c r="H1143" s="8" t="str">
        <f>+VLOOKUP(Tabla14[[#This Row],[FONDO]],MAESTRO!D:F,3,FALSE)</f>
        <v>(T+0)</v>
      </c>
      <c r="I1143" s="4" t="s">
        <v>9</v>
      </c>
      <c r="L11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3" s="4">
        <f>ROUND(IF(Tabla14[[#This Row],[OPERACIÓN]]=MAESTRO!$B$2,Tabla14[CAPITAL],IF(Tabla14[[#This Row],[OPERACIÓN]]=MAESTRO!$B$5,Tabla14[CAPITAL],-Tabla14[[#This Row],[CAPITAL]])),2)</f>
        <v>-149552951.53999999</v>
      </c>
    </row>
    <row r="1144" spans="1:13" x14ac:dyDescent="0.3">
      <c r="A1144" s="26">
        <v>46219</v>
      </c>
      <c r="B1144" t="s">
        <v>292</v>
      </c>
      <c r="C1144" t="s">
        <v>132</v>
      </c>
      <c r="D1144" s="27" t="s">
        <v>17</v>
      </c>
      <c r="E1144" s="4" t="s">
        <v>170</v>
      </c>
      <c r="F1144" s="4">
        <v>68771446.75</v>
      </c>
      <c r="G1144" s="8" t="str">
        <f>+VLOOKUP(Tabla14[[#This Row],[FONDO]],MAESTRO!$D$2:$E$119,2,FALSE)</f>
        <v>Banco Santander Rio S.A.</v>
      </c>
      <c r="H1144" s="8" t="str">
        <f>+VLOOKUP(Tabla14[[#This Row],[FONDO]],MAESTRO!D:F,3,FALSE)</f>
        <v>(T+0)</v>
      </c>
      <c r="I1144" s="4" t="s">
        <v>9</v>
      </c>
      <c r="L11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4" s="4">
        <f>ROUND(IF(Tabla14[[#This Row],[OPERACIÓN]]=MAESTRO!$B$2,Tabla14[CAPITAL],IF(Tabla14[[#This Row],[OPERACIÓN]]=MAESTRO!$B$5,Tabla14[CAPITAL],-Tabla14[[#This Row],[CAPITAL]])),2)</f>
        <v>-68771446.75</v>
      </c>
    </row>
    <row r="1145" spans="1:13" x14ac:dyDescent="0.3">
      <c r="A1145" s="26">
        <v>46219</v>
      </c>
      <c r="B1145" t="s">
        <v>292</v>
      </c>
      <c r="C1145" t="s">
        <v>132</v>
      </c>
      <c r="D1145" s="27" t="s">
        <v>17</v>
      </c>
      <c r="E1145" s="4" t="s">
        <v>170</v>
      </c>
      <c r="F1145" s="4">
        <v>55492307.780000001</v>
      </c>
      <c r="G1145" s="8" t="str">
        <f>+VLOOKUP(Tabla14[[#This Row],[FONDO]],MAESTRO!$D$2:$E$119,2,FALSE)</f>
        <v>Banco Santander Rio S.A.</v>
      </c>
      <c r="H1145" s="8" t="str">
        <f>+VLOOKUP(Tabla14[[#This Row],[FONDO]],MAESTRO!D:F,3,FALSE)</f>
        <v>(T+0)</v>
      </c>
      <c r="I1145" s="4" t="s">
        <v>9</v>
      </c>
      <c r="L11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5" s="4">
        <f>ROUND(IF(Tabla14[[#This Row],[OPERACIÓN]]=MAESTRO!$B$2,Tabla14[CAPITAL],IF(Tabla14[[#This Row],[OPERACIÓN]]=MAESTRO!$B$5,Tabla14[CAPITAL],-Tabla14[[#This Row],[CAPITAL]])),2)</f>
        <v>-55492307.780000001</v>
      </c>
    </row>
    <row r="1146" spans="1:13" x14ac:dyDescent="0.3">
      <c r="A1146" s="26">
        <v>46219</v>
      </c>
      <c r="B1146" t="s">
        <v>292</v>
      </c>
      <c r="C1146" t="s">
        <v>132</v>
      </c>
      <c r="D1146" s="27" t="s">
        <v>17</v>
      </c>
      <c r="E1146" s="4" t="s">
        <v>48</v>
      </c>
      <c r="F1146" s="4">
        <v>47800000</v>
      </c>
      <c r="G1146" s="8" t="str">
        <f>+VLOOKUP(Tabla14[[#This Row],[FONDO]],MAESTRO!$D$2:$E$119,2,FALSE)</f>
        <v>Banco Macro S.A.</v>
      </c>
      <c r="H1146" s="8" t="str">
        <f>+VLOOKUP(Tabla14[[#This Row],[FONDO]],MAESTRO!D:F,3,FALSE)</f>
        <v>(T+0)</v>
      </c>
      <c r="I1146" s="4" t="s">
        <v>9</v>
      </c>
      <c r="L11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6" s="4">
        <f>ROUND(IF(Tabla14[[#This Row],[OPERACIÓN]]=MAESTRO!$B$2,Tabla14[CAPITAL],IF(Tabla14[[#This Row],[OPERACIÓN]]=MAESTRO!$B$5,Tabla14[CAPITAL],-Tabla14[[#This Row],[CAPITAL]])),2)</f>
        <v>-47800000</v>
      </c>
    </row>
    <row r="1147" spans="1:13" x14ac:dyDescent="0.3">
      <c r="A1147" s="26">
        <v>46219</v>
      </c>
      <c r="B1147" t="s">
        <v>299</v>
      </c>
      <c r="C1147" t="s">
        <v>132</v>
      </c>
      <c r="D1147" s="27" t="s">
        <v>17</v>
      </c>
      <c r="E1147" s="4" t="s">
        <v>48</v>
      </c>
      <c r="F1147" s="4">
        <v>30200000</v>
      </c>
      <c r="G1147" s="8" t="str">
        <f>+VLOOKUP(Tabla14[[#This Row],[FONDO]],MAESTRO!$D$2:$E$119,2,FALSE)</f>
        <v>Banco Macro S.A.</v>
      </c>
      <c r="H1147" s="8" t="str">
        <f>+VLOOKUP(Tabla14[[#This Row],[FONDO]],MAESTRO!D:F,3,FALSE)</f>
        <v>(T+0)</v>
      </c>
      <c r="I1147" s="4" t="s">
        <v>9</v>
      </c>
      <c r="L11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7" s="4">
        <f>ROUND(IF(Tabla14[[#This Row],[OPERACIÓN]]=MAESTRO!$B$2,Tabla14[CAPITAL],IF(Tabla14[[#This Row],[OPERACIÓN]]=MAESTRO!$B$5,Tabla14[CAPITAL],-Tabla14[[#This Row],[CAPITAL]])),2)</f>
        <v>-30200000</v>
      </c>
    </row>
    <row r="1148" spans="1:13" x14ac:dyDescent="0.3">
      <c r="A1148" s="26">
        <v>46219</v>
      </c>
      <c r="B1148" t="s">
        <v>298</v>
      </c>
      <c r="C1148" t="s">
        <v>132</v>
      </c>
      <c r="D1148" s="27" t="s">
        <v>17</v>
      </c>
      <c r="E1148" s="4" t="s">
        <v>40</v>
      </c>
      <c r="F1148" s="4">
        <v>1212100000</v>
      </c>
      <c r="G1148" s="8" t="str">
        <f>+VLOOKUP(Tabla14[[#This Row],[FONDO]],MAESTRO!$D$2:$E$119,2,FALSE)</f>
        <v>BBVA Banco Frances SA</v>
      </c>
      <c r="H1148" s="8" t="str">
        <f>+VLOOKUP(Tabla14[[#This Row],[FONDO]],MAESTRO!D:F,3,FALSE)</f>
        <v>(T+0)</v>
      </c>
      <c r="I1148" s="4" t="s">
        <v>9</v>
      </c>
      <c r="L11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8" s="4">
        <f>ROUND(IF(Tabla14[[#This Row],[OPERACIÓN]]=MAESTRO!$B$2,Tabla14[CAPITAL],IF(Tabla14[[#This Row],[OPERACIÓN]]=MAESTRO!$B$5,Tabla14[CAPITAL],-Tabla14[[#This Row],[CAPITAL]])),2)</f>
        <v>-1212100000</v>
      </c>
    </row>
    <row r="1149" spans="1:13" x14ac:dyDescent="0.3">
      <c r="A1149" s="26">
        <v>46220</v>
      </c>
      <c r="B1149" t="s">
        <v>292</v>
      </c>
      <c r="C1149" t="s">
        <v>132</v>
      </c>
      <c r="D1149" s="27" t="s">
        <v>17</v>
      </c>
      <c r="E1149" s="4" t="s">
        <v>48</v>
      </c>
      <c r="F1149" s="4">
        <v>70000000</v>
      </c>
      <c r="G1149" s="8" t="str">
        <f>+VLOOKUP(Tabla14[[#This Row],[FONDO]],MAESTRO!$D$2:$E$119,2,FALSE)</f>
        <v>Banco Macro S.A.</v>
      </c>
      <c r="H1149" s="8" t="str">
        <f>+VLOOKUP(Tabla14[[#This Row],[FONDO]],MAESTRO!D:F,3,FALSE)</f>
        <v>(T+0)</v>
      </c>
      <c r="I1149" s="4" t="s">
        <v>9</v>
      </c>
      <c r="L11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49" s="4">
        <f>ROUND(IF(Tabla14[[#This Row],[OPERACIÓN]]=MAESTRO!$B$2,Tabla14[CAPITAL],IF(Tabla14[[#This Row],[OPERACIÓN]]=MAESTRO!$B$5,Tabla14[CAPITAL],-Tabla14[[#This Row],[CAPITAL]])),2)</f>
        <v>-70000000</v>
      </c>
    </row>
    <row r="1150" spans="1:13" x14ac:dyDescent="0.3">
      <c r="A1150" s="26">
        <v>46220</v>
      </c>
      <c r="B1150" t="s">
        <v>292</v>
      </c>
      <c r="C1150" t="s">
        <v>132</v>
      </c>
      <c r="D1150" s="27" t="s">
        <v>17</v>
      </c>
      <c r="E1150" s="4" t="s">
        <v>40</v>
      </c>
      <c r="F1150" s="4">
        <v>39500000</v>
      </c>
      <c r="G1150" s="8" t="str">
        <f>+VLOOKUP(Tabla14[[#This Row],[FONDO]],MAESTRO!$D$2:$E$119,2,FALSE)</f>
        <v>BBVA Banco Frances SA</v>
      </c>
      <c r="H1150" s="8" t="str">
        <f>+VLOOKUP(Tabla14[[#This Row],[FONDO]],MAESTRO!D:F,3,FALSE)</f>
        <v>(T+0)</v>
      </c>
      <c r="I1150" s="4" t="s">
        <v>9</v>
      </c>
      <c r="L11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0" s="4">
        <f>ROUND(IF(Tabla14[[#This Row],[OPERACIÓN]]=MAESTRO!$B$2,Tabla14[CAPITAL],IF(Tabla14[[#This Row],[OPERACIÓN]]=MAESTRO!$B$5,Tabla14[CAPITAL],-Tabla14[[#This Row],[CAPITAL]])),2)</f>
        <v>-39500000</v>
      </c>
    </row>
    <row r="1151" spans="1:13" x14ac:dyDescent="0.3">
      <c r="A1151" s="26">
        <v>46220</v>
      </c>
      <c r="B1151" t="s">
        <v>298</v>
      </c>
      <c r="C1151" t="s">
        <v>132</v>
      </c>
      <c r="D1151" s="27" t="s">
        <v>17</v>
      </c>
      <c r="E1151" s="4" t="s">
        <v>40</v>
      </c>
      <c r="F1151" s="4">
        <v>413700000</v>
      </c>
      <c r="G1151" s="8" t="str">
        <f>+VLOOKUP(Tabla14[[#This Row],[FONDO]],MAESTRO!$D$2:$E$119,2,FALSE)</f>
        <v>BBVA Banco Frances SA</v>
      </c>
      <c r="H1151" s="8" t="str">
        <f>+VLOOKUP(Tabla14[[#This Row],[FONDO]],MAESTRO!D:F,3,FALSE)</f>
        <v>(T+0)</v>
      </c>
      <c r="I1151" s="4" t="s">
        <v>9</v>
      </c>
      <c r="L11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1" s="4">
        <f>ROUND(IF(Tabla14[[#This Row],[OPERACIÓN]]=MAESTRO!$B$2,Tabla14[CAPITAL],IF(Tabla14[[#This Row],[OPERACIÓN]]=MAESTRO!$B$5,Tabla14[CAPITAL],-Tabla14[[#This Row],[CAPITAL]])),2)</f>
        <v>-413700000</v>
      </c>
    </row>
    <row r="1152" spans="1:13" x14ac:dyDescent="0.3">
      <c r="A1152" s="26">
        <v>46220</v>
      </c>
      <c r="B1152" t="s">
        <v>299</v>
      </c>
      <c r="C1152" t="s">
        <v>132</v>
      </c>
      <c r="D1152" s="27" t="s">
        <v>16</v>
      </c>
      <c r="E1152" s="4" t="s">
        <v>48</v>
      </c>
      <c r="F1152" s="4">
        <v>1087500000</v>
      </c>
      <c r="G1152" s="8" t="str">
        <f>+VLOOKUP(Tabla14[[#This Row],[FONDO]],MAESTRO!$D$2:$E$119,2,FALSE)</f>
        <v>Banco Macro S.A.</v>
      </c>
      <c r="H1152" s="8" t="str">
        <f>+VLOOKUP(Tabla14[[#This Row],[FONDO]],MAESTRO!D:F,3,FALSE)</f>
        <v>(T+0)</v>
      </c>
      <c r="I1152" s="4" t="s">
        <v>9</v>
      </c>
      <c r="L11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2" s="4">
        <f>ROUND(IF(Tabla14[[#This Row],[OPERACIÓN]]=MAESTRO!$B$2,Tabla14[CAPITAL],IF(Tabla14[[#This Row],[OPERACIÓN]]=MAESTRO!$B$5,Tabla14[CAPITAL],-Tabla14[[#This Row],[CAPITAL]])),2)</f>
        <v>1087500000</v>
      </c>
    </row>
    <row r="1153" spans="1:13" x14ac:dyDescent="0.3">
      <c r="A1153" s="26">
        <v>46220</v>
      </c>
      <c r="B1153" t="s">
        <v>126</v>
      </c>
      <c r="C1153" t="s">
        <v>132</v>
      </c>
      <c r="D1153" s="27" t="s">
        <v>16</v>
      </c>
      <c r="E1153" s="4" t="s">
        <v>48</v>
      </c>
      <c r="F1153" s="4">
        <v>430900000</v>
      </c>
      <c r="G1153" s="8" t="str">
        <f>+VLOOKUP(Tabla14[[#This Row],[FONDO]],MAESTRO!$D$2:$E$119,2,FALSE)</f>
        <v>Banco Macro S.A.</v>
      </c>
      <c r="H1153" s="8" t="str">
        <f>+VLOOKUP(Tabla14[[#This Row],[FONDO]],MAESTRO!D:F,3,FALSE)</f>
        <v>(T+0)</v>
      </c>
      <c r="I1153" s="4" t="s">
        <v>9</v>
      </c>
      <c r="L11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3" s="4">
        <f>ROUND(IF(Tabla14[[#This Row],[OPERACIÓN]]=MAESTRO!$B$2,Tabla14[CAPITAL],IF(Tabla14[[#This Row],[OPERACIÓN]]=MAESTRO!$B$5,Tabla14[CAPITAL],-Tabla14[[#This Row],[CAPITAL]])),2)</f>
        <v>430900000</v>
      </c>
    </row>
    <row r="1154" spans="1:13" x14ac:dyDescent="0.3">
      <c r="A1154" s="26">
        <v>46220</v>
      </c>
      <c r="B1154" t="s">
        <v>298</v>
      </c>
      <c r="C1154" t="s">
        <v>132</v>
      </c>
      <c r="D1154" s="27" t="s">
        <v>17</v>
      </c>
      <c r="E1154" s="4" t="s">
        <v>40</v>
      </c>
      <c r="F1154" s="4">
        <v>13000000</v>
      </c>
      <c r="G1154" s="8" t="str">
        <f>+VLOOKUP(Tabla14[[#This Row],[FONDO]],MAESTRO!$D$2:$E$119,2,FALSE)</f>
        <v>BBVA Banco Frances SA</v>
      </c>
      <c r="H1154" s="8" t="str">
        <f>+VLOOKUP(Tabla14[[#This Row],[FONDO]],MAESTRO!D:F,3,FALSE)</f>
        <v>(T+0)</v>
      </c>
      <c r="I1154" s="4" t="s">
        <v>9</v>
      </c>
      <c r="L11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4" s="4">
        <f>ROUND(IF(Tabla14[[#This Row],[OPERACIÓN]]=MAESTRO!$B$2,Tabla14[CAPITAL],IF(Tabla14[[#This Row],[OPERACIÓN]]=MAESTRO!$B$5,Tabla14[CAPITAL],-Tabla14[[#This Row],[CAPITAL]])),2)</f>
        <v>-13000000</v>
      </c>
    </row>
    <row r="1155" spans="1:13" x14ac:dyDescent="0.3">
      <c r="A1155" s="26">
        <v>46220</v>
      </c>
      <c r="B1155" t="s">
        <v>298</v>
      </c>
      <c r="C1155" t="s">
        <v>132</v>
      </c>
      <c r="D1155" s="27" t="s">
        <v>16</v>
      </c>
      <c r="E1155" s="4" t="s">
        <v>136</v>
      </c>
      <c r="F1155" s="4">
        <v>23910000</v>
      </c>
      <c r="G1155" s="8" t="str">
        <f>+VLOOKUP(Tabla14[[#This Row],[FONDO]],MAESTRO!$D$2:$E$119,2,FALSE)</f>
        <v>Gma Capital</v>
      </c>
      <c r="H1155" s="8" t="str">
        <f>+VLOOKUP(Tabla14[[#This Row],[FONDO]],MAESTRO!D:F,3,FALSE)</f>
        <v>(T+0)</v>
      </c>
      <c r="I1155" s="4" t="s">
        <v>9</v>
      </c>
      <c r="L11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5" s="4">
        <f>ROUND(IF(Tabla14[[#This Row],[OPERACIÓN]]=MAESTRO!$B$2,Tabla14[CAPITAL],IF(Tabla14[[#This Row],[OPERACIÓN]]=MAESTRO!$B$5,Tabla14[CAPITAL],-Tabla14[[#This Row],[CAPITAL]])),2)</f>
        <v>23910000</v>
      </c>
    </row>
    <row r="1156" spans="1:13" x14ac:dyDescent="0.3">
      <c r="A1156" s="26">
        <v>46220</v>
      </c>
      <c r="B1156" t="s">
        <v>299</v>
      </c>
      <c r="C1156" t="s">
        <v>132</v>
      </c>
      <c r="D1156" s="27" t="s">
        <v>17</v>
      </c>
      <c r="E1156" s="4" t="s">
        <v>212</v>
      </c>
      <c r="F1156" s="4">
        <v>174500222</v>
      </c>
      <c r="G1156" s="114" t="str">
        <f>+VLOOKUP(Tabla14[[#This Row],[FONDO]],MAESTRO!$D$2:$E$119,2,FALSE)</f>
        <v>INTAGRO</v>
      </c>
      <c r="H1156" s="8" t="str">
        <f>+VLOOKUP(Tabla14[[#This Row],[FONDO]],MAESTRO!D:F,3,FALSE)</f>
        <v>(T+0)</v>
      </c>
      <c r="I1156" s="4" t="s">
        <v>9</v>
      </c>
      <c r="L11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6" s="4">
        <f>ROUND(IF(Tabla14[[#This Row],[OPERACIÓN]]=MAESTRO!$B$2,Tabla14[CAPITAL],IF(Tabla14[[#This Row],[OPERACIÓN]]=MAESTRO!$B$5,Tabla14[CAPITAL],-Tabla14[[#This Row],[CAPITAL]])),2)</f>
        <v>-174500222</v>
      </c>
    </row>
    <row r="1157" spans="1:13" x14ac:dyDescent="0.3">
      <c r="A1157" s="26">
        <v>46220</v>
      </c>
      <c r="B1157" t="s">
        <v>299</v>
      </c>
      <c r="C1157" t="s">
        <v>132</v>
      </c>
      <c r="D1157" s="27" t="s">
        <v>17</v>
      </c>
      <c r="E1157" s="4" t="s">
        <v>48</v>
      </c>
      <c r="F1157" s="4">
        <v>100900000</v>
      </c>
      <c r="G1157" s="114" t="str">
        <f>+VLOOKUP(Tabla14[[#This Row],[FONDO]],MAESTRO!$D$2:$E$119,2,FALSE)</f>
        <v>Banco Macro S.A.</v>
      </c>
      <c r="H1157" s="8" t="str">
        <f>+VLOOKUP(Tabla14[[#This Row],[FONDO]],MAESTRO!D:F,3,FALSE)</f>
        <v>(T+0)</v>
      </c>
      <c r="I1157" s="4" t="s">
        <v>9</v>
      </c>
      <c r="L11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7" s="4">
        <f>ROUND(IF(Tabla14[[#This Row],[OPERACIÓN]]=MAESTRO!$B$2,Tabla14[CAPITAL],IF(Tabla14[[#This Row],[OPERACIÓN]]=MAESTRO!$B$5,Tabla14[CAPITAL],-Tabla14[[#This Row],[CAPITAL]])),2)</f>
        <v>-100900000</v>
      </c>
    </row>
    <row r="1158" spans="1:13" x14ac:dyDescent="0.3">
      <c r="A1158" s="26">
        <v>46223</v>
      </c>
      <c r="B1158" t="s">
        <v>126</v>
      </c>
      <c r="C1158" t="s">
        <v>132</v>
      </c>
      <c r="D1158" s="27" t="s">
        <v>17</v>
      </c>
      <c r="E1158" s="4" t="s">
        <v>48</v>
      </c>
      <c r="F1158" s="4">
        <v>3600000</v>
      </c>
      <c r="G1158" s="8" t="str">
        <f>+VLOOKUP(Tabla14[[#This Row],[FONDO]],MAESTRO!$D$2:$E$119,2,FALSE)</f>
        <v>Banco Macro S.A.</v>
      </c>
      <c r="H1158" s="8" t="str">
        <f>+VLOOKUP(Tabla14[[#This Row],[FONDO]],MAESTRO!D:F,3,FALSE)</f>
        <v>(T+0)</v>
      </c>
      <c r="I1158" s="4" t="s">
        <v>9</v>
      </c>
      <c r="L11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8" s="4">
        <f>ROUND(IF(Tabla14[[#This Row],[OPERACIÓN]]=MAESTRO!$B$2,Tabla14[CAPITAL],IF(Tabla14[[#This Row],[OPERACIÓN]]=MAESTRO!$B$5,Tabla14[CAPITAL],-Tabla14[[#This Row],[CAPITAL]])),2)</f>
        <v>-3600000</v>
      </c>
    </row>
    <row r="1159" spans="1:13" x14ac:dyDescent="0.3">
      <c r="A1159" s="26">
        <v>46223</v>
      </c>
      <c r="B1159" t="s">
        <v>299</v>
      </c>
      <c r="C1159" t="s">
        <v>132</v>
      </c>
      <c r="D1159" s="27" t="s">
        <v>17</v>
      </c>
      <c r="E1159" s="4" t="s">
        <v>40</v>
      </c>
      <c r="F1159" s="4">
        <v>38700000</v>
      </c>
      <c r="G1159" s="8" t="str">
        <f>+VLOOKUP(Tabla14[[#This Row],[FONDO]],MAESTRO!$D$2:$E$119,2,FALSE)</f>
        <v>BBVA Banco Frances SA</v>
      </c>
      <c r="H1159" s="8" t="str">
        <f>+VLOOKUP(Tabla14[[#This Row],[FONDO]],MAESTRO!D:F,3,FALSE)</f>
        <v>(T+0)</v>
      </c>
      <c r="I1159" s="4" t="s">
        <v>9</v>
      </c>
      <c r="L115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59" s="4">
        <f>ROUND(IF(Tabla14[[#This Row],[OPERACIÓN]]=MAESTRO!$B$2,Tabla14[CAPITAL],IF(Tabla14[[#This Row],[OPERACIÓN]]=MAESTRO!$B$5,Tabla14[CAPITAL],-Tabla14[[#This Row],[CAPITAL]])),2)</f>
        <v>-38700000</v>
      </c>
    </row>
    <row r="1160" spans="1:13" x14ac:dyDescent="0.3">
      <c r="A1160" s="26">
        <v>46223</v>
      </c>
      <c r="B1160" t="s">
        <v>298</v>
      </c>
      <c r="C1160" t="s">
        <v>132</v>
      </c>
      <c r="D1160" s="27" t="s">
        <v>17</v>
      </c>
      <c r="E1160" s="4" t="s">
        <v>40</v>
      </c>
      <c r="F1160" s="4">
        <v>401300000</v>
      </c>
      <c r="G1160" s="8" t="str">
        <f>+VLOOKUP(Tabla14[[#This Row],[FONDO]],MAESTRO!$D$2:$E$119,2,FALSE)</f>
        <v>BBVA Banco Frances SA</v>
      </c>
      <c r="H1160" s="8" t="str">
        <f>+VLOOKUP(Tabla14[[#This Row],[FONDO]],MAESTRO!D:F,3,FALSE)</f>
        <v>(T+0)</v>
      </c>
      <c r="I1160" s="4" t="s">
        <v>9</v>
      </c>
      <c r="L116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0" s="4">
        <f>ROUND(IF(Tabla14[[#This Row],[OPERACIÓN]]=MAESTRO!$B$2,Tabla14[CAPITAL],IF(Tabla14[[#This Row],[OPERACIÓN]]=MAESTRO!$B$5,Tabla14[CAPITAL],-Tabla14[[#This Row],[CAPITAL]])),2)</f>
        <v>-401300000</v>
      </c>
    </row>
    <row r="1161" spans="1:13" x14ac:dyDescent="0.3">
      <c r="A1161" s="26">
        <v>46223</v>
      </c>
      <c r="B1161" t="s">
        <v>292</v>
      </c>
      <c r="C1161" t="s">
        <v>132</v>
      </c>
      <c r="D1161" s="27" t="s">
        <v>16</v>
      </c>
      <c r="E1161" s="4" t="s">
        <v>48</v>
      </c>
      <c r="F1161" s="4">
        <v>89100000</v>
      </c>
      <c r="G1161" s="8" t="str">
        <f>+VLOOKUP(Tabla14[[#This Row],[FONDO]],MAESTRO!$D$2:$E$119,2,FALSE)</f>
        <v>Banco Macro S.A.</v>
      </c>
      <c r="H1161" s="8" t="str">
        <f>+VLOOKUP(Tabla14[[#This Row],[FONDO]],MAESTRO!D:F,3,FALSE)</f>
        <v>(T+0)</v>
      </c>
      <c r="I1161" s="4" t="s">
        <v>9</v>
      </c>
      <c r="L116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1" s="4">
        <f>ROUND(IF(Tabla14[[#This Row],[OPERACIÓN]]=MAESTRO!$B$2,Tabla14[CAPITAL],IF(Tabla14[[#This Row],[OPERACIÓN]]=MAESTRO!$B$5,Tabla14[CAPITAL],-Tabla14[[#This Row],[CAPITAL]])),2)</f>
        <v>89100000</v>
      </c>
    </row>
    <row r="1162" spans="1:13" x14ac:dyDescent="0.3">
      <c r="A1162" s="26">
        <v>46223</v>
      </c>
      <c r="B1162" t="s">
        <v>299</v>
      </c>
      <c r="C1162" t="s">
        <v>132</v>
      </c>
      <c r="D1162" s="27" t="s">
        <v>17</v>
      </c>
      <c r="E1162" s="4" t="s">
        <v>48</v>
      </c>
      <c r="F1162" s="4">
        <v>1300000000</v>
      </c>
      <c r="G1162" s="8" t="str">
        <f>+VLOOKUP(Tabla14[[#This Row],[FONDO]],MAESTRO!$D$2:$E$119,2,FALSE)</f>
        <v>Banco Macro S.A.</v>
      </c>
      <c r="H1162" s="8" t="str">
        <f>+VLOOKUP(Tabla14[[#This Row],[FONDO]],MAESTRO!D:F,3,FALSE)</f>
        <v>(T+0)</v>
      </c>
      <c r="I1162" s="4" t="s">
        <v>9</v>
      </c>
      <c r="L116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2" s="4">
        <f>ROUND(IF(Tabla14[[#This Row],[OPERACIÓN]]=MAESTRO!$B$2,Tabla14[CAPITAL],IF(Tabla14[[#This Row],[OPERACIÓN]]=MAESTRO!$B$5,Tabla14[CAPITAL],-Tabla14[[#This Row],[CAPITAL]])),2)</f>
        <v>-1300000000</v>
      </c>
    </row>
    <row r="1163" spans="1:13" x14ac:dyDescent="0.3">
      <c r="A1163" s="26">
        <v>46223</v>
      </c>
      <c r="B1163" t="s">
        <v>299</v>
      </c>
      <c r="C1163" t="s">
        <v>132</v>
      </c>
      <c r="D1163" s="27" t="s">
        <v>17</v>
      </c>
      <c r="E1163" s="4" t="s">
        <v>40</v>
      </c>
      <c r="F1163" s="4">
        <v>115000000</v>
      </c>
      <c r="G1163" s="8" t="str">
        <f>+VLOOKUP(Tabla14[[#This Row],[FONDO]],MAESTRO!$D$2:$E$119,2,FALSE)</f>
        <v>BBVA Banco Frances SA</v>
      </c>
      <c r="H1163" s="8" t="str">
        <f>+VLOOKUP(Tabla14[[#This Row],[FONDO]],MAESTRO!D:F,3,FALSE)</f>
        <v>(T+0)</v>
      </c>
      <c r="I1163" s="4" t="s">
        <v>9</v>
      </c>
      <c r="L11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3" s="4">
        <f>ROUND(IF(Tabla14[[#This Row],[OPERACIÓN]]=MAESTRO!$B$2,Tabla14[CAPITAL],IF(Tabla14[[#This Row],[OPERACIÓN]]=MAESTRO!$B$5,Tabla14[CAPITAL],-Tabla14[[#This Row],[CAPITAL]])),2)</f>
        <v>-115000000</v>
      </c>
    </row>
    <row r="1164" spans="1:13" x14ac:dyDescent="0.3">
      <c r="A1164" s="37">
        <v>46223</v>
      </c>
      <c r="B1164" s="20" t="s">
        <v>298</v>
      </c>
      <c r="C1164" s="20" t="s">
        <v>132</v>
      </c>
      <c r="D1164" s="38" t="s">
        <v>16</v>
      </c>
      <c r="E1164" s="39" t="s">
        <v>48</v>
      </c>
      <c r="F1164" s="39">
        <v>12306900</v>
      </c>
      <c r="G1164" s="115" t="str">
        <f>+VLOOKUP(Tabla14[[#This Row],[FONDO]],MAESTRO!$D$2:$E$119,2,FALSE)</f>
        <v>Banco Macro S.A.</v>
      </c>
      <c r="H1164" s="40" t="str">
        <f>+VLOOKUP(Tabla14[[#This Row],[FONDO]],MAESTRO!D:F,3,FALSE)</f>
        <v>(T+0)</v>
      </c>
      <c r="I1164" s="39" t="s">
        <v>9</v>
      </c>
      <c r="J1164" s="49"/>
      <c r="K1164" s="20"/>
      <c r="L116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4" s="39">
        <f>ROUND(IF(Tabla14[[#This Row],[OPERACIÓN]]=MAESTRO!$B$2,Tabla14[CAPITAL],IF(Tabla14[[#This Row],[OPERACIÓN]]=MAESTRO!$B$5,Tabla14[CAPITAL],-Tabla14[[#This Row],[CAPITAL]])),2)</f>
        <v>12306900</v>
      </c>
    </row>
    <row r="1165" spans="1:13" x14ac:dyDescent="0.3">
      <c r="A1165" s="37">
        <v>46223</v>
      </c>
      <c r="B1165" s="20" t="s">
        <v>298</v>
      </c>
      <c r="C1165" s="20" t="s">
        <v>132</v>
      </c>
      <c r="D1165" s="38" t="s">
        <v>16</v>
      </c>
      <c r="E1165" s="39" t="s">
        <v>40</v>
      </c>
      <c r="F1165" s="39">
        <v>27007996.920000002</v>
      </c>
      <c r="G1165" s="115" t="str">
        <f>+VLOOKUP(Tabla14[[#This Row],[FONDO]],MAESTRO!$D$2:$E$119,2,FALSE)</f>
        <v>BBVA Banco Frances SA</v>
      </c>
      <c r="H1165" s="40" t="str">
        <f>+VLOOKUP(Tabla14[[#This Row],[FONDO]],MAESTRO!D:F,3,FALSE)</f>
        <v>(T+0)</v>
      </c>
      <c r="I1165" s="39" t="s">
        <v>9</v>
      </c>
      <c r="J1165" s="49"/>
      <c r="K1165" s="20"/>
      <c r="L116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5" s="39">
        <f>ROUND(IF(Tabla14[[#This Row],[OPERACIÓN]]=MAESTRO!$B$2,Tabla14[CAPITAL],IF(Tabla14[[#This Row],[OPERACIÓN]]=MAESTRO!$B$5,Tabla14[CAPITAL],-Tabla14[[#This Row],[CAPITAL]])),2)</f>
        <v>27007996.920000002</v>
      </c>
    </row>
    <row r="1166" spans="1:13" x14ac:dyDescent="0.3">
      <c r="A1166" s="37">
        <v>46223</v>
      </c>
      <c r="B1166" s="20" t="s">
        <v>292</v>
      </c>
      <c r="C1166" s="20" t="s">
        <v>132</v>
      </c>
      <c r="D1166" s="38" t="s">
        <v>16</v>
      </c>
      <c r="E1166" s="39" t="s">
        <v>48</v>
      </c>
      <c r="F1166" s="39">
        <v>14787008</v>
      </c>
      <c r="G1166" s="115" t="str">
        <f>+VLOOKUP(Tabla14[[#This Row],[FONDO]],MAESTRO!$D$2:$E$119,2,FALSE)</f>
        <v>Banco Macro S.A.</v>
      </c>
      <c r="H1166" s="40" t="str">
        <f>+VLOOKUP(Tabla14[[#This Row],[FONDO]],MAESTRO!D:F,3,FALSE)</f>
        <v>(T+0)</v>
      </c>
      <c r="I1166" s="39" t="s">
        <v>9</v>
      </c>
      <c r="J1166" s="49"/>
      <c r="K1166" s="20"/>
      <c r="L116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6" s="39">
        <f>ROUND(IF(Tabla14[[#This Row],[OPERACIÓN]]=MAESTRO!$B$2,Tabla14[CAPITAL],IF(Tabla14[[#This Row],[OPERACIÓN]]=MAESTRO!$B$5,Tabla14[CAPITAL],-Tabla14[[#This Row],[CAPITAL]])),2)</f>
        <v>14787008</v>
      </c>
    </row>
    <row r="1167" spans="1:13" x14ac:dyDescent="0.3">
      <c r="A1167" s="26">
        <v>46224</v>
      </c>
      <c r="B1167" t="s">
        <v>298</v>
      </c>
      <c r="C1167" t="s">
        <v>132</v>
      </c>
      <c r="D1167" s="27" t="s">
        <v>17</v>
      </c>
      <c r="E1167" s="4" t="s">
        <v>170</v>
      </c>
      <c r="F1167" s="4">
        <v>15000000</v>
      </c>
      <c r="G1167" s="116" t="str">
        <f>+VLOOKUP(Tabla14[[#This Row],[FONDO]],MAESTRO!$D$2:$E$119,2,FALSE)</f>
        <v>Banco Santander Rio S.A.</v>
      </c>
      <c r="H1167" s="8" t="str">
        <f>+VLOOKUP(Tabla14[[#This Row],[FONDO]],MAESTRO!D:F,3,FALSE)</f>
        <v>(T+0)</v>
      </c>
      <c r="I1167" s="4" t="s">
        <v>9</v>
      </c>
      <c r="L11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7" s="4">
        <f>ROUND(IF(Tabla14[[#This Row],[OPERACIÓN]]=MAESTRO!$B$2,Tabla14[CAPITAL],IF(Tabla14[[#This Row],[OPERACIÓN]]=MAESTRO!$B$5,Tabla14[CAPITAL],-Tabla14[[#This Row],[CAPITAL]])),2)</f>
        <v>-15000000</v>
      </c>
    </row>
    <row r="1168" spans="1:13" x14ac:dyDescent="0.3">
      <c r="A1168" s="26">
        <v>46224</v>
      </c>
      <c r="B1168" t="s">
        <v>298</v>
      </c>
      <c r="C1168" t="s">
        <v>132</v>
      </c>
      <c r="D1168" s="27" t="s">
        <v>17</v>
      </c>
      <c r="E1168" s="4" t="s">
        <v>136</v>
      </c>
      <c r="F1168" s="53">
        <v>116272980</v>
      </c>
      <c r="G1168" s="116" t="str">
        <f>+VLOOKUP(Tabla14[[#This Row],[FONDO]],MAESTRO!$D$2:$E$119,2,FALSE)</f>
        <v>Gma Capital</v>
      </c>
      <c r="H1168" s="8" t="str">
        <f>+VLOOKUP(Tabla14[[#This Row],[FONDO]],MAESTRO!D:F,3,FALSE)</f>
        <v>(T+0)</v>
      </c>
      <c r="I1168" s="4" t="s">
        <v>9</v>
      </c>
      <c r="L11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8" s="4">
        <f>ROUND(IF(Tabla14[[#This Row],[OPERACIÓN]]=MAESTRO!$B$2,Tabla14[CAPITAL],IF(Tabla14[[#This Row],[OPERACIÓN]]=MAESTRO!$B$5,Tabla14[CAPITAL],-Tabla14[[#This Row],[CAPITAL]])),2)</f>
        <v>-116272980</v>
      </c>
    </row>
    <row r="1169" spans="1:13" x14ac:dyDescent="0.3">
      <c r="A1169" s="26">
        <v>46224</v>
      </c>
      <c r="B1169" t="s">
        <v>298</v>
      </c>
      <c r="C1169" t="s">
        <v>132</v>
      </c>
      <c r="D1169" s="27" t="s">
        <v>17</v>
      </c>
      <c r="E1169" s="4" t="s">
        <v>136</v>
      </c>
      <c r="F1169" s="53">
        <v>55942343.399999999</v>
      </c>
      <c r="G1169" s="116" t="str">
        <f>+VLOOKUP(Tabla14[[#This Row],[FONDO]],MAESTRO!$D$2:$E$119,2,FALSE)</f>
        <v>Gma Capital</v>
      </c>
      <c r="H1169" s="8" t="str">
        <f>+VLOOKUP(Tabla14[[#This Row],[FONDO]],MAESTRO!D:F,3,FALSE)</f>
        <v>(T+0)</v>
      </c>
      <c r="I1169" s="4" t="s">
        <v>9</v>
      </c>
      <c r="L11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69" s="4">
        <f>ROUND(IF(Tabla14[[#This Row],[OPERACIÓN]]=MAESTRO!$B$2,Tabla14[CAPITAL],IF(Tabla14[[#This Row],[OPERACIÓN]]=MAESTRO!$B$5,Tabla14[CAPITAL],-Tabla14[[#This Row],[CAPITAL]])),2)</f>
        <v>-55942343.399999999</v>
      </c>
    </row>
    <row r="1170" spans="1:13" x14ac:dyDescent="0.3">
      <c r="A1170" s="37">
        <v>46224</v>
      </c>
      <c r="B1170" s="20" t="s">
        <v>298</v>
      </c>
      <c r="C1170" s="20" t="s">
        <v>132</v>
      </c>
      <c r="D1170" s="38" t="s">
        <v>16</v>
      </c>
      <c r="E1170" s="39" t="s">
        <v>48</v>
      </c>
      <c r="F1170" s="39">
        <v>1500000</v>
      </c>
      <c r="G1170" s="40" t="str">
        <f>+VLOOKUP(Tabla14[[#This Row],[FONDO]],MAESTRO!$D$2:$E$119,2,FALSE)</f>
        <v>Banco Macro S.A.</v>
      </c>
      <c r="H1170" s="40" t="str">
        <f>+VLOOKUP(Tabla14[[#This Row],[FONDO]],MAESTRO!D:F,3,FALSE)</f>
        <v>(T+0)</v>
      </c>
      <c r="I1170" s="39" t="s">
        <v>9</v>
      </c>
      <c r="J1170" s="49"/>
      <c r="K1170" s="20"/>
      <c r="L117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0" s="39">
        <f>ROUND(IF(Tabla14[[#This Row],[OPERACIÓN]]=MAESTRO!$B$2,Tabla14[CAPITAL],IF(Tabla14[[#This Row],[OPERACIÓN]]=MAESTRO!$B$5,Tabla14[CAPITAL],-Tabla14[[#This Row],[CAPITAL]])),2)</f>
        <v>1500000</v>
      </c>
    </row>
    <row r="1171" spans="1:13" s="20" customFormat="1" x14ac:dyDescent="0.3">
      <c r="A1171" s="37">
        <v>46224</v>
      </c>
      <c r="B1171" s="20" t="s">
        <v>299</v>
      </c>
      <c r="C1171" s="20" t="s">
        <v>132</v>
      </c>
      <c r="D1171" s="38" t="s">
        <v>16</v>
      </c>
      <c r="E1171" s="39" t="s">
        <v>48</v>
      </c>
      <c r="F1171" s="39">
        <v>2480000</v>
      </c>
      <c r="G1171" s="40" t="str">
        <f>+VLOOKUP(Tabla14[[#This Row],[FONDO]],MAESTRO!$D$2:$E$119,2,FALSE)</f>
        <v>Banco Macro S.A.</v>
      </c>
      <c r="H1171" s="40" t="str">
        <f>+VLOOKUP(Tabla14[[#This Row],[FONDO]],MAESTRO!D:F,3,FALSE)</f>
        <v>(T+0)</v>
      </c>
      <c r="I1171" s="39" t="s">
        <v>9</v>
      </c>
      <c r="J1171" s="49"/>
      <c r="L117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1" s="39">
        <f>ROUND(IF(Tabla14[[#This Row],[OPERACIÓN]]=MAESTRO!$B$2,Tabla14[CAPITAL],IF(Tabla14[[#This Row],[OPERACIÓN]]=MAESTRO!$B$5,Tabla14[CAPITAL],-Tabla14[[#This Row],[CAPITAL]])),2)</f>
        <v>2480000</v>
      </c>
    </row>
    <row r="1172" spans="1:13" s="20" customFormat="1" x14ac:dyDescent="0.3">
      <c r="A1172" s="37">
        <v>46224</v>
      </c>
      <c r="B1172" s="20" t="s">
        <v>299</v>
      </c>
      <c r="C1172" s="20" t="s">
        <v>132</v>
      </c>
      <c r="D1172" s="38" t="s">
        <v>16</v>
      </c>
      <c r="E1172" s="39" t="s">
        <v>40</v>
      </c>
      <c r="F1172" s="39">
        <v>1600000</v>
      </c>
      <c r="G1172" s="40" t="str">
        <f>+VLOOKUP(Tabla14[[#This Row],[FONDO]],MAESTRO!$D$2:$E$119,2,FALSE)</f>
        <v>BBVA Banco Frances SA</v>
      </c>
      <c r="H1172" s="40" t="str">
        <f>+VLOOKUP(Tabla14[[#This Row],[FONDO]],MAESTRO!D:F,3,FALSE)</f>
        <v>(T+0)</v>
      </c>
      <c r="I1172" s="39" t="s">
        <v>9</v>
      </c>
      <c r="J1172" s="49"/>
      <c r="L117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2" s="39">
        <f>ROUND(IF(Tabla14[[#This Row],[OPERACIÓN]]=MAESTRO!$B$2,Tabla14[CAPITAL],IF(Tabla14[[#This Row],[OPERACIÓN]]=MAESTRO!$B$5,Tabla14[CAPITAL],-Tabla14[[#This Row],[CAPITAL]])),2)</f>
        <v>1600000</v>
      </c>
    </row>
    <row r="1173" spans="1:13" s="20" customFormat="1" x14ac:dyDescent="0.3">
      <c r="A1173" s="37">
        <v>46224</v>
      </c>
      <c r="B1173" s="20" t="s">
        <v>298</v>
      </c>
      <c r="C1173" s="20" t="s">
        <v>132</v>
      </c>
      <c r="D1173" s="38" t="s">
        <v>16</v>
      </c>
      <c r="E1173" s="39" t="s">
        <v>40</v>
      </c>
      <c r="F1173" s="39">
        <v>4480000</v>
      </c>
      <c r="G1173" s="117" t="str">
        <f>+VLOOKUP(Tabla14[[#This Row],[FONDO]],MAESTRO!$D$2:$E$119,2,FALSE)</f>
        <v>BBVA Banco Frances SA</v>
      </c>
      <c r="H1173" s="40" t="str">
        <f>+VLOOKUP(Tabla14[[#This Row],[FONDO]],MAESTRO!D:F,3,FALSE)</f>
        <v>(T+0)</v>
      </c>
      <c r="I1173" s="39" t="s">
        <v>9</v>
      </c>
      <c r="J1173" s="49"/>
      <c r="L117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3" s="39">
        <f>ROUND(IF(Tabla14[[#This Row],[OPERACIÓN]]=MAESTRO!$B$2,Tabla14[CAPITAL],IF(Tabla14[[#This Row],[OPERACIÓN]]=MAESTRO!$B$5,Tabla14[CAPITAL],-Tabla14[[#This Row],[CAPITAL]])),2)</f>
        <v>4480000</v>
      </c>
    </row>
    <row r="1174" spans="1:13" s="20" customFormat="1" x14ac:dyDescent="0.3">
      <c r="A1174" s="26">
        <v>46224</v>
      </c>
      <c r="B1174" t="s">
        <v>126</v>
      </c>
      <c r="C1174" t="s">
        <v>132</v>
      </c>
      <c r="D1174" s="27" t="s">
        <v>17</v>
      </c>
      <c r="E1174" s="4" t="s">
        <v>48</v>
      </c>
      <c r="F1174" s="53">
        <v>11800000</v>
      </c>
      <c r="G1174" s="116" t="str">
        <f>+VLOOKUP(Tabla14[[#This Row],[FONDO]],MAESTRO!$D$2:$E$119,2,FALSE)</f>
        <v>Banco Macro S.A.</v>
      </c>
      <c r="H1174" s="8" t="str">
        <f>+VLOOKUP(Tabla14[[#This Row],[FONDO]],MAESTRO!D:F,3,FALSE)</f>
        <v>(T+0)</v>
      </c>
      <c r="I1174" s="4" t="s">
        <v>9</v>
      </c>
      <c r="J1174" s="23"/>
      <c r="K1174"/>
      <c r="L11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4" s="4">
        <f>ROUND(IF(Tabla14[[#This Row],[OPERACIÓN]]=MAESTRO!$B$2,Tabla14[CAPITAL],IF(Tabla14[[#This Row],[OPERACIÓN]]=MAESTRO!$B$5,Tabla14[CAPITAL],-Tabla14[[#This Row],[CAPITAL]])),2)</f>
        <v>-11800000</v>
      </c>
    </row>
    <row r="1175" spans="1:13" x14ac:dyDescent="0.3">
      <c r="A1175" s="26">
        <v>46224</v>
      </c>
      <c r="B1175" t="s">
        <v>292</v>
      </c>
      <c r="C1175" t="s">
        <v>132</v>
      </c>
      <c r="D1175" s="27" t="s">
        <v>17</v>
      </c>
      <c r="E1175" s="4" t="s">
        <v>48</v>
      </c>
      <c r="F1175" s="53">
        <v>21200000</v>
      </c>
      <c r="G1175" s="116" t="str">
        <f>+VLOOKUP(Tabla14[[#This Row],[FONDO]],MAESTRO!$D$2:$E$119,2,FALSE)</f>
        <v>Banco Macro S.A.</v>
      </c>
      <c r="H1175" s="8" t="str">
        <f>+VLOOKUP(Tabla14[[#This Row],[FONDO]],MAESTRO!D:F,3,FALSE)</f>
        <v>(T+0)</v>
      </c>
      <c r="I1175" s="4" t="s">
        <v>9</v>
      </c>
      <c r="L11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5" s="4">
        <f>ROUND(IF(Tabla14[[#This Row],[OPERACIÓN]]=MAESTRO!$B$2,Tabla14[CAPITAL],IF(Tabla14[[#This Row],[OPERACIÓN]]=MAESTRO!$B$5,Tabla14[CAPITAL],-Tabla14[[#This Row],[CAPITAL]])),2)</f>
        <v>-21200000</v>
      </c>
    </row>
    <row r="1176" spans="1:13" x14ac:dyDescent="0.3">
      <c r="A1176" s="26">
        <v>46224</v>
      </c>
      <c r="B1176" t="s">
        <v>298</v>
      </c>
      <c r="C1176" t="s">
        <v>132</v>
      </c>
      <c r="D1176" s="27" t="s">
        <v>17</v>
      </c>
      <c r="E1176" s="4" t="s">
        <v>40</v>
      </c>
      <c r="F1176" s="53">
        <v>1966900000</v>
      </c>
      <c r="G1176" s="116" t="str">
        <f>+VLOOKUP(Tabla14[[#This Row],[FONDO]],MAESTRO!$D$2:$E$119,2,FALSE)</f>
        <v>BBVA Banco Frances SA</v>
      </c>
      <c r="H1176" s="8" t="str">
        <f>+VLOOKUP(Tabla14[[#This Row],[FONDO]],MAESTRO!D:F,3,FALSE)</f>
        <v>(T+0)</v>
      </c>
      <c r="I1176" s="4" t="s">
        <v>9</v>
      </c>
      <c r="L11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6" s="4">
        <f>ROUND(IF(Tabla14[[#This Row],[OPERACIÓN]]=MAESTRO!$B$2,Tabla14[CAPITAL],IF(Tabla14[[#This Row],[OPERACIÓN]]=MAESTRO!$B$5,Tabla14[CAPITAL],-Tabla14[[#This Row],[CAPITAL]])),2)</f>
        <v>-1966900000</v>
      </c>
    </row>
    <row r="1177" spans="1:13" x14ac:dyDescent="0.3">
      <c r="A1177" s="26">
        <v>46224</v>
      </c>
      <c r="B1177" t="s">
        <v>299</v>
      </c>
      <c r="C1177" t="s">
        <v>132</v>
      </c>
      <c r="D1177" s="27" t="s">
        <v>16</v>
      </c>
      <c r="E1177" s="4" t="s">
        <v>48</v>
      </c>
      <c r="F1177" s="53">
        <v>171400000</v>
      </c>
      <c r="G1177" s="116" t="str">
        <f>+VLOOKUP(Tabla14[[#This Row],[FONDO]],MAESTRO!$D$2:$E$119,2,FALSE)</f>
        <v>Banco Macro S.A.</v>
      </c>
      <c r="H1177" s="8" t="str">
        <f>+VLOOKUP(Tabla14[[#This Row],[FONDO]],MAESTRO!D:F,3,FALSE)</f>
        <v>(T+0)</v>
      </c>
      <c r="I1177" s="4" t="s">
        <v>9</v>
      </c>
      <c r="L11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7" s="4">
        <f>ROUND(IF(Tabla14[[#This Row],[OPERACIÓN]]=MAESTRO!$B$2,Tabla14[CAPITAL],IF(Tabla14[[#This Row],[OPERACIÓN]]=MAESTRO!$B$5,Tabla14[CAPITAL],-Tabla14[[#This Row],[CAPITAL]])),2)</f>
        <v>171400000</v>
      </c>
    </row>
    <row r="1178" spans="1:13" x14ac:dyDescent="0.3">
      <c r="A1178" s="37">
        <v>46224</v>
      </c>
      <c r="B1178" s="20" t="s">
        <v>299</v>
      </c>
      <c r="C1178" s="20" t="s">
        <v>132</v>
      </c>
      <c r="D1178" s="38" t="s">
        <v>16</v>
      </c>
      <c r="E1178" s="39" t="s">
        <v>136</v>
      </c>
      <c r="F1178" s="39">
        <v>3500000</v>
      </c>
      <c r="G1178" s="117" t="str">
        <f>+VLOOKUP(Tabla14[[#This Row],[FONDO]],MAESTRO!$D$2:$E$119,2,FALSE)</f>
        <v>Gma Capital</v>
      </c>
      <c r="H1178" s="40" t="str">
        <f>+VLOOKUP(Tabla14[[#This Row],[FONDO]],MAESTRO!D:F,3,FALSE)</f>
        <v>(T+0)</v>
      </c>
      <c r="I1178" s="39" t="s">
        <v>9</v>
      </c>
      <c r="J1178" s="49"/>
      <c r="K1178" s="20"/>
      <c r="L117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8" s="39">
        <f>ROUND(IF(Tabla14[[#This Row],[OPERACIÓN]]=MAESTRO!$B$2,Tabla14[CAPITAL],IF(Tabla14[[#This Row],[OPERACIÓN]]=MAESTRO!$B$5,Tabla14[CAPITAL],-Tabla14[[#This Row],[CAPITAL]])),2)</f>
        <v>3500000</v>
      </c>
    </row>
    <row r="1179" spans="1:13" s="20" customFormat="1" x14ac:dyDescent="0.3">
      <c r="A1179" s="37">
        <v>46224</v>
      </c>
      <c r="B1179" s="20" t="s">
        <v>298</v>
      </c>
      <c r="C1179" s="20" t="s">
        <v>132</v>
      </c>
      <c r="D1179" s="38" t="s">
        <v>16</v>
      </c>
      <c r="E1179" s="39" t="s">
        <v>136</v>
      </c>
      <c r="F1179" s="39">
        <v>5000000</v>
      </c>
      <c r="G1179" s="117" t="str">
        <f>+VLOOKUP(Tabla14[[#This Row],[FONDO]],MAESTRO!$D$2:$E$119,2,FALSE)</f>
        <v>Gma Capital</v>
      </c>
      <c r="H1179" s="40" t="str">
        <f>+VLOOKUP(Tabla14[[#This Row],[FONDO]],MAESTRO!D:F,3,FALSE)</f>
        <v>(T+0)</v>
      </c>
      <c r="I1179" s="39" t="s">
        <v>9</v>
      </c>
      <c r="J1179" s="49"/>
      <c r="L117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79" s="39">
        <f>ROUND(IF(Tabla14[[#This Row],[OPERACIÓN]]=MAESTRO!$B$2,Tabla14[CAPITAL],IF(Tabla14[[#This Row],[OPERACIÓN]]=MAESTRO!$B$5,Tabla14[CAPITAL],-Tabla14[[#This Row],[CAPITAL]])),2)</f>
        <v>5000000</v>
      </c>
    </row>
    <row r="1180" spans="1:13" s="20" customFormat="1" x14ac:dyDescent="0.3">
      <c r="A1180" s="37">
        <v>46224</v>
      </c>
      <c r="B1180" s="20" t="s">
        <v>292</v>
      </c>
      <c r="C1180" s="20" t="s">
        <v>132</v>
      </c>
      <c r="D1180" s="38" t="s">
        <v>16</v>
      </c>
      <c r="E1180" s="39" t="s">
        <v>136</v>
      </c>
      <c r="F1180" s="39">
        <v>2700000</v>
      </c>
      <c r="G1180" s="117" t="str">
        <f>+VLOOKUP(Tabla14[[#This Row],[FONDO]],MAESTRO!$D$2:$E$119,2,FALSE)</f>
        <v>Gma Capital</v>
      </c>
      <c r="H1180" s="40" t="str">
        <f>+VLOOKUP(Tabla14[[#This Row],[FONDO]],MAESTRO!D:F,3,FALSE)</f>
        <v>(T+0)</v>
      </c>
      <c r="I1180" s="39" t="s">
        <v>9</v>
      </c>
      <c r="J1180" s="49"/>
      <c r="L118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0" s="39">
        <f>ROUND(IF(Tabla14[[#This Row],[OPERACIÓN]]=MAESTRO!$B$2,Tabla14[CAPITAL],IF(Tabla14[[#This Row],[OPERACIÓN]]=MAESTRO!$B$5,Tabla14[CAPITAL],-Tabla14[[#This Row],[CAPITAL]])),2)</f>
        <v>2700000</v>
      </c>
    </row>
    <row r="1181" spans="1:13" s="20" customFormat="1" x14ac:dyDescent="0.3">
      <c r="A1181" s="26">
        <v>46224</v>
      </c>
      <c r="B1181" t="s">
        <v>292</v>
      </c>
      <c r="C1181" t="s">
        <v>132</v>
      </c>
      <c r="D1181" s="27" t="s">
        <v>17</v>
      </c>
      <c r="E1181" s="4" t="s">
        <v>170</v>
      </c>
      <c r="F1181" s="4">
        <v>100000000</v>
      </c>
      <c r="G1181" s="116" t="str">
        <f>+VLOOKUP(Tabla14[[#This Row],[FONDO]],MAESTRO!$D$2:$E$119,2,FALSE)</f>
        <v>Banco Santander Rio S.A.</v>
      </c>
      <c r="H1181" s="8" t="str">
        <f>+VLOOKUP(Tabla14[[#This Row],[FONDO]],MAESTRO!D:F,3,FALSE)</f>
        <v>(T+0)</v>
      </c>
      <c r="I1181" s="4" t="s">
        <v>9</v>
      </c>
      <c r="J1181" s="23"/>
      <c r="K1181"/>
      <c r="L11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1" s="4">
        <f>ROUND(IF(Tabla14[[#This Row],[OPERACIÓN]]=MAESTRO!$B$2,Tabla14[CAPITAL],IF(Tabla14[[#This Row],[OPERACIÓN]]=MAESTRO!$B$5,Tabla14[CAPITAL],-Tabla14[[#This Row],[CAPITAL]])),2)</f>
        <v>-100000000</v>
      </c>
    </row>
    <row r="1182" spans="1:13" x14ac:dyDescent="0.3">
      <c r="A1182" s="26">
        <v>46225</v>
      </c>
      <c r="B1182" t="s">
        <v>298</v>
      </c>
      <c r="C1182" t="s">
        <v>132</v>
      </c>
      <c r="D1182" s="27" t="s">
        <v>17</v>
      </c>
      <c r="E1182" s="4" t="s">
        <v>40</v>
      </c>
      <c r="F1182" s="4">
        <v>2000000000</v>
      </c>
      <c r="G1182" s="8" t="str">
        <f>+VLOOKUP(Tabla14[[#This Row],[FONDO]],MAESTRO!$D$2:$E$119,2,FALSE)</f>
        <v>BBVA Banco Frances SA</v>
      </c>
      <c r="H1182" s="8" t="str">
        <f>+VLOOKUP(Tabla14[[#This Row],[FONDO]],MAESTRO!D:F,3,FALSE)</f>
        <v>(T+0)</v>
      </c>
      <c r="I1182" s="4" t="s">
        <v>9</v>
      </c>
      <c r="L11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2" s="4">
        <f>ROUND(IF(Tabla14[[#This Row],[OPERACIÓN]]=MAESTRO!$B$2,Tabla14[CAPITAL],IF(Tabla14[[#This Row],[OPERACIÓN]]=MAESTRO!$B$5,Tabla14[CAPITAL],-Tabla14[[#This Row],[CAPITAL]])),2)</f>
        <v>-2000000000</v>
      </c>
    </row>
    <row r="1183" spans="1:13" x14ac:dyDescent="0.3">
      <c r="A1183" s="26">
        <v>46225</v>
      </c>
      <c r="B1183" t="s">
        <v>299</v>
      </c>
      <c r="C1183" t="s">
        <v>132</v>
      </c>
      <c r="D1183" s="27" t="s">
        <v>17</v>
      </c>
      <c r="E1183" s="4" t="s">
        <v>169</v>
      </c>
      <c r="F1183" s="53">
        <v>70269013.5</v>
      </c>
      <c r="G1183" s="8" t="str">
        <f>+VLOOKUP(Tabla14[[#This Row],[FONDO]],MAESTRO!$D$2:$E$119,2,FALSE)</f>
        <v>Max Capital</v>
      </c>
      <c r="H1183" s="8" t="str">
        <f>+VLOOKUP(Tabla14[[#This Row],[FONDO]],MAESTRO!D:F,3,FALSE)</f>
        <v>(T+0)</v>
      </c>
      <c r="I1183" s="4" t="s">
        <v>9</v>
      </c>
      <c r="L11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3" s="4">
        <f>ROUND(IF(Tabla14[[#This Row],[OPERACIÓN]]=MAESTRO!$B$2,Tabla14[CAPITAL],IF(Tabla14[[#This Row],[OPERACIÓN]]=MAESTRO!$B$5,Tabla14[CAPITAL],-Tabla14[[#This Row],[CAPITAL]])),2)</f>
        <v>-70269013.5</v>
      </c>
    </row>
    <row r="1184" spans="1:13" x14ac:dyDescent="0.3">
      <c r="A1184" s="26">
        <v>46225</v>
      </c>
      <c r="B1184" t="s">
        <v>298</v>
      </c>
      <c r="C1184" t="s">
        <v>132</v>
      </c>
      <c r="D1184" s="27" t="s">
        <v>17</v>
      </c>
      <c r="E1184" s="4" t="s">
        <v>169</v>
      </c>
      <c r="F1184" s="53">
        <v>65037440.130000003</v>
      </c>
      <c r="G1184" s="8" t="str">
        <f>+VLOOKUP(Tabla14[[#This Row],[FONDO]],MAESTRO!$D$2:$E$119,2,FALSE)</f>
        <v>Max Capital</v>
      </c>
      <c r="H1184" s="8" t="str">
        <f>+VLOOKUP(Tabla14[[#This Row],[FONDO]],MAESTRO!D:F,3,FALSE)</f>
        <v>(T+0)</v>
      </c>
      <c r="I1184" s="4" t="s">
        <v>9</v>
      </c>
      <c r="L11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4" s="4">
        <f>ROUND(IF(Tabla14[[#This Row],[OPERACIÓN]]=MAESTRO!$B$2,Tabla14[CAPITAL],IF(Tabla14[[#This Row],[OPERACIÓN]]=MAESTRO!$B$5,Tabla14[CAPITAL],-Tabla14[[#This Row],[CAPITAL]])),2)</f>
        <v>-65037440.130000003</v>
      </c>
    </row>
    <row r="1185" spans="1:13" x14ac:dyDescent="0.3">
      <c r="A1185" s="26">
        <v>46225</v>
      </c>
      <c r="B1185" t="s">
        <v>298</v>
      </c>
      <c r="C1185" t="s">
        <v>132</v>
      </c>
      <c r="D1185" s="27" t="s">
        <v>17</v>
      </c>
      <c r="E1185" s="4" t="s">
        <v>169</v>
      </c>
      <c r="F1185" s="53">
        <v>137332743.13</v>
      </c>
      <c r="G1185" s="8" t="str">
        <f>+VLOOKUP(Tabla14[[#This Row],[FONDO]],MAESTRO!$D$2:$E$119,2,FALSE)</f>
        <v>Max Capital</v>
      </c>
      <c r="H1185" s="8" t="str">
        <f>+VLOOKUP(Tabla14[[#This Row],[FONDO]],MAESTRO!D:F,3,FALSE)</f>
        <v>(T+0)</v>
      </c>
      <c r="I1185" s="4" t="s">
        <v>9</v>
      </c>
      <c r="L11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5" s="4">
        <f>ROUND(IF(Tabla14[[#This Row],[OPERACIÓN]]=MAESTRO!$B$2,Tabla14[CAPITAL],IF(Tabla14[[#This Row],[OPERACIÓN]]=MAESTRO!$B$5,Tabla14[CAPITAL],-Tabla14[[#This Row],[CAPITAL]])),2)</f>
        <v>-137332743.13</v>
      </c>
    </row>
    <row r="1186" spans="1:13" x14ac:dyDescent="0.3">
      <c r="A1186" s="37">
        <v>46225</v>
      </c>
      <c r="B1186" s="20" t="s">
        <v>298</v>
      </c>
      <c r="C1186" s="20" t="s">
        <v>132</v>
      </c>
      <c r="D1186" s="38" t="s">
        <v>16</v>
      </c>
      <c r="E1186" s="39" t="s">
        <v>169</v>
      </c>
      <c r="F1186" s="39">
        <v>15660000</v>
      </c>
      <c r="G1186" s="40" t="str">
        <f>+VLOOKUP(Tabla14[[#This Row],[FONDO]],MAESTRO!$D$2:$E$119,2,FALSE)</f>
        <v>Max Capital</v>
      </c>
      <c r="H1186" s="40" t="str">
        <f>+VLOOKUP(Tabla14[[#This Row],[FONDO]],MAESTRO!D:F,3,FALSE)</f>
        <v>(T+0)</v>
      </c>
      <c r="I1186" s="39" t="s">
        <v>9</v>
      </c>
      <c r="J1186" s="49"/>
      <c r="K1186" s="20"/>
      <c r="L118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6" s="39">
        <f>ROUND(IF(Tabla14[[#This Row],[OPERACIÓN]]=MAESTRO!$B$2,Tabla14[CAPITAL],IF(Tabla14[[#This Row],[OPERACIÓN]]=MAESTRO!$B$5,Tabla14[CAPITAL],-Tabla14[[#This Row],[CAPITAL]])),2)</f>
        <v>15660000</v>
      </c>
    </row>
    <row r="1187" spans="1:13" s="20" customFormat="1" x14ac:dyDescent="0.3">
      <c r="A1187" s="37">
        <v>46225</v>
      </c>
      <c r="B1187" s="20" t="s">
        <v>299</v>
      </c>
      <c r="C1187" s="20" t="s">
        <v>132</v>
      </c>
      <c r="D1187" s="38" t="s">
        <v>16</v>
      </c>
      <c r="E1187" s="39" t="s">
        <v>169</v>
      </c>
      <c r="F1187" s="39">
        <v>4300000</v>
      </c>
      <c r="G1187" s="40" t="str">
        <f>+VLOOKUP(Tabla14[[#This Row],[FONDO]],MAESTRO!$D$2:$E$119,2,FALSE)</f>
        <v>Max Capital</v>
      </c>
      <c r="H1187" s="40" t="str">
        <f>+VLOOKUP(Tabla14[[#This Row],[FONDO]],MAESTRO!D:F,3,FALSE)</f>
        <v>(T+0)</v>
      </c>
      <c r="I1187" s="39" t="s">
        <v>9</v>
      </c>
      <c r="J1187" s="49"/>
      <c r="L118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7" s="39">
        <f>ROUND(IF(Tabla14[[#This Row],[OPERACIÓN]]=MAESTRO!$B$2,Tabla14[CAPITAL],IF(Tabla14[[#This Row],[OPERACIÓN]]=MAESTRO!$B$5,Tabla14[CAPITAL],-Tabla14[[#This Row],[CAPITAL]])),2)</f>
        <v>4300000</v>
      </c>
    </row>
    <row r="1188" spans="1:13" s="20" customFormat="1" x14ac:dyDescent="0.3">
      <c r="A1188" s="37">
        <v>46225</v>
      </c>
      <c r="B1188" s="20" t="s">
        <v>292</v>
      </c>
      <c r="C1188" s="20" t="s">
        <v>132</v>
      </c>
      <c r="D1188" s="38" t="s">
        <v>16</v>
      </c>
      <c r="E1188" s="39" t="s">
        <v>169</v>
      </c>
      <c r="F1188" s="39">
        <v>2000000</v>
      </c>
      <c r="G1188" s="40" t="str">
        <f>+VLOOKUP(Tabla14[[#This Row],[FONDO]],MAESTRO!$D$2:$E$119,2,FALSE)</f>
        <v>Max Capital</v>
      </c>
      <c r="H1188" s="40" t="str">
        <f>+VLOOKUP(Tabla14[[#This Row],[FONDO]],MAESTRO!D:F,3,FALSE)</f>
        <v>(T+0)</v>
      </c>
      <c r="I1188" s="39" t="s">
        <v>9</v>
      </c>
      <c r="J1188" s="49"/>
      <c r="L118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8" s="39">
        <f>ROUND(IF(Tabla14[[#This Row],[OPERACIÓN]]=MAESTRO!$B$2,Tabla14[CAPITAL],IF(Tabla14[[#This Row],[OPERACIÓN]]=MAESTRO!$B$5,Tabla14[CAPITAL],-Tabla14[[#This Row],[CAPITAL]])),2)</f>
        <v>2000000</v>
      </c>
    </row>
    <row r="1189" spans="1:13" s="20" customFormat="1" x14ac:dyDescent="0.3">
      <c r="A1189" s="26">
        <v>46225</v>
      </c>
      <c r="B1189" t="s">
        <v>292</v>
      </c>
      <c r="C1189" t="s">
        <v>132</v>
      </c>
      <c r="D1189" s="27" t="s">
        <v>17</v>
      </c>
      <c r="E1189" s="4" t="s">
        <v>48</v>
      </c>
      <c r="F1189" s="4">
        <v>39100000</v>
      </c>
      <c r="G1189" s="8" t="str">
        <f>+VLOOKUP(Tabla14[[#This Row],[FONDO]],MAESTRO!$D$2:$E$119,2,FALSE)</f>
        <v>Banco Macro S.A.</v>
      </c>
      <c r="H1189" s="8" t="str">
        <f>+VLOOKUP(Tabla14[[#This Row],[FONDO]],MAESTRO!D:F,3,FALSE)</f>
        <v>(T+0)</v>
      </c>
      <c r="I1189" s="4" t="s">
        <v>9</v>
      </c>
      <c r="J1189" s="23"/>
      <c r="K1189"/>
      <c r="L11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89" s="4">
        <f>ROUND(IF(Tabla14[[#This Row],[OPERACIÓN]]=MAESTRO!$B$2,Tabla14[CAPITAL],IF(Tabla14[[#This Row],[OPERACIÓN]]=MAESTRO!$B$5,Tabla14[CAPITAL],-Tabla14[[#This Row],[CAPITAL]])),2)</f>
        <v>-39100000</v>
      </c>
    </row>
    <row r="1190" spans="1:13" x14ac:dyDescent="0.3">
      <c r="A1190" s="26">
        <v>46225</v>
      </c>
      <c r="B1190" t="s">
        <v>299</v>
      </c>
      <c r="C1190" t="s">
        <v>132</v>
      </c>
      <c r="D1190" s="27" t="s">
        <v>17</v>
      </c>
      <c r="E1190" s="4" t="s">
        <v>48</v>
      </c>
      <c r="F1190" s="4">
        <v>7900000</v>
      </c>
      <c r="G1190" s="8" t="str">
        <f>+VLOOKUP(Tabla14[[#This Row],[FONDO]],MAESTRO!$D$2:$E$119,2,FALSE)</f>
        <v>Banco Macro S.A.</v>
      </c>
      <c r="H1190" s="8" t="str">
        <f>+VLOOKUP(Tabla14[[#This Row],[FONDO]],MAESTRO!D:F,3,FALSE)</f>
        <v>(T+0)</v>
      </c>
      <c r="I1190" s="4" t="s">
        <v>9</v>
      </c>
      <c r="L11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0" s="4">
        <f>ROUND(IF(Tabla14[[#This Row],[OPERACIÓN]]=MAESTRO!$B$2,Tabla14[CAPITAL],IF(Tabla14[[#This Row],[OPERACIÓN]]=MAESTRO!$B$5,Tabla14[CAPITAL],-Tabla14[[#This Row],[CAPITAL]])),2)</f>
        <v>-7900000</v>
      </c>
    </row>
    <row r="1191" spans="1:13" x14ac:dyDescent="0.3">
      <c r="A1191" s="26">
        <v>46225</v>
      </c>
      <c r="B1191" t="s">
        <v>298</v>
      </c>
      <c r="C1191" t="s">
        <v>132</v>
      </c>
      <c r="D1191" s="27" t="s">
        <v>17</v>
      </c>
      <c r="E1191" s="4" t="s">
        <v>48</v>
      </c>
      <c r="F1191" s="4">
        <v>511400000</v>
      </c>
      <c r="G1191" s="8" t="str">
        <f>+VLOOKUP(Tabla14[[#This Row],[FONDO]],MAESTRO!$D$2:$E$119,2,FALSE)</f>
        <v>Banco Macro S.A.</v>
      </c>
      <c r="H1191" s="8" t="str">
        <f>+VLOOKUP(Tabla14[[#This Row],[FONDO]],MAESTRO!D:F,3,FALSE)</f>
        <v>(T+0)</v>
      </c>
      <c r="I1191" s="4" t="s">
        <v>9</v>
      </c>
      <c r="L11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1" s="4">
        <f>ROUND(IF(Tabla14[[#This Row],[OPERACIÓN]]=MAESTRO!$B$2,Tabla14[CAPITAL],IF(Tabla14[[#This Row],[OPERACIÓN]]=MAESTRO!$B$5,Tabla14[CAPITAL],-Tabla14[[#This Row],[CAPITAL]])),2)</f>
        <v>-511400000</v>
      </c>
    </row>
    <row r="1192" spans="1:13" x14ac:dyDescent="0.3">
      <c r="A1192" s="26">
        <v>46225</v>
      </c>
      <c r="B1192" t="s">
        <v>298</v>
      </c>
      <c r="C1192" t="s">
        <v>132</v>
      </c>
      <c r="D1192" s="27" t="s">
        <v>16</v>
      </c>
      <c r="E1192" s="4" t="s">
        <v>136</v>
      </c>
      <c r="F1192" s="4">
        <v>2000000000</v>
      </c>
      <c r="G1192" s="8" t="str">
        <f>+VLOOKUP(Tabla14[[#This Row],[FONDO]],MAESTRO!$D$2:$E$119,2,FALSE)</f>
        <v>Gma Capital</v>
      </c>
      <c r="H1192" s="8" t="str">
        <f>+VLOOKUP(Tabla14[[#This Row],[FONDO]],MAESTRO!D:F,3,FALSE)</f>
        <v>(T+0)</v>
      </c>
      <c r="I1192" s="4" t="s">
        <v>9</v>
      </c>
      <c r="L11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2" s="4">
        <f>ROUND(IF(Tabla14[[#This Row],[OPERACIÓN]]=MAESTRO!$B$2,Tabla14[CAPITAL],IF(Tabla14[[#This Row],[OPERACIÓN]]=MAESTRO!$B$5,Tabla14[CAPITAL],-Tabla14[[#This Row],[CAPITAL]])),2)</f>
        <v>2000000000</v>
      </c>
    </row>
    <row r="1193" spans="1:13" x14ac:dyDescent="0.3">
      <c r="A1193" s="26">
        <v>46225</v>
      </c>
      <c r="B1193" t="s">
        <v>299</v>
      </c>
      <c r="C1193" t="s">
        <v>132</v>
      </c>
      <c r="D1193" s="27" t="s">
        <v>17</v>
      </c>
      <c r="E1193" s="4" t="s">
        <v>40</v>
      </c>
      <c r="F1193" s="4">
        <v>285000000</v>
      </c>
      <c r="G1193" s="8" t="str">
        <f>+VLOOKUP(Tabla14[[#This Row],[FONDO]],MAESTRO!$D$2:$E$119,2,FALSE)</f>
        <v>BBVA Banco Frances SA</v>
      </c>
      <c r="H1193" s="8" t="str">
        <f>+VLOOKUP(Tabla14[[#This Row],[FONDO]],MAESTRO!D:F,3,FALSE)</f>
        <v>(T+0)</v>
      </c>
      <c r="I1193" s="4" t="s">
        <v>9</v>
      </c>
      <c r="L11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3" s="4">
        <f>ROUND(IF(Tabla14[[#This Row],[OPERACIÓN]]=MAESTRO!$B$2,Tabla14[CAPITAL],IF(Tabla14[[#This Row],[OPERACIÓN]]=MAESTRO!$B$5,Tabla14[CAPITAL],-Tabla14[[#This Row],[CAPITAL]])),2)</f>
        <v>-285000000</v>
      </c>
    </row>
    <row r="1194" spans="1:13" x14ac:dyDescent="0.3">
      <c r="A1194" s="26">
        <v>46225</v>
      </c>
      <c r="B1194" t="s">
        <v>299</v>
      </c>
      <c r="C1194" t="s">
        <v>132</v>
      </c>
      <c r="D1194" s="27" t="s">
        <v>17</v>
      </c>
      <c r="E1194" s="4" t="s">
        <v>48</v>
      </c>
      <c r="F1194" s="4">
        <v>100000000</v>
      </c>
      <c r="G1194" s="8" t="str">
        <f>+VLOOKUP(Tabla14[[#This Row],[FONDO]],MAESTRO!$D$2:$E$119,2,FALSE)</f>
        <v>Banco Macro S.A.</v>
      </c>
      <c r="H1194" s="8" t="str">
        <f>+VLOOKUP(Tabla14[[#This Row],[FONDO]],MAESTRO!D:F,3,FALSE)</f>
        <v>(T+0)</v>
      </c>
      <c r="I1194" s="4" t="s">
        <v>9</v>
      </c>
      <c r="L11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4" s="4">
        <f>ROUND(IF(Tabla14[[#This Row],[OPERACIÓN]]=MAESTRO!$B$2,Tabla14[CAPITAL],IF(Tabla14[[#This Row],[OPERACIÓN]]=MAESTRO!$B$5,Tabla14[CAPITAL],-Tabla14[[#This Row],[CAPITAL]])),2)</f>
        <v>-100000000</v>
      </c>
    </row>
    <row r="1195" spans="1:13" x14ac:dyDescent="0.3">
      <c r="A1195" s="26">
        <v>46225</v>
      </c>
      <c r="B1195" t="s">
        <v>292</v>
      </c>
      <c r="C1195" t="s">
        <v>132</v>
      </c>
      <c r="D1195" s="27" t="s">
        <v>17</v>
      </c>
      <c r="E1195" s="4" t="s">
        <v>170</v>
      </c>
      <c r="F1195" s="4">
        <v>89100000</v>
      </c>
      <c r="G1195" s="8" t="str">
        <f>+VLOOKUP(Tabla14[[#This Row],[FONDO]],MAESTRO!$D$2:$E$119,2,FALSE)</f>
        <v>Banco Santander Rio S.A.</v>
      </c>
      <c r="H1195" s="8" t="str">
        <f>+VLOOKUP(Tabla14[[#This Row],[FONDO]],MAESTRO!D:F,3,FALSE)</f>
        <v>(T+0)</v>
      </c>
      <c r="I1195" s="4" t="s">
        <v>9</v>
      </c>
      <c r="L11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5" s="4">
        <f>ROUND(IF(Tabla14[[#This Row],[OPERACIÓN]]=MAESTRO!$B$2,Tabla14[CAPITAL],IF(Tabla14[[#This Row],[OPERACIÓN]]=MAESTRO!$B$5,Tabla14[CAPITAL],-Tabla14[[#This Row],[CAPITAL]])),2)</f>
        <v>-89100000</v>
      </c>
    </row>
    <row r="1196" spans="1:13" x14ac:dyDescent="0.3">
      <c r="A1196" s="26">
        <v>46225</v>
      </c>
      <c r="B1196" t="s">
        <v>298</v>
      </c>
      <c r="C1196" t="s">
        <v>132</v>
      </c>
      <c r="D1196" s="27" t="s">
        <v>17</v>
      </c>
      <c r="E1196" s="4" t="s">
        <v>255</v>
      </c>
      <c r="F1196" s="4">
        <v>74507713</v>
      </c>
      <c r="G1196" s="8" t="str">
        <f>+VLOOKUP(Tabla14[[#This Row],[FONDO]],MAESTRO!$D$2:$E$119,2,FALSE)</f>
        <v>Inviu inversiones</v>
      </c>
      <c r="H1196" s="8" t="str">
        <f>+VLOOKUP(Tabla14[[#This Row],[FONDO]],MAESTRO!D:F,3,FALSE)</f>
        <v>(T+0)</v>
      </c>
      <c r="I1196" s="4" t="s">
        <v>9</v>
      </c>
      <c r="L11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6" s="4">
        <f>ROUND(IF(Tabla14[[#This Row],[OPERACIÓN]]=MAESTRO!$B$2,Tabla14[CAPITAL],IF(Tabla14[[#This Row],[OPERACIÓN]]=MAESTRO!$B$5,Tabla14[CAPITAL],-Tabla14[[#This Row],[CAPITAL]])),2)</f>
        <v>-74507713</v>
      </c>
    </row>
    <row r="1197" spans="1:13" x14ac:dyDescent="0.3">
      <c r="A1197" s="26">
        <v>46225</v>
      </c>
      <c r="B1197" t="s">
        <v>298</v>
      </c>
      <c r="C1197" t="s">
        <v>132</v>
      </c>
      <c r="D1197" s="27" t="s">
        <v>17</v>
      </c>
      <c r="E1197" s="4" t="s">
        <v>255</v>
      </c>
      <c r="F1197" s="4">
        <v>72516541.400000006</v>
      </c>
      <c r="G1197" s="8" t="str">
        <f>+VLOOKUP(Tabla14[[#This Row],[FONDO]],MAESTRO!$D$2:$E$119,2,FALSE)</f>
        <v>Inviu inversiones</v>
      </c>
      <c r="H1197" s="8" t="str">
        <f>+VLOOKUP(Tabla14[[#This Row],[FONDO]],MAESTRO!D:F,3,FALSE)</f>
        <v>(T+0)</v>
      </c>
      <c r="I1197" s="4" t="s">
        <v>9</v>
      </c>
      <c r="L11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7" s="4">
        <f>ROUND(IF(Tabla14[[#This Row],[OPERACIÓN]]=MAESTRO!$B$2,Tabla14[CAPITAL],IF(Tabla14[[#This Row],[OPERACIÓN]]=MAESTRO!$B$5,Tabla14[CAPITAL],-Tabla14[[#This Row],[CAPITAL]])),2)</f>
        <v>-72516541.400000006</v>
      </c>
    </row>
    <row r="1198" spans="1:13" x14ac:dyDescent="0.3">
      <c r="A1198" s="26">
        <v>46226</v>
      </c>
      <c r="B1198" t="s">
        <v>298</v>
      </c>
      <c r="C1198" t="s">
        <v>132</v>
      </c>
      <c r="D1198" s="27" t="s">
        <v>17</v>
      </c>
      <c r="E1198" s="4" t="s">
        <v>40</v>
      </c>
      <c r="F1198" s="4">
        <v>256200000</v>
      </c>
      <c r="G1198" s="103" t="str">
        <f>+VLOOKUP(Tabla14[[#This Row],[FONDO]],MAESTRO!$D$2:$E$119,2,FALSE)</f>
        <v>BBVA Banco Frances SA</v>
      </c>
      <c r="H1198" s="8" t="str">
        <f>+VLOOKUP(Tabla14[[#This Row],[FONDO]],MAESTRO!D:F,3,FALSE)</f>
        <v>(T+0)</v>
      </c>
      <c r="I1198" s="4" t="s">
        <v>9</v>
      </c>
      <c r="L11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8" s="4">
        <f>ROUND(IF(Tabla14[[#This Row],[OPERACIÓN]]=MAESTRO!$B$2,Tabla14[CAPITAL],IF(Tabla14[[#This Row],[OPERACIÓN]]=MAESTRO!$B$5,Tabla14[CAPITAL],-Tabla14[[#This Row],[CAPITAL]])),2)</f>
        <v>-256200000</v>
      </c>
    </row>
    <row r="1199" spans="1:13" x14ac:dyDescent="0.3">
      <c r="A1199" s="26">
        <v>46226</v>
      </c>
      <c r="B1199" t="s">
        <v>126</v>
      </c>
      <c r="C1199" t="s">
        <v>132</v>
      </c>
      <c r="D1199" s="27" t="s">
        <v>17</v>
      </c>
      <c r="E1199" s="4" t="s">
        <v>48</v>
      </c>
      <c r="F1199" s="4">
        <v>1500000</v>
      </c>
      <c r="G1199" s="8" t="str">
        <f>+VLOOKUP(Tabla14[[#This Row],[FONDO]],MAESTRO!$D$2:$E$119,2,FALSE)</f>
        <v>Banco Macro S.A.</v>
      </c>
      <c r="H1199" s="8" t="str">
        <f>+VLOOKUP(Tabla14[[#This Row],[FONDO]],MAESTRO!D:F,3,FALSE)</f>
        <v>(T+0)</v>
      </c>
      <c r="I1199" s="4" t="s">
        <v>9</v>
      </c>
      <c r="L11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199" s="4">
        <f>ROUND(IF(Tabla14[[#This Row],[OPERACIÓN]]=MAESTRO!$B$2,Tabla14[CAPITAL],IF(Tabla14[[#This Row],[OPERACIÓN]]=MAESTRO!$B$5,Tabla14[CAPITAL],-Tabla14[[#This Row],[CAPITAL]])),2)</f>
        <v>-1500000</v>
      </c>
    </row>
    <row r="1200" spans="1:13" x14ac:dyDescent="0.3">
      <c r="A1200" s="26">
        <v>46226</v>
      </c>
      <c r="B1200" t="s">
        <v>299</v>
      </c>
      <c r="C1200" t="s">
        <v>132</v>
      </c>
      <c r="D1200" s="27" t="s">
        <v>16</v>
      </c>
      <c r="E1200" s="4" t="s">
        <v>48</v>
      </c>
      <c r="F1200" s="4">
        <v>605100000</v>
      </c>
      <c r="G1200" s="8" t="str">
        <f>+VLOOKUP(Tabla14[[#This Row],[FONDO]],MAESTRO!$D$2:$E$119,2,FALSE)</f>
        <v>Banco Macro S.A.</v>
      </c>
      <c r="H1200" s="8" t="str">
        <f>+VLOOKUP(Tabla14[[#This Row],[FONDO]],MAESTRO!D:F,3,FALSE)</f>
        <v>(T+0)</v>
      </c>
      <c r="I1200" s="4" t="s">
        <v>9</v>
      </c>
      <c r="L12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0" s="4">
        <f>ROUND(IF(Tabla14[[#This Row],[OPERACIÓN]]=MAESTRO!$B$2,Tabla14[CAPITAL],IF(Tabla14[[#This Row],[OPERACIÓN]]=MAESTRO!$B$5,Tabla14[CAPITAL],-Tabla14[[#This Row],[CAPITAL]])),2)</f>
        <v>605100000</v>
      </c>
    </row>
    <row r="1201" spans="1:13" x14ac:dyDescent="0.3">
      <c r="A1201" s="26">
        <v>46226</v>
      </c>
      <c r="B1201" t="s">
        <v>298</v>
      </c>
      <c r="C1201" t="s">
        <v>132</v>
      </c>
      <c r="D1201" s="27" t="s">
        <v>16</v>
      </c>
      <c r="E1201" s="4" t="s">
        <v>48</v>
      </c>
      <c r="F1201" s="4">
        <v>4126300000</v>
      </c>
      <c r="G1201" s="8" t="str">
        <f>+VLOOKUP(Tabla14[[#This Row],[FONDO]],MAESTRO!$D$2:$E$119,2,FALSE)</f>
        <v>Banco Macro S.A.</v>
      </c>
      <c r="H1201" s="8" t="str">
        <f>+VLOOKUP(Tabla14[[#This Row],[FONDO]],MAESTRO!D:F,3,FALSE)</f>
        <v>(T+0)</v>
      </c>
      <c r="I1201" s="4" t="s">
        <v>9</v>
      </c>
      <c r="L12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1" s="4">
        <f>ROUND(IF(Tabla14[[#This Row],[OPERACIÓN]]=MAESTRO!$B$2,Tabla14[CAPITAL],IF(Tabla14[[#This Row],[OPERACIÓN]]=MAESTRO!$B$5,Tabla14[CAPITAL],-Tabla14[[#This Row],[CAPITAL]])),2)</f>
        <v>4126300000</v>
      </c>
    </row>
    <row r="1202" spans="1:13" x14ac:dyDescent="0.3">
      <c r="A1202" s="26">
        <v>46226</v>
      </c>
      <c r="B1202" t="s">
        <v>298</v>
      </c>
      <c r="C1202" t="s">
        <v>132</v>
      </c>
      <c r="D1202" s="27" t="s">
        <v>17</v>
      </c>
      <c r="E1202" s="4" t="s">
        <v>170</v>
      </c>
      <c r="F1202" s="4">
        <v>195446370</v>
      </c>
      <c r="G1202" s="8" t="str">
        <f>+VLOOKUP(Tabla14[[#This Row],[FONDO]],MAESTRO!$D$2:$E$119,2,FALSE)</f>
        <v>Banco Santander Rio S.A.</v>
      </c>
      <c r="H1202" s="8" t="str">
        <f>+VLOOKUP(Tabla14[[#This Row],[FONDO]],MAESTRO!D:F,3,FALSE)</f>
        <v>(T+0)</v>
      </c>
      <c r="I1202" s="4" t="s">
        <v>9</v>
      </c>
      <c r="L12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2" s="4">
        <f>ROUND(IF(Tabla14[[#This Row],[OPERACIÓN]]=MAESTRO!$B$2,Tabla14[CAPITAL],IF(Tabla14[[#This Row],[OPERACIÓN]]=MAESTRO!$B$5,Tabla14[CAPITAL],-Tabla14[[#This Row],[CAPITAL]])),2)</f>
        <v>-195446370</v>
      </c>
    </row>
    <row r="1203" spans="1:13" x14ac:dyDescent="0.3">
      <c r="A1203" s="26">
        <v>46226</v>
      </c>
      <c r="B1203" t="s">
        <v>298</v>
      </c>
      <c r="C1203" t="s">
        <v>132</v>
      </c>
      <c r="D1203" s="27" t="s">
        <v>17</v>
      </c>
      <c r="E1203" s="4" t="s">
        <v>204</v>
      </c>
      <c r="F1203" s="4">
        <v>200000000</v>
      </c>
      <c r="G1203" s="8" t="str">
        <f>+VLOOKUP(Tabla14[[#This Row],[FONDO]],MAESTRO!$D$2:$E$119,2,FALSE)</f>
        <v>Latin Securities</v>
      </c>
      <c r="H1203" s="8" t="str">
        <f>+VLOOKUP(Tabla14[[#This Row],[FONDO]],MAESTRO!D:F,3,FALSE)</f>
        <v>(T+0)</v>
      </c>
      <c r="I1203" s="4" t="s">
        <v>9</v>
      </c>
      <c r="L12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3" s="4">
        <f>ROUND(IF(Tabla14[[#This Row],[OPERACIÓN]]=MAESTRO!$B$2,Tabla14[CAPITAL],IF(Tabla14[[#This Row],[OPERACIÓN]]=MAESTRO!$B$5,Tabla14[CAPITAL],-Tabla14[[#This Row],[CAPITAL]])),2)</f>
        <v>-200000000</v>
      </c>
    </row>
    <row r="1204" spans="1:13" x14ac:dyDescent="0.3">
      <c r="A1204" s="26">
        <v>46226</v>
      </c>
      <c r="B1204" t="s">
        <v>298</v>
      </c>
      <c r="C1204" t="s">
        <v>132</v>
      </c>
      <c r="D1204" s="27" t="s">
        <v>17</v>
      </c>
      <c r="E1204" s="4" t="s">
        <v>40</v>
      </c>
      <c r="F1204" s="4">
        <v>1000000000</v>
      </c>
      <c r="G1204" s="8" t="str">
        <f>+VLOOKUP(Tabla14[[#This Row],[FONDO]],MAESTRO!$D$2:$E$119,2,FALSE)</f>
        <v>BBVA Banco Frances SA</v>
      </c>
      <c r="H1204" s="8" t="str">
        <f>+VLOOKUP(Tabla14[[#This Row],[FONDO]],MAESTRO!D:F,3,FALSE)</f>
        <v>(T+0)</v>
      </c>
      <c r="I1204" s="4" t="s">
        <v>9</v>
      </c>
      <c r="L12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4" s="4">
        <f>ROUND(IF(Tabla14[[#This Row],[OPERACIÓN]]=MAESTRO!$B$2,Tabla14[CAPITAL],IF(Tabla14[[#This Row],[OPERACIÓN]]=MAESTRO!$B$5,Tabla14[CAPITAL],-Tabla14[[#This Row],[CAPITAL]])),2)</f>
        <v>-1000000000</v>
      </c>
    </row>
    <row r="1205" spans="1:13" x14ac:dyDescent="0.3">
      <c r="A1205" s="26">
        <v>46226</v>
      </c>
      <c r="B1205" t="s">
        <v>298</v>
      </c>
      <c r="C1205" t="s">
        <v>132</v>
      </c>
      <c r="D1205" s="27" t="s">
        <v>16</v>
      </c>
      <c r="E1205" s="4" t="s">
        <v>136</v>
      </c>
      <c r="F1205" s="4">
        <v>1000000000</v>
      </c>
      <c r="G1205" s="8" t="str">
        <f>+VLOOKUP(Tabla14[[#This Row],[FONDO]],MAESTRO!$D$2:$E$119,2,FALSE)</f>
        <v>Gma Capital</v>
      </c>
      <c r="H1205" s="8" t="str">
        <f>+VLOOKUP(Tabla14[[#This Row],[FONDO]],MAESTRO!D:F,3,FALSE)</f>
        <v>(T+0)</v>
      </c>
      <c r="I1205" s="4" t="s">
        <v>9</v>
      </c>
      <c r="L12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5" s="4">
        <f>ROUND(IF(Tabla14[[#This Row],[OPERACIÓN]]=MAESTRO!$B$2,Tabla14[CAPITAL],IF(Tabla14[[#This Row],[OPERACIÓN]]=MAESTRO!$B$5,Tabla14[CAPITAL],-Tabla14[[#This Row],[CAPITAL]])),2)</f>
        <v>1000000000</v>
      </c>
    </row>
    <row r="1206" spans="1:13" x14ac:dyDescent="0.3">
      <c r="A1206" s="26">
        <v>46226</v>
      </c>
      <c r="B1206" t="s">
        <v>292</v>
      </c>
      <c r="C1206" t="s">
        <v>132</v>
      </c>
      <c r="D1206" s="27" t="s">
        <v>17</v>
      </c>
      <c r="E1206" s="4" t="s">
        <v>170</v>
      </c>
      <c r="F1206" s="4">
        <v>93500000</v>
      </c>
      <c r="G1206" s="8" t="str">
        <f>+VLOOKUP(Tabla14[[#This Row],[FONDO]],MAESTRO!$D$2:$E$119,2,FALSE)</f>
        <v>Banco Santander Rio S.A.</v>
      </c>
      <c r="H1206" s="8" t="str">
        <f>+VLOOKUP(Tabla14[[#This Row],[FONDO]],MAESTRO!D:F,3,FALSE)</f>
        <v>(T+0)</v>
      </c>
      <c r="I1206" s="4" t="s">
        <v>9</v>
      </c>
      <c r="L12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6" s="4">
        <f>ROUND(IF(Tabla14[[#This Row],[OPERACIÓN]]=MAESTRO!$B$2,Tabla14[CAPITAL],IF(Tabla14[[#This Row],[OPERACIÓN]]=MAESTRO!$B$5,Tabla14[CAPITAL],-Tabla14[[#This Row],[CAPITAL]])),2)</f>
        <v>-93500000</v>
      </c>
    </row>
    <row r="1207" spans="1:13" x14ac:dyDescent="0.3">
      <c r="A1207" s="26">
        <v>46226</v>
      </c>
      <c r="B1207" t="s">
        <v>298</v>
      </c>
      <c r="C1207" t="s">
        <v>132</v>
      </c>
      <c r="D1207" s="27" t="s">
        <v>17</v>
      </c>
      <c r="E1207" s="4" t="s">
        <v>136</v>
      </c>
      <c r="F1207" s="4">
        <v>1459728500</v>
      </c>
      <c r="G1207" s="8" t="str">
        <f>+VLOOKUP(Tabla14[[#This Row],[FONDO]],MAESTRO!$D$2:$E$119,2,FALSE)</f>
        <v>Gma Capital</v>
      </c>
      <c r="H1207" s="8" t="str">
        <f>+VLOOKUP(Tabla14[[#This Row],[FONDO]],MAESTRO!D:F,3,FALSE)</f>
        <v>(T+0)</v>
      </c>
      <c r="I1207" s="4" t="s">
        <v>9</v>
      </c>
      <c r="L12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7" s="4">
        <f>ROUND(IF(Tabla14[[#This Row],[OPERACIÓN]]=MAESTRO!$B$2,Tabla14[CAPITAL],IF(Tabla14[[#This Row],[OPERACIÓN]]=MAESTRO!$B$5,Tabla14[CAPITAL],-Tabla14[[#This Row],[CAPITAL]])),2)</f>
        <v>-1459728500</v>
      </c>
    </row>
    <row r="1208" spans="1:13" x14ac:dyDescent="0.3">
      <c r="A1208" s="26">
        <v>46226</v>
      </c>
      <c r="B1208" t="s">
        <v>298</v>
      </c>
      <c r="C1208" t="s">
        <v>132</v>
      </c>
      <c r="D1208" s="27" t="s">
        <v>17</v>
      </c>
      <c r="E1208" s="4" t="s">
        <v>136</v>
      </c>
      <c r="F1208" s="4">
        <v>1459728500</v>
      </c>
      <c r="G1208" s="8" t="str">
        <f>+VLOOKUP(Tabla14[[#This Row],[FONDO]],MAESTRO!$D$2:$E$119,2,FALSE)</f>
        <v>Gma Capital</v>
      </c>
      <c r="H1208" s="8" t="str">
        <f>+VLOOKUP(Tabla14[[#This Row],[FONDO]],MAESTRO!D:F,3,FALSE)</f>
        <v>(T+0)</v>
      </c>
      <c r="I1208" s="4" t="s">
        <v>9</v>
      </c>
      <c r="L12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08" s="4">
        <f>ROUND(IF(Tabla14[[#This Row],[OPERACIÓN]]=MAESTRO!$B$2,Tabla14[CAPITAL],IF(Tabla14[[#This Row],[OPERACIÓN]]=MAESTRO!$B$5,Tabla14[CAPITAL],-Tabla14[[#This Row],[CAPITAL]])),2)</f>
        <v>-1459728500</v>
      </c>
    </row>
    <row r="1209" spans="1:13" x14ac:dyDescent="0.3">
      <c r="A1209" s="26">
        <v>46226</v>
      </c>
      <c r="B1209" t="s">
        <v>298</v>
      </c>
      <c r="C1209" t="s">
        <v>172</v>
      </c>
      <c r="D1209" s="27" t="s">
        <v>16</v>
      </c>
      <c r="E1209" s="4" t="s">
        <v>202</v>
      </c>
      <c r="F1209" s="4">
        <v>1000000</v>
      </c>
      <c r="G1209" s="8" t="str">
        <f>+VLOOKUP(Tabla14[[#This Row],[FONDO]],MAESTRO!$D$2:$E$119,2,FALSE)</f>
        <v>Gma Capital</v>
      </c>
      <c r="H1209" s="8" t="str">
        <f>+VLOOKUP(Tabla14[[#This Row],[FONDO]],MAESTRO!D:F,3,FALSE)</f>
        <v>USD DL</v>
      </c>
      <c r="I1209" s="4" t="s">
        <v>7</v>
      </c>
      <c r="J1209" s="26">
        <v>46365</v>
      </c>
      <c r="K1209">
        <v>3.75</v>
      </c>
      <c r="L1209" t="str">
        <f>IF(Tabla14[[#This Row],[INVERSION]]="fci","",IF(SUMIFS(M:M,B:B,Tabla14[[#This Row],[EMPRESA]],E:E,Tabla14[[#This Row],[FONDO]],G:G,Tabla14[[#This Row],[BANCO]])=0,"","VENCE EL "&amp;TEXT(Tabla14[[#This Row],[VENCIMIENTO]],"DD-MM-YYYY")))</f>
        <v>VENCE EL 09-12-2026</v>
      </c>
      <c r="M1209" s="4">
        <f>ROUND(IF(Tabla14[[#This Row],[OPERACIÓN]]=MAESTRO!$B$2,Tabla14[CAPITAL],IF(Tabla14[[#This Row],[OPERACIÓN]]=MAESTRO!$B$5,Tabla14[CAPITAL],-Tabla14[[#This Row],[CAPITAL]])),2)</f>
        <v>1000000</v>
      </c>
    </row>
    <row r="1210" spans="1:13" x14ac:dyDescent="0.3">
      <c r="A1210" s="26">
        <v>46226</v>
      </c>
      <c r="B1210" t="s">
        <v>292</v>
      </c>
      <c r="C1210" t="s">
        <v>132</v>
      </c>
      <c r="D1210" s="27" t="s">
        <v>16</v>
      </c>
      <c r="E1210" s="4" t="s">
        <v>136</v>
      </c>
      <c r="F1210" s="4">
        <v>1457963773.3499999</v>
      </c>
      <c r="G1210" s="8" t="str">
        <f>+VLOOKUP(Tabla14[[#This Row],[FONDO]],MAESTRO!$D$2:$E$119,2,FALSE)</f>
        <v>Gma Capital</v>
      </c>
      <c r="H1210" s="8" t="str">
        <f>+VLOOKUP(Tabla14[[#This Row],[FONDO]],MAESTRO!D:F,3,FALSE)</f>
        <v>(T+0)</v>
      </c>
      <c r="I1210" s="4" t="s">
        <v>9</v>
      </c>
      <c r="L12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0" s="4">
        <f>ROUND(IF(Tabla14[[#This Row],[OPERACIÓN]]=MAESTRO!$B$2,Tabla14[CAPITAL],IF(Tabla14[[#This Row],[OPERACIÓN]]=MAESTRO!$B$5,Tabla14[CAPITAL],-Tabla14[[#This Row],[CAPITAL]])),2)</f>
        <v>1457963773.3499999</v>
      </c>
    </row>
    <row r="1211" spans="1:13" x14ac:dyDescent="0.3">
      <c r="A1211" s="26">
        <v>46226</v>
      </c>
      <c r="B1211" t="s">
        <v>298</v>
      </c>
      <c r="C1211" t="s">
        <v>172</v>
      </c>
      <c r="D1211" s="27" t="s">
        <v>16</v>
      </c>
      <c r="E1211" s="4" t="s">
        <v>201</v>
      </c>
      <c r="F1211" s="4">
        <v>1000000</v>
      </c>
      <c r="G1211" s="8" t="str">
        <f>+VLOOKUP(Tabla14[[#This Row],[FONDO]],MAESTRO!$D$2:$E$119,2,FALSE)</f>
        <v>Gma Capital</v>
      </c>
      <c r="H1211" s="8" t="str">
        <f>+VLOOKUP(Tabla14[[#This Row],[FONDO]],MAESTRO!D:F,3,FALSE)</f>
        <v>USD DL</v>
      </c>
      <c r="I1211" s="4" t="s">
        <v>7</v>
      </c>
      <c r="J1211" s="23">
        <v>46365</v>
      </c>
      <c r="K1211">
        <v>3.75</v>
      </c>
      <c r="L1211" t="str">
        <f>IF(Tabla14[[#This Row],[INVERSION]]="fci","",IF(SUMIFS(M:M,B:B,Tabla14[[#This Row],[EMPRESA]],E:E,Tabla14[[#This Row],[FONDO]],G:G,Tabla14[[#This Row],[BANCO]])=0,"","VENCE EL "&amp;TEXT(Tabla14[[#This Row],[VENCIMIENTO]],"DD-MM-YYYY")))</f>
        <v>VENCE EL 09-12-2026</v>
      </c>
      <c r="M1211" s="4">
        <f>ROUND(IF(Tabla14[[#This Row],[OPERACIÓN]]=MAESTRO!$B$2,Tabla14[CAPITAL],IF(Tabla14[[#This Row],[OPERACIÓN]]=MAESTRO!$B$5,Tabla14[CAPITAL],-Tabla14[[#This Row],[CAPITAL]])),2)</f>
        <v>1000000</v>
      </c>
    </row>
    <row r="1212" spans="1:13" x14ac:dyDescent="0.3">
      <c r="A1212" s="26">
        <v>46226</v>
      </c>
      <c r="B1212" t="s">
        <v>299</v>
      </c>
      <c r="C1212" t="s">
        <v>132</v>
      </c>
      <c r="D1212" s="27" t="s">
        <v>16</v>
      </c>
      <c r="E1212" s="4" t="s">
        <v>136</v>
      </c>
      <c r="F1212" s="4">
        <v>1456896088</v>
      </c>
      <c r="G1212" s="8" t="str">
        <f>+VLOOKUP(Tabla14[[#This Row],[FONDO]],MAESTRO!$D$2:$E$119,2,FALSE)</f>
        <v>Gma Capital</v>
      </c>
      <c r="H1212" s="8" t="str">
        <f>+VLOOKUP(Tabla14[[#This Row],[FONDO]],MAESTRO!D:F,3,FALSE)</f>
        <v>(T+0)</v>
      </c>
      <c r="I1212" s="4" t="s">
        <v>9</v>
      </c>
      <c r="L12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2" s="4">
        <f>ROUND(IF(Tabla14[[#This Row],[OPERACIÓN]]=MAESTRO!$B$2,Tabla14[CAPITAL],IF(Tabla14[[#This Row],[OPERACIÓN]]=MAESTRO!$B$5,Tabla14[CAPITAL],-Tabla14[[#This Row],[CAPITAL]])),2)</f>
        <v>1456896088</v>
      </c>
    </row>
    <row r="1213" spans="1:13" x14ac:dyDescent="0.3">
      <c r="A1213" s="26">
        <v>46227</v>
      </c>
      <c r="B1213" t="s">
        <v>298</v>
      </c>
      <c r="C1213" t="s">
        <v>132</v>
      </c>
      <c r="D1213" s="27" t="s">
        <v>17</v>
      </c>
      <c r="E1213" s="4" t="s">
        <v>48</v>
      </c>
      <c r="F1213" s="4">
        <v>1048800000</v>
      </c>
      <c r="G1213" s="8" t="str">
        <f>+VLOOKUP(Tabla14[[#This Row],[FONDO]],MAESTRO!$D$2:$E$119,2,FALSE)</f>
        <v>Banco Macro S.A.</v>
      </c>
      <c r="H1213" s="8" t="str">
        <f>+VLOOKUP(Tabla14[[#This Row],[FONDO]],MAESTRO!D:F,3,FALSE)</f>
        <v>(T+0)</v>
      </c>
      <c r="I1213" s="4" t="s">
        <v>9</v>
      </c>
      <c r="L12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3" s="4">
        <f>ROUND(IF(Tabla14[[#This Row],[OPERACIÓN]]=MAESTRO!$B$2,Tabla14[CAPITAL],IF(Tabla14[[#This Row],[OPERACIÓN]]=MAESTRO!$B$5,Tabla14[CAPITAL],-Tabla14[[#This Row],[CAPITAL]])),2)</f>
        <v>-1048800000</v>
      </c>
    </row>
    <row r="1214" spans="1:13" x14ac:dyDescent="0.3">
      <c r="A1214" s="26">
        <v>46227</v>
      </c>
      <c r="B1214" t="s">
        <v>299</v>
      </c>
      <c r="C1214" t="s">
        <v>132</v>
      </c>
      <c r="D1214" s="27" t="s">
        <v>16</v>
      </c>
      <c r="E1214" s="4" t="s">
        <v>48</v>
      </c>
      <c r="F1214" s="4">
        <v>499600000</v>
      </c>
      <c r="G1214" s="8" t="str">
        <f>+VLOOKUP(Tabla14[[#This Row],[FONDO]],MAESTRO!$D$2:$E$119,2,FALSE)</f>
        <v>Banco Macro S.A.</v>
      </c>
      <c r="H1214" s="8" t="str">
        <f>+VLOOKUP(Tabla14[[#This Row],[FONDO]],MAESTRO!D:F,3,FALSE)</f>
        <v>(T+0)</v>
      </c>
      <c r="I1214" s="4" t="s">
        <v>9</v>
      </c>
      <c r="L12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4" s="4">
        <f>ROUND(IF(Tabla14[[#This Row],[OPERACIÓN]]=MAESTRO!$B$2,Tabla14[CAPITAL],IF(Tabla14[[#This Row],[OPERACIÓN]]=MAESTRO!$B$5,Tabla14[CAPITAL],-Tabla14[[#This Row],[CAPITAL]])),2)</f>
        <v>499600000</v>
      </c>
    </row>
    <row r="1215" spans="1:13" x14ac:dyDescent="0.3">
      <c r="A1215" s="26">
        <v>46227</v>
      </c>
      <c r="B1215" t="s">
        <v>298</v>
      </c>
      <c r="C1215" t="s">
        <v>132</v>
      </c>
      <c r="D1215" s="27" t="s">
        <v>16</v>
      </c>
      <c r="E1215" s="4" t="s">
        <v>170</v>
      </c>
      <c r="F1215" s="4">
        <v>503000000</v>
      </c>
      <c r="G1215" s="8" t="str">
        <f>+VLOOKUP(Tabla14[[#This Row],[FONDO]],MAESTRO!$D$2:$E$119,2,FALSE)</f>
        <v>Banco Santander Rio S.A.</v>
      </c>
      <c r="H1215" s="8" t="str">
        <f>+VLOOKUP(Tabla14[[#This Row],[FONDO]],MAESTRO!D:F,3,FALSE)</f>
        <v>(T+0)</v>
      </c>
      <c r="I1215" s="4" t="s">
        <v>9</v>
      </c>
      <c r="L12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5" s="4">
        <f>ROUND(IF(Tabla14[[#This Row],[OPERACIÓN]]=MAESTRO!$B$2,Tabla14[CAPITAL],IF(Tabla14[[#This Row],[OPERACIÓN]]=MAESTRO!$B$5,Tabla14[CAPITAL],-Tabla14[[#This Row],[CAPITAL]])),2)</f>
        <v>503000000</v>
      </c>
    </row>
    <row r="1216" spans="1:13" x14ac:dyDescent="0.3">
      <c r="A1216" s="26">
        <v>46227</v>
      </c>
      <c r="B1216" t="s">
        <v>299</v>
      </c>
      <c r="C1216" t="s">
        <v>132</v>
      </c>
      <c r="D1216" s="27" t="s">
        <v>16</v>
      </c>
      <c r="E1216" s="4" t="s">
        <v>169</v>
      </c>
      <c r="F1216" s="53">
        <v>591629010.72000003</v>
      </c>
      <c r="G1216" s="8" t="str">
        <f>+VLOOKUP(Tabla14[[#This Row],[FONDO]],MAESTRO!$D$2:$E$119,2,FALSE)</f>
        <v>Max Capital</v>
      </c>
      <c r="H1216" s="8" t="str">
        <f>+VLOOKUP(Tabla14[[#This Row],[FONDO]],MAESTRO!D:F,3,FALSE)</f>
        <v>(T+0)</v>
      </c>
      <c r="I1216" s="4" t="s">
        <v>9</v>
      </c>
      <c r="L12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6" s="4">
        <f>ROUND(IF(Tabla14[[#This Row],[OPERACIÓN]]=MAESTRO!$B$2,Tabla14[CAPITAL],IF(Tabla14[[#This Row],[OPERACIÓN]]=MAESTRO!$B$5,Tabla14[CAPITAL],-Tabla14[[#This Row],[CAPITAL]])),2)</f>
        <v>591629010.72000003</v>
      </c>
    </row>
    <row r="1217" spans="1:13" x14ac:dyDescent="0.3">
      <c r="A1217" s="26">
        <v>46227</v>
      </c>
      <c r="B1217" t="s">
        <v>298</v>
      </c>
      <c r="C1217" t="s">
        <v>132</v>
      </c>
      <c r="D1217" s="27" t="s">
        <v>16</v>
      </c>
      <c r="E1217" s="4" t="s">
        <v>40</v>
      </c>
      <c r="F1217" s="4">
        <v>63000000</v>
      </c>
      <c r="G1217" s="8" t="str">
        <f>+VLOOKUP(Tabla14[[#This Row],[FONDO]],MAESTRO!$D$2:$E$119,2,FALSE)</f>
        <v>BBVA Banco Frances SA</v>
      </c>
      <c r="H1217" s="8" t="str">
        <f>+VLOOKUP(Tabla14[[#This Row],[FONDO]],MAESTRO!D:F,3,FALSE)</f>
        <v>(T+0)</v>
      </c>
      <c r="I1217" s="4" t="s">
        <v>9</v>
      </c>
      <c r="L12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7" s="4">
        <f>ROUND(IF(Tabla14[[#This Row],[OPERACIÓN]]=MAESTRO!$B$2,Tabla14[CAPITAL],IF(Tabla14[[#This Row],[OPERACIÓN]]=MAESTRO!$B$5,Tabla14[CAPITAL],-Tabla14[[#This Row],[CAPITAL]])),2)</f>
        <v>63000000</v>
      </c>
    </row>
    <row r="1218" spans="1:13" x14ac:dyDescent="0.3">
      <c r="A1218" s="26">
        <v>46230</v>
      </c>
      <c r="B1218" t="s">
        <v>299</v>
      </c>
      <c r="C1218" t="s">
        <v>132</v>
      </c>
      <c r="D1218" s="27" t="s">
        <v>17</v>
      </c>
      <c r="E1218" s="4" t="s">
        <v>48</v>
      </c>
      <c r="F1218" s="4">
        <v>14800000</v>
      </c>
      <c r="G1218" s="8" t="str">
        <f>+VLOOKUP(Tabla14[[#This Row],[FONDO]],MAESTRO!$D$2:$E$119,2,FALSE)</f>
        <v>Banco Macro S.A.</v>
      </c>
      <c r="H1218" s="8" t="str">
        <f>+VLOOKUP(Tabla14[[#This Row],[FONDO]],MAESTRO!D:F,3,FALSE)</f>
        <v>(T+0)</v>
      </c>
      <c r="I1218" s="4" t="s">
        <v>9</v>
      </c>
      <c r="L12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8" s="4">
        <f>ROUND(IF(Tabla14[[#This Row],[OPERACIÓN]]=MAESTRO!$B$2,Tabla14[CAPITAL],IF(Tabla14[[#This Row],[OPERACIÓN]]=MAESTRO!$B$5,Tabla14[CAPITAL],-Tabla14[[#This Row],[CAPITAL]])),2)</f>
        <v>-14800000</v>
      </c>
    </row>
    <row r="1219" spans="1:13" x14ac:dyDescent="0.3">
      <c r="A1219" s="26">
        <v>46230</v>
      </c>
      <c r="B1219" t="s">
        <v>298</v>
      </c>
      <c r="C1219" t="s">
        <v>132</v>
      </c>
      <c r="D1219" s="27" t="s">
        <v>17</v>
      </c>
      <c r="E1219" s="4" t="s">
        <v>48</v>
      </c>
      <c r="F1219" s="4">
        <v>2913300000</v>
      </c>
      <c r="G1219" s="8" t="str">
        <f>+VLOOKUP(Tabla14[[#This Row],[FONDO]],MAESTRO!$D$2:$E$119,2,FALSE)</f>
        <v>Banco Macro S.A.</v>
      </c>
      <c r="H1219" s="8" t="str">
        <f>+VLOOKUP(Tabla14[[#This Row],[FONDO]],MAESTRO!D:F,3,FALSE)</f>
        <v>(T+0)</v>
      </c>
      <c r="I1219" s="4" t="s">
        <v>9</v>
      </c>
      <c r="L12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19" s="4">
        <f>ROUND(IF(Tabla14[[#This Row],[OPERACIÓN]]=MAESTRO!$B$2,Tabla14[CAPITAL],IF(Tabla14[[#This Row],[OPERACIÓN]]=MAESTRO!$B$5,Tabla14[CAPITAL],-Tabla14[[#This Row],[CAPITAL]])),2)</f>
        <v>-2913300000</v>
      </c>
    </row>
    <row r="1220" spans="1:13" x14ac:dyDescent="0.3">
      <c r="A1220" s="26">
        <v>46230</v>
      </c>
      <c r="B1220" t="s">
        <v>298</v>
      </c>
      <c r="C1220" t="s">
        <v>132</v>
      </c>
      <c r="D1220" s="27" t="s">
        <v>16</v>
      </c>
      <c r="E1220" s="4" t="s">
        <v>40</v>
      </c>
      <c r="F1220" s="4">
        <v>2012000000</v>
      </c>
      <c r="G1220" s="8" t="str">
        <f>+VLOOKUP(Tabla14[[#This Row],[FONDO]],MAESTRO!$D$2:$E$119,2,FALSE)</f>
        <v>BBVA Banco Frances SA</v>
      </c>
      <c r="H1220" s="8" t="str">
        <f>+VLOOKUP(Tabla14[[#This Row],[FONDO]],MAESTRO!D:F,3,FALSE)</f>
        <v>(T+0)</v>
      </c>
      <c r="I1220" s="4" t="s">
        <v>9</v>
      </c>
      <c r="L12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0" s="4">
        <f>ROUND(IF(Tabla14[[#This Row],[OPERACIÓN]]=MAESTRO!$B$2,Tabla14[CAPITAL],IF(Tabla14[[#This Row],[OPERACIÓN]]=MAESTRO!$B$5,Tabla14[CAPITAL],-Tabla14[[#This Row],[CAPITAL]])),2)</f>
        <v>2012000000</v>
      </c>
    </row>
    <row r="1221" spans="1:13" x14ac:dyDescent="0.3">
      <c r="A1221" s="26">
        <v>46230</v>
      </c>
      <c r="B1221" t="s">
        <v>298</v>
      </c>
      <c r="C1221" t="s">
        <v>132</v>
      </c>
      <c r="D1221" s="27" t="s">
        <v>16</v>
      </c>
      <c r="E1221" s="4" t="s">
        <v>136</v>
      </c>
      <c r="F1221" s="4">
        <v>2000000000</v>
      </c>
      <c r="G1221" s="8" t="str">
        <f>+VLOOKUP(Tabla14[[#This Row],[FONDO]],MAESTRO!$D$2:$E$119,2,FALSE)</f>
        <v>Gma Capital</v>
      </c>
      <c r="H1221" s="8" t="str">
        <f>+VLOOKUP(Tabla14[[#This Row],[FONDO]],MAESTRO!D:F,3,FALSE)</f>
        <v>(T+0)</v>
      </c>
      <c r="I1221" s="4" t="s">
        <v>9</v>
      </c>
      <c r="L12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1" s="4">
        <f>ROUND(IF(Tabla14[[#This Row],[OPERACIÓN]]=MAESTRO!$B$2,Tabla14[CAPITAL],IF(Tabla14[[#This Row],[OPERACIÓN]]=MAESTRO!$B$5,Tabla14[CAPITAL],-Tabla14[[#This Row],[CAPITAL]])),2)</f>
        <v>2000000000</v>
      </c>
    </row>
    <row r="1222" spans="1:13" x14ac:dyDescent="0.3">
      <c r="A1222" s="26">
        <v>46230</v>
      </c>
      <c r="B1222" t="s">
        <v>298</v>
      </c>
      <c r="C1222" t="s">
        <v>132</v>
      </c>
      <c r="D1222" s="27" t="s">
        <v>17</v>
      </c>
      <c r="E1222" s="4" t="s">
        <v>40</v>
      </c>
      <c r="F1222" s="4">
        <v>2000000000</v>
      </c>
      <c r="G1222" s="8" t="str">
        <f>+VLOOKUP(Tabla14[[#This Row],[FONDO]],MAESTRO!$D$2:$E$119,2,FALSE)</f>
        <v>BBVA Banco Frances SA</v>
      </c>
      <c r="H1222" s="8" t="str">
        <f>+VLOOKUP(Tabla14[[#This Row],[FONDO]],MAESTRO!D:F,3,FALSE)</f>
        <v>(T+0)</v>
      </c>
      <c r="I1222" s="4" t="s">
        <v>9</v>
      </c>
      <c r="L12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2" s="4">
        <f>ROUND(IF(Tabla14[[#This Row],[OPERACIÓN]]=MAESTRO!$B$2,Tabla14[CAPITAL],IF(Tabla14[[#This Row],[OPERACIÓN]]=MAESTRO!$B$5,Tabla14[CAPITAL],-Tabla14[[#This Row],[CAPITAL]])),2)</f>
        <v>-2000000000</v>
      </c>
    </row>
    <row r="1223" spans="1:13" x14ac:dyDescent="0.3">
      <c r="A1223" s="26">
        <v>46230</v>
      </c>
      <c r="B1223" t="s">
        <v>299</v>
      </c>
      <c r="C1223" t="s">
        <v>132</v>
      </c>
      <c r="D1223" s="27" t="s">
        <v>17</v>
      </c>
      <c r="E1223" s="4" t="s">
        <v>48</v>
      </c>
      <c r="F1223" s="4">
        <v>705000000</v>
      </c>
      <c r="G1223" s="8" t="str">
        <f>+VLOOKUP(Tabla14[[#This Row],[FONDO]],MAESTRO!$D$2:$E$119,2,FALSE)</f>
        <v>Banco Macro S.A.</v>
      </c>
      <c r="H1223" s="8" t="str">
        <f>+VLOOKUP(Tabla14[[#This Row],[FONDO]],MAESTRO!D:F,3,FALSE)</f>
        <v>(T+0)</v>
      </c>
      <c r="I1223" s="4" t="s">
        <v>9</v>
      </c>
      <c r="L12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3" s="4">
        <f>ROUND(IF(Tabla14[[#This Row],[OPERACIÓN]]=MAESTRO!$B$2,Tabla14[CAPITAL],IF(Tabla14[[#This Row],[OPERACIÓN]]=MAESTRO!$B$5,Tabla14[CAPITAL],-Tabla14[[#This Row],[CAPITAL]])),2)</f>
        <v>-705000000</v>
      </c>
    </row>
    <row r="1224" spans="1:13" x14ac:dyDescent="0.3">
      <c r="A1224" s="26">
        <v>46230</v>
      </c>
      <c r="B1224" t="s">
        <v>292</v>
      </c>
      <c r="C1224" t="s">
        <v>132</v>
      </c>
      <c r="D1224" s="27" t="s">
        <v>17</v>
      </c>
      <c r="E1224" s="4" t="s">
        <v>170</v>
      </c>
      <c r="F1224" s="4">
        <v>287100000</v>
      </c>
      <c r="G1224" s="8" t="str">
        <f>+VLOOKUP(Tabla14[[#This Row],[FONDO]],MAESTRO!$D$2:$E$119,2,FALSE)</f>
        <v>Banco Santander Rio S.A.</v>
      </c>
      <c r="H1224" s="8" t="str">
        <f>+VLOOKUP(Tabla14[[#This Row],[FONDO]],MAESTRO!D:F,3,FALSE)</f>
        <v>(T+0)</v>
      </c>
      <c r="I1224" s="4" t="s">
        <v>9</v>
      </c>
      <c r="L12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4" s="4">
        <f>ROUND(IF(Tabla14[[#This Row],[OPERACIÓN]]=MAESTRO!$B$2,Tabla14[CAPITAL],IF(Tabla14[[#This Row],[OPERACIÓN]]=MAESTRO!$B$5,Tabla14[CAPITAL],-Tabla14[[#This Row],[CAPITAL]])),2)</f>
        <v>-287100000</v>
      </c>
    </row>
    <row r="1225" spans="1:13" x14ac:dyDescent="0.3">
      <c r="A1225" s="26">
        <v>46231</v>
      </c>
      <c r="B1225" t="s">
        <v>298</v>
      </c>
      <c r="C1225" t="s">
        <v>132</v>
      </c>
      <c r="D1225" s="27" t="s">
        <v>17</v>
      </c>
      <c r="E1225" s="4" t="s">
        <v>180</v>
      </c>
      <c r="F1225" s="4">
        <v>157711027.30000001</v>
      </c>
      <c r="G1225" s="8" t="str">
        <f>+VLOOKUP(Tabla14[[#This Row],[FONDO]],MAESTRO!$D$2:$E$119,2,FALSE)</f>
        <v>PP Inversiones</v>
      </c>
      <c r="H1225" s="8" t="str">
        <f>+VLOOKUP(Tabla14[[#This Row],[FONDO]],MAESTRO!D:F,3,FALSE)</f>
        <v>(T+0)</v>
      </c>
      <c r="I1225" s="4" t="s">
        <v>9</v>
      </c>
      <c r="L12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5" s="4">
        <f>ROUND(IF(Tabla14[[#This Row],[OPERACIÓN]]=MAESTRO!$B$2,Tabla14[CAPITAL],IF(Tabla14[[#This Row],[OPERACIÓN]]=MAESTRO!$B$5,Tabla14[CAPITAL],-Tabla14[[#This Row],[CAPITAL]])),2)</f>
        <v>-157711027.30000001</v>
      </c>
    </row>
    <row r="1226" spans="1:13" x14ac:dyDescent="0.3">
      <c r="A1226" s="26">
        <v>46231</v>
      </c>
      <c r="B1226" t="s">
        <v>299</v>
      </c>
      <c r="C1226" t="s">
        <v>132</v>
      </c>
      <c r="D1226" s="27" t="s">
        <v>17</v>
      </c>
      <c r="E1226" s="4" t="s">
        <v>169</v>
      </c>
      <c r="F1226" s="4">
        <v>117737122.8</v>
      </c>
      <c r="G1226" s="8" t="str">
        <f>+VLOOKUP(Tabla14[[#This Row],[FONDO]],MAESTRO!$D$2:$E$119,2,FALSE)</f>
        <v>Max Capital</v>
      </c>
      <c r="H1226" s="8" t="str">
        <f>+VLOOKUP(Tabla14[[#This Row],[FONDO]],MAESTRO!D:F,3,FALSE)</f>
        <v>(T+0)</v>
      </c>
      <c r="I1226" s="4" t="s">
        <v>9</v>
      </c>
      <c r="L12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6" s="4">
        <f>ROUND(IF(Tabla14[[#This Row],[OPERACIÓN]]=MAESTRO!$B$2,Tabla14[CAPITAL],IF(Tabla14[[#This Row],[OPERACIÓN]]=MAESTRO!$B$5,Tabla14[CAPITAL],-Tabla14[[#This Row],[CAPITAL]])),2)</f>
        <v>-117737122.8</v>
      </c>
    </row>
    <row r="1227" spans="1:13" x14ac:dyDescent="0.3">
      <c r="A1227" s="26">
        <v>46231</v>
      </c>
      <c r="B1227" t="s">
        <v>299</v>
      </c>
      <c r="C1227" t="s">
        <v>132</v>
      </c>
      <c r="D1227" s="27" t="s">
        <v>17</v>
      </c>
      <c r="E1227" s="4" t="s">
        <v>169</v>
      </c>
      <c r="F1227" s="4">
        <v>50734175.299999997</v>
      </c>
      <c r="G1227" s="8" t="str">
        <f>+VLOOKUP(Tabla14[[#This Row],[FONDO]],MAESTRO!$D$2:$E$119,2,FALSE)</f>
        <v>Max Capital</v>
      </c>
      <c r="H1227" s="8" t="str">
        <f>+VLOOKUP(Tabla14[[#This Row],[FONDO]],MAESTRO!D:F,3,FALSE)</f>
        <v>(T+0)</v>
      </c>
      <c r="I1227" s="4" t="s">
        <v>9</v>
      </c>
      <c r="L12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7" s="4">
        <f>ROUND(IF(Tabla14[[#This Row],[OPERACIÓN]]=MAESTRO!$B$2,Tabla14[CAPITAL],IF(Tabla14[[#This Row],[OPERACIÓN]]=MAESTRO!$B$5,Tabla14[CAPITAL],-Tabla14[[#This Row],[CAPITAL]])),2)</f>
        <v>-50734175.299999997</v>
      </c>
    </row>
    <row r="1228" spans="1:13" x14ac:dyDescent="0.3">
      <c r="A1228" s="26">
        <v>46231</v>
      </c>
      <c r="B1228" t="s">
        <v>298</v>
      </c>
      <c r="C1228" t="s">
        <v>132</v>
      </c>
      <c r="D1228" s="27" t="s">
        <v>17</v>
      </c>
      <c r="E1228" s="4" t="s">
        <v>169</v>
      </c>
      <c r="F1228" s="4">
        <v>300000000</v>
      </c>
      <c r="G1228" s="8" t="str">
        <f>+VLOOKUP(Tabla14[[#This Row],[FONDO]],MAESTRO!$D$2:$E$119,2,FALSE)</f>
        <v>Max Capital</v>
      </c>
      <c r="H1228" s="8" t="str">
        <f>+VLOOKUP(Tabla14[[#This Row],[FONDO]],MAESTRO!D:F,3,FALSE)</f>
        <v>(T+0)</v>
      </c>
      <c r="I1228" s="4" t="s">
        <v>9</v>
      </c>
      <c r="L12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8" s="4">
        <f>ROUND(IF(Tabla14[[#This Row],[OPERACIÓN]]=MAESTRO!$B$2,Tabla14[CAPITAL],IF(Tabla14[[#This Row],[OPERACIÓN]]=MAESTRO!$B$5,Tabla14[CAPITAL],-Tabla14[[#This Row],[CAPITAL]])),2)</f>
        <v>-300000000</v>
      </c>
    </row>
    <row r="1229" spans="1:13" x14ac:dyDescent="0.3">
      <c r="A1229" s="26">
        <v>46231</v>
      </c>
      <c r="B1229" t="s">
        <v>298</v>
      </c>
      <c r="C1229" t="s">
        <v>132</v>
      </c>
      <c r="D1229" s="27" t="s">
        <v>17</v>
      </c>
      <c r="E1229" s="4" t="s">
        <v>169</v>
      </c>
      <c r="F1229" s="4">
        <v>62627278.329999998</v>
      </c>
      <c r="G1229" s="8" t="str">
        <f>+VLOOKUP(Tabla14[[#This Row],[FONDO]],MAESTRO!$D$2:$E$119,2,FALSE)</f>
        <v>Max Capital</v>
      </c>
      <c r="H1229" s="8" t="str">
        <f>+VLOOKUP(Tabla14[[#This Row],[FONDO]],MAESTRO!D:F,3,FALSE)</f>
        <v>(T+0)</v>
      </c>
      <c r="I1229" s="4" t="s">
        <v>9</v>
      </c>
      <c r="L12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29" s="4">
        <f>ROUND(IF(Tabla14[[#This Row],[OPERACIÓN]]=MAESTRO!$B$2,Tabla14[CAPITAL],IF(Tabla14[[#This Row],[OPERACIÓN]]=MAESTRO!$B$5,Tabla14[CAPITAL],-Tabla14[[#This Row],[CAPITAL]])),2)</f>
        <v>-62627278.329999998</v>
      </c>
    </row>
    <row r="1230" spans="1:13" x14ac:dyDescent="0.3">
      <c r="A1230" s="26">
        <v>46231</v>
      </c>
      <c r="B1230" t="s">
        <v>298</v>
      </c>
      <c r="C1230" t="s">
        <v>132</v>
      </c>
      <c r="D1230" s="27" t="s">
        <v>17</v>
      </c>
      <c r="E1230" s="4" t="s">
        <v>204</v>
      </c>
      <c r="F1230" s="4">
        <v>233379922.63999999</v>
      </c>
      <c r="G1230" s="8" t="str">
        <f>+VLOOKUP(Tabla14[[#This Row],[FONDO]],MAESTRO!$D$2:$E$119,2,FALSE)</f>
        <v>Latin Securities</v>
      </c>
      <c r="H1230" s="8" t="str">
        <f>+VLOOKUP(Tabla14[[#This Row],[FONDO]],MAESTRO!D:F,3,FALSE)</f>
        <v>(T+0)</v>
      </c>
      <c r="I1230" s="4" t="s">
        <v>9</v>
      </c>
      <c r="L12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0" s="4">
        <f>ROUND(IF(Tabla14[[#This Row],[OPERACIÓN]]=MAESTRO!$B$2,Tabla14[CAPITAL],IF(Tabla14[[#This Row],[OPERACIÓN]]=MAESTRO!$B$5,Tabla14[CAPITAL],-Tabla14[[#This Row],[CAPITAL]])),2)</f>
        <v>-233379922.63999999</v>
      </c>
    </row>
    <row r="1231" spans="1:13" x14ac:dyDescent="0.3">
      <c r="A1231" s="26">
        <v>46231</v>
      </c>
      <c r="B1231" t="s">
        <v>299</v>
      </c>
      <c r="C1231" t="s">
        <v>132</v>
      </c>
      <c r="D1231" s="27" t="s">
        <v>17</v>
      </c>
      <c r="E1231" s="4" t="s">
        <v>136</v>
      </c>
      <c r="F1231" s="4">
        <v>141730496.03999999</v>
      </c>
      <c r="G1231" s="8" t="str">
        <f>+VLOOKUP(Tabla14[[#This Row],[FONDO]],MAESTRO!$D$2:$E$119,2,FALSE)</f>
        <v>Gma Capital</v>
      </c>
      <c r="H1231" s="8" t="str">
        <f>+VLOOKUP(Tabla14[[#This Row],[FONDO]],MAESTRO!D:F,3,FALSE)</f>
        <v>(T+0)</v>
      </c>
      <c r="I1231" s="4" t="s">
        <v>9</v>
      </c>
      <c r="L12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1" s="4">
        <f>ROUND(IF(Tabla14[[#This Row],[OPERACIÓN]]=MAESTRO!$B$2,Tabla14[CAPITAL],IF(Tabla14[[#This Row],[OPERACIÓN]]=MAESTRO!$B$5,Tabla14[CAPITAL],-Tabla14[[#This Row],[CAPITAL]])),2)</f>
        <v>-141730496.03999999</v>
      </c>
    </row>
    <row r="1232" spans="1:13" x14ac:dyDescent="0.3">
      <c r="A1232" s="26">
        <v>46231</v>
      </c>
      <c r="B1232" t="s">
        <v>299</v>
      </c>
      <c r="C1232" t="s">
        <v>132</v>
      </c>
      <c r="D1232" s="27" t="s">
        <v>17</v>
      </c>
      <c r="E1232" s="4" t="s">
        <v>136</v>
      </c>
      <c r="F1232" s="4">
        <v>128936949.98</v>
      </c>
      <c r="G1232" s="8" t="str">
        <f>+VLOOKUP(Tabla14[[#This Row],[FONDO]],MAESTRO!$D$2:$E$119,2,FALSE)</f>
        <v>Gma Capital</v>
      </c>
      <c r="H1232" s="8" t="str">
        <f>+VLOOKUP(Tabla14[[#This Row],[FONDO]],MAESTRO!D:F,3,FALSE)</f>
        <v>(T+0)</v>
      </c>
      <c r="I1232" s="4" t="s">
        <v>9</v>
      </c>
      <c r="L12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2" s="4">
        <f>ROUND(IF(Tabla14[[#This Row],[OPERACIÓN]]=MAESTRO!$B$2,Tabla14[CAPITAL],IF(Tabla14[[#This Row],[OPERACIÓN]]=MAESTRO!$B$5,Tabla14[CAPITAL],-Tabla14[[#This Row],[CAPITAL]])),2)</f>
        <v>-128936949.98</v>
      </c>
    </row>
    <row r="1233" spans="1:13" x14ac:dyDescent="0.3">
      <c r="A1233" s="26">
        <v>46231</v>
      </c>
      <c r="B1233" t="s">
        <v>298</v>
      </c>
      <c r="C1233" t="s">
        <v>132</v>
      </c>
      <c r="D1233" s="27" t="s">
        <v>17</v>
      </c>
      <c r="E1233" s="4" t="s">
        <v>170</v>
      </c>
      <c r="F1233" s="4">
        <v>614559313.14999998</v>
      </c>
      <c r="G1233" s="8" t="str">
        <f>+VLOOKUP(Tabla14[[#This Row],[FONDO]],MAESTRO!$D$2:$E$119,2,FALSE)</f>
        <v>Banco Santander Rio S.A.</v>
      </c>
      <c r="H1233" s="8" t="str">
        <f>+VLOOKUP(Tabla14[[#This Row],[FONDO]],MAESTRO!D:F,3,FALSE)</f>
        <v>(T+0)</v>
      </c>
      <c r="I1233" s="4" t="s">
        <v>9</v>
      </c>
      <c r="L12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3" s="4">
        <f>ROUND(IF(Tabla14[[#This Row],[OPERACIÓN]]=MAESTRO!$B$2,Tabla14[CAPITAL],IF(Tabla14[[#This Row],[OPERACIÓN]]=MAESTRO!$B$5,Tabla14[CAPITAL],-Tabla14[[#This Row],[CAPITAL]])),2)</f>
        <v>-614559313.14999998</v>
      </c>
    </row>
    <row r="1234" spans="1:13" x14ac:dyDescent="0.3">
      <c r="A1234" s="26">
        <v>46231</v>
      </c>
      <c r="B1234" t="s">
        <v>298</v>
      </c>
      <c r="C1234" t="s">
        <v>132</v>
      </c>
      <c r="D1234" s="27" t="s">
        <v>17</v>
      </c>
      <c r="E1234" s="4" t="s">
        <v>255</v>
      </c>
      <c r="F1234" s="4">
        <v>113683646.87</v>
      </c>
      <c r="G1234" s="8" t="str">
        <f>+VLOOKUP(Tabla14[[#This Row],[FONDO]],MAESTRO!$D$2:$E$119,2,FALSE)</f>
        <v>Inviu inversiones</v>
      </c>
      <c r="H1234" s="8" t="str">
        <f>+VLOOKUP(Tabla14[[#This Row],[FONDO]],MAESTRO!D:F,3,FALSE)</f>
        <v>(T+0)</v>
      </c>
      <c r="I1234" s="4" t="s">
        <v>9</v>
      </c>
      <c r="L12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4" s="4">
        <f>ROUND(IF(Tabla14[[#This Row],[OPERACIÓN]]=MAESTRO!$B$2,Tabla14[CAPITAL],IF(Tabla14[[#This Row],[OPERACIÓN]]=MAESTRO!$B$5,Tabla14[CAPITAL],-Tabla14[[#This Row],[CAPITAL]])),2)</f>
        <v>-113683646.87</v>
      </c>
    </row>
    <row r="1235" spans="1:13" x14ac:dyDescent="0.3">
      <c r="A1235" s="26">
        <v>46231</v>
      </c>
      <c r="B1235" t="s">
        <v>298</v>
      </c>
      <c r="C1235" t="s">
        <v>132</v>
      </c>
      <c r="D1235" s="27" t="s">
        <v>17</v>
      </c>
      <c r="E1235" s="4" t="s">
        <v>255</v>
      </c>
      <c r="F1235" s="4">
        <v>74194350.819999993</v>
      </c>
      <c r="G1235" s="8" t="str">
        <f>+VLOOKUP(Tabla14[[#This Row],[FONDO]],MAESTRO!$D$2:$E$119,2,FALSE)</f>
        <v>Inviu inversiones</v>
      </c>
      <c r="H1235" s="8" t="str">
        <f>+VLOOKUP(Tabla14[[#This Row],[FONDO]],MAESTRO!D:F,3,FALSE)</f>
        <v>(T+0)</v>
      </c>
      <c r="I1235" s="4" t="s">
        <v>9</v>
      </c>
      <c r="L12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5" s="4">
        <f>ROUND(IF(Tabla14[[#This Row],[OPERACIÓN]]=MAESTRO!$B$2,Tabla14[CAPITAL],IF(Tabla14[[#This Row],[OPERACIÓN]]=MAESTRO!$B$5,Tabla14[CAPITAL],-Tabla14[[#This Row],[CAPITAL]])),2)</f>
        <v>-74194350.819999993</v>
      </c>
    </row>
    <row r="1236" spans="1:13" x14ac:dyDescent="0.3">
      <c r="A1236" s="26">
        <v>46231</v>
      </c>
      <c r="B1236" t="s">
        <v>292</v>
      </c>
      <c r="C1236" t="s">
        <v>132</v>
      </c>
      <c r="D1236" s="27" t="s">
        <v>17</v>
      </c>
      <c r="E1236" s="4" t="s">
        <v>136</v>
      </c>
      <c r="F1236" s="4">
        <v>396500000</v>
      </c>
      <c r="G1236" s="8" t="str">
        <f>+VLOOKUP(Tabla14[[#This Row],[FONDO]],MAESTRO!$D$2:$E$119,2,FALSE)</f>
        <v>Gma Capital</v>
      </c>
      <c r="H1236" s="8" t="str">
        <f>+VLOOKUP(Tabla14[[#This Row],[FONDO]],MAESTRO!D:F,3,FALSE)</f>
        <v>(T+0)</v>
      </c>
      <c r="I1236" s="4" t="s">
        <v>9</v>
      </c>
      <c r="L12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6" s="4">
        <f>ROUND(IF(Tabla14[[#This Row],[OPERACIÓN]]=MAESTRO!$B$2,Tabla14[CAPITAL],IF(Tabla14[[#This Row],[OPERACIÓN]]=MAESTRO!$B$5,Tabla14[CAPITAL],-Tabla14[[#This Row],[CAPITAL]])),2)</f>
        <v>-396500000</v>
      </c>
    </row>
    <row r="1237" spans="1:13" x14ac:dyDescent="0.3">
      <c r="A1237" s="26">
        <v>46231</v>
      </c>
      <c r="B1237" t="s">
        <v>126</v>
      </c>
      <c r="C1237" t="s">
        <v>132</v>
      </c>
      <c r="D1237" s="27" t="s">
        <v>17</v>
      </c>
      <c r="E1237" s="4" t="s">
        <v>48</v>
      </c>
      <c r="F1237" s="4">
        <v>5800000</v>
      </c>
      <c r="G1237" s="8" t="str">
        <f>+VLOOKUP(Tabla14[[#This Row],[FONDO]],MAESTRO!$D$2:$E$119,2,FALSE)</f>
        <v>Banco Macro S.A.</v>
      </c>
      <c r="H1237" s="8" t="str">
        <f>+VLOOKUP(Tabla14[[#This Row],[FONDO]],MAESTRO!D:F,3,FALSE)</f>
        <v>(T+0)</v>
      </c>
      <c r="I1237" s="4" t="s">
        <v>9</v>
      </c>
      <c r="L12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7" s="4">
        <f>ROUND(IF(Tabla14[[#This Row],[OPERACIÓN]]=MAESTRO!$B$2,Tabla14[CAPITAL],IF(Tabla14[[#This Row],[OPERACIÓN]]=MAESTRO!$B$5,Tabla14[CAPITAL],-Tabla14[[#This Row],[CAPITAL]])),2)</f>
        <v>-5800000</v>
      </c>
    </row>
    <row r="1238" spans="1:13" x14ac:dyDescent="0.3">
      <c r="A1238" s="26">
        <v>46231</v>
      </c>
      <c r="B1238" t="s">
        <v>298</v>
      </c>
      <c r="C1238" t="s">
        <v>132</v>
      </c>
      <c r="D1238" s="27" t="s">
        <v>17</v>
      </c>
      <c r="E1238" s="4" t="s">
        <v>48</v>
      </c>
      <c r="F1238" s="4">
        <v>2277800000</v>
      </c>
      <c r="G1238" s="8" t="str">
        <f>+VLOOKUP(Tabla14[[#This Row],[FONDO]],MAESTRO!$D$2:$E$119,2,FALSE)</f>
        <v>Banco Macro S.A.</v>
      </c>
      <c r="H1238" s="8" t="str">
        <f>+VLOOKUP(Tabla14[[#This Row],[FONDO]],MAESTRO!D:F,3,FALSE)</f>
        <v>(T+0)</v>
      </c>
      <c r="I1238" s="4" t="s">
        <v>9</v>
      </c>
      <c r="L12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8" s="4">
        <f>ROUND(IF(Tabla14[[#This Row],[OPERACIÓN]]=MAESTRO!$B$2,Tabla14[CAPITAL],IF(Tabla14[[#This Row],[OPERACIÓN]]=MAESTRO!$B$5,Tabla14[CAPITAL],-Tabla14[[#This Row],[CAPITAL]])),2)</f>
        <v>-2277800000</v>
      </c>
    </row>
    <row r="1239" spans="1:13" x14ac:dyDescent="0.3">
      <c r="A1239" s="26">
        <v>46231</v>
      </c>
      <c r="B1239" t="s">
        <v>299</v>
      </c>
      <c r="C1239" t="s">
        <v>132</v>
      </c>
      <c r="D1239" s="27" t="s">
        <v>16</v>
      </c>
      <c r="E1239" s="4" t="s">
        <v>48</v>
      </c>
      <c r="F1239" s="4">
        <v>37900000</v>
      </c>
      <c r="G1239" s="8" t="str">
        <f>+VLOOKUP(Tabla14[[#This Row],[FONDO]],MAESTRO!$D$2:$E$119,2,FALSE)</f>
        <v>Banco Macro S.A.</v>
      </c>
      <c r="H1239" s="8" t="str">
        <f>+VLOOKUP(Tabla14[[#This Row],[FONDO]],MAESTRO!D:F,3,FALSE)</f>
        <v>(T+0)</v>
      </c>
      <c r="I1239" s="4" t="s">
        <v>9</v>
      </c>
      <c r="L12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39" s="4">
        <f>ROUND(IF(Tabla14[[#This Row],[OPERACIÓN]]=MAESTRO!$B$2,Tabla14[CAPITAL],IF(Tabla14[[#This Row],[OPERACIÓN]]=MAESTRO!$B$5,Tabla14[CAPITAL],-Tabla14[[#This Row],[CAPITAL]])),2)</f>
        <v>37900000</v>
      </c>
    </row>
    <row r="1240" spans="1:13" x14ac:dyDescent="0.3">
      <c r="A1240" s="26">
        <v>46231</v>
      </c>
      <c r="B1240" t="s">
        <v>298</v>
      </c>
      <c r="C1240" t="s">
        <v>132</v>
      </c>
      <c r="D1240" s="27" t="s">
        <v>16</v>
      </c>
      <c r="E1240" s="4" t="s">
        <v>170</v>
      </c>
      <c r="F1240" s="4">
        <v>2012000000</v>
      </c>
      <c r="G1240" s="8" t="str">
        <f>+VLOOKUP(Tabla14[[#This Row],[FONDO]],MAESTRO!$D$2:$E$119,2,FALSE)</f>
        <v>Banco Santander Rio S.A.</v>
      </c>
      <c r="H1240" s="8" t="str">
        <f>+VLOOKUP(Tabla14[[#This Row],[FONDO]],MAESTRO!D:F,3,FALSE)</f>
        <v>(T+0)</v>
      </c>
      <c r="I1240" s="4" t="s">
        <v>9</v>
      </c>
      <c r="L12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0" s="4">
        <f>ROUND(IF(Tabla14[[#This Row],[OPERACIÓN]]=MAESTRO!$B$2,Tabla14[CAPITAL],IF(Tabla14[[#This Row],[OPERACIÓN]]=MAESTRO!$B$5,Tabla14[CAPITAL],-Tabla14[[#This Row],[CAPITAL]])),2)</f>
        <v>2012000000</v>
      </c>
    </row>
    <row r="1241" spans="1:13" x14ac:dyDescent="0.3">
      <c r="A1241" s="26">
        <v>46232</v>
      </c>
      <c r="B1241" t="s">
        <v>298</v>
      </c>
      <c r="C1241" t="s">
        <v>132</v>
      </c>
      <c r="D1241" s="27" t="s">
        <v>17</v>
      </c>
      <c r="E1241" s="4" t="s">
        <v>48</v>
      </c>
      <c r="F1241" s="4">
        <v>597600000</v>
      </c>
      <c r="G1241" s="8" t="str">
        <f>+VLOOKUP(Tabla14[[#This Row],[FONDO]],MAESTRO!$D$2:$E$119,2,FALSE)</f>
        <v>Banco Macro S.A.</v>
      </c>
      <c r="H1241" s="8" t="str">
        <f>+VLOOKUP(Tabla14[[#This Row],[FONDO]],MAESTRO!D:F,3,FALSE)</f>
        <v>(T+0)</v>
      </c>
      <c r="I1241" s="4" t="s">
        <v>9</v>
      </c>
      <c r="L12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1" s="4">
        <f>ROUND(IF(Tabla14[[#This Row],[OPERACIÓN]]=MAESTRO!$B$2,Tabla14[CAPITAL],IF(Tabla14[[#This Row],[OPERACIÓN]]=MAESTRO!$B$5,Tabla14[CAPITAL],-Tabla14[[#This Row],[CAPITAL]])),2)</f>
        <v>-597600000</v>
      </c>
    </row>
    <row r="1242" spans="1:13" x14ac:dyDescent="0.3">
      <c r="A1242" s="26">
        <v>46232</v>
      </c>
      <c r="B1242" t="s">
        <v>299</v>
      </c>
      <c r="C1242" t="s">
        <v>132</v>
      </c>
      <c r="D1242" s="27" t="s">
        <v>16</v>
      </c>
      <c r="E1242" s="4" t="s">
        <v>48</v>
      </c>
      <c r="F1242" s="4">
        <v>114500000</v>
      </c>
      <c r="G1242" s="8" t="str">
        <f>+VLOOKUP(Tabla14[[#This Row],[FONDO]],MAESTRO!$D$2:$E$119,2,FALSE)</f>
        <v>Banco Macro S.A.</v>
      </c>
      <c r="H1242" s="8" t="str">
        <f>+VLOOKUP(Tabla14[[#This Row],[FONDO]],MAESTRO!D:F,3,FALSE)</f>
        <v>(T+0)</v>
      </c>
      <c r="I1242" s="4" t="s">
        <v>9</v>
      </c>
      <c r="L12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2" s="4">
        <f>ROUND(IF(Tabla14[[#This Row],[OPERACIÓN]]=MAESTRO!$B$2,Tabla14[CAPITAL],IF(Tabla14[[#This Row],[OPERACIÓN]]=MAESTRO!$B$5,Tabla14[CAPITAL],-Tabla14[[#This Row],[CAPITAL]])),2)</f>
        <v>114500000</v>
      </c>
    </row>
    <row r="1243" spans="1:13" x14ac:dyDescent="0.3">
      <c r="A1243" s="26">
        <v>46232</v>
      </c>
      <c r="B1243" t="s">
        <v>298</v>
      </c>
      <c r="C1243" t="s">
        <v>132</v>
      </c>
      <c r="D1243" s="27" t="s">
        <v>17</v>
      </c>
      <c r="E1243" s="4" t="s">
        <v>40</v>
      </c>
      <c r="F1243" s="4">
        <v>1000000000</v>
      </c>
      <c r="G1243" s="8" t="str">
        <f>+VLOOKUP(Tabla14[[#This Row],[FONDO]],MAESTRO!$D$2:$E$119,2,FALSE)</f>
        <v>BBVA Banco Frances SA</v>
      </c>
      <c r="H1243" s="8" t="str">
        <f>+VLOOKUP(Tabla14[[#This Row],[FONDO]],MAESTRO!D:F,3,FALSE)</f>
        <v>(T+0)</v>
      </c>
      <c r="I1243" s="4" t="s">
        <v>9</v>
      </c>
      <c r="L12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3" s="4">
        <f>ROUND(IF(Tabla14[[#This Row],[OPERACIÓN]]=MAESTRO!$B$2,Tabla14[CAPITAL],IF(Tabla14[[#This Row],[OPERACIÓN]]=MAESTRO!$B$5,Tabla14[CAPITAL],-Tabla14[[#This Row],[CAPITAL]])),2)</f>
        <v>-1000000000</v>
      </c>
    </row>
    <row r="1244" spans="1:13" x14ac:dyDescent="0.3">
      <c r="A1244" s="26">
        <v>46232</v>
      </c>
      <c r="B1244" t="s">
        <v>298</v>
      </c>
      <c r="C1244" t="s">
        <v>132</v>
      </c>
      <c r="D1244" s="27" t="s">
        <v>16</v>
      </c>
      <c r="E1244" s="4" t="s">
        <v>136</v>
      </c>
      <c r="F1244" s="4">
        <v>1000000000</v>
      </c>
      <c r="G1244" s="8" t="str">
        <f>+VLOOKUP(Tabla14[[#This Row],[FONDO]],MAESTRO!$D$2:$E$119,2,FALSE)</f>
        <v>Gma Capital</v>
      </c>
      <c r="H1244" s="8" t="str">
        <f>+VLOOKUP(Tabla14[[#This Row],[FONDO]],MAESTRO!D:F,3,FALSE)</f>
        <v>(T+0)</v>
      </c>
      <c r="I1244" s="4" t="s">
        <v>9</v>
      </c>
      <c r="L12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4" s="4">
        <f>ROUND(IF(Tabla14[[#This Row],[OPERACIÓN]]=MAESTRO!$B$2,Tabla14[CAPITAL],IF(Tabla14[[#This Row],[OPERACIÓN]]=MAESTRO!$B$5,Tabla14[CAPITAL],-Tabla14[[#This Row],[CAPITAL]])),2)</f>
        <v>1000000000</v>
      </c>
    </row>
    <row r="1245" spans="1:13" x14ac:dyDescent="0.3">
      <c r="A1245" s="26">
        <v>46232</v>
      </c>
      <c r="B1245" t="s">
        <v>292</v>
      </c>
      <c r="C1245" t="s">
        <v>132</v>
      </c>
      <c r="D1245" s="27" t="s">
        <v>17</v>
      </c>
      <c r="E1245" s="4" t="s">
        <v>136</v>
      </c>
      <c r="F1245" s="4">
        <v>61500000</v>
      </c>
      <c r="G1245" s="8" t="str">
        <f>+VLOOKUP(Tabla14[[#This Row],[FONDO]],MAESTRO!$D$2:$E$119,2,FALSE)</f>
        <v>Gma Capital</v>
      </c>
      <c r="H1245" s="8" t="str">
        <f>+VLOOKUP(Tabla14[[#This Row],[FONDO]],MAESTRO!D:F,3,FALSE)</f>
        <v>(T+0)</v>
      </c>
      <c r="I1245" s="4" t="s">
        <v>9</v>
      </c>
      <c r="L12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5" s="4">
        <f>ROUND(IF(Tabla14[[#This Row],[OPERACIÓN]]=MAESTRO!$B$2,Tabla14[CAPITAL],IF(Tabla14[[#This Row],[OPERACIÓN]]=MAESTRO!$B$5,Tabla14[CAPITAL],-Tabla14[[#This Row],[CAPITAL]])),2)</f>
        <v>-61500000</v>
      </c>
    </row>
    <row r="1246" spans="1:13" x14ac:dyDescent="0.3">
      <c r="A1246" s="26">
        <v>46233</v>
      </c>
      <c r="B1246" t="s">
        <v>298</v>
      </c>
      <c r="C1246" t="s">
        <v>132</v>
      </c>
      <c r="D1246" s="27" t="s">
        <v>17</v>
      </c>
      <c r="E1246" s="4" t="s">
        <v>136</v>
      </c>
      <c r="F1246" s="4">
        <v>590941913.20000005</v>
      </c>
      <c r="G1246" s="118" t="str">
        <f>+VLOOKUP(Tabla14[[#This Row],[FONDO]],MAESTRO!$D$2:$E$119,2,FALSE)</f>
        <v>Gma Capital</v>
      </c>
      <c r="H1246" s="8" t="str">
        <f>+VLOOKUP(Tabla14[[#This Row],[FONDO]],MAESTRO!D:F,3,FALSE)</f>
        <v>(T+0)</v>
      </c>
      <c r="I1246" s="4" t="s">
        <v>9</v>
      </c>
      <c r="L12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6" s="4">
        <f>ROUND(IF(Tabla14[[#This Row],[OPERACIÓN]]=MAESTRO!$B$2,Tabla14[CAPITAL],IF(Tabla14[[#This Row],[OPERACIÓN]]=MAESTRO!$B$5,Tabla14[CAPITAL],-Tabla14[[#This Row],[CAPITAL]])),2)</f>
        <v>-590941913.20000005</v>
      </c>
    </row>
    <row r="1247" spans="1:13" x14ac:dyDescent="0.3">
      <c r="A1247" s="26">
        <v>46233</v>
      </c>
      <c r="B1247" t="s">
        <v>299</v>
      </c>
      <c r="C1247" t="s">
        <v>132</v>
      </c>
      <c r="D1247" s="27" t="s">
        <v>16</v>
      </c>
      <c r="E1247" s="39" t="s">
        <v>169</v>
      </c>
      <c r="F1247" s="39">
        <v>46957493.82</v>
      </c>
      <c r="G1247" s="118" t="str">
        <f>+VLOOKUP(Tabla14[[#This Row],[FONDO]],MAESTRO!$D$2:$E$119,2,FALSE)</f>
        <v>Max Capital</v>
      </c>
      <c r="H1247" s="8" t="str">
        <f>+VLOOKUP(Tabla14[[#This Row],[FONDO]],MAESTRO!D:F,3,FALSE)</f>
        <v>(T+0)</v>
      </c>
      <c r="I1247" s="4" t="s">
        <v>9</v>
      </c>
      <c r="L12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7" s="4">
        <f>ROUND(IF(Tabla14[[#This Row],[OPERACIÓN]]=MAESTRO!$B$2,Tabla14[CAPITAL],IF(Tabla14[[#This Row],[OPERACIÓN]]=MAESTRO!$B$5,Tabla14[CAPITAL],-Tabla14[[#This Row],[CAPITAL]])),2)</f>
        <v>46957493.82</v>
      </c>
    </row>
    <row r="1248" spans="1:13" x14ac:dyDescent="0.3">
      <c r="A1248" s="26">
        <v>46233</v>
      </c>
      <c r="B1248" t="s">
        <v>292</v>
      </c>
      <c r="C1248" t="s">
        <v>132</v>
      </c>
      <c r="D1248" s="27" t="s">
        <v>17</v>
      </c>
      <c r="E1248" s="4" t="s">
        <v>170</v>
      </c>
      <c r="F1248" s="4">
        <v>104100000</v>
      </c>
      <c r="G1248" s="8" t="str">
        <f>+VLOOKUP(Tabla14[[#This Row],[FONDO]],MAESTRO!$D$2:$E$119,2,FALSE)</f>
        <v>Banco Santander Rio S.A.</v>
      </c>
      <c r="H1248" s="8" t="str">
        <f>+VLOOKUP(Tabla14[[#This Row],[FONDO]],MAESTRO!D:F,3,FALSE)</f>
        <v>(T+0)</v>
      </c>
      <c r="I1248" s="4" t="s">
        <v>9</v>
      </c>
      <c r="L12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8" s="4">
        <f>ROUND(IF(Tabla14[[#This Row],[OPERACIÓN]]=MAESTRO!$B$2,Tabla14[CAPITAL],IF(Tabla14[[#This Row],[OPERACIÓN]]=MAESTRO!$B$5,Tabla14[CAPITAL],-Tabla14[[#This Row],[CAPITAL]])),2)</f>
        <v>-104100000</v>
      </c>
    </row>
    <row r="1249" spans="1:13" x14ac:dyDescent="0.3">
      <c r="A1249" s="26">
        <v>46233</v>
      </c>
      <c r="B1249" t="s">
        <v>298</v>
      </c>
      <c r="C1249" t="s">
        <v>132</v>
      </c>
      <c r="D1249" s="27" t="s">
        <v>17</v>
      </c>
      <c r="E1249" s="4" t="s">
        <v>170</v>
      </c>
      <c r="F1249" s="4">
        <v>1500000000</v>
      </c>
      <c r="G1249" s="8" t="str">
        <f>+VLOOKUP(Tabla14[[#This Row],[FONDO]],MAESTRO!$D$2:$E$119,2,FALSE)</f>
        <v>Banco Santander Rio S.A.</v>
      </c>
      <c r="H1249" s="8" t="str">
        <f>+VLOOKUP(Tabla14[[#This Row],[FONDO]],MAESTRO!D:F,3,FALSE)</f>
        <v>(T+0)</v>
      </c>
      <c r="I1249" s="4" t="s">
        <v>9</v>
      </c>
      <c r="L12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49" s="4">
        <f>ROUND(IF(Tabla14[[#This Row],[OPERACIÓN]]=MAESTRO!$B$2,Tabla14[CAPITAL],IF(Tabla14[[#This Row],[OPERACIÓN]]=MAESTRO!$B$5,Tabla14[CAPITAL],-Tabla14[[#This Row],[CAPITAL]])),2)</f>
        <v>-1500000000</v>
      </c>
    </row>
    <row r="1250" spans="1:13" x14ac:dyDescent="0.3">
      <c r="A1250" s="26">
        <v>46233</v>
      </c>
      <c r="B1250" t="s">
        <v>298</v>
      </c>
      <c r="C1250" t="s">
        <v>132</v>
      </c>
      <c r="D1250" s="27" t="s">
        <v>17</v>
      </c>
      <c r="E1250" s="4" t="s">
        <v>170</v>
      </c>
      <c r="F1250" s="4">
        <v>66067062.600000001</v>
      </c>
      <c r="G1250" s="8" t="str">
        <f>+VLOOKUP(Tabla14[[#This Row],[FONDO]],MAESTRO!$D$2:$E$119,2,FALSE)</f>
        <v>Banco Santander Rio S.A.</v>
      </c>
      <c r="H1250" s="8" t="str">
        <f>+VLOOKUP(Tabla14[[#This Row],[FONDO]],MAESTRO!D:F,3,FALSE)</f>
        <v>(T+0)</v>
      </c>
      <c r="I1250" s="4" t="s">
        <v>9</v>
      </c>
      <c r="L12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0" s="4">
        <f>ROUND(IF(Tabla14[[#This Row],[OPERACIÓN]]=MAESTRO!$B$2,Tabla14[CAPITAL],IF(Tabla14[[#This Row],[OPERACIÓN]]=MAESTRO!$B$5,Tabla14[CAPITAL],-Tabla14[[#This Row],[CAPITAL]])),2)</f>
        <v>-66067062.600000001</v>
      </c>
    </row>
    <row r="1251" spans="1:13" x14ac:dyDescent="0.3">
      <c r="A1251" s="26">
        <v>46233</v>
      </c>
      <c r="B1251" t="s">
        <v>292</v>
      </c>
      <c r="C1251" t="s">
        <v>132</v>
      </c>
      <c r="D1251" s="27" t="s">
        <v>16</v>
      </c>
      <c r="E1251" s="4" t="s">
        <v>170</v>
      </c>
      <c r="F1251" s="4">
        <v>70000000</v>
      </c>
      <c r="G1251" s="8" t="str">
        <f>+VLOOKUP(Tabla14[[#This Row],[FONDO]],MAESTRO!$D$2:$E$119,2,FALSE)</f>
        <v>Banco Santander Rio S.A.</v>
      </c>
      <c r="H1251" s="8" t="str">
        <f>+VLOOKUP(Tabla14[[#This Row],[FONDO]],MAESTRO!D:F,3,FALSE)</f>
        <v>(T+0)</v>
      </c>
      <c r="I1251" s="4" t="s">
        <v>9</v>
      </c>
      <c r="L12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1" s="4">
        <f>ROUND(IF(Tabla14[[#This Row],[OPERACIÓN]]=MAESTRO!$B$2,Tabla14[CAPITAL],IF(Tabla14[[#This Row],[OPERACIÓN]]=MAESTRO!$B$5,Tabla14[CAPITAL],-Tabla14[[#This Row],[CAPITAL]])),2)</f>
        <v>70000000</v>
      </c>
    </row>
    <row r="1252" spans="1:13" s="20" customFormat="1" x14ac:dyDescent="0.3">
      <c r="A1252" s="37">
        <v>46233</v>
      </c>
      <c r="B1252" s="20" t="s">
        <v>299</v>
      </c>
      <c r="C1252" s="20" t="s">
        <v>132</v>
      </c>
      <c r="D1252" s="38" t="s">
        <v>16</v>
      </c>
      <c r="E1252" s="39" t="s">
        <v>136</v>
      </c>
      <c r="F1252" s="39">
        <v>6730000</v>
      </c>
      <c r="G1252" s="40" t="str">
        <f>+VLOOKUP(Tabla14[[#This Row],[FONDO]],MAESTRO!$D$2:$E$119,2,FALSE)</f>
        <v>Gma Capital</v>
      </c>
      <c r="H1252" s="40" t="str">
        <f>+VLOOKUP(Tabla14[[#This Row],[FONDO]],MAESTRO!D:F,3,FALSE)</f>
        <v>(T+0)</v>
      </c>
      <c r="I1252" s="39" t="s">
        <v>9</v>
      </c>
      <c r="J1252" s="49"/>
      <c r="L125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2" s="39">
        <f>ROUND(IF(Tabla14[[#This Row],[OPERACIÓN]]=MAESTRO!$B$2,Tabla14[CAPITAL],IF(Tabla14[[#This Row],[OPERACIÓN]]=MAESTRO!$B$5,Tabla14[CAPITAL],-Tabla14[[#This Row],[CAPITAL]])),2)</f>
        <v>6730000</v>
      </c>
    </row>
    <row r="1253" spans="1:13" s="20" customFormat="1" x14ac:dyDescent="0.3">
      <c r="A1253" s="37">
        <v>46233</v>
      </c>
      <c r="B1253" s="20" t="s">
        <v>299</v>
      </c>
      <c r="C1253" s="20" t="s">
        <v>132</v>
      </c>
      <c r="D1253" s="38" t="s">
        <v>16</v>
      </c>
      <c r="E1253" s="39" t="s">
        <v>204</v>
      </c>
      <c r="F1253" s="39">
        <v>9370000</v>
      </c>
      <c r="G1253" s="40" t="str">
        <f>+VLOOKUP(Tabla14[[#This Row],[FONDO]],MAESTRO!$D$2:$E$119,2,FALSE)</f>
        <v>Latin Securities</v>
      </c>
      <c r="H1253" s="40" t="str">
        <f>+VLOOKUP(Tabla14[[#This Row],[FONDO]],MAESTRO!D:F,3,FALSE)</f>
        <v>(T+0)</v>
      </c>
      <c r="I1253" s="39" t="s">
        <v>9</v>
      </c>
      <c r="J1253" s="49"/>
      <c r="L125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3" s="39">
        <f>ROUND(IF(Tabla14[[#This Row],[OPERACIÓN]]=MAESTRO!$B$2,Tabla14[CAPITAL],IF(Tabla14[[#This Row],[OPERACIÓN]]=MAESTRO!$B$5,Tabla14[CAPITAL],-Tabla14[[#This Row],[CAPITAL]])),2)</f>
        <v>9370000</v>
      </c>
    </row>
    <row r="1254" spans="1:13" s="20" customFormat="1" x14ac:dyDescent="0.3">
      <c r="A1254" s="37">
        <v>46233</v>
      </c>
      <c r="B1254" s="20" t="s">
        <v>292</v>
      </c>
      <c r="C1254" s="20" t="s">
        <v>132</v>
      </c>
      <c r="D1254" s="38" t="s">
        <v>16</v>
      </c>
      <c r="E1254" s="39" t="s">
        <v>136</v>
      </c>
      <c r="F1254" s="39">
        <v>4870000</v>
      </c>
      <c r="G1254" s="40" t="str">
        <f>+VLOOKUP(Tabla14[[#This Row],[FONDO]],MAESTRO!$D$2:$E$119,2,FALSE)</f>
        <v>Gma Capital</v>
      </c>
      <c r="H1254" s="40" t="str">
        <f>+VLOOKUP(Tabla14[[#This Row],[FONDO]],MAESTRO!D:F,3,FALSE)</f>
        <v>(T+0)</v>
      </c>
      <c r="I1254" s="39" t="s">
        <v>9</v>
      </c>
      <c r="J1254" s="49"/>
      <c r="L125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4" s="39">
        <f>ROUND(IF(Tabla14[[#This Row],[OPERACIÓN]]=MAESTRO!$B$2,Tabla14[CAPITAL],IF(Tabla14[[#This Row],[OPERACIÓN]]=MAESTRO!$B$5,Tabla14[CAPITAL],-Tabla14[[#This Row],[CAPITAL]])),2)</f>
        <v>4870000</v>
      </c>
    </row>
    <row r="1255" spans="1:13" s="20" customFormat="1" x14ac:dyDescent="0.3">
      <c r="A1255" s="37">
        <v>46233</v>
      </c>
      <c r="B1255" s="20" t="s">
        <v>126</v>
      </c>
      <c r="C1255" s="20" t="s">
        <v>132</v>
      </c>
      <c r="D1255" s="38" t="s">
        <v>16</v>
      </c>
      <c r="E1255" s="39" t="s">
        <v>48</v>
      </c>
      <c r="F1255" s="39">
        <v>2240000</v>
      </c>
      <c r="G1255" s="40" t="str">
        <f>+VLOOKUP(Tabla14[[#This Row],[FONDO]],MAESTRO!$D$2:$E$119,2,FALSE)</f>
        <v>Banco Macro S.A.</v>
      </c>
      <c r="H1255" s="40" t="str">
        <f>+VLOOKUP(Tabla14[[#This Row],[FONDO]],MAESTRO!D:F,3,FALSE)</f>
        <v>(T+0)</v>
      </c>
      <c r="I1255" s="39" t="s">
        <v>9</v>
      </c>
      <c r="J1255" s="49"/>
      <c r="L125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5" s="39">
        <f>ROUND(IF(Tabla14[[#This Row],[OPERACIÓN]]=MAESTRO!$B$2,Tabla14[CAPITAL],IF(Tabla14[[#This Row],[OPERACIÓN]]=MAESTRO!$B$5,Tabla14[CAPITAL],-Tabla14[[#This Row],[CAPITAL]])),2)</f>
        <v>2240000</v>
      </c>
    </row>
    <row r="1256" spans="1:13" x14ac:dyDescent="0.3">
      <c r="A1256" s="26">
        <v>46233</v>
      </c>
      <c r="B1256" t="s">
        <v>126</v>
      </c>
      <c r="C1256" t="s">
        <v>132</v>
      </c>
      <c r="D1256" s="27" t="s">
        <v>17</v>
      </c>
      <c r="E1256" s="4" t="s">
        <v>48</v>
      </c>
      <c r="F1256" s="4">
        <v>300000</v>
      </c>
      <c r="G1256" s="8" t="str">
        <f>+VLOOKUP(Tabla14[[#This Row],[FONDO]],MAESTRO!$D$2:$E$119,2,FALSE)</f>
        <v>Banco Macro S.A.</v>
      </c>
      <c r="H1256" s="8" t="str">
        <f>+VLOOKUP(Tabla14[[#This Row],[FONDO]],MAESTRO!D:F,3,FALSE)</f>
        <v>(T+0)</v>
      </c>
      <c r="I1256" s="4" t="s">
        <v>9</v>
      </c>
      <c r="L12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6" s="4">
        <f>ROUND(IF(Tabla14[[#This Row],[OPERACIÓN]]=MAESTRO!$B$2,Tabla14[CAPITAL],IF(Tabla14[[#This Row],[OPERACIÓN]]=MAESTRO!$B$5,Tabla14[CAPITAL],-Tabla14[[#This Row],[CAPITAL]])),2)</f>
        <v>-300000</v>
      </c>
    </row>
    <row r="1257" spans="1:13" x14ac:dyDescent="0.3">
      <c r="A1257" s="26">
        <v>46233</v>
      </c>
      <c r="B1257" t="s">
        <v>299</v>
      </c>
      <c r="C1257" t="s">
        <v>132</v>
      </c>
      <c r="D1257" s="27" t="s">
        <v>17</v>
      </c>
      <c r="E1257" s="4" t="s">
        <v>48</v>
      </c>
      <c r="F1257" s="4">
        <v>9900000</v>
      </c>
      <c r="G1257" s="8" t="str">
        <f>+VLOOKUP(Tabla14[[#This Row],[FONDO]],MAESTRO!$D$2:$E$119,2,FALSE)</f>
        <v>Banco Macro S.A.</v>
      </c>
      <c r="H1257" s="8" t="str">
        <f>+VLOOKUP(Tabla14[[#This Row],[FONDO]],MAESTRO!D:F,3,FALSE)</f>
        <v>(T+0)</v>
      </c>
      <c r="I1257" s="4" t="s">
        <v>9</v>
      </c>
      <c r="L12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7" s="4">
        <f>ROUND(IF(Tabla14[[#This Row],[OPERACIÓN]]=MAESTRO!$B$2,Tabla14[CAPITAL],IF(Tabla14[[#This Row],[OPERACIÓN]]=MAESTRO!$B$5,Tabla14[CAPITAL],-Tabla14[[#This Row],[CAPITAL]])),2)</f>
        <v>-9900000</v>
      </c>
    </row>
    <row r="1258" spans="1:13" x14ac:dyDescent="0.3">
      <c r="A1258" s="26">
        <v>46233</v>
      </c>
      <c r="B1258" t="s">
        <v>298</v>
      </c>
      <c r="C1258" t="s">
        <v>132</v>
      </c>
      <c r="D1258" s="27" t="s">
        <v>17</v>
      </c>
      <c r="E1258" s="4" t="s">
        <v>48</v>
      </c>
      <c r="F1258" s="4">
        <v>86400000</v>
      </c>
      <c r="G1258" s="8" t="str">
        <f>+VLOOKUP(Tabla14[[#This Row],[FONDO]],MAESTRO!$D$2:$E$119,2,FALSE)</f>
        <v>Banco Macro S.A.</v>
      </c>
      <c r="H1258" s="8" t="str">
        <f>+VLOOKUP(Tabla14[[#This Row],[FONDO]],MAESTRO!D:F,3,FALSE)</f>
        <v>(T+0)</v>
      </c>
      <c r="I1258" s="4" t="s">
        <v>9</v>
      </c>
      <c r="L125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8" s="4">
        <f>ROUND(IF(Tabla14[[#This Row],[OPERACIÓN]]=MAESTRO!$B$2,Tabla14[CAPITAL],IF(Tabla14[[#This Row],[OPERACIÓN]]=MAESTRO!$B$5,Tabla14[CAPITAL],-Tabla14[[#This Row],[CAPITAL]])),2)</f>
        <v>-86400000</v>
      </c>
    </row>
    <row r="1259" spans="1:13" s="20" customFormat="1" x14ac:dyDescent="0.3">
      <c r="A1259" s="37">
        <v>46233</v>
      </c>
      <c r="B1259" s="20" t="s">
        <v>298</v>
      </c>
      <c r="C1259" s="20" t="s">
        <v>132</v>
      </c>
      <c r="D1259" s="38" t="s">
        <v>16</v>
      </c>
      <c r="E1259" s="39" t="s">
        <v>48</v>
      </c>
      <c r="F1259" s="39">
        <v>22320000</v>
      </c>
      <c r="G1259" s="40" t="str">
        <f>+VLOOKUP(Tabla14[[#This Row],[FONDO]],MAESTRO!$D$2:$E$119,2,FALSE)</f>
        <v>Banco Macro S.A.</v>
      </c>
      <c r="H1259" s="40" t="str">
        <f>+VLOOKUP(Tabla14[[#This Row],[FONDO]],MAESTRO!D:F,3,FALSE)</f>
        <v>(T+0)</v>
      </c>
      <c r="I1259" s="39" t="s">
        <v>9</v>
      </c>
      <c r="J1259" s="49"/>
      <c r="L125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59" s="39">
        <f>ROUND(IF(Tabla14[[#This Row],[OPERACIÓN]]=MAESTRO!$B$2,Tabla14[CAPITAL],IF(Tabla14[[#This Row],[OPERACIÓN]]=MAESTRO!$B$5,Tabla14[CAPITAL],-Tabla14[[#This Row],[CAPITAL]])),2)</f>
        <v>22320000</v>
      </c>
    </row>
    <row r="1260" spans="1:13" s="20" customFormat="1" x14ac:dyDescent="0.3">
      <c r="A1260" s="37">
        <v>46233</v>
      </c>
      <c r="B1260" s="20" t="s">
        <v>298</v>
      </c>
      <c r="C1260" s="20" t="s">
        <v>132</v>
      </c>
      <c r="D1260" s="38" t="s">
        <v>17</v>
      </c>
      <c r="E1260" s="39" t="s">
        <v>136</v>
      </c>
      <c r="F1260" s="39">
        <v>3490000</v>
      </c>
      <c r="G1260" s="40" t="str">
        <f>+VLOOKUP(Tabla14[[#This Row],[FONDO]],MAESTRO!$D$2:$E$119,2,FALSE)</f>
        <v>Gma Capital</v>
      </c>
      <c r="H1260" s="40" t="str">
        <f>+VLOOKUP(Tabla14[[#This Row],[FONDO]],MAESTRO!D:F,3,FALSE)</f>
        <v>(T+0)</v>
      </c>
      <c r="I1260" s="39" t="s">
        <v>9</v>
      </c>
      <c r="J1260" s="49"/>
      <c r="L126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0" s="39">
        <f>ROUND(IF(Tabla14[[#This Row],[OPERACIÓN]]=MAESTRO!$B$2,Tabla14[CAPITAL],IF(Tabla14[[#This Row],[OPERACIÓN]]=MAESTRO!$B$5,Tabla14[CAPITAL],-Tabla14[[#This Row],[CAPITAL]])),2)</f>
        <v>-3490000</v>
      </c>
    </row>
    <row r="1261" spans="1:13" s="20" customFormat="1" x14ac:dyDescent="0.3">
      <c r="A1261" s="37">
        <v>46233</v>
      </c>
      <c r="B1261" s="20" t="s">
        <v>298</v>
      </c>
      <c r="C1261" s="20" t="s">
        <v>132</v>
      </c>
      <c r="D1261" s="38" t="s">
        <v>16</v>
      </c>
      <c r="E1261" s="39" t="s">
        <v>169</v>
      </c>
      <c r="F1261" s="39">
        <v>1640000</v>
      </c>
      <c r="G1261" s="40" t="str">
        <f>+VLOOKUP(Tabla14[[#This Row],[FONDO]],MAESTRO!$D$2:$E$119,2,FALSE)</f>
        <v>Max Capital</v>
      </c>
      <c r="H1261" s="40" t="str">
        <f>+VLOOKUP(Tabla14[[#This Row],[FONDO]],MAESTRO!D:F,3,FALSE)</f>
        <v>(T+0)</v>
      </c>
      <c r="I1261" s="39" t="s">
        <v>9</v>
      </c>
      <c r="J1261" s="49"/>
      <c r="L126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1" s="39">
        <f>ROUND(IF(Tabla14[[#This Row],[OPERACIÓN]]=MAESTRO!$B$2,Tabla14[CAPITAL],IF(Tabla14[[#This Row],[OPERACIÓN]]=MAESTRO!$B$5,Tabla14[CAPITAL],-Tabla14[[#This Row],[CAPITAL]])),2)</f>
        <v>1640000</v>
      </c>
    </row>
    <row r="1262" spans="1:13" s="20" customFormat="1" x14ac:dyDescent="0.3">
      <c r="A1262" s="37">
        <v>46233</v>
      </c>
      <c r="B1262" s="20" t="s">
        <v>298</v>
      </c>
      <c r="C1262" s="20" t="s">
        <v>132</v>
      </c>
      <c r="D1262" s="38" t="s">
        <v>16</v>
      </c>
      <c r="E1262" s="39" t="s">
        <v>180</v>
      </c>
      <c r="F1262" s="39">
        <v>4960000</v>
      </c>
      <c r="G1262" s="40" t="str">
        <f>+VLOOKUP(Tabla14[[#This Row],[FONDO]],MAESTRO!$D$2:$E$119,2,FALSE)</f>
        <v>PP Inversiones</v>
      </c>
      <c r="H1262" s="40" t="str">
        <f>+VLOOKUP(Tabla14[[#This Row],[FONDO]],MAESTRO!D:F,3,FALSE)</f>
        <v>(T+0)</v>
      </c>
      <c r="I1262" s="39" t="s">
        <v>9</v>
      </c>
      <c r="J1262" s="49"/>
      <c r="L126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2" s="39">
        <f>ROUND(IF(Tabla14[[#This Row],[OPERACIÓN]]=MAESTRO!$B$2,Tabla14[CAPITAL],IF(Tabla14[[#This Row],[OPERACIÓN]]=MAESTRO!$B$5,Tabla14[CAPITAL],-Tabla14[[#This Row],[CAPITAL]])),2)</f>
        <v>4960000</v>
      </c>
    </row>
    <row r="1263" spans="1:13" s="20" customFormat="1" x14ac:dyDescent="0.3">
      <c r="A1263" s="37">
        <v>46233</v>
      </c>
      <c r="B1263" s="20" t="s">
        <v>298</v>
      </c>
      <c r="C1263" s="20" t="s">
        <v>132</v>
      </c>
      <c r="D1263" s="38" t="s">
        <v>16</v>
      </c>
      <c r="E1263" s="39" t="s">
        <v>204</v>
      </c>
      <c r="F1263" s="39">
        <v>18400000</v>
      </c>
      <c r="G1263" s="40" t="str">
        <f>+VLOOKUP(Tabla14[[#This Row],[FONDO]],MAESTRO!$D$2:$E$119,2,FALSE)</f>
        <v>Latin Securities</v>
      </c>
      <c r="H1263" s="40" t="str">
        <f>+VLOOKUP(Tabla14[[#This Row],[FONDO]],MAESTRO!D:F,3,FALSE)</f>
        <v>(T+0)</v>
      </c>
      <c r="I1263" s="39" t="s">
        <v>9</v>
      </c>
      <c r="J1263" s="49"/>
      <c r="L126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3" s="39">
        <f>ROUND(IF(Tabla14[[#This Row],[OPERACIÓN]]=MAESTRO!$B$2,Tabla14[CAPITAL],IF(Tabla14[[#This Row],[OPERACIÓN]]=MAESTRO!$B$5,Tabla14[CAPITAL],-Tabla14[[#This Row],[CAPITAL]])),2)</f>
        <v>18400000</v>
      </c>
    </row>
    <row r="1264" spans="1:13" s="20" customFormat="1" x14ac:dyDescent="0.3">
      <c r="A1264" s="37">
        <v>46233</v>
      </c>
      <c r="B1264" s="20" t="s">
        <v>298</v>
      </c>
      <c r="C1264" s="20" t="s">
        <v>132</v>
      </c>
      <c r="D1264" s="38" t="s">
        <v>16</v>
      </c>
      <c r="E1264" s="39" t="s">
        <v>208</v>
      </c>
      <c r="F1264" s="39">
        <v>13110000</v>
      </c>
      <c r="G1264" s="40" t="str">
        <f>+VLOOKUP(Tabla14[[#This Row],[FONDO]],MAESTRO!$D$2:$E$119,2,FALSE)</f>
        <v>Facimex</v>
      </c>
      <c r="H1264" s="40" t="str">
        <f>+VLOOKUP(Tabla14[[#This Row],[FONDO]],MAESTRO!D:F,3,FALSE)</f>
        <v>(T+0)</v>
      </c>
      <c r="I1264" s="39" t="s">
        <v>9</v>
      </c>
      <c r="J1264" s="49"/>
      <c r="L126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4" s="39">
        <f>ROUND(IF(Tabla14[[#This Row],[OPERACIÓN]]=MAESTRO!$B$2,Tabla14[CAPITAL],IF(Tabla14[[#This Row],[OPERACIÓN]]=MAESTRO!$B$5,Tabla14[CAPITAL],-Tabla14[[#This Row],[CAPITAL]])),2)</f>
        <v>13110000</v>
      </c>
    </row>
    <row r="1265" spans="1:13" s="20" customFormat="1" x14ac:dyDescent="0.3">
      <c r="A1265" s="37">
        <v>46233</v>
      </c>
      <c r="B1265" s="20" t="s">
        <v>298</v>
      </c>
      <c r="C1265" s="20" t="s">
        <v>132</v>
      </c>
      <c r="D1265" s="38" t="s">
        <v>16</v>
      </c>
      <c r="E1265" s="39" t="s">
        <v>40</v>
      </c>
      <c r="F1265" s="39">
        <v>21105000</v>
      </c>
      <c r="G1265" s="40" t="str">
        <f>+VLOOKUP(Tabla14[[#This Row],[FONDO]],MAESTRO!$D$2:$E$119,2,FALSE)</f>
        <v>BBVA Banco Frances SA</v>
      </c>
      <c r="H1265" s="40" t="str">
        <f>+VLOOKUP(Tabla14[[#This Row],[FONDO]],MAESTRO!D:F,3,FALSE)</f>
        <v>(T+0)</v>
      </c>
      <c r="I1265" s="39" t="s">
        <v>9</v>
      </c>
      <c r="J1265" s="49"/>
      <c r="L126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5" s="39">
        <f>ROUND(IF(Tabla14[[#This Row],[OPERACIÓN]]=MAESTRO!$B$2,Tabla14[CAPITAL],IF(Tabla14[[#This Row],[OPERACIÓN]]=MAESTRO!$B$5,Tabla14[CAPITAL],-Tabla14[[#This Row],[CAPITAL]])),2)</f>
        <v>21105000</v>
      </c>
    </row>
    <row r="1266" spans="1:13" x14ac:dyDescent="0.3">
      <c r="A1266" s="26">
        <v>46234</v>
      </c>
      <c r="B1266" t="s">
        <v>126</v>
      </c>
      <c r="C1266" t="s">
        <v>132</v>
      </c>
      <c r="D1266" s="27" t="s">
        <v>17</v>
      </c>
      <c r="E1266" s="4" t="s">
        <v>48</v>
      </c>
      <c r="F1266" s="4">
        <v>18000000</v>
      </c>
      <c r="G1266" s="118" t="str">
        <f>+VLOOKUP(Tabla14[[#This Row],[FONDO]],MAESTRO!$D$2:$E$119,2,FALSE)</f>
        <v>Banco Macro S.A.</v>
      </c>
      <c r="H1266" s="8" t="str">
        <f>+VLOOKUP(Tabla14[[#This Row],[FONDO]],MAESTRO!D:F,3,FALSE)</f>
        <v>(T+0)</v>
      </c>
      <c r="I1266" s="4" t="s">
        <v>9</v>
      </c>
      <c r="L12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6" s="4">
        <f>ROUND(IF(Tabla14[[#This Row],[OPERACIÓN]]=MAESTRO!$B$2,Tabla14[CAPITAL],IF(Tabla14[[#This Row],[OPERACIÓN]]=MAESTRO!$B$5,Tabla14[CAPITAL],-Tabla14[[#This Row],[CAPITAL]])),2)</f>
        <v>-18000000</v>
      </c>
    </row>
    <row r="1267" spans="1:13" x14ac:dyDescent="0.3">
      <c r="A1267" s="26">
        <v>46234</v>
      </c>
      <c r="B1267" t="s">
        <v>299</v>
      </c>
      <c r="C1267" t="s">
        <v>132</v>
      </c>
      <c r="D1267" s="27" t="s">
        <v>17</v>
      </c>
      <c r="E1267" s="4" t="s">
        <v>48</v>
      </c>
      <c r="F1267" s="4">
        <v>60500000</v>
      </c>
      <c r="G1267" s="118" t="str">
        <f>+VLOOKUP(Tabla14[[#This Row],[FONDO]],MAESTRO!$D$2:$E$119,2,FALSE)</f>
        <v>Banco Macro S.A.</v>
      </c>
      <c r="H1267" s="8" t="str">
        <f>+VLOOKUP(Tabla14[[#This Row],[FONDO]],MAESTRO!D:F,3,FALSE)</f>
        <v>(T+0)</v>
      </c>
      <c r="I1267" s="4" t="s">
        <v>9</v>
      </c>
      <c r="L12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7" s="4">
        <f>ROUND(IF(Tabla14[[#This Row],[OPERACIÓN]]=MAESTRO!$B$2,Tabla14[CAPITAL],IF(Tabla14[[#This Row],[OPERACIÓN]]=MAESTRO!$B$5,Tabla14[CAPITAL],-Tabla14[[#This Row],[CAPITAL]])),2)</f>
        <v>-60500000</v>
      </c>
    </row>
    <row r="1268" spans="1:13" x14ac:dyDescent="0.3">
      <c r="A1268" s="26">
        <v>46234</v>
      </c>
      <c r="B1268" t="s">
        <v>298</v>
      </c>
      <c r="C1268" t="s">
        <v>132</v>
      </c>
      <c r="D1268" s="27" t="s">
        <v>16</v>
      </c>
      <c r="E1268" s="4" t="s">
        <v>40</v>
      </c>
      <c r="F1268" s="4">
        <v>861800000</v>
      </c>
      <c r="G1268" s="118" t="str">
        <f>+VLOOKUP(Tabla14[[#This Row],[FONDO]],MAESTRO!$D$2:$E$119,2,FALSE)</f>
        <v>BBVA Banco Frances SA</v>
      </c>
      <c r="H1268" s="8" t="str">
        <f>+VLOOKUP(Tabla14[[#This Row],[FONDO]],MAESTRO!D:F,3,FALSE)</f>
        <v>(T+0)</v>
      </c>
      <c r="I1268" s="4" t="s">
        <v>9</v>
      </c>
      <c r="L12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8" s="4">
        <f>ROUND(IF(Tabla14[[#This Row],[OPERACIÓN]]=MAESTRO!$B$2,Tabla14[CAPITAL],IF(Tabla14[[#This Row],[OPERACIÓN]]=MAESTRO!$B$5,Tabla14[CAPITAL],-Tabla14[[#This Row],[CAPITAL]])),2)</f>
        <v>861800000</v>
      </c>
    </row>
    <row r="1269" spans="1:13" x14ac:dyDescent="0.3">
      <c r="A1269" s="26">
        <v>46234</v>
      </c>
      <c r="B1269" t="s">
        <v>292</v>
      </c>
      <c r="C1269" t="s">
        <v>132</v>
      </c>
      <c r="D1269" s="27" t="s">
        <v>17</v>
      </c>
      <c r="E1269" s="4" t="s">
        <v>170</v>
      </c>
      <c r="F1269" s="4">
        <v>56700000</v>
      </c>
      <c r="G1269" s="8" t="str">
        <f>+VLOOKUP(Tabla14[[#This Row],[FONDO]],MAESTRO!$D$2:$E$119,2,FALSE)</f>
        <v>Banco Santander Rio S.A.</v>
      </c>
      <c r="H1269" s="8" t="str">
        <f>+VLOOKUP(Tabla14[[#This Row],[FONDO]],MAESTRO!D:F,3,FALSE)</f>
        <v>(T+0)</v>
      </c>
      <c r="I1269" s="4" t="s">
        <v>9</v>
      </c>
      <c r="L12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69" s="4">
        <f>ROUND(IF(Tabla14[[#This Row],[OPERACIÓN]]=MAESTRO!$B$2,Tabla14[CAPITAL],IF(Tabla14[[#This Row],[OPERACIÓN]]=MAESTRO!$B$5,Tabla14[CAPITAL],-Tabla14[[#This Row],[CAPITAL]])),2)</f>
        <v>-56700000</v>
      </c>
    </row>
    <row r="1270" spans="1:13" x14ac:dyDescent="0.3">
      <c r="A1270" s="26">
        <v>46237</v>
      </c>
      <c r="B1270" t="s">
        <v>292</v>
      </c>
      <c r="C1270" t="s">
        <v>132</v>
      </c>
      <c r="D1270" s="27" t="s">
        <v>17</v>
      </c>
      <c r="E1270" s="4" t="s">
        <v>136</v>
      </c>
      <c r="F1270" s="4">
        <v>300000000</v>
      </c>
      <c r="G1270" s="8" t="str">
        <f>+VLOOKUP(Tabla14[[#This Row],[FONDO]],MAESTRO!$D$2:$E$119,2,FALSE)</f>
        <v>Gma Capital</v>
      </c>
      <c r="H1270" s="8" t="str">
        <f>+VLOOKUP(Tabla14[[#This Row],[FONDO]],MAESTRO!D:F,3,FALSE)</f>
        <v>(T+0)</v>
      </c>
      <c r="I1270" s="4" t="s">
        <v>9</v>
      </c>
      <c r="L12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0" s="4">
        <f>ROUND(IF(Tabla14[[#This Row],[OPERACIÓN]]=MAESTRO!$B$2,Tabla14[CAPITAL],IF(Tabla14[[#This Row],[OPERACIÓN]]=MAESTRO!$B$5,Tabla14[CAPITAL],-Tabla14[[#This Row],[CAPITAL]])),2)</f>
        <v>-300000000</v>
      </c>
    </row>
    <row r="1271" spans="1:13" x14ac:dyDescent="0.3">
      <c r="A1271" s="26">
        <v>46237</v>
      </c>
      <c r="B1271" t="s">
        <v>126</v>
      </c>
      <c r="C1271" t="s">
        <v>132</v>
      </c>
      <c r="D1271" s="27" t="s">
        <v>17</v>
      </c>
      <c r="E1271" s="4" t="s">
        <v>48</v>
      </c>
      <c r="F1271" s="4">
        <v>5300000</v>
      </c>
      <c r="G1271" s="8" t="str">
        <f>+VLOOKUP(Tabla14[[#This Row],[FONDO]],MAESTRO!$D$2:$E$119,2,FALSE)</f>
        <v>Banco Macro S.A.</v>
      </c>
      <c r="H1271" s="8" t="str">
        <f>+VLOOKUP(Tabla14[[#This Row],[FONDO]],MAESTRO!D:F,3,FALSE)</f>
        <v>(T+0)</v>
      </c>
      <c r="I1271" s="4" t="s">
        <v>9</v>
      </c>
      <c r="L12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1" s="4">
        <f>ROUND(IF(Tabla14[[#This Row],[OPERACIÓN]]=MAESTRO!$B$2,Tabla14[CAPITAL],IF(Tabla14[[#This Row],[OPERACIÓN]]=MAESTRO!$B$5,Tabla14[CAPITAL],-Tabla14[[#This Row],[CAPITAL]])),2)</f>
        <v>-5300000</v>
      </c>
    </row>
    <row r="1272" spans="1:13" x14ac:dyDescent="0.3">
      <c r="A1272" s="26">
        <v>46237</v>
      </c>
      <c r="B1272" t="s">
        <v>298</v>
      </c>
      <c r="C1272" t="s">
        <v>132</v>
      </c>
      <c r="D1272" s="27" t="s">
        <v>17</v>
      </c>
      <c r="E1272" s="4" t="s">
        <v>40</v>
      </c>
      <c r="F1272" s="4">
        <v>1572200000</v>
      </c>
      <c r="G1272" s="8" t="str">
        <f>+VLOOKUP(Tabla14[[#This Row],[FONDO]],MAESTRO!$D$2:$E$119,2,FALSE)</f>
        <v>BBVA Banco Frances SA</v>
      </c>
      <c r="H1272" s="8" t="str">
        <f>+VLOOKUP(Tabla14[[#This Row],[FONDO]],MAESTRO!D:F,3,FALSE)</f>
        <v>(T+0)</v>
      </c>
      <c r="I1272" s="4" t="s">
        <v>9</v>
      </c>
      <c r="L12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2" s="4">
        <f>ROUND(IF(Tabla14[[#This Row],[OPERACIÓN]]=MAESTRO!$B$2,Tabla14[CAPITAL],IF(Tabla14[[#This Row],[OPERACIÓN]]=MAESTRO!$B$5,Tabla14[CAPITAL],-Tabla14[[#This Row],[CAPITAL]])),2)</f>
        <v>-1572200000</v>
      </c>
    </row>
    <row r="1273" spans="1:13" x14ac:dyDescent="0.3">
      <c r="A1273" s="26">
        <v>46237</v>
      </c>
      <c r="B1273" t="s">
        <v>299</v>
      </c>
      <c r="C1273" t="s">
        <v>132</v>
      </c>
      <c r="D1273" s="27" t="s">
        <v>16</v>
      </c>
      <c r="E1273" s="4" t="s">
        <v>48</v>
      </c>
      <c r="F1273" s="4">
        <v>99100000</v>
      </c>
      <c r="G1273" s="8" t="str">
        <f>+VLOOKUP(Tabla14[[#This Row],[FONDO]],MAESTRO!$D$2:$E$119,2,FALSE)</f>
        <v>Banco Macro S.A.</v>
      </c>
      <c r="H1273" s="8" t="str">
        <f>+VLOOKUP(Tabla14[[#This Row],[FONDO]],MAESTRO!D:F,3,FALSE)</f>
        <v>(T+0)</v>
      </c>
      <c r="I1273" s="4" t="s">
        <v>9</v>
      </c>
      <c r="L12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3" s="4">
        <f>ROUND(IF(Tabla14[[#This Row],[OPERACIÓN]]=MAESTRO!$B$2,Tabla14[CAPITAL],IF(Tabla14[[#This Row],[OPERACIÓN]]=MAESTRO!$B$5,Tabla14[CAPITAL],-Tabla14[[#This Row],[CAPITAL]])),2)</f>
        <v>99100000</v>
      </c>
    </row>
    <row r="1274" spans="1:13" x14ac:dyDescent="0.3">
      <c r="A1274" s="26">
        <v>46237</v>
      </c>
      <c r="B1274" t="s">
        <v>292</v>
      </c>
      <c r="C1274" t="s">
        <v>132</v>
      </c>
      <c r="D1274" s="27" t="s">
        <v>16</v>
      </c>
      <c r="E1274" s="4" t="s">
        <v>48</v>
      </c>
      <c r="F1274" s="4">
        <v>5900000</v>
      </c>
      <c r="G1274" s="8" t="str">
        <f>+VLOOKUP(Tabla14[[#This Row],[FONDO]],MAESTRO!$D$2:$E$119,2,FALSE)</f>
        <v>Banco Macro S.A.</v>
      </c>
      <c r="H1274" s="8" t="str">
        <f>+VLOOKUP(Tabla14[[#This Row],[FONDO]],MAESTRO!D:F,3,FALSE)</f>
        <v>(T+0)</v>
      </c>
      <c r="I1274" s="4" t="s">
        <v>9</v>
      </c>
      <c r="L12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4" s="4">
        <f>ROUND(IF(Tabla14[[#This Row],[OPERACIÓN]]=MAESTRO!$B$2,Tabla14[CAPITAL],IF(Tabla14[[#This Row],[OPERACIÓN]]=MAESTRO!$B$5,Tabla14[CAPITAL],-Tabla14[[#This Row],[CAPITAL]])),2)</f>
        <v>5900000</v>
      </c>
    </row>
    <row r="1275" spans="1:13" x14ac:dyDescent="0.3">
      <c r="A1275" s="26">
        <v>46238</v>
      </c>
      <c r="B1275" t="s">
        <v>298</v>
      </c>
      <c r="C1275" t="s">
        <v>132</v>
      </c>
      <c r="D1275" s="27" t="s">
        <v>17</v>
      </c>
      <c r="E1275" s="4" t="s">
        <v>48</v>
      </c>
      <c r="F1275" s="4">
        <v>356200000</v>
      </c>
      <c r="G1275" s="8" t="str">
        <f>+VLOOKUP(Tabla14[[#This Row],[FONDO]],MAESTRO!$D$2:$E$119,2,FALSE)</f>
        <v>Banco Macro S.A.</v>
      </c>
      <c r="H1275" s="8" t="str">
        <f>+VLOOKUP(Tabla14[[#This Row],[FONDO]],MAESTRO!D:F,3,FALSE)</f>
        <v>(T+0)</v>
      </c>
      <c r="I1275" s="4" t="s">
        <v>9</v>
      </c>
      <c r="L12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5" s="4">
        <f>ROUND(IF(Tabla14[[#This Row],[OPERACIÓN]]=MAESTRO!$B$2,Tabla14[CAPITAL],IF(Tabla14[[#This Row],[OPERACIÓN]]=MAESTRO!$B$5,Tabla14[CAPITAL],-Tabla14[[#This Row],[CAPITAL]])),2)</f>
        <v>-356200000</v>
      </c>
    </row>
    <row r="1276" spans="1:13" x14ac:dyDescent="0.3">
      <c r="A1276" s="26">
        <v>46238</v>
      </c>
      <c r="B1276" t="s">
        <v>299</v>
      </c>
      <c r="C1276" t="s">
        <v>132</v>
      </c>
      <c r="D1276" s="27" t="s">
        <v>17</v>
      </c>
      <c r="E1276" s="4" t="s">
        <v>48</v>
      </c>
      <c r="F1276" s="4">
        <v>2300000</v>
      </c>
      <c r="G1276" s="8" t="str">
        <f>+VLOOKUP(Tabla14[[#This Row],[FONDO]],MAESTRO!$D$2:$E$119,2,FALSE)</f>
        <v>Banco Macro S.A.</v>
      </c>
      <c r="H1276" s="8" t="str">
        <f>+VLOOKUP(Tabla14[[#This Row],[FONDO]],MAESTRO!D:F,3,FALSE)</f>
        <v>(T+0)</v>
      </c>
      <c r="I1276" s="4" t="s">
        <v>9</v>
      </c>
      <c r="L12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6" s="4">
        <f>ROUND(IF(Tabla14[[#This Row],[OPERACIÓN]]=MAESTRO!$B$2,Tabla14[CAPITAL],IF(Tabla14[[#This Row],[OPERACIÓN]]=MAESTRO!$B$5,Tabla14[CAPITAL],-Tabla14[[#This Row],[CAPITAL]])),2)</f>
        <v>-2300000</v>
      </c>
    </row>
    <row r="1277" spans="1:13" x14ac:dyDescent="0.3">
      <c r="A1277" s="26">
        <v>46238</v>
      </c>
      <c r="B1277" t="s">
        <v>126</v>
      </c>
      <c r="C1277" t="s">
        <v>132</v>
      </c>
      <c r="D1277" s="27" t="s">
        <v>17</v>
      </c>
      <c r="E1277" s="4" t="s">
        <v>48</v>
      </c>
      <c r="F1277" s="4">
        <v>8100000</v>
      </c>
      <c r="G1277" s="8" t="str">
        <f>+VLOOKUP(Tabla14[[#This Row],[FONDO]],MAESTRO!$D$2:$E$119,2,FALSE)</f>
        <v>Banco Macro S.A.</v>
      </c>
      <c r="H1277" s="8" t="str">
        <f>+VLOOKUP(Tabla14[[#This Row],[FONDO]],MAESTRO!D:F,3,FALSE)</f>
        <v>(T+0)</v>
      </c>
      <c r="I1277" s="4" t="s">
        <v>9</v>
      </c>
      <c r="L12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7" s="4">
        <f>ROUND(IF(Tabla14[[#This Row],[OPERACIÓN]]=MAESTRO!$B$2,Tabla14[CAPITAL],IF(Tabla14[[#This Row],[OPERACIÓN]]=MAESTRO!$B$5,Tabla14[CAPITAL],-Tabla14[[#This Row],[CAPITAL]])),2)</f>
        <v>-8100000</v>
      </c>
    </row>
    <row r="1278" spans="1:13" x14ac:dyDescent="0.3">
      <c r="A1278" s="26">
        <v>46238</v>
      </c>
      <c r="B1278" t="s">
        <v>292</v>
      </c>
      <c r="C1278" t="s">
        <v>132</v>
      </c>
      <c r="D1278" s="27" t="s">
        <v>17</v>
      </c>
      <c r="E1278" s="4" t="s">
        <v>170</v>
      </c>
      <c r="F1278" s="4">
        <v>60900000</v>
      </c>
      <c r="G1278" s="8" t="str">
        <f>+VLOOKUP(Tabla14[[#This Row],[FONDO]],MAESTRO!$D$2:$E$119,2,FALSE)</f>
        <v>Banco Santander Rio S.A.</v>
      </c>
      <c r="H1278" s="8" t="str">
        <f>+VLOOKUP(Tabla14[[#This Row],[FONDO]],MAESTRO!D:F,3,FALSE)</f>
        <v>(T+0)</v>
      </c>
      <c r="I1278" s="4" t="s">
        <v>9</v>
      </c>
      <c r="L12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8" s="4">
        <f>ROUND(IF(Tabla14[[#This Row],[OPERACIÓN]]=MAESTRO!$B$2,Tabla14[CAPITAL],IF(Tabla14[[#This Row],[OPERACIÓN]]=MAESTRO!$B$5,Tabla14[CAPITAL],-Tabla14[[#This Row],[CAPITAL]])),2)</f>
        <v>-60900000</v>
      </c>
    </row>
    <row r="1279" spans="1:13" x14ac:dyDescent="0.3">
      <c r="A1279" s="26">
        <v>46238</v>
      </c>
      <c r="B1279" t="s">
        <v>298</v>
      </c>
      <c r="C1279" t="s">
        <v>132</v>
      </c>
      <c r="D1279" s="27" t="s">
        <v>16</v>
      </c>
      <c r="E1279" s="4" t="s">
        <v>40</v>
      </c>
      <c r="F1279" s="4">
        <v>5966000000</v>
      </c>
      <c r="G1279" s="8" t="str">
        <f>+VLOOKUP(Tabla14[[#This Row],[FONDO]],MAESTRO!$D$2:$E$119,2,FALSE)</f>
        <v>BBVA Banco Frances SA</v>
      </c>
      <c r="H1279" s="8" t="str">
        <f>+VLOOKUP(Tabla14[[#This Row],[FONDO]],MAESTRO!D:F,3,FALSE)</f>
        <v>(T+0)</v>
      </c>
      <c r="I1279" s="4" t="s">
        <v>9</v>
      </c>
      <c r="L12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79" s="4">
        <f>ROUND(IF(Tabla14[[#This Row],[OPERACIÓN]]=MAESTRO!$B$2,Tabla14[CAPITAL],IF(Tabla14[[#This Row],[OPERACIÓN]]=MAESTRO!$B$5,Tabla14[CAPITAL],-Tabla14[[#This Row],[CAPITAL]])),2)</f>
        <v>5966000000</v>
      </c>
    </row>
    <row r="1280" spans="1:13" x14ac:dyDescent="0.3">
      <c r="A1280" s="26">
        <v>46239</v>
      </c>
      <c r="B1280" t="s">
        <v>299</v>
      </c>
      <c r="C1280" t="s">
        <v>132</v>
      </c>
      <c r="D1280" s="27" t="s">
        <v>17</v>
      </c>
      <c r="E1280" s="4" t="s">
        <v>48</v>
      </c>
      <c r="F1280" s="4">
        <v>105800000</v>
      </c>
      <c r="G1280" s="119" t="str">
        <f>+VLOOKUP(Tabla14[[#This Row],[FONDO]],MAESTRO!$D$2:$E$119,2,FALSE)</f>
        <v>Banco Macro S.A.</v>
      </c>
      <c r="H1280" s="8" t="str">
        <f>+VLOOKUP(Tabla14[[#This Row],[FONDO]],MAESTRO!D:F,3,FALSE)</f>
        <v>(T+0)</v>
      </c>
      <c r="I1280" s="4" t="s">
        <v>9</v>
      </c>
      <c r="L12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0" s="4">
        <f>ROUND(IF(Tabla14[[#This Row],[OPERACIÓN]]=MAESTRO!$B$2,Tabla14[CAPITAL],IF(Tabla14[[#This Row],[OPERACIÓN]]=MAESTRO!$B$5,Tabla14[CAPITAL],-Tabla14[[#This Row],[CAPITAL]])),2)</f>
        <v>-105800000</v>
      </c>
    </row>
    <row r="1281" spans="1:13" x14ac:dyDescent="0.3">
      <c r="A1281" s="26">
        <v>46239</v>
      </c>
      <c r="B1281" t="s">
        <v>298</v>
      </c>
      <c r="C1281" t="s">
        <v>132</v>
      </c>
      <c r="D1281" s="27" t="s">
        <v>17</v>
      </c>
      <c r="E1281" s="4" t="s">
        <v>40</v>
      </c>
      <c r="F1281" s="4">
        <v>133500000</v>
      </c>
      <c r="G1281" s="119" t="str">
        <f>+VLOOKUP(Tabla14[[#This Row],[FONDO]],MAESTRO!$D$2:$E$119,2,FALSE)</f>
        <v>BBVA Banco Frances SA</v>
      </c>
      <c r="H1281" s="8" t="str">
        <f>+VLOOKUP(Tabla14[[#This Row],[FONDO]],MAESTRO!D:F,3,FALSE)</f>
        <v>(T+0)</v>
      </c>
      <c r="I1281" s="4" t="s">
        <v>9</v>
      </c>
      <c r="L12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1" s="4">
        <f>ROUND(IF(Tabla14[[#This Row],[OPERACIÓN]]=MAESTRO!$B$2,Tabla14[CAPITAL],IF(Tabla14[[#This Row],[OPERACIÓN]]=MAESTRO!$B$5,Tabla14[CAPITAL],-Tabla14[[#This Row],[CAPITAL]])),2)</f>
        <v>-133500000</v>
      </c>
    </row>
    <row r="1282" spans="1:13" x14ac:dyDescent="0.3">
      <c r="A1282" s="26">
        <v>46239</v>
      </c>
      <c r="B1282" t="s">
        <v>292</v>
      </c>
      <c r="C1282" t="s">
        <v>132</v>
      </c>
      <c r="D1282" s="27" t="s">
        <v>16</v>
      </c>
      <c r="E1282" s="4" t="s">
        <v>40</v>
      </c>
      <c r="F1282" s="4">
        <v>4300000</v>
      </c>
      <c r="G1282" s="119" t="str">
        <f>+VLOOKUP(Tabla14[[#This Row],[FONDO]],MAESTRO!$D$2:$E$119,2,FALSE)</f>
        <v>BBVA Banco Frances SA</v>
      </c>
      <c r="H1282" s="8" t="str">
        <f>+VLOOKUP(Tabla14[[#This Row],[FONDO]],MAESTRO!D:F,3,FALSE)</f>
        <v>(T+0)</v>
      </c>
      <c r="I1282" s="4" t="s">
        <v>9</v>
      </c>
      <c r="L12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2" s="4">
        <f>ROUND(IF(Tabla14[[#This Row],[OPERACIÓN]]=MAESTRO!$B$2,Tabla14[CAPITAL],IF(Tabla14[[#This Row],[OPERACIÓN]]=MAESTRO!$B$5,Tabla14[CAPITAL],-Tabla14[[#This Row],[CAPITAL]])),2)</f>
        <v>4300000</v>
      </c>
    </row>
    <row r="1283" spans="1:13" x14ac:dyDescent="0.3">
      <c r="A1283" s="26">
        <v>46239</v>
      </c>
      <c r="B1283" t="s">
        <v>299</v>
      </c>
      <c r="C1283" t="s">
        <v>132</v>
      </c>
      <c r="D1283" s="27" t="s">
        <v>17</v>
      </c>
      <c r="E1283" s="4" t="s">
        <v>169</v>
      </c>
      <c r="F1283" s="4">
        <v>20342116.489999998</v>
      </c>
      <c r="G1283" s="119" t="str">
        <f>+VLOOKUP(Tabla14[[#This Row],[FONDO]],MAESTRO!$D$2:$E$119,2,FALSE)</f>
        <v>Max Capital</v>
      </c>
      <c r="H1283" s="8" t="str">
        <f>+VLOOKUP(Tabla14[[#This Row],[FONDO]],MAESTRO!D:F,3,FALSE)</f>
        <v>(T+0)</v>
      </c>
      <c r="I1283" s="4" t="s">
        <v>9</v>
      </c>
      <c r="L12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3" s="4">
        <f>ROUND(IF(Tabla14[[#This Row],[OPERACIÓN]]=MAESTRO!$B$2,Tabla14[CAPITAL],IF(Tabla14[[#This Row],[OPERACIÓN]]=MAESTRO!$B$5,Tabla14[CAPITAL],-Tabla14[[#This Row],[CAPITAL]])),2)</f>
        <v>-20342116.489999998</v>
      </c>
    </row>
    <row r="1284" spans="1:13" x14ac:dyDescent="0.3">
      <c r="A1284" s="26">
        <v>46239</v>
      </c>
      <c r="B1284" t="s">
        <v>299</v>
      </c>
      <c r="C1284" t="s">
        <v>132</v>
      </c>
      <c r="D1284" s="27" t="s">
        <v>17</v>
      </c>
      <c r="E1284" s="4" t="s">
        <v>169</v>
      </c>
      <c r="F1284" s="4">
        <v>34933544.270000003</v>
      </c>
      <c r="G1284" s="119" t="str">
        <f>+VLOOKUP(Tabla14[[#This Row],[FONDO]],MAESTRO!$D$2:$E$119,2,FALSE)</f>
        <v>Max Capital</v>
      </c>
      <c r="H1284" s="8" t="str">
        <f>+VLOOKUP(Tabla14[[#This Row],[FONDO]],MAESTRO!D:F,3,FALSE)</f>
        <v>(T+0)</v>
      </c>
      <c r="I1284" s="4" t="s">
        <v>9</v>
      </c>
      <c r="L12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4" s="4">
        <f>ROUND(IF(Tabla14[[#This Row],[OPERACIÓN]]=MAESTRO!$B$2,Tabla14[CAPITAL],IF(Tabla14[[#This Row],[OPERACIÓN]]=MAESTRO!$B$5,Tabla14[CAPITAL],-Tabla14[[#This Row],[CAPITAL]])),2)</f>
        <v>-34933544.270000003</v>
      </c>
    </row>
    <row r="1285" spans="1:13" x14ac:dyDescent="0.3">
      <c r="A1285" s="26">
        <v>46239</v>
      </c>
      <c r="B1285" t="s">
        <v>292</v>
      </c>
      <c r="C1285" t="s">
        <v>132</v>
      </c>
      <c r="D1285" s="27" t="s">
        <v>17</v>
      </c>
      <c r="E1285" s="4" t="s">
        <v>136</v>
      </c>
      <c r="F1285" s="4">
        <v>750000000</v>
      </c>
      <c r="G1285" s="119" t="str">
        <f>+VLOOKUP(Tabla14[[#This Row],[FONDO]],MAESTRO!$D$2:$E$119,2,FALSE)</f>
        <v>Gma Capital</v>
      </c>
      <c r="H1285" s="8" t="str">
        <f>+VLOOKUP(Tabla14[[#This Row],[FONDO]],MAESTRO!D:F,3,FALSE)</f>
        <v>(T+0)</v>
      </c>
      <c r="I1285" s="4" t="s">
        <v>9</v>
      </c>
      <c r="L12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5" s="4">
        <f>ROUND(IF(Tabla14[[#This Row],[OPERACIÓN]]=MAESTRO!$B$2,Tabla14[CAPITAL],IF(Tabla14[[#This Row],[OPERACIÓN]]=MAESTRO!$B$5,Tabla14[CAPITAL],-Tabla14[[#This Row],[CAPITAL]])),2)</f>
        <v>-750000000</v>
      </c>
    </row>
    <row r="1286" spans="1:13" x14ac:dyDescent="0.3">
      <c r="A1286" s="26">
        <v>46239</v>
      </c>
      <c r="B1286" t="s">
        <v>292</v>
      </c>
      <c r="C1286" t="s">
        <v>132</v>
      </c>
      <c r="D1286" s="27" t="s">
        <v>17</v>
      </c>
      <c r="E1286" s="4" t="s">
        <v>170</v>
      </c>
      <c r="F1286" s="4">
        <v>100000000</v>
      </c>
      <c r="G1286" s="119" t="str">
        <f>+VLOOKUP(Tabla14[[#This Row],[FONDO]],MAESTRO!$D$2:$E$119,2,FALSE)</f>
        <v>Banco Santander Rio S.A.</v>
      </c>
      <c r="H1286" s="8" t="str">
        <f>+VLOOKUP(Tabla14[[#This Row],[FONDO]],MAESTRO!D:F,3,FALSE)</f>
        <v>(T+0)</v>
      </c>
      <c r="I1286" s="4" t="s">
        <v>9</v>
      </c>
      <c r="L12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6" s="4">
        <f>ROUND(IF(Tabla14[[#This Row],[OPERACIÓN]]=MAESTRO!$B$2,Tabla14[CAPITAL],IF(Tabla14[[#This Row],[OPERACIÓN]]=MAESTRO!$B$5,Tabla14[CAPITAL],-Tabla14[[#This Row],[CAPITAL]])),2)</f>
        <v>-100000000</v>
      </c>
    </row>
    <row r="1287" spans="1:13" x14ac:dyDescent="0.3">
      <c r="A1287" s="26">
        <v>46240</v>
      </c>
      <c r="B1287" t="s">
        <v>126</v>
      </c>
      <c r="C1287" t="s">
        <v>132</v>
      </c>
      <c r="D1287" s="27" t="s">
        <v>17</v>
      </c>
      <c r="E1287" s="4" t="s">
        <v>48</v>
      </c>
      <c r="F1287" s="4">
        <v>101600000</v>
      </c>
      <c r="G1287" s="8" t="str">
        <f>+VLOOKUP(Tabla14[[#This Row],[FONDO]],MAESTRO!$D$2:$E$119,2,FALSE)</f>
        <v>Banco Macro S.A.</v>
      </c>
      <c r="H1287" s="8" t="str">
        <f>+VLOOKUP(Tabla14[[#This Row],[FONDO]],MAESTRO!D:F,3,FALSE)</f>
        <v>(T+0)</v>
      </c>
      <c r="I1287" s="4" t="s">
        <v>9</v>
      </c>
      <c r="L128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7" s="4">
        <f>ROUND(IF(Tabla14[[#This Row],[OPERACIÓN]]=MAESTRO!$B$2,Tabla14[CAPITAL],IF(Tabla14[[#This Row],[OPERACIÓN]]=MAESTRO!$B$5,Tabla14[CAPITAL],-Tabla14[[#This Row],[CAPITAL]])),2)</f>
        <v>-101600000</v>
      </c>
    </row>
    <row r="1288" spans="1:13" x14ac:dyDescent="0.3">
      <c r="A1288" s="26">
        <v>46240</v>
      </c>
      <c r="B1288" t="s">
        <v>298</v>
      </c>
      <c r="C1288" t="s">
        <v>132</v>
      </c>
      <c r="D1288" s="27" t="s">
        <v>17</v>
      </c>
      <c r="E1288" s="4" t="s">
        <v>40</v>
      </c>
      <c r="F1288" s="4">
        <v>2002900000</v>
      </c>
      <c r="G1288" s="8" t="str">
        <f>+VLOOKUP(Tabla14[[#This Row],[FONDO]],MAESTRO!$D$2:$E$119,2,FALSE)</f>
        <v>BBVA Banco Frances SA</v>
      </c>
      <c r="H1288" s="8" t="str">
        <f>+VLOOKUP(Tabla14[[#This Row],[FONDO]],MAESTRO!D:F,3,FALSE)</f>
        <v>(T+0)</v>
      </c>
      <c r="I1288" s="4" t="s">
        <v>9</v>
      </c>
      <c r="L12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8" s="4">
        <f>ROUND(IF(Tabla14[[#This Row],[OPERACIÓN]]=MAESTRO!$B$2,Tabla14[CAPITAL],IF(Tabla14[[#This Row],[OPERACIÓN]]=MAESTRO!$B$5,Tabla14[CAPITAL],-Tabla14[[#This Row],[CAPITAL]])),2)</f>
        <v>-2002900000</v>
      </c>
    </row>
    <row r="1289" spans="1:13" x14ac:dyDescent="0.3">
      <c r="A1289" s="26">
        <v>46240</v>
      </c>
      <c r="B1289" t="s">
        <v>299</v>
      </c>
      <c r="C1289" t="s">
        <v>132</v>
      </c>
      <c r="D1289" s="27" t="s">
        <v>16</v>
      </c>
      <c r="E1289" s="4" t="s">
        <v>48</v>
      </c>
      <c r="F1289" s="4">
        <v>24500000</v>
      </c>
      <c r="G1289" s="8" t="str">
        <f>+VLOOKUP(Tabla14[[#This Row],[FONDO]],MAESTRO!$D$2:$E$119,2,FALSE)</f>
        <v>Banco Macro S.A.</v>
      </c>
      <c r="H1289" s="8" t="str">
        <f>+VLOOKUP(Tabla14[[#This Row],[FONDO]],MAESTRO!D:F,3,FALSE)</f>
        <v>(T+0)</v>
      </c>
      <c r="I1289" s="4" t="s">
        <v>9</v>
      </c>
      <c r="L128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89" s="4">
        <f>ROUND(IF(Tabla14[[#This Row],[OPERACIÓN]]=MAESTRO!$B$2,Tabla14[CAPITAL],IF(Tabla14[[#This Row],[OPERACIÓN]]=MAESTRO!$B$5,Tabla14[CAPITAL],-Tabla14[[#This Row],[CAPITAL]])),2)</f>
        <v>24500000</v>
      </c>
    </row>
    <row r="1290" spans="1:13" x14ac:dyDescent="0.3">
      <c r="A1290" s="26">
        <v>46240</v>
      </c>
      <c r="B1290" t="s">
        <v>292</v>
      </c>
      <c r="C1290" t="s">
        <v>132</v>
      </c>
      <c r="D1290" s="27" t="s">
        <v>16</v>
      </c>
      <c r="E1290" s="4" t="s">
        <v>40</v>
      </c>
      <c r="F1290" s="4">
        <v>218800000</v>
      </c>
      <c r="G1290" s="8" t="str">
        <f>+VLOOKUP(Tabla14[[#This Row],[FONDO]],MAESTRO!$D$2:$E$119,2,FALSE)</f>
        <v>BBVA Banco Frances SA</v>
      </c>
      <c r="H1290" s="8" t="str">
        <f>+VLOOKUP(Tabla14[[#This Row],[FONDO]],MAESTRO!D:F,3,FALSE)</f>
        <v>(T+0)</v>
      </c>
      <c r="I1290" s="4" t="s">
        <v>9</v>
      </c>
      <c r="L12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0" s="4">
        <f>ROUND(IF(Tabla14[[#This Row],[OPERACIÓN]]=MAESTRO!$B$2,Tabla14[CAPITAL],IF(Tabla14[[#This Row],[OPERACIÓN]]=MAESTRO!$B$5,Tabla14[CAPITAL],-Tabla14[[#This Row],[CAPITAL]])),2)</f>
        <v>218800000</v>
      </c>
    </row>
    <row r="1291" spans="1:13" x14ac:dyDescent="0.3">
      <c r="A1291" s="26">
        <v>46240</v>
      </c>
      <c r="B1291" t="s">
        <v>298</v>
      </c>
      <c r="C1291" t="s">
        <v>132</v>
      </c>
      <c r="D1291" s="27" t="s">
        <v>17</v>
      </c>
      <c r="E1291" s="4" t="s">
        <v>170</v>
      </c>
      <c r="F1291" s="4">
        <v>20338305.300000001</v>
      </c>
      <c r="G1291" s="8" t="str">
        <f>+VLOOKUP(Tabla14[[#This Row],[FONDO]],MAESTRO!$D$2:$E$119,2,FALSE)</f>
        <v>Banco Santander Rio S.A.</v>
      </c>
      <c r="H1291" s="8" t="str">
        <f>+VLOOKUP(Tabla14[[#This Row],[FONDO]],MAESTRO!D:F,3,FALSE)</f>
        <v>(T+0)</v>
      </c>
      <c r="I1291" s="4" t="s">
        <v>9</v>
      </c>
      <c r="L12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1" s="4">
        <f>ROUND(IF(Tabla14[[#This Row],[OPERACIÓN]]=MAESTRO!$B$2,Tabla14[CAPITAL],IF(Tabla14[[#This Row],[OPERACIÓN]]=MAESTRO!$B$5,Tabla14[CAPITAL],-Tabla14[[#This Row],[CAPITAL]])),2)</f>
        <v>-20338305.300000001</v>
      </c>
    </row>
    <row r="1292" spans="1:13" x14ac:dyDescent="0.3">
      <c r="A1292" s="26">
        <v>46240</v>
      </c>
      <c r="B1292" t="s">
        <v>292</v>
      </c>
      <c r="C1292" t="s">
        <v>132</v>
      </c>
      <c r="D1292" s="27" t="s">
        <v>16</v>
      </c>
      <c r="E1292" s="4" t="s">
        <v>170</v>
      </c>
      <c r="F1292" s="4">
        <v>400000000</v>
      </c>
      <c r="G1292" s="8" t="str">
        <f>+VLOOKUP(Tabla14[[#This Row],[FONDO]],MAESTRO!$D$2:$E$119,2,FALSE)</f>
        <v>Banco Santander Rio S.A.</v>
      </c>
      <c r="H1292" s="8" t="str">
        <f>+VLOOKUP(Tabla14[[#This Row],[FONDO]],MAESTRO!D:F,3,FALSE)</f>
        <v>(T+0)</v>
      </c>
      <c r="I1292" s="4" t="s">
        <v>9</v>
      </c>
      <c r="L129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2" s="4">
        <f>ROUND(IF(Tabla14[[#This Row],[OPERACIÓN]]=MAESTRO!$B$2,Tabla14[CAPITAL],IF(Tabla14[[#This Row],[OPERACIÓN]]=MAESTRO!$B$5,Tabla14[CAPITAL],-Tabla14[[#This Row],[CAPITAL]])),2)</f>
        <v>400000000</v>
      </c>
    </row>
    <row r="1293" spans="1:13" s="121" customFormat="1" x14ac:dyDescent="0.3">
      <c r="A1293" s="120">
        <v>46240</v>
      </c>
      <c r="B1293" s="121" t="s">
        <v>299</v>
      </c>
      <c r="C1293" s="121" t="s">
        <v>132</v>
      </c>
      <c r="D1293" s="122" t="s">
        <v>16</v>
      </c>
      <c r="E1293" s="123" t="s">
        <v>48</v>
      </c>
      <c r="F1293" s="123">
        <v>5556000</v>
      </c>
      <c r="G1293" s="124" t="str">
        <f>+VLOOKUP(Tabla14[[#This Row],[FONDO]],MAESTRO!$D$2:$E$119,2,FALSE)</f>
        <v>Banco Macro S.A.</v>
      </c>
      <c r="H1293" s="124" t="str">
        <f>+VLOOKUP(Tabla14[[#This Row],[FONDO]],MAESTRO!D:F,3,FALSE)</f>
        <v>(T+0)</v>
      </c>
      <c r="I1293" s="123" t="s">
        <v>9</v>
      </c>
      <c r="J1293" s="125"/>
      <c r="L1293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3" s="123">
        <f>ROUND(IF(Tabla14[[#This Row],[OPERACIÓN]]=MAESTRO!$B$2,Tabla14[CAPITAL],IF(Tabla14[[#This Row],[OPERACIÓN]]=MAESTRO!$B$5,Tabla14[CAPITAL],-Tabla14[[#This Row],[CAPITAL]])),2)</f>
        <v>5556000</v>
      </c>
    </row>
    <row r="1294" spans="1:13" s="121" customFormat="1" x14ac:dyDescent="0.3">
      <c r="A1294" s="120">
        <v>46240</v>
      </c>
      <c r="B1294" s="121" t="s">
        <v>299</v>
      </c>
      <c r="C1294" s="121" t="s">
        <v>132</v>
      </c>
      <c r="D1294" s="122" t="s">
        <v>16</v>
      </c>
      <c r="E1294" s="123" t="s">
        <v>136</v>
      </c>
      <c r="F1294" s="123">
        <v>6140000</v>
      </c>
      <c r="G1294" s="124" t="str">
        <f>+VLOOKUP(Tabla14[[#This Row],[FONDO]],MAESTRO!$D$2:$E$119,2,FALSE)</f>
        <v>Gma Capital</v>
      </c>
      <c r="H1294" s="124" t="str">
        <f>+VLOOKUP(Tabla14[[#This Row],[FONDO]],MAESTRO!D:F,3,FALSE)</f>
        <v>(T+0)</v>
      </c>
      <c r="I1294" s="123" t="s">
        <v>9</v>
      </c>
      <c r="J1294" s="125"/>
      <c r="L1294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4" s="123">
        <f>ROUND(IF(Tabla14[[#This Row],[OPERACIÓN]]=MAESTRO!$B$2,Tabla14[CAPITAL],IF(Tabla14[[#This Row],[OPERACIÓN]]=MAESTRO!$B$5,Tabla14[CAPITAL],-Tabla14[[#This Row],[CAPITAL]])),2)</f>
        <v>6140000</v>
      </c>
    </row>
    <row r="1295" spans="1:13" s="121" customFormat="1" x14ac:dyDescent="0.3">
      <c r="A1295" s="120">
        <v>46240</v>
      </c>
      <c r="B1295" s="121" t="s">
        <v>299</v>
      </c>
      <c r="C1295" s="121" t="s">
        <v>132</v>
      </c>
      <c r="D1295" s="122" t="s">
        <v>16</v>
      </c>
      <c r="E1295" s="123" t="s">
        <v>169</v>
      </c>
      <c r="F1295" s="123">
        <v>4790000</v>
      </c>
      <c r="G1295" s="124" t="str">
        <f>+VLOOKUP(Tabla14[[#This Row],[FONDO]],MAESTRO!$D$2:$E$119,2,FALSE)</f>
        <v>Max Capital</v>
      </c>
      <c r="H1295" s="124" t="str">
        <f>+VLOOKUP(Tabla14[[#This Row],[FONDO]],MAESTRO!D:F,3,FALSE)</f>
        <v>(T+0)</v>
      </c>
      <c r="I1295" s="123" t="s">
        <v>9</v>
      </c>
      <c r="J1295" s="125"/>
      <c r="L1295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5" s="123">
        <f>ROUND(IF(Tabla14[[#This Row],[OPERACIÓN]]=MAESTRO!$B$2,Tabla14[CAPITAL],IF(Tabla14[[#This Row],[OPERACIÓN]]=MAESTRO!$B$5,Tabla14[CAPITAL],-Tabla14[[#This Row],[CAPITAL]])),2)</f>
        <v>4790000</v>
      </c>
    </row>
    <row r="1296" spans="1:13" s="121" customFormat="1" x14ac:dyDescent="0.3">
      <c r="A1296" s="120">
        <v>46240</v>
      </c>
      <c r="B1296" s="121" t="s">
        <v>126</v>
      </c>
      <c r="C1296" s="121" t="s">
        <v>132</v>
      </c>
      <c r="D1296" s="122" t="s">
        <v>16</v>
      </c>
      <c r="E1296" s="123" t="s">
        <v>48</v>
      </c>
      <c r="F1296" s="123">
        <v>2750000</v>
      </c>
      <c r="G1296" s="124" t="str">
        <f>+VLOOKUP(Tabla14[[#This Row],[FONDO]],MAESTRO!$D$2:$E$119,2,FALSE)</f>
        <v>Banco Macro S.A.</v>
      </c>
      <c r="H1296" s="124" t="str">
        <f>+VLOOKUP(Tabla14[[#This Row],[FONDO]],MAESTRO!D:F,3,FALSE)</f>
        <v>(T+0)</v>
      </c>
      <c r="I1296" s="123" t="s">
        <v>9</v>
      </c>
      <c r="J1296" s="125"/>
      <c r="L1296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6" s="123">
        <f>ROUND(IF(Tabla14[[#This Row],[OPERACIÓN]]=MAESTRO!$B$2,Tabla14[CAPITAL],IF(Tabla14[[#This Row],[OPERACIÓN]]=MAESTRO!$B$5,Tabla14[CAPITAL],-Tabla14[[#This Row],[CAPITAL]])),2)</f>
        <v>2750000</v>
      </c>
    </row>
    <row r="1297" spans="1:13" s="121" customFormat="1" x14ac:dyDescent="0.3">
      <c r="A1297" s="120">
        <v>46240</v>
      </c>
      <c r="B1297" s="121" t="s">
        <v>298</v>
      </c>
      <c r="C1297" s="121" t="s">
        <v>132</v>
      </c>
      <c r="D1297" s="122" t="s">
        <v>16</v>
      </c>
      <c r="E1297" s="123" t="s">
        <v>48</v>
      </c>
      <c r="F1297" s="123">
        <v>3470000</v>
      </c>
      <c r="G1297" s="124" t="str">
        <f>+VLOOKUP(Tabla14[[#This Row],[FONDO]],MAESTRO!$D$2:$E$119,2,FALSE)</f>
        <v>Banco Macro S.A.</v>
      </c>
      <c r="H1297" s="124" t="str">
        <f>+VLOOKUP(Tabla14[[#This Row],[FONDO]],MAESTRO!D:F,3,FALSE)</f>
        <v>(T+0)</v>
      </c>
      <c r="I1297" s="123" t="s">
        <v>9</v>
      </c>
      <c r="J1297" s="125"/>
      <c r="L1297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7" s="123">
        <f>ROUND(IF(Tabla14[[#This Row],[OPERACIÓN]]=MAESTRO!$B$2,Tabla14[CAPITAL],IF(Tabla14[[#This Row],[OPERACIÓN]]=MAESTRO!$B$5,Tabla14[CAPITAL],-Tabla14[[#This Row],[CAPITAL]])),2)</f>
        <v>3470000</v>
      </c>
    </row>
    <row r="1298" spans="1:13" s="121" customFormat="1" x14ac:dyDescent="0.3">
      <c r="A1298" s="120">
        <v>46240</v>
      </c>
      <c r="B1298" s="121" t="s">
        <v>298</v>
      </c>
      <c r="C1298" s="121" t="s">
        <v>132</v>
      </c>
      <c r="D1298" s="122" t="s">
        <v>16</v>
      </c>
      <c r="E1298" s="123" t="s">
        <v>136</v>
      </c>
      <c r="F1298" s="123">
        <v>21000000</v>
      </c>
      <c r="G1298" s="124" t="str">
        <f>+VLOOKUP(Tabla14[[#This Row],[FONDO]],MAESTRO!$D$2:$E$119,2,FALSE)</f>
        <v>Gma Capital</v>
      </c>
      <c r="H1298" s="124" t="str">
        <f>+VLOOKUP(Tabla14[[#This Row],[FONDO]],MAESTRO!D:F,3,FALSE)</f>
        <v>(T+0)</v>
      </c>
      <c r="I1298" s="123" t="s">
        <v>9</v>
      </c>
      <c r="J1298" s="125"/>
      <c r="L1298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8" s="123">
        <f>ROUND(IF(Tabla14[[#This Row],[OPERACIÓN]]=MAESTRO!$B$2,Tabla14[CAPITAL],IF(Tabla14[[#This Row],[OPERACIÓN]]=MAESTRO!$B$5,Tabla14[CAPITAL],-Tabla14[[#This Row],[CAPITAL]])),2)</f>
        <v>21000000</v>
      </c>
    </row>
    <row r="1299" spans="1:13" s="121" customFormat="1" x14ac:dyDescent="0.3">
      <c r="A1299" s="120">
        <v>46240</v>
      </c>
      <c r="B1299" s="121" t="s">
        <v>298</v>
      </c>
      <c r="C1299" s="121" t="s">
        <v>132</v>
      </c>
      <c r="D1299" s="122" t="s">
        <v>16</v>
      </c>
      <c r="E1299" s="123" t="s">
        <v>204</v>
      </c>
      <c r="F1299" s="123">
        <v>1000000</v>
      </c>
      <c r="G1299" s="124" t="str">
        <f>+VLOOKUP(Tabla14[[#This Row],[FONDO]],MAESTRO!$D$2:$E$119,2,FALSE)</f>
        <v>Latin Securities</v>
      </c>
      <c r="H1299" s="124" t="str">
        <f>+VLOOKUP(Tabla14[[#This Row],[FONDO]],MAESTRO!D:F,3,FALSE)</f>
        <v>(T+0)</v>
      </c>
      <c r="I1299" s="123" t="s">
        <v>9</v>
      </c>
      <c r="J1299" s="125"/>
      <c r="L1299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299" s="123">
        <f>ROUND(IF(Tabla14[[#This Row],[OPERACIÓN]]=MAESTRO!$B$2,Tabla14[CAPITAL],IF(Tabla14[[#This Row],[OPERACIÓN]]=MAESTRO!$B$5,Tabla14[CAPITAL],-Tabla14[[#This Row],[CAPITAL]])),2)</f>
        <v>1000000</v>
      </c>
    </row>
    <row r="1300" spans="1:13" s="121" customFormat="1" x14ac:dyDescent="0.3">
      <c r="A1300" s="120">
        <v>46240</v>
      </c>
      <c r="B1300" s="121" t="s">
        <v>298</v>
      </c>
      <c r="C1300" s="121" t="s">
        <v>132</v>
      </c>
      <c r="D1300" s="122" t="s">
        <v>16</v>
      </c>
      <c r="E1300" s="123" t="s">
        <v>208</v>
      </c>
      <c r="F1300" s="123">
        <v>2280000</v>
      </c>
      <c r="G1300" s="124" t="str">
        <f>+VLOOKUP(Tabla14[[#This Row],[FONDO]],MAESTRO!$D$2:$E$119,2,FALSE)</f>
        <v>Facimex</v>
      </c>
      <c r="H1300" s="124" t="str">
        <f>+VLOOKUP(Tabla14[[#This Row],[FONDO]],MAESTRO!D:F,3,FALSE)</f>
        <v>(T+0)</v>
      </c>
      <c r="I1300" s="123" t="s">
        <v>9</v>
      </c>
      <c r="J1300" s="125"/>
      <c r="L1300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0" s="123">
        <f>ROUND(IF(Tabla14[[#This Row],[OPERACIÓN]]=MAESTRO!$B$2,Tabla14[CAPITAL],IF(Tabla14[[#This Row],[OPERACIÓN]]=MAESTRO!$B$5,Tabla14[CAPITAL],-Tabla14[[#This Row],[CAPITAL]])),2)</f>
        <v>2280000</v>
      </c>
    </row>
    <row r="1301" spans="1:13" s="121" customFormat="1" x14ac:dyDescent="0.3">
      <c r="A1301" s="120">
        <v>46240</v>
      </c>
      <c r="B1301" s="121" t="s">
        <v>298</v>
      </c>
      <c r="C1301" s="121" t="s">
        <v>132</v>
      </c>
      <c r="D1301" s="122" t="s">
        <v>16</v>
      </c>
      <c r="E1301" s="123" t="s">
        <v>40</v>
      </c>
      <c r="F1301" s="123">
        <v>18600000</v>
      </c>
      <c r="G1301" s="124" t="str">
        <f>+VLOOKUP(Tabla14[[#This Row],[FONDO]],MAESTRO!$D$2:$E$119,2,FALSE)</f>
        <v>BBVA Banco Frances SA</v>
      </c>
      <c r="H1301" s="124" t="str">
        <f>+VLOOKUP(Tabla14[[#This Row],[FONDO]],MAESTRO!D:F,3,FALSE)</f>
        <v>(T+0)</v>
      </c>
      <c r="I1301" s="123" t="s">
        <v>9</v>
      </c>
      <c r="J1301" s="125"/>
      <c r="L1301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1" s="123">
        <f>ROUND(IF(Tabla14[[#This Row],[OPERACIÓN]]=MAESTRO!$B$2,Tabla14[CAPITAL],IF(Tabla14[[#This Row],[OPERACIÓN]]=MAESTRO!$B$5,Tabla14[CAPITAL],-Tabla14[[#This Row],[CAPITAL]])),2)</f>
        <v>18600000</v>
      </c>
    </row>
    <row r="1302" spans="1:13" s="121" customFormat="1" x14ac:dyDescent="0.3">
      <c r="A1302" s="120">
        <v>46240</v>
      </c>
      <c r="B1302" s="121" t="s">
        <v>292</v>
      </c>
      <c r="C1302" s="121" t="s">
        <v>132</v>
      </c>
      <c r="D1302" s="122" t="s">
        <v>16</v>
      </c>
      <c r="E1302" s="123" t="s">
        <v>170</v>
      </c>
      <c r="F1302" s="123">
        <v>20640000</v>
      </c>
      <c r="G1302" s="124" t="str">
        <f>+VLOOKUP(Tabla14[[#This Row],[FONDO]],MAESTRO!$D$2:$E$119,2,FALSE)</f>
        <v>Banco Santander Rio S.A.</v>
      </c>
      <c r="H1302" s="124" t="str">
        <f>+VLOOKUP(Tabla14[[#This Row],[FONDO]],MAESTRO!D:F,3,FALSE)</f>
        <v>(T+0)</v>
      </c>
      <c r="I1302" s="123" t="s">
        <v>9</v>
      </c>
      <c r="J1302" s="125"/>
      <c r="L1302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2" s="123">
        <f>ROUND(IF(Tabla14[[#This Row],[OPERACIÓN]]=MAESTRO!$B$2,Tabla14[CAPITAL],IF(Tabla14[[#This Row],[OPERACIÓN]]=MAESTRO!$B$5,Tabla14[CAPITAL],-Tabla14[[#This Row],[CAPITAL]])),2)</f>
        <v>20640000</v>
      </c>
    </row>
    <row r="1303" spans="1:13" s="121" customFormat="1" x14ac:dyDescent="0.3">
      <c r="A1303" s="120">
        <v>46240</v>
      </c>
      <c r="B1303" s="121" t="s">
        <v>298</v>
      </c>
      <c r="C1303" s="121" t="s">
        <v>132</v>
      </c>
      <c r="D1303" s="122" t="s">
        <v>16</v>
      </c>
      <c r="E1303" s="123" t="s">
        <v>57</v>
      </c>
      <c r="F1303" s="123">
        <v>6450000</v>
      </c>
      <c r="G1303" s="124" t="str">
        <f>+VLOOKUP(Tabla14[[#This Row],[FONDO]],MAESTRO!$D$2:$E$119,2,FALSE)</f>
        <v>Banco Santander Rio S.A.</v>
      </c>
      <c r="H1303" s="124" t="str">
        <f>+VLOOKUP(Tabla14[[#This Row],[FONDO]],MAESTRO!D:F,3,FALSE)</f>
        <v>(T+1)</v>
      </c>
      <c r="I1303" s="123" t="s">
        <v>9</v>
      </c>
      <c r="J1303" s="125"/>
      <c r="L1303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3" s="123">
        <f>ROUND(IF(Tabla14[[#This Row],[OPERACIÓN]]=MAESTRO!$B$2,Tabla14[CAPITAL],IF(Tabla14[[#This Row],[OPERACIÓN]]=MAESTRO!$B$5,Tabla14[CAPITAL],-Tabla14[[#This Row],[CAPITAL]])),2)</f>
        <v>6450000</v>
      </c>
    </row>
    <row r="1304" spans="1:13" s="121" customFormat="1" x14ac:dyDescent="0.3">
      <c r="A1304" s="120">
        <v>46240</v>
      </c>
      <c r="B1304" s="121" t="s">
        <v>298</v>
      </c>
      <c r="C1304" s="121" t="s">
        <v>132</v>
      </c>
      <c r="D1304" s="122" t="s">
        <v>16</v>
      </c>
      <c r="E1304" s="123" t="s">
        <v>170</v>
      </c>
      <c r="F1304" s="123">
        <v>6130000</v>
      </c>
      <c r="G1304" s="124" t="str">
        <f>+VLOOKUP(Tabla14[[#This Row],[FONDO]],MAESTRO!$D$2:$E$119,2,FALSE)</f>
        <v>Banco Santander Rio S.A.</v>
      </c>
      <c r="H1304" s="124" t="str">
        <f>+VLOOKUP(Tabla14[[#This Row],[FONDO]],MAESTRO!D:F,3,FALSE)</f>
        <v>(T+0)</v>
      </c>
      <c r="I1304" s="123" t="s">
        <v>9</v>
      </c>
      <c r="J1304" s="125"/>
      <c r="L1304" s="1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4" s="123">
        <f>ROUND(IF(Tabla14[[#This Row],[OPERACIÓN]]=MAESTRO!$B$2,Tabla14[CAPITAL],IF(Tabla14[[#This Row],[OPERACIÓN]]=MAESTRO!$B$5,Tabla14[CAPITAL],-Tabla14[[#This Row],[CAPITAL]])),2)</f>
        <v>6130000</v>
      </c>
    </row>
    <row r="1305" spans="1:13" x14ac:dyDescent="0.3">
      <c r="A1305" s="26">
        <v>46241</v>
      </c>
      <c r="B1305" t="s">
        <v>126</v>
      </c>
      <c r="C1305" t="s">
        <v>132</v>
      </c>
      <c r="D1305" s="27" t="s">
        <v>17</v>
      </c>
      <c r="E1305" s="4" t="s">
        <v>48</v>
      </c>
      <c r="F1305" s="4">
        <v>200000</v>
      </c>
      <c r="G1305" s="8" t="str">
        <f>+VLOOKUP(Tabla14[[#This Row],[FONDO]],MAESTRO!$D$2:$E$119,2,FALSE)</f>
        <v>Banco Macro S.A.</v>
      </c>
      <c r="H1305" s="8" t="str">
        <f>+VLOOKUP(Tabla14[[#This Row],[FONDO]],MAESTRO!D:F,3,FALSE)</f>
        <v>(T+0)</v>
      </c>
      <c r="I1305" s="4" t="s">
        <v>9</v>
      </c>
      <c r="L13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5" s="4">
        <f>ROUND(IF(Tabla14[[#This Row],[OPERACIÓN]]=MAESTRO!$B$2,Tabla14[CAPITAL],IF(Tabla14[[#This Row],[OPERACIÓN]]=MAESTRO!$B$5,Tabla14[CAPITAL],-Tabla14[[#This Row],[CAPITAL]])),2)</f>
        <v>-200000</v>
      </c>
    </row>
    <row r="1306" spans="1:13" x14ac:dyDescent="0.3">
      <c r="A1306" s="26">
        <v>46241</v>
      </c>
      <c r="B1306" t="s">
        <v>292</v>
      </c>
      <c r="C1306" t="s">
        <v>132</v>
      </c>
      <c r="D1306" s="27" t="s">
        <v>17</v>
      </c>
      <c r="E1306" s="4" t="s">
        <v>40</v>
      </c>
      <c r="F1306" s="4">
        <v>41900000</v>
      </c>
      <c r="G1306" s="8" t="str">
        <f>+VLOOKUP(Tabla14[[#This Row],[FONDO]],MAESTRO!$D$2:$E$119,2,FALSE)</f>
        <v>BBVA Banco Frances SA</v>
      </c>
      <c r="H1306" s="8" t="str">
        <f>+VLOOKUP(Tabla14[[#This Row],[FONDO]],MAESTRO!D:F,3,FALSE)</f>
        <v>(T+0)</v>
      </c>
      <c r="I1306" s="4" t="s">
        <v>9</v>
      </c>
      <c r="L13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6" s="4">
        <f>ROUND(IF(Tabla14[[#This Row],[OPERACIÓN]]=MAESTRO!$B$2,Tabla14[CAPITAL],IF(Tabla14[[#This Row],[OPERACIÓN]]=MAESTRO!$B$5,Tabla14[CAPITAL],-Tabla14[[#This Row],[CAPITAL]])),2)</f>
        <v>-41900000</v>
      </c>
    </row>
    <row r="1307" spans="1:13" x14ac:dyDescent="0.3">
      <c r="A1307" s="26">
        <v>46241</v>
      </c>
      <c r="B1307" t="s">
        <v>298</v>
      </c>
      <c r="C1307" t="s">
        <v>132</v>
      </c>
      <c r="D1307" s="27" t="s">
        <v>17</v>
      </c>
      <c r="E1307" s="4" t="s">
        <v>40</v>
      </c>
      <c r="F1307" s="4">
        <v>224000000</v>
      </c>
      <c r="G1307" s="8" t="str">
        <f>+VLOOKUP(Tabla14[[#This Row],[FONDO]],MAESTRO!$D$2:$E$119,2,FALSE)</f>
        <v>BBVA Banco Frances SA</v>
      </c>
      <c r="H1307" s="8" t="str">
        <f>+VLOOKUP(Tabla14[[#This Row],[FONDO]],MAESTRO!D:F,3,FALSE)</f>
        <v>(T+0)</v>
      </c>
      <c r="I1307" s="4" t="s">
        <v>9</v>
      </c>
      <c r="L130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7" s="4">
        <f>ROUND(IF(Tabla14[[#This Row],[OPERACIÓN]]=MAESTRO!$B$2,Tabla14[CAPITAL],IF(Tabla14[[#This Row],[OPERACIÓN]]=MAESTRO!$B$5,Tabla14[CAPITAL],-Tabla14[[#This Row],[CAPITAL]])),2)</f>
        <v>-224000000</v>
      </c>
    </row>
    <row r="1308" spans="1:13" x14ac:dyDescent="0.3">
      <c r="A1308" s="26">
        <v>46241</v>
      </c>
      <c r="B1308" t="s">
        <v>299</v>
      </c>
      <c r="C1308" t="s">
        <v>132</v>
      </c>
      <c r="D1308" s="27" t="s">
        <v>16</v>
      </c>
      <c r="E1308" s="4" t="s">
        <v>48</v>
      </c>
      <c r="F1308" s="4">
        <v>116700000</v>
      </c>
      <c r="G1308" s="8" t="str">
        <f>+VLOOKUP(Tabla14[[#This Row],[FONDO]],MAESTRO!$D$2:$E$119,2,FALSE)</f>
        <v>Banco Macro S.A.</v>
      </c>
      <c r="H1308" s="8" t="str">
        <f>+VLOOKUP(Tabla14[[#This Row],[FONDO]],MAESTRO!D:F,3,FALSE)</f>
        <v>(T+0)</v>
      </c>
      <c r="I1308" s="4" t="s">
        <v>9</v>
      </c>
      <c r="L130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8" s="4">
        <f>ROUND(IF(Tabla14[[#This Row],[OPERACIÓN]]=MAESTRO!$B$2,Tabla14[CAPITAL],IF(Tabla14[[#This Row],[OPERACIÓN]]=MAESTRO!$B$5,Tabla14[CAPITAL],-Tabla14[[#This Row],[CAPITAL]])),2)</f>
        <v>116700000</v>
      </c>
    </row>
    <row r="1309" spans="1:13" x14ac:dyDescent="0.3">
      <c r="A1309" s="26">
        <v>46241</v>
      </c>
      <c r="B1309" t="s">
        <v>292</v>
      </c>
      <c r="C1309" t="s">
        <v>132</v>
      </c>
      <c r="D1309" s="27" t="s">
        <v>17</v>
      </c>
      <c r="E1309" s="4" t="s">
        <v>170</v>
      </c>
      <c r="F1309" s="4">
        <v>67261617</v>
      </c>
      <c r="G1309" s="8" t="str">
        <f>+VLOOKUP(Tabla14[[#This Row],[FONDO]],MAESTRO!$D$2:$E$119,2,FALSE)</f>
        <v>Banco Santander Rio S.A.</v>
      </c>
      <c r="H1309" s="8" t="str">
        <f>+VLOOKUP(Tabla14[[#This Row],[FONDO]],MAESTRO!D:F,3,FALSE)</f>
        <v>(T+0)</v>
      </c>
      <c r="I1309" s="4" t="s">
        <v>9</v>
      </c>
      <c r="L130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09" s="4">
        <f>ROUND(IF(Tabla14[[#This Row],[OPERACIÓN]]=MAESTRO!$B$2,Tabla14[CAPITAL],IF(Tabla14[[#This Row],[OPERACIÓN]]=MAESTRO!$B$5,Tabla14[CAPITAL],-Tabla14[[#This Row],[CAPITAL]])),2)</f>
        <v>-67261617</v>
      </c>
    </row>
    <row r="1310" spans="1:13" x14ac:dyDescent="0.3">
      <c r="A1310" s="26">
        <v>46244</v>
      </c>
      <c r="B1310" t="s">
        <v>298</v>
      </c>
      <c r="C1310" t="s">
        <v>132</v>
      </c>
      <c r="D1310" s="27" t="s">
        <v>17</v>
      </c>
      <c r="E1310" s="4" t="s">
        <v>136</v>
      </c>
      <c r="F1310" s="4">
        <v>2292750000</v>
      </c>
      <c r="G1310" s="126" t="str">
        <f>+VLOOKUP(Tabla14[[#This Row],[FONDO]],MAESTRO!$D$2:$E$119,2,FALSE)</f>
        <v>Gma Capital</v>
      </c>
      <c r="H1310" s="8" t="str">
        <f>+VLOOKUP(Tabla14[[#This Row],[FONDO]],MAESTRO!D:F,3,FALSE)</f>
        <v>(T+0)</v>
      </c>
      <c r="I1310" s="4" t="s">
        <v>9</v>
      </c>
      <c r="L131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0" s="4">
        <f>ROUND(IF(Tabla14[[#This Row],[OPERACIÓN]]=MAESTRO!$B$2,Tabla14[CAPITAL],IF(Tabla14[[#This Row],[OPERACIÓN]]=MAESTRO!$B$5,Tabla14[CAPITAL],-Tabla14[[#This Row],[CAPITAL]])),2)</f>
        <v>-2292750000</v>
      </c>
    </row>
    <row r="1311" spans="1:13" x14ac:dyDescent="0.3">
      <c r="A1311" s="26">
        <v>46244</v>
      </c>
      <c r="B1311" t="s">
        <v>299</v>
      </c>
      <c r="C1311" t="s">
        <v>132</v>
      </c>
      <c r="D1311" s="27" t="s">
        <v>17</v>
      </c>
      <c r="E1311" s="4" t="s">
        <v>48</v>
      </c>
      <c r="F1311" s="4">
        <v>122200000</v>
      </c>
      <c r="G1311" s="126" t="str">
        <f>+VLOOKUP(Tabla14[[#This Row],[FONDO]],MAESTRO!$D$2:$E$119,2,FALSE)</f>
        <v>Banco Macro S.A.</v>
      </c>
      <c r="H1311" s="8" t="str">
        <f>+VLOOKUP(Tabla14[[#This Row],[FONDO]],MAESTRO!D:F,3,FALSE)</f>
        <v>(T+0)</v>
      </c>
      <c r="I1311" s="4" t="s">
        <v>9</v>
      </c>
      <c r="L13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1" s="4">
        <f>ROUND(IF(Tabla14[[#This Row],[OPERACIÓN]]=MAESTRO!$B$2,Tabla14[CAPITAL],IF(Tabla14[[#This Row],[OPERACIÓN]]=MAESTRO!$B$5,Tabla14[CAPITAL],-Tabla14[[#This Row],[CAPITAL]])),2)</f>
        <v>-122200000</v>
      </c>
    </row>
    <row r="1312" spans="1:13" x14ac:dyDescent="0.3">
      <c r="A1312" s="26">
        <v>46244</v>
      </c>
      <c r="B1312" t="s">
        <v>126</v>
      </c>
      <c r="C1312" t="s">
        <v>132</v>
      </c>
      <c r="D1312" s="27" t="s">
        <v>17</v>
      </c>
      <c r="E1312" s="4" t="s">
        <v>48</v>
      </c>
      <c r="F1312" s="4">
        <v>20100000</v>
      </c>
      <c r="G1312" s="126" t="str">
        <f>+VLOOKUP(Tabla14[[#This Row],[FONDO]],MAESTRO!$D$2:$E$119,2,FALSE)</f>
        <v>Banco Macro S.A.</v>
      </c>
      <c r="H1312" s="8" t="str">
        <f>+VLOOKUP(Tabla14[[#This Row],[FONDO]],MAESTRO!D:F,3,FALSE)</f>
        <v>(T+0)</v>
      </c>
      <c r="I1312" s="4" t="s">
        <v>9</v>
      </c>
      <c r="L131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2" s="4">
        <f>ROUND(IF(Tabla14[[#This Row],[OPERACIÓN]]=MAESTRO!$B$2,Tabla14[CAPITAL],IF(Tabla14[[#This Row],[OPERACIÓN]]=MAESTRO!$B$5,Tabla14[CAPITAL],-Tabla14[[#This Row],[CAPITAL]])),2)</f>
        <v>-20100000</v>
      </c>
    </row>
    <row r="1313" spans="1:13" x14ac:dyDescent="0.3">
      <c r="A1313" s="26">
        <v>46244</v>
      </c>
      <c r="B1313" t="s">
        <v>292</v>
      </c>
      <c r="C1313" t="s">
        <v>132</v>
      </c>
      <c r="D1313" s="27" t="s">
        <v>17</v>
      </c>
      <c r="E1313" s="4" t="s">
        <v>40</v>
      </c>
      <c r="F1313" s="4">
        <v>147700000</v>
      </c>
      <c r="G1313" s="126" t="str">
        <f>+VLOOKUP(Tabla14[[#This Row],[FONDO]],MAESTRO!$D$2:$E$119,2,FALSE)</f>
        <v>BBVA Banco Frances SA</v>
      </c>
      <c r="H1313" s="8" t="str">
        <f>+VLOOKUP(Tabla14[[#This Row],[FONDO]],MAESTRO!D:F,3,FALSE)</f>
        <v>(T+0)</v>
      </c>
      <c r="I1313" s="4" t="s">
        <v>9</v>
      </c>
      <c r="L131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3" s="4">
        <f>ROUND(IF(Tabla14[[#This Row],[OPERACIÓN]]=MAESTRO!$B$2,Tabla14[CAPITAL],IF(Tabla14[[#This Row],[OPERACIÓN]]=MAESTRO!$B$5,Tabla14[CAPITAL],-Tabla14[[#This Row],[CAPITAL]])),2)</f>
        <v>-147700000</v>
      </c>
    </row>
    <row r="1314" spans="1:13" x14ac:dyDescent="0.3">
      <c r="A1314" s="26">
        <v>46244</v>
      </c>
      <c r="B1314" t="s">
        <v>298</v>
      </c>
      <c r="C1314" t="s">
        <v>132</v>
      </c>
      <c r="D1314" s="27" t="s">
        <v>17</v>
      </c>
      <c r="E1314" s="4" t="s">
        <v>40</v>
      </c>
      <c r="F1314" s="4">
        <v>2507100000</v>
      </c>
      <c r="G1314" s="126" t="str">
        <f>+VLOOKUP(Tabla14[[#This Row],[FONDO]],MAESTRO!$D$2:$E$119,2,FALSE)</f>
        <v>BBVA Banco Frances SA</v>
      </c>
      <c r="H1314" s="8" t="str">
        <f>+VLOOKUP(Tabla14[[#This Row],[FONDO]],MAESTRO!D:F,3,FALSE)</f>
        <v>(T+0)</v>
      </c>
      <c r="I1314" s="4" t="s">
        <v>9</v>
      </c>
      <c r="L131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4" s="4">
        <f>ROUND(IF(Tabla14[[#This Row],[OPERACIÓN]]=MAESTRO!$B$2,Tabla14[CAPITAL],IF(Tabla14[[#This Row],[OPERACIÓN]]=MAESTRO!$B$5,Tabla14[CAPITAL],-Tabla14[[#This Row],[CAPITAL]])),2)</f>
        <v>-2507100000</v>
      </c>
    </row>
    <row r="1315" spans="1:13" x14ac:dyDescent="0.3">
      <c r="A1315" s="26">
        <v>46244</v>
      </c>
      <c r="B1315" t="s">
        <v>298</v>
      </c>
      <c r="C1315" t="s">
        <v>132</v>
      </c>
      <c r="D1315" s="27" t="s">
        <v>17</v>
      </c>
      <c r="E1315" s="4" t="s">
        <v>40</v>
      </c>
      <c r="F1315" s="4">
        <v>800000</v>
      </c>
      <c r="G1315" s="8" t="str">
        <f>+VLOOKUP(Tabla14[[#This Row],[FONDO]],MAESTRO!$D$2:$E$119,2,FALSE)</f>
        <v>BBVA Banco Frances SA</v>
      </c>
      <c r="H1315" s="8" t="str">
        <f>+VLOOKUP(Tabla14[[#This Row],[FONDO]],MAESTRO!D:F,3,FALSE)</f>
        <v>(T+0)</v>
      </c>
      <c r="I1315" s="4" t="s">
        <v>9</v>
      </c>
      <c r="L131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5" s="4">
        <f>ROUND(IF(Tabla14[[#This Row],[OPERACIÓN]]=MAESTRO!$B$2,Tabla14[CAPITAL],IF(Tabla14[[#This Row],[OPERACIÓN]]=MAESTRO!$B$5,Tabla14[CAPITAL],-Tabla14[[#This Row],[CAPITAL]])),2)</f>
        <v>-800000</v>
      </c>
    </row>
    <row r="1316" spans="1:13" x14ac:dyDescent="0.3">
      <c r="A1316" s="26">
        <v>46244</v>
      </c>
      <c r="B1316" t="s">
        <v>299</v>
      </c>
      <c r="C1316" t="s">
        <v>132</v>
      </c>
      <c r="D1316" s="27" t="s">
        <v>16</v>
      </c>
      <c r="E1316" s="4" t="s">
        <v>204</v>
      </c>
      <c r="F1316" s="4">
        <v>54467718.579999998</v>
      </c>
      <c r="G1316" s="8" t="str">
        <f>+VLOOKUP(Tabla14[[#This Row],[FONDO]],MAESTRO!$D$2:$E$119,2,FALSE)</f>
        <v>Latin Securities</v>
      </c>
      <c r="H1316" s="8" t="str">
        <f>+VLOOKUP(Tabla14[[#This Row],[FONDO]],MAESTRO!D:F,3,FALSE)</f>
        <v>(T+0)</v>
      </c>
      <c r="I1316" s="4" t="s">
        <v>9</v>
      </c>
      <c r="L13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6" s="4">
        <f>ROUND(IF(Tabla14[[#This Row],[OPERACIÓN]]=MAESTRO!$B$2,Tabla14[CAPITAL],IF(Tabla14[[#This Row],[OPERACIÓN]]=MAESTRO!$B$5,Tabla14[CAPITAL],-Tabla14[[#This Row],[CAPITAL]])),2)</f>
        <v>54467718.579999998</v>
      </c>
    </row>
    <row r="1317" spans="1:13" x14ac:dyDescent="0.3">
      <c r="A1317" s="37">
        <v>46245</v>
      </c>
      <c r="B1317" s="20" t="s">
        <v>298</v>
      </c>
      <c r="C1317" s="20" t="s">
        <v>132</v>
      </c>
      <c r="D1317" s="38" t="s">
        <v>16</v>
      </c>
      <c r="E1317" s="39" t="s">
        <v>136</v>
      </c>
      <c r="F1317" s="39">
        <v>10198049.15</v>
      </c>
      <c r="G1317" s="127" t="str">
        <f>+VLOOKUP(Tabla14[[#This Row],[FONDO]],MAESTRO!$D$2:$E$119,2,FALSE)</f>
        <v>Gma Capital</v>
      </c>
      <c r="H1317" s="40" t="str">
        <f>+VLOOKUP(Tabla14[[#This Row],[FONDO]],MAESTRO!D:F,3,FALSE)</f>
        <v>(T+0)</v>
      </c>
      <c r="I1317" s="39" t="s">
        <v>9</v>
      </c>
      <c r="J1317" s="49"/>
      <c r="K1317" s="20"/>
      <c r="L131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7" s="39">
        <f>ROUND(IF(Tabla14[[#This Row],[OPERACIÓN]]=MAESTRO!$B$2,Tabla14[CAPITAL],IF(Tabla14[[#This Row],[OPERACIÓN]]=MAESTRO!$B$5,Tabla14[CAPITAL],-Tabla14[[#This Row],[CAPITAL]])),2)</f>
        <v>10198049.15</v>
      </c>
    </row>
    <row r="1318" spans="1:13" x14ac:dyDescent="0.3">
      <c r="A1318" s="26">
        <v>46245</v>
      </c>
      <c r="B1318" t="s">
        <v>126</v>
      </c>
      <c r="C1318" t="s">
        <v>132</v>
      </c>
      <c r="D1318" s="27" t="s">
        <v>17</v>
      </c>
      <c r="E1318" s="4" t="s">
        <v>48</v>
      </c>
      <c r="F1318" s="4">
        <v>200000</v>
      </c>
      <c r="G1318" s="8" t="str">
        <f>+VLOOKUP(Tabla14[[#This Row],[FONDO]],MAESTRO!$D$2:$E$119,2,FALSE)</f>
        <v>Banco Macro S.A.</v>
      </c>
      <c r="H1318" s="8" t="str">
        <f>+VLOOKUP(Tabla14[[#This Row],[FONDO]],MAESTRO!D:F,3,FALSE)</f>
        <v>(T+0)</v>
      </c>
      <c r="I1318" s="4" t="s">
        <v>9</v>
      </c>
      <c r="L13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8" s="4">
        <f>ROUND(IF(Tabla14[[#This Row],[OPERACIÓN]]=MAESTRO!$B$2,Tabla14[CAPITAL],IF(Tabla14[[#This Row],[OPERACIÓN]]=MAESTRO!$B$5,Tabla14[CAPITAL],-Tabla14[[#This Row],[CAPITAL]])),2)</f>
        <v>-200000</v>
      </c>
    </row>
    <row r="1319" spans="1:13" x14ac:dyDescent="0.3">
      <c r="A1319" s="26">
        <v>46245</v>
      </c>
      <c r="B1319" t="s">
        <v>298</v>
      </c>
      <c r="C1319" t="s">
        <v>132</v>
      </c>
      <c r="D1319" s="27" t="s">
        <v>17</v>
      </c>
      <c r="E1319" s="4" t="s">
        <v>40</v>
      </c>
      <c r="F1319" s="4">
        <v>556300000</v>
      </c>
      <c r="G1319" s="8" t="str">
        <f>+VLOOKUP(Tabla14[[#This Row],[FONDO]],MAESTRO!$D$2:$E$119,2,FALSE)</f>
        <v>BBVA Banco Frances SA</v>
      </c>
      <c r="H1319" s="8" t="str">
        <f>+VLOOKUP(Tabla14[[#This Row],[FONDO]],MAESTRO!D:F,3,FALSE)</f>
        <v>(T+0)</v>
      </c>
      <c r="I1319" s="4" t="s">
        <v>9</v>
      </c>
      <c r="L13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19" s="4">
        <f>ROUND(IF(Tabla14[[#This Row],[OPERACIÓN]]=MAESTRO!$B$2,Tabla14[CAPITAL],IF(Tabla14[[#This Row],[OPERACIÓN]]=MAESTRO!$B$5,Tabla14[CAPITAL],-Tabla14[[#This Row],[CAPITAL]])),2)</f>
        <v>-556300000</v>
      </c>
    </row>
    <row r="1320" spans="1:13" x14ac:dyDescent="0.3">
      <c r="A1320" s="26">
        <v>46245</v>
      </c>
      <c r="B1320" t="s">
        <v>299</v>
      </c>
      <c r="C1320" t="s">
        <v>132</v>
      </c>
      <c r="D1320" s="27" t="s">
        <v>16</v>
      </c>
      <c r="E1320" s="4" t="s">
        <v>48</v>
      </c>
      <c r="F1320" s="4">
        <v>39500000</v>
      </c>
      <c r="G1320" s="8" t="str">
        <f>+VLOOKUP(Tabla14[[#This Row],[FONDO]],MAESTRO!$D$2:$E$119,2,FALSE)</f>
        <v>Banco Macro S.A.</v>
      </c>
      <c r="H1320" s="8" t="str">
        <f>+VLOOKUP(Tabla14[[#This Row],[FONDO]],MAESTRO!D:F,3,FALSE)</f>
        <v>(T+0)</v>
      </c>
      <c r="I1320" s="4" t="s">
        <v>9</v>
      </c>
      <c r="L13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0" s="4">
        <f>ROUND(IF(Tabla14[[#This Row],[OPERACIÓN]]=MAESTRO!$B$2,Tabla14[CAPITAL],IF(Tabla14[[#This Row],[OPERACIÓN]]=MAESTRO!$B$5,Tabla14[CAPITAL],-Tabla14[[#This Row],[CAPITAL]])),2)</f>
        <v>39500000</v>
      </c>
    </row>
    <row r="1321" spans="1:13" x14ac:dyDescent="0.3">
      <c r="A1321" s="26">
        <v>46245</v>
      </c>
      <c r="B1321" t="s">
        <v>298</v>
      </c>
      <c r="C1321" t="s">
        <v>132</v>
      </c>
      <c r="D1321" s="27" t="s">
        <v>17</v>
      </c>
      <c r="E1321" s="4" t="s">
        <v>255</v>
      </c>
      <c r="F1321" s="4">
        <v>62360058.359999999</v>
      </c>
      <c r="G1321" s="8" t="str">
        <f>+VLOOKUP(Tabla14[[#This Row],[FONDO]],MAESTRO!$D$2:$E$119,2,FALSE)</f>
        <v>Inviu inversiones</v>
      </c>
      <c r="H1321" s="8" t="str">
        <f>+VLOOKUP(Tabla14[[#This Row],[FONDO]],MAESTRO!D:F,3,FALSE)</f>
        <v>(T+0)</v>
      </c>
      <c r="I1321" s="4" t="s">
        <v>9</v>
      </c>
      <c r="L13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1" s="4">
        <f>ROUND(IF(Tabla14[[#This Row],[OPERACIÓN]]=MAESTRO!$B$2,Tabla14[CAPITAL],IF(Tabla14[[#This Row],[OPERACIÓN]]=MAESTRO!$B$5,Tabla14[CAPITAL],-Tabla14[[#This Row],[CAPITAL]])),2)</f>
        <v>-62360058.359999999</v>
      </c>
    </row>
    <row r="1322" spans="1:13" x14ac:dyDescent="0.3">
      <c r="A1322" s="26">
        <v>46245</v>
      </c>
      <c r="B1322" t="s">
        <v>298</v>
      </c>
      <c r="C1322" t="s">
        <v>132</v>
      </c>
      <c r="D1322" s="27" t="s">
        <v>17</v>
      </c>
      <c r="E1322" s="4" t="s">
        <v>255</v>
      </c>
      <c r="F1322" s="4">
        <v>81468627.400000006</v>
      </c>
      <c r="G1322" s="8" t="str">
        <f>+VLOOKUP(Tabla14[[#This Row],[FONDO]],MAESTRO!$D$2:$E$119,2,FALSE)</f>
        <v>Inviu inversiones</v>
      </c>
      <c r="H1322" s="8" t="str">
        <f>+VLOOKUP(Tabla14[[#This Row],[FONDO]],MAESTRO!D:F,3,FALSE)</f>
        <v>(T+0)</v>
      </c>
      <c r="I1322" s="4" t="s">
        <v>9</v>
      </c>
      <c r="L13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2" s="4">
        <f>ROUND(IF(Tabla14[[#This Row],[OPERACIÓN]]=MAESTRO!$B$2,Tabla14[CAPITAL],IF(Tabla14[[#This Row],[OPERACIÓN]]=MAESTRO!$B$5,Tabla14[CAPITAL],-Tabla14[[#This Row],[CAPITAL]])),2)</f>
        <v>-81468627.400000006</v>
      </c>
    </row>
    <row r="1323" spans="1:13" x14ac:dyDescent="0.3">
      <c r="A1323" s="26">
        <v>46245</v>
      </c>
      <c r="B1323" t="s">
        <v>298</v>
      </c>
      <c r="C1323" t="s">
        <v>132</v>
      </c>
      <c r="D1323" s="27" t="s">
        <v>17</v>
      </c>
      <c r="E1323" s="4" t="s">
        <v>136</v>
      </c>
      <c r="F1323" s="4">
        <v>174587664.81</v>
      </c>
      <c r="G1323" s="8" t="str">
        <f>+VLOOKUP(Tabla14[[#This Row],[FONDO]],MAESTRO!$D$2:$E$119,2,FALSE)</f>
        <v>Gma Capital</v>
      </c>
      <c r="H1323" s="8" t="str">
        <f>+VLOOKUP(Tabla14[[#This Row],[FONDO]],MAESTRO!D:F,3,FALSE)</f>
        <v>(T+0)</v>
      </c>
      <c r="I1323" s="4" t="s">
        <v>9</v>
      </c>
      <c r="L13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3" s="4">
        <f>ROUND(IF(Tabla14[[#This Row],[OPERACIÓN]]=MAESTRO!$B$2,Tabla14[CAPITAL],IF(Tabla14[[#This Row],[OPERACIÓN]]=MAESTRO!$B$5,Tabla14[CAPITAL],-Tabla14[[#This Row],[CAPITAL]])),2)</f>
        <v>-174587664.81</v>
      </c>
    </row>
    <row r="1324" spans="1:13" x14ac:dyDescent="0.3">
      <c r="A1324" s="26">
        <v>46245</v>
      </c>
      <c r="B1324" t="s">
        <v>298</v>
      </c>
      <c r="C1324" t="s">
        <v>132</v>
      </c>
      <c r="D1324" s="27" t="s">
        <v>17</v>
      </c>
      <c r="E1324" s="4" t="s">
        <v>136</v>
      </c>
      <c r="F1324" s="4">
        <v>110334753.45</v>
      </c>
      <c r="G1324" s="8" t="str">
        <f>+VLOOKUP(Tabla14[[#This Row],[FONDO]],MAESTRO!$D$2:$E$119,2,FALSE)</f>
        <v>Gma Capital</v>
      </c>
      <c r="H1324" s="8" t="str">
        <f>+VLOOKUP(Tabla14[[#This Row],[FONDO]],MAESTRO!D:F,3,FALSE)</f>
        <v>(T+0)</v>
      </c>
      <c r="I1324" s="4" t="s">
        <v>9</v>
      </c>
      <c r="L13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4" s="4">
        <f>ROUND(IF(Tabla14[[#This Row],[OPERACIÓN]]=MAESTRO!$B$2,Tabla14[CAPITAL],IF(Tabla14[[#This Row],[OPERACIÓN]]=MAESTRO!$B$5,Tabla14[CAPITAL],-Tabla14[[#This Row],[CAPITAL]])),2)</f>
        <v>-110334753.45</v>
      </c>
    </row>
    <row r="1325" spans="1:13" x14ac:dyDescent="0.3">
      <c r="A1325" s="26">
        <v>46245</v>
      </c>
      <c r="B1325" t="s">
        <v>298</v>
      </c>
      <c r="C1325" t="s">
        <v>132</v>
      </c>
      <c r="D1325" s="27" t="s">
        <v>17</v>
      </c>
      <c r="E1325" s="4" t="s">
        <v>170</v>
      </c>
      <c r="F1325" s="4">
        <v>96842331.650000006</v>
      </c>
      <c r="G1325" s="8" t="str">
        <f>+VLOOKUP(Tabla14[[#This Row],[FONDO]],MAESTRO!$D$2:$E$119,2,FALSE)</f>
        <v>Banco Santander Rio S.A.</v>
      </c>
      <c r="H1325" s="8" t="str">
        <f>+VLOOKUP(Tabla14[[#This Row],[FONDO]],MAESTRO!D:F,3,FALSE)</f>
        <v>(T+0)</v>
      </c>
      <c r="I1325" s="4" t="s">
        <v>9</v>
      </c>
      <c r="L13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5" s="4">
        <f>ROUND(IF(Tabla14[[#This Row],[OPERACIÓN]]=MAESTRO!$B$2,Tabla14[CAPITAL],IF(Tabla14[[#This Row],[OPERACIÓN]]=MAESTRO!$B$5,Tabla14[CAPITAL],-Tabla14[[#This Row],[CAPITAL]])),2)</f>
        <v>-96842331.650000006</v>
      </c>
    </row>
    <row r="1326" spans="1:13" x14ac:dyDescent="0.3">
      <c r="A1326" s="26">
        <v>46245</v>
      </c>
      <c r="B1326" t="s">
        <v>298</v>
      </c>
      <c r="C1326" t="s">
        <v>132</v>
      </c>
      <c r="D1326" s="27" t="s">
        <v>17</v>
      </c>
      <c r="E1326" s="4" t="s">
        <v>170</v>
      </c>
      <c r="F1326" s="4">
        <v>93071809.319999993</v>
      </c>
      <c r="G1326" s="8" t="str">
        <f>+VLOOKUP(Tabla14[[#This Row],[FONDO]],MAESTRO!$D$2:$E$119,2,FALSE)</f>
        <v>Banco Santander Rio S.A.</v>
      </c>
      <c r="H1326" s="8" t="str">
        <f>+VLOOKUP(Tabla14[[#This Row],[FONDO]],MAESTRO!D:F,3,FALSE)</f>
        <v>(T+0)</v>
      </c>
      <c r="I1326" s="4" t="s">
        <v>9</v>
      </c>
      <c r="L13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6" s="4">
        <f>ROUND(IF(Tabla14[[#This Row],[OPERACIÓN]]=MAESTRO!$B$2,Tabla14[CAPITAL],IF(Tabla14[[#This Row],[OPERACIÓN]]=MAESTRO!$B$5,Tabla14[CAPITAL],-Tabla14[[#This Row],[CAPITAL]])),2)</f>
        <v>-93071809.319999993</v>
      </c>
    </row>
    <row r="1327" spans="1:13" x14ac:dyDescent="0.3">
      <c r="A1327" s="26">
        <v>46245</v>
      </c>
      <c r="B1327" t="s">
        <v>298</v>
      </c>
      <c r="C1327" t="s">
        <v>132</v>
      </c>
      <c r="D1327" s="27" t="s">
        <v>17</v>
      </c>
      <c r="E1327" s="4" t="s">
        <v>40</v>
      </c>
      <c r="F1327" s="4">
        <v>1000000000</v>
      </c>
      <c r="G1327" s="8" t="str">
        <f>+VLOOKUP(Tabla14[[#This Row],[FONDO]],MAESTRO!$D$2:$E$119,2,FALSE)</f>
        <v>BBVA Banco Frances SA</v>
      </c>
      <c r="H1327" s="8" t="str">
        <f>+VLOOKUP(Tabla14[[#This Row],[FONDO]],MAESTRO!D:F,3,FALSE)</f>
        <v>(T+0)</v>
      </c>
      <c r="I1327" s="4" t="s">
        <v>9</v>
      </c>
      <c r="L13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7" s="4">
        <f>ROUND(IF(Tabla14[[#This Row],[OPERACIÓN]]=MAESTRO!$B$2,Tabla14[CAPITAL],IF(Tabla14[[#This Row],[OPERACIÓN]]=MAESTRO!$B$5,Tabla14[CAPITAL],-Tabla14[[#This Row],[CAPITAL]])),2)</f>
        <v>-1000000000</v>
      </c>
    </row>
    <row r="1328" spans="1:13" x14ac:dyDescent="0.3">
      <c r="A1328" s="26">
        <v>46245</v>
      </c>
      <c r="B1328" t="s">
        <v>298</v>
      </c>
      <c r="C1328" t="s">
        <v>132</v>
      </c>
      <c r="D1328" s="27" t="s">
        <v>16</v>
      </c>
      <c r="E1328" s="4" t="s">
        <v>169</v>
      </c>
      <c r="F1328" s="4">
        <v>500000000</v>
      </c>
      <c r="G1328" s="8" t="str">
        <f>+VLOOKUP(Tabla14[[#This Row],[FONDO]],MAESTRO!$D$2:$E$119,2,FALSE)</f>
        <v>Max Capital</v>
      </c>
      <c r="H1328" s="8" t="str">
        <f>+VLOOKUP(Tabla14[[#This Row],[FONDO]],MAESTRO!D:F,3,FALSE)</f>
        <v>(T+0)</v>
      </c>
      <c r="I1328" s="4" t="s">
        <v>9</v>
      </c>
      <c r="L13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8" s="4">
        <f>ROUND(IF(Tabla14[[#This Row],[OPERACIÓN]]=MAESTRO!$B$2,Tabla14[CAPITAL],IF(Tabla14[[#This Row],[OPERACIÓN]]=MAESTRO!$B$5,Tabla14[CAPITAL],-Tabla14[[#This Row],[CAPITAL]])),2)</f>
        <v>500000000</v>
      </c>
    </row>
    <row r="1329" spans="1:13" x14ac:dyDescent="0.3">
      <c r="A1329" s="26">
        <v>46245</v>
      </c>
      <c r="B1329" t="s">
        <v>298</v>
      </c>
      <c r="C1329" t="s">
        <v>132</v>
      </c>
      <c r="D1329" s="27" t="s">
        <v>16</v>
      </c>
      <c r="E1329" s="4" t="s">
        <v>255</v>
      </c>
      <c r="F1329" s="4">
        <v>500000000</v>
      </c>
      <c r="G1329" s="8" t="str">
        <f>+VLOOKUP(Tabla14[[#This Row],[FONDO]],MAESTRO!$D$2:$E$119,2,FALSE)</f>
        <v>Inviu inversiones</v>
      </c>
      <c r="H1329" s="8" t="str">
        <f>+VLOOKUP(Tabla14[[#This Row],[FONDO]],MAESTRO!D:F,3,FALSE)</f>
        <v>(T+0)</v>
      </c>
      <c r="I1329" s="4" t="s">
        <v>9</v>
      </c>
      <c r="L13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29" s="4">
        <f>ROUND(IF(Tabla14[[#This Row],[OPERACIÓN]]=MAESTRO!$B$2,Tabla14[CAPITAL],IF(Tabla14[[#This Row],[OPERACIÓN]]=MAESTRO!$B$5,Tabla14[CAPITAL],-Tabla14[[#This Row],[CAPITAL]])),2)</f>
        <v>500000000</v>
      </c>
    </row>
    <row r="1330" spans="1:13" x14ac:dyDescent="0.3">
      <c r="A1330" s="26">
        <v>46245</v>
      </c>
      <c r="B1330" t="s">
        <v>292</v>
      </c>
      <c r="C1330" t="s">
        <v>132</v>
      </c>
      <c r="D1330" s="27" t="s">
        <v>17</v>
      </c>
      <c r="E1330" s="4" t="s">
        <v>170</v>
      </c>
      <c r="F1330" s="4">
        <v>317400000</v>
      </c>
      <c r="G1330" s="8" t="str">
        <f>+VLOOKUP(Tabla14[[#This Row],[FONDO]],MAESTRO!$D$2:$E$119,2,FALSE)</f>
        <v>Banco Santander Rio S.A.</v>
      </c>
      <c r="H1330" s="8" t="str">
        <f>+VLOOKUP(Tabla14[[#This Row],[FONDO]],MAESTRO!D:F,3,FALSE)</f>
        <v>(T+0)</v>
      </c>
      <c r="I1330" s="4" t="s">
        <v>9</v>
      </c>
      <c r="L13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0" s="4">
        <f>ROUND(IF(Tabla14[[#This Row],[OPERACIÓN]]=MAESTRO!$B$2,Tabla14[CAPITAL],IF(Tabla14[[#This Row],[OPERACIÓN]]=MAESTRO!$B$5,Tabla14[CAPITAL],-Tabla14[[#This Row],[CAPITAL]])),2)</f>
        <v>-317400000</v>
      </c>
    </row>
    <row r="1331" spans="1:13" x14ac:dyDescent="0.3">
      <c r="A1331" s="26">
        <v>46246</v>
      </c>
      <c r="B1331" t="s">
        <v>299</v>
      </c>
      <c r="C1331" t="s">
        <v>132</v>
      </c>
      <c r="D1331" s="27" t="s">
        <v>17</v>
      </c>
      <c r="E1331" s="4" t="s">
        <v>48</v>
      </c>
      <c r="F1331" s="4">
        <v>57100000</v>
      </c>
      <c r="G1331" s="8" t="str">
        <f>+VLOOKUP(Tabla14[[#This Row],[FONDO]],MAESTRO!$D$2:$E$119,2,FALSE)</f>
        <v>Banco Macro S.A.</v>
      </c>
      <c r="H1331" s="8" t="str">
        <f>+VLOOKUP(Tabla14[[#This Row],[FONDO]],MAESTRO!D:F,3,FALSE)</f>
        <v>(T+0)</v>
      </c>
      <c r="I1331" s="4" t="s">
        <v>9</v>
      </c>
      <c r="L13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1" s="4">
        <f>ROUND(IF(Tabla14[[#This Row],[OPERACIÓN]]=MAESTRO!$B$2,Tabla14[CAPITAL],IF(Tabla14[[#This Row],[OPERACIÓN]]=MAESTRO!$B$5,Tabla14[CAPITAL],-Tabla14[[#This Row],[CAPITAL]])),2)</f>
        <v>-57100000</v>
      </c>
    </row>
    <row r="1332" spans="1:13" x14ac:dyDescent="0.3">
      <c r="A1332" s="26">
        <v>46246</v>
      </c>
      <c r="B1332" t="s">
        <v>126</v>
      </c>
      <c r="C1332" t="s">
        <v>132</v>
      </c>
      <c r="D1332" s="27" t="s">
        <v>16</v>
      </c>
      <c r="E1332" s="4" t="s">
        <v>48</v>
      </c>
      <c r="F1332" s="4">
        <v>366100000</v>
      </c>
      <c r="G1332" s="8" t="str">
        <f>+VLOOKUP(Tabla14[[#This Row],[FONDO]],MAESTRO!$D$2:$E$119,2,FALSE)</f>
        <v>Banco Macro S.A.</v>
      </c>
      <c r="H1332" s="8" t="str">
        <f>+VLOOKUP(Tabla14[[#This Row],[FONDO]],MAESTRO!D:F,3,FALSE)</f>
        <v>(T+0)</v>
      </c>
      <c r="I1332" s="4" t="s">
        <v>9</v>
      </c>
      <c r="L13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2" s="4">
        <f>ROUND(IF(Tabla14[[#This Row],[OPERACIÓN]]=MAESTRO!$B$2,Tabla14[CAPITAL],IF(Tabla14[[#This Row],[OPERACIÓN]]=MAESTRO!$B$5,Tabla14[CAPITAL],-Tabla14[[#This Row],[CAPITAL]])),2)</f>
        <v>366100000</v>
      </c>
    </row>
    <row r="1333" spans="1:13" x14ac:dyDescent="0.3">
      <c r="A1333" s="26">
        <v>46246</v>
      </c>
      <c r="B1333" t="s">
        <v>298</v>
      </c>
      <c r="C1333" t="s">
        <v>132</v>
      </c>
      <c r="D1333" s="27" t="s">
        <v>17</v>
      </c>
      <c r="E1333" s="4" t="s">
        <v>40</v>
      </c>
      <c r="F1333" s="4">
        <v>1320100000</v>
      </c>
      <c r="G1333" s="8" t="str">
        <f>+VLOOKUP(Tabla14[[#This Row],[FONDO]],MAESTRO!$D$2:$E$119,2,FALSE)</f>
        <v>BBVA Banco Frances SA</v>
      </c>
      <c r="H1333" s="8" t="str">
        <f>+VLOOKUP(Tabla14[[#This Row],[FONDO]],MAESTRO!D:F,3,FALSE)</f>
        <v>(T+0)</v>
      </c>
      <c r="I1333" s="4" t="s">
        <v>9</v>
      </c>
      <c r="L13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3" s="4">
        <f>ROUND(IF(Tabla14[[#This Row],[OPERACIÓN]]=MAESTRO!$B$2,Tabla14[CAPITAL],IF(Tabla14[[#This Row],[OPERACIÓN]]=MAESTRO!$B$5,Tabla14[CAPITAL],-Tabla14[[#This Row],[CAPITAL]])),2)</f>
        <v>-1320100000</v>
      </c>
    </row>
    <row r="1334" spans="1:13" s="20" customFormat="1" x14ac:dyDescent="0.3">
      <c r="A1334" s="26">
        <v>46246</v>
      </c>
      <c r="B1334" t="s">
        <v>299</v>
      </c>
      <c r="C1334" t="s">
        <v>132</v>
      </c>
      <c r="D1334" s="27" t="s">
        <v>17</v>
      </c>
      <c r="E1334" s="4" t="s">
        <v>136</v>
      </c>
      <c r="F1334" s="4">
        <v>58665862.020000003</v>
      </c>
      <c r="G1334" s="8" t="str">
        <f>+VLOOKUP(Tabla14[[#This Row],[FONDO]],MAESTRO!$D$2:$E$119,2,FALSE)</f>
        <v>Gma Capital</v>
      </c>
      <c r="H1334" s="8" t="str">
        <f>+VLOOKUP(Tabla14[[#This Row],[FONDO]],MAESTRO!D:F,3,FALSE)</f>
        <v>(T+0)</v>
      </c>
      <c r="I1334" s="4" t="s">
        <v>9</v>
      </c>
      <c r="J1334" s="23"/>
      <c r="K1334"/>
      <c r="L13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4" s="4">
        <f>ROUND(IF(Tabla14[[#This Row],[OPERACIÓN]]=MAESTRO!$B$2,Tabla14[CAPITAL],IF(Tabla14[[#This Row],[OPERACIÓN]]=MAESTRO!$B$5,Tabla14[CAPITAL],-Tabla14[[#This Row],[CAPITAL]])),2)</f>
        <v>-58665862.020000003</v>
      </c>
    </row>
    <row r="1335" spans="1:13" s="20" customFormat="1" x14ac:dyDescent="0.3">
      <c r="A1335" s="26">
        <v>46246</v>
      </c>
      <c r="B1335" t="s">
        <v>299</v>
      </c>
      <c r="C1335" t="s">
        <v>132</v>
      </c>
      <c r="D1335" s="27" t="s">
        <v>17</v>
      </c>
      <c r="E1335" s="4" t="s">
        <v>136</v>
      </c>
      <c r="F1335" s="4">
        <v>118942427.8</v>
      </c>
      <c r="G1335" s="8" t="str">
        <f>+VLOOKUP(Tabla14[[#This Row],[FONDO]],MAESTRO!$D$2:$E$119,2,FALSE)</f>
        <v>Gma Capital</v>
      </c>
      <c r="H1335" s="8" t="str">
        <f>+VLOOKUP(Tabla14[[#This Row],[FONDO]],MAESTRO!D:F,3,FALSE)</f>
        <v>(T+0)</v>
      </c>
      <c r="I1335" s="4" t="s">
        <v>9</v>
      </c>
      <c r="J1335" s="23"/>
      <c r="K1335"/>
      <c r="L13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5" s="4">
        <f>ROUND(IF(Tabla14[[#This Row],[OPERACIÓN]]=MAESTRO!$B$2,Tabla14[CAPITAL],IF(Tabla14[[#This Row],[OPERACIÓN]]=MAESTRO!$B$5,Tabla14[CAPITAL],-Tabla14[[#This Row],[CAPITAL]])),2)</f>
        <v>-118942427.8</v>
      </c>
    </row>
    <row r="1336" spans="1:13" s="20" customFormat="1" x14ac:dyDescent="0.3">
      <c r="A1336" s="26">
        <v>46246</v>
      </c>
      <c r="B1336" t="s">
        <v>292</v>
      </c>
      <c r="C1336" t="s">
        <v>132</v>
      </c>
      <c r="D1336" s="27" t="s">
        <v>17</v>
      </c>
      <c r="E1336" s="4" t="s">
        <v>170</v>
      </c>
      <c r="F1336" s="4">
        <v>76900000</v>
      </c>
      <c r="G1336" s="8" t="str">
        <f>+VLOOKUP(Tabla14[[#This Row],[FONDO]],MAESTRO!$D$2:$E$119,2,FALSE)</f>
        <v>Banco Santander Rio S.A.</v>
      </c>
      <c r="H1336" s="8" t="str">
        <f>+VLOOKUP(Tabla14[[#This Row],[FONDO]],MAESTRO!D:F,3,FALSE)</f>
        <v>(T+0)</v>
      </c>
      <c r="I1336" s="4" t="s">
        <v>9</v>
      </c>
      <c r="J1336" s="23"/>
      <c r="K1336"/>
      <c r="L13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6" s="4">
        <f>ROUND(IF(Tabla14[[#This Row],[OPERACIÓN]]=MAESTRO!$B$2,Tabla14[CAPITAL],IF(Tabla14[[#This Row],[OPERACIÓN]]=MAESTRO!$B$5,Tabla14[CAPITAL],-Tabla14[[#This Row],[CAPITAL]])),2)</f>
        <v>-76900000</v>
      </c>
    </row>
    <row r="1337" spans="1:13" s="20" customFormat="1" x14ac:dyDescent="0.3">
      <c r="A1337" s="37">
        <v>46246</v>
      </c>
      <c r="B1337" s="20" t="s">
        <v>292</v>
      </c>
      <c r="C1337" s="20" t="s">
        <v>132</v>
      </c>
      <c r="D1337" s="38" t="s">
        <v>16</v>
      </c>
      <c r="E1337" s="39" t="s">
        <v>136</v>
      </c>
      <c r="F1337" s="39">
        <v>3500000</v>
      </c>
      <c r="G1337" s="40" t="str">
        <f>+VLOOKUP(Tabla14[[#This Row],[FONDO]],MAESTRO!$D$2:$E$119,2,FALSE)</f>
        <v>Gma Capital</v>
      </c>
      <c r="H1337" s="40" t="str">
        <f>+VLOOKUP(Tabla14[[#This Row],[FONDO]],MAESTRO!D:F,3,FALSE)</f>
        <v>(T+0)</v>
      </c>
      <c r="I1337" s="39" t="s">
        <v>9</v>
      </c>
      <c r="J1337" s="49"/>
      <c r="L133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7" s="39">
        <f>ROUND(IF(Tabla14[[#This Row],[OPERACIÓN]]=MAESTRO!$B$2,Tabla14[CAPITAL],IF(Tabla14[[#This Row],[OPERACIÓN]]=MAESTRO!$B$5,Tabla14[CAPITAL],-Tabla14[[#This Row],[CAPITAL]])),2)</f>
        <v>3500000</v>
      </c>
    </row>
    <row r="1338" spans="1:13" s="20" customFormat="1" x14ac:dyDescent="0.3">
      <c r="A1338" s="37">
        <v>46246</v>
      </c>
      <c r="B1338" s="20" t="s">
        <v>299</v>
      </c>
      <c r="C1338" s="20" t="s">
        <v>132</v>
      </c>
      <c r="D1338" s="38" t="s">
        <v>16</v>
      </c>
      <c r="E1338" s="39" t="s">
        <v>48</v>
      </c>
      <c r="F1338" s="39">
        <v>2100000</v>
      </c>
      <c r="G1338" s="40" t="str">
        <f>+VLOOKUP(Tabla14[[#This Row],[FONDO]],MAESTRO!$D$2:$E$119,2,FALSE)</f>
        <v>Banco Macro S.A.</v>
      </c>
      <c r="H1338" s="40" t="str">
        <f>+VLOOKUP(Tabla14[[#This Row],[FONDO]],MAESTRO!D:F,3,FALSE)</f>
        <v>(T+0)</v>
      </c>
      <c r="I1338" s="39" t="s">
        <v>9</v>
      </c>
      <c r="J1338" s="49"/>
      <c r="L133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8" s="39">
        <f>ROUND(IF(Tabla14[[#This Row],[OPERACIÓN]]=MAESTRO!$B$2,Tabla14[CAPITAL],IF(Tabla14[[#This Row],[OPERACIÓN]]=MAESTRO!$B$5,Tabla14[CAPITAL],-Tabla14[[#This Row],[CAPITAL]])),2)</f>
        <v>2100000</v>
      </c>
    </row>
    <row r="1339" spans="1:13" s="20" customFormat="1" x14ac:dyDescent="0.3">
      <c r="A1339" s="37">
        <v>46246</v>
      </c>
      <c r="B1339" s="20" t="s">
        <v>299</v>
      </c>
      <c r="C1339" s="20" t="s">
        <v>132</v>
      </c>
      <c r="D1339" s="38" t="s">
        <v>16</v>
      </c>
      <c r="E1339" s="39" t="s">
        <v>136</v>
      </c>
      <c r="F1339" s="39">
        <v>4500000</v>
      </c>
      <c r="G1339" s="40" t="str">
        <f>+VLOOKUP(Tabla14[[#This Row],[FONDO]],MAESTRO!$D$2:$E$119,2,FALSE)</f>
        <v>Gma Capital</v>
      </c>
      <c r="H1339" s="40" t="str">
        <f>+VLOOKUP(Tabla14[[#This Row],[FONDO]],MAESTRO!D:F,3,FALSE)</f>
        <v>(T+0)</v>
      </c>
      <c r="I1339" s="39" t="s">
        <v>9</v>
      </c>
      <c r="J1339" s="49"/>
      <c r="L133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39" s="39">
        <f>ROUND(IF(Tabla14[[#This Row],[OPERACIÓN]]=MAESTRO!$B$2,Tabla14[CAPITAL],IF(Tabla14[[#This Row],[OPERACIÓN]]=MAESTRO!$B$5,Tabla14[CAPITAL],-Tabla14[[#This Row],[CAPITAL]])),2)</f>
        <v>4500000</v>
      </c>
    </row>
    <row r="1340" spans="1:13" s="20" customFormat="1" x14ac:dyDescent="0.3">
      <c r="A1340" s="37">
        <v>46246</v>
      </c>
      <c r="B1340" s="20" t="s">
        <v>299</v>
      </c>
      <c r="C1340" s="20" t="s">
        <v>132</v>
      </c>
      <c r="D1340" s="38" t="s">
        <v>16</v>
      </c>
      <c r="E1340" s="39" t="s">
        <v>169</v>
      </c>
      <c r="F1340" s="39">
        <v>2200000</v>
      </c>
      <c r="G1340" s="40" t="str">
        <f>+VLOOKUP(Tabla14[[#This Row],[FONDO]],MAESTRO!$D$2:$E$119,2,FALSE)</f>
        <v>Max Capital</v>
      </c>
      <c r="H1340" s="40" t="str">
        <f>+VLOOKUP(Tabla14[[#This Row],[FONDO]],MAESTRO!D:F,3,FALSE)</f>
        <v>(T+0)</v>
      </c>
      <c r="I1340" s="39" t="s">
        <v>9</v>
      </c>
      <c r="J1340" s="49"/>
      <c r="L134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0" s="39">
        <f>ROUND(IF(Tabla14[[#This Row],[OPERACIÓN]]=MAESTRO!$B$2,Tabla14[CAPITAL],IF(Tabla14[[#This Row],[OPERACIÓN]]=MAESTRO!$B$5,Tabla14[CAPITAL],-Tabla14[[#This Row],[CAPITAL]])),2)</f>
        <v>2200000</v>
      </c>
    </row>
    <row r="1341" spans="1:13" x14ac:dyDescent="0.3">
      <c r="A1341" s="37">
        <v>46246</v>
      </c>
      <c r="B1341" s="20" t="s">
        <v>126</v>
      </c>
      <c r="C1341" s="20" t="s">
        <v>132</v>
      </c>
      <c r="D1341" s="38" t="s">
        <v>16</v>
      </c>
      <c r="E1341" s="39" t="s">
        <v>48</v>
      </c>
      <c r="F1341" s="39">
        <v>1500000</v>
      </c>
      <c r="G1341" s="40" t="str">
        <f>+VLOOKUP(Tabla14[[#This Row],[FONDO]],MAESTRO!$D$2:$E$119,2,FALSE)</f>
        <v>Banco Macro S.A.</v>
      </c>
      <c r="H1341" s="40" t="str">
        <f>+VLOOKUP(Tabla14[[#This Row],[FONDO]],MAESTRO!D:F,3,FALSE)</f>
        <v>(T+0)</v>
      </c>
      <c r="I1341" s="39" t="s">
        <v>9</v>
      </c>
      <c r="J1341" s="49"/>
      <c r="K1341" s="20"/>
      <c r="L134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1" s="39">
        <f>ROUND(IF(Tabla14[[#This Row],[OPERACIÓN]]=MAESTRO!$B$2,Tabla14[CAPITAL],IF(Tabla14[[#This Row],[OPERACIÓN]]=MAESTRO!$B$5,Tabla14[CAPITAL],-Tabla14[[#This Row],[CAPITAL]])),2)</f>
        <v>1500000</v>
      </c>
    </row>
    <row r="1342" spans="1:13" x14ac:dyDescent="0.3">
      <c r="A1342" s="37">
        <v>46246</v>
      </c>
      <c r="B1342" s="20" t="s">
        <v>298</v>
      </c>
      <c r="C1342" s="20" t="s">
        <v>132</v>
      </c>
      <c r="D1342" s="38" t="s">
        <v>16</v>
      </c>
      <c r="E1342" s="39" t="s">
        <v>48</v>
      </c>
      <c r="F1342" s="39">
        <v>2200000</v>
      </c>
      <c r="G1342" s="40" t="str">
        <f>+VLOOKUP(Tabla14[[#This Row],[FONDO]],MAESTRO!$D$2:$E$119,2,FALSE)</f>
        <v>Banco Macro S.A.</v>
      </c>
      <c r="H1342" s="40" t="str">
        <f>+VLOOKUP(Tabla14[[#This Row],[FONDO]],MAESTRO!D:F,3,FALSE)</f>
        <v>(T+0)</v>
      </c>
      <c r="I1342" s="39" t="s">
        <v>9</v>
      </c>
      <c r="J1342" s="49"/>
      <c r="K1342" s="20"/>
      <c r="L134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2" s="39">
        <f>ROUND(IF(Tabla14[[#This Row],[OPERACIÓN]]=MAESTRO!$B$2,Tabla14[CAPITAL],IF(Tabla14[[#This Row],[OPERACIÓN]]=MAESTRO!$B$5,Tabla14[CAPITAL],-Tabla14[[#This Row],[CAPITAL]])),2)</f>
        <v>2200000</v>
      </c>
    </row>
    <row r="1343" spans="1:13" x14ac:dyDescent="0.3">
      <c r="A1343" s="37">
        <v>46246</v>
      </c>
      <c r="B1343" s="20" t="s">
        <v>298</v>
      </c>
      <c r="C1343" s="20" t="s">
        <v>132</v>
      </c>
      <c r="D1343" s="38" t="s">
        <v>16</v>
      </c>
      <c r="E1343" s="39" t="s">
        <v>40</v>
      </c>
      <c r="F1343" s="39">
        <v>17200000</v>
      </c>
      <c r="G1343" s="40" t="str">
        <f>+VLOOKUP(Tabla14[[#This Row],[FONDO]],MAESTRO!$D$2:$E$119,2,FALSE)</f>
        <v>BBVA Banco Frances SA</v>
      </c>
      <c r="H1343" s="40" t="str">
        <f>+VLOOKUP(Tabla14[[#This Row],[FONDO]],MAESTRO!D:F,3,FALSE)</f>
        <v>(T+0)</v>
      </c>
      <c r="I1343" s="39" t="s">
        <v>9</v>
      </c>
      <c r="J1343" s="49"/>
      <c r="K1343" s="20"/>
      <c r="L134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3" s="39">
        <f>ROUND(IF(Tabla14[[#This Row],[OPERACIÓN]]=MAESTRO!$B$2,Tabla14[CAPITAL],IF(Tabla14[[#This Row],[OPERACIÓN]]=MAESTRO!$B$5,Tabla14[CAPITAL],-Tabla14[[#This Row],[CAPITAL]])),2)</f>
        <v>17200000</v>
      </c>
    </row>
    <row r="1344" spans="1:13" x14ac:dyDescent="0.3">
      <c r="A1344" s="26">
        <v>46247</v>
      </c>
      <c r="B1344" t="s">
        <v>298</v>
      </c>
      <c r="C1344" t="s">
        <v>132</v>
      </c>
      <c r="D1344" s="27" t="s">
        <v>17</v>
      </c>
      <c r="E1344" s="4" t="s">
        <v>57</v>
      </c>
      <c r="F1344" s="4">
        <v>517425271.81</v>
      </c>
      <c r="G1344" s="128" t="str">
        <f>+VLOOKUP(Tabla14[[#This Row],[FONDO]],MAESTRO!$D$2:$E$119,2,FALSE)</f>
        <v>Banco Santander Rio S.A.</v>
      </c>
      <c r="H1344" s="8" t="str">
        <f>+VLOOKUP(Tabla14[[#This Row],[FONDO]],MAESTRO!D:F,3,FALSE)</f>
        <v>(T+1)</v>
      </c>
      <c r="I1344" s="4" t="s">
        <v>9</v>
      </c>
      <c r="L13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4" s="4">
        <f>ROUND(IF(Tabla14[[#This Row],[OPERACIÓN]]=MAESTRO!$B$2,Tabla14[CAPITAL],IF(Tabla14[[#This Row],[OPERACIÓN]]=MAESTRO!$B$5,Tabla14[CAPITAL],-Tabla14[[#This Row],[CAPITAL]])),2)</f>
        <v>-517425271.81</v>
      </c>
    </row>
    <row r="1345" spans="1:13" x14ac:dyDescent="0.3">
      <c r="A1345" s="26">
        <v>46247</v>
      </c>
      <c r="B1345" t="s">
        <v>298</v>
      </c>
      <c r="C1345" t="s">
        <v>132</v>
      </c>
      <c r="D1345" s="27" t="s">
        <v>16</v>
      </c>
      <c r="E1345" s="4" t="s">
        <v>170</v>
      </c>
      <c r="F1345" s="4">
        <v>517425271.81</v>
      </c>
      <c r="G1345" s="128" t="str">
        <f>+VLOOKUP(Tabla14[[#This Row],[FONDO]],MAESTRO!$D$2:$E$119,2,FALSE)</f>
        <v>Banco Santander Rio S.A.</v>
      </c>
      <c r="H1345" s="8" t="str">
        <f>+VLOOKUP(Tabla14[[#This Row],[FONDO]],MAESTRO!D:F,3,FALSE)</f>
        <v>(T+0)</v>
      </c>
      <c r="I1345" s="4" t="s">
        <v>9</v>
      </c>
      <c r="L13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5" s="4">
        <f>ROUND(IF(Tabla14[[#This Row],[OPERACIÓN]]=MAESTRO!$B$2,Tabla14[CAPITAL],IF(Tabla14[[#This Row],[OPERACIÓN]]=MAESTRO!$B$5,Tabla14[CAPITAL],-Tabla14[[#This Row],[CAPITAL]])),2)</f>
        <v>517425271.81</v>
      </c>
    </row>
    <row r="1346" spans="1:13" x14ac:dyDescent="0.3">
      <c r="A1346" s="26">
        <v>46247</v>
      </c>
      <c r="B1346" t="s">
        <v>298</v>
      </c>
      <c r="C1346" t="s">
        <v>132</v>
      </c>
      <c r="D1346" s="27" t="s">
        <v>17</v>
      </c>
      <c r="E1346" s="4" t="s">
        <v>136</v>
      </c>
      <c r="F1346" s="4">
        <v>730174074.49000001</v>
      </c>
      <c r="G1346" s="8" t="str">
        <f>+VLOOKUP(Tabla14[[#This Row],[FONDO]],MAESTRO!$D$2:$E$119,2,FALSE)</f>
        <v>Gma Capital</v>
      </c>
      <c r="H1346" s="8" t="str">
        <f>+VLOOKUP(Tabla14[[#This Row],[FONDO]],MAESTRO!D:F,3,FALSE)</f>
        <v>(T+0)</v>
      </c>
      <c r="I1346" s="4" t="s">
        <v>9</v>
      </c>
      <c r="L134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6" s="4">
        <f>ROUND(IF(Tabla14[[#This Row],[OPERACIÓN]]=MAESTRO!$B$2,Tabla14[CAPITAL],IF(Tabla14[[#This Row],[OPERACIÓN]]=MAESTRO!$B$5,Tabla14[CAPITAL],-Tabla14[[#This Row],[CAPITAL]])),2)</f>
        <v>-730174074.49000001</v>
      </c>
    </row>
    <row r="1347" spans="1:13" x14ac:dyDescent="0.3">
      <c r="A1347" s="26">
        <v>46247</v>
      </c>
      <c r="B1347" t="s">
        <v>298</v>
      </c>
      <c r="C1347" t="s">
        <v>132</v>
      </c>
      <c r="D1347" s="27" t="s">
        <v>17</v>
      </c>
      <c r="E1347" s="4" t="s">
        <v>136</v>
      </c>
      <c r="F1347" s="4">
        <v>151386114.63</v>
      </c>
      <c r="G1347" s="129" t="str">
        <f>+VLOOKUP(Tabla14[[#This Row],[FONDO]],MAESTRO!$D$2:$E$119,2,FALSE)</f>
        <v>Gma Capital</v>
      </c>
      <c r="H1347" s="8" t="str">
        <f>+VLOOKUP(Tabla14[[#This Row],[FONDO]],MAESTRO!D:F,3,FALSE)</f>
        <v>(T+0)</v>
      </c>
      <c r="I1347" s="4" t="s">
        <v>9</v>
      </c>
      <c r="L134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7" s="4">
        <f>ROUND(IF(Tabla14[[#This Row],[OPERACIÓN]]=MAESTRO!$B$2,Tabla14[CAPITAL],IF(Tabla14[[#This Row],[OPERACIÓN]]=MAESTRO!$B$5,Tabla14[CAPITAL],-Tabla14[[#This Row],[CAPITAL]])),2)</f>
        <v>-151386114.63</v>
      </c>
    </row>
    <row r="1348" spans="1:13" x14ac:dyDescent="0.3">
      <c r="A1348" s="26">
        <v>46247</v>
      </c>
      <c r="B1348" t="s">
        <v>298</v>
      </c>
      <c r="C1348" t="s">
        <v>132</v>
      </c>
      <c r="D1348" s="27" t="s">
        <v>17</v>
      </c>
      <c r="E1348" s="4" t="s">
        <v>208</v>
      </c>
      <c r="F1348" s="4">
        <v>116043377.34</v>
      </c>
      <c r="G1348" s="129" t="str">
        <f>+VLOOKUP(Tabla14[[#This Row],[FONDO]],MAESTRO!$D$2:$E$119,2,FALSE)</f>
        <v>Facimex</v>
      </c>
      <c r="H1348" s="8" t="str">
        <f>+VLOOKUP(Tabla14[[#This Row],[FONDO]],MAESTRO!D:F,3,FALSE)</f>
        <v>(T+0)</v>
      </c>
      <c r="I1348" s="4" t="s">
        <v>9</v>
      </c>
      <c r="L134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8" s="4">
        <f>ROUND(IF(Tabla14[[#This Row],[OPERACIÓN]]=MAESTRO!$B$2,Tabla14[CAPITAL],IF(Tabla14[[#This Row],[OPERACIÓN]]=MAESTRO!$B$5,Tabla14[CAPITAL],-Tabla14[[#This Row],[CAPITAL]])),2)</f>
        <v>-116043377.34</v>
      </c>
    </row>
    <row r="1349" spans="1:13" x14ac:dyDescent="0.3">
      <c r="A1349" s="26">
        <v>46247</v>
      </c>
      <c r="B1349" t="s">
        <v>298</v>
      </c>
      <c r="C1349" t="s">
        <v>132</v>
      </c>
      <c r="D1349" s="27" t="s">
        <v>17</v>
      </c>
      <c r="E1349" s="4" t="s">
        <v>208</v>
      </c>
      <c r="F1349" s="4">
        <v>107925660</v>
      </c>
      <c r="G1349" s="129" t="str">
        <f>+VLOOKUP(Tabla14[[#This Row],[FONDO]],MAESTRO!$D$2:$E$119,2,FALSE)</f>
        <v>Facimex</v>
      </c>
      <c r="H1349" s="8" t="str">
        <f>+VLOOKUP(Tabla14[[#This Row],[FONDO]],MAESTRO!D:F,3,FALSE)</f>
        <v>(T+0)</v>
      </c>
      <c r="I1349" s="4" t="s">
        <v>9</v>
      </c>
      <c r="L134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49" s="4">
        <f>ROUND(IF(Tabla14[[#This Row],[OPERACIÓN]]=MAESTRO!$B$2,Tabla14[CAPITAL],IF(Tabla14[[#This Row],[OPERACIÓN]]=MAESTRO!$B$5,Tabla14[CAPITAL],-Tabla14[[#This Row],[CAPITAL]])),2)</f>
        <v>-107925660</v>
      </c>
    </row>
    <row r="1350" spans="1:13" x14ac:dyDescent="0.3">
      <c r="A1350" s="26">
        <v>46247</v>
      </c>
      <c r="B1350" t="s">
        <v>126</v>
      </c>
      <c r="C1350" t="s">
        <v>132</v>
      </c>
      <c r="D1350" s="27" t="s">
        <v>17</v>
      </c>
      <c r="E1350" s="4" t="s">
        <v>48</v>
      </c>
      <c r="F1350" s="4">
        <v>1700000</v>
      </c>
      <c r="G1350" s="8" t="str">
        <f>+VLOOKUP(Tabla14[[#This Row],[FONDO]],MAESTRO!$D$2:$E$119,2,FALSE)</f>
        <v>Banco Macro S.A.</v>
      </c>
      <c r="H1350" s="8" t="str">
        <f>+VLOOKUP(Tabla14[[#This Row],[FONDO]],MAESTRO!D:F,3,FALSE)</f>
        <v>(T+0)</v>
      </c>
      <c r="I1350" s="4" t="s">
        <v>9</v>
      </c>
      <c r="L135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0" s="4">
        <f>ROUND(IF(Tabla14[[#This Row],[OPERACIÓN]]=MAESTRO!$B$2,Tabla14[CAPITAL],IF(Tabla14[[#This Row],[OPERACIÓN]]=MAESTRO!$B$5,Tabla14[CAPITAL],-Tabla14[[#This Row],[CAPITAL]])),2)</f>
        <v>-1700000</v>
      </c>
    </row>
    <row r="1351" spans="1:13" x14ac:dyDescent="0.3">
      <c r="A1351" s="26">
        <v>46247</v>
      </c>
      <c r="B1351" t="s">
        <v>292</v>
      </c>
      <c r="C1351" t="s">
        <v>132</v>
      </c>
      <c r="D1351" s="27" t="s">
        <v>17</v>
      </c>
      <c r="E1351" s="4" t="s">
        <v>48</v>
      </c>
      <c r="F1351" s="4">
        <v>41900000</v>
      </c>
      <c r="G1351" s="8" t="str">
        <f>+VLOOKUP(Tabla14[[#This Row],[FONDO]],MAESTRO!$D$2:$E$119,2,FALSE)</f>
        <v>Banco Macro S.A.</v>
      </c>
      <c r="H1351" s="8" t="str">
        <f>+VLOOKUP(Tabla14[[#This Row],[FONDO]],MAESTRO!D:F,3,FALSE)</f>
        <v>(T+0)</v>
      </c>
      <c r="I1351" s="4" t="s">
        <v>9</v>
      </c>
      <c r="L135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1" s="4">
        <f>ROUND(IF(Tabla14[[#This Row],[OPERACIÓN]]=MAESTRO!$B$2,Tabla14[CAPITAL],IF(Tabla14[[#This Row],[OPERACIÓN]]=MAESTRO!$B$5,Tabla14[CAPITAL],-Tabla14[[#This Row],[CAPITAL]])),2)</f>
        <v>-41900000</v>
      </c>
    </row>
    <row r="1352" spans="1:13" x14ac:dyDescent="0.3">
      <c r="A1352" s="26">
        <v>46247</v>
      </c>
      <c r="B1352" t="s">
        <v>299</v>
      </c>
      <c r="C1352" t="s">
        <v>132</v>
      </c>
      <c r="D1352" s="27" t="s">
        <v>17</v>
      </c>
      <c r="E1352" s="4" t="s">
        <v>48</v>
      </c>
      <c r="F1352" s="4">
        <v>80800000</v>
      </c>
      <c r="G1352" s="8" t="str">
        <f>+VLOOKUP(Tabla14[[#This Row],[FONDO]],MAESTRO!$D$2:$E$119,2,FALSE)</f>
        <v>Banco Macro S.A.</v>
      </c>
      <c r="H1352" s="8" t="str">
        <f>+VLOOKUP(Tabla14[[#This Row],[FONDO]],MAESTRO!D:F,3,FALSE)</f>
        <v>(T+0)</v>
      </c>
      <c r="I1352" s="4" t="s">
        <v>9</v>
      </c>
      <c r="L135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2" s="4">
        <f>ROUND(IF(Tabla14[[#This Row],[OPERACIÓN]]=MAESTRO!$B$2,Tabla14[CAPITAL],IF(Tabla14[[#This Row],[OPERACIÓN]]=MAESTRO!$B$5,Tabla14[CAPITAL],-Tabla14[[#This Row],[CAPITAL]])),2)</f>
        <v>-80800000</v>
      </c>
    </row>
    <row r="1353" spans="1:13" x14ac:dyDescent="0.3">
      <c r="A1353" s="26">
        <v>46247</v>
      </c>
      <c r="B1353" t="s">
        <v>298</v>
      </c>
      <c r="C1353" t="s">
        <v>132</v>
      </c>
      <c r="D1353" s="27" t="s">
        <v>17</v>
      </c>
      <c r="E1353" s="4" t="s">
        <v>40</v>
      </c>
      <c r="F1353" s="4">
        <v>841900000</v>
      </c>
      <c r="G1353" s="8" t="str">
        <f>+VLOOKUP(Tabla14[[#This Row],[FONDO]],MAESTRO!$D$2:$E$119,2,FALSE)</f>
        <v>BBVA Banco Frances SA</v>
      </c>
      <c r="H1353" s="8" t="str">
        <f>+VLOOKUP(Tabla14[[#This Row],[FONDO]],MAESTRO!D:F,3,FALSE)</f>
        <v>(T+0)</v>
      </c>
      <c r="I1353" s="4" t="s">
        <v>9</v>
      </c>
      <c r="L135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3" s="4">
        <f>ROUND(IF(Tabla14[[#This Row],[OPERACIÓN]]=MAESTRO!$B$2,Tabla14[CAPITAL],IF(Tabla14[[#This Row],[OPERACIÓN]]=MAESTRO!$B$5,Tabla14[CAPITAL],-Tabla14[[#This Row],[CAPITAL]])),2)</f>
        <v>-841900000</v>
      </c>
    </row>
    <row r="1354" spans="1:13" x14ac:dyDescent="0.3">
      <c r="A1354" s="26">
        <v>46247</v>
      </c>
      <c r="B1354" t="s">
        <v>298</v>
      </c>
      <c r="C1354" t="s">
        <v>132</v>
      </c>
      <c r="D1354" s="27" t="s">
        <v>16</v>
      </c>
      <c r="E1354" s="4" t="s">
        <v>136</v>
      </c>
      <c r="F1354" s="4">
        <v>300000000</v>
      </c>
      <c r="G1354" s="8" t="str">
        <f>+VLOOKUP(Tabla14[[#This Row],[FONDO]],MAESTRO!$D$2:$E$119,2,FALSE)</f>
        <v>Gma Capital</v>
      </c>
      <c r="H1354" s="8" t="str">
        <f>+VLOOKUP(Tabla14[[#This Row],[FONDO]],MAESTRO!D:F,3,FALSE)</f>
        <v>(T+0)</v>
      </c>
      <c r="I1354" s="4" t="s">
        <v>9</v>
      </c>
      <c r="L135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4" s="4">
        <f>ROUND(IF(Tabla14[[#This Row],[OPERACIÓN]]=MAESTRO!$B$2,Tabla14[CAPITAL],IF(Tabla14[[#This Row],[OPERACIÓN]]=MAESTRO!$B$5,Tabla14[CAPITAL],-Tabla14[[#This Row],[CAPITAL]])),2)</f>
        <v>300000000</v>
      </c>
    </row>
    <row r="1355" spans="1:13" x14ac:dyDescent="0.3">
      <c r="A1355" s="26">
        <v>46247</v>
      </c>
      <c r="B1355" t="s">
        <v>298</v>
      </c>
      <c r="C1355" t="s">
        <v>132</v>
      </c>
      <c r="D1355" s="27" t="s">
        <v>17</v>
      </c>
      <c r="E1355" s="4" t="s">
        <v>255</v>
      </c>
      <c r="F1355" s="4">
        <v>70393976.969999999</v>
      </c>
      <c r="G1355" s="8" t="str">
        <f>+VLOOKUP(Tabla14[[#This Row],[FONDO]],MAESTRO!$D$2:$E$119,2,FALSE)</f>
        <v>Inviu inversiones</v>
      </c>
      <c r="H1355" s="8" t="str">
        <f>+VLOOKUP(Tabla14[[#This Row],[FONDO]],MAESTRO!D:F,3,FALSE)</f>
        <v>(T+0)</v>
      </c>
      <c r="I1355" s="4" t="s">
        <v>9</v>
      </c>
      <c r="L135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5" s="4">
        <f>ROUND(IF(Tabla14[[#This Row],[OPERACIÓN]]=MAESTRO!$B$2,Tabla14[CAPITAL],IF(Tabla14[[#This Row],[OPERACIÓN]]=MAESTRO!$B$5,Tabla14[CAPITAL],-Tabla14[[#This Row],[CAPITAL]])),2)</f>
        <v>-70393976.969999999</v>
      </c>
    </row>
    <row r="1356" spans="1:13" x14ac:dyDescent="0.3">
      <c r="A1356" s="26">
        <v>46247</v>
      </c>
      <c r="B1356" t="s">
        <v>298</v>
      </c>
      <c r="C1356" t="s">
        <v>132</v>
      </c>
      <c r="D1356" s="27" t="s">
        <v>17</v>
      </c>
      <c r="E1356" s="4" t="s">
        <v>255</v>
      </c>
      <c r="F1356" s="4">
        <v>84567920.189999998</v>
      </c>
      <c r="G1356" s="8" t="str">
        <f>+VLOOKUP(Tabla14[[#This Row],[FONDO]],MAESTRO!$D$2:$E$119,2,FALSE)</f>
        <v>Inviu inversiones</v>
      </c>
      <c r="H1356" s="8" t="str">
        <f>+VLOOKUP(Tabla14[[#This Row],[FONDO]],MAESTRO!D:F,3,FALSE)</f>
        <v>(T+0)</v>
      </c>
      <c r="I1356" s="4" t="s">
        <v>9</v>
      </c>
      <c r="L135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6" s="4">
        <f>ROUND(IF(Tabla14[[#This Row],[OPERACIÓN]]=MAESTRO!$B$2,Tabla14[CAPITAL],IF(Tabla14[[#This Row],[OPERACIÓN]]=MAESTRO!$B$5,Tabla14[CAPITAL],-Tabla14[[#This Row],[CAPITAL]])),2)</f>
        <v>-84567920.189999998</v>
      </c>
    </row>
    <row r="1357" spans="1:13" s="20" customFormat="1" x14ac:dyDescent="0.3">
      <c r="A1357" s="26">
        <v>46247</v>
      </c>
      <c r="B1357" t="s">
        <v>298</v>
      </c>
      <c r="C1357" t="s">
        <v>132</v>
      </c>
      <c r="D1357" s="27" t="s">
        <v>17</v>
      </c>
      <c r="E1357" s="4" t="s">
        <v>170</v>
      </c>
      <c r="F1357" s="4">
        <v>61223567.920000002</v>
      </c>
      <c r="G1357" s="8" t="str">
        <f>+VLOOKUP(Tabla14[[#This Row],[FONDO]],MAESTRO!$D$2:$E$119,2,FALSE)</f>
        <v>Banco Santander Rio S.A.</v>
      </c>
      <c r="H1357" s="8" t="str">
        <f>+VLOOKUP(Tabla14[[#This Row],[FONDO]],MAESTRO!D:F,3,FALSE)</f>
        <v>(T+0)</v>
      </c>
      <c r="I1357" s="4" t="s">
        <v>9</v>
      </c>
      <c r="J1357" s="23"/>
      <c r="K1357"/>
      <c r="L135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7" s="4">
        <f>ROUND(IF(Tabla14[[#This Row],[OPERACIÓN]]=MAESTRO!$B$2,Tabla14[CAPITAL],IF(Tabla14[[#This Row],[OPERACIÓN]]=MAESTRO!$B$5,Tabla14[CAPITAL],-Tabla14[[#This Row],[CAPITAL]])),2)</f>
        <v>-61223567.920000002</v>
      </c>
    </row>
    <row r="1358" spans="1:13" s="20" customFormat="1" x14ac:dyDescent="0.3">
      <c r="A1358" s="37">
        <v>46247</v>
      </c>
      <c r="B1358" s="20" t="s">
        <v>292</v>
      </c>
      <c r="C1358" s="20" t="s">
        <v>132</v>
      </c>
      <c r="D1358" s="38" t="s">
        <v>16</v>
      </c>
      <c r="E1358" s="39" t="s">
        <v>48</v>
      </c>
      <c r="F1358" s="39">
        <v>670000</v>
      </c>
      <c r="G1358" s="40" t="str">
        <f>+VLOOKUP(Tabla14[[#This Row],[FONDO]],MAESTRO!$D$2:$E$119,2,FALSE)</f>
        <v>Banco Macro S.A.</v>
      </c>
      <c r="H1358" s="40" t="str">
        <f>+VLOOKUP(Tabla14[[#This Row],[FONDO]],MAESTRO!D:F,3,FALSE)</f>
        <v>(T+0)</v>
      </c>
      <c r="I1358" s="39" t="s">
        <v>9</v>
      </c>
      <c r="J1358" s="49"/>
      <c r="L135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8" s="39">
        <f>ROUND(IF(Tabla14[[#This Row],[OPERACIÓN]]=MAESTRO!$B$2,Tabla14[CAPITAL],IF(Tabla14[[#This Row],[OPERACIÓN]]=MAESTRO!$B$5,Tabla14[CAPITAL],-Tabla14[[#This Row],[CAPITAL]])),2)</f>
        <v>670000</v>
      </c>
    </row>
    <row r="1359" spans="1:13" s="20" customFormat="1" x14ac:dyDescent="0.3">
      <c r="A1359" s="37">
        <v>46247</v>
      </c>
      <c r="B1359" s="20" t="s">
        <v>292</v>
      </c>
      <c r="C1359" s="20" t="s">
        <v>132</v>
      </c>
      <c r="D1359" s="38" t="s">
        <v>16</v>
      </c>
      <c r="E1359" s="39" t="s">
        <v>169</v>
      </c>
      <c r="F1359" s="39">
        <v>700000</v>
      </c>
      <c r="G1359" s="40" t="str">
        <f>+VLOOKUP(Tabla14[[#This Row],[FONDO]],MAESTRO!$D$2:$E$119,2,FALSE)</f>
        <v>Max Capital</v>
      </c>
      <c r="H1359" s="40" t="str">
        <f>+VLOOKUP(Tabla14[[#This Row],[FONDO]],MAESTRO!D:F,3,FALSE)</f>
        <v>(T+0)</v>
      </c>
      <c r="I1359" s="39" t="s">
        <v>9</v>
      </c>
      <c r="J1359" s="49"/>
      <c r="L135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59" s="39">
        <f>ROUND(IF(Tabla14[[#This Row],[OPERACIÓN]]=MAESTRO!$B$2,Tabla14[CAPITAL],IF(Tabla14[[#This Row],[OPERACIÓN]]=MAESTRO!$B$5,Tabla14[CAPITAL],-Tabla14[[#This Row],[CAPITAL]])),2)</f>
        <v>700000</v>
      </c>
    </row>
    <row r="1360" spans="1:13" s="20" customFormat="1" x14ac:dyDescent="0.3">
      <c r="A1360" s="37">
        <v>46247</v>
      </c>
      <c r="B1360" s="20" t="s">
        <v>292</v>
      </c>
      <c r="C1360" s="20" t="s">
        <v>132</v>
      </c>
      <c r="D1360" s="38" t="s">
        <v>16</v>
      </c>
      <c r="E1360" s="39" t="s">
        <v>40</v>
      </c>
      <c r="F1360" s="39">
        <v>870000</v>
      </c>
      <c r="G1360" s="40" t="str">
        <f>+VLOOKUP(Tabla14[[#This Row],[FONDO]],MAESTRO!$D$2:$E$119,2,FALSE)</f>
        <v>BBVA Banco Frances SA</v>
      </c>
      <c r="H1360" s="40" t="str">
        <f>+VLOOKUP(Tabla14[[#This Row],[FONDO]],MAESTRO!D:F,3,FALSE)</f>
        <v>(T+0)</v>
      </c>
      <c r="I1360" s="39" t="s">
        <v>9</v>
      </c>
      <c r="J1360" s="49"/>
      <c r="L136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0" s="39">
        <f>ROUND(IF(Tabla14[[#This Row],[OPERACIÓN]]=MAESTRO!$B$2,Tabla14[CAPITAL],IF(Tabla14[[#This Row],[OPERACIÓN]]=MAESTRO!$B$5,Tabla14[CAPITAL],-Tabla14[[#This Row],[CAPITAL]])),2)</f>
        <v>870000</v>
      </c>
    </row>
    <row r="1361" spans="1:13" s="20" customFormat="1" x14ac:dyDescent="0.3">
      <c r="A1361" s="37">
        <v>46247</v>
      </c>
      <c r="B1361" s="20" t="s">
        <v>299</v>
      </c>
      <c r="C1361" s="20" t="s">
        <v>132</v>
      </c>
      <c r="D1361" s="38" t="s">
        <v>16</v>
      </c>
      <c r="E1361" s="39" t="s">
        <v>48</v>
      </c>
      <c r="F1361" s="39">
        <v>335000</v>
      </c>
      <c r="G1361" s="40" t="str">
        <f>+VLOOKUP(Tabla14[[#This Row],[FONDO]],MAESTRO!$D$2:$E$119,2,FALSE)</f>
        <v>Banco Macro S.A.</v>
      </c>
      <c r="H1361" s="40" t="str">
        <f>+VLOOKUP(Tabla14[[#This Row],[FONDO]],MAESTRO!D:F,3,FALSE)</f>
        <v>(T+0)</v>
      </c>
      <c r="I1361" s="39" t="s">
        <v>9</v>
      </c>
      <c r="J1361" s="49"/>
      <c r="L136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1" s="39">
        <f>ROUND(IF(Tabla14[[#This Row],[OPERACIÓN]]=MAESTRO!$B$2,Tabla14[CAPITAL],IF(Tabla14[[#This Row],[OPERACIÓN]]=MAESTRO!$B$5,Tabla14[CAPITAL],-Tabla14[[#This Row],[CAPITAL]])),2)</f>
        <v>335000</v>
      </c>
    </row>
    <row r="1362" spans="1:13" s="20" customFormat="1" x14ac:dyDescent="0.3">
      <c r="A1362" s="37">
        <v>46247</v>
      </c>
      <c r="B1362" s="20" t="s">
        <v>299</v>
      </c>
      <c r="C1362" s="20" t="s">
        <v>132</v>
      </c>
      <c r="D1362" s="38" t="s">
        <v>16</v>
      </c>
      <c r="E1362" s="39" t="s">
        <v>136</v>
      </c>
      <c r="F1362" s="39">
        <v>760000</v>
      </c>
      <c r="G1362" s="40" t="str">
        <f>+VLOOKUP(Tabla14[[#This Row],[FONDO]],MAESTRO!$D$2:$E$119,2,FALSE)</f>
        <v>Gma Capital</v>
      </c>
      <c r="H1362" s="40" t="str">
        <f>+VLOOKUP(Tabla14[[#This Row],[FONDO]],MAESTRO!D:F,3,FALSE)</f>
        <v>(T+0)</v>
      </c>
      <c r="I1362" s="39" t="s">
        <v>9</v>
      </c>
      <c r="J1362" s="49"/>
      <c r="L136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2" s="39">
        <f>ROUND(IF(Tabla14[[#This Row],[OPERACIÓN]]=MAESTRO!$B$2,Tabla14[CAPITAL],IF(Tabla14[[#This Row],[OPERACIÓN]]=MAESTRO!$B$5,Tabla14[CAPITAL],-Tabla14[[#This Row],[CAPITAL]])),2)</f>
        <v>760000</v>
      </c>
    </row>
    <row r="1363" spans="1:13" x14ac:dyDescent="0.3">
      <c r="A1363" s="37">
        <v>46247</v>
      </c>
      <c r="B1363" s="20" t="s">
        <v>299</v>
      </c>
      <c r="C1363" s="20" t="s">
        <v>132</v>
      </c>
      <c r="D1363" s="38" t="s">
        <v>16</v>
      </c>
      <c r="E1363" s="39" t="s">
        <v>169</v>
      </c>
      <c r="F1363" s="39">
        <v>470000</v>
      </c>
      <c r="G1363" s="40" t="str">
        <f>+VLOOKUP(Tabla14[[#This Row],[FONDO]],MAESTRO!$D$2:$E$119,2,FALSE)</f>
        <v>Max Capital</v>
      </c>
      <c r="H1363" s="40" t="str">
        <f>+VLOOKUP(Tabla14[[#This Row],[FONDO]],MAESTRO!D:F,3,FALSE)</f>
        <v>(T+0)</v>
      </c>
      <c r="I1363" s="39" t="s">
        <v>9</v>
      </c>
      <c r="J1363" s="49"/>
      <c r="K1363" s="20"/>
      <c r="L136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3" s="39">
        <f>ROUND(IF(Tabla14[[#This Row],[OPERACIÓN]]=MAESTRO!$B$2,Tabla14[CAPITAL],IF(Tabla14[[#This Row],[OPERACIÓN]]=MAESTRO!$B$5,Tabla14[CAPITAL],-Tabla14[[#This Row],[CAPITAL]])),2)</f>
        <v>470000</v>
      </c>
    </row>
    <row r="1364" spans="1:13" s="20" customFormat="1" x14ac:dyDescent="0.3">
      <c r="A1364" s="37">
        <v>46247</v>
      </c>
      <c r="B1364" s="20" t="s">
        <v>299</v>
      </c>
      <c r="C1364" s="20" t="s">
        <v>132</v>
      </c>
      <c r="D1364" s="38" t="s">
        <v>16</v>
      </c>
      <c r="E1364" s="39" t="s">
        <v>204</v>
      </c>
      <c r="F1364" s="39">
        <v>1880000</v>
      </c>
      <c r="G1364" s="40" t="str">
        <f>+VLOOKUP(Tabla14[[#This Row],[FONDO]],MAESTRO!$D$2:$E$119,2,FALSE)</f>
        <v>Latin Securities</v>
      </c>
      <c r="H1364" s="40" t="str">
        <f>+VLOOKUP(Tabla14[[#This Row],[FONDO]],MAESTRO!D:F,3,FALSE)</f>
        <v>(T+0)</v>
      </c>
      <c r="I1364" s="39" t="s">
        <v>9</v>
      </c>
      <c r="J1364" s="49"/>
      <c r="L136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4" s="39">
        <f>ROUND(IF(Tabla14[[#This Row],[OPERACIÓN]]=MAESTRO!$B$2,Tabla14[CAPITAL],IF(Tabla14[[#This Row],[OPERACIÓN]]=MAESTRO!$B$5,Tabla14[CAPITAL],-Tabla14[[#This Row],[CAPITAL]])),2)</f>
        <v>1880000</v>
      </c>
    </row>
    <row r="1365" spans="1:13" s="20" customFormat="1" x14ac:dyDescent="0.3">
      <c r="A1365" s="37">
        <v>46247</v>
      </c>
      <c r="B1365" s="20" t="s">
        <v>299</v>
      </c>
      <c r="C1365" s="20" t="s">
        <v>132</v>
      </c>
      <c r="D1365" s="38" t="s">
        <v>16</v>
      </c>
      <c r="E1365" s="39" t="s">
        <v>40</v>
      </c>
      <c r="F1365" s="39">
        <v>1250000</v>
      </c>
      <c r="G1365" s="40" t="str">
        <f>+VLOOKUP(Tabla14[[#This Row],[FONDO]],MAESTRO!$D$2:$E$119,2,FALSE)</f>
        <v>BBVA Banco Frances SA</v>
      </c>
      <c r="H1365" s="40" t="str">
        <f>+VLOOKUP(Tabla14[[#This Row],[FONDO]],MAESTRO!D:F,3,FALSE)</f>
        <v>(T+0)</v>
      </c>
      <c r="I1365" s="39" t="s">
        <v>9</v>
      </c>
      <c r="J1365" s="49"/>
      <c r="L136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5" s="39">
        <f>ROUND(IF(Tabla14[[#This Row],[OPERACIÓN]]=MAESTRO!$B$2,Tabla14[CAPITAL],IF(Tabla14[[#This Row],[OPERACIÓN]]=MAESTRO!$B$5,Tabla14[CAPITAL],-Tabla14[[#This Row],[CAPITAL]])),2)</f>
        <v>1250000</v>
      </c>
    </row>
    <row r="1366" spans="1:13" s="20" customFormat="1" x14ac:dyDescent="0.3">
      <c r="A1366" s="37">
        <v>46247</v>
      </c>
      <c r="B1366" s="20" t="s">
        <v>126</v>
      </c>
      <c r="C1366" s="20" t="s">
        <v>132</v>
      </c>
      <c r="D1366" s="38" t="s">
        <v>16</v>
      </c>
      <c r="E1366" s="39" t="s">
        <v>48</v>
      </c>
      <c r="F1366" s="39">
        <v>435000</v>
      </c>
      <c r="G1366" s="40" t="str">
        <f>+VLOOKUP(Tabla14[[#This Row],[FONDO]],MAESTRO!$D$2:$E$119,2,FALSE)</f>
        <v>Banco Macro S.A.</v>
      </c>
      <c r="H1366" s="40" t="str">
        <f>+VLOOKUP(Tabla14[[#This Row],[FONDO]],MAESTRO!D:F,3,FALSE)</f>
        <v>(T+0)</v>
      </c>
      <c r="I1366" s="39" t="s">
        <v>9</v>
      </c>
      <c r="J1366" s="49"/>
      <c r="L136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6" s="39">
        <f>ROUND(IF(Tabla14[[#This Row],[OPERACIÓN]]=MAESTRO!$B$2,Tabla14[CAPITAL],IF(Tabla14[[#This Row],[OPERACIÓN]]=MAESTRO!$B$5,Tabla14[CAPITAL],-Tabla14[[#This Row],[CAPITAL]])),2)</f>
        <v>435000</v>
      </c>
    </row>
    <row r="1367" spans="1:13" s="20" customFormat="1" x14ac:dyDescent="0.3">
      <c r="A1367" s="37">
        <v>46247</v>
      </c>
      <c r="B1367" s="20" t="s">
        <v>299</v>
      </c>
      <c r="C1367" s="20" t="s">
        <v>132</v>
      </c>
      <c r="D1367" s="38" t="s">
        <v>16</v>
      </c>
      <c r="E1367" s="39" t="s">
        <v>255</v>
      </c>
      <c r="F1367" s="39">
        <v>3180000</v>
      </c>
      <c r="G1367" s="40" t="str">
        <f>+VLOOKUP(Tabla14[[#This Row],[FONDO]],MAESTRO!$D$2:$E$119,2,FALSE)</f>
        <v>Inviu inversiones</v>
      </c>
      <c r="H1367" s="40" t="str">
        <f>+VLOOKUP(Tabla14[[#This Row],[FONDO]],MAESTRO!D:F,3,FALSE)</f>
        <v>(T+0)</v>
      </c>
      <c r="I1367" s="39" t="s">
        <v>9</v>
      </c>
      <c r="J1367" s="49"/>
      <c r="L136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7" s="39">
        <f>ROUND(IF(Tabla14[[#This Row],[OPERACIÓN]]=MAESTRO!$B$2,Tabla14[CAPITAL],IF(Tabla14[[#This Row],[OPERACIÓN]]=MAESTRO!$B$5,Tabla14[CAPITAL],-Tabla14[[#This Row],[CAPITAL]])),2)</f>
        <v>3180000</v>
      </c>
    </row>
    <row r="1368" spans="1:13" s="20" customFormat="1" x14ac:dyDescent="0.3">
      <c r="A1368" s="37">
        <v>46247</v>
      </c>
      <c r="B1368" s="20" t="s">
        <v>298</v>
      </c>
      <c r="C1368" s="20" t="s">
        <v>132</v>
      </c>
      <c r="D1368" s="38" t="s">
        <v>16</v>
      </c>
      <c r="E1368" s="39" t="s">
        <v>48</v>
      </c>
      <c r="F1368" s="39">
        <v>420000</v>
      </c>
      <c r="G1368" s="40" t="str">
        <f>+VLOOKUP(Tabla14[[#This Row],[FONDO]],MAESTRO!$D$2:$E$119,2,FALSE)</f>
        <v>Banco Macro S.A.</v>
      </c>
      <c r="H1368" s="40" t="str">
        <f>+VLOOKUP(Tabla14[[#This Row],[FONDO]],MAESTRO!D:F,3,FALSE)</f>
        <v>(T+0)</v>
      </c>
      <c r="I1368" s="39" t="s">
        <v>9</v>
      </c>
      <c r="J1368" s="49"/>
      <c r="L136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8" s="39">
        <f>ROUND(IF(Tabla14[[#This Row],[OPERACIÓN]]=MAESTRO!$B$2,Tabla14[CAPITAL],IF(Tabla14[[#This Row],[OPERACIÓN]]=MAESTRO!$B$5,Tabla14[CAPITAL],-Tabla14[[#This Row],[CAPITAL]])),2)</f>
        <v>420000</v>
      </c>
    </row>
    <row r="1369" spans="1:13" s="20" customFormat="1" x14ac:dyDescent="0.3">
      <c r="A1369" s="37">
        <v>46247</v>
      </c>
      <c r="B1369" s="20" t="s">
        <v>298</v>
      </c>
      <c r="C1369" s="20" t="s">
        <v>132</v>
      </c>
      <c r="D1369" s="38" t="s">
        <v>16</v>
      </c>
      <c r="E1369" s="39" t="s">
        <v>136</v>
      </c>
      <c r="F1369" s="39">
        <v>3970000</v>
      </c>
      <c r="G1369" s="40" t="str">
        <f>+VLOOKUP(Tabla14[[#This Row],[FONDO]],MAESTRO!$D$2:$E$119,2,FALSE)</f>
        <v>Gma Capital</v>
      </c>
      <c r="H1369" s="40" t="str">
        <f>+VLOOKUP(Tabla14[[#This Row],[FONDO]],MAESTRO!D:F,3,FALSE)</f>
        <v>(T+0)</v>
      </c>
      <c r="I1369" s="39" t="s">
        <v>9</v>
      </c>
      <c r="J1369" s="49"/>
      <c r="L136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69" s="39">
        <f>ROUND(IF(Tabla14[[#This Row],[OPERACIÓN]]=MAESTRO!$B$2,Tabla14[CAPITAL],IF(Tabla14[[#This Row],[OPERACIÓN]]=MAESTRO!$B$5,Tabla14[CAPITAL],-Tabla14[[#This Row],[CAPITAL]])),2)</f>
        <v>3970000</v>
      </c>
    </row>
    <row r="1370" spans="1:13" s="20" customFormat="1" x14ac:dyDescent="0.3">
      <c r="A1370" s="37">
        <v>46247</v>
      </c>
      <c r="B1370" s="20" t="s">
        <v>298</v>
      </c>
      <c r="C1370" s="20" t="s">
        <v>132</v>
      </c>
      <c r="D1370" s="38" t="s">
        <v>16</v>
      </c>
      <c r="E1370" s="39" t="s">
        <v>169</v>
      </c>
      <c r="F1370" s="39">
        <v>1670000</v>
      </c>
      <c r="G1370" s="40" t="str">
        <f>+VLOOKUP(Tabla14[[#This Row],[FONDO]],MAESTRO!$D$2:$E$119,2,FALSE)</f>
        <v>Max Capital</v>
      </c>
      <c r="H1370" s="40" t="str">
        <f>+VLOOKUP(Tabla14[[#This Row],[FONDO]],MAESTRO!D:F,3,FALSE)</f>
        <v>(T+0)</v>
      </c>
      <c r="I1370" s="39" t="s">
        <v>9</v>
      </c>
      <c r="J1370" s="49"/>
      <c r="L137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0" s="39">
        <f>ROUND(IF(Tabla14[[#This Row],[OPERACIÓN]]=MAESTRO!$B$2,Tabla14[CAPITAL],IF(Tabla14[[#This Row],[OPERACIÓN]]=MAESTRO!$B$5,Tabla14[CAPITAL],-Tabla14[[#This Row],[CAPITAL]])),2)</f>
        <v>1670000</v>
      </c>
    </row>
    <row r="1371" spans="1:13" s="20" customFormat="1" x14ac:dyDescent="0.3">
      <c r="A1371" s="37">
        <v>46247</v>
      </c>
      <c r="B1371" s="20" t="s">
        <v>298</v>
      </c>
      <c r="C1371" s="20" t="s">
        <v>132</v>
      </c>
      <c r="D1371" s="38" t="s">
        <v>16</v>
      </c>
      <c r="E1371" s="39" t="s">
        <v>204</v>
      </c>
      <c r="F1371" s="39">
        <v>1000000</v>
      </c>
      <c r="G1371" s="40" t="str">
        <f>+VLOOKUP(Tabla14[[#This Row],[FONDO]],MAESTRO!$D$2:$E$119,2,FALSE)</f>
        <v>Latin Securities</v>
      </c>
      <c r="H1371" s="40" t="str">
        <f>+VLOOKUP(Tabla14[[#This Row],[FONDO]],MAESTRO!D:F,3,FALSE)</f>
        <v>(T+0)</v>
      </c>
      <c r="I1371" s="39" t="s">
        <v>9</v>
      </c>
      <c r="J1371" s="49"/>
      <c r="L137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1" s="39">
        <f>ROUND(IF(Tabla14[[#This Row],[OPERACIÓN]]=MAESTRO!$B$2,Tabla14[CAPITAL],IF(Tabla14[[#This Row],[OPERACIÓN]]=MAESTRO!$B$5,Tabla14[CAPITAL],-Tabla14[[#This Row],[CAPITAL]])),2)</f>
        <v>1000000</v>
      </c>
    </row>
    <row r="1372" spans="1:13" s="20" customFormat="1" x14ac:dyDescent="0.3">
      <c r="A1372" s="37">
        <v>46247</v>
      </c>
      <c r="B1372" s="20" t="s">
        <v>298</v>
      </c>
      <c r="C1372" s="20" t="s">
        <v>132</v>
      </c>
      <c r="D1372" s="38" t="s">
        <v>16</v>
      </c>
      <c r="E1372" s="39" t="s">
        <v>206</v>
      </c>
      <c r="F1372" s="39">
        <v>395000</v>
      </c>
      <c r="G1372" s="40" t="str">
        <f>+VLOOKUP(Tabla14[[#This Row],[FONDO]],MAESTRO!$D$2:$E$119,2,FALSE)</f>
        <v>Parakeet</v>
      </c>
      <c r="H1372" s="40" t="str">
        <f>+VLOOKUP(Tabla14[[#This Row],[FONDO]],MAESTRO!D:F,3,FALSE)</f>
        <v>(T+0)</v>
      </c>
      <c r="I1372" s="39" t="s">
        <v>9</v>
      </c>
      <c r="J1372" s="49"/>
      <c r="L137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2" s="39">
        <f>ROUND(IF(Tabla14[[#This Row],[OPERACIÓN]]=MAESTRO!$B$2,Tabla14[CAPITAL],IF(Tabla14[[#This Row],[OPERACIÓN]]=MAESTRO!$B$5,Tabla14[CAPITAL],-Tabla14[[#This Row],[CAPITAL]])),2)</f>
        <v>395000</v>
      </c>
    </row>
    <row r="1373" spans="1:13" s="20" customFormat="1" x14ac:dyDescent="0.3">
      <c r="A1373" s="37">
        <v>46247</v>
      </c>
      <c r="B1373" s="20" t="s">
        <v>298</v>
      </c>
      <c r="C1373" s="20" t="s">
        <v>132</v>
      </c>
      <c r="D1373" s="38" t="s">
        <v>16</v>
      </c>
      <c r="E1373" s="39" t="s">
        <v>208</v>
      </c>
      <c r="F1373" s="39">
        <v>2240000</v>
      </c>
      <c r="G1373" s="40" t="str">
        <f>+VLOOKUP(Tabla14[[#This Row],[FONDO]],MAESTRO!$D$2:$E$119,2,FALSE)</f>
        <v>Facimex</v>
      </c>
      <c r="H1373" s="40" t="str">
        <f>+VLOOKUP(Tabla14[[#This Row],[FONDO]],MAESTRO!D:F,3,FALSE)</f>
        <v>(T+0)</v>
      </c>
      <c r="I1373" s="39" t="s">
        <v>9</v>
      </c>
      <c r="J1373" s="49"/>
      <c r="L137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3" s="39">
        <f>ROUND(IF(Tabla14[[#This Row],[OPERACIÓN]]=MAESTRO!$B$2,Tabla14[CAPITAL],IF(Tabla14[[#This Row],[OPERACIÓN]]=MAESTRO!$B$5,Tabla14[CAPITAL],-Tabla14[[#This Row],[CAPITAL]])),2)</f>
        <v>2240000</v>
      </c>
    </row>
    <row r="1374" spans="1:13" s="20" customFormat="1" x14ac:dyDescent="0.3">
      <c r="A1374" s="37">
        <v>46247</v>
      </c>
      <c r="B1374" s="20" t="s">
        <v>298</v>
      </c>
      <c r="C1374" s="20" t="s">
        <v>132</v>
      </c>
      <c r="D1374" s="38" t="s">
        <v>16</v>
      </c>
      <c r="E1374" s="39" t="s">
        <v>40</v>
      </c>
      <c r="F1374" s="39">
        <v>670000</v>
      </c>
      <c r="G1374" s="40" t="str">
        <f>+VLOOKUP(Tabla14[[#This Row],[FONDO]],MAESTRO!$D$2:$E$119,2,FALSE)</f>
        <v>BBVA Banco Frances SA</v>
      </c>
      <c r="H1374" s="40" t="str">
        <f>+VLOOKUP(Tabla14[[#This Row],[FONDO]],MAESTRO!D:F,3,FALSE)</f>
        <v>(T+0)</v>
      </c>
      <c r="I1374" s="39" t="s">
        <v>9</v>
      </c>
      <c r="J1374" s="49"/>
      <c r="L137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4" s="39">
        <f>ROUND(IF(Tabla14[[#This Row],[OPERACIÓN]]=MAESTRO!$B$2,Tabla14[CAPITAL],IF(Tabla14[[#This Row],[OPERACIÓN]]=MAESTRO!$B$5,Tabla14[CAPITAL],-Tabla14[[#This Row],[CAPITAL]])),2)</f>
        <v>670000</v>
      </c>
    </row>
    <row r="1375" spans="1:13" s="20" customFormat="1" x14ac:dyDescent="0.3">
      <c r="A1375" s="37">
        <v>46247</v>
      </c>
      <c r="B1375" s="20" t="s">
        <v>298</v>
      </c>
      <c r="C1375" s="20" t="s">
        <v>132</v>
      </c>
      <c r="D1375" s="38" t="s">
        <v>16</v>
      </c>
      <c r="E1375" s="39" t="s">
        <v>255</v>
      </c>
      <c r="F1375" s="39">
        <v>17000000</v>
      </c>
      <c r="G1375" s="40" t="str">
        <f>+VLOOKUP(Tabla14[[#This Row],[FONDO]],MAESTRO!$D$2:$E$119,2,FALSE)</f>
        <v>Inviu inversiones</v>
      </c>
      <c r="H1375" s="40" t="str">
        <f>+VLOOKUP(Tabla14[[#This Row],[FONDO]],MAESTRO!D:F,3,FALSE)</f>
        <v>(T+0)</v>
      </c>
      <c r="I1375" s="39" t="s">
        <v>9</v>
      </c>
      <c r="J1375" s="49"/>
      <c r="L137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5" s="39">
        <f>ROUND(IF(Tabla14[[#This Row],[OPERACIÓN]]=MAESTRO!$B$2,Tabla14[CAPITAL],IF(Tabla14[[#This Row],[OPERACIÓN]]=MAESTRO!$B$5,Tabla14[CAPITAL],-Tabla14[[#This Row],[CAPITAL]])),2)</f>
        <v>17000000</v>
      </c>
    </row>
    <row r="1376" spans="1:13" x14ac:dyDescent="0.3">
      <c r="A1376" s="26">
        <v>46248</v>
      </c>
      <c r="B1376" t="s">
        <v>292</v>
      </c>
      <c r="C1376" t="s">
        <v>132</v>
      </c>
      <c r="D1376" s="27" t="s">
        <v>17</v>
      </c>
      <c r="E1376" s="4" t="s">
        <v>40</v>
      </c>
      <c r="F1376" s="4">
        <v>17400000</v>
      </c>
      <c r="G1376" s="8" t="str">
        <f>+VLOOKUP(Tabla14[[#This Row],[FONDO]],MAESTRO!$D$2:$E$119,2,FALSE)</f>
        <v>BBVA Banco Frances SA</v>
      </c>
      <c r="H1376" s="8" t="str">
        <f>+VLOOKUP(Tabla14[[#This Row],[FONDO]],MAESTRO!D:F,3,FALSE)</f>
        <v>(T+0)</v>
      </c>
      <c r="I1376" s="4" t="s">
        <v>9</v>
      </c>
      <c r="L13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6" s="4">
        <f>ROUND(IF(Tabla14[[#This Row],[OPERACIÓN]]=MAESTRO!$B$2,Tabla14[CAPITAL],IF(Tabla14[[#This Row],[OPERACIÓN]]=MAESTRO!$B$5,Tabla14[CAPITAL],-Tabla14[[#This Row],[CAPITAL]])),2)</f>
        <v>-17400000</v>
      </c>
    </row>
    <row r="1377" spans="1:13" x14ac:dyDescent="0.3">
      <c r="A1377" s="26">
        <v>46248</v>
      </c>
      <c r="B1377" t="s">
        <v>298</v>
      </c>
      <c r="C1377" t="s">
        <v>132</v>
      </c>
      <c r="D1377" s="27" t="s">
        <v>17</v>
      </c>
      <c r="E1377" s="4" t="s">
        <v>40</v>
      </c>
      <c r="F1377" s="4">
        <v>10000000</v>
      </c>
      <c r="G1377" s="8" t="str">
        <f>+VLOOKUP(Tabla14[[#This Row],[FONDO]],MAESTRO!$D$2:$E$119,2,FALSE)</f>
        <v>BBVA Banco Frances SA</v>
      </c>
      <c r="H1377" s="8" t="str">
        <f>+VLOOKUP(Tabla14[[#This Row],[FONDO]],MAESTRO!D:F,3,FALSE)</f>
        <v>(T+0)</v>
      </c>
      <c r="I1377" s="4" t="s">
        <v>9</v>
      </c>
      <c r="L13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7" s="4">
        <f>ROUND(IF(Tabla14[[#This Row],[OPERACIÓN]]=MAESTRO!$B$2,Tabla14[CAPITAL],IF(Tabla14[[#This Row],[OPERACIÓN]]=MAESTRO!$B$5,Tabla14[CAPITAL],-Tabla14[[#This Row],[CAPITAL]])),2)</f>
        <v>-10000000</v>
      </c>
    </row>
    <row r="1378" spans="1:13" x14ac:dyDescent="0.3">
      <c r="A1378" s="26">
        <v>46248</v>
      </c>
      <c r="B1378" t="s">
        <v>298</v>
      </c>
      <c r="C1378" t="s">
        <v>132</v>
      </c>
      <c r="D1378" s="27" t="s">
        <v>17</v>
      </c>
      <c r="E1378" s="4" t="s">
        <v>48</v>
      </c>
      <c r="F1378" s="4">
        <v>572900000</v>
      </c>
      <c r="G1378" s="8" t="str">
        <f>+VLOOKUP(Tabla14[[#This Row],[FONDO]],MAESTRO!$D$2:$E$119,2,FALSE)</f>
        <v>Banco Macro S.A.</v>
      </c>
      <c r="H1378" s="8" t="str">
        <f>+VLOOKUP(Tabla14[[#This Row],[FONDO]],MAESTRO!D:F,3,FALSE)</f>
        <v>(T+0)</v>
      </c>
      <c r="I1378" s="4" t="s">
        <v>9</v>
      </c>
      <c r="L13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8" s="4">
        <f>ROUND(IF(Tabla14[[#This Row],[OPERACIÓN]]=MAESTRO!$B$2,Tabla14[CAPITAL],IF(Tabla14[[#This Row],[OPERACIÓN]]=MAESTRO!$B$5,Tabla14[CAPITAL],-Tabla14[[#This Row],[CAPITAL]])),2)</f>
        <v>-572900000</v>
      </c>
    </row>
    <row r="1379" spans="1:13" x14ac:dyDescent="0.3">
      <c r="A1379" s="26">
        <v>46248</v>
      </c>
      <c r="B1379" t="s">
        <v>126</v>
      </c>
      <c r="C1379" t="s">
        <v>132</v>
      </c>
      <c r="D1379" s="27" t="s">
        <v>16</v>
      </c>
      <c r="E1379" s="4" t="s">
        <v>48</v>
      </c>
      <c r="F1379" s="4">
        <v>2300000</v>
      </c>
      <c r="G1379" s="8" t="str">
        <f>+VLOOKUP(Tabla14[[#This Row],[FONDO]],MAESTRO!$D$2:$E$119,2,FALSE)</f>
        <v>Banco Macro S.A.</v>
      </c>
      <c r="H1379" s="8" t="str">
        <f>+VLOOKUP(Tabla14[[#This Row],[FONDO]],MAESTRO!D:F,3,FALSE)</f>
        <v>(T+0)</v>
      </c>
      <c r="I1379" s="4" t="s">
        <v>9</v>
      </c>
      <c r="L13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79" s="4">
        <f>ROUND(IF(Tabla14[[#This Row],[OPERACIÓN]]=MAESTRO!$B$2,Tabla14[CAPITAL],IF(Tabla14[[#This Row],[OPERACIÓN]]=MAESTRO!$B$5,Tabla14[CAPITAL],-Tabla14[[#This Row],[CAPITAL]])),2)</f>
        <v>2300000</v>
      </c>
    </row>
    <row r="1380" spans="1:13" x14ac:dyDescent="0.3">
      <c r="A1380" s="26">
        <v>46248</v>
      </c>
      <c r="B1380" t="s">
        <v>299</v>
      </c>
      <c r="C1380" t="s">
        <v>132</v>
      </c>
      <c r="D1380" s="27" t="s">
        <v>16</v>
      </c>
      <c r="E1380" s="4" t="s">
        <v>48</v>
      </c>
      <c r="F1380" s="4">
        <v>20600000</v>
      </c>
      <c r="G1380" s="8" t="str">
        <f>+VLOOKUP(Tabla14[[#This Row],[FONDO]],MAESTRO!$D$2:$E$119,2,FALSE)</f>
        <v>Banco Macro S.A.</v>
      </c>
      <c r="H1380" s="8" t="str">
        <f>+VLOOKUP(Tabla14[[#This Row],[FONDO]],MAESTRO!D:F,3,FALSE)</f>
        <v>(T+0)</v>
      </c>
      <c r="I1380" s="4" t="s">
        <v>9</v>
      </c>
      <c r="L13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0" s="4">
        <f>ROUND(IF(Tabla14[[#This Row],[OPERACIÓN]]=MAESTRO!$B$2,Tabla14[CAPITAL],IF(Tabla14[[#This Row],[OPERACIÓN]]=MAESTRO!$B$5,Tabla14[CAPITAL],-Tabla14[[#This Row],[CAPITAL]])),2)</f>
        <v>20600000</v>
      </c>
    </row>
    <row r="1381" spans="1:13" x14ac:dyDescent="0.3">
      <c r="A1381" s="26">
        <v>46248</v>
      </c>
      <c r="B1381" t="s">
        <v>292</v>
      </c>
      <c r="C1381" t="s">
        <v>132</v>
      </c>
      <c r="D1381" s="27" t="s">
        <v>17</v>
      </c>
      <c r="E1381" s="4" t="s">
        <v>48</v>
      </c>
      <c r="F1381" s="4">
        <v>10700000</v>
      </c>
      <c r="G1381" s="8" t="str">
        <f>+VLOOKUP(Tabla14[[#This Row],[FONDO]],MAESTRO!$D$2:$E$119,2,FALSE)</f>
        <v>Banco Macro S.A.</v>
      </c>
      <c r="H1381" s="8" t="str">
        <f>+VLOOKUP(Tabla14[[#This Row],[FONDO]],MAESTRO!D:F,3,FALSE)</f>
        <v>(T+0)</v>
      </c>
      <c r="I1381" s="4" t="s">
        <v>9</v>
      </c>
      <c r="L13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1" s="4">
        <f>ROUND(IF(Tabla14[[#This Row],[OPERACIÓN]]=MAESTRO!$B$2,Tabla14[CAPITAL],IF(Tabla14[[#This Row],[OPERACIÓN]]=MAESTRO!$B$5,Tabla14[CAPITAL],-Tabla14[[#This Row],[CAPITAL]])),2)</f>
        <v>-10700000</v>
      </c>
    </row>
    <row r="1382" spans="1:13" x14ac:dyDescent="0.3">
      <c r="A1382" s="26">
        <v>46248</v>
      </c>
      <c r="B1382" t="s">
        <v>292</v>
      </c>
      <c r="C1382" t="s">
        <v>132</v>
      </c>
      <c r="D1382" s="27" t="s">
        <v>16</v>
      </c>
      <c r="E1382" s="4" t="s">
        <v>169</v>
      </c>
      <c r="F1382" s="4">
        <v>54000000</v>
      </c>
      <c r="G1382" s="8" t="str">
        <f>+VLOOKUP(Tabla14[[#This Row],[FONDO]],MAESTRO!$D$2:$E$119,2,FALSE)</f>
        <v>Max Capital</v>
      </c>
      <c r="H1382" s="8" t="str">
        <f>+VLOOKUP(Tabla14[[#This Row],[FONDO]],MAESTRO!D:F,3,FALSE)</f>
        <v>(T+0)</v>
      </c>
      <c r="I1382" s="4" t="s">
        <v>9</v>
      </c>
      <c r="L13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2" s="4">
        <f>ROUND(IF(Tabla14[[#This Row],[OPERACIÓN]]=MAESTRO!$B$2,Tabla14[CAPITAL],IF(Tabla14[[#This Row],[OPERACIÓN]]=MAESTRO!$B$5,Tabla14[CAPITAL],-Tabla14[[#This Row],[CAPITAL]])),2)</f>
        <v>54000000</v>
      </c>
    </row>
    <row r="1383" spans="1:13" x14ac:dyDescent="0.3">
      <c r="A1383" s="26">
        <v>46252</v>
      </c>
      <c r="B1383" t="s">
        <v>299</v>
      </c>
      <c r="C1383" t="s">
        <v>132</v>
      </c>
      <c r="D1383" s="27" t="s">
        <v>17</v>
      </c>
      <c r="E1383" s="4" t="s">
        <v>48</v>
      </c>
      <c r="F1383" s="53">
        <v>244300000</v>
      </c>
      <c r="G1383" s="130" t="str">
        <f>+VLOOKUP(Tabla14[[#This Row],[FONDO]],MAESTRO!$D$2:$E$119,2,FALSE)</f>
        <v>Banco Macro S.A.</v>
      </c>
      <c r="H1383" s="8" t="str">
        <f>+VLOOKUP(Tabla14[[#This Row],[FONDO]],MAESTRO!D:F,3,FALSE)</f>
        <v>(T+0)</v>
      </c>
      <c r="I1383" s="4" t="s">
        <v>9</v>
      </c>
      <c r="L13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3" s="4">
        <f>ROUND(IF(Tabla14[[#This Row],[OPERACIÓN]]=MAESTRO!$B$2,Tabla14[CAPITAL],IF(Tabla14[[#This Row],[OPERACIÓN]]=MAESTRO!$B$5,Tabla14[CAPITAL],-Tabla14[[#This Row],[CAPITAL]])),2)</f>
        <v>-244300000</v>
      </c>
    </row>
    <row r="1384" spans="1:13" x14ac:dyDescent="0.3">
      <c r="A1384" s="26">
        <v>46252</v>
      </c>
      <c r="B1384" t="s">
        <v>298</v>
      </c>
      <c r="C1384" t="s">
        <v>132</v>
      </c>
      <c r="D1384" s="27" t="s">
        <v>17</v>
      </c>
      <c r="E1384" s="4" t="s">
        <v>40</v>
      </c>
      <c r="F1384" s="53">
        <v>318600000</v>
      </c>
      <c r="G1384" s="130" t="str">
        <f>+VLOOKUP(Tabla14[[#This Row],[FONDO]],MAESTRO!$D$2:$E$119,2,FALSE)</f>
        <v>BBVA Banco Frances SA</v>
      </c>
      <c r="H1384" s="8" t="str">
        <f>+VLOOKUP(Tabla14[[#This Row],[FONDO]],MAESTRO!D:F,3,FALSE)</f>
        <v>(T+0)</v>
      </c>
      <c r="I1384" s="4" t="s">
        <v>9</v>
      </c>
      <c r="L13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4" s="4">
        <f>ROUND(IF(Tabla14[[#This Row],[OPERACIÓN]]=MAESTRO!$B$2,Tabla14[CAPITAL],IF(Tabla14[[#This Row],[OPERACIÓN]]=MAESTRO!$B$5,Tabla14[CAPITAL],-Tabla14[[#This Row],[CAPITAL]])),2)</f>
        <v>-318600000</v>
      </c>
    </row>
    <row r="1385" spans="1:13" x14ac:dyDescent="0.3">
      <c r="A1385" s="26">
        <v>46252</v>
      </c>
      <c r="B1385" t="s">
        <v>298</v>
      </c>
      <c r="C1385" t="s">
        <v>132</v>
      </c>
      <c r="D1385" s="27" t="s">
        <v>17</v>
      </c>
      <c r="E1385" s="4" t="s">
        <v>48</v>
      </c>
      <c r="F1385" s="53">
        <v>27200000</v>
      </c>
      <c r="G1385" s="130" t="str">
        <f>+VLOOKUP(Tabla14[[#This Row],[FONDO]],MAESTRO!$D$2:$E$119,2,FALSE)</f>
        <v>Banco Macro S.A.</v>
      </c>
      <c r="H1385" s="8" t="str">
        <f>+VLOOKUP(Tabla14[[#This Row],[FONDO]],MAESTRO!D:F,3,FALSE)</f>
        <v>(T+0)</v>
      </c>
      <c r="I1385" s="4" t="s">
        <v>9</v>
      </c>
      <c r="L138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5" s="4">
        <f>ROUND(IF(Tabla14[[#This Row],[OPERACIÓN]]=MAESTRO!$B$2,Tabla14[CAPITAL],IF(Tabla14[[#This Row],[OPERACIÓN]]=MAESTRO!$B$5,Tabla14[CAPITAL],-Tabla14[[#This Row],[CAPITAL]])),2)</f>
        <v>-27200000</v>
      </c>
    </row>
    <row r="1386" spans="1:13" x14ac:dyDescent="0.3">
      <c r="A1386" s="26">
        <v>46252</v>
      </c>
      <c r="B1386" t="s">
        <v>292</v>
      </c>
      <c r="C1386" t="s">
        <v>132</v>
      </c>
      <c r="D1386" s="27" t="s">
        <v>16</v>
      </c>
      <c r="E1386" s="4" t="s">
        <v>48</v>
      </c>
      <c r="F1386" s="53">
        <v>7500000</v>
      </c>
      <c r="G1386" s="130" t="str">
        <f>+VLOOKUP(Tabla14[[#This Row],[FONDO]],MAESTRO!$D$2:$E$119,2,FALSE)</f>
        <v>Banco Macro S.A.</v>
      </c>
      <c r="H1386" s="8" t="str">
        <f>+VLOOKUP(Tabla14[[#This Row],[FONDO]],MAESTRO!D:F,3,FALSE)</f>
        <v>(T+0)</v>
      </c>
      <c r="I1386" s="4" t="s">
        <v>9</v>
      </c>
      <c r="L13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6" s="4">
        <f>ROUND(IF(Tabla14[[#This Row],[OPERACIÓN]]=MAESTRO!$B$2,Tabla14[CAPITAL],IF(Tabla14[[#This Row],[OPERACIÓN]]=MAESTRO!$B$5,Tabla14[CAPITAL],-Tabla14[[#This Row],[CAPITAL]])),2)</f>
        <v>7500000</v>
      </c>
    </row>
    <row r="1387" spans="1:13" s="20" customFormat="1" x14ac:dyDescent="0.3">
      <c r="A1387" s="37">
        <v>46252</v>
      </c>
      <c r="B1387" s="20" t="s">
        <v>298</v>
      </c>
      <c r="C1387" s="20" t="s">
        <v>132</v>
      </c>
      <c r="D1387" s="38" t="s">
        <v>16</v>
      </c>
      <c r="E1387" s="39" t="s">
        <v>40</v>
      </c>
      <c r="F1387" s="39">
        <v>748799.88</v>
      </c>
      <c r="G1387" s="131" t="str">
        <f>+VLOOKUP(Tabla14[[#This Row],[FONDO]],MAESTRO!$D$2:$E$119,2,FALSE)</f>
        <v>BBVA Banco Frances SA</v>
      </c>
      <c r="H1387" s="40" t="str">
        <f>+VLOOKUP(Tabla14[[#This Row],[FONDO]],MAESTRO!D:F,3,FALSE)</f>
        <v>(T+0)</v>
      </c>
      <c r="I1387" s="39" t="s">
        <v>9</v>
      </c>
      <c r="J1387" s="49"/>
      <c r="L138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7" s="39">
        <f>ROUND(IF(Tabla14[[#This Row],[OPERACIÓN]]=MAESTRO!$B$2,Tabla14[CAPITAL],IF(Tabla14[[#This Row],[OPERACIÓN]]=MAESTRO!$B$5,Tabla14[CAPITAL],-Tabla14[[#This Row],[CAPITAL]])),2)</f>
        <v>748799.88</v>
      </c>
    </row>
    <row r="1388" spans="1:13" x14ac:dyDescent="0.3">
      <c r="A1388" s="26">
        <v>46252</v>
      </c>
      <c r="B1388" t="s">
        <v>298</v>
      </c>
      <c r="C1388" t="s">
        <v>132</v>
      </c>
      <c r="D1388" s="27" t="s">
        <v>17</v>
      </c>
      <c r="E1388" s="4" t="s">
        <v>136</v>
      </c>
      <c r="F1388" s="4">
        <v>1473944103.5699999</v>
      </c>
      <c r="G1388" s="130" t="str">
        <f>+VLOOKUP(Tabla14[[#This Row],[FONDO]],MAESTRO!$D$2:$E$119,2,FALSE)</f>
        <v>Gma Capital</v>
      </c>
      <c r="H1388" s="8" t="str">
        <f>+VLOOKUP(Tabla14[[#This Row],[FONDO]],MAESTRO!D:F,3,FALSE)</f>
        <v>(T+0)</v>
      </c>
      <c r="I1388" s="4" t="s">
        <v>9</v>
      </c>
      <c r="L138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88" s="4">
        <f>ROUND(IF(Tabla14[[#This Row],[OPERACIÓN]]=MAESTRO!$B$2,Tabla14[CAPITAL],IF(Tabla14[[#This Row],[OPERACIÓN]]=MAESTRO!$B$5,Tabla14[CAPITAL],-Tabla14[[#This Row],[CAPITAL]])),2)</f>
        <v>-1473944103.5699999</v>
      </c>
    </row>
    <row r="1389" spans="1:13" x14ac:dyDescent="0.3">
      <c r="A1389" s="26">
        <v>46252</v>
      </c>
      <c r="B1389" t="s">
        <v>298</v>
      </c>
      <c r="C1389" t="s">
        <v>172</v>
      </c>
      <c r="D1389" s="27" t="s">
        <v>16</v>
      </c>
      <c r="E1389" s="4" t="s">
        <v>202</v>
      </c>
      <c r="F1389" s="4">
        <v>1000000</v>
      </c>
      <c r="G1389" s="130" t="str">
        <f>+VLOOKUP(Tabla14[[#This Row],[FONDO]],MAESTRO!$D$2:$E$119,2,FALSE)</f>
        <v>Gma Capital</v>
      </c>
      <c r="H1389" s="8" t="str">
        <f>+VLOOKUP(Tabla14[[#This Row],[FONDO]],MAESTRO!D:F,3,FALSE)</f>
        <v>USD DL</v>
      </c>
      <c r="I1389" s="4" t="s">
        <v>7</v>
      </c>
      <c r="J1389" s="23" t="s">
        <v>280</v>
      </c>
      <c r="L1389" t="str">
        <f>IF(Tabla14[[#This Row],[INVERSION]]="fci","",IF(SUMIFS(M:M,B:B,Tabla14[[#This Row],[EMPRESA]],E:E,Tabla14[[#This Row],[FONDO]],G:G,Tabla14[[#This Row],[BANCO]])=0,"","VENCE EL "&amp;TEXT(Tabla14[[#This Row],[VENCIMIENTO]],"DD-MM-YYYY")))</f>
        <v>VENCE EL 25-11-2026</v>
      </c>
      <c r="M1389" s="4">
        <f>ROUND(IF(Tabla14[[#This Row],[OPERACIÓN]]=MAESTRO!$B$2,Tabla14[CAPITAL],IF(Tabla14[[#This Row],[OPERACIÓN]]=MAESTRO!$B$5,Tabla14[CAPITAL],-Tabla14[[#This Row],[CAPITAL]])),2)</f>
        <v>1000000</v>
      </c>
    </row>
    <row r="1390" spans="1:13" x14ac:dyDescent="0.3">
      <c r="A1390" s="26">
        <v>46252</v>
      </c>
      <c r="B1390" t="s">
        <v>292</v>
      </c>
      <c r="C1390" t="s">
        <v>132</v>
      </c>
      <c r="D1390" s="27" t="s">
        <v>16</v>
      </c>
      <c r="E1390" s="4" t="s">
        <v>136</v>
      </c>
      <c r="F1390" s="4">
        <v>1471841112.03</v>
      </c>
      <c r="G1390" s="130" t="str">
        <f>+VLOOKUP(Tabla14[[#This Row],[FONDO]],MAESTRO!$D$2:$E$119,2,FALSE)</f>
        <v>Gma Capital</v>
      </c>
      <c r="H1390" s="8" t="str">
        <f>+VLOOKUP(Tabla14[[#This Row],[FONDO]],MAESTRO!D:F,3,FALSE)</f>
        <v>(T+0)</v>
      </c>
      <c r="I1390" s="4" t="s">
        <v>9</v>
      </c>
      <c r="L13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0" s="4">
        <f>ROUND(IF(Tabla14[[#This Row],[OPERACIÓN]]=MAESTRO!$B$2,Tabla14[CAPITAL],IF(Tabla14[[#This Row],[OPERACIÓN]]=MAESTRO!$B$5,Tabla14[CAPITAL],-Tabla14[[#This Row],[CAPITAL]])),2)</f>
        <v>1471841112.03</v>
      </c>
    </row>
    <row r="1391" spans="1:13" x14ac:dyDescent="0.3">
      <c r="A1391" s="26">
        <v>46252</v>
      </c>
      <c r="B1391" t="s">
        <v>298</v>
      </c>
      <c r="C1391" t="s">
        <v>132</v>
      </c>
      <c r="D1391" s="27" t="s">
        <v>17</v>
      </c>
      <c r="E1391" s="4" t="s">
        <v>170</v>
      </c>
      <c r="F1391" s="4">
        <v>3600000</v>
      </c>
      <c r="G1391" s="130" t="str">
        <f>+VLOOKUP(Tabla14[[#This Row],[FONDO]],MAESTRO!$D$2:$E$119,2,FALSE)</f>
        <v>Banco Santander Rio S.A.</v>
      </c>
      <c r="H1391" s="8" t="str">
        <f>+VLOOKUP(Tabla14[[#This Row],[FONDO]],MAESTRO!D:F,3,FALSE)</f>
        <v>(T+0)</v>
      </c>
      <c r="I1391" s="4" t="s">
        <v>9</v>
      </c>
      <c r="L13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1" s="4">
        <f>ROUND(IF(Tabla14[[#This Row],[OPERACIÓN]]=MAESTRO!$B$2,Tabla14[CAPITAL],IF(Tabla14[[#This Row],[OPERACIÓN]]=MAESTRO!$B$5,Tabla14[CAPITAL],-Tabla14[[#This Row],[CAPITAL]])),2)</f>
        <v>-3600000</v>
      </c>
    </row>
    <row r="1392" spans="1:13" s="20" customFormat="1" x14ac:dyDescent="0.3">
      <c r="A1392" s="37">
        <v>46253</v>
      </c>
      <c r="B1392" s="20" t="s">
        <v>299</v>
      </c>
      <c r="C1392" s="20" t="s">
        <v>132</v>
      </c>
      <c r="D1392" s="38" t="s">
        <v>17</v>
      </c>
      <c r="E1392" s="39" t="s">
        <v>212</v>
      </c>
      <c r="F1392" s="39">
        <v>115743937.97</v>
      </c>
      <c r="G1392" s="131" t="str">
        <f>+VLOOKUP(Tabla14[[#This Row],[FONDO]],MAESTRO!$D$2:$E$119,2,FALSE)</f>
        <v>INTAGRO</v>
      </c>
      <c r="H1392" s="40" t="str">
        <f>+VLOOKUP(Tabla14[[#This Row],[FONDO]],MAESTRO!D:F,3,FALSE)</f>
        <v>(T+0)</v>
      </c>
      <c r="I1392" s="39" t="s">
        <v>9</v>
      </c>
      <c r="J1392" s="49"/>
      <c r="L139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2" s="39">
        <f>ROUND(IF(Tabla14[[#This Row],[OPERACIÓN]]=MAESTRO!$B$2,Tabla14[CAPITAL],IF(Tabla14[[#This Row],[OPERACIÓN]]=MAESTRO!$B$5,Tabla14[CAPITAL],-Tabla14[[#This Row],[CAPITAL]])),2)</f>
        <v>-115743937.97</v>
      </c>
    </row>
    <row r="1393" spans="1:13" x14ac:dyDescent="0.3">
      <c r="A1393" s="26">
        <v>46253</v>
      </c>
      <c r="B1393" t="s">
        <v>299</v>
      </c>
      <c r="C1393" t="s">
        <v>132</v>
      </c>
      <c r="D1393" s="27" t="s">
        <v>17</v>
      </c>
      <c r="E1393" s="4" t="s">
        <v>48</v>
      </c>
      <c r="F1393" s="4">
        <v>82300000</v>
      </c>
      <c r="G1393" s="130" t="str">
        <f>+VLOOKUP(Tabla14[[#This Row],[FONDO]],MAESTRO!$D$2:$E$119,2,FALSE)</f>
        <v>Banco Macro S.A.</v>
      </c>
      <c r="H1393" s="8" t="str">
        <f>+VLOOKUP(Tabla14[[#This Row],[FONDO]],MAESTRO!D:F,3,FALSE)</f>
        <v>(T+0)</v>
      </c>
      <c r="I1393" s="4" t="s">
        <v>9</v>
      </c>
      <c r="L13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3" s="4">
        <f>ROUND(IF(Tabla14[[#This Row],[OPERACIÓN]]=MAESTRO!$B$2,Tabla14[CAPITAL],IF(Tabla14[[#This Row],[OPERACIÓN]]=MAESTRO!$B$5,Tabla14[CAPITAL],-Tabla14[[#This Row],[CAPITAL]])),2)</f>
        <v>-82300000</v>
      </c>
    </row>
    <row r="1394" spans="1:13" x14ac:dyDescent="0.3">
      <c r="A1394" s="26">
        <v>46253</v>
      </c>
      <c r="B1394" t="s">
        <v>298</v>
      </c>
      <c r="C1394" t="s">
        <v>132</v>
      </c>
      <c r="D1394" s="27" t="s">
        <v>17</v>
      </c>
      <c r="E1394" s="4" t="s">
        <v>48</v>
      </c>
      <c r="F1394" s="4">
        <v>99000000</v>
      </c>
      <c r="G1394" s="130" t="str">
        <f>+VLOOKUP(Tabla14[[#This Row],[FONDO]],MAESTRO!$D$2:$E$119,2,FALSE)</f>
        <v>Banco Macro S.A.</v>
      </c>
      <c r="H1394" s="8" t="str">
        <f>+VLOOKUP(Tabla14[[#This Row],[FONDO]],MAESTRO!D:F,3,FALSE)</f>
        <v>(T+0)</v>
      </c>
      <c r="I1394" s="4" t="s">
        <v>9</v>
      </c>
      <c r="L13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4" s="4">
        <f>ROUND(IF(Tabla14[[#This Row],[OPERACIÓN]]=MAESTRO!$B$2,Tabla14[CAPITAL],IF(Tabla14[[#This Row],[OPERACIÓN]]=MAESTRO!$B$5,Tabla14[CAPITAL],-Tabla14[[#This Row],[CAPITAL]])),2)</f>
        <v>-99000000</v>
      </c>
    </row>
    <row r="1395" spans="1:13" x14ac:dyDescent="0.3">
      <c r="A1395" s="26">
        <v>46253</v>
      </c>
      <c r="B1395" t="s">
        <v>298</v>
      </c>
      <c r="C1395" t="s">
        <v>132</v>
      </c>
      <c r="D1395" s="27" t="s">
        <v>17</v>
      </c>
      <c r="E1395" s="4" t="s">
        <v>170</v>
      </c>
      <c r="F1395" s="4">
        <v>439200000</v>
      </c>
      <c r="G1395" s="130" t="str">
        <f>+VLOOKUP(Tabla14[[#This Row],[FONDO]],MAESTRO!$D$2:$E$119,2,FALSE)</f>
        <v>Banco Santander Rio S.A.</v>
      </c>
      <c r="H1395" s="8" t="str">
        <f>+VLOOKUP(Tabla14[[#This Row],[FONDO]],MAESTRO!D:F,3,FALSE)</f>
        <v>(T+0)</v>
      </c>
      <c r="I1395" s="4" t="s">
        <v>9</v>
      </c>
      <c r="L13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5" s="4">
        <f>ROUND(IF(Tabla14[[#This Row],[OPERACIÓN]]=MAESTRO!$B$2,Tabla14[CAPITAL],IF(Tabla14[[#This Row],[OPERACIÓN]]=MAESTRO!$B$5,Tabla14[CAPITAL],-Tabla14[[#This Row],[CAPITAL]])),2)</f>
        <v>-439200000</v>
      </c>
    </row>
    <row r="1396" spans="1:13" x14ac:dyDescent="0.3">
      <c r="A1396" s="26">
        <v>46253</v>
      </c>
      <c r="B1396" t="s">
        <v>292</v>
      </c>
      <c r="C1396" t="s">
        <v>132</v>
      </c>
      <c r="D1396" s="27" t="s">
        <v>17</v>
      </c>
      <c r="E1396" s="4" t="s">
        <v>136</v>
      </c>
      <c r="F1396" s="4">
        <v>1492000000</v>
      </c>
      <c r="G1396" s="130" t="str">
        <f>+VLOOKUP(Tabla14[[#This Row],[FONDO]],MAESTRO!$D$2:$E$119,2,FALSE)</f>
        <v>Gma Capital</v>
      </c>
      <c r="H1396" s="8" t="str">
        <f>+VLOOKUP(Tabla14[[#This Row],[FONDO]],MAESTRO!D:F,3,FALSE)</f>
        <v>(T+0)</v>
      </c>
      <c r="I1396" s="4" t="s">
        <v>9</v>
      </c>
      <c r="L13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6" s="4">
        <f>ROUND(IF(Tabla14[[#This Row],[OPERACIÓN]]=MAESTRO!$B$2,Tabla14[CAPITAL],IF(Tabla14[[#This Row],[OPERACIÓN]]=MAESTRO!$B$5,Tabla14[CAPITAL],-Tabla14[[#This Row],[CAPITAL]])),2)</f>
        <v>-1492000000</v>
      </c>
    </row>
    <row r="1397" spans="1:13" x14ac:dyDescent="0.3">
      <c r="A1397" s="26">
        <v>46253</v>
      </c>
      <c r="B1397" t="s">
        <v>299</v>
      </c>
      <c r="C1397" t="s">
        <v>132</v>
      </c>
      <c r="D1397" s="27" t="s">
        <v>17</v>
      </c>
      <c r="E1397" s="4" t="s">
        <v>169</v>
      </c>
      <c r="F1397" s="4">
        <v>57051089.079999998</v>
      </c>
      <c r="G1397" s="130" t="str">
        <f>+VLOOKUP(Tabla14[[#This Row],[FONDO]],MAESTRO!$D$2:$E$119,2,FALSE)</f>
        <v>Max Capital</v>
      </c>
      <c r="H1397" s="8" t="str">
        <f>+VLOOKUP(Tabla14[[#This Row],[FONDO]],MAESTRO!D:F,3,FALSE)</f>
        <v>(T+0)</v>
      </c>
      <c r="I1397" s="4" t="s">
        <v>9</v>
      </c>
      <c r="L13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7" s="4">
        <f>ROUND(IF(Tabla14[[#This Row],[OPERACIÓN]]=MAESTRO!$B$2,Tabla14[CAPITAL],IF(Tabla14[[#This Row],[OPERACIÓN]]=MAESTRO!$B$5,Tabla14[CAPITAL],-Tabla14[[#This Row],[CAPITAL]])),2)</f>
        <v>-57051089.079999998</v>
      </c>
    </row>
    <row r="1398" spans="1:13" x14ac:dyDescent="0.3">
      <c r="A1398" s="26">
        <v>46254</v>
      </c>
      <c r="B1398" t="s">
        <v>298</v>
      </c>
      <c r="C1398" t="s">
        <v>132</v>
      </c>
      <c r="D1398" s="27" t="s">
        <v>17</v>
      </c>
      <c r="E1398" s="4" t="s">
        <v>169</v>
      </c>
      <c r="F1398" s="4">
        <v>124932510.5</v>
      </c>
      <c r="G1398" s="130" t="str">
        <f>+VLOOKUP(Tabla14[[#This Row],[FONDO]],MAESTRO!$D$2:$E$119,2,FALSE)</f>
        <v>Max Capital</v>
      </c>
      <c r="H1398" s="8" t="str">
        <f>+VLOOKUP(Tabla14[[#This Row],[FONDO]],MAESTRO!D:F,3,FALSE)</f>
        <v>(T+0)</v>
      </c>
      <c r="I1398" s="4" t="s">
        <v>9</v>
      </c>
      <c r="L13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8" s="4">
        <f>ROUND(IF(Tabla14[[#This Row],[OPERACIÓN]]=MAESTRO!$B$2,Tabla14[CAPITAL],IF(Tabla14[[#This Row],[OPERACIÓN]]=MAESTRO!$B$5,Tabla14[CAPITAL],-Tabla14[[#This Row],[CAPITAL]])),2)</f>
        <v>-124932510.5</v>
      </c>
    </row>
    <row r="1399" spans="1:13" x14ac:dyDescent="0.3">
      <c r="A1399" s="26">
        <v>46254</v>
      </c>
      <c r="B1399" t="s">
        <v>126</v>
      </c>
      <c r="C1399" t="s">
        <v>132</v>
      </c>
      <c r="D1399" s="27" t="s">
        <v>17</v>
      </c>
      <c r="E1399" s="4" t="s">
        <v>48</v>
      </c>
      <c r="F1399" s="4">
        <v>24000000</v>
      </c>
      <c r="G1399" s="130" t="str">
        <f>+VLOOKUP(Tabla14[[#This Row],[FONDO]],MAESTRO!$D$2:$E$119,2,FALSE)</f>
        <v>Banco Macro S.A.</v>
      </c>
      <c r="H1399" s="8" t="str">
        <f>+VLOOKUP(Tabla14[[#This Row],[FONDO]],MAESTRO!D:F,3,FALSE)</f>
        <v>(T+0)</v>
      </c>
      <c r="I1399" s="4" t="s">
        <v>9</v>
      </c>
      <c r="L139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399" s="4">
        <f>ROUND(IF(Tabla14[[#This Row],[OPERACIÓN]]=MAESTRO!$B$2,Tabla14[CAPITAL],IF(Tabla14[[#This Row],[OPERACIÓN]]=MAESTRO!$B$5,Tabla14[CAPITAL],-Tabla14[[#This Row],[CAPITAL]])),2)</f>
        <v>-24000000</v>
      </c>
    </row>
    <row r="1400" spans="1:13" x14ac:dyDescent="0.3">
      <c r="A1400" s="26">
        <v>46254</v>
      </c>
      <c r="B1400" t="s">
        <v>299</v>
      </c>
      <c r="C1400" t="s">
        <v>132</v>
      </c>
      <c r="D1400" s="27" t="s">
        <v>17</v>
      </c>
      <c r="E1400" s="4" t="s">
        <v>48</v>
      </c>
      <c r="F1400" s="4">
        <v>165700000</v>
      </c>
      <c r="G1400" s="130" t="str">
        <f>+VLOOKUP(Tabla14[[#This Row],[FONDO]],MAESTRO!$D$2:$E$119,2,FALSE)</f>
        <v>Banco Macro S.A.</v>
      </c>
      <c r="H1400" s="8" t="str">
        <f>+VLOOKUP(Tabla14[[#This Row],[FONDO]],MAESTRO!D:F,3,FALSE)</f>
        <v>(T+0)</v>
      </c>
      <c r="I1400" s="4" t="s">
        <v>9</v>
      </c>
      <c r="L14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0" s="4">
        <f>ROUND(IF(Tabla14[[#This Row],[OPERACIÓN]]=MAESTRO!$B$2,Tabla14[CAPITAL],IF(Tabla14[[#This Row],[OPERACIÓN]]=MAESTRO!$B$5,Tabla14[CAPITAL],-Tabla14[[#This Row],[CAPITAL]])),2)</f>
        <v>-165700000</v>
      </c>
    </row>
    <row r="1401" spans="1:13" x14ac:dyDescent="0.3">
      <c r="A1401" s="26">
        <v>46254</v>
      </c>
      <c r="B1401" t="s">
        <v>292</v>
      </c>
      <c r="C1401" t="s">
        <v>132</v>
      </c>
      <c r="D1401" s="27" t="s">
        <v>16</v>
      </c>
      <c r="E1401" s="4" t="s">
        <v>48</v>
      </c>
      <c r="F1401" s="4">
        <v>10400000</v>
      </c>
      <c r="G1401" s="130" t="str">
        <f>+VLOOKUP(Tabla14[[#This Row],[FONDO]],MAESTRO!$D$2:$E$119,2,FALSE)</f>
        <v>Banco Macro S.A.</v>
      </c>
      <c r="H1401" s="8" t="str">
        <f>+VLOOKUP(Tabla14[[#This Row],[FONDO]],MAESTRO!D:F,3,FALSE)</f>
        <v>(T+0)</v>
      </c>
      <c r="I1401" s="4" t="s">
        <v>9</v>
      </c>
      <c r="L14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1" s="4">
        <f>ROUND(IF(Tabla14[[#This Row],[OPERACIÓN]]=MAESTRO!$B$2,Tabla14[CAPITAL],IF(Tabla14[[#This Row],[OPERACIÓN]]=MAESTRO!$B$5,Tabla14[CAPITAL],-Tabla14[[#This Row],[CAPITAL]])),2)</f>
        <v>10400000</v>
      </c>
    </row>
    <row r="1402" spans="1:13" x14ac:dyDescent="0.3">
      <c r="A1402" s="26">
        <v>46254</v>
      </c>
      <c r="B1402" t="s">
        <v>298</v>
      </c>
      <c r="C1402" t="s">
        <v>132</v>
      </c>
      <c r="D1402" s="27" t="s">
        <v>16</v>
      </c>
      <c r="E1402" s="4" t="s">
        <v>40</v>
      </c>
      <c r="F1402" s="4">
        <v>6099000000</v>
      </c>
      <c r="G1402" s="130" t="str">
        <f>+VLOOKUP(Tabla14[[#This Row],[FONDO]],MAESTRO!$D$2:$E$119,2,FALSE)</f>
        <v>BBVA Banco Frances SA</v>
      </c>
      <c r="H1402" s="8" t="str">
        <f>+VLOOKUP(Tabla14[[#This Row],[FONDO]],MAESTRO!D:F,3,FALSE)</f>
        <v>(T+0)</v>
      </c>
      <c r="I1402" s="4" t="s">
        <v>9</v>
      </c>
      <c r="L14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2" s="4">
        <f>ROUND(IF(Tabla14[[#This Row],[OPERACIÓN]]=MAESTRO!$B$2,Tabla14[CAPITAL],IF(Tabla14[[#This Row],[OPERACIÓN]]=MAESTRO!$B$5,Tabla14[CAPITAL],-Tabla14[[#This Row],[CAPITAL]])),2)</f>
        <v>6099000000</v>
      </c>
    </row>
    <row r="1403" spans="1:13" s="20" customFormat="1" x14ac:dyDescent="0.3">
      <c r="A1403" s="37">
        <v>46254</v>
      </c>
      <c r="B1403" s="20" t="s">
        <v>292</v>
      </c>
      <c r="C1403" s="20" t="s">
        <v>132</v>
      </c>
      <c r="D1403" s="38" t="s">
        <v>17</v>
      </c>
      <c r="E1403" s="39" t="s">
        <v>136</v>
      </c>
      <c r="F1403" s="39">
        <v>579767</v>
      </c>
      <c r="G1403" s="131" t="str">
        <f>+VLOOKUP(Tabla14[[#This Row],[FONDO]],MAESTRO!$D$2:$E$119,2,FALSE)</f>
        <v>Gma Capital</v>
      </c>
      <c r="H1403" s="40" t="str">
        <f>+VLOOKUP(Tabla14[[#This Row],[FONDO]],MAESTRO!D:F,3,FALSE)</f>
        <v>(T+0)</v>
      </c>
      <c r="I1403" s="39" t="s">
        <v>9</v>
      </c>
      <c r="J1403" s="49"/>
      <c r="L140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3" s="39">
        <f>ROUND(IF(Tabla14[[#This Row],[OPERACIÓN]]=MAESTRO!$B$2,Tabla14[CAPITAL],IF(Tabla14[[#This Row],[OPERACIÓN]]=MAESTRO!$B$5,Tabla14[CAPITAL],-Tabla14[[#This Row],[CAPITAL]])),2)</f>
        <v>-579767</v>
      </c>
    </row>
    <row r="1404" spans="1:13" s="20" customFormat="1" x14ac:dyDescent="0.3">
      <c r="A1404" s="37">
        <v>46254</v>
      </c>
      <c r="B1404" s="20" t="s">
        <v>126</v>
      </c>
      <c r="C1404" s="20" t="s">
        <v>132</v>
      </c>
      <c r="D1404" s="38" t="s">
        <v>16</v>
      </c>
      <c r="E1404" s="39" t="s">
        <v>48</v>
      </c>
      <c r="F1404" s="39">
        <v>3200000</v>
      </c>
      <c r="G1404" s="131" t="str">
        <f>+VLOOKUP(Tabla14[[#This Row],[FONDO]],MAESTRO!$D$2:$E$119,2,FALSE)</f>
        <v>Banco Macro S.A.</v>
      </c>
      <c r="H1404" s="40" t="str">
        <f>+VLOOKUP(Tabla14[[#This Row],[FONDO]],MAESTRO!D:F,3,FALSE)</f>
        <v>(T+0)</v>
      </c>
      <c r="I1404" s="39" t="s">
        <v>9</v>
      </c>
      <c r="J1404" s="49"/>
      <c r="L140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4" s="39">
        <f>ROUND(IF(Tabla14[[#This Row],[OPERACIÓN]]=MAESTRO!$B$2,Tabla14[CAPITAL],IF(Tabla14[[#This Row],[OPERACIÓN]]=MAESTRO!$B$5,Tabla14[CAPITAL],-Tabla14[[#This Row],[CAPITAL]])),2)</f>
        <v>3200000</v>
      </c>
    </row>
    <row r="1405" spans="1:13" s="20" customFormat="1" x14ac:dyDescent="0.3">
      <c r="A1405" s="37">
        <v>46254</v>
      </c>
      <c r="B1405" s="20" t="s">
        <v>299</v>
      </c>
      <c r="C1405" s="20" t="s">
        <v>132</v>
      </c>
      <c r="D1405" s="38" t="s">
        <v>16</v>
      </c>
      <c r="E1405" s="39" t="s">
        <v>48</v>
      </c>
      <c r="F1405" s="39">
        <v>1800000</v>
      </c>
      <c r="G1405" s="131" t="str">
        <f>+VLOOKUP(Tabla14[[#This Row],[FONDO]],MAESTRO!$D$2:$E$119,2,FALSE)</f>
        <v>Banco Macro S.A.</v>
      </c>
      <c r="H1405" s="40" t="str">
        <f>+VLOOKUP(Tabla14[[#This Row],[FONDO]],MAESTRO!D:F,3,FALSE)</f>
        <v>(T+0)</v>
      </c>
      <c r="I1405" s="39" t="s">
        <v>9</v>
      </c>
      <c r="J1405" s="49"/>
      <c r="L140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5" s="39">
        <f>ROUND(IF(Tabla14[[#This Row],[OPERACIÓN]]=MAESTRO!$B$2,Tabla14[CAPITAL],IF(Tabla14[[#This Row],[OPERACIÓN]]=MAESTRO!$B$5,Tabla14[CAPITAL],-Tabla14[[#This Row],[CAPITAL]])),2)</f>
        <v>1800000</v>
      </c>
    </row>
    <row r="1406" spans="1:13" s="20" customFormat="1" x14ac:dyDescent="0.3">
      <c r="A1406" s="37">
        <v>46254</v>
      </c>
      <c r="B1406" s="20" t="s">
        <v>299</v>
      </c>
      <c r="C1406" s="20" t="s">
        <v>132</v>
      </c>
      <c r="D1406" s="38" t="s">
        <v>16</v>
      </c>
      <c r="E1406" s="39" t="s">
        <v>136</v>
      </c>
      <c r="F1406" s="39">
        <v>4900000</v>
      </c>
      <c r="G1406" s="131" t="str">
        <f>+VLOOKUP(Tabla14[[#This Row],[FONDO]],MAESTRO!$D$2:$E$119,2,FALSE)</f>
        <v>Gma Capital</v>
      </c>
      <c r="H1406" s="40" t="str">
        <f>+VLOOKUP(Tabla14[[#This Row],[FONDO]],MAESTRO!D:F,3,FALSE)</f>
        <v>(T+0)</v>
      </c>
      <c r="I1406" s="39" t="s">
        <v>9</v>
      </c>
      <c r="J1406" s="49"/>
      <c r="L140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6" s="39">
        <f>ROUND(IF(Tabla14[[#This Row],[OPERACIÓN]]=MAESTRO!$B$2,Tabla14[CAPITAL],IF(Tabla14[[#This Row],[OPERACIÓN]]=MAESTRO!$B$5,Tabla14[CAPITAL],-Tabla14[[#This Row],[CAPITAL]])),2)</f>
        <v>4900000</v>
      </c>
    </row>
    <row r="1407" spans="1:13" s="20" customFormat="1" x14ac:dyDescent="0.3">
      <c r="A1407" s="37">
        <v>46254</v>
      </c>
      <c r="B1407" s="20" t="s">
        <v>299</v>
      </c>
      <c r="C1407" s="20" t="s">
        <v>132</v>
      </c>
      <c r="D1407" s="38" t="s">
        <v>16</v>
      </c>
      <c r="E1407" s="39" t="s">
        <v>169</v>
      </c>
      <c r="F1407" s="39">
        <v>2600000</v>
      </c>
      <c r="G1407" s="131" t="str">
        <f>+VLOOKUP(Tabla14[[#This Row],[FONDO]],MAESTRO!$D$2:$E$119,2,FALSE)</f>
        <v>Max Capital</v>
      </c>
      <c r="H1407" s="40" t="str">
        <f>+VLOOKUP(Tabla14[[#This Row],[FONDO]],MAESTRO!D:F,3,FALSE)</f>
        <v>(T+0)</v>
      </c>
      <c r="I1407" s="39" t="s">
        <v>9</v>
      </c>
      <c r="J1407" s="49"/>
      <c r="L140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7" s="39">
        <f>ROUND(IF(Tabla14[[#This Row],[OPERACIÓN]]=MAESTRO!$B$2,Tabla14[CAPITAL],IF(Tabla14[[#This Row],[OPERACIÓN]]=MAESTRO!$B$5,Tabla14[CAPITAL],-Tabla14[[#This Row],[CAPITAL]])),2)</f>
        <v>2600000</v>
      </c>
    </row>
    <row r="1408" spans="1:13" s="20" customFormat="1" x14ac:dyDescent="0.3">
      <c r="A1408" s="37">
        <v>46254</v>
      </c>
      <c r="B1408" s="20" t="s">
        <v>299</v>
      </c>
      <c r="C1408" s="20" t="s">
        <v>132</v>
      </c>
      <c r="D1408" s="38" t="s">
        <v>16</v>
      </c>
      <c r="E1408" s="39" t="s">
        <v>204</v>
      </c>
      <c r="F1408" s="39">
        <v>1000000</v>
      </c>
      <c r="G1408" s="131" t="str">
        <f>+VLOOKUP(Tabla14[[#This Row],[FONDO]],MAESTRO!$D$2:$E$119,2,FALSE)</f>
        <v>Latin Securities</v>
      </c>
      <c r="H1408" s="40" t="str">
        <f>+VLOOKUP(Tabla14[[#This Row],[FONDO]],MAESTRO!D:F,3,FALSE)</f>
        <v>(T+0)</v>
      </c>
      <c r="I1408" s="39" t="s">
        <v>9</v>
      </c>
      <c r="J1408" s="49"/>
      <c r="L140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8" s="39">
        <f>ROUND(IF(Tabla14[[#This Row],[OPERACIÓN]]=MAESTRO!$B$2,Tabla14[CAPITAL],IF(Tabla14[[#This Row],[OPERACIÓN]]=MAESTRO!$B$5,Tabla14[CAPITAL],-Tabla14[[#This Row],[CAPITAL]])),2)</f>
        <v>1000000</v>
      </c>
    </row>
    <row r="1409" spans="1:13" s="20" customFormat="1" x14ac:dyDescent="0.3">
      <c r="A1409" s="37">
        <v>46254</v>
      </c>
      <c r="B1409" s="20" t="s">
        <v>298</v>
      </c>
      <c r="C1409" s="20" t="s">
        <v>132</v>
      </c>
      <c r="D1409" s="38" t="s">
        <v>16</v>
      </c>
      <c r="E1409" s="39" t="s">
        <v>48</v>
      </c>
      <c r="F1409" s="39">
        <v>800000</v>
      </c>
      <c r="G1409" s="131" t="str">
        <f>+VLOOKUP(Tabla14[[#This Row],[FONDO]],MAESTRO!$D$2:$E$119,2,FALSE)</f>
        <v>Banco Macro S.A.</v>
      </c>
      <c r="H1409" s="40" t="str">
        <f>+VLOOKUP(Tabla14[[#This Row],[FONDO]],MAESTRO!D:F,3,FALSE)</f>
        <v>(T+0)</v>
      </c>
      <c r="I1409" s="39" t="s">
        <v>9</v>
      </c>
      <c r="J1409" s="49"/>
      <c r="L140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09" s="39">
        <f>ROUND(IF(Tabla14[[#This Row],[OPERACIÓN]]=MAESTRO!$B$2,Tabla14[CAPITAL],IF(Tabla14[[#This Row],[OPERACIÓN]]=MAESTRO!$B$5,Tabla14[CAPITAL],-Tabla14[[#This Row],[CAPITAL]])),2)</f>
        <v>800000</v>
      </c>
    </row>
    <row r="1410" spans="1:13" s="20" customFormat="1" x14ac:dyDescent="0.3">
      <c r="A1410" s="37">
        <v>46254</v>
      </c>
      <c r="B1410" s="20" t="s">
        <v>298</v>
      </c>
      <c r="C1410" s="20" t="s">
        <v>132</v>
      </c>
      <c r="D1410" s="38" t="s">
        <v>17</v>
      </c>
      <c r="E1410" s="39" t="s">
        <v>136</v>
      </c>
      <c r="F1410" s="39">
        <v>850000</v>
      </c>
      <c r="G1410" s="131" t="str">
        <f>+VLOOKUP(Tabla14[[#This Row],[FONDO]],MAESTRO!$D$2:$E$119,2,FALSE)</f>
        <v>Gma Capital</v>
      </c>
      <c r="H1410" s="40" t="str">
        <f>+VLOOKUP(Tabla14[[#This Row],[FONDO]],MAESTRO!D:F,3,FALSE)</f>
        <v>(T+0)</v>
      </c>
      <c r="I1410" s="39" t="s">
        <v>9</v>
      </c>
      <c r="J1410" s="49"/>
      <c r="L141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0" s="39">
        <f>ROUND(IF(Tabla14[[#This Row],[OPERACIÓN]]=MAESTRO!$B$2,Tabla14[CAPITAL],IF(Tabla14[[#This Row],[OPERACIÓN]]=MAESTRO!$B$5,Tabla14[CAPITAL],-Tabla14[[#This Row],[CAPITAL]])),2)</f>
        <v>-850000</v>
      </c>
    </row>
    <row r="1411" spans="1:13" s="20" customFormat="1" x14ac:dyDescent="0.3">
      <c r="A1411" s="37">
        <v>46254</v>
      </c>
      <c r="B1411" s="20" t="s">
        <v>298</v>
      </c>
      <c r="C1411" s="20" t="s">
        <v>132</v>
      </c>
      <c r="D1411" s="38" t="s">
        <v>16</v>
      </c>
      <c r="E1411" s="39" t="s">
        <v>169</v>
      </c>
      <c r="F1411" s="39">
        <v>2300000</v>
      </c>
      <c r="G1411" s="131" t="str">
        <f>+VLOOKUP(Tabla14[[#This Row],[FONDO]],MAESTRO!$D$2:$E$119,2,FALSE)</f>
        <v>Max Capital</v>
      </c>
      <c r="H1411" s="40" t="str">
        <f>+VLOOKUP(Tabla14[[#This Row],[FONDO]],MAESTRO!D:F,3,FALSE)</f>
        <v>(T+0)</v>
      </c>
      <c r="I1411" s="39" t="s">
        <v>9</v>
      </c>
      <c r="J1411" s="49"/>
      <c r="L141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1" s="39">
        <f>ROUND(IF(Tabla14[[#This Row],[OPERACIÓN]]=MAESTRO!$B$2,Tabla14[CAPITAL],IF(Tabla14[[#This Row],[OPERACIÓN]]=MAESTRO!$B$5,Tabla14[CAPITAL],-Tabla14[[#This Row],[CAPITAL]])),2)</f>
        <v>2300000</v>
      </c>
    </row>
    <row r="1412" spans="1:13" s="20" customFormat="1" x14ac:dyDescent="0.3">
      <c r="A1412" s="37">
        <v>46254</v>
      </c>
      <c r="B1412" s="20" t="s">
        <v>298</v>
      </c>
      <c r="C1412" s="20" t="s">
        <v>132</v>
      </c>
      <c r="D1412" s="38" t="s">
        <v>16</v>
      </c>
      <c r="E1412" s="39" t="s">
        <v>204</v>
      </c>
      <c r="F1412" s="39">
        <v>1000000</v>
      </c>
      <c r="G1412" s="131" t="str">
        <f>+VLOOKUP(Tabla14[[#This Row],[FONDO]],MAESTRO!$D$2:$E$119,2,FALSE)</f>
        <v>Latin Securities</v>
      </c>
      <c r="H1412" s="40" t="str">
        <f>+VLOOKUP(Tabla14[[#This Row],[FONDO]],MAESTRO!D:F,3,FALSE)</f>
        <v>(T+0)</v>
      </c>
      <c r="I1412" s="39" t="s">
        <v>9</v>
      </c>
      <c r="J1412" s="49"/>
      <c r="L141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2" s="39">
        <f>ROUND(IF(Tabla14[[#This Row],[OPERACIÓN]]=MAESTRO!$B$2,Tabla14[CAPITAL],IF(Tabla14[[#This Row],[OPERACIÓN]]=MAESTRO!$B$5,Tabla14[CAPITAL],-Tabla14[[#This Row],[CAPITAL]])),2)</f>
        <v>1000000</v>
      </c>
    </row>
    <row r="1413" spans="1:13" s="20" customFormat="1" x14ac:dyDescent="0.3">
      <c r="A1413" s="37">
        <v>46254</v>
      </c>
      <c r="B1413" s="20" t="s">
        <v>298</v>
      </c>
      <c r="C1413" s="20" t="s">
        <v>132</v>
      </c>
      <c r="D1413" s="38" t="s">
        <v>16</v>
      </c>
      <c r="E1413" s="39" t="s">
        <v>208</v>
      </c>
      <c r="F1413" s="39">
        <v>1600000</v>
      </c>
      <c r="G1413" s="131" t="str">
        <f>+VLOOKUP(Tabla14[[#This Row],[FONDO]],MAESTRO!$D$2:$E$119,2,FALSE)</f>
        <v>Facimex</v>
      </c>
      <c r="H1413" s="40" t="str">
        <f>+VLOOKUP(Tabla14[[#This Row],[FONDO]],MAESTRO!D:F,3,FALSE)</f>
        <v>(T+0)</v>
      </c>
      <c r="I1413" s="39" t="s">
        <v>9</v>
      </c>
      <c r="J1413" s="49"/>
      <c r="L141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3" s="39">
        <f>ROUND(IF(Tabla14[[#This Row],[OPERACIÓN]]=MAESTRO!$B$2,Tabla14[CAPITAL],IF(Tabla14[[#This Row],[OPERACIÓN]]=MAESTRO!$B$5,Tabla14[CAPITAL],-Tabla14[[#This Row],[CAPITAL]])),2)</f>
        <v>1600000</v>
      </c>
    </row>
    <row r="1414" spans="1:13" s="20" customFormat="1" x14ac:dyDescent="0.3">
      <c r="A1414" s="37">
        <v>46254</v>
      </c>
      <c r="B1414" s="20" t="s">
        <v>298</v>
      </c>
      <c r="C1414" s="20" t="s">
        <v>132</v>
      </c>
      <c r="D1414" s="38" t="s">
        <v>17</v>
      </c>
      <c r="E1414" s="39" t="s">
        <v>291</v>
      </c>
      <c r="F1414" s="39">
        <v>1000000000</v>
      </c>
      <c r="G1414" s="131" t="str">
        <f>+VLOOKUP(Tabla14[[#This Row],[FONDO]],MAESTRO!$D$2:$E$119,2,FALSE)</f>
        <v>Balanz</v>
      </c>
      <c r="H1414" s="40" t="str">
        <f>+VLOOKUP(Tabla14[[#This Row],[FONDO]],MAESTRO!D:F,3,FALSE)</f>
        <v>(T+1)</v>
      </c>
      <c r="I1414" s="39" t="s">
        <v>9</v>
      </c>
      <c r="J1414" s="49"/>
      <c r="L141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4" s="39">
        <f>ROUND(IF(Tabla14[[#This Row],[OPERACIÓN]]=MAESTRO!$B$2,Tabla14[CAPITAL],IF(Tabla14[[#This Row],[OPERACIÓN]]=MAESTRO!$B$5,Tabla14[CAPITAL],-Tabla14[[#This Row],[CAPITAL]])),2)</f>
        <v>-1000000000</v>
      </c>
    </row>
    <row r="1415" spans="1:13" s="20" customFormat="1" x14ac:dyDescent="0.3">
      <c r="A1415" s="37">
        <v>46254</v>
      </c>
      <c r="B1415" s="20" t="s">
        <v>298</v>
      </c>
      <c r="C1415" s="20" t="s">
        <v>132</v>
      </c>
      <c r="D1415" s="38" t="s">
        <v>16</v>
      </c>
      <c r="E1415" s="39" t="s">
        <v>154</v>
      </c>
      <c r="F1415" s="39">
        <v>1074000000</v>
      </c>
      <c r="G1415" s="131" t="str">
        <f>+VLOOKUP(Tabla14[[#This Row],[FONDO]],MAESTRO!$D$2:$E$119,2,FALSE)</f>
        <v>Balanz</v>
      </c>
      <c r="H1415" s="40" t="str">
        <f>+VLOOKUP(Tabla14[[#This Row],[FONDO]],MAESTRO!D:F,3,FALSE)</f>
        <v>(T+0)</v>
      </c>
      <c r="I1415" s="39" t="s">
        <v>9</v>
      </c>
      <c r="J1415" s="49"/>
      <c r="L141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5" s="39">
        <f>ROUND(IF(Tabla14[[#This Row],[OPERACIÓN]]=MAESTRO!$B$2,Tabla14[CAPITAL],IF(Tabla14[[#This Row],[OPERACIÓN]]=MAESTRO!$B$5,Tabla14[CAPITAL],-Tabla14[[#This Row],[CAPITAL]])),2)</f>
        <v>1074000000</v>
      </c>
    </row>
    <row r="1416" spans="1:13" x14ac:dyDescent="0.3">
      <c r="A1416" s="26">
        <v>46254</v>
      </c>
      <c r="B1416" t="s">
        <v>292</v>
      </c>
      <c r="C1416" t="s">
        <v>132</v>
      </c>
      <c r="D1416" s="27" t="s">
        <v>16</v>
      </c>
      <c r="E1416" s="4" t="s">
        <v>170</v>
      </c>
      <c r="F1416" s="4">
        <v>148480593</v>
      </c>
      <c r="G1416" s="130" t="str">
        <f>+VLOOKUP(Tabla14[[#This Row],[FONDO]],MAESTRO!$D$2:$E$119,2,FALSE)</f>
        <v>Banco Santander Rio S.A.</v>
      </c>
      <c r="H1416" s="8" t="str">
        <f>+VLOOKUP(Tabla14[[#This Row],[FONDO]],MAESTRO!D:F,3,FALSE)</f>
        <v>(T+0)</v>
      </c>
      <c r="I1416" s="4" t="s">
        <v>9</v>
      </c>
      <c r="L141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6" s="4">
        <f>ROUND(IF(Tabla14[[#This Row],[OPERACIÓN]]=MAESTRO!$B$2,Tabla14[CAPITAL],IF(Tabla14[[#This Row],[OPERACIÓN]]=MAESTRO!$B$5,Tabla14[CAPITAL],-Tabla14[[#This Row],[CAPITAL]])),2)</f>
        <v>148480593</v>
      </c>
    </row>
    <row r="1417" spans="1:13" x14ac:dyDescent="0.3">
      <c r="A1417" s="26">
        <v>46255</v>
      </c>
      <c r="B1417" t="s">
        <v>292</v>
      </c>
      <c r="C1417" t="s">
        <v>132</v>
      </c>
      <c r="D1417" s="27" t="s">
        <v>17</v>
      </c>
      <c r="E1417" s="4" t="s">
        <v>170</v>
      </c>
      <c r="F1417" s="4">
        <v>197400000</v>
      </c>
      <c r="G1417" s="8" t="str">
        <f>+VLOOKUP(Tabla14[[#This Row],[FONDO]],MAESTRO!$D$2:$E$119,2,FALSE)</f>
        <v>Banco Santander Rio S.A.</v>
      </c>
      <c r="H1417" s="8" t="str">
        <f>+VLOOKUP(Tabla14[[#This Row],[FONDO]],MAESTRO!D:F,3,FALSE)</f>
        <v>(T+0)</v>
      </c>
      <c r="I1417" s="4" t="s">
        <v>9</v>
      </c>
      <c r="L14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7" s="4">
        <f>ROUND(IF(Tabla14[[#This Row],[OPERACIÓN]]=MAESTRO!$B$2,Tabla14[CAPITAL],IF(Tabla14[[#This Row],[OPERACIÓN]]=MAESTRO!$B$5,Tabla14[CAPITAL],-Tabla14[[#This Row],[CAPITAL]])),2)</f>
        <v>-197400000</v>
      </c>
    </row>
    <row r="1418" spans="1:13" x14ac:dyDescent="0.3">
      <c r="A1418" s="26">
        <v>46255</v>
      </c>
      <c r="B1418" t="s">
        <v>292</v>
      </c>
      <c r="C1418" t="s">
        <v>132</v>
      </c>
      <c r="D1418" s="27" t="s">
        <v>17</v>
      </c>
      <c r="E1418" s="4" t="s">
        <v>48</v>
      </c>
      <c r="F1418" s="4">
        <v>5600000</v>
      </c>
      <c r="G1418" s="8" t="str">
        <f>+VLOOKUP(Tabla14[[#This Row],[FONDO]],MAESTRO!$D$2:$E$119,2,FALSE)</f>
        <v>Banco Macro S.A.</v>
      </c>
      <c r="H1418" s="8" t="str">
        <f>+VLOOKUP(Tabla14[[#This Row],[FONDO]],MAESTRO!D:F,3,FALSE)</f>
        <v>(T+0)</v>
      </c>
      <c r="I1418" s="4" t="s">
        <v>9</v>
      </c>
      <c r="L14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8" s="4">
        <f>ROUND(IF(Tabla14[[#This Row],[OPERACIÓN]]=MAESTRO!$B$2,Tabla14[CAPITAL],IF(Tabla14[[#This Row],[OPERACIÓN]]=MAESTRO!$B$5,Tabla14[CAPITAL],-Tabla14[[#This Row],[CAPITAL]])),2)</f>
        <v>-5600000</v>
      </c>
    </row>
    <row r="1419" spans="1:13" x14ac:dyDescent="0.3">
      <c r="A1419" s="26">
        <v>46255</v>
      </c>
      <c r="B1419" t="s">
        <v>298</v>
      </c>
      <c r="C1419" t="s">
        <v>132</v>
      </c>
      <c r="D1419" s="27" t="s">
        <v>17</v>
      </c>
      <c r="E1419" s="4" t="s">
        <v>40</v>
      </c>
      <c r="F1419" s="4">
        <v>1147800000</v>
      </c>
      <c r="G1419" s="8" t="str">
        <f>+VLOOKUP(Tabla14[[#This Row],[FONDO]],MAESTRO!$D$2:$E$119,2,FALSE)</f>
        <v>BBVA Banco Frances SA</v>
      </c>
      <c r="H1419" s="8" t="str">
        <f>+VLOOKUP(Tabla14[[#This Row],[FONDO]],MAESTRO!D:F,3,FALSE)</f>
        <v>(T+0)</v>
      </c>
      <c r="I1419" s="4" t="s">
        <v>9</v>
      </c>
      <c r="L14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19" s="4">
        <f>ROUND(IF(Tabla14[[#This Row],[OPERACIÓN]]=MAESTRO!$B$2,Tabla14[CAPITAL],IF(Tabla14[[#This Row],[OPERACIÓN]]=MAESTRO!$B$5,Tabla14[CAPITAL],-Tabla14[[#This Row],[CAPITAL]])),2)</f>
        <v>-1147800000</v>
      </c>
    </row>
    <row r="1420" spans="1:13" x14ac:dyDescent="0.3">
      <c r="A1420" s="26">
        <v>46255</v>
      </c>
      <c r="B1420" t="s">
        <v>299</v>
      </c>
      <c r="C1420" t="s">
        <v>132</v>
      </c>
      <c r="D1420" s="27" t="s">
        <v>17</v>
      </c>
      <c r="E1420" s="4" t="s">
        <v>136</v>
      </c>
      <c r="F1420" s="4">
        <v>222500000</v>
      </c>
      <c r="G1420" s="8" t="str">
        <f>+VLOOKUP(Tabla14[[#This Row],[FONDO]],MAESTRO!$D$2:$E$119,2,FALSE)</f>
        <v>Gma Capital</v>
      </c>
      <c r="H1420" s="8" t="str">
        <f>+VLOOKUP(Tabla14[[#This Row],[FONDO]],MAESTRO!D:F,3,FALSE)</f>
        <v>(T+0)</v>
      </c>
      <c r="I1420" s="4" t="s">
        <v>9</v>
      </c>
      <c r="L14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0" s="4">
        <f>ROUND(IF(Tabla14[[#This Row],[OPERACIÓN]]=MAESTRO!$B$2,Tabla14[CAPITAL],IF(Tabla14[[#This Row],[OPERACIÓN]]=MAESTRO!$B$5,Tabla14[CAPITAL],-Tabla14[[#This Row],[CAPITAL]])),2)</f>
        <v>-222500000</v>
      </c>
    </row>
    <row r="1421" spans="1:13" x14ac:dyDescent="0.3">
      <c r="A1421" s="26">
        <v>46255</v>
      </c>
      <c r="B1421" t="s">
        <v>292</v>
      </c>
      <c r="C1421" t="s">
        <v>132</v>
      </c>
      <c r="D1421" s="27" t="s">
        <v>16</v>
      </c>
      <c r="E1421" s="4" t="s">
        <v>170</v>
      </c>
      <c r="F1421" s="4">
        <v>1463553.36</v>
      </c>
      <c r="G1421" s="8" t="str">
        <f>+VLOOKUP(Tabla14[[#This Row],[FONDO]],MAESTRO!$D$2:$E$119,2,FALSE)</f>
        <v>Banco Santander Rio S.A.</v>
      </c>
      <c r="H1421" s="8" t="str">
        <f>+VLOOKUP(Tabla14[[#This Row],[FONDO]],MAESTRO!D:F,3,FALSE)</f>
        <v>(T+0)</v>
      </c>
      <c r="I1421" s="4" t="s">
        <v>9</v>
      </c>
      <c r="L14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1" s="4">
        <f>ROUND(IF(Tabla14[[#This Row],[OPERACIÓN]]=MAESTRO!$B$2,Tabla14[CAPITAL],IF(Tabla14[[#This Row],[OPERACIÓN]]=MAESTRO!$B$5,Tabla14[CAPITAL],-Tabla14[[#This Row],[CAPITAL]])),2)</f>
        <v>1463553.36</v>
      </c>
    </row>
    <row r="1422" spans="1:13" x14ac:dyDescent="0.3">
      <c r="A1422" s="26">
        <v>46255</v>
      </c>
      <c r="B1422" t="s">
        <v>298</v>
      </c>
      <c r="C1422" t="s">
        <v>132</v>
      </c>
      <c r="D1422" s="27" t="s">
        <v>17</v>
      </c>
      <c r="E1422" s="4" t="s">
        <v>40</v>
      </c>
      <c r="F1422" s="4">
        <v>600000</v>
      </c>
      <c r="G1422" s="8" t="str">
        <f>+VLOOKUP(Tabla14[[#This Row],[FONDO]],MAESTRO!$D$2:$E$119,2,FALSE)</f>
        <v>BBVA Banco Frances SA</v>
      </c>
      <c r="H1422" s="8" t="str">
        <f>+VLOOKUP(Tabla14[[#This Row],[FONDO]],MAESTRO!D:F,3,FALSE)</f>
        <v>(T+0)</v>
      </c>
      <c r="I1422" s="4" t="s">
        <v>9</v>
      </c>
      <c r="L14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2" s="4">
        <f>ROUND(IF(Tabla14[[#This Row],[OPERACIÓN]]=MAESTRO!$B$2,Tabla14[CAPITAL],IF(Tabla14[[#This Row],[OPERACIÓN]]=MAESTRO!$B$5,Tabla14[CAPITAL],-Tabla14[[#This Row],[CAPITAL]])),2)</f>
        <v>-600000</v>
      </c>
    </row>
    <row r="1423" spans="1:13" x14ac:dyDescent="0.3">
      <c r="A1423" s="26">
        <v>46258</v>
      </c>
      <c r="B1423" t="s">
        <v>126</v>
      </c>
      <c r="C1423" t="s">
        <v>132</v>
      </c>
      <c r="D1423" s="27" t="s">
        <v>17</v>
      </c>
      <c r="E1423" s="4" t="s">
        <v>48</v>
      </c>
      <c r="F1423" s="4">
        <v>83300000</v>
      </c>
      <c r="G1423" s="8" t="str">
        <f>+VLOOKUP(Tabla14[[#This Row],[FONDO]],MAESTRO!$D$2:$E$119,2,FALSE)</f>
        <v>Banco Macro S.A.</v>
      </c>
      <c r="H1423" s="8" t="str">
        <f>+VLOOKUP(Tabla14[[#This Row],[FONDO]],MAESTRO!D:F,3,FALSE)</f>
        <v>(T+0)</v>
      </c>
      <c r="I1423" s="4" t="s">
        <v>9</v>
      </c>
      <c r="L14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3" s="4">
        <f>ROUND(IF(Tabla14[[#This Row],[OPERACIÓN]]=MAESTRO!$B$2,Tabla14[CAPITAL],IF(Tabla14[[#This Row],[OPERACIÓN]]=MAESTRO!$B$5,Tabla14[CAPITAL],-Tabla14[[#This Row],[CAPITAL]])),2)</f>
        <v>-83300000</v>
      </c>
    </row>
    <row r="1424" spans="1:13" x14ac:dyDescent="0.3">
      <c r="A1424" s="26">
        <v>46258</v>
      </c>
      <c r="B1424" t="s">
        <v>299</v>
      </c>
      <c r="C1424" t="s">
        <v>132</v>
      </c>
      <c r="D1424" s="27" t="s">
        <v>17</v>
      </c>
      <c r="E1424" s="4" t="s">
        <v>48</v>
      </c>
      <c r="F1424" s="4">
        <v>34800000</v>
      </c>
      <c r="G1424" s="8" t="str">
        <f>+VLOOKUP(Tabla14[[#This Row],[FONDO]],MAESTRO!$D$2:$E$119,2,FALSE)</f>
        <v>Banco Macro S.A.</v>
      </c>
      <c r="H1424" s="8" t="str">
        <f>+VLOOKUP(Tabla14[[#This Row],[FONDO]],MAESTRO!D:F,3,FALSE)</f>
        <v>(T+0)</v>
      </c>
      <c r="I1424" s="4" t="s">
        <v>9</v>
      </c>
      <c r="L14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4" s="4">
        <f>ROUND(IF(Tabla14[[#This Row],[OPERACIÓN]]=MAESTRO!$B$2,Tabla14[CAPITAL],IF(Tabla14[[#This Row],[OPERACIÓN]]=MAESTRO!$B$5,Tabla14[CAPITAL],-Tabla14[[#This Row],[CAPITAL]])),2)</f>
        <v>-34800000</v>
      </c>
    </row>
    <row r="1425" spans="1:13" x14ac:dyDescent="0.3">
      <c r="A1425" s="26">
        <v>46258</v>
      </c>
      <c r="B1425" t="s">
        <v>298</v>
      </c>
      <c r="C1425" t="s">
        <v>132</v>
      </c>
      <c r="D1425" s="27" t="s">
        <v>17</v>
      </c>
      <c r="E1425" s="4" t="s">
        <v>40</v>
      </c>
      <c r="F1425" s="4">
        <v>433100000</v>
      </c>
      <c r="G1425" s="8" t="str">
        <f>+VLOOKUP(Tabla14[[#This Row],[FONDO]],MAESTRO!$D$2:$E$119,2,FALSE)</f>
        <v>BBVA Banco Frances SA</v>
      </c>
      <c r="H1425" s="8" t="str">
        <f>+VLOOKUP(Tabla14[[#This Row],[FONDO]],MAESTRO!D:F,3,FALSE)</f>
        <v>(T+0)</v>
      </c>
      <c r="I1425" s="4" t="s">
        <v>9</v>
      </c>
      <c r="L14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5" s="4">
        <f>ROUND(IF(Tabla14[[#This Row],[OPERACIÓN]]=MAESTRO!$B$2,Tabla14[CAPITAL],IF(Tabla14[[#This Row],[OPERACIÓN]]=MAESTRO!$B$5,Tabla14[CAPITAL],-Tabla14[[#This Row],[CAPITAL]])),2)</f>
        <v>-433100000</v>
      </c>
    </row>
    <row r="1426" spans="1:13" x14ac:dyDescent="0.3">
      <c r="A1426" s="26">
        <v>46258</v>
      </c>
      <c r="B1426" t="s">
        <v>292</v>
      </c>
      <c r="C1426" t="s">
        <v>132</v>
      </c>
      <c r="D1426" s="27" t="s">
        <v>16</v>
      </c>
      <c r="E1426" s="4" t="s">
        <v>48</v>
      </c>
      <c r="F1426" s="4">
        <v>119700000</v>
      </c>
      <c r="G1426" s="8" t="str">
        <f>+VLOOKUP(Tabla14[[#This Row],[FONDO]],MAESTRO!$D$2:$E$119,2,FALSE)</f>
        <v>Banco Macro S.A.</v>
      </c>
      <c r="H1426" s="8" t="str">
        <f>+VLOOKUP(Tabla14[[#This Row],[FONDO]],MAESTRO!D:F,3,FALSE)</f>
        <v>(T+0)</v>
      </c>
      <c r="I1426" s="4" t="s">
        <v>9</v>
      </c>
      <c r="L14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6" s="4">
        <f>ROUND(IF(Tabla14[[#This Row],[OPERACIÓN]]=MAESTRO!$B$2,Tabla14[CAPITAL],IF(Tabla14[[#This Row],[OPERACIÓN]]=MAESTRO!$B$5,Tabla14[CAPITAL],-Tabla14[[#This Row],[CAPITAL]])),2)</f>
        <v>119700000</v>
      </c>
    </row>
    <row r="1427" spans="1:13" x14ac:dyDescent="0.3">
      <c r="A1427" s="26">
        <v>46258</v>
      </c>
      <c r="B1427" t="s">
        <v>292</v>
      </c>
      <c r="C1427" t="s">
        <v>132</v>
      </c>
      <c r="D1427" s="27" t="s">
        <v>17</v>
      </c>
      <c r="E1427" s="4" t="s">
        <v>40</v>
      </c>
      <c r="F1427" s="4">
        <v>2500000</v>
      </c>
      <c r="G1427" s="8" t="str">
        <f>+VLOOKUP(Tabla14[[#This Row],[FONDO]],MAESTRO!$D$2:$E$119,2,FALSE)</f>
        <v>BBVA Banco Frances SA</v>
      </c>
      <c r="H1427" s="8" t="str">
        <f>+VLOOKUP(Tabla14[[#This Row],[FONDO]],MAESTRO!D:F,3,FALSE)</f>
        <v>(T+0)</v>
      </c>
      <c r="I1427" s="4" t="s">
        <v>9</v>
      </c>
      <c r="L14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7" s="4">
        <f>ROUND(IF(Tabla14[[#This Row],[OPERACIÓN]]=MAESTRO!$B$2,Tabla14[CAPITAL],IF(Tabla14[[#This Row],[OPERACIÓN]]=MAESTRO!$B$5,Tabla14[CAPITAL],-Tabla14[[#This Row],[CAPITAL]])),2)</f>
        <v>-2500000</v>
      </c>
    </row>
    <row r="1428" spans="1:13" x14ac:dyDescent="0.3">
      <c r="A1428" s="26">
        <v>46259</v>
      </c>
      <c r="B1428" t="s">
        <v>298</v>
      </c>
      <c r="C1428" t="s">
        <v>132</v>
      </c>
      <c r="D1428" s="27" t="s">
        <v>17</v>
      </c>
      <c r="E1428" s="4" t="s">
        <v>169</v>
      </c>
      <c r="F1428" s="53">
        <v>352424588</v>
      </c>
      <c r="G1428" s="8" t="str">
        <f>+VLOOKUP(Tabla14[[#This Row],[FONDO]],MAESTRO!$D$2:$E$119,2,FALSE)</f>
        <v>Max Capital</v>
      </c>
      <c r="H1428" s="8" t="str">
        <f>+VLOOKUP(Tabla14[[#This Row],[FONDO]],MAESTRO!D:F,3,FALSE)</f>
        <v>(T+0)</v>
      </c>
      <c r="I1428" s="4" t="s">
        <v>9</v>
      </c>
      <c r="L14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8" s="4">
        <f>ROUND(IF(Tabla14[[#This Row],[OPERACIÓN]]=MAESTRO!$B$2,Tabla14[CAPITAL],IF(Tabla14[[#This Row],[OPERACIÓN]]=MAESTRO!$B$5,Tabla14[CAPITAL],-Tabla14[[#This Row],[CAPITAL]])),2)</f>
        <v>-352424588</v>
      </c>
    </row>
    <row r="1429" spans="1:13" x14ac:dyDescent="0.3">
      <c r="A1429" s="26">
        <v>46259</v>
      </c>
      <c r="B1429" t="s">
        <v>298</v>
      </c>
      <c r="C1429" t="s">
        <v>132</v>
      </c>
      <c r="D1429" s="27" t="s">
        <v>17</v>
      </c>
      <c r="E1429" s="4" t="s">
        <v>169</v>
      </c>
      <c r="F1429" s="53">
        <v>63791573.530000001</v>
      </c>
      <c r="G1429" s="8" t="str">
        <f>+VLOOKUP(Tabla14[[#This Row],[FONDO]],MAESTRO!$D$2:$E$119,2,FALSE)</f>
        <v>Max Capital</v>
      </c>
      <c r="H1429" s="8" t="str">
        <f>+VLOOKUP(Tabla14[[#This Row],[FONDO]],MAESTRO!D:F,3,FALSE)</f>
        <v>(T+0)</v>
      </c>
      <c r="I1429" s="4" t="s">
        <v>9</v>
      </c>
      <c r="L14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29" s="4">
        <f>ROUND(IF(Tabla14[[#This Row],[OPERACIÓN]]=MAESTRO!$B$2,Tabla14[CAPITAL],IF(Tabla14[[#This Row],[OPERACIÓN]]=MAESTRO!$B$5,Tabla14[CAPITAL],-Tabla14[[#This Row],[CAPITAL]])),2)</f>
        <v>-63791573.530000001</v>
      </c>
    </row>
    <row r="1430" spans="1:13" x14ac:dyDescent="0.3">
      <c r="A1430" s="26">
        <v>46259</v>
      </c>
      <c r="B1430" t="s">
        <v>298</v>
      </c>
      <c r="C1430" t="s">
        <v>132</v>
      </c>
      <c r="D1430" s="27" t="s">
        <v>17</v>
      </c>
      <c r="E1430" s="4" t="s">
        <v>136</v>
      </c>
      <c r="F1430" s="53">
        <v>59614800</v>
      </c>
      <c r="G1430" s="8" t="str">
        <f>+VLOOKUP(Tabla14[[#This Row],[FONDO]],MAESTRO!$D$2:$E$119,2,FALSE)</f>
        <v>Gma Capital</v>
      </c>
      <c r="H1430" s="8" t="str">
        <f>+VLOOKUP(Tabla14[[#This Row],[FONDO]],MAESTRO!D:F,3,FALSE)</f>
        <v>(T+0)</v>
      </c>
      <c r="I1430" s="4" t="s">
        <v>9</v>
      </c>
      <c r="L14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0" s="4">
        <f>ROUND(IF(Tabla14[[#This Row],[OPERACIÓN]]=MAESTRO!$B$2,Tabla14[CAPITAL],IF(Tabla14[[#This Row],[OPERACIÓN]]=MAESTRO!$B$5,Tabla14[CAPITAL],-Tabla14[[#This Row],[CAPITAL]])),2)</f>
        <v>-59614800</v>
      </c>
    </row>
    <row r="1431" spans="1:13" x14ac:dyDescent="0.3">
      <c r="A1431" s="26">
        <v>46259</v>
      </c>
      <c r="B1431" t="s">
        <v>298</v>
      </c>
      <c r="C1431" t="s">
        <v>132</v>
      </c>
      <c r="D1431" s="27" t="s">
        <v>17</v>
      </c>
      <c r="E1431" s="4" t="s">
        <v>170</v>
      </c>
      <c r="F1431" s="4">
        <v>229796750.83000001</v>
      </c>
      <c r="G1431" s="8" t="str">
        <f>+VLOOKUP(Tabla14[[#This Row],[FONDO]],MAESTRO!$D$2:$E$119,2,FALSE)</f>
        <v>Banco Santander Rio S.A.</v>
      </c>
      <c r="H1431" s="8" t="str">
        <f>+VLOOKUP(Tabla14[[#This Row],[FONDO]],MAESTRO!D:F,3,FALSE)</f>
        <v>(T+0)</v>
      </c>
      <c r="I1431" s="4" t="s">
        <v>9</v>
      </c>
      <c r="L14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1" s="4">
        <f>ROUND(IF(Tabla14[[#This Row],[OPERACIÓN]]=MAESTRO!$B$2,Tabla14[CAPITAL],IF(Tabla14[[#This Row],[OPERACIÓN]]=MAESTRO!$B$5,Tabla14[CAPITAL],-Tabla14[[#This Row],[CAPITAL]])),2)</f>
        <v>-229796750.83000001</v>
      </c>
    </row>
    <row r="1432" spans="1:13" x14ac:dyDescent="0.3">
      <c r="A1432" s="26">
        <v>46259</v>
      </c>
      <c r="B1432" t="s">
        <v>299</v>
      </c>
      <c r="C1432" t="s">
        <v>132</v>
      </c>
      <c r="D1432" s="27" t="s">
        <v>17</v>
      </c>
      <c r="E1432" s="4" t="s">
        <v>136</v>
      </c>
      <c r="F1432" s="4">
        <v>462100000</v>
      </c>
      <c r="G1432" s="8" t="str">
        <f>+VLOOKUP(Tabla14[[#This Row],[FONDO]],MAESTRO!$D$2:$E$119,2,FALSE)</f>
        <v>Gma Capital</v>
      </c>
      <c r="H1432" s="8" t="str">
        <f>+VLOOKUP(Tabla14[[#This Row],[FONDO]],MAESTRO!D:F,3,FALSE)</f>
        <v>(T+0)</v>
      </c>
      <c r="I1432" s="4" t="s">
        <v>9</v>
      </c>
      <c r="L14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2" s="4">
        <f>ROUND(IF(Tabla14[[#This Row],[OPERACIÓN]]=MAESTRO!$B$2,Tabla14[CAPITAL],IF(Tabla14[[#This Row],[OPERACIÓN]]=MAESTRO!$B$5,Tabla14[CAPITAL],-Tabla14[[#This Row],[CAPITAL]])),2)</f>
        <v>-462100000</v>
      </c>
    </row>
    <row r="1433" spans="1:13" x14ac:dyDescent="0.3">
      <c r="A1433" s="26">
        <v>46259</v>
      </c>
      <c r="B1433" t="s">
        <v>126</v>
      </c>
      <c r="C1433" t="s">
        <v>132</v>
      </c>
      <c r="D1433" s="27" t="s">
        <v>17</v>
      </c>
      <c r="E1433" s="4" t="s">
        <v>48</v>
      </c>
      <c r="F1433" s="4">
        <v>200000</v>
      </c>
      <c r="G1433" s="8" t="str">
        <f>+VLOOKUP(Tabla14[[#This Row],[FONDO]],MAESTRO!$D$2:$E$119,2,FALSE)</f>
        <v>Banco Macro S.A.</v>
      </c>
      <c r="H1433" s="8" t="str">
        <f>+VLOOKUP(Tabla14[[#This Row],[FONDO]],MAESTRO!D:F,3,FALSE)</f>
        <v>(T+0)</v>
      </c>
      <c r="I1433" s="4" t="s">
        <v>9</v>
      </c>
      <c r="L14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3" s="4">
        <f>ROUND(IF(Tabla14[[#This Row],[OPERACIÓN]]=MAESTRO!$B$2,Tabla14[CAPITAL],IF(Tabla14[[#This Row],[OPERACIÓN]]=MAESTRO!$B$5,Tabla14[CAPITAL],-Tabla14[[#This Row],[CAPITAL]])),2)</f>
        <v>-200000</v>
      </c>
    </row>
    <row r="1434" spans="1:13" x14ac:dyDescent="0.3">
      <c r="A1434" s="26">
        <v>46259</v>
      </c>
      <c r="B1434" t="s">
        <v>298</v>
      </c>
      <c r="C1434" t="s">
        <v>132</v>
      </c>
      <c r="D1434" s="27" t="s">
        <v>17</v>
      </c>
      <c r="E1434" s="4" t="s">
        <v>40</v>
      </c>
      <c r="F1434" s="53">
        <v>432900000</v>
      </c>
      <c r="G1434" s="8" t="str">
        <f>+VLOOKUP(Tabla14[[#This Row],[FONDO]],MAESTRO!$D$2:$E$119,2,FALSE)</f>
        <v>BBVA Banco Frances SA</v>
      </c>
      <c r="H1434" s="8" t="str">
        <f>+VLOOKUP(Tabla14[[#This Row],[FONDO]],MAESTRO!D:F,3,FALSE)</f>
        <v>(T+0)</v>
      </c>
      <c r="I1434" s="4" t="s">
        <v>9</v>
      </c>
      <c r="L14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4" s="4">
        <f>ROUND(IF(Tabla14[[#This Row],[OPERACIÓN]]=MAESTRO!$B$2,Tabla14[CAPITAL],IF(Tabla14[[#This Row],[OPERACIÓN]]=MAESTRO!$B$5,Tabla14[CAPITAL],-Tabla14[[#This Row],[CAPITAL]])),2)</f>
        <v>-432900000</v>
      </c>
    </row>
    <row r="1435" spans="1:13" x14ac:dyDescent="0.3">
      <c r="A1435" s="26">
        <v>46259</v>
      </c>
      <c r="B1435" t="s">
        <v>292</v>
      </c>
      <c r="C1435" t="s">
        <v>132</v>
      </c>
      <c r="D1435" s="27" t="s">
        <v>16</v>
      </c>
      <c r="E1435" s="4" t="s">
        <v>48</v>
      </c>
      <c r="F1435" s="113">
        <v>178500000</v>
      </c>
      <c r="G1435" s="8" t="str">
        <f>+VLOOKUP(Tabla14[[#This Row],[FONDO]],MAESTRO!$D$2:$E$119,2,FALSE)</f>
        <v>Banco Macro S.A.</v>
      </c>
      <c r="H1435" s="8" t="str">
        <f>+VLOOKUP(Tabla14[[#This Row],[FONDO]],MAESTRO!D:F,3,FALSE)</f>
        <v>(T+0)</v>
      </c>
      <c r="I1435" s="4" t="s">
        <v>9</v>
      </c>
      <c r="L14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5" s="4">
        <f>ROUND(IF(Tabla14[[#This Row],[OPERACIÓN]]=MAESTRO!$B$2,Tabla14[CAPITAL],IF(Tabla14[[#This Row],[OPERACIÓN]]=MAESTRO!$B$5,Tabla14[CAPITAL],-Tabla14[[#This Row],[CAPITAL]])),2)</f>
        <v>178500000</v>
      </c>
    </row>
    <row r="1436" spans="1:13" x14ac:dyDescent="0.3">
      <c r="A1436" s="26">
        <v>46260</v>
      </c>
      <c r="B1436" t="s">
        <v>126</v>
      </c>
      <c r="C1436" t="s">
        <v>132</v>
      </c>
      <c r="D1436" s="27" t="s">
        <v>17</v>
      </c>
      <c r="E1436" s="4" t="s">
        <v>48</v>
      </c>
      <c r="F1436" s="4">
        <v>6100000</v>
      </c>
      <c r="G1436" s="132" t="str">
        <f>+VLOOKUP(Tabla14[[#This Row],[FONDO]],MAESTRO!$D$2:$E$119,2,FALSE)</f>
        <v>Banco Macro S.A.</v>
      </c>
      <c r="H1436" s="8" t="str">
        <f>+VLOOKUP(Tabla14[[#This Row],[FONDO]],MAESTRO!D:F,3,FALSE)</f>
        <v>(T+0)</v>
      </c>
      <c r="I1436" s="4" t="s">
        <v>9</v>
      </c>
      <c r="L14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6" s="4">
        <f>ROUND(IF(Tabla14[[#This Row],[OPERACIÓN]]=MAESTRO!$B$2,Tabla14[CAPITAL],IF(Tabla14[[#This Row],[OPERACIÓN]]=MAESTRO!$B$5,Tabla14[CAPITAL],-Tabla14[[#This Row],[CAPITAL]])),2)</f>
        <v>-6100000</v>
      </c>
    </row>
    <row r="1437" spans="1:13" x14ac:dyDescent="0.3">
      <c r="A1437" s="26">
        <v>46260</v>
      </c>
      <c r="B1437" t="s">
        <v>292</v>
      </c>
      <c r="C1437" t="s">
        <v>132</v>
      </c>
      <c r="D1437" s="27" t="s">
        <v>17</v>
      </c>
      <c r="E1437" s="4" t="s">
        <v>48</v>
      </c>
      <c r="F1437" s="4">
        <v>42500000</v>
      </c>
      <c r="G1437" s="132" t="str">
        <f>+VLOOKUP(Tabla14[[#This Row],[FONDO]],MAESTRO!$D$2:$E$119,2,FALSE)</f>
        <v>Banco Macro S.A.</v>
      </c>
      <c r="H1437" s="8" t="str">
        <f>+VLOOKUP(Tabla14[[#This Row],[FONDO]],MAESTRO!D:F,3,FALSE)</f>
        <v>(T+0)</v>
      </c>
      <c r="I1437" s="4" t="s">
        <v>9</v>
      </c>
      <c r="L14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7" s="4">
        <f>ROUND(IF(Tabla14[[#This Row],[OPERACIÓN]]=MAESTRO!$B$2,Tabla14[CAPITAL],IF(Tabla14[[#This Row],[OPERACIÓN]]=MAESTRO!$B$5,Tabla14[CAPITAL],-Tabla14[[#This Row],[CAPITAL]])),2)</f>
        <v>-42500000</v>
      </c>
    </row>
    <row r="1438" spans="1:13" x14ac:dyDescent="0.3">
      <c r="A1438" s="26">
        <v>46260</v>
      </c>
      <c r="B1438" t="s">
        <v>298</v>
      </c>
      <c r="C1438" t="s">
        <v>132</v>
      </c>
      <c r="D1438" s="27" t="s">
        <v>16</v>
      </c>
      <c r="E1438" s="4" t="s">
        <v>40</v>
      </c>
      <c r="F1438" s="4">
        <v>95800000</v>
      </c>
      <c r="G1438" s="132" t="str">
        <f>+VLOOKUP(Tabla14[[#This Row],[FONDO]],MAESTRO!$D$2:$E$119,2,FALSE)</f>
        <v>BBVA Banco Frances SA</v>
      </c>
      <c r="H1438" s="8" t="str">
        <f>+VLOOKUP(Tabla14[[#This Row],[FONDO]],MAESTRO!D:F,3,FALSE)</f>
        <v>(T+0)</v>
      </c>
      <c r="I1438" s="4" t="s">
        <v>9</v>
      </c>
      <c r="L14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8" s="4">
        <f>ROUND(IF(Tabla14[[#This Row],[OPERACIÓN]]=MAESTRO!$B$2,Tabla14[CAPITAL],IF(Tabla14[[#This Row],[OPERACIÓN]]=MAESTRO!$B$5,Tabla14[CAPITAL],-Tabla14[[#This Row],[CAPITAL]])),2)</f>
        <v>95800000</v>
      </c>
    </row>
    <row r="1439" spans="1:13" x14ac:dyDescent="0.3">
      <c r="A1439" s="26">
        <v>46260</v>
      </c>
      <c r="B1439" t="s">
        <v>299</v>
      </c>
      <c r="C1439" t="s">
        <v>132</v>
      </c>
      <c r="D1439" s="27" t="s">
        <v>16</v>
      </c>
      <c r="E1439" s="4" t="s">
        <v>169</v>
      </c>
      <c r="F1439" s="4">
        <v>648866000.08500004</v>
      </c>
      <c r="G1439" s="132" t="str">
        <f>+VLOOKUP(Tabla14[[#This Row],[FONDO]],MAESTRO!$D$2:$E$119,2,FALSE)</f>
        <v>Max Capital</v>
      </c>
      <c r="H1439" s="8" t="str">
        <f>+VLOOKUP(Tabla14[[#This Row],[FONDO]],MAESTRO!D:F,3,FALSE)</f>
        <v>(T+0)</v>
      </c>
      <c r="I1439" s="4" t="s">
        <v>9</v>
      </c>
      <c r="L14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39" s="4">
        <f>ROUND(IF(Tabla14[[#This Row],[OPERACIÓN]]=MAESTRO!$B$2,Tabla14[CAPITAL],IF(Tabla14[[#This Row],[OPERACIÓN]]=MAESTRO!$B$5,Tabla14[CAPITAL],-Tabla14[[#This Row],[CAPITAL]])),2)</f>
        <v>648866000.09000003</v>
      </c>
    </row>
    <row r="1440" spans="1:13" x14ac:dyDescent="0.3">
      <c r="A1440" s="26">
        <v>46260</v>
      </c>
      <c r="B1440" t="s">
        <v>292</v>
      </c>
      <c r="C1440" t="s">
        <v>132</v>
      </c>
      <c r="D1440" s="27" t="s">
        <v>17</v>
      </c>
      <c r="E1440" s="4" t="s">
        <v>169</v>
      </c>
      <c r="F1440" s="53">
        <v>8223825.7000000002</v>
      </c>
      <c r="G1440" s="132" t="str">
        <f>+VLOOKUP(Tabla14[[#This Row],[FONDO]],MAESTRO!$D$2:$E$119,2,FALSE)</f>
        <v>Max Capital</v>
      </c>
      <c r="H1440" s="8" t="str">
        <f>+VLOOKUP(Tabla14[[#This Row],[FONDO]],MAESTRO!D:F,3,FALSE)</f>
        <v>(T+0)</v>
      </c>
      <c r="I1440" s="4" t="s">
        <v>9</v>
      </c>
      <c r="L144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0" s="4">
        <f>ROUND(IF(Tabla14[[#This Row],[OPERACIÓN]]=MAESTRO!$B$2,Tabla14[CAPITAL],IF(Tabla14[[#This Row],[OPERACIÓN]]=MAESTRO!$B$5,Tabla14[CAPITAL],-Tabla14[[#This Row],[CAPITAL]])),2)</f>
        <v>-8223825.7000000002</v>
      </c>
    </row>
    <row r="1441" spans="1:13" x14ac:dyDescent="0.3">
      <c r="A1441" s="26">
        <v>46260</v>
      </c>
      <c r="B1441" t="s">
        <v>298</v>
      </c>
      <c r="C1441" t="s">
        <v>132</v>
      </c>
      <c r="D1441" s="27" t="s">
        <v>17</v>
      </c>
      <c r="E1441" s="4" t="s">
        <v>136</v>
      </c>
      <c r="F1441" s="53">
        <v>63913221.810000002</v>
      </c>
      <c r="G1441" s="132" t="str">
        <f>+VLOOKUP(Tabla14[[#This Row],[FONDO]],MAESTRO!$D$2:$E$119,2,FALSE)</f>
        <v>Gma Capital</v>
      </c>
      <c r="H1441" s="8" t="str">
        <f>+VLOOKUP(Tabla14[[#This Row],[FONDO]],MAESTRO!D:F,3,FALSE)</f>
        <v>(T+0)</v>
      </c>
      <c r="I1441" s="4" t="s">
        <v>9</v>
      </c>
      <c r="L144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1" s="4">
        <f>ROUND(IF(Tabla14[[#This Row],[OPERACIÓN]]=MAESTRO!$B$2,Tabla14[CAPITAL],IF(Tabla14[[#This Row],[OPERACIÓN]]=MAESTRO!$B$5,Tabla14[CAPITAL],-Tabla14[[#This Row],[CAPITAL]])),2)</f>
        <v>-63913221.810000002</v>
      </c>
    </row>
    <row r="1442" spans="1:13" x14ac:dyDescent="0.3">
      <c r="A1442" s="26">
        <v>46260</v>
      </c>
      <c r="B1442" t="s">
        <v>298</v>
      </c>
      <c r="C1442" t="s">
        <v>132</v>
      </c>
      <c r="D1442" s="27" t="s">
        <v>17</v>
      </c>
      <c r="E1442" s="4" t="s">
        <v>136</v>
      </c>
      <c r="F1442" s="53">
        <v>72511596.109999999</v>
      </c>
      <c r="G1442" s="132" t="str">
        <f>+VLOOKUP(Tabla14[[#This Row],[FONDO]],MAESTRO!$D$2:$E$119,2,FALSE)</f>
        <v>Gma Capital</v>
      </c>
      <c r="H1442" s="8" t="str">
        <f>+VLOOKUP(Tabla14[[#This Row],[FONDO]],MAESTRO!D:F,3,FALSE)</f>
        <v>(T+0)</v>
      </c>
      <c r="I1442" s="4" t="s">
        <v>9</v>
      </c>
      <c r="L144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2" s="4">
        <f>ROUND(IF(Tabla14[[#This Row],[OPERACIÓN]]=MAESTRO!$B$2,Tabla14[CAPITAL],IF(Tabla14[[#This Row],[OPERACIÓN]]=MAESTRO!$B$5,Tabla14[CAPITAL],-Tabla14[[#This Row],[CAPITAL]])),2)</f>
        <v>-72511596.109999999</v>
      </c>
    </row>
    <row r="1443" spans="1:13" x14ac:dyDescent="0.3">
      <c r="A1443" s="26">
        <v>46260</v>
      </c>
      <c r="B1443" t="s">
        <v>299</v>
      </c>
      <c r="C1443" t="s">
        <v>132</v>
      </c>
      <c r="D1443" s="27" t="s">
        <v>17</v>
      </c>
      <c r="E1443" s="4" t="s">
        <v>136</v>
      </c>
      <c r="F1443" s="4">
        <v>281100000</v>
      </c>
      <c r="G1443" s="132" t="str">
        <f>+VLOOKUP(Tabla14[[#This Row],[FONDO]],MAESTRO!$D$2:$E$119,2,FALSE)</f>
        <v>Gma Capital</v>
      </c>
      <c r="H1443" s="8" t="str">
        <f>+VLOOKUP(Tabla14[[#This Row],[FONDO]],MAESTRO!D:F,3,FALSE)</f>
        <v>(T+0)</v>
      </c>
      <c r="I1443" s="4" t="s">
        <v>9</v>
      </c>
      <c r="L144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3" s="4">
        <f>ROUND(IF(Tabla14[[#This Row],[OPERACIÓN]]=MAESTRO!$B$2,Tabla14[CAPITAL],IF(Tabla14[[#This Row],[OPERACIÓN]]=MAESTRO!$B$5,Tabla14[CAPITAL],-Tabla14[[#This Row],[CAPITAL]])),2)</f>
        <v>-281100000</v>
      </c>
    </row>
    <row r="1444" spans="1:13" x14ac:dyDescent="0.3">
      <c r="A1444" s="26">
        <v>46260</v>
      </c>
      <c r="B1444" t="s">
        <v>298</v>
      </c>
      <c r="C1444" t="s">
        <v>132</v>
      </c>
      <c r="D1444" s="27" t="s">
        <v>16</v>
      </c>
      <c r="E1444" s="4" t="s">
        <v>170</v>
      </c>
      <c r="F1444" s="4">
        <v>603600000</v>
      </c>
      <c r="G1444" s="132" t="str">
        <f>+VLOOKUP(Tabla14[[#This Row],[FONDO]],MAESTRO!$D$2:$E$119,2,FALSE)</f>
        <v>Banco Santander Rio S.A.</v>
      </c>
      <c r="H1444" s="8" t="str">
        <f>+VLOOKUP(Tabla14[[#This Row],[FONDO]],MAESTRO!D:F,3,FALSE)</f>
        <v>(T+0)</v>
      </c>
      <c r="I1444" s="4" t="s">
        <v>9</v>
      </c>
      <c r="L144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4" s="4">
        <f>ROUND(IF(Tabla14[[#This Row],[OPERACIÓN]]=MAESTRO!$B$2,Tabla14[CAPITAL],IF(Tabla14[[#This Row],[OPERACIÓN]]=MAESTRO!$B$5,Tabla14[CAPITAL],-Tabla14[[#This Row],[CAPITAL]])),2)</f>
        <v>603600000</v>
      </c>
    </row>
    <row r="1445" spans="1:13" x14ac:dyDescent="0.3">
      <c r="A1445" s="26">
        <v>46260</v>
      </c>
      <c r="B1445" t="s">
        <v>292</v>
      </c>
      <c r="C1445" t="s">
        <v>132</v>
      </c>
      <c r="D1445" s="27" t="s">
        <v>16</v>
      </c>
      <c r="E1445" s="4" t="s">
        <v>170</v>
      </c>
      <c r="F1445" s="4">
        <v>110000000</v>
      </c>
      <c r="G1445" s="132" t="str">
        <f>+VLOOKUP(Tabla14[[#This Row],[FONDO]],MAESTRO!$D$2:$E$119,2,FALSE)</f>
        <v>Banco Santander Rio S.A.</v>
      </c>
      <c r="H1445" s="8" t="str">
        <f>+VLOOKUP(Tabla14[[#This Row],[FONDO]],MAESTRO!D:F,3,FALSE)</f>
        <v>(T+0)</v>
      </c>
      <c r="I1445" s="4" t="s">
        <v>9</v>
      </c>
      <c r="L144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5" s="4">
        <f>ROUND(IF(Tabla14[[#This Row],[OPERACIÓN]]=MAESTRO!$B$2,Tabla14[CAPITAL],IF(Tabla14[[#This Row],[OPERACIÓN]]=MAESTRO!$B$5,Tabla14[CAPITAL],-Tabla14[[#This Row],[CAPITAL]])),2)</f>
        <v>110000000</v>
      </c>
    </row>
    <row r="1446" spans="1:13" s="20" customFormat="1" ht="15.75" customHeight="1" x14ac:dyDescent="0.3">
      <c r="A1446" s="37">
        <v>46260</v>
      </c>
      <c r="B1446" s="20" t="s">
        <v>292</v>
      </c>
      <c r="C1446" s="20" t="s">
        <v>132</v>
      </c>
      <c r="D1446" s="38" t="s">
        <v>16</v>
      </c>
      <c r="E1446" s="39" t="s">
        <v>48</v>
      </c>
      <c r="F1446" s="39">
        <v>307000</v>
      </c>
      <c r="G1446" s="133" t="str">
        <f>+VLOOKUP(Tabla14[[#This Row],[FONDO]],MAESTRO!$D$2:$E$119,2,FALSE)</f>
        <v>Banco Macro S.A.</v>
      </c>
      <c r="H1446" s="40" t="str">
        <f>+VLOOKUP(Tabla14[[#This Row],[FONDO]],MAESTRO!D:F,3,FALSE)</f>
        <v>(T+0)</v>
      </c>
      <c r="I1446" s="39" t="s">
        <v>9</v>
      </c>
      <c r="J1446" s="49"/>
      <c r="L144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6" s="39">
        <f>ROUND(IF(Tabla14[[#This Row],[OPERACIÓN]]=MAESTRO!$B$2,Tabla14[CAPITAL],IF(Tabla14[[#This Row],[OPERACIÓN]]=MAESTRO!$B$5,Tabla14[CAPITAL],-Tabla14[[#This Row],[CAPITAL]])),2)</f>
        <v>307000</v>
      </c>
    </row>
    <row r="1447" spans="1:13" s="20" customFormat="1" x14ac:dyDescent="0.3">
      <c r="A1447" s="37">
        <v>46260</v>
      </c>
      <c r="B1447" s="20" t="s">
        <v>292</v>
      </c>
      <c r="C1447" s="20" t="s">
        <v>132</v>
      </c>
      <c r="D1447" s="38" t="s">
        <v>17</v>
      </c>
      <c r="E1447" s="39" t="s">
        <v>136</v>
      </c>
      <c r="F1447" s="39">
        <v>106823.73</v>
      </c>
      <c r="G1447" s="133" t="str">
        <f>+VLOOKUP(Tabla14[[#This Row],[FONDO]],MAESTRO!$D$2:$E$119,2,FALSE)</f>
        <v>Gma Capital</v>
      </c>
      <c r="H1447" s="40" t="str">
        <f>+VLOOKUP(Tabla14[[#This Row],[FONDO]],MAESTRO!D:F,3,FALSE)</f>
        <v>(T+0)</v>
      </c>
      <c r="I1447" s="39" t="s">
        <v>9</v>
      </c>
      <c r="J1447" s="49"/>
      <c r="L144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7" s="39">
        <f>ROUND(IF(Tabla14[[#This Row],[OPERACIÓN]]=MAESTRO!$B$2,Tabla14[CAPITAL],IF(Tabla14[[#This Row],[OPERACIÓN]]=MAESTRO!$B$5,Tabla14[CAPITAL],-Tabla14[[#This Row],[CAPITAL]])),2)</f>
        <v>-106823.73</v>
      </c>
    </row>
    <row r="1448" spans="1:13" s="20" customFormat="1" x14ac:dyDescent="0.3">
      <c r="A1448" s="37">
        <v>46260</v>
      </c>
      <c r="B1448" s="20" t="s">
        <v>292</v>
      </c>
      <c r="C1448" s="20" t="s">
        <v>132</v>
      </c>
      <c r="D1448" s="38" t="s">
        <v>16</v>
      </c>
      <c r="E1448" s="39" t="s">
        <v>169</v>
      </c>
      <c r="F1448" s="39">
        <v>519000</v>
      </c>
      <c r="G1448" s="133" t="str">
        <f>+VLOOKUP(Tabla14[[#This Row],[FONDO]],MAESTRO!$D$2:$E$119,2,FALSE)</f>
        <v>Max Capital</v>
      </c>
      <c r="H1448" s="40" t="str">
        <f>+VLOOKUP(Tabla14[[#This Row],[FONDO]],MAESTRO!D:F,3,FALSE)</f>
        <v>(T+0)</v>
      </c>
      <c r="I1448" s="39" t="s">
        <v>9</v>
      </c>
      <c r="J1448" s="49"/>
      <c r="L144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8" s="39">
        <f>ROUND(IF(Tabla14[[#This Row],[OPERACIÓN]]=MAESTRO!$B$2,Tabla14[CAPITAL],IF(Tabla14[[#This Row],[OPERACIÓN]]=MAESTRO!$B$5,Tabla14[CAPITAL],-Tabla14[[#This Row],[CAPITAL]])),2)</f>
        <v>519000</v>
      </c>
    </row>
    <row r="1449" spans="1:13" s="20" customFormat="1" x14ac:dyDescent="0.3">
      <c r="A1449" s="37">
        <v>46260</v>
      </c>
      <c r="B1449" s="20" t="s">
        <v>292</v>
      </c>
      <c r="C1449" s="20" t="s">
        <v>132</v>
      </c>
      <c r="D1449" s="38" t="s">
        <v>16</v>
      </c>
      <c r="E1449" s="39" t="s">
        <v>40</v>
      </c>
      <c r="F1449" s="39">
        <v>295000</v>
      </c>
      <c r="G1449" s="133" t="str">
        <f>+VLOOKUP(Tabla14[[#This Row],[FONDO]],MAESTRO!$D$2:$E$119,2,FALSE)</f>
        <v>BBVA Banco Frances SA</v>
      </c>
      <c r="H1449" s="40" t="str">
        <f>+VLOOKUP(Tabla14[[#This Row],[FONDO]],MAESTRO!D:F,3,FALSE)</f>
        <v>(T+0)</v>
      </c>
      <c r="I1449" s="39" t="s">
        <v>9</v>
      </c>
      <c r="J1449" s="49"/>
      <c r="L144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49" s="39">
        <f>ROUND(IF(Tabla14[[#This Row],[OPERACIÓN]]=MAESTRO!$B$2,Tabla14[CAPITAL],IF(Tabla14[[#This Row],[OPERACIÓN]]=MAESTRO!$B$5,Tabla14[CAPITAL],-Tabla14[[#This Row],[CAPITAL]])),2)</f>
        <v>295000</v>
      </c>
    </row>
    <row r="1450" spans="1:13" s="20" customFormat="1" x14ac:dyDescent="0.3">
      <c r="A1450" s="37">
        <v>46260</v>
      </c>
      <c r="B1450" s="20" t="s">
        <v>299</v>
      </c>
      <c r="C1450" s="20" t="s">
        <v>132</v>
      </c>
      <c r="D1450" s="38" t="s">
        <v>16</v>
      </c>
      <c r="E1450" s="39" t="s">
        <v>48</v>
      </c>
      <c r="F1450" s="39">
        <v>205000</v>
      </c>
      <c r="G1450" s="133" t="str">
        <f>+VLOOKUP(Tabla14[[#This Row],[FONDO]],MAESTRO!$D$2:$E$119,2,FALSE)</f>
        <v>Banco Macro S.A.</v>
      </c>
      <c r="H1450" s="40" t="str">
        <f>+VLOOKUP(Tabla14[[#This Row],[FONDO]],MAESTRO!D:F,3,FALSE)</f>
        <v>(T+0)</v>
      </c>
      <c r="I1450" s="39" t="s">
        <v>9</v>
      </c>
      <c r="J1450" s="49"/>
      <c r="L145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0" s="39">
        <f>ROUND(IF(Tabla14[[#This Row],[OPERACIÓN]]=MAESTRO!$B$2,Tabla14[CAPITAL],IF(Tabla14[[#This Row],[OPERACIÓN]]=MAESTRO!$B$5,Tabla14[CAPITAL],-Tabla14[[#This Row],[CAPITAL]])),2)</f>
        <v>205000</v>
      </c>
    </row>
    <row r="1451" spans="1:13" s="20" customFormat="1" x14ac:dyDescent="0.3">
      <c r="A1451" s="37">
        <v>46260</v>
      </c>
      <c r="B1451" s="20" t="s">
        <v>299</v>
      </c>
      <c r="C1451" s="20" t="s">
        <v>132</v>
      </c>
      <c r="D1451" s="38" t="s">
        <v>16</v>
      </c>
      <c r="E1451" s="39" t="s">
        <v>136</v>
      </c>
      <c r="F1451" s="39">
        <v>3580000</v>
      </c>
      <c r="G1451" s="133" t="str">
        <f>+VLOOKUP(Tabla14[[#This Row],[FONDO]],MAESTRO!$D$2:$E$119,2,FALSE)</f>
        <v>Gma Capital</v>
      </c>
      <c r="H1451" s="40" t="str">
        <f>+VLOOKUP(Tabla14[[#This Row],[FONDO]],MAESTRO!D:F,3,FALSE)</f>
        <v>(T+0)</v>
      </c>
      <c r="I1451" s="39" t="s">
        <v>9</v>
      </c>
      <c r="J1451" s="49"/>
      <c r="L145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1" s="39">
        <f>ROUND(IF(Tabla14[[#This Row],[OPERACIÓN]]=MAESTRO!$B$2,Tabla14[CAPITAL],IF(Tabla14[[#This Row],[OPERACIÓN]]=MAESTRO!$B$5,Tabla14[CAPITAL],-Tabla14[[#This Row],[CAPITAL]])),2)</f>
        <v>3580000</v>
      </c>
    </row>
    <row r="1452" spans="1:13" s="20" customFormat="1" x14ac:dyDescent="0.3">
      <c r="A1452" s="37">
        <v>46260</v>
      </c>
      <c r="B1452" s="20" t="s">
        <v>299</v>
      </c>
      <c r="C1452" s="20" t="s">
        <v>132</v>
      </c>
      <c r="D1452" s="38" t="s">
        <v>16</v>
      </c>
      <c r="E1452" s="39" t="s">
        <v>169</v>
      </c>
      <c r="F1452" s="39">
        <v>2210000</v>
      </c>
      <c r="G1452" s="133" t="str">
        <f>+VLOOKUP(Tabla14[[#This Row],[FONDO]],MAESTRO!$D$2:$E$119,2,FALSE)</f>
        <v>Max Capital</v>
      </c>
      <c r="H1452" s="40" t="str">
        <f>+VLOOKUP(Tabla14[[#This Row],[FONDO]],MAESTRO!D:F,3,FALSE)</f>
        <v>(T+0)</v>
      </c>
      <c r="I1452" s="39" t="s">
        <v>9</v>
      </c>
      <c r="J1452" s="49"/>
      <c r="L145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2" s="39">
        <f>ROUND(IF(Tabla14[[#This Row],[OPERACIÓN]]=MAESTRO!$B$2,Tabla14[CAPITAL],IF(Tabla14[[#This Row],[OPERACIÓN]]=MAESTRO!$B$5,Tabla14[CAPITAL],-Tabla14[[#This Row],[CAPITAL]])),2)</f>
        <v>2210000</v>
      </c>
    </row>
    <row r="1453" spans="1:13" s="20" customFormat="1" x14ac:dyDescent="0.3">
      <c r="A1453" s="37">
        <v>46260</v>
      </c>
      <c r="B1453" s="20" t="s">
        <v>299</v>
      </c>
      <c r="C1453" s="20" t="s">
        <v>132</v>
      </c>
      <c r="D1453" s="38" t="s">
        <v>16</v>
      </c>
      <c r="E1453" s="39" t="s">
        <v>204</v>
      </c>
      <c r="F1453" s="39">
        <v>1000000</v>
      </c>
      <c r="G1453" s="133" t="str">
        <f>+VLOOKUP(Tabla14[[#This Row],[FONDO]],MAESTRO!$D$2:$E$119,2,FALSE)</f>
        <v>Latin Securities</v>
      </c>
      <c r="H1453" s="40" t="str">
        <f>+VLOOKUP(Tabla14[[#This Row],[FONDO]],MAESTRO!D:F,3,FALSE)</f>
        <v>(T+0)</v>
      </c>
      <c r="I1453" s="39" t="s">
        <v>9</v>
      </c>
      <c r="J1453" s="49"/>
      <c r="L145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3" s="39">
        <f>ROUND(IF(Tabla14[[#This Row],[OPERACIÓN]]=MAESTRO!$B$2,Tabla14[CAPITAL],IF(Tabla14[[#This Row],[OPERACIÓN]]=MAESTRO!$B$5,Tabla14[CAPITAL],-Tabla14[[#This Row],[CAPITAL]])),2)</f>
        <v>1000000</v>
      </c>
    </row>
    <row r="1454" spans="1:13" s="20" customFormat="1" x14ac:dyDescent="0.3">
      <c r="A1454" s="37">
        <v>46260</v>
      </c>
      <c r="B1454" s="20" t="s">
        <v>299</v>
      </c>
      <c r="C1454" s="20" t="s">
        <v>132</v>
      </c>
      <c r="D1454" s="38" t="s">
        <v>16</v>
      </c>
      <c r="E1454" s="39" t="s">
        <v>40</v>
      </c>
      <c r="F1454" s="39">
        <v>650000</v>
      </c>
      <c r="G1454" s="133" t="str">
        <f>+VLOOKUP(Tabla14[[#This Row],[FONDO]],MAESTRO!$D$2:$E$119,2,FALSE)</f>
        <v>BBVA Banco Frances SA</v>
      </c>
      <c r="H1454" s="40" t="str">
        <f>+VLOOKUP(Tabla14[[#This Row],[FONDO]],MAESTRO!D:F,3,FALSE)</f>
        <v>(T+0)</v>
      </c>
      <c r="I1454" s="39" t="s">
        <v>9</v>
      </c>
      <c r="J1454" s="49"/>
      <c r="L145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4" s="39">
        <f>ROUND(IF(Tabla14[[#This Row],[OPERACIÓN]]=MAESTRO!$B$2,Tabla14[CAPITAL],IF(Tabla14[[#This Row],[OPERACIÓN]]=MAESTRO!$B$5,Tabla14[CAPITAL],-Tabla14[[#This Row],[CAPITAL]])),2)</f>
        <v>650000</v>
      </c>
    </row>
    <row r="1455" spans="1:13" s="20" customFormat="1" x14ac:dyDescent="0.3">
      <c r="A1455" s="37">
        <v>46260</v>
      </c>
      <c r="B1455" s="20" t="s">
        <v>126</v>
      </c>
      <c r="C1455" s="20" t="s">
        <v>132</v>
      </c>
      <c r="D1455" s="38" t="s">
        <v>16</v>
      </c>
      <c r="E1455" s="39" t="s">
        <v>48</v>
      </c>
      <c r="F1455" s="39">
        <v>2570000</v>
      </c>
      <c r="G1455" s="133" t="str">
        <f>+VLOOKUP(Tabla14[[#This Row],[FONDO]],MAESTRO!$D$2:$E$119,2,FALSE)</f>
        <v>Banco Macro S.A.</v>
      </c>
      <c r="H1455" s="40" t="str">
        <f>+VLOOKUP(Tabla14[[#This Row],[FONDO]],MAESTRO!D:F,3,FALSE)</f>
        <v>(T+0)</v>
      </c>
      <c r="I1455" s="39" t="s">
        <v>9</v>
      </c>
      <c r="J1455" s="49"/>
      <c r="L145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5" s="39">
        <f>ROUND(IF(Tabla14[[#This Row],[OPERACIÓN]]=MAESTRO!$B$2,Tabla14[CAPITAL],IF(Tabla14[[#This Row],[OPERACIÓN]]=MAESTRO!$B$5,Tabla14[CAPITAL],-Tabla14[[#This Row],[CAPITAL]])),2)</f>
        <v>2570000</v>
      </c>
    </row>
    <row r="1456" spans="1:13" s="20" customFormat="1" x14ac:dyDescent="0.3">
      <c r="A1456" s="37">
        <v>46260</v>
      </c>
      <c r="B1456" s="20" t="s">
        <v>298</v>
      </c>
      <c r="C1456" s="20" t="s">
        <v>132</v>
      </c>
      <c r="D1456" s="38" t="s">
        <v>16</v>
      </c>
      <c r="E1456" s="39" t="s">
        <v>48</v>
      </c>
      <c r="F1456" s="39">
        <v>270000</v>
      </c>
      <c r="G1456" s="133" t="str">
        <f>+VLOOKUP(Tabla14[[#This Row],[FONDO]],MAESTRO!$D$2:$E$119,2,FALSE)</f>
        <v>Banco Macro S.A.</v>
      </c>
      <c r="H1456" s="40" t="str">
        <f>+VLOOKUP(Tabla14[[#This Row],[FONDO]],MAESTRO!D:F,3,FALSE)</f>
        <v>(T+0)</v>
      </c>
      <c r="I1456" s="39" t="s">
        <v>9</v>
      </c>
      <c r="J1456" s="49"/>
      <c r="L145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6" s="39">
        <f>ROUND(IF(Tabla14[[#This Row],[OPERACIÓN]]=MAESTRO!$B$2,Tabla14[CAPITAL],IF(Tabla14[[#This Row],[OPERACIÓN]]=MAESTRO!$B$5,Tabla14[CAPITAL],-Tabla14[[#This Row],[CAPITAL]])),2)</f>
        <v>270000</v>
      </c>
    </row>
    <row r="1457" spans="1:13" s="20" customFormat="1" x14ac:dyDescent="0.3">
      <c r="A1457" s="37">
        <v>46260</v>
      </c>
      <c r="B1457" s="20" t="s">
        <v>298</v>
      </c>
      <c r="C1457" s="20" t="s">
        <v>132</v>
      </c>
      <c r="D1457" s="38" t="s">
        <v>16</v>
      </c>
      <c r="E1457" s="39" t="s">
        <v>170</v>
      </c>
      <c r="F1457" s="39">
        <v>6900000</v>
      </c>
      <c r="G1457" s="133" t="str">
        <f>+VLOOKUP(Tabla14[[#This Row],[FONDO]],MAESTRO!$D$2:$E$119,2,FALSE)</f>
        <v>Banco Santander Rio S.A.</v>
      </c>
      <c r="H1457" s="40" t="str">
        <f>+VLOOKUP(Tabla14[[#This Row],[FONDO]],MAESTRO!D:F,3,FALSE)</f>
        <v>(T+0)</v>
      </c>
      <c r="I1457" s="39" t="s">
        <v>9</v>
      </c>
      <c r="J1457" s="49"/>
      <c r="L145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7" s="39">
        <f>ROUND(IF(Tabla14[[#This Row],[OPERACIÓN]]=MAESTRO!$B$2,Tabla14[CAPITAL],IF(Tabla14[[#This Row],[OPERACIÓN]]=MAESTRO!$B$5,Tabla14[CAPITAL],-Tabla14[[#This Row],[CAPITAL]])),2)</f>
        <v>6900000</v>
      </c>
    </row>
    <row r="1458" spans="1:13" s="20" customFormat="1" x14ac:dyDescent="0.3">
      <c r="A1458" s="37">
        <v>46260</v>
      </c>
      <c r="B1458" s="20" t="s">
        <v>298</v>
      </c>
      <c r="C1458" s="20" t="s">
        <v>132</v>
      </c>
      <c r="D1458" s="38" t="s">
        <v>16</v>
      </c>
      <c r="E1458" s="39" t="s">
        <v>136</v>
      </c>
      <c r="F1458" s="39">
        <v>980000</v>
      </c>
      <c r="G1458" s="133" t="str">
        <f>+VLOOKUP(Tabla14[[#This Row],[FONDO]],MAESTRO!$D$2:$E$119,2,FALSE)</f>
        <v>Gma Capital</v>
      </c>
      <c r="H1458" s="40" t="str">
        <f>+VLOOKUP(Tabla14[[#This Row],[FONDO]],MAESTRO!D:F,3,FALSE)</f>
        <v>(T+0)</v>
      </c>
      <c r="I1458" s="39" t="s">
        <v>9</v>
      </c>
      <c r="J1458" s="49"/>
      <c r="L145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8" s="39">
        <f>ROUND(IF(Tabla14[[#This Row],[OPERACIÓN]]=MAESTRO!$B$2,Tabla14[CAPITAL],IF(Tabla14[[#This Row],[OPERACIÓN]]=MAESTRO!$B$5,Tabla14[CAPITAL],-Tabla14[[#This Row],[CAPITAL]])),2)</f>
        <v>980000</v>
      </c>
    </row>
    <row r="1459" spans="1:13" s="20" customFormat="1" x14ac:dyDescent="0.3">
      <c r="A1459" s="37">
        <v>46260</v>
      </c>
      <c r="B1459" s="20" t="s">
        <v>298</v>
      </c>
      <c r="C1459" s="20" t="s">
        <v>132</v>
      </c>
      <c r="D1459" s="38" t="s">
        <v>16</v>
      </c>
      <c r="E1459" s="39" t="s">
        <v>169</v>
      </c>
      <c r="F1459" s="39">
        <v>1490000</v>
      </c>
      <c r="G1459" s="133" t="str">
        <f>+VLOOKUP(Tabla14[[#This Row],[FONDO]],MAESTRO!$D$2:$E$119,2,FALSE)</f>
        <v>Max Capital</v>
      </c>
      <c r="H1459" s="40" t="str">
        <f>+VLOOKUP(Tabla14[[#This Row],[FONDO]],MAESTRO!D:F,3,FALSE)</f>
        <v>(T+0)</v>
      </c>
      <c r="I1459" s="39" t="s">
        <v>9</v>
      </c>
      <c r="J1459" s="49"/>
      <c r="L145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59" s="39">
        <f>ROUND(IF(Tabla14[[#This Row],[OPERACIÓN]]=MAESTRO!$B$2,Tabla14[CAPITAL],IF(Tabla14[[#This Row],[OPERACIÓN]]=MAESTRO!$B$5,Tabla14[CAPITAL],-Tabla14[[#This Row],[CAPITAL]])),2)</f>
        <v>1490000</v>
      </c>
    </row>
    <row r="1460" spans="1:13" s="20" customFormat="1" x14ac:dyDescent="0.3">
      <c r="A1460" s="37">
        <v>46260</v>
      </c>
      <c r="B1460" s="20" t="s">
        <v>298</v>
      </c>
      <c r="C1460" s="20" t="s">
        <v>132</v>
      </c>
      <c r="D1460" s="38" t="s">
        <v>16</v>
      </c>
      <c r="E1460" s="39" t="s">
        <v>180</v>
      </c>
      <c r="F1460" s="39">
        <v>1130000</v>
      </c>
      <c r="G1460" s="133" t="str">
        <f>+VLOOKUP(Tabla14[[#This Row],[FONDO]],MAESTRO!$D$2:$E$119,2,FALSE)</f>
        <v>PP Inversiones</v>
      </c>
      <c r="H1460" s="40" t="str">
        <f>+VLOOKUP(Tabla14[[#This Row],[FONDO]],MAESTRO!D:F,3,FALSE)</f>
        <v>(T+0)</v>
      </c>
      <c r="I1460" s="39" t="s">
        <v>9</v>
      </c>
      <c r="J1460" s="49"/>
      <c r="L146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0" s="39">
        <f>ROUND(IF(Tabla14[[#This Row],[OPERACIÓN]]=MAESTRO!$B$2,Tabla14[CAPITAL],IF(Tabla14[[#This Row],[OPERACIÓN]]=MAESTRO!$B$5,Tabla14[CAPITAL],-Tabla14[[#This Row],[CAPITAL]])),2)</f>
        <v>1130000</v>
      </c>
    </row>
    <row r="1461" spans="1:13" s="20" customFormat="1" x14ac:dyDescent="0.3">
      <c r="A1461" s="37">
        <v>46260</v>
      </c>
      <c r="B1461" s="20" t="s">
        <v>298</v>
      </c>
      <c r="C1461" s="20" t="s">
        <v>132</v>
      </c>
      <c r="D1461" s="38" t="s">
        <v>16</v>
      </c>
      <c r="E1461" s="39" t="s">
        <v>204</v>
      </c>
      <c r="F1461" s="39">
        <v>860000</v>
      </c>
      <c r="G1461" s="133" t="str">
        <f>+VLOOKUP(Tabla14[[#This Row],[FONDO]],MAESTRO!$D$2:$E$119,2,FALSE)</f>
        <v>Latin Securities</v>
      </c>
      <c r="H1461" s="40" t="str">
        <f>+VLOOKUP(Tabla14[[#This Row],[FONDO]],MAESTRO!D:F,3,FALSE)</f>
        <v>(T+0)</v>
      </c>
      <c r="I1461" s="39" t="s">
        <v>9</v>
      </c>
      <c r="J1461" s="49"/>
      <c r="L1461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1" s="39">
        <f>ROUND(IF(Tabla14[[#This Row],[OPERACIÓN]]=MAESTRO!$B$2,Tabla14[CAPITAL],IF(Tabla14[[#This Row],[OPERACIÓN]]=MAESTRO!$B$5,Tabla14[CAPITAL],-Tabla14[[#This Row],[CAPITAL]])),2)</f>
        <v>860000</v>
      </c>
    </row>
    <row r="1462" spans="1:13" s="20" customFormat="1" x14ac:dyDescent="0.3">
      <c r="A1462" s="37">
        <v>46260</v>
      </c>
      <c r="B1462" s="20" t="s">
        <v>298</v>
      </c>
      <c r="C1462" s="20" t="s">
        <v>132</v>
      </c>
      <c r="D1462" s="38" t="s">
        <v>16</v>
      </c>
      <c r="E1462" s="39" t="s">
        <v>208</v>
      </c>
      <c r="F1462" s="39">
        <v>1400000</v>
      </c>
      <c r="G1462" s="133" t="str">
        <f>+VLOOKUP(Tabla14[[#This Row],[FONDO]],MAESTRO!$D$2:$E$119,2,FALSE)</f>
        <v>Facimex</v>
      </c>
      <c r="H1462" s="40" t="str">
        <f>+VLOOKUP(Tabla14[[#This Row],[FONDO]],MAESTRO!D:F,3,FALSE)</f>
        <v>(T+0)</v>
      </c>
      <c r="I1462" s="39" t="s">
        <v>9</v>
      </c>
      <c r="J1462" s="49"/>
      <c r="L146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2" s="39">
        <f>ROUND(IF(Tabla14[[#This Row],[OPERACIÓN]]=MAESTRO!$B$2,Tabla14[CAPITAL],IF(Tabla14[[#This Row],[OPERACIÓN]]=MAESTRO!$B$5,Tabla14[CAPITAL],-Tabla14[[#This Row],[CAPITAL]])),2)</f>
        <v>1400000</v>
      </c>
    </row>
    <row r="1463" spans="1:13" x14ac:dyDescent="0.3">
      <c r="A1463" s="26">
        <v>46260</v>
      </c>
      <c r="B1463" t="s">
        <v>298</v>
      </c>
      <c r="C1463" t="s">
        <v>132</v>
      </c>
      <c r="D1463" s="27" t="s">
        <v>16</v>
      </c>
      <c r="E1463" s="4" t="s">
        <v>40</v>
      </c>
      <c r="F1463" s="4">
        <v>15000000</v>
      </c>
      <c r="G1463" s="132" t="str">
        <f>+VLOOKUP(Tabla14[[#This Row],[FONDO]],MAESTRO!$D$2:$E$119,2,FALSE)</f>
        <v>BBVA Banco Frances SA</v>
      </c>
      <c r="H1463" s="8" t="str">
        <f>+VLOOKUP(Tabla14[[#This Row],[FONDO]],MAESTRO!D:F,3,FALSE)</f>
        <v>(T+0)</v>
      </c>
      <c r="I1463" s="4" t="s">
        <v>9</v>
      </c>
      <c r="L146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3" s="4">
        <f>ROUND(IF(Tabla14[[#This Row],[OPERACIÓN]]=MAESTRO!$B$2,Tabla14[CAPITAL],IF(Tabla14[[#This Row],[OPERACIÓN]]=MAESTRO!$B$5,Tabla14[CAPITAL],-Tabla14[[#This Row],[CAPITAL]])),2)</f>
        <v>15000000</v>
      </c>
    </row>
    <row r="1464" spans="1:13" s="20" customFormat="1" x14ac:dyDescent="0.3">
      <c r="A1464" s="37">
        <v>46260</v>
      </c>
      <c r="B1464" s="20" t="s">
        <v>298</v>
      </c>
      <c r="C1464" s="20" t="s">
        <v>132</v>
      </c>
      <c r="D1464" s="38" t="s">
        <v>16</v>
      </c>
      <c r="E1464" s="39" t="s">
        <v>40</v>
      </c>
      <c r="F1464" s="39">
        <v>15250000</v>
      </c>
      <c r="G1464" s="133" t="str">
        <f>+VLOOKUP(Tabla14[[#This Row],[FONDO]],MAESTRO!$D$2:$E$119,2,FALSE)</f>
        <v>BBVA Banco Frances SA</v>
      </c>
      <c r="H1464" s="40" t="str">
        <f>+VLOOKUP(Tabla14[[#This Row],[FONDO]],MAESTRO!D:F,3,FALSE)</f>
        <v>(T+0)</v>
      </c>
      <c r="I1464" s="39" t="s">
        <v>9</v>
      </c>
      <c r="J1464" s="49"/>
      <c r="L146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4" s="39">
        <f>ROUND(IF(Tabla14[[#This Row],[OPERACIÓN]]=MAESTRO!$B$2,Tabla14[CAPITAL],IF(Tabla14[[#This Row],[OPERACIÓN]]=MAESTRO!$B$5,Tabla14[CAPITAL],-Tabla14[[#This Row],[CAPITAL]])),2)</f>
        <v>15250000</v>
      </c>
    </row>
    <row r="1465" spans="1:13" x14ac:dyDescent="0.3">
      <c r="A1465" s="26">
        <v>46261</v>
      </c>
      <c r="B1465" t="s">
        <v>298</v>
      </c>
      <c r="C1465" t="s">
        <v>132</v>
      </c>
      <c r="D1465" s="27" t="s">
        <v>17</v>
      </c>
      <c r="E1465" s="4" t="s">
        <v>154</v>
      </c>
      <c r="F1465" s="53">
        <v>728215189.89999998</v>
      </c>
      <c r="G1465" s="132" t="str">
        <f>+VLOOKUP(Tabla14[[#This Row],[FONDO]],MAESTRO!$D$2:$E$119,2,FALSE)</f>
        <v>Balanz</v>
      </c>
      <c r="H1465" s="8" t="str">
        <f>+VLOOKUP(Tabla14[[#This Row],[FONDO]],MAESTRO!D:F,3,FALSE)</f>
        <v>(T+0)</v>
      </c>
      <c r="I1465" s="4" t="s">
        <v>9</v>
      </c>
      <c r="L146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5" s="4">
        <f>ROUND(IF(Tabla14[[#This Row],[OPERACIÓN]]=MAESTRO!$B$2,Tabla14[CAPITAL],IF(Tabla14[[#This Row],[OPERACIÓN]]=MAESTRO!$B$5,Tabla14[CAPITAL],-Tabla14[[#This Row],[CAPITAL]])),2)</f>
        <v>-728215189.89999998</v>
      </c>
    </row>
    <row r="1466" spans="1:13" x14ac:dyDescent="0.3">
      <c r="A1466" s="26">
        <v>46261</v>
      </c>
      <c r="B1466" t="s">
        <v>298</v>
      </c>
      <c r="C1466" t="s">
        <v>132</v>
      </c>
      <c r="D1466" s="27" t="s">
        <v>17</v>
      </c>
      <c r="E1466" s="4" t="s">
        <v>40</v>
      </c>
      <c r="F1466" s="4">
        <v>2000000000</v>
      </c>
      <c r="G1466" s="132" t="str">
        <f>+VLOOKUP(Tabla14[[#This Row],[FONDO]],MAESTRO!$D$2:$E$119,2,FALSE)</f>
        <v>BBVA Banco Frances SA</v>
      </c>
      <c r="H1466" s="8" t="str">
        <f>+VLOOKUP(Tabla14[[#This Row],[FONDO]],MAESTRO!D:F,3,FALSE)</f>
        <v>(T+0)</v>
      </c>
      <c r="I1466" s="4" t="s">
        <v>9</v>
      </c>
      <c r="L146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6" s="4">
        <f>ROUND(IF(Tabla14[[#This Row],[OPERACIÓN]]=MAESTRO!$B$2,Tabla14[CAPITAL],IF(Tabla14[[#This Row],[OPERACIÓN]]=MAESTRO!$B$5,Tabla14[CAPITAL],-Tabla14[[#This Row],[CAPITAL]])),2)</f>
        <v>-2000000000</v>
      </c>
    </row>
    <row r="1467" spans="1:13" x14ac:dyDescent="0.3">
      <c r="A1467" s="26">
        <v>46261</v>
      </c>
      <c r="B1467" t="s">
        <v>298</v>
      </c>
      <c r="C1467" t="s">
        <v>132</v>
      </c>
      <c r="D1467" s="27" t="s">
        <v>16</v>
      </c>
      <c r="E1467" s="4" t="s">
        <v>136</v>
      </c>
      <c r="F1467" s="4">
        <v>2000000000</v>
      </c>
      <c r="G1467" s="132" t="str">
        <f>+VLOOKUP(Tabla14[[#This Row],[FONDO]],MAESTRO!$D$2:$E$119,2,FALSE)</f>
        <v>Gma Capital</v>
      </c>
      <c r="H1467" s="8" t="str">
        <f>+VLOOKUP(Tabla14[[#This Row],[FONDO]],MAESTRO!D:F,3,FALSE)</f>
        <v>(T+0)</v>
      </c>
      <c r="I1467" s="4" t="s">
        <v>9</v>
      </c>
      <c r="L146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7" s="4">
        <f>ROUND(IF(Tabla14[[#This Row],[OPERACIÓN]]=MAESTRO!$B$2,Tabla14[CAPITAL],IF(Tabla14[[#This Row],[OPERACIÓN]]=MAESTRO!$B$5,Tabla14[CAPITAL],-Tabla14[[#This Row],[CAPITAL]])),2)</f>
        <v>2000000000</v>
      </c>
    </row>
    <row r="1468" spans="1:13" x14ac:dyDescent="0.3">
      <c r="A1468" s="26">
        <v>46261</v>
      </c>
      <c r="B1468" t="s">
        <v>298</v>
      </c>
      <c r="C1468" t="s">
        <v>132</v>
      </c>
      <c r="D1468" s="27" t="s">
        <v>17</v>
      </c>
      <c r="E1468" s="4" t="s">
        <v>39</v>
      </c>
      <c r="F1468" s="4">
        <v>37587602.829999998</v>
      </c>
      <c r="G1468" s="132" t="str">
        <f>+VLOOKUP(Tabla14[[#This Row],[FONDO]],MAESTRO!$D$2:$E$119,2,FALSE)</f>
        <v>Banco Supervielle, S.A.</v>
      </c>
      <c r="H1468" s="8" t="str">
        <f>+VLOOKUP(Tabla14[[#This Row],[FONDO]],MAESTRO!D:F,3,FALSE)</f>
        <v>(T+0)</v>
      </c>
      <c r="I1468" s="4" t="s">
        <v>9</v>
      </c>
      <c r="L146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8" s="4">
        <f>ROUND(IF(Tabla14[[#This Row],[OPERACIÓN]]=MAESTRO!$B$2,Tabla14[CAPITAL],IF(Tabla14[[#This Row],[OPERACIÓN]]=MAESTRO!$B$5,Tabla14[CAPITAL],-Tabla14[[#This Row],[CAPITAL]])),2)</f>
        <v>-37587602.829999998</v>
      </c>
    </row>
    <row r="1469" spans="1:13" x14ac:dyDescent="0.3">
      <c r="A1469" s="26">
        <v>46261</v>
      </c>
      <c r="B1469" t="s">
        <v>292</v>
      </c>
      <c r="C1469" t="s">
        <v>132</v>
      </c>
      <c r="D1469" s="27" t="s">
        <v>17</v>
      </c>
      <c r="E1469" s="4" t="s">
        <v>170</v>
      </c>
      <c r="F1469" s="4">
        <v>77000000</v>
      </c>
      <c r="G1469" s="8" t="str">
        <f>+VLOOKUP(Tabla14[[#This Row],[FONDO]],MAESTRO!$D$2:$E$119,2,FALSE)</f>
        <v>Banco Santander Rio S.A.</v>
      </c>
      <c r="H1469" s="8" t="str">
        <f>+VLOOKUP(Tabla14[[#This Row],[FONDO]],MAESTRO!D:F,3,FALSE)</f>
        <v>(T+0)</v>
      </c>
      <c r="I1469" s="4" t="s">
        <v>9</v>
      </c>
      <c r="L146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69" s="4">
        <f>ROUND(IF(Tabla14[[#This Row],[OPERACIÓN]]=MAESTRO!$B$2,Tabla14[CAPITAL],IF(Tabla14[[#This Row],[OPERACIÓN]]=MAESTRO!$B$5,Tabla14[CAPITAL],-Tabla14[[#This Row],[CAPITAL]])),2)</f>
        <v>-77000000</v>
      </c>
    </row>
    <row r="1470" spans="1:13" x14ac:dyDescent="0.3">
      <c r="A1470" s="26">
        <v>46261</v>
      </c>
      <c r="B1470" t="s">
        <v>292</v>
      </c>
      <c r="C1470" t="s">
        <v>132</v>
      </c>
      <c r="D1470" s="27" t="s">
        <v>17</v>
      </c>
      <c r="E1470" s="4" t="s">
        <v>169</v>
      </c>
      <c r="F1470" s="4">
        <v>50000000</v>
      </c>
      <c r="G1470" s="8" t="str">
        <f>+VLOOKUP(Tabla14[[#This Row],[FONDO]],MAESTRO!$D$2:$E$119,2,FALSE)</f>
        <v>Max Capital</v>
      </c>
      <c r="H1470" s="8" t="str">
        <f>+VLOOKUP(Tabla14[[#This Row],[FONDO]],MAESTRO!D:F,3,FALSE)</f>
        <v>(T+0)</v>
      </c>
      <c r="I1470" s="4" t="s">
        <v>9</v>
      </c>
      <c r="L147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0" s="4">
        <f>ROUND(IF(Tabla14[[#This Row],[OPERACIÓN]]=MAESTRO!$B$2,Tabla14[CAPITAL],IF(Tabla14[[#This Row],[OPERACIÓN]]=MAESTRO!$B$5,Tabla14[CAPITAL],-Tabla14[[#This Row],[CAPITAL]])),2)</f>
        <v>-50000000</v>
      </c>
    </row>
    <row r="1471" spans="1:13" x14ac:dyDescent="0.3">
      <c r="A1471" s="26">
        <v>46261</v>
      </c>
      <c r="B1471" t="s">
        <v>292</v>
      </c>
      <c r="C1471" t="s">
        <v>132</v>
      </c>
      <c r="D1471" s="27" t="s">
        <v>17</v>
      </c>
      <c r="E1471" s="4" t="s">
        <v>48</v>
      </c>
      <c r="F1471" s="4">
        <v>200000000</v>
      </c>
      <c r="G1471" s="8" t="str">
        <f>+VLOOKUP(Tabla14[[#This Row],[FONDO]],MAESTRO!$D$2:$E$119,2,FALSE)</f>
        <v>Banco Macro S.A.</v>
      </c>
      <c r="H1471" s="8" t="str">
        <f>+VLOOKUP(Tabla14[[#This Row],[FONDO]],MAESTRO!D:F,3,FALSE)</f>
        <v>(T+0)</v>
      </c>
      <c r="I1471" s="4" t="s">
        <v>9</v>
      </c>
      <c r="L147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1" s="4">
        <f>ROUND(IF(Tabla14[[#This Row],[OPERACIÓN]]=MAESTRO!$B$2,Tabla14[CAPITAL],IF(Tabla14[[#This Row],[OPERACIÓN]]=MAESTRO!$B$5,Tabla14[CAPITAL],-Tabla14[[#This Row],[CAPITAL]])),2)</f>
        <v>-200000000</v>
      </c>
    </row>
    <row r="1472" spans="1:13" x14ac:dyDescent="0.3">
      <c r="A1472" s="26">
        <v>46261</v>
      </c>
      <c r="B1472" t="s">
        <v>298</v>
      </c>
      <c r="C1472" t="s">
        <v>132</v>
      </c>
      <c r="D1472" s="27" t="s">
        <v>17</v>
      </c>
      <c r="E1472" s="4" t="s">
        <v>40</v>
      </c>
      <c r="F1472" s="4">
        <v>358000000</v>
      </c>
      <c r="G1472" s="8" t="str">
        <f>+VLOOKUP(Tabla14[[#This Row],[FONDO]],MAESTRO!$D$2:$E$119,2,FALSE)</f>
        <v>BBVA Banco Frances SA</v>
      </c>
      <c r="H1472" s="8" t="str">
        <f>+VLOOKUP(Tabla14[[#This Row],[FONDO]],MAESTRO!D:F,3,FALSE)</f>
        <v>(T+0)</v>
      </c>
      <c r="I1472" s="4" t="s">
        <v>9</v>
      </c>
      <c r="L147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2" s="4">
        <f>ROUND(IF(Tabla14[[#This Row],[OPERACIÓN]]=MAESTRO!$B$2,Tabla14[CAPITAL],IF(Tabla14[[#This Row],[OPERACIÓN]]=MAESTRO!$B$5,Tabla14[CAPITAL],-Tabla14[[#This Row],[CAPITAL]])),2)</f>
        <v>-358000000</v>
      </c>
    </row>
    <row r="1473" spans="1:13" x14ac:dyDescent="0.3">
      <c r="A1473" s="26">
        <v>46261</v>
      </c>
      <c r="B1473" t="s">
        <v>299</v>
      </c>
      <c r="C1473" t="s">
        <v>132</v>
      </c>
      <c r="D1473" s="27" t="s">
        <v>17</v>
      </c>
      <c r="E1473" s="4" t="s">
        <v>136</v>
      </c>
      <c r="F1473" s="4">
        <v>176200000</v>
      </c>
      <c r="G1473" s="8" t="str">
        <f>+VLOOKUP(Tabla14[[#This Row],[FONDO]],MAESTRO!$D$2:$E$119,2,FALSE)</f>
        <v>Gma Capital</v>
      </c>
      <c r="H1473" s="8" t="str">
        <f>+VLOOKUP(Tabla14[[#This Row],[FONDO]],MAESTRO!D:F,3,FALSE)</f>
        <v>(T+0)</v>
      </c>
      <c r="I1473" s="4" t="s">
        <v>9</v>
      </c>
      <c r="L147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3" s="4">
        <f>ROUND(IF(Tabla14[[#This Row],[OPERACIÓN]]=MAESTRO!$B$2,Tabla14[CAPITAL],IF(Tabla14[[#This Row],[OPERACIÓN]]=MAESTRO!$B$5,Tabla14[CAPITAL],-Tabla14[[#This Row],[CAPITAL]])),2)</f>
        <v>-176200000</v>
      </c>
    </row>
    <row r="1474" spans="1:13" x14ac:dyDescent="0.3">
      <c r="A1474" s="26">
        <v>46262</v>
      </c>
      <c r="B1474" t="s">
        <v>126</v>
      </c>
      <c r="C1474" t="s">
        <v>132</v>
      </c>
      <c r="D1474" s="27" t="s">
        <v>17</v>
      </c>
      <c r="E1474" s="4" t="s">
        <v>48</v>
      </c>
      <c r="F1474" s="4">
        <v>27800000</v>
      </c>
      <c r="G1474" s="8" t="str">
        <f>+VLOOKUP(Tabla14[[#This Row],[FONDO]],MAESTRO!$D$2:$E$119,2,FALSE)</f>
        <v>Banco Macro S.A.</v>
      </c>
      <c r="H1474" s="8" t="str">
        <f>+VLOOKUP(Tabla14[[#This Row],[FONDO]],MAESTRO!D:F,3,FALSE)</f>
        <v>(T+0)</v>
      </c>
      <c r="I1474" s="4" t="s">
        <v>9</v>
      </c>
      <c r="L147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4" s="4">
        <f>ROUND(IF(Tabla14[[#This Row],[OPERACIÓN]]=MAESTRO!$B$2,Tabla14[CAPITAL],IF(Tabla14[[#This Row],[OPERACIÓN]]=MAESTRO!$B$5,Tabla14[CAPITAL],-Tabla14[[#This Row],[CAPITAL]])),2)</f>
        <v>-27800000</v>
      </c>
    </row>
    <row r="1475" spans="1:13" x14ac:dyDescent="0.3">
      <c r="A1475" s="26">
        <v>46262</v>
      </c>
      <c r="B1475" t="s">
        <v>299</v>
      </c>
      <c r="C1475" t="s">
        <v>132</v>
      </c>
      <c r="D1475" s="27" t="s">
        <v>17</v>
      </c>
      <c r="E1475" s="4" t="s">
        <v>48</v>
      </c>
      <c r="F1475" s="4">
        <v>26200000</v>
      </c>
      <c r="G1475" s="8" t="str">
        <f>+VLOOKUP(Tabla14[[#This Row],[FONDO]],MAESTRO!$D$2:$E$119,2,FALSE)</f>
        <v>Banco Macro S.A.</v>
      </c>
      <c r="H1475" s="8" t="str">
        <f>+VLOOKUP(Tabla14[[#This Row],[FONDO]],MAESTRO!D:F,3,FALSE)</f>
        <v>(T+0)</v>
      </c>
      <c r="I1475" s="4" t="s">
        <v>9</v>
      </c>
      <c r="L147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5" s="4">
        <f>ROUND(IF(Tabla14[[#This Row],[OPERACIÓN]]=MAESTRO!$B$2,Tabla14[CAPITAL],IF(Tabla14[[#This Row],[OPERACIÓN]]=MAESTRO!$B$5,Tabla14[CAPITAL],-Tabla14[[#This Row],[CAPITAL]])),2)</f>
        <v>-26200000</v>
      </c>
    </row>
    <row r="1476" spans="1:13" x14ac:dyDescent="0.3">
      <c r="A1476" s="26">
        <v>46262</v>
      </c>
      <c r="B1476" t="s">
        <v>298</v>
      </c>
      <c r="C1476" t="s">
        <v>132</v>
      </c>
      <c r="D1476" s="27" t="s">
        <v>16</v>
      </c>
      <c r="E1476" s="4" t="s">
        <v>40</v>
      </c>
      <c r="F1476" s="4">
        <v>5862600000</v>
      </c>
      <c r="G1476" s="8" t="str">
        <f>+VLOOKUP(Tabla14[[#This Row],[FONDO]],MAESTRO!$D$2:$E$119,2,FALSE)</f>
        <v>BBVA Banco Frances SA</v>
      </c>
      <c r="H1476" s="8" t="str">
        <f>+VLOOKUP(Tabla14[[#This Row],[FONDO]],MAESTRO!D:F,3,FALSE)</f>
        <v>(T+0)</v>
      </c>
      <c r="I1476" s="4" t="s">
        <v>9</v>
      </c>
      <c r="L147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6" s="4">
        <f>ROUND(IF(Tabla14[[#This Row],[OPERACIÓN]]=MAESTRO!$B$2,Tabla14[CAPITAL],IF(Tabla14[[#This Row],[OPERACIÓN]]=MAESTRO!$B$5,Tabla14[CAPITAL],-Tabla14[[#This Row],[CAPITAL]])),2)</f>
        <v>5862600000</v>
      </c>
    </row>
    <row r="1477" spans="1:13" x14ac:dyDescent="0.3">
      <c r="A1477" s="26">
        <v>46262</v>
      </c>
      <c r="B1477" t="s">
        <v>292</v>
      </c>
      <c r="C1477" t="s">
        <v>132</v>
      </c>
      <c r="D1477" s="27" t="s">
        <v>16</v>
      </c>
      <c r="E1477" s="4" t="s">
        <v>48</v>
      </c>
      <c r="F1477" s="4">
        <v>243600000</v>
      </c>
      <c r="G1477" s="8" t="str">
        <f>+VLOOKUP(Tabla14[[#This Row],[FONDO]],MAESTRO!$D$2:$E$119,2,FALSE)</f>
        <v>Banco Macro S.A.</v>
      </c>
      <c r="H1477" s="8" t="str">
        <f>+VLOOKUP(Tabla14[[#This Row],[FONDO]],MAESTRO!D:F,3,FALSE)</f>
        <v>(T+0)</v>
      </c>
      <c r="I1477" s="4" t="s">
        <v>9</v>
      </c>
      <c r="L147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7" s="4">
        <f>ROUND(IF(Tabla14[[#This Row],[OPERACIÓN]]=MAESTRO!$B$2,Tabla14[CAPITAL],IF(Tabla14[[#This Row],[OPERACIÓN]]=MAESTRO!$B$5,Tabla14[CAPITAL],-Tabla14[[#This Row],[CAPITAL]])),2)</f>
        <v>243600000</v>
      </c>
    </row>
    <row r="1478" spans="1:13" x14ac:dyDescent="0.3">
      <c r="A1478" s="26">
        <v>46262</v>
      </c>
      <c r="B1478" t="s">
        <v>298</v>
      </c>
      <c r="C1478" t="s">
        <v>132</v>
      </c>
      <c r="D1478" s="27" t="s">
        <v>16</v>
      </c>
      <c r="E1478" s="4" t="s">
        <v>136</v>
      </c>
      <c r="F1478" s="4">
        <v>1500000000</v>
      </c>
      <c r="G1478" s="8" t="str">
        <f>+VLOOKUP(Tabla14[[#This Row],[FONDO]],MAESTRO!$D$2:$E$119,2,FALSE)</f>
        <v>Gma Capital</v>
      </c>
      <c r="H1478" s="8" t="str">
        <f>+VLOOKUP(Tabla14[[#This Row],[FONDO]],MAESTRO!D:F,3,FALSE)</f>
        <v>(T+0)</v>
      </c>
      <c r="I1478" s="4" t="s">
        <v>9</v>
      </c>
      <c r="L147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8" s="4">
        <f>ROUND(IF(Tabla14[[#This Row],[OPERACIÓN]]=MAESTRO!$B$2,Tabla14[CAPITAL],IF(Tabla14[[#This Row],[OPERACIÓN]]=MAESTRO!$B$5,Tabla14[CAPITAL],-Tabla14[[#This Row],[CAPITAL]])),2)</f>
        <v>1500000000</v>
      </c>
    </row>
    <row r="1479" spans="1:13" x14ac:dyDescent="0.3">
      <c r="A1479" s="26">
        <v>46262</v>
      </c>
      <c r="B1479" t="s">
        <v>298</v>
      </c>
      <c r="C1479" t="s">
        <v>132</v>
      </c>
      <c r="D1479" s="27" t="s">
        <v>17</v>
      </c>
      <c r="E1479" s="4" t="s">
        <v>40</v>
      </c>
      <c r="F1479" s="4">
        <v>144000000</v>
      </c>
      <c r="G1479" s="136" t="str">
        <f>+VLOOKUP(Tabla14[[#This Row],[FONDO]],MAESTRO!$D$2:$E$119,2,FALSE)</f>
        <v>BBVA Banco Frances SA</v>
      </c>
      <c r="H1479" s="8" t="str">
        <f>+VLOOKUP(Tabla14[[#This Row],[FONDO]],MAESTRO!D:F,3,FALSE)</f>
        <v>(T+0)</v>
      </c>
      <c r="I1479" s="4" t="s">
        <v>9</v>
      </c>
      <c r="L147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79" s="4">
        <f>ROUND(IF(Tabla14[[#This Row],[OPERACIÓN]]=MAESTRO!$B$2,Tabla14[CAPITAL],IF(Tabla14[[#This Row],[OPERACIÓN]]=MAESTRO!$B$5,Tabla14[CAPITAL],-Tabla14[[#This Row],[CAPITAL]])),2)</f>
        <v>-144000000</v>
      </c>
    </row>
    <row r="1480" spans="1:13" x14ac:dyDescent="0.3">
      <c r="A1480" s="26">
        <v>46265</v>
      </c>
      <c r="B1480" t="s">
        <v>298</v>
      </c>
      <c r="C1480" t="s">
        <v>132</v>
      </c>
      <c r="D1480" s="27" t="s">
        <v>17</v>
      </c>
      <c r="E1480" s="4" t="s">
        <v>40</v>
      </c>
      <c r="F1480" s="4">
        <v>1737500000</v>
      </c>
      <c r="G1480" s="8" t="str">
        <f>+VLOOKUP(Tabla14[[#This Row],[FONDO]],MAESTRO!$D$2:$E$119,2,FALSE)</f>
        <v>BBVA Banco Frances SA</v>
      </c>
      <c r="H1480" s="8" t="str">
        <f>+VLOOKUP(Tabla14[[#This Row],[FONDO]],MAESTRO!D:F,3,FALSE)</f>
        <v>(T+0)</v>
      </c>
      <c r="I1480" s="4" t="s">
        <v>9</v>
      </c>
      <c r="L148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0" s="4">
        <f>ROUND(IF(Tabla14[[#This Row],[OPERACIÓN]]=MAESTRO!$B$2,Tabla14[CAPITAL],IF(Tabla14[[#This Row],[OPERACIÓN]]=MAESTRO!$B$5,Tabla14[CAPITAL],-Tabla14[[#This Row],[CAPITAL]])),2)</f>
        <v>-1737500000</v>
      </c>
    </row>
    <row r="1481" spans="1:13" x14ac:dyDescent="0.3">
      <c r="A1481" s="26">
        <v>46265</v>
      </c>
      <c r="B1481" t="s">
        <v>299</v>
      </c>
      <c r="C1481" t="s">
        <v>132</v>
      </c>
      <c r="D1481" s="27" t="s">
        <v>16</v>
      </c>
      <c r="E1481" s="4" t="s">
        <v>48</v>
      </c>
      <c r="F1481" s="4">
        <v>303800000</v>
      </c>
      <c r="G1481" s="8" t="str">
        <f>+VLOOKUP(Tabla14[[#This Row],[FONDO]],MAESTRO!$D$2:$E$119,2,FALSE)</f>
        <v>Banco Macro S.A.</v>
      </c>
      <c r="H1481" s="8" t="str">
        <f>+VLOOKUP(Tabla14[[#This Row],[FONDO]],MAESTRO!D:F,3,FALSE)</f>
        <v>(T+0)</v>
      </c>
      <c r="I1481" s="4" t="s">
        <v>9</v>
      </c>
      <c r="L148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1" s="4">
        <f>ROUND(IF(Tabla14[[#This Row],[OPERACIÓN]]=MAESTRO!$B$2,Tabla14[CAPITAL],IF(Tabla14[[#This Row],[OPERACIÓN]]=MAESTRO!$B$5,Tabla14[CAPITAL],-Tabla14[[#This Row],[CAPITAL]])),2)</f>
        <v>303800000</v>
      </c>
    </row>
    <row r="1482" spans="1:13" x14ac:dyDescent="0.3">
      <c r="A1482" s="26">
        <v>46265</v>
      </c>
      <c r="B1482" t="s">
        <v>292</v>
      </c>
      <c r="C1482" t="s">
        <v>132</v>
      </c>
      <c r="D1482" s="27" t="s">
        <v>16</v>
      </c>
      <c r="E1482" s="4" t="s">
        <v>48</v>
      </c>
      <c r="F1482" s="4">
        <v>50900000</v>
      </c>
      <c r="G1482" s="8" t="str">
        <f>+VLOOKUP(Tabla14[[#This Row],[FONDO]],MAESTRO!$D$2:$E$119,2,FALSE)</f>
        <v>Banco Macro S.A.</v>
      </c>
      <c r="H1482" s="8" t="str">
        <f>+VLOOKUP(Tabla14[[#This Row],[FONDO]],MAESTRO!D:F,3,FALSE)</f>
        <v>(T+0)</v>
      </c>
      <c r="I1482" s="4" t="s">
        <v>9</v>
      </c>
      <c r="L148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2" s="4">
        <f>ROUND(IF(Tabla14[[#This Row],[OPERACIÓN]]=MAESTRO!$B$2,Tabla14[CAPITAL],IF(Tabla14[[#This Row],[OPERACIÓN]]=MAESTRO!$B$5,Tabla14[CAPITAL],-Tabla14[[#This Row],[CAPITAL]])),2)</f>
        <v>50900000</v>
      </c>
    </row>
    <row r="1483" spans="1:13" x14ac:dyDescent="0.3">
      <c r="A1483" s="26">
        <v>46265</v>
      </c>
      <c r="B1483" t="s">
        <v>299</v>
      </c>
      <c r="C1483" t="s">
        <v>132</v>
      </c>
      <c r="D1483" s="27" t="s">
        <v>17</v>
      </c>
      <c r="E1483" s="4" t="s">
        <v>169</v>
      </c>
      <c r="F1483" s="4">
        <v>500000000</v>
      </c>
      <c r="G1483" s="8" t="str">
        <f>+VLOOKUP(Tabla14[[#This Row],[FONDO]],MAESTRO!$D$2:$E$119,2,FALSE)</f>
        <v>Max Capital</v>
      </c>
      <c r="H1483" s="8" t="str">
        <f>+VLOOKUP(Tabla14[[#This Row],[FONDO]],MAESTRO!D:F,3,FALSE)</f>
        <v>(T+0)</v>
      </c>
      <c r="I1483" s="4" t="s">
        <v>9</v>
      </c>
      <c r="L148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3" s="4">
        <f>ROUND(IF(Tabla14[[#This Row],[OPERACIÓN]]=MAESTRO!$B$2,Tabla14[CAPITAL],IF(Tabla14[[#This Row],[OPERACIÓN]]=MAESTRO!$B$5,Tabla14[CAPITAL],-Tabla14[[#This Row],[CAPITAL]])),2)</f>
        <v>-500000000</v>
      </c>
    </row>
    <row r="1484" spans="1:13" x14ac:dyDescent="0.3">
      <c r="A1484" s="26">
        <v>46265</v>
      </c>
      <c r="B1484" t="s">
        <v>298</v>
      </c>
      <c r="C1484" t="s">
        <v>132</v>
      </c>
      <c r="D1484" s="27" t="s">
        <v>17</v>
      </c>
      <c r="E1484" s="4" t="s">
        <v>136</v>
      </c>
      <c r="F1484" s="4">
        <v>1501987430.4400001</v>
      </c>
      <c r="G1484" s="8" t="str">
        <f>+VLOOKUP(Tabla14[[#This Row],[FONDO]],MAESTRO!$D$2:$E$119,2,FALSE)</f>
        <v>Gma Capital</v>
      </c>
      <c r="H1484" s="8" t="str">
        <f>+VLOOKUP(Tabla14[[#This Row],[FONDO]],MAESTRO!D:F,3,FALSE)</f>
        <v>(T+0)</v>
      </c>
      <c r="I1484" s="4" t="s">
        <v>9</v>
      </c>
      <c r="L148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4" s="4">
        <f>ROUND(IF(Tabla14[[#This Row],[OPERACIÓN]]=MAESTRO!$B$2,Tabla14[CAPITAL],IF(Tabla14[[#This Row],[OPERACIÓN]]=MAESTRO!$B$5,Tabla14[CAPITAL],-Tabla14[[#This Row],[CAPITAL]])),2)</f>
        <v>-1501987430.4400001</v>
      </c>
    </row>
    <row r="1485" spans="1:13" x14ac:dyDescent="0.3">
      <c r="A1485" s="26">
        <v>46265</v>
      </c>
      <c r="B1485" t="s">
        <v>298</v>
      </c>
      <c r="C1485" t="s">
        <v>172</v>
      </c>
      <c r="D1485" s="27" t="s">
        <v>16</v>
      </c>
      <c r="E1485" s="4" t="s">
        <v>202</v>
      </c>
      <c r="F1485" s="4">
        <v>1000000</v>
      </c>
      <c r="G1485" s="8" t="str">
        <f>+VLOOKUP(Tabla14[[#This Row],[FONDO]],MAESTRO!$D$2:$E$119,2,FALSE)</f>
        <v>Gma Capital</v>
      </c>
      <c r="H1485" s="8" t="str">
        <f>+VLOOKUP(Tabla14[[#This Row],[FONDO]],MAESTRO!D:F,3,FALSE)</f>
        <v>USD DL</v>
      </c>
      <c r="I1485" s="4" t="s">
        <v>7</v>
      </c>
      <c r="J1485" s="23" t="s">
        <v>272</v>
      </c>
      <c r="K1485" t="s">
        <v>297</v>
      </c>
      <c r="L1485" t="str">
        <f>IF(Tabla14[[#This Row],[INVERSION]]="fci","",IF(SUMIFS(M:M,B:B,Tabla14[[#This Row],[EMPRESA]],E:E,Tabla14[[#This Row],[FONDO]],G:G,Tabla14[[#This Row],[BANCO]])=0,"","VENCE EL "&amp;TEXT(Tabla14[[#This Row],[VENCIMIENTO]],"DD-MM-YYYY")))</f>
        <v>VENCE EL 18-11-2026</v>
      </c>
      <c r="M1485" s="4">
        <f>ROUND(IF(Tabla14[[#This Row],[OPERACIÓN]]=MAESTRO!$B$2,Tabla14[CAPITAL],IF(Tabla14[[#This Row],[OPERACIÓN]]=MAESTRO!$B$5,Tabla14[CAPITAL],-Tabla14[[#This Row],[CAPITAL]])),2)</f>
        <v>1000000</v>
      </c>
    </row>
    <row r="1486" spans="1:13" s="20" customFormat="1" x14ac:dyDescent="0.3">
      <c r="A1486" s="26">
        <v>46265</v>
      </c>
      <c r="B1486" t="s">
        <v>292</v>
      </c>
      <c r="C1486" t="s">
        <v>132</v>
      </c>
      <c r="D1486" s="27" t="s">
        <v>16</v>
      </c>
      <c r="E1486" s="4" t="s">
        <v>136</v>
      </c>
      <c r="F1486" s="4">
        <v>1498754744.8399999</v>
      </c>
      <c r="G1486" s="8" t="str">
        <f>+VLOOKUP(Tabla14[[#This Row],[FONDO]],MAESTRO!$D$2:$E$119,2,FALSE)</f>
        <v>Gma Capital</v>
      </c>
      <c r="H1486" s="8" t="str">
        <f>+VLOOKUP(Tabla14[[#This Row],[FONDO]],MAESTRO!D:F,3,FALSE)</f>
        <v>(T+0)</v>
      </c>
      <c r="I1486" s="4" t="s">
        <v>9</v>
      </c>
      <c r="J1486" s="23"/>
      <c r="K1486"/>
      <c r="L148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6" s="4">
        <f>ROUND(IF(Tabla14[[#This Row],[OPERACIÓN]]=MAESTRO!$B$2,Tabla14[CAPITAL],IF(Tabla14[[#This Row],[OPERACIÓN]]=MAESTRO!$B$5,Tabla14[CAPITAL],-Tabla14[[#This Row],[CAPITAL]])),2)</f>
        <v>1498754744.8399999</v>
      </c>
    </row>
    <row r="1487" spans="1:13" s="20" customFormat="1" x14ac:dyDescent="0.3">
      <c r="A1487" s="37">
        <v>46266</v>
      </c>
      <c r="B1487" s="20" t="s">
        <v>292</v>
      </c>
      <c r="C1487" s="20" t="s">
        <v>132</v>
      </c>
      <c r="D1487" s="38" t="s">
        <v>16</v>
      </c>
      <c r="E1487" s="39" t="s">
        <v>48</v>
      </c>
      <c r="F1487" s="39">
        <v>800000</v>
      </c>
      <c r="G1487" s="40" t="str">
        <f>+VLOOKUP(Tabla14[[#This Row],[FONDO]],MAESTRO!$D$2:$E$119,2,FALSE)</f>
        <v>Banco Macro S.A.</v>
      </c>
      <c r="H1487" s="40" t="str">
        <f>+VLOOKUP(Tabla14[[#This Row],[FONDO]],MAESTRO!D:F,3,FALSE)</f>
        <v>(T+0)</v>
      </c>
      <c r="I1487" s="39" t="s">
        <v>9</v>
      </c>
      <c r="J1487" s="49"/>
      <c r="L148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7" s="39">
        <f>ROUND(IF(Tabla14[[#This Row],[OPERACIÓN]]=MAESTRO!$B$2,Tabla14[CAPITAL],IF(Tabla14[[#This Row],[OPERACIÓN]]=MAESTRO!$B$5,Tabla14[CAPITAL],-Tabla14[[#This Row],[CAPITAL]])),2)</f>
        <v>800000</v>
      </c>
    </row>
    <row r="1488" spans="1:13" s="20" customFormat="1" x14ac:dyDescent="0.3">
      <c r="A1488" s="37">
        <v>46266</v>
      </c>
      <c r="B1488" s="20" t="s">
        <v>299</v>
      </c>
      <c r="C1488" s="20" t="s">
        <v>132</v>
      </c>
      <c r="D1488" s="38" t="s">
        <v>16</v>
      </c>
      <c r="E1488" s="39" t="s">
        <v>48</v>
      </c>
      <c r="F1488" s="39">
        <v>200000</v>
      </c>
      <c r="G1488" s="40" t="str">
        <f>+VLOOKUP(Tabla14[[#This Row],[FONDO]],MAESTRO!$D$2:$E$119,2,FALSE)</f>
        <v>Banco Macro S.A.</v>
      </c>
      <c r="H1488" s="40" t="str">
        <f>+VLOOKUP(Tabla14[[#This Row],[FONDO]],MAESTRO!D:F,3,FALSE)</f>
        <v>(T+0)</v>
      </c>
      <c r="I1488" s="39" t="s">
        <v>9</v>
      </c>
      <c r="J1488" s="49"/>
      <c r="L148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8" s="39">
        <f>ROUND(IF(Tabla14[[#This Row],[OPERACIÓN]]=MAESTRO!$B$2,Tabla14[CAPITAL],IF(Tabla14[[#This Row],[OPERACIÓN]]=MAESTRO!$B$5,Tabla14[CAPITAL],-Tabla14[[#This Row],[CAPITAL]])),2)</f>
        <v>200000</v>
      </c>
    </row>
    <row r="1489" spans="1:13" x14ac:dyDescent="0.3">
      <c r="A1489" s="37">
        <v>46266</v>
      </c>
      <c r="B1489" s="20" t="s">
        <v>299</v>
      </c>
      <c r="C1489" s="20" t="s">
        <v>132</v>
      </c>
      <c r="D1489" s="38" t="s">
        <v>16</v>
      </c>
      <c r="E1489" s="39" t="s">
        <v>136</v>
      </c>
      <c r="F1489" s="39">
        <v>500000</v>
      </c>
      <c r="G1489" s="40" t="str">
        <f>+VLOOKUP(Tabla14[[#This Row],[FONDO]],MAESTRO!$D$2:$E$119,2,FALSE)</f>
        <v>Gma Capital</v>
      </c>
      <c r="H1489" s="40" t="str">
        <f>+VLOOKUP(Tabla14[[#This Row],[FONDO]],MAESTRO!D:F,3,FALSE)</f>
        <v>(T+0)</v>
      </c>
      <c r="I1489" s="39" t="s">
        <v>9</v>
      </c>
      <c r="J1489" s="49"/>
      <c r="K1489" s="20"/>
      <c r="L148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89" s="39">
        <f>ROUND(IF(Tabla14[[#This Row],[OPERACIÓN]]=MAESTRO!$B$2,Tabla14[CAPITAL],IF(Tabla14[[#This Row],[OPERACIÓN]]=MAESTRO!$B$5,Tabla14[CAPITAL],-Tabla14[[#This Row],[CAPITAL]])),2)</f>
        <v>500000</v>
      </c>
    </row>
    <row r="1490" spans="1:13" x14ac:dyDescent="0.3">
      <c r="A1490" s="26">
        <v>46266</v>
      </c>
      <c r="B1490" t="s">
        <v>298</v>
      </c>
      <c r="C1490" t="s">
        <v>132</v>
      </c>
      <c r="D1490" s="27" t="s">
        <v>16</v>
      </c>
      <c r="E1490" s="4" t="s">
        <v>169</v>
      </c>
      <c r="F1490" s="4">
        <v>47396710.18</v>
      </c>
      <c r="G1490" s="134" t="str">
        <f>+VLOOKUP(Tabla14[[#This Row],[FONDO]],MAESTRO!$D$2:$E$119,2,FALSE)</f>
        <v>Max Capital</v>
      </c>
      <c r="H1490" s="8" t="str">
        <f>+VLOOKUP(Tabla14[[#This Row],[FONDO]],MAESTRO!D:F,3,FALSE)</f>
        <v>(T+0)</v>
      </c>
      <c r="I1490" s="4" t="s">
        <v>9</v>
      </c>
      <c r="L149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0" s="4">
        <f>ROUND(IF(Tabla14[[#This Row],[OPERACIÓN]]=MAESTRO!$B$2,Tabla14[CAPITAL],IF(Tabla14[[#This Row],[OPERACIÓN]]=MAESTRO!$B$5,Tabla14[CAPITAL],-Tabla14[[#This Row],[CAPITAL]])),2)</f>
        <v>47396710.18</v>
      </c>
    </row>
    <row r="1491" spans="1:13" s="20" customFormat="1" x14ac:dyDescent="0.3">
      <c r="A1491" s="26">
        <v>46266</v>
      </c>
      <c r="B1491" t="s">
        <v>299</v>
      </c>
      <c r="C1491" t="s">
        <v>132</v>
      </c>
      <c r="D1491" s="27" t="s">
        <v>17</v>
      </c>
      <c r="E1491" s="4" t="s">
        <v>169</v>
      </c>
      <c r="F1491" s="4">
        <v>500000000</v>
      </c>
      <c r="G1491" s="134" t="str">
        <f>+VLOOKUP(Tabla14[[#This Row],[FONDO]],MAESTRO!$D$2:$E$119,2,FALSE)</f>
        <v>Max Capital</v>
      </c>
      <c r="H1491" s="8" t="str">
        <f>+VLOOKUP(Tabla14[[#This Row],[FONDO]],MAESTRO!D:F,3,FALSE)</f>
        <v>(T+0)</v>
      </c>
      <c r="I1491" s="4" t="s">
        <v>9</v>
      </c>
      <c r="J1491" s="23"/>
      <c r="K1491"/>
      <c r="L149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1" s="4">
        <f>ROUND(IF(Tabla14[[#This Row],[OPERACIÓN]]=MAESTRO!$B$2,Tabla14[CAPITAL],IF(Tabla14[[#This Row],[OPERACIÓN]]=MAESTRO!$B$5,Tabla14[CAPITAL],-Tabla14[[#This Row],[CAPITAL]])),2)</f>
        <v>-500000000</v>
      </c>
    </row>
    <row r="1492" spans="1:13" x14ac:dyDescent="0.3">
      <c r="A1492" s="37">
        <v>46266</v>
      </c>
      <c r="B1492" s="20" t="s">
        <v>299</v>
      </c>
      <c r="C1492" s="20" t="s">
        <v>132</v>
      </c>
      <c r="D1492" s="38" t="s">
        <v>16</v>
      </c>
      <c r="E1492" s="39" t="s">
        <v>169</v>
      </c>
      <c r="F1492" s="39">
        <v>2700000</v>
      </c>
      <c r="G1492" s="135" t="str">
        <f>+VLOOKUP(Tabla14[[#This Row],[FONDO]],MAESTRO!$D$2:$E$119,2,FALSE)</f>
        <v>Max Capital</v>
      </c>
      <c r="H1492" s="40" t="str">
        <f>+VLOOKUP(Tabla14[[#This Row],[FONDO]],MAESTRO!D:F,3,FALSE)</f>
        <v>(T+0)</v>
      </c>
      <c r="I1492" s="39" t="s">
        <v>9</v>
      </c>
      <c r="J1492" s="49"/>
      <c r="K1492" s="20"/>
      <c r="L149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2" s="39">
        <f>ROUND(IF(Tabla14[[#This Row],[OPERACIÓN]]=MAESTRO!$B$2,Tabla14[CAPITAL],IF(Tabla14[[#This Row],[OPERACIÓN]]=MAESTRO!$B$5,Tabla14[CAPITAL],-Tabla14[[#This Row],[CAPITAL]])),2)</f>
        <v>2700000</v>
      </c>
    </row>
    <row r="1493" spans="1:13" x14ac:dyDescent="0.3">
      <c r="A1493" s="26">
        <v>46266</v>
      </c>
      <c r="B1493" t="s">
        <v>126</v>
      </c>
      <c r="C1493" t="s">
        <v>132</v>
      </c>
      <c r="D1493" s="27" t="s">
        <v>16</v>
      </c>
      <c r="E1493" s="4" t="s">
        <v>48</v>
      </c>
      <c r="F1493" s="4">
        <v>2200000</v>
      </c>
      <c r="G1493" s="134" t="str">
        <f>+VLOOKUP(Tabla14[[#This Row],[FONDO]],MAESTRO!$D$2:$E$119,2,FALSE)</f>
        <v>Banco Macro S.A.</v>
      </c>
      <c r="H1493" s="8" t="str">
        <f>+VLOOKUP(Tabla14[[#This Row],[FONDO]],MAESTRO!D:F,3,FALSE)</f>
        <v>(T+0)</v>
      </c>
      <c r="I1493" s="4" t="s">
        <v>9</v>
      </c>
      <c r="L149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3" s="4">
        <f>ROUND(IF(Tabla14[[#This Row],[OPERACIÓN]]=MAESTRO!$B$2,Tabla14[CAPITAL],IF(Tabla14[[#This Row],[OPERACIÓN]]=MAESTRO!$B$5,Tabla14[CAPITAL],-Tabla14[[#This Row],[CAPITAL]])),2)</f>
        <v>2200000</v>
      </c>
    </row>
    <row r="1494" spans="1:13" x14ac:dyDescent="0.3">
      <c r="A1494" s="26">
        <v>46266</v>
      </c>
      <c r="B1494" t="s">
        <v>126</v>
      </c>
      <c r="C1494" t="s">
        <v>132</v>
      </c>
      <c r="D1494" s="27" t="s">
        <v>17</v>
      </c>
      <c r="E1494" s="4" t="s">
        <v>48</v>
      </c>
      <c r="F1494" s="4">
        <v>5500000</v>
      </c>
      <c r="G1494" s="8" t="str">
        <f>+VLOOKUP(Tabla14[[#This Row],[FONDO]],MAESTRO!$D$2:$E$119,2,FALSE)</f>
        <v>Banco Macro S.A.</v>
      </c>
      <c r="H1494" s="8" t="str">
        <f>+VLOOKUP(Tabla14[[#This Row],[FONDO]],MAESTRO!D:F,3,FALSE)</f>
        <v>(T+0)</v>
      </c>
      <c r="I1494" s="4" t="s">
        <v>9</v>
      </c>
      <c r="L149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4" s="4">
        <f>ROUND(IF(Tabla14[[#This Row],[OPERACIÓN]]=MAESTRO!$B$2,Tabla14[CAPITAL],IF(Tabla14[[#This Row],[OPERACIÓN]]=MAESTRO!$B$5,Tabla14[CAPITAL],-Tabla14[[#This Row],[CAPITAL]])),2)</f>
        <v>-5500000</v>
      </c>
    </row>
    <row r="1495" spans="1:13" x14ac:dyDescent="0.3">
      <c r="A1495" s="26">
        <v>46266</v>
      </c>
      <c r="B1495" t="s">
        <v>292</v>
      </c>
      <c r="C1495" t="s">
        <v>132</v>
      </c>
      <c r="D1495" s="27" t="s">
        <v>17</v>
      </c>
      <c r="E1495" s="4" t="s">
        <v>48</v>
      </c>
      <c r="F1495" s="4">
        <v>337600000</v>
      </c>
      <c r="G1495" s="8" t="str">
        <f>+VLOOKUP(Tabla14[[#This Row],[FONDO]],MAESTRO!$D$2:$E$119,2,FALSE)</f>
        <v>Banco Macro S.A.</v>
      </c>
      <c r="H1495" s="8" t="str">
        <f>+VLOOKUP(Tabla14[[#This Row],[FONDO]],MAESTRO!D:F,3,FALSE)</f>
        <v>(T+0)</v>
      </c>
      <c r="I1495" s="4" t="s">
        <v>9</v>
      </c>
      <c r="L149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5" s="4">
        <f>ROUND(IF(Tabla14[[#This Row],[OPERACIÓN]]=MAESTRO!$B$2,Tabla14[CAPITAL],IF(Tabla14[[#This Row],[OPERACIÓN]]=MAESTRO!$B$5,Tabla14[CAPITAL],-Tabla14[[#This Row],[CAPITAL]])),2)</f>
        <v>-337600000</v>
      </c>
    </row>
    <row r="1496" spans="1:13" x14ac:dyDescent="0.3">
      <c r="A1496" s="26">
        <v>46266</v>
      </c>
      <c r="B1496" t="s">
        <v>299</v>
      </c>
      <c r="C1496" t="s">
        <v>132</v>
      </c>
      <c r="D1496" s="27" t="s">
        <v>17</v>
      </c>
      <c r="E1496" s="4" t="s">
        <v>48</v>
      </c>
      <c r="F1496" s="4">
        <v>34100000</v>
      </c>
      <c r="G1496" s="8" t="str">
        <f>+VLOOKUP(Tabla14[[#This Row],[FONDO]],MAESTRO!$D$2:$E$119,2,FALSE)</f>
        <v>Banco Macro S.A.</v>
      </c>
      <c r="H1496" s="8" t="str">
        <f>+VLOOKUP(Tabla14[[#This Row],[FONDO]],MAESTRO!D:F,3,FALSE)</f>
        <v>(T+0)</v>
      </c>
      <c r="I1496" s="4" t="s">
        <v>9</v>
      </c>
      <c r="L149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6" s="4">
        <f>ROUND(IF(Tabla14[[#This Row],[OPERACIÓN]]=MAESTRO!$B$2,Tabla14[CAPITAL],IF(Tabla14[[#This Row],[OPERACIÓN]]=MAESTRO!$B$5,Tabla14[CAPITAL],-Tabla14[[#This Row],[CAPITAL]])),2)</f>
        <v>-34100000</v>
      </c>
    </row>
    <row r="1497" spans="1:13" x14ac:dyDescent="0.3">
      <c r="A1497" s="26">
        <v>46266</v>
      </c>
      <c r="B1497" t="s">
        <v>298</v>
      </c>
      <c r="C1497" t="s">
        <v>132</v>
      </c>
      <c r="D1497" s="27" t="s">
        <v>17</v>
      </c>
      <c r="E1497" s="4" t="s">
        <v>40</v>
      </c>
      <c r="F1497" s="4">
        <v>1288300000</v>
      </c>
      <c r="G1497" s="8" t="str">
        <f>+VLOOKUP(Tabla14[[#This Row],[FONDO]],MAESTRO!$D$2:$E$119,2,FALSE)</f>
        <v>BBVA Banco Frances SA</v>
      </c>
      <c r="H1497" s="8" t="str">
        <f>+VLOOKUP(Tabla14[[#This Row],[FONDO]],MAESTRO!D:F,3,FALSE)</f>
        <v>(T+0)</v>
      </c>
      <c r="I1497" s="4" t="s">
        <v>9</v>
      </c>
      <c r="L149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7" s="4">
        <f>ROUND(IF(Tabla14[[#This Row],[OPERACIÓN]]=MAESTRO!$B$2,Tabla14[CAPITAL],IF(Tabla14[[#This Row],[OPERACIÓN]]=MAESTRO!$B$5,Tabla14[CAPITAL],-Tabla14[[#This Row],[CAPITAL]])),2)</f>
        <v>-1288300000</v>
      </c>
    </row>
    <row r="1498" spans="1:13" x14ac:dyDescent="0.3">
      <c r="A1498" s="26">
        <v>46266</v>
      </c>
      <c r="B1498" t="s">
        <v>298</v>
      </c>
      <c r="C1498" t="s">
        <v>132</v>
      </c>
      <c r="D1498" s="27" t="s">
        <v>17</v>
      </c>
      <c r="E1498" s="4" t="s">
        <v>136</v>
      </c>
      <c r="F1498" s="4">
        <v>1499540364.4100001</v>
      </c>
      <c r="G1498" s="8" t="str">
        <f>+VLOOKUP(Tabla14[[#This Row],[FONDO]],MAESTRO!$D$2:$E$119,2,FALSE)</f>
        <v>Gma Capital</v>
      </c>
      <c r="H1498" s="8" t="str">
        <f>+VLOOKUP(Tabla14[[#This Row],[FONDO]],MAESTRO!D:F,3,FALSE)</f>
        <v>(T+0)</v>
      </c>
      <c r="I1498" s="4" t="s">
        <v>9</v>
      </c>
      <c r="L149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498" s="4">
        <f>ROUND(IF(Tabla14[[#This Row],[OPERACIÓN]]=MAESTRO!$B$2,Tabla14[CAPITAL],IF(Tabla14[[#This Row],[OPERACIÓN]]=MAESTRO!$B$5,Tabla14[CAPITAL],-Tabla14[[#This Row],[CAPITAL]])),2)</f>
        <v>-1499540364.4100001</v>
      </c>
    </row>
    <row r="1499" spans="1:13" x14ac:dyDescent="0.3">
      <c r="A1499" s="26">
        <v>46266</v>
      </c>
      <c r="B1499" t="s">
        <v>298</v>
      </c>
      <c r="C1499" t="s">
        <v>172</v>
      </c>
      <c r="D1499" s="27" t="s">
        <v>16</v>
      </c>
      <c r="E1499" s="4" t="s">
        <v>201</v>
      </c>
      <c r="F1499" s="4">
        <v>1000000</v>
      </c>
      <c r="G1499" s="8" t="str">
        <f>+VLOOKUP(Tabla14[[#This Row],[FONDO]],MAESTRO!$D$2:$E$119,2,FALSE)</f>
        <v>Gma Capital</v>
      </c>
      <c r="H1499" s="8" t="str">
        <f>+VLOOKUP(Tabla14[[#This Row],[FONDO]],MAESTRO!D:F,3,FALSE)</f>
        <v>USD DL</v>
      </c>
      <c r="I1499" s="4" t="s">
        <v>7</v>
      </c>
      <c r="J1499" s="23">
        <v>46337</v>
      </c>
      <c r="K1499">
        <v>3.75</v>
      </c>
      <c r="L1499" t="str">
        <f>IF(Tabla14[[#This Row],[INVERSION]]="fci","",IF(SUMIFS(M:M,B:B,Tabla14[[#This Row],[EMPRESA]],E:E,Tabla14[[#This Row],[FONDO]],G:G,Tabla14[[#This Row],[BANCO]])=0,"","VENCE EL "&amp;TEXT(Tabla14[[#This Row],[VENCIMIENTO]],"DD-MM-YYYY")))</f>
        <v>VENCE EL 11-11-2026</v>
      </c>
      <c r="M1499" s="4">
        <f>ROUND(IF(Tabla14[[#This Row],[OPERACIÓN]]=MAESTRO!$B$2,Tabla14[CAPITAL],IF(Tabla14[[#This Row],[OPERACIÓN]]=MAESTRO!$B$5,Tabla14[CAPITAL],-Tabla14[[#This Row],[CAPITAL]])),2)</f>
        <v>1000000</v>
      </c>
    </row>
    <row r="1500" spans="1:13" x14ac:dyDescent="0.3">
      <c r="A1500" s="26">
        <v>46266</v>
      </c>
      <c r="B1500" t="s">
        <v>299</v>
      </c>
      <c r="C1500" t="s">
        <v>132</v>
      </c>
      <c r="D1500" s="27" t="s">
        <v>16</v>
      </c>
      <c r="E1500" s="4" t="s">
        <v>136</v>
      </c>
      <c r="F1500" s="4">
        <v>1496619019.4400001</v>
      </c>
      <c r="G1500" s="8" t="str">
        <f>+VLOOKUP(Tabla14[[#This Row],[FONDO]],MAESTRO!$D$2:$E$119,2,FALSE)</f>
        <v>Gma Capital</v>
      </c>
      <c r="H1500" s="8" t="str">
        <f>+VLOOKUP(Tabla14[[#This Row],[FONDO]],MAESTRO!D:F,3,FALSE)</f>
        <v>(T+0)</v>
      </c>
      <c r="I1500" s="4" t="s">
        <v>9</v>
      </c>
      <c r="L150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0" s="4">
        <f>ROUND(IF(Tabla14[[#This Row],[OPERACIÓN]]=MAESTRO!$B$2,Tabla14[CAPITAL],IF(Tabla14[[#This Row],[OPERACIÓN]]=MAESTRO!$B$5,Tabla14[CAPITAL],-Tabla14[[#This Row],[CAPITAL]])),2)</f>
        <v>1496619019.4400001</v>
      </c>
    </row>
    <row r="1501" spans="1:13" x14ac:dyDescent="0.3">
      <c r="A1501" s="26">
        <v>46267</v>
      </c>
      <c r="B1501" t="s">
        <v>298</v>
      </c>
      <c r="C1501" t="s">
        <v>132</v>
      </c>
      <c r="D1501" s="27" t="s">
        <v>17</v>
      </c>
      <c r="E1501" s="4" t="s">
        <v>40</v>
      </c>
      <c r="F1501" s="4">
        <v>484800000</v>
      </c>
      <c r="G1501" s="8" t="str">
        <f>+VLOOKUP(Tabla14[[#This Row],[FONDO]],MAESTRO!$D$2:$E$119,2,FALSE)</f>
        <v>BBVA Banco Frances SA</v>
      </c>
      <c r="H1501" s="8" t="str">
        <f>+VLOOKUP(Tabla14[[#This Row],[FONDO]],MAESTRO!D:F,3,FALSE)</f>
        <v>(T+0)</v>
      </c>
      <c r="I1501" s="4" t="s">
        <v>9</v>
      </c>
      <c r="L150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1" s="4">
        <f>ROUND(IF(Tabla14[[#This Row],[OPERACIÓN]]=MAESTRO!$B$2,Tabla14[CAPITAL],IF(Tabla14[[#This Row],[OPERACIÓN]]=MAESTRO!$B$5,Tabla14[CAPITAL],-Tabla14[[#This Row],[CAPITAL]])),2)</f>
        <v>-484800000</v>
      </c>
    </row>
    <row r="1502" spans="1:13" x14ac:dyDescent="0.3">
      <c r="A1502" s="26">
        <v>46267</v>
      </c>
      <c r="B1502" t="s">
        <v>299</v>
      </c>
      <c r="C1502" t="s">
        <v>132</v>
      </c>
      <c r="D1502" s="27" t="s">
        <v>16</v>
      </c>
      <c r="E1502" s="4" t="s">
        <v>48</v>
      </c>
      <c r="F1502" s="4">
        <v>10800000</v>
      </c>
      <c r="G1502" s="8" t="str">
        <f>+VLOOKUP(Tabla14[[#This Row],[FONDO]],MAESTRO!$D$2:$E$119,2,FALSE)</f>
        <v>Banco Macro S.A.</v>
      </c>
      <c r="H1502" s="8" t="str">
        <f>+VLOOKUP(Tabla14[[#This Row],[FONDO]],MAESTRO!D:F,3,FALSE)</f>
        <v>(T+0)</v>
      </c>
      <c r="I1502" s="4" t="s">
        <v>9</v>
      </c>
      <c r="L150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2" s="4">
        <f>ROUND(IF(Tabla14[[#This Row],[OPERACIÓN]]=MAESTRO!$B$2,Tabla14[CAPITAL],IF(Tabla14[[#This Row],[OPERACIÓN]]=MAESTRO!$B$5,Tabla14[CAPITAL],-Tabla14[[#This Row],[CAPITAL]])),2)</f>
        <v>10800000</v>
      </c>
    </row>
    <row r="1503" spans="1:13" x14ac:dyDescent="0.3">
      <c r="A1503" s="26">
        <v>46267</v>
      </c>
      <c r="B1503" t="s">
        <v>120</v>
      </c>
      <c r="C1503" t="s">
        <v>132</v>
      </c>
      <c r="D1503" s="27" t="s">
        <v>16</v>
      </c>
      <c r="E1503" s="4" t="s">
        <v>40</v>
      </c>
      <c r="F1503" s="4">
        <v>15500000</v>
      </c>
      <c r="G1503" s="8" t="str">
        <f>+VLOOKUP(Tabla14[[#This Row],[FONDO]],MAESTRO!$D$2:$E$119,2,FALSE)</f>
        <v>BBVA Banco Frances SA</v>
      </c>
      <c r="H1503" s="8" t="str">
        <f>+VLOOKUP(Tabla14[[#This Row],[FONDO]],MAESTRO!D:F,3,FALSE)</f>
        <v>(T+0)</v>
      </c>
      <c r="I1503" s="4" t="s">
        <v>9</v>
      </c>
      <c r="L150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3" s="4">
        <f>ROUND(IF(Tabla14[[#This Row],[OPERACIÓN]]=MAESTRO!$B$2,Tabla14[CAPITAL],IF(Tabla14[[#This Row],[OPERACIÓN]]=MAESTRO!$B$5,Tabla14[CAPITAL],-Tabla14[[#This Row],[CAPITAL]])),2)</f>
        <v>15500000</v>
      </c>
    </row>
    <row r="1504" spans="1:13" x14ac:dyDescent="0.3">
      <c r="A1504" s="26">
        <v>46267</v>
      </c>
      <c r="B1504" t="s">
        <v>292</v>
      </c>
      <c r="C1504" t="s">
        <v>132</v>
      </c>
      <c r="D1504" s="27" t="s">
        <v>17</v>
      </c>
      <c r="E1504" s="4" t="s">
        <v>136</v>
      </c>
      <c r="F1504" s="4">
        <v>257000000</v>
      </c>
      <c r="G1504" s="8" t="str">
        <f>+VLOOKUP(Tabla14[[#This Row],[FONDO]],MAESTRO!$D$2:$E$119,2,FALSE)</f>
        <v>Gma Capital</v>
      </c>
      <c r="H1504" s="8" t="str">
        <f>+VLOOKUP(Tabla14[[#This Row],[FONDO]],MAESTRO!D:F,3,FALSE)</f>
        <v>(T+0)</v>
      </c>
      <c r="I1504" s="4" t="s">
        <v>9</v>
      </c>
      <c r="L150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4" s="4">
        <f>ROUND(IF(Tabla14[[#This Row],[OPERACIÓN]]=MAESTRO!$B$2,Tabla14[CAPITAL],IF(Tabla14[[#This Row],[OPERACIÓN]]=MAESTRO!$B$5,Tabla14[CAPITAL],-Tabla14[[#This Row],[CAPITAL]])),2)</f>
        <v>-257000000</v>
      </c>
    </row>
    <row r="1505" spans="1:13" x14ac:dyDescent="0.3">
      <c r="A1505" s="26">
        <v>46268</v>
      </c>
      <c r="B1505" t="s">
        <v>298</v>
      </c>
      <c r="C1505" t="s">
        <v>132</v>
      </c>
      <c r="D1505" s="27" t="s">
        <v>16</v>
      </c>
      <c r="E1505" s="4" t="s">
        <v>296</v>
      </c>
      <c r="F1505" s="4">
        <v>800000000</v>
      </c>
      <c r="G1505" s="136" t="str">
        <f>+VLOOKUP(Tabla14[[#This Row],[FONDO]],MAESTRO!$D$2:$E$119,2,FALSE)</f>
        <v>Black Toro</v>
      </c>
      <c r="H1505" s="8" t="str">
        <f>+VLOOKUP(Tabla14[[#This Row],[FONDO]],MAESTRO!D:F,3,FALSE)</f>
        <v>(T+0)</v>
      </c>
      <c r="I1505" s="4" t="s">
        <v>9</v>
      </c>
      <c r="L150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5" s="4">
        <f>ROUND(IF(Tabla14[[#This Row],[OPERACIÓN]]=MAESTRO!$B$2,Tabla14[CAPITAL],IF(Tabla14[[#This Row],[OPERACIÓN]]=MAESTRO!$B$5,Tabla14[CAPITAL],-Tabla14[[#This Row],[CAPITAL]])),2)</f>
        <v>800000000</v>
      </c>
    </row>
    <row r="1506" spans="1:13" s="20" customFormat="1" x14ac:dyDescent="0.3">
      <c r="A1506" s="26">
        <v>46268</v>
      </c>
      <c r="B1506" t="s">
        <v>299</v>
      </c>
      <c r="C1506" t="s">
        <v>132</v>
      </c>
      <c r="D1506" s="27" t="s">
        <v>17</v>
      </c>
      <c r="E1506" s="4" t="s">
        <v>136</v>
      </c>
      <c r="F1506" s="4">
        <v>189022987.34</v>
      </c>
      <c r="G1506" s="136" t="str">
        <f>+VLOOKUP(Tabla14[[#This Row],[FONDO]],MAESTRO!$D$2:$E$119,2,FALSE)</f>
        <v>Gma Capital</v>
      </c>
      <c r="H1506" s="8" t="str">
        <f>+VLOOKUP(Tabla14[[#This Row],[FONDO]],MAESTRO!D:F,3,FALSE)</f>
        <v>(T+0)</v>
      </c>
      <c r="I1506" s="4" t="s">
        <v>9</v>
      </c>
      <c r="J1506" s="23"/>
      <c r="K1506"/>
      <c r="L150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6" s="4">
        <f>ROUND(IF(Tabla14[[#This Row],[OPERACIÓN]]=MAESTRO!$B$2,Tabla14[CAPITAL],IF(Tabla14[[#This Row],[OPERACIÓN]]=MAESTRO!$B$5,Tabla14[CAPITAL],-Tabla14[[#This Row],[CAPITAL]])),2)</f>
        <v>-189022987.34</v>
      </c>
    </row>
    <row r="1507" spans="1:13" s="20" customFormat="1" x14ac:dyDescent="0.3">
      <c r="A1507" s="37">
        <v>46268</v>
      </c>
      <c r="B1507" s="20" t="s">
        <v>298</v>
      </c>
      <c r="C1507" s="20" t="s">
        <v>132</v>
      </c>
      <c r="D1507" s="38" t="s">
        <v>16</v>
      </c>
      <c r="E1507" s="39" t="s">
        <v>136</v>
      </c>
      <c r="F1507" s="39">
        <v>8100000</v>
      </c>
      <c r="G1507" s="137" t="str">
        <f>+VLOOKUP(Tabla14[[#This Row],[FONDO]],MAESTRO!$D$2:$E$119,2,FALSE)</f>
        <v>Gma Capital</v>
      </c>
      <c r="H1507" s="40" t="str">
        <f>+VLOOKUP(Tabla14[[#This Row],[FONDO]],MAESTRO!D:F,3,FALSE)</f>
        <v>(T+0)</v>
      </c>
      <c r="I1507" s="39" t="s">
        <v>9</v>
      </c>
      <c r="J1507" s="49"/>
      <c r="L1507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7" s="39">
        <f>ROUND(IF(Tabla14[[#This Row],[OPERACIÓN]]=MAESTRO!$B$2,Tabla14[CAPITAL],IF(Tabla14[[#This Row],[OPERACIÓN]]=MAESTRO!$B$5,Tabla14[CAPITAL],-Tabla14[[#This Row],[CAPITAL]])),2)</f>
        <v>8100000</v>
      </c>
    </row>
    <row r="1508" spans="1:13" s="20" customFormat="1" x14ac:dyDescent="0.3">
      <c r="A1508" s="37">
        <v>46268</v>
      </c>
      <c r="B1508" s="20" t="s">
        <v>298</v>
      </c>
      <c r="C1508" s="20" t="s">
        <v>132</v>
      </c>
      <c r="D1508" s="38" t="s">
        <v>16</v>
      </c>
      <c r="E1508" s="39" t="s">
        <v>174</v>
      </c>
      <c r="F1508" s="39">
        <v>1450000</v>
      </c>
      <c r="G1508" s="137" t="str">
        <f>+VLOOKUP(Tabla14[[#This Row],[FONDO]],MAESTRO!$D$2:$E$119,2,FALSE)</f>
        <v>Zofingen</v>
      </c>
      <c r="H1508" s="40" t="str">
        <f>+VLOOKUP(Tabla14[[#This Row],[FONDO]],MAESTRO!D:F,3,FALSE)</f>
        <v>(T+0)</v>
      </c>
      <c r="I1508" s="39" t="s">
        <v>9</v>
      </c>
      <c r="J1508" s="49"/>
      <c r="L1508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8" s="39">
        <f>ROUND(IF(Tabla14[[#This Row],[OPERACIÓN]]=MAESTRO!$B$2,Tabla14[CAPITAL],IF(Tabla14[[#This Row],[OPERACIÓN]]=MAESTRO!$B$5,Tabla14[CAPITAL],-Tabla14[[#This Row],[CAPITAL]])),2)</f>
        <v>1450000</v>
      </c>
    </row>
    <row r="1509" spans="1:13" s="20" customFormat="1" x14ac:dyDescent="0.3">
      <c r="A1509" s="37">
        <v>46268</v>
      </c>
      <c r="B1509" s="20" t="s">
        <v>298</v>
      </c>
      <c r="C1509" s="20" t="s">
        <v>132</v>
      </c>
      <c r="D1509" s="38" t="s">
        <v>16</v>
      </c>
      <c r="E1509" s="39" t="s">
        <v>204</v>
      </c>
      <c r="F1509" s="39">
        <v>900000</v>
      </c>
      <c r="G1509" s="137" t="str">
        <f>+VLOOKUP(Tabla14[[#This Row],[FONDO]],MAESTRO!$D$2:$E$119,2,FALSE)</f>
        <v>Latin Securities</v>
      </c>
      <c r="H1509" s="40" t="str">
        <f>+VLOOKUP(Tabla14[[#This Row],[FONDO]],MAESTRO!D:F,3,FALSE)</f>
        <v>(T+0)</v>
      </c>
      <c r="I1509" s="39" t="s">
        <v>9</v>
      </c>
      <c r="J1509" s="49"/>
      <c r="L1509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09" s="39">
        <f>ROUND(IF(Tabla14[[#This Row],[OPERACIÓN]]=MAESTRO!$B$2,Tabla14[CAPITAL],IF(Tabla14[[#This Row],[OPERACIÓN]]=MAESTRO!$B$5,Tabla14[CAPITAL],-Tabla14[[#This Row],[CAPITAL]])),2)</f>
        <v>900000</v>
      </c>
    </row>
    <row r="1510" spans="1:13" x14ac:dyDescent="0.3">
      <c r="A1510" s="37">
        <v>46268</v>
      </c>
      <c r="B1510" s="20" t="s">
        <v>298</v>
      </c>
      <c r="C1510" s="20" t="s">
        <v>132</v>
      </c>
      <c r="D1510" s="38" t="s">
        <v>16</v>
      </c>
      <c r="E1510" s="39" t="s">
        <v>208</v>
      </c>
      <c r="F1510" s="39">
        <v>1690000</v>
      </c>
      <c r="G1510" s="137" t="str">
        <f>+VLOOKUP(Tabla14[[#This Row],[FONDO]],MAESTRO!$D$2:$E$119,2,FALSE)</f>
        <v>Facimex</v>
      </c>
      <c r="H1510" s="40" t="str">
        <f>+VLOOKUP(Tabla14[[#This Row],[FONDO]],MAESTRO!D:F,3,FALSE)</f>
        <v>(T+0)</v>
      </c>
      <c r="I1510" s="39" t="s">
        <v>9</v>
      </c>
      <c r="J1510" s="49"/>
      <c r="K1510" s="20"/>
      <c r="L1510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0" s="39">
        <f>ROUND(IF(Tabla14[[#This Row],[OPERACIÓN]]=MAESTRO!$B$2,Tabla14[CAPITAL],IF(Tabla14[[#This Row],[OPERACIÓN]]=MAESTRO!$B$5,Tabla14[CAPITAL],-Tabla14[[#This Row],[CAPITAL]])),2)</f>
        <v>1690000</v>
      </c>
    </row>
    <row r="1511" spans="1:13" x14ac:dyDescent="0.3">
      <c r="A1511" s="26">
        <v>46268</v>
      </c>
      <c r="B1511" t="s">
        <v>298</v>
      </c>
      <c r="C1511" t="s">
        <v>132</v>
      </c>
      <c r="D1511" s="27" t="s">
        <v>17</v>
      </c>
      <c r="E1511" s="4" t="s">
        <v>40</v>
      </c>
      <c r="F1511" s="4">
        <v>807000000</v>
      </c>
      <c r="G1511" s="136" t="str">
        <f>+VLOOKUP(Tabla14[[#This Row],[FONDO]],MAESTRO!$D$2:$E$119,2,FALSE)</f>
        <v>BBVA Banco Frances SA</v>
      </c>
      <c r="H1511" s="8" t="str">
        <f>+VLOOKUP(Tabla14[[#This Row],[FONDO]],MAESTRO!D:F,3,FALSE)</f>
        <v>(T+0)</v>
      </c>
      <c r="I1511" s="4" t="s">
        <v>9</v>
      </c>
      <c r="L151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1" s="4">
        <f>ROUND(IF(Tabla14[[#This Row],[OPERACIÓN]]=MAESTRO!$B$2,Tabla14[CAPITAL],IF(Tabla14[[#This Row],[OPERACIÓN]]=MAESTRO!$B$5,Tabla14[CAPITAL],-Tabla14[[#This Row],[CAPITAL]])),2)</f>
        <v>-807000000</v>
      </c>
    </row>
    <row r="1512" spans="1:13" s="20" customFormat="1" x14ac:dyDescent="0.3">
      <c r="A1512" s="37">
        <v>46268</v>
      </c>
      <c r="B1512" s="20" t="s">
        <v>298</v>
      </c>
      <c r="C1512" s="20" t="s">
        <v>132</v>
      </c>
      <c r="D1512" s="38" t="s">
        <v>16</v>
      </c>
      <c r="E1512" s="39" t="s">
        <v>40</v>
      </c>
      <c r="F1512" s="39">
        <v>22200000</v>
      </c>
      <c r="G1512" s="137" t="str">
        <f>+VLOOKUP(Tabla14[[#This Row],[FONDO]],MAESTRO!$D$2:$E$119,2,FALSE)</f>
        <v>BBVA Banco Frances SA</v>
      </c>
      <c r="H1512" s="40" t="str">
        <f>+VLOOKUP(Tabla14[[#This Row],[FONDO]],MAESTRO!D:F,3,FALSE)</f>
        <v>(T+0)</v>
      </c>
      <c r="I1512" s="39" t="s">
        <v>9</v>
      </c>
      <c r="J1512" s="49"/>
      <c r="L1512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2" s="39">
        <f>ROUND(IF(Tabla14[[#This Row],[OPERACIÓN]]=MAESTRO!$B$2,Tabla14[CAPITAL],IF(Tabla14[[#This Row],[OPERACIÓN]]=MAESTRO!$B$5,Tabla14[CAPITAL],-Tabla14[[#This Row],[CAPITAL]])),2)</f>
        <v>22200000</v>
      </c>
    </row>
    <row r="1513" spans="1:13" s="20" customFormat="1" x14ac:dyDescent="0.3">
      <c r="A1513" s="37">
        <v>46268</v>
      </c>
      <c r="B1513" s="20" t="s">
        <v>298</v>
      </c>
      <c r="C1513" s="20" t="s">
        <v>132</v>
      </c>
      <c r="D1513" s="38" t="s">
        <v>16</v>
      </c>
      <c r="E1513" s="39" t="s">
        <v>258</v>
      </c>
      <c r="F1513" s="39">
        <v>4900000</v>
      </c>
      <c r="G1513" s="137" t="str">
        <f>+VLOOKUP(Tabla14[[#This Row],[FONDO]],MAESTRO!$D$2:$E$119,2,FALSE)</f>
        <v>Allaria Ledesma y Cía. Inversiones</v>
      </c>
      <c r="H1513" s="40" t="str">
        <f>+VLOOKUP(Tabla14[[#This Row],[FONDO]],MAESTRO!D:F,3,FALSE)</f>
        <v>(T+0)</v>
      </c>
      <c r="I1513" s="39" t="s">
        <v>9</v>
      </c>
      <c r="J1513" s="49"/>
      <c r="L1513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3" s="39">
        <f>ROUND(IF(Tabla14[[#This Row],[OPERACIÓN]]=MAESTRO!$B$2,Tabla14[CAPITAL],IF(Tabla14[[#This Row],[OPERACIÓN]]=MAESTRO!$B$5,Tabla14[CAPITAL],-Tabla14[[#This Row],[CAPITAL]])),2)</f>
        <v>4900000</v>
      </c>
    </row>
    <row r="1514" spans="1:13" s="20" customFormat="1" x14ac:dyDescent="0.3">
      <c r="A1514" s="37">
        <v>46268</v>
      </c>
      <c r="B1514" s="20" t="s">
        <v>126</v>
      </c>
      <c r="C1514" s="20" t="s">
        <v>132</v>
      </c>
      <c r="D1514" s="38" t="s">
        <v>16</v>
      </c>
      <c r="E1514" s="39" t="s">
        <v>48</v>
      </c>
      <c r="F1514" s="39">
        <v>800000</v>
      </c>
      <c r="G1514" s="137" t="str">
        <f>+VLOOKUP(Tabla14[[#This Row],[FONDO]],MAESTRO!$D$2:$E$119,2,FALSE)</f>
        <v>Banco Macro S.A.</v>
      </c>
      <c r="H1514" s="40" t="str">
        <f>+VLOOKUP(Tabla14[[#This Row],[FONDO]],MAESTRO!D:F,3,FALSE)</f>
        <v>(T+0)</v>
      </c>
      <c r="I1514" s="39" t="s">
        <v>9</v>
      </c>
      <c r="J1514" s="49"/>
      <c r="L1514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4" s="39">
        <f>ROUND(IF(Tabla14[[#This Row],[OPERACIÓN]]=MAESTRO!$B$2,Tabla14[CAPITAL],IF(Tabla14[[#This Row],[OPERACIÓN]]=MAESTRO!$B$5,Tabla14[CAPITAL],-Tabla14[[#This Row],[CAPITAL]])),2)</f>
        <v>800000</v>
      </c>
    </row>
    <row r="1515" spans="1:13" s="20" customFormat="1" x14ac:dyDescent="0.3">
      <c r="A1515" s="37">
        <v>46268</v>
      </c>
      <c r="B1515" s="20" t="s">
        <v>299</v>
      </c>
      <c r="C1515" s="20" t="s">
        <v>132</v>
      </c>
      <c r="D1515" s="38" t="s">
        <v>16</v>
      </c>
      <c r="E1515" s="39" t="s">
        <v>169</v>
      </c>
      <c r="F1515" s="39">
        <v>600000</v>
      </c>
      <c r="G1515" s="137" t="str">
        <f>+VLOOKUP(Tabla14[[#This Row],[FONDO]],MAESTRO!$D$2:$E$119,2,FALSE)</f>
        <v>Max Capital</v>
      </c>
      <c r="H1515" s="40" t="str">
        <f>+VLOOKUP(Tabla14[[#This Row],[FONDO]],MAESTRO!D:F,3,FALSE)</f>
        <v>(T+0)</v>
      </c>
      <c r="I1515" s="39" t="s">
        <v>9</v>
      </c>
      <c r="J1515" s="49"/>
      <c r="L1515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5" s="39">
        <f>ROUND(IF(Tabla14[[#This Row],[OPERACIÓN]]=MAESTRO!$B$2,Tabla14[CAPITAL],IF(Tabla14[[#This Row],[OPERACIÓN]]=MAESTRO!$B$5,Tabla14[CAPITAL],-Tabla14[[#This Row],[CAPITAL]])),2)</f>
        <v>600000</v>
      </c>
    </row>
    <row r="1516" spans="1:13" s="20" customFormat="1" x14ac:dyDescent="0.3">
      <c r="A1516" s="37">
        <v>46268</v>
      </c>
      <c r="B1516" s="20" t="s">
        <v>299</v>
      </c>
      <c r="C1516" s="20" t="s">
        <v>132</v>
      </c>
      <c r="D1516" s="38" t="s">
        <v>16</v>
      </c>
      <c r="E1516" s="39" t="s">
        <v>204</v>
      </c>
      <c r="F1516" s="39">
        <v>1000000</v>
      </c>
      <c r="G1516" s="137" t="str">
        <f>+VLOOKUP(Tabla14[[#This Row],[FONDO]],MAESTRO!$D$2:$E$119,2,FALSE)</f>
        <v>Latin Securities</v>
      </c>
      <c r="H1516" s="40" t="str">
        <f>+VLOOKUP(Tabla14[[#This Row],[FONDO]],MAESTRO!D:F,3,FALSE)</f>
        <v>(T+0)</v>
      </c>
      <c r="I1516" s="39" t="s">
        <v>9</v>
      </c>
      <c r="J1516" s="49"/>
      <c r="L1516" s="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6" s="39">
        <f>ROUND(IF(Tabla14[[#This Row],[OPERACIÓN]]=MAESTRO!$B$2,Tabla14[CAPITAL],IF(Tabla14[[#This Row],[OPERACIÓN]]=MAESTRO!$B$5,Tabla14[CAPITAL],-Tabla14[[#This Row],[CAPITAL]])),2)</f>
        <v>1000000</v>
      </c>
    </row>
    <row r="1517" spans="1:13" x14ac:dyDescent="0.3">
      <c r="A1517" s="26">
        <v>46268</v>
      </c>
      <c r="B1517" t="s">
        <v>299</v>
      </c>
      <c r="C1517" t="s">
        <v>132</v>
      </c>
      <c r="D1517" s="27" t="s">
        <v>17</v>
      </c>
      <c r="E1517" s="4" t="s">
        <v>48</v>
      </c>
      <c r="F1517" s="4">
        <v>244000000</v>
      </c>
      <c r="G1517" s="8" t="str">
        <f>+VLOOKUP(Tabla14[[#This Row],[FONDO]],MAESTRO!$D$2:$E$119,2,FALSE)</f>
        <v>Banco Macro S.A.</v>
      </c>
      <c r="H1517" s="8" t="str">
        <f>+VLOOKUP(Tabla14[[#This Row],[FONDO]],MAESTRO!D:F,3,FALSE)</f>
        <v>(T+0)</v>
      </c>
      <c r="I1517" s="4" t="s">
        <v>9</v>
      </c>
      <c r="L151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7" s="4">
        <f>ROUND(IF(Tabla14[[#This Row],[OPERACIÓN]]=MAESTRO!$B$2,Tabla14[CAPITAL],IF(Tabla14[[#This Row],[OPERACIÓN]]=MAESTRO!$B$5,Tabla14[CAPITAL],-Tabla14[[#This Row],[CAPITAL]])),2)</f>
        <v>-244000000</v>
      </c>
    </row>
    <row r="1518" spans="1:13" x14ac:dyDescent="0.3">
      <c r="A1518" s="26">
        <v>46268</v>
      </c>
      <c r="B1518" t="s">
        <v>298</v>
      </c>
      <c r="C1518" t="s">
        <v>132</v>
      </c>
      <c r="D1518" s="27" t="s">
        <v>17</v>
      </c>
      <c r="E1518" s="4" t="s">
        <v>40</v>
      </c>
      <c r="F1518" s="4">
        <v>1196900000</v>
      </c>
      <c r="G1518" s="8" t="str">
        <f>+VLOOKUP(Tabla14[[#This Row],[FONDO]],MAESTRO!$D$2:$E$119,2,FALSE)</f>
        <v>BBVA Banco Frances SA</v>
      </c>
      <c r="H1518" s="8" t="str">
        <f>+VLOOKUP(Tabla14[[#This Row],[FONDO]],MAESTRO!D:F,3,FALSE)</f>
        <v>(T+0)</v>
      </c>
      <c r="I1518" s="4" t="s">
        <v>9</v>
      </c>
      <c r="L151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8" s="4">
        <f>ROUND(IF(Tabla14[[#This Row],[OPERACIÓN]]=MAESTRO!$B$2,Tabla14[CAPITAL],IF(Tabla14[[#This Row],[OPERACIÓN]]=MAESTRO!$B$5,Tabla14[CAPITAL],-Tabla14[[#This Row],[CAPITAL]])),2)</f>
        <v>-1196900000</v>
      </c>
    </row>
    <row r="1519" spans="1:13" x14ac:dyDescent="0.3">
      <c r="A1519" s="26">
        <v>46268</v>
      </c>
      <c r="B1519" t="s">
        <v>292</v>
      </c>
      <c r="C1519" t="s">
        <v>132</v>
      </c>
      <c r="D1519" s="27" t="s">
        <v>16</v>
      </c>
      <c r="E1519" s="4" t="s">
        <v>48</v>
      </c>
      <c r="F1519" s="4">
        <v>47900000</v>
      </c>
      <c r="G1519" s="8" t="str">
        <f>+VLOOKUP(Tabla14[[#This Row],[FONDO]],MAESTRO!$D$2:$E$119,2,FALSE)</f>
        <v>Banco Macro S.A.</v>
      </c>
      <c r="H1519" s="8" t="str">
        <f>+VLOOKUP(Tabla14[[#This Row],[FONDO]],MAESTRO!D:F,3,FALSE)</f>
        <v>(T+0)</v>
      </c>
      <c r="I1519" s="4" t="s">
        <v>9</v>
      </c>
      <c r="L151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19" s="4">
        <f>ROUND(IF(Tabla14[[#This Row],[OPERACIÓN]]=MAESTRO!$B$2,Tabla14[CAPITAL],IF(Tabla14[[#This Row],[OPERACIÓN]]=MAESTRO!$B$5,Tabla14[CAPITAL],-Tabla14[[#This Row],[CAPITAL]])),2)</f>
        <v>47900000</v>
      </c>
    </row>
    <row r="1520" spans="1:13" x14ac:dyDescent="0.3">
      <c r="A1520" s="26">
        <v>46268</v>
      </c>
      <c r="B1520" t="s">
        <v>298</v>
      </c>
      <c r="C1520" t="s">
        <v>132</v>
      </c>
      <c r="D1520" s="27" t="s">
        <v>17</v>
      </c>
      <c r="E1520" s="4" t="s">
        <v>170</v>
      </c>
      <c r="F1520" s="4">
        <v>68551696.340000004</v>
      </c>
      <c r="G1520" s="8" t="str">
        <f>+VLOOKUP(Tabla14[[#This Row],[FONDO]],MAESTRO!$D$2:$E$119,2,FALSE)</f>
        <v>Banco Santander Rio S.A.</v>
      </c>
      <c r="H1520" s="8" t="str">
        <f>+VLOOKUP(Tabla14[[#This Row],[FONDO]],MAESTRO!D:F,3,FALSE)</f>
        <v>(T+0)</v>
      </c>
      <c r="I1520" s="4" t="s">
        <v>9</v>
      </c>
      <c r="L152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0" s="4">
        <f>ROUND(IF(Tabla14[[#This Row],[OPERACIÓN]]=MAESTRO!$B$2,Tabla14[CAPITAL],IF(Tabla14[[#This Row],[OPERACIÓN]]=MAESTRO!$B$5,Tabla14[CAPITAL],-Tabla14[[#This Row],[CAPITAL]])),2)</f>
        <v>-68551696.340000004</v>
      </c>
    </row>
    <row r="1521" spans="1:13" x14ac:dyDescent="0.3">
      <c r="A1521" s="26">
        <v>46268</v>
      </c>
      <c r="B1521" t="s">
        <v>298</v>
      </c>
      <c r="C1521" t="s">
        <v>132</v>
      </c>
      <c r="D1521" s="27" t="s">
        <v>17</v>
      </c>
      <c r="E1521" s="4" t="s">
        <v>170</v>
      </c>
      <c r="F1521" s="4">
        <v>150046945.12</v>
      </c>
      <c r="G1521" s="8" t="str">
        <f>+VLOOKUP(Tabla14[[#This Row],[FONDO]],MAESTRO!$D$2:$E$119,2,FALSE)</f>
        <v>Banco Santander Rio S.A.</v>
      </c>
      <c r="H1521" s="8" t="str">
        <f>+VLOOKUP(Tabla14[[#This Row],[FONDO]],MAESTRO!D:F,3,FALSE)</f>
        <v>(T+0)</v>
      </c>
      <c r="I1521" s="4" t="s">
        <v>9</v>
      </c>
      <c r="L152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1" s="4">
        <f>ROUND(IF(Tabla14[[#This Row],[OPERACIÓN]]=MAESTRO!$B$2,Tabla14[CAPITAL],IF(Tabla14[[#This Row],[OPERACIÓN]]=MAESTRO!$B$5,Tabla14[CAPITAL],-Tabla14[[#This Row],[CAPITAL]])),2)</f>
        <v>-150046945.12</v>
      </c>
    </row>
    <row r="1522" spans="1:13" x14ac:dyDescent="0.3">
      <c r="A1522" s="26">
        <v>46269</v>
      </c>
      <c r="B1522" t="s">
        <v>120</v>
      </c>
      <c r="C1522" t="s">
        <v>132</v>
      </c>
      <c r="D1522" s="27" t="s">
        <v>17</v>
      </c>
      <c r="E1522" s="4" t="s">
        <v>40</v>
      </c>
      <c r="F1522" s="4">
        <v>7300000</v>
      </c>
      <c r="G1522" s="8" t="str">
        <f>+VLOOKUP(Tabla14[[#This Row],[FONDO]],MAESTRO!$D$2:$E$119,2,FALSE)</f>
        <v>BBVA Banco Frances SA</v>
      </c>
      <c r="H1522" s="8" t="str">
        <f>+VLOOKUP(Tabla14[[#This Row],[FONDO]],MAESTRO!D:F,3,FALSE)</f>
        <v>(T+0)</v>
      </c>
      <c r="I1522" s="4" t="s">
        <v>9</v>
      </c>
      <c r="L152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2" s="4">
        <f>ROUND(IF(Tabla14[[#This Row],[OPERACIÓN]]=MAESTRO!$B$2,Tabla14[CAPITAL],IF(Tabla14[[#This Row],[OPERACIÓN]]=MAESTRO!$B$5,Tabla14[CAPITAL],-Tabla14[[#This Row],[CAPITAL]])),2)</f>
        <v>-7300000</v>
      </c>
    </row>
    <row r="1523" spans="1:13" x14ac:dyDescent="0.3">
      <c r="A1523" s="26">
        <v>46269</v>
      </c>
      <c r="B1523" t="s">
        <v>292</v>
      </c>
      <c r="C1523" t="s">
        <v>132</v>
      </c>
      <c r="D1523" s="27" t="s">
        <v>17</v>
      </c>
      <c r="E1523" s="4" t="s">
        <v>48</v>
      </c>
      <c r="F1523" s="4">
        <v>8100000</v>
      </c>
      <c r="G1523" s="8" t="str">
        <f>+VLOOKUP(Tabla14[[#This Row],[FONDO]],MAESTRO!$D$2:$E$119,2,FALSE)</f>
        <v>Banco Macro S.A.</v>
      </c>
      <c r="H1523" s="8" t="str">
        <f>+VLOOKUP(Tabla14[[#This Row],[FONDO]],MAESTRO!D:F,3,FALSE)</f>
        <v>(T+0)</v>
      </c>
      <c r="I1523" s="4" t="s">
        <v>9</v>
      </c>
      <c r="L152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3" s="4">
        <f>ROUND(IF(Tabla14[[#This Row],[OPERACIÓN]]=MAESTRO!$B$2,Tabla14[CAPITAL],IF(Tabla14[[#This Row],[OPERACIÓN]]=MAESTRO!$B$5,Tabla14[CAPITAL],-Tabla14[[#This Row],[CAPITAL]])),2)</f>
        <v>-8100000</v>
      </c>
    </row>
    <row r="1524" spans="1:13" x14ac:dyDescent="0.3">
      <c r="A1524" s="26">
        <v>46269</v>
      </c>
      <c r="B1524" t="s">
        <v>298</v>
      </c>
      <c r="C1524" t="s">
        <v>132</v>
      </c>
      <c r="D1524" s="27" t="s">
        <v>17</v>
      </c>
      <c r="E1524" s="4" t="s">
        <v>40</v>
      </c>
      <c r="F1524" s="4">
        <v>167000000</v>
      </c>
      <c r="G1524" s="8" t="str">
        <f>+VLOOKUP(Tabla14[[#This Row],[FONDO]],MAESTRO!$D$2:$E$119,2,FALSE)</f>
        <v>BBVA Banco Frances SA</v>
      </c>
      <c r="H1524" s="8" t="str">
        <f>+VLOOKUP(Tabla14[[#This Row],[FONDO]],MAESTRO!D:F,3,FALSE)</f>
        <v>(T+0)</v>
      </c>
      <c r="I1524" s="4" t="s">
        <v>9</v>
      </c>
      <c r="L152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4" s="4">
        <f>ROUND(IF(Tabla14[[#This Row],[OPERACIÓN]]=MAESTRO!$B$2,Tabla14[CAPITAL],IF(Tabla14[[#This Row],[OPERACIÓN]]=MAESTRO!$B$5,Tabla14[CAPITAL],-Tabla14[[#This Row],[CAPITAL]])),2)</f>
        <v>-167000000</v>
      </c>
    </row>
    <row r="1525" spans="1:13" x14ac:dyDescent="0.3">
      <c r="A1525" s="26">
        <v>46269</v>
      </c>
      <c r="B1525" t="s">
        <v>299</v>
      </c>
      <c r="C1525" t="s">
        <v>132</v>
      </c>
      <c r="D1525" s="27" t="s">
        <v>16</v>
      </c>
      <c r="E1525" s="4" t="s">
        <v>48</v>
      </c>
      <c r="F1525" s="4">
        <v>103400000</v>
      </c>
      <c r="G1525" s="8" t="str">
        <f>+VLOOKUP(Tabla14[[#This Row],[FONDO]],MAESTRO!$D$2:$E$119,2,FALSE)</f>
        <v>Banco Macro S.A.</v>
      </c>
      <c r="H1525" s="8" t="str">
        <f>+VLOOKUP(Tabla14[[#This Row],[FONDO]],MAESTRO!D:F,3,FALSE)</f>
        <v>(T+0)</v>
      </c>
      <c r="I1525" s="4" t="s">
        <v>9</v>
      </c>
      <c r="L152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5" s="4">
        <f>ROUND(IF(Tabla14[[#This Row],[OPERACIÓN]]=MAESTRO!$B$2,Tabla14[CAPITAL],IF(Tabla14[[#This Row],[OPERACIÓN]]=MAESTRO!$B$5,Tabla14[CAPITAL],-Tabla14[[#This Row],[CAPITAL]])),2)</f>
        <v>103400000</v>
      </c>
    </row>
    <row r="1526" spans="1:13" x14ac:dyDescent="0.3">
      <c r="A1526" s="26">
        <v>46269</v>
      </c>
      <c r="B1526" t="s">
        <v>298</v>
      </c>
      <c r="C1526" t="s">
        <v>132</v>
      </c>
      <c r="D1526" s="27" t="s">
        <v>17</v>
      </c>
      <c r="E1526" s="4" t="s">
        <v>204</v>
      </c>
      <c r="F1526" s="4">
        <v>200000000</v>
      </c>
      <c r="G1526" s="8" t="str">
        <f>+VLOOKUP(Tabla14[[#This Row],[FONDO]],MAESTRO!$D$2:$E$119,2,FALSE)</f>
        <v>Latin Securities</v>
      </c>
      <c r="H1526" s="8" t="str">
        <f>+VLOOKUP(Tabla14[[#This Row],[FONDO]],MAESTRO!D:F,3,FALSE)</f>
        <v>(T+0)</v>
      </c>
      <c r="I1526" s="4" t="s">
        <v>9</v>
      </c>
      <c r="L152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6" s="4">
        <f>ROUND(IF(Tabla14[[#This Row],[OPERACIÓN]]=MAESTRO!$B$2,Tabla14[CAPITAL],IF(Tabla14[[#This Row],[OPERACIÓN]]=MAESTRO!$B$5,Tabla14[CAPITAL],-Tabla14[[#This Row],[CAPITAL]])),2)</f>
        <v>-200000000</v>
      </c>
    </row>
    <row r="1527" spans="1:13" x14ac:dyDescent="0.3">
      <c r="A1527" s="26">
        <v>46269</v>
      </c>
      <c r="B1527" t="s">
        <v>298</v>
      </c>
      <c r="C1527" t="s">
        <v>132</v>
      </c>
      <c r="D1527" s="27" t="s">
        <v>17</v>
      </c>
      <c r="E1527" s="4" t="s">
        <v>40</v>
      </c>
      <c r="F1527" s="4">
        <v>300000000</v>
      </c>
      <c r="G1527" s="8" t="str">
        <f>+VLOOKUP(Tabla14[[#This Row],[FONDO]],MAESTRO!$D$2:$E$119,2,FALSE)</f>
        <v>BBVA Banco Frances SA</v>
      </c>
      <c r="H1527" s="8" t="str">
        <f>+VLOOKUP(Tabla14[[#This Row],[FONDO]],MAESTRO!D:F,3,FALSE)</f>
        <v>(T+0)</v>
      </c>
      <c r="I1527" s="4" t="s">
        <v>9</v>
      </c>
      <c r="L152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7" s="4">
        <f>ROUND(IF(Tabla14[[#This Row],[OPERACIÓN]]=MAESTRO!$B$2,Tabla14[CAPITAL],IF(Tabla14[[#This Row],[OPERACIÓN]]=MAESTRO!$B$5,Tabla14[CAPITAL],-Tabla14[[#This Row],[CAPITAL]])),2)</f>
        <v>-300000000</v>
      </c>
    </row>
    <row r="1528" spans="1:13" x14ac:dyDescent="0.3">
      <c r="A1528" s="26">
        <v>46272</v>
      </c>
      <c r="B1528" t="s">
        <v>298</v>
      </c>
      <c r="C1528" t="s">
        <v>132</v>
      </c>
      <c r="D1528" s="27" t="s">
        <v>17</v>
      </c>
      <c r="E1528" s="4" t="s">
        <v>296</v>
      </c>
      <c r="F1528" s="4">
        <v>300000000</v>
      </c>
      <c r="G1528" s="8" t="str">
        <f>+VLOOKUP(Tabla14[[#This Row],[FONDO]],MAESTRO!$D$2:$E$119,2,FALSE)</f>
        <v>Black Toro</v>
      </c>
      <c r="H1528" s="8" t="str">
        <f>+VLOOKUP(Tabla14[[#This Row],[FONDO]],MAESTRO!D:F,3,FALSE)</f>
        <v>(T+0)</v>
      </c>
      <c r="I1528" s="4" t="s">
        <v>9</v>
      </c>
      <c r="L152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8" s="4">
        <f>ROUND(IF(Tabla14[[#This Row],[OPERACIÓN]]=MAESTRO!$B$2,Tabla14[CAPITAL],IF(Tabla14[[#This Row],[OPERACIÓN]]=MAESTRO!$B$5,Tabla14[CAPITAL],-Tabla14[[#This Row],[CAPITAL]])),2)</f>
        <v>-300000000</v>
      </c>
    </row>
    <row r="1529" spans="1:13" x14ac:dyDescent="0.3">
      <c r="A1529" s="26">
        <v>46272</v>
      </c>
      <c r="B1529" t="s">
        <v>298</v>
      </c>
      <c r="C1529" t="s">
        <v>132</v>
      </c>
      <c r="D1529" s="27" t="s">
        <v>16</v>
      </c>
      <c r="E1529" s="4" t="s">
        <v>40</v>
      </c>
      <c r="F1529" s="4">
        <v>300000000</v>
      </c>
      <c r="G1529" s="8" t="str">
        <f>+VLOOKUP(Tabla14[[#This Row],[FONDO]],MAESTRO!$D$2:$E$119,2,FALSE)</f>
        <v>BBVA Banco Frances SA</v>
      </c>
      <c r="H1529" s="8" t="str">
        <f>+VLOOKUP(Tabla14[[#This Row],[FONDO]],MAESTRO!D:F,3,FALSE)</f>
        <v>(T+0)</v>
      </c>
      <c r="I1529" s="4" t="s">
        <v>9</v>
      </c>
      <c r="L152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29" s="4">
        <f>ROUND(IF(Tabla14[[#This Row],[OPERACIÓN]]=MAESTRO!$B$2,Tabla14[CAPITAL],IF(Tabla14[[#This Row],[OPERACIÓN]]=MAESTRO!$B$5,Tabla14[CAPITAL],-Tabla14[[#This Row],[CAPITAL]])),2)</f>
        <v>300000000</v>
      </c>
    </row>
    <row r="1530" spans="1:13" x14ac:dyDescent="0.3">
      <c r="A1530" s="26">
        <v>46272</v>
      </c>
      <c r="B1530" t="s">
        <v>292</v>
      </c>
      <c r="C1530" t="s">
        <v>132</v>
      </c>
      <c r="D1530" s="27" t="s">
        <v>17</v>
      </c>
      <c r="E1530" s="4" t="s">
        <v>48</v>
      </c>
      <c r="F1530" s="4">
        <v>26700000</v>
      </c>
      <c r="G1530" s="8" t="str">
        <f>+VLOOKUP(Tabla14[[#This Row],[FONDO]],MAESTRO!$D$2:$E$119,2,FALSE)</f>
        <v>Banco Macro S.A.</v>
      </c>
      <c r="H1530" s="8" t="str">
        <f>+VLOOKUP(Tabla14[[#This Row],[FONDO]],MAESTRO!D:F,3,FALSE)</f>
        <v>(T+0)</v>
      </c>
      <c r="I1530" s="4" t="s">
        <v>9</v>
      </c>
      <c r="L1530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0" s="4">
        <f>ROUND(IF(Tabla14[[#This Row],[OPERACIÓN]]=MAESTRO!$B$2,Tabla14[CAPITAL],IF(Tabla14[[#This Row],[OPERACIÓN]]=MAESTRO!$B$5,Tabla14[CAPITAL],-Tabla14[[#This Row],[CAPITAL]])),2)</f>
        <v>-26700000</v>
      </c>
    </row>
    <row r="1531" spans="1:13" x14ac:dyDescent="0.3">
      <c r="A1531" s="26">
        <v>46272</v>
      </c>
      <c r="B1531" t="s">
        <v>298</v>
      </c>
      <c r="C1531" t="s">
        <v>132</v>
      </c>
      <c r="D1531" s="27" t="s">
        <v>17</v>
      </c>
      <c r="E1531" s="4" t="s">
        <v>40</v>
      </c>
      <c r="F1531" s="4">
        <v>205100000</v>
      </c>
      <c r="G1531" s="8" t="str">
        <f>+VLOOKUP(Tabla14[[#This Row],[FONDO]],MAESTRO!$D$2:$E$119,2,FALSE)</f>
        <v>BBVA Banco Frances SA</v>
      </c>
      <c r="H1531" s="8" t="str">
        <f>+VLOOKUP(Tabla14[[#This Row],[FONDO]],MAESTRO!D:F,3,FALSE)</f>
        <v>(T+0)</v>
      </c>
      <c r="I1531" s="4" t="s">
        <v>9</v>
      </c>
      <c r="L1531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1" s="4">
        <f>ROUND(IF(Tabla14[[#This Row],[OPERACIÓN]]=MAESTRO!$B$2,Tabla14[CAPITAL],IF(Tabla14[[#This Row],[OPERACIÓN]]=MAESTRO!$B$5,Tabla14[CAPITAL],-Tabla14[[#This Row],[CAPITAL]])),2)</f>
        <v>-205100000</v>
      </c>
    </row>
    <row r="1532" spans="1:13" x14ac:dyDescent="0.3">
      <c r="A1532" s="26">
        <v>46272</v>
      </c>
      <c r="B1532" t="s">
        <v>299</v>
      </c>
      <c r="C1532" t="s">
        <v>132</v>
      </c>
      <c r="D1532" s="27" t="s">
        <v>16</v>
      </c>
      <c r="E1532" s="4" t="s">
        <v>48</v>
      </c>
      <c r="F1532" s="4">
        <v>32900000</v>
      </c>
      <c r="G1532" s="8" t="str">
        <f>+VLOOKUP(Tabla14[[#This Row],[FONDO]],MAESTRO!$D$2:$E$119,2,FALSE)</f>
        <v>Banco Macro S.A.</v>
      </c>
      <c r="H1532" s="8" t="str">
        <f>+VLOOKUP(Tabla14[[#This Row],[FONDO]],MAESTRO!D:F,3,FALSE)</f>
        <v>(T+0)</v>
      </c>
      <c r="I1532" s="4" t="s">
        <v>9</v>
      </c>
      <c r="L1532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2" s="4">
        <f>ROUND(IF(Tabla14[[#This Row],[OPERACIÓN]]=MAESTRO!$B$2,Tabla14[CAPITAL],IF(Tabla14[[#This Row],[OPERACIÓN]]=MAESTRO!$B$5,Tabla14[CAPITAL],-Tabla14[[#This Row],[CAPITAL]])),2)</f>
        <v>32900000</v>
      </c>
    </row>
    <row r="1533" spans="1:13" x14ac:dyDescent="0.3">
      <c r="A1533" s="26">
        <v>46273</v>
      </c>
      <c r="B1533" t="s">
        <v>298</v>
      </c>
      <c r="C1533" t="s">
        <v>132</v>
      </c>
      <c r="D1533" s="27" t="s">
        <v>17</v>
      </c>
      <c r="E1533" s="4" t="s">
        <v>169</v>
      </c>
      <c r="F1533" s="53">
        <v>60752767.640000001</v>
      </c>
      <c r="G1533" s="138" t="str">
        <f>+VLOOKUP(Tabla14[[#This Row],[FONDO]],MAESTRO!$D$2:$E$119,2,FALSE)</f>
        <v>Max Capital</v>
      </c>
      <c r="H1533" s="8" t="str">
        <f>+VLOOKUP(Tabla14[[#This Row],[FONDO]],MAESTRO!D:F,3,FALSE)</f>
        <v>(T+0)</v>
      </c>
      <c r="I1533" s="4" t="s">
        <v>9</v>
      </c>
      <c r="L1533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3" s="4">
        <f>ROUND(IF(Tabla14[[#This Row],[OPERACIÓN]]=MAESTRO!$B$2,Tabla14[CAPITAL],IF(Tabla14[[#This Row],[OPERACIÓN]]=MAESTRO!$B$5,Tabla14[CAPITAL],-Tabla14[[#This Row],[CAPITAL]])),2)</f>
        <v>-60752767.640000001</v>
      </c>
    </row>
    <row r="1534" spans="1:13" x14ac:dyDescent="0.3">
      <c r="A1534" s="26">
        <v>46273</v>
      </c>
      <c r="B1534" t="s">
        <v>298</v>
      </c>
      <c r="C1534" t="s">
        <v>132</v>
      </c>
      <c r="D1534" s="27" t="s">
        <v>17</v>
      </c>
      <c r="E1534" s="4" t="s">
        <v>169</v>
      </c>
      <c r="F1534" s="53">
        <v>58375800</v>
      </c>
      <c r="G1534" s="138" t="str">
        <f>+VLOOKUP(Tabla14[[#This Row],[FONDO]],MAESTRO!$D$2:$E$119,2,FALSE)</f>
        <v>Max Capital</v>
      </c>
      <c r="H1534" s="8" t="str">
        <f>+VLOOKUP(Tabla14[[#This Row],[FONDO]],MAESTRO!D:F,3,FALSE)</f>
        <v>(T+0)</v>
      </c>
      <c r="I1534" s="4" t="s">
        <v>9</v>
      </c>
      <c r="L1534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4" s="4">
        <f>ROUND(IF(Tabla14[[#This Row],[OPERACIÓN]]=MAESTRO!$B$2,Tabla14[CAPITAL],IF(Tabla14[[#This Row],[OPERACIÓN]]=MAESTRO!$B$5,Tabla14[CAPITAL],-Tabla14[[#This Row],[CAPITAL]])),2)</f>
        <v>-58375800</v>
      </c>
    </row>
    <row r="1535" spans="1:13" x14ac:dyDescent="0.3">
      <c r="A1535" s="26">
        <v>46273</v>
      </c>
      <c r="B1535" t="s">
        <v>298</v>
      </c>
      <c r="C1535" t="s">
        <v>132</v>
      </c>
      <c r="D1535" s="27" t="s">
        <v>17</v>
      </c>
      <c r="E1535" s="4" t="s">
        <v>296</v>
      </c>
      <c r="F1535" s="4">
        <v>700000000</v>
      </c>
      <c r="G1535" s="8" t="str">
        <f>+VLOOKUP(Tabla14[[#This Row],[FONDO]],MAESTRO!$D$2:$E$119,2,FALSE)</f>
        <v>Black Toro</v>
      </c>
      <c r="H1535" s="8" t="str">
        <f>+VLOOKUP(Tabla14[[#This Row],[FONDO]],MAESTRO!D:F,3,FALSE)</f>
        <v>(T+0)</v>
      </c>
      <c r="I1535" s="4" t="s">
        <v>9</v>
      </c>
      <c r="L1535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5" s="4">
        <f>ROUND(IF(Tabla14[[#This Row],[OPERACIÓN]]=MAESTRO!$B$2,Tabla14[CAPITAL],IF(Tabla14[[#This Row],[OPERACIÓN]]=MAESTRO!$B$5,Tabla14[CAPITAL],-Tabla14[[#This Row],[CAPITAL]])),2)</f>
        <v>-700000000</v>
      </c>
    </row>
    <row r="1536" spans="1:13" x14ac:dyDescent="0.3">
      <c r="A1536" s="26">
        <v>46273</v>
      </c>
      <c r="B1536" t="s">
        <v>298</v>
      </c>
      <c r="C1536" t="s">
        <v>132</v>
      </c>
      <c r="D1536" s="27" t="s">
        <v>16</v>
      </c>
      <c r="E1536" s="4" t="s">
        <v>40</v>
      </c>
      <c r="F1536" s="4">
        <v>14238600000</v>
      </c>
      <c r="G1536" s="8" t="str">
        <f>+VLOOKUP(Tabla14[[#This Row],[FONDO]],MAESTRO!$D$2:$E$119,2,FALSE)</f>
        <v>BBVA Banco Frances SA</v>
      </c>
      <c r="H1536" s="8" t="str">
        <f>+VLOOKUP(Tabla14[[#This Row],[FONDO]],MAESTRO!D:F,3,FALSE)</f>
        <v>(T+0)</v>
      </c>
      <c r="I1536" s="4" t="s">
        <v>9</v>
      </c>
      <c r="L1536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6" s="4">
        <f>ROUND(IF(Tabla14[[#This Row],[OPERACIÓN]]=MAESTRO!$B$2,Tabla14[CAPITAL],IF(Tabla14[[#This Row],[OPERACIÓN]]=MAESTRO!$B$5,Tabla14[CAPITAL],-Tabla14[[#This Row],[CAPITAL]])),2)</f>
        <v>14238600000</v>
      </c>
    </row>
    <row r="1537" spans="1:13" x14ac:dyDescent="0.3">
      <c r="A1537" s="26">
        <v>46638</v>
      </c>
      <c r="B1537" t="s">
        <v>298</v>
      </c>
      <c r="C1537" t="s">
        <v>132</v>
      </c>
      <c r="D1537" s="27" t="s">
        <v>17</v>
      </c>
      <c r="E1537" s="4" t="s">
        <v>40</v>
      </c>
      <c r="F1537" s="4">
        <v>200000000</v>
      </c>
      <c r="G1537" s="8" t="str">
        <f>+VLOOKUP(Tabla14[[#This Row],[FONDO]],MAESTRO!$D$2:$E$119,2,FALSE)</f>
        <v>BBVA Banco Frances SA</v>
      </c>
      <c r="H1537" s="8" t="str">
        <f>+VLOOKUP(Tabla14[[#This Row],[FONDO]],MAESTRO!D:F,3,FALSE)</f>
        <v>(T+0)</v>
      </c>
      <c r="I1537" s="4" t="s">
        <v>9</v>
      </c>
      <c r="L1537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7" s="4">
        <f>ROUND(IF(Tabla14[[#This Row],[OPERACIÓN]]=MAESTRO!$B$2,Tabla14[CAPITAL],IF(Tabla14[[#This Row],[OPERACIÓN]]=MAESTRO!$B$5,Tabla14[CAPITAL],-Tabla14[[#This Row],[CAPITAL]])),2)</f>
        <v>-200000000</v>
      </c>
    </row>
    <row r="1538" spans="1:13" x14ac:dyDescent="0.3">
      <c r="A1538" s="26">
        <v>46273</v>
      </c>
      <c r="B1538" t="s">
        <v>299</v>
      </c>
      <c r="C1538" t="s">
        <v>132</v>
      </c>
      <c r="D1538" s="27" t="s">
        <v>17</v>
      </c>
      <c r="E1538" s="4" t="s">
        <v>48</v>
      </c>
      <c r="F1538" s="4">
        <v>139300000</v>
      </c>
      <c r="G1538" s="8" t="str">
        <f>+VLOOKUP(Tabla14[[#This Row],[FONDO]],MAESTRO!$D$2:$E$119,2,FALSE)</f>
        <v>Banco Macro S.A.</v>
      </c>
      <c r="H1538" s="8" t="str">
        <f>+VLOOKUP(Tabla14[[#This Row],[FONDO]],MAESTRO!D:F,3,FALSE)</f>
        <v>(T+0)</v>
      </c>
      <c r="I1538" s="4" t="s">
        <v>9</v>
      </c>
      <c r="L1538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8" s="4">
        <f>ROUND(IF(Tabla14[[#This Row],[OPERACIÓN]]=MAESTRO!$B$2,Tabla14[CAPITAL],IF(Tabla14[[#This Row],[OPERACIÓN]]=MAESTRO!$B$5,Tabla14[CAPITAL],-Tabla14[[#This Row],[CAPITAL]])),2)</f>
        <v>-139300000</v>
      </c>
    </row>
    <row r="1539" spans="1:13" x14ac:dyDescent="0.3">
      <c r="A1539" s="26">
        <v>46273</v>
      </c>
      <c r="B1539" t="s">
        <v>292</v>
      </c>
      <c r="C1539" t="s">
        <v>132</v>
      </c>
      <c r="D1539" s="27" t="s">
        <v>17</v>
      </c>
      <c r="E1539" s="4" t="s">
        <v>136</v>
      </c>
      <c r="F1539" s="4">
        <v>94000000</v>
      </c>
      <c r="G1539" s="8" t="str">
        <f>+VLOOKUP(Tabla14[[#This Row],[FONDO]],MAESTRO!$D$2:$E$119,2,FALSE)</f>
        <v>Gma Capital</v>
      </c>
      <c r="H1539" s="8" t="str">
        <f>+VLOOKUP(Tabla14[[#This Row],[FONDO]],MAESTRO!D:F,3,FALSE)</f>
        <v>(T+0)</v>
      </c>
      <c r="I1539" s="4" t="s">
        <v>9</v>
      </c>
      <c r="L1539" t="str">
        <f>IF(Tabla14[[#This Row],[INVERSION]]="fci","",IF(SUMIFS(M:M,B:B,Tabla14[[#This Row],[EMPRESA]],E:E,Tabla14[[#This Row],[FONDO]],G:G,Tabla14[[#This Row],[BANCO]])=0,"","VENCE EL "&amp;TEXT(Tabla14[[#This Row],[VENCIMIENTO]],"DD-MM-YYYY")))</f>
        <v/>
      </c>
      <c r="M1539" s="4">
        <f>ROUND(IF(Tabla14[[#This Row],[OPERACIÓN]]=MAESTRO!$B$2,Tabla14[CAPITAL],IF(Tabla14[[#This Row],[OPERACIÓN]]=MAESTRO!$B$5,Tabla14[CAPITAL],-Tabla14[[#This Row],[CAPITAL]])),2)</f>
        <v>-94000000</v>
      </c>
    </row>
  </sheetData>
  <phoneticPr fontId="4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8"/>
  <dimension ref="A1:L102"/>
  <sheetViews>
    <sheetView workbookViewId="0">
      <selection activeCell="D19" sqref="D19"/>
    </sheetView>
  </sheetViews>
  <sheetFormatPr baseColWidth="10" defaultRowHeight="14.4" x14ac:dyDescent="0.3"/>
  <cols>
    <col min="1" max="1" width="14" bestFit="1" customWidth="1"/>
    <col min="2" max="2" width="22.44140625" bestFit="1" customWidth="1"/>
    <col min="4" max="4" width="28.6640625" bestFit="1" customWidth="1"/>
    <col min="5" max="5" width="33.5546875" bestFit="1" customWidth="1"/>
  </cols>
  <sheetData>
    <row r="1" spans="1:12" x14ac:dyDescent="0.3">
      <c r="A1" t="s">
        <v>11</v>
      </c>
      <c r="B1" t="s">
        <v>1</v>
      </c>
      <c r="C1" t="s">
        <v>6</v>
      </c>
      <c r="D1" t="s">
        <v>18</v>
      </c>
      <c r="E1" t="s">
        <v>5</v>
      </c>
      <c r="F1" t="s">
        <v>84</v>
      </c>
      <c r="G1" t="s">
        <v>95</v>
      </c>
      <c r="K1" t="s">
        <v>122</v>
      </c>
      <c r="L1" t="s">
        <v>104</v>
      </c>
    </row>
    <row r="2" spans="1:12" x14ac:dyDescent="0.3">
      <c r="A2" t="s">
        <v>12</v>
      </c>
      <c r="B2" t="s">
        <v>16</v>
      </c>
      <c r="C2" t="s">
        <v>7</v>
      </c>
      <c r="D2" s="7" t="s">
        <v>176</v>
      </c>
      <c r="E2" s="7" t="s">
        <v>176</v>
      </c>
      <c r="F2" t="s">
        <v>81</v>
      </c>
      <c r="G2" t="s">
        <v>97</v>
      </c>
      <c r="K2" t="s">
        <v>123</v>
      </c>
      <c r="L2" t="s">
        <v>132</v>
      </c>
    </row>
    <row r="3" spans="1:12" x14ac:dyDescent="0.3">
      <c r="A3" t="s">
        <v>13</v>
      </c>
      <c r="B3" t="s">
        <v>17</v>
      </c>
      <c r="C3" t="s">
        <v>8</v>
      </c>
      <c r="D3" s="7" t="s">
        <v>182</v>
      </c>
      <c r="E3" t="s">
        <v>109</v>
      </c>
      <c r="F3" t="s">
        <v>141</v>
      </c>
      <c r="G3" t="s">
        <v>100</v>
      </c>
      <c r="L3" t="s">
        <v>142</v>
      </c>
    </row>
    <row r="4" spans="1:12" x14ac:dyDescent="0.3">
      <c r="A4" t="s">
        <v>292</v>
      </c>
      <c r="B4" t="s">
        <v>111</v>
      </c>
      <c r="C4" t="s">
        <v>9</v>
      </c>
      <c r="D4" s="7" t="s">
        <v>69</v>
      </c>
      <c r="E4" t="s">
        <v>31</v>
      </c>
      <c r="F4" t="s">
        <v>82</v>
      </c>
      <c r="G4" t="s">
        <v>99</v>
      </c>
      <c r="L4" t="s">
        <v>143</v>
      </c>
    </row>
    <row r="5" spans="1:12" x14ac:dyDescent="0.3">
      <c r="A5" t="s">
        <v>120</v>
      </c>
      <c r="B5" t="s">
        <v>112</v>
      </c>
      <c r="D5" s="7" t="s">
        <v>52</v>
      </c>
      <c r="E5" t="s">
        <v>33</v>
      </c>
      <c r="F5" t="s">
        <v>81</v>
      </c>
      <c r="G5" t="s">
        <v>101</v>
      </c>
      <c r="L5" t="s">
        <v>172</v>
      </c>
    </row>
    <row r="6" spans="1:12" x14ac:dyDescent="0.3">
      <c r="A6" t="s">
        <v>126</v>
      </c>
      <c r="D6" s="7" t="s">
        <v>74</v>
      </c>
      <c r="E6" t="s">
        <v>33</v>
      </c>
      <c r="F6" t="s">
        <v>82</v>
      </c>
      <c r="G6" s="5">
        <v>0.1</v>
      </c>
      <c r="H6" t="s">
        <v>88</v>
      </c>
      <c r="L6" t="s">
        <v>264</v>
      </c>
    </row>
    <row r="7" spans="1:12" x14ac:dyDescent="0.3">
      <c r="D7" t="s">
        <v>63</v>
      </c>
      <c r="E7" t="s">
        <v>27</v>
      </c>
      <c r="F7" t="s">
        <v>82</v>
      </c>
      <c r="G7" s="5">
        <v>0.2</v>
      </c>
      <c r="H7" t="s">
        <v>102</v>
      </c>
    </row>
    <row r="8" spans="1:12" x14ac:dyDescent="0.3">
      <c r="D8" t="s">
        <v>47</v>
      </c>
      <c r="E8" t="s">
        <v>27</v>
      </c>
      <c r="F8" t="s">
        <v>81</v>
      </c>
      <c r="G8">
        <v>0.1</v>
      </c>
      <c r="H8" t="s">
        <v>103</v>
      </c>
    </row>
    <row r="9" spans="1:12" x14ac:dyDescent="0.3">
      <c r="D9" t="s">
        <v>42</v>
      </c>
      <c r="E9" t="s">
        <v>27</v>
      </c>
      <c r="F9" t="s">
        <v>81</v>
      </c>
    </row>
    <row r="10" spans="1:12" x14ac:dyDescent="0.3">
      <c r="D10" t="s">
        <v>78</v>
      </c>
      <c r="E10" t="s">
        <v>27</v>
      </c>
      <c r="F10" t="s">
        <v>82</v>
      </c>
    </row>
    <row r="11" spans="1:12" x14ac:dyDescent="0.3">
      <c r="D11" t="s">
        <v>130</v>
      </c>
      <c r="E11" t="s">
        <v>131</v>
      </c>
      <c r="F11" t="s">
        <v>81</v>
      </c>
    </row>
    <row r="12" spans="1:12" x14ac:dyDescent="0.3">
      <c r="D12" t="s">
        <v>75</v>
      </c>
      <c r="E12" t="s">
        <v>109</v>
      </c>
      <c r="F12" t="s">
        <v>81</v>
      </c>
    </row>
    <row r="13" spans="1:12" x14ac:dyDescent="0.3">
      <c r="D13" s="20" t="s">
        <v>75</v>
      </c>
      <c r="E13" s="20" t="s">
        <v>35</v>
      </c>
      <c r="F13" s="20" t="s">
        <v>83</v>
      </c>
    </row>
    <row r="14" spans="1:12" x14ac:dyDescent="0.3">
      <c r="D14" t="s">
        <v>76</v>
      </c>
      <c r="E14" t="s">
        <v>109</v>
      </c>
      <c r="F14" t="s">
        <v>82</v>
      </c>
    </row>
    <row r="15" spans="1:12" x14ac:dyDescent="0.3">
      <c r="D15" s="20" t="s">
        <v>76</v>
      </c>
      <c r="E15" s="20" t="s">
        <v>35</v>
      </c>
      <c r="F15" s="20" t="s">
        <v>83</v>
      </c>
    </row>
    <row r="16" spans="1:12" x14ac:dyDescent="0.3">
      <c r="D16" t="s">
        <v>59</v>
      </c>
      <c r="E16" t="s">
        <v>25</v>
      </c>
      <c r="F16" t="s">
        <v>82</v>
      </c>
    </row>
    <row r="17" spans="1:6" x14ac:dyDescent="0.3">
      <c r="D17" t="s">
        <v>40</v>
      </c>
      <c r="E17" t="s">
        <v>25</v>
      </c>
      <c r="F17" t="s">
        <v>81</v>
      </c>
    </row>
    <row r="18" spans="1:6" x14ac:dyDescent="0.3">
      <c r="D18" s="7" t="s">
        <v>144</v>
      </c>
      <c r="E18" t="s">
        <v>25</v>
      </c>
      <c r="F18" t="s">
        <v>141</v>
      </c>
    </row>
    <row r="19" spans="1:6" x14ac:dyDescent="0.3">
      <c r="D19" t="s">
        <v>154</v>
      </c>
      <c r="E19" t="s">
        <v>129</v>
      </c>
      <c r="F19" t="s">
        <v>81</v>
      </c>
    </row>
    <row r="20" spans="1:6" x14ac:dyDescent="0.3">
      <c r="D20" t="s">
        <v>79</v>
      </c>
      <c r="E20" t="s">
        <v>25</v>
      </c>
      <c r="F20" t="s">
        <v>82</v>
      </c>
    </row>
    <row r="21" spans="1:6" x14ac:dyDescent="0.3">
      <c r="D21" s="7" t="s">
        <v>214</v>
      </c>
      <c r="E21" t="s">
        <v>25</v>
      </c>
      <c r="F21" t="s">
        <v>141</v>
      </c>
    </row>
    <row r="22" spans="1:6" x14ac:dyDescent="0.3">
      <c r="D22" t="s">
        <v>61</v>
      </c>
      <c r="E22" t="s">
        <v>26</v>
      </c>
      <c r="F22" t="s">
        <v>82</v>
      </c>
    </row>
    <row r="23" spans="1:6" x14ac:dyDescent="0.3">
      <c r="A23" t="s">
        <v>15</v>
      </c>
      <c r="D23" t="s">
        <v>58</v>
      </c>
      <c r="E23" t="s">
        <v>26</v>
      </c>
      <c r="F23" t="s">
        <v>82</v>
      </c>
    </row>
    <row r="24" spans="1:6" x14ac:dyDescent="0.3">
      <c r="A24" t="s">
        <v>124</v>
      </c>
      <c r="D24" t="s">
        <v>177</v>
      </c>
      <c r="E24" t="s">
        <v>26</v>
      </c>
      <c r="F24" t="s">
        <v>178</v>
      </c>
    </row>
    <row r="25" spans="1:6" x14ac:dyDescent="0.3">
      <c r="A25" t="s">
        <v>125</v>
      </c>
      <c r="D25" t="s">
        <v>65</v>
      </c>
      <c r="E25" t="s">
        <v>26</v>
      </c>
      <c r="F25" t="s">
        <v>82</v>
      </c>
    </row>
    <row r="26" spans="1:6" x14ac:dyDescent="0.3">
      <c r="A26" t="s">
        <v>119</v>
      </c>
      <c r="D26" t="s">
        <v>45</v>
      </c>
      <c r="E26" t="s">
        <v>26</v>
      </c>
      <c r="F26" t="s">
        <v>81</v>
      </c>
    </row>
    <row r="27" spans="1:6" x14ac:dyDescent="0.3">
      <c r="A27" t="s">
        <v>137</v>
      </c>
      <c r="D27" t="s">
        <v>41</v>
      </c>
      <c r="E27" t="s">
        <v>26</v>
      </c>
      <c r="F27" t="s">
        <v>81</v>
      </c>
    </row>
    <row r="28" spans="1:6" x14ac:dyDescent="0.3">
      <c r="D28" t="s">
        <v>171</v>
      </c>
      <c r="E28" t="s">
        <v>171</v>
      </c>
      <c r="F28" t="s">
        <v>141</v>
      </c>
    </row>
    <row r="29" spans="1:6" x14ac:dyDescent="0.3">
      <c r="D29" t="s">
        <v>180</v>
      </c>
      <c r="E29" t="s">
        <v>181</v>
      </c>
      <c r="F29" t="s">
        <v>81</v>
      </c>
    </row>
    <row r="30" spans="1:6" x14ac:dyDescent="0.3">
      <c r="D30" t="s">
        <v>46</v>
      </c>
      <c r="E30" t="s">
        <v>28</v>
      </c>
      <c r="F30" t="s">
        <v>81</v>
      </c>
    </row>
    <row r="31" spans="1:6" x14ac:dyDescent="0.3">
      <c r="D31" t="s">
        <v>44</v>
      </c>
      <c r="E31" t="s">
        <v>28</v>
      </c>
      <c r="F31" t="s">
        <v>81</v>
      </c>
    </row>
    <row r="32" spans="1:6" x14ac:dyDescent="0.3">
      <c r="D32" t="s">
        <v>64</v>
      </c>
      <c r="E32" t="s">
        <v>28</v>
      </c>
      <c r="F32" t="s">
        <v>82</v>
      </c>
    </row>
    <row r="33" spans="4:6" x14ac:dyDescent="0.3">
      <c r="D33" t="s">
        <v>60</v>
      </c>
      <c r="E33" t="s">
        <v>28</v>
      </c>
      <c r="F33" t="s">
        <v>82</v>
      </c>
    </row>
    <row r="34" spans="4:6" x14ac:dyDescent="0.3">
      <c r="D34" t="s">
        <v>37</v>
      </c>
      <c r="E34" t="s">
        <v>22</v>
      </c>
      <c r="F34" t="s">
        <v>81</v>
      </c>
    </row>
    <row r="35" spans="4:6" x14ac:dyDescent="0.3">
      <c r="D35" t="s">
        <v>162</v>
      </c>
      <c r="E35" t="s">
        <v>22</v>
      </c>
      <c r="F35" t="s">
        <v>81</v>
      </c>
    </row>
    <row r="36" spans="4:6" x14ac:dyDescent="0.3">
      <c r="D36" t="s">
        <v>54</v>
      </c>
      <c r="E36" t="s">
        <v>22</v>
      </c>
      <c r="F36" t="s">
        <v>82</v>
      </c>
    </row>
    <row r="37" spans="4:6" x14ac:dyDescent="0.3">
      <c r="D37" t="s">
        <v>163</v>
      </c>
      <c r="E37" t="s">
        <v>22</v>
      </c>
      <c r="F37" t="s">
        <v>141</v>
      </c>
    </row>
    <row r="38" spans="4:6" x14ac:dyDescent="0.3">
      <c r="D38" t="s">
        <v>166</v>
      </c>
      <c r="E38" t="s">
        <v>129</v>
      </c>
      <c r="F38" t="s">
        <v>141</v>
      </c>
    </row>
    <row r="39" spans="4:6" x14ac:dyDescent="0.3">
      <c r="D39" t="s">
        <v>291</v>
      </c>
      <c r="E39" t="s">
        <v>129</v>
      </c>
      <c r="F39" t="s">
        <v>82</v>
      </c>
    </row>
    <row r="40" spans="4:6" x14ac:dyDescent="0.3">
      <c r="D40" t="s">
        <v>128</v>
      </c>
      <c r="E40" t="s">
        <v>129</v>
      </c>
      <c r="F40" t="s">
        <v>81</v>
      </c>
    </row>
    <row r="41" spans="4:6" x14ac:dyDescent="0.3">
      <c r="D41" s="54" t="s">
        <v>247</v>
      </c>
      <c r="E41" s="54" t="s">
        <v>131</v>
      </c>
      <c r="F41" s="54" t="s">
        <v>141</v>
      </c>
    </row>
    <row r="42" spans="4:6" x14ac:dyDescent="0.3">
      <c r="D42" s="54" t="s">
        <v>248</v>
      </c>
      <c r="E42" s="54" t="s">
        <v>131</v>
      </c>
      <c r="F42" s="54" t="s">
        <v>141</v>
      </c>
    </row>
    <row r="43" spans="4:6" x14ac:dyDescent="0.3">
      <c r="D43" t="s">
        <v>174</v>
      </c>
      <c r="E43" t="s">
        <v>175</v>
      </c>
      <c r="F43" t="s">
        <v>81</v>
      </c>
    </row>
    <row r="44" spans="4:6" x14ac:dyDescent="0.3">
      <c r="D44" t="s">
        <v>48</v>
      </c>
      <c r="E44" t="s">
        <v>29</v>
      </c>
      <c r="F44" t="s">
        <v>81</v>
      </c>
    </row>
    <row r="45" spans="4:6" x14ac:dyDescent="0.3">
      <c r="D45" t="s">
        <v>66</v>
      </c>
      <c r="E45" t="s">
        <v>29</v>
      </c>
      <c r="F45" t="s">
        <v>82</v>
      </c>
    </row>
    <row r="46" spans="4:6" x14ac:dyDescent="0.3">
      <c r="D46" t="s">
        <v>110</v>
      </c>
      <c r="E46" t="s">
        <v>29</v>
      </c>
      <c r="F46" t="s">
        <v>83</v>
      </c>
    </row>
    <row r="47" spans="4:6" x14ac:dyDescent="0.3">
      <c r="D47" t="s">
        <v>39</v>
      </c>
      <c r="E47" t="s">
        <v>24</v>
      </c>
      <c r="F47" t="s">
        <v>81</v>
      </c>
    </row>
    <row r="48" spans="4:6" x14ac:dyDescent="0.3">
      <c r="D48" t="s">
        <v>80</v>
      </c>
      <c r="E48" t="s">
        <v>24</v>
      </c>
      <c r="F48" t="s">
        <v>82</v>
      </c>
    </row>
    <row r="49" spans="4:6" x14ac:dyDescent="0.3">
      <c r="D49" t="s">
        <v>260</v>
      </c>
      <c r="E49" t="s">
        <v>24</v>
      </c>
      <c r="F49" t="s">
        <v>81</v>
      </c>
    </row>
    <row r="50" spans="4:6" x14ac:dyDescent="0.3">
      <c r="D50" t="s">
        <v>62</v>
      </c>
      <c r="E50" t="s">
        <v>24</v>
      </c>
      <c r="F50" t="s">
        <v>82</v>
      </c>
    </row>
    <row r="51" spans="4:6" x14ac:dyDescent="0.3">
      <c r="D51" t="s">
        <v>51</v>
      </c>
      <c r="E51" t="s">
        <v>32</v>
      </c>
      <c r="F51" t="s">
        <v>81</v>
      </c>
    </row>
    <row r="52" spans="4:6" x14ac:dyDescent="0.3">
      <c r="D52" t="s">
        <v>71</v>
      </c>
      <c r="E52" t="s">
        <v>32</v>
      </c>
      <c r="F52" t="s">
        <v>82</v>
      </c>
    </row>
    <row r="53" spans="4:6" x14ac:dyDescent="0.3">
      <c r="D53" s="50" t="s">
        <v>169</v>
      </c>
      <c r="E53" t="s">
        <v>131</v>
      </c>
      <c r="F53" t="s">
        <v>81</v>
      </c>
    </row>
    <row r="54" spans="4:6" x14ac:dyDescent="0.3">
      <c r="D54" t="s">
        <v>55</v>
      </c>
      <c r="E54" t="s">
        <v>35</v>
      </c>
      <c r="F54" t="s">
        <v>82</v>
      </c>
    </row>
    <row r="55" spans="4:6" x14ac:dyDescent="0.3">
      <c r="D55" t="s">
        <v>133</v>
      </c>
      <c r="E55" t="s">
        <v>131</v>
      </c>
      <c r="F55" t="s">
        <v>82</v>
      </c>
    </row>
    <row r="56" spans="4:6" x14ac:dyDescent="0.3">
      <c r="D56" t="s">
        <v>136</v>
      </c>
      <c r="E56" t="s">
        <v>134</v>
      </c>
      <c r="F56" t="s">
        <v>81</v>
      </c>
    </row>
    <row r="57" spans="4:6" x14ac:dyDescent="0.3">
      <c r="D57" t="s">
        <v>135</v>
      </c>
      <c r="E57" t="s">
        <v>134</v>
      </c>
      <c r="F57" t="s">
        <v>82</v>
      </c>
    </row>
    <row r="58" spans="4:6" x14ac:dyDescent="0.3">
      <c r="D58" t="s">
        <v>138</v>
      </c>
      <c r="E58" t="s">
        <v>140</v>
      </c>
      <c r="F58" t="s">
        <v>82</v>
      </c>
    </row>
    <row r="59" spans="4:6" x14ac:dyDescent="0.3">
      <c r="D59" t="s">
        <v>139</v>
      </c>
      <c r="E59" t="s">
        <v>140</v>
      </c>
      <c r="F59" t="s">
        <v>81</v>
      </c>
    </row>
    <row r="60" spans="4:6" x14ac:dyDescent="0.3">
      <c r="D60" t="s">
        <v>57</v>
      </c>
      <c r="E60" t="s">
        <v>23</v>
      </c>
      <c r="F60" t="s">
        <v>82</v>
      </c>
    </row>
    <row r="61" spans="4:6" x14ac:dyDescent="0.3">
      <c r="D61" t="s">
        <v>43</v>
      </c>
      <c r="E61" t="s">
        <v>23</v>
      </c>
      <c r="F61" t="s">
        <v>81</v>
      </c>
    </row>
    <row r="62" spans="4:6" x14ac:dyDescent="0.3">
      <c r="D62" t="s">
        <v>170</v>
      </c>
      <c r="E62" t="s">
        <v>23</v>
      </c>
      <c r="F62" t="s">
        <v>81</v>
      </c>
    </row>
    <row r="63" spans="4:6" x14ac:dyDescent="0.3">
      <c r="D63" t="s">
        <v>168</v>
      </c>
      <c r="E63" t="s">
        <v>293</v>
      </c>
      <c r="F63" t="s">
        <v>81</v>
      </c>
    </row>
    <row r="64" spans="4:6" x14ac:dyDescent="0.3">
      <c r="D64" t="s">
        <v>167</v>
      </c>
      <c r="E64" t="s">
        <v>293</v>
      </c>
      <c r="F64" t="s">
        <v>81</v>
      </c>
    </row>
    <row r="65" spans="4:6" x14ac:dyDescent="0.3">
      <c r="D65" t="s">
        <v>179</v>
      </c>
      <c r="E65" t="s">
        <v>140</v>
      </c>
      <c r="F65" t="s">
        <v>141</v>
      </c>
    </row>
    <row r="66" spans="4:6" x14ac:dyDescent="0.3">
      <c r="D66" t="s">
        <v>150</v>
      </c>
      <c r="E66" t="s">
        <v>131</v>
      </c>
      <c r="F66" t="s">
        <v>141</v>
      </c>
    </row>
    <row r="67" spans="4:6" x14ac:dyDescent="0.3">
      <c r="D67" t="s">
        <v>149</v>
      </c>
      <c r="E67" t="s">
        <v>140</v>
      </c>
      <c r="F67" t="s">
        <v>81</v>
      </c>
    </row>
    <row r="68" spans="4:6" x14ac:dyDescent="0.3">
      <c r="D68" t="s">
        <v>164</v>
      </c>
      <c r="E68" t="s">
        <v>134</v>
      </c>
      <c r="F68" t="s">
        <v>141</v>
      </c>
    </row>
    <row r="69" spans="4:6" x14ac:dyDescent="0.3">
      <c r="D69" t="s">
        <v>183</v>
      </c>
      <c r="E69" t="s">
        <v>184</v>
      </c>
      <c r="F69" t="s">
        <v>141</v>
      </c>
    </row>
    <row r="70" spans="4:6" x14ac:dyDescent="0.3">
      <c r="D70" t="s">
        <v>190</v>
      </c>
      <c r="E70" t="s">
        <v>185</v>
      </c>
      <c r="F70" t="s">
        <v>141</v>
      </c>
    </row>
    <row r="71" spans="4:6" x14ac:dyDescent="0.3">
      <c r="D71" t="s">
        <v>188</v>
      </c>
      <c r="E71" t="s">
        <v>186</v>
      </c>
      <c r="F71" t="s">
        <v>141</v>
      </c>
    </row>
    <row r="72" spans="4:6" x14ac:dyDescent="0.3">
      <c r="D72" t="s">
        <v>189</v>
      </c>
      <c r="E72" t="s">
        <v>187</v>
      </c>
      <c r="F72" t="s">
        <v>141</v>
      </c>
    </row>
    <row r="73" spans="4:6" x14ac:dyDescent="0.3">
      <c r="D73" s="7" t="s">
        <v>192</v>
      </c>
      <c r="E73" s="7" t="s">
        <v>191</v>
      </c>
      <c r="F73" t="s">
        <v>141</v>
      </c>
    </row>
    <row r="74" spans="4:6" x14ac:dyDescent="0.3">
      <c r="D74" t="s">
        <v>193</v>
      </c>
      <c r="E74" t="s">
        <v>131</v>
      </c>
      <c r="F74" t="s">
        <v>81</v>
      </c>
    </row>
    <row r="75" spans="4:6" x14ac:dyDescent="0.3">
      <c r="D75" t="s">
        <v>194</v>
      </c>
      <c r="E75" t="s">
        <v>191</v>
      </c>
      <c r="F75" t="s">
        <v>141</v>
      </c>
    </row>
    <row r="76" spans="4:6" x14ac:dyDescent="0.3">
      <c r="D76" t="s">
        <v>195</v>
      </c>
      <c r="E76" t="s">
        <v>134</v>
      </c>
      <c r="F76" t="s">
        <v>81</v>
      </c>
    </row>
    <row r="77" spans="4:6" x14ac:dyDescent="0.3">
      <c r="D77" t="s">
        <v>196</v>
      </c>
      <c r="E77" t="s">
        <v>181</v>
      </c>
      <c r="F77" t="s">
        <v>81</v>
      </c>
    </row>
    <row r="78" spans="4:6" x14ac:dyDescent="0.3">
      <c r="D78" t="s">
        <v>197</v>
      </c>
      <c r="E78" t="s">
        <v>198</v>
      </c>
      <c r="F78" t="s">
        <v>81</v>
      </c>
    </row>
    <row r="79" spans="4:6" x14ac:dyDescent="0.3">
      <c r="D79" t="s">
        <v>199</v>
      </c>
      <c r="E79" t="s">
        <v>134</v>
      </c>
      <c r="F79" t="s">
        <v>141</v>
      </c>
    </row>
    <row r="80" spans="4:6" x14ac:dyDescent="0.3">
      <c r="D80" t="s">
        <v>200</v>
      </c>
      <c r="E80" t="s">
        <v>134</v>
      </c>
      <c r="F80" t="s">
        <v>141</v>
      </c>
    </row>
    <row r="81" spans="4:6" x14ac:dyDescent="0.3">
      <c r="D81" t="s">
        <v>201</v>
      </c>
      <c r="E81" t="s">
        <v>134</v>
      </c>
      <c r="F81" t="s">
        <v>178</v>
      </c>
    </row>
    <row r="82" spans="4:6" x14ac:dyDescent="0.3">
      <c r="D82" t="s">
        <v>202</v>
      </c>
      <c r="E82" t="s">
        <v>134</v>
      </c>
      <c r="F82" t="s">
        <v>178</v>
      </c>
    </row>
    <row r="83" spans="4:6" x14ac:dyDescent="0.3">
      <c r="D83" t="s">
        <v>213</v>
      </c>
      <c r="E83" t="s">
        <v>131</v>
      </c>
      <c r="F83" t="s">
        <v>178</v>
      </c>
    </row>
    <row r="84" spans="4:6" x14ac:dyDescent="0.3">
      <c r="D84" t="s">
        <v>203</v>
      </c>
      <c r="E84" t="s">
        <v>109</v>
      </c>
      <c r="F84" t="s">
        <v>81</v>
      </c>
    </row>
    <row r="85" spans="4:6" x14ac:dyDescent="0.3">
      <c r="D85" t="s">
        <v>204</v>
      </c>
      <c r="E85" t="s">
        <v>205</v>
      </c>
      <c r="F85" t="s">
        <v>81</v>
      </c>
    </row>
    <row r="86" spans="4:6" x14ac:dyDescent="0.3">
      <c r="D86" t="s">
        <v>295</v>
      </c>
      <c r="E86" t="s">
        <v>294</v>
      </c>
      <c r="F86" t="s">
        <v>82</v>
      </c>
    </row>
    <row r="87" spans="4:6" x14ac:dyDescent="0.3">
      <c r="D87" t="s">
        <v>296</v>
      </c>
      <c r="E87" t="s">
        <v>294</v>
      </c>
      <c r="F87" t="s">
        <v>81</v>
      </c>
    </row>
    <row r="88" spans="4:6" x14ac:dyDescent="0.3">
      <c r="D88" t="s">
        <v>206</v>
      </c>
      <c r="E88" t="s">
        <v>207</v>
      </c>
      <c r="F88" t="s">
        <v>81</v>
      </c>
    </row>
    <row r="89" spans="4:6" x14ac:dyDescent="0.3">
      <c r="D89" t="s">
        <v>208</v>
      </c>
      <c r="E89" t="s">
        <v>209</v>
      </c>
      <c r="F89" t="s">
        <v>81</v>
      </c>
    </row>
    <row r="90" spans="4:6" x14ac:dyDescent="0.3">
      <c r="D90" t="s">
        <v>210</v>
      </c>
      <c r="E90" t="s">
        <v>210</v>
      </c>
      <c r="F90" t="s">
        <v>81</v>
      </c>
    </row>
    <row r="91" spans="4:6" x14ac:dyDescent="0.3">
      <c r="D91" t="s">
        <v>211</v>
      </c>
      <c r="E91" t="s">
        <v>140</v>
      </c>
      <c r="F91" t="s">
        <v>82</v>
      </c>
    </row>
    <row r="92" spans="4:6" x14ac:dyDescent="0.3">
      <c r="D92" t="s">
        <v>212</v>
      </c>
      <c r="E92" t="s">
        <v>140</v>
      </c>
      <c r="F92" t="s">
        <v>81</v>
      </c>
    </row>
    <row r="93" spans="4:6" x14ac:dyDescent="0.3">
      <c r="D93" t="s">
        <v>216</v>
      </c>
      <c r="E93" t="s">
        <v>216</v>
      </c>
      <c r="F93" t="s">
        <v>81</v>
      </c>
    </row>
    <row r="94" spans="4:6" x14ac:dyDescent="0.3">
      <c r="D94" t="s">
        <v>254</v>
      </c>
      <c r="E94" t="s">
        <v>23</v>
      </c>
      <c r="F94" t="s">
        <v>141</v>
      </c>
    </row>
    <row r="95" spans="4:6" x14ac:dyDescent="0.3">
      <c r="D95" t="s">
        <v>255</v>
      </c>
      <c r="E95" t="s">
        <v>256</v>
      </c>
      <c r="F95" t="s">
        <v>81</v>
      </c>
    </row>
    <row r="96" spans="4:6" x14ac:dyDescent="0.3">
      <c r="D96" t="s">
        <v>258</v>
      </c>
      <c r="E96" t="s">
        <v>259</v>
      </c>
      <c r="F96" t="s">
        <v>81</v>
      </c>
    </row>
    <row r="97" spans="4:6" x14ac:dyDescent="0.3">
      <c r="D97" t="s">
        <v>266</v>
      </c>
      <c r="E97" t="s">
        <v>267</v>
      </c>
      <c r="F97" t="s">
        <v>141</v>
      </c>
    </row>
    <row r="98" spans="4:6" x14ac:dyDescent="0.3">
      <c r="D98" t="s">
        <v>263</v>
      </c>
      <c r="E98" t="s">
        <v>134</v>
      </c>
      <c r="F98" t="s">
        <v>141</v>
      </c>
    </row>
    <row r="99" spans="4:6" x14ac:dyDescent="0.3">
      <c r="D99" t="s">
        <v>269</v>
      </c>
      <c r="E99" t="s">
        <v>131</v>
      </c>
      <c r="F99" t="s">
        <v>141</v>
      </c>
    </row>
    <row r="100" spans="4:6" x14ac:dyDescent="0.3">
      <c r="D100" t="s">
        <v>261</v>
      </c>
      <c r="E100" t="s">
        <v>131</v>
      </c>
      <c r="F100" t="s">
        <v>141</v>
      </c>
    </row>
    <row r="101" spans="4:6" x14ac:dyDescent="0.3">
      <c r="D101" t="s">
        <v>265</v>
      </c>
      <c r="E101" t="s">
        <v>131</v>
      </c>
      <c r="F101" t="s">
        <v>141</v>
      </c>
    </row>
    <row r="102" spans="4:6" x14ac:dyDescent="0.3">
      <c r="D102" s="50" t="s">
        <v>268</v>
      </c>
      <c r="E102" t="s">
        <v>131</v>
      </c>
      <c r="F102" t="s">
        <v>178</v>
      </c>
    </row>
  </sheetData>
  <autoFilter ref="D1:F102" xr:uid="{00000000-0009-0000-0000-00000A000000}">
    <sortState xmlns:xlrd2="http://schemas.microsoft.com/office/spreadsheetml/2017/richdata2" ref="D2:F53">
      <sortCondition ref="D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BC55-26AA-4AD7-B122-DD4A0E5BCAB9}">
  <sheetPr codeName="Hoja16"/>
  <dimension ref="A1:M1676"/>
  <sheetViews>
    <sheetView workbookViewId="0">
      <selection activeCell="A3" sqref="A3:M1676"/>
    </sheetView>
  </sheetViews>
  <sheetFormatPr baseColWidth="10" defaultRowHeight="14.4" x14ac:dyDescent="0.3"/>
  <cols>
    <col min="1" max="1" width="11.5546875" bestFit="1" customWidth="1"/>
    <col min="2" max="2" width="11.6640625" bestFit="1" customWidth="1"/>
    <col min="3" max="3" width="13.33203125" bestFit="1" customWidth="1"/>
    <col min="4" max="4" width="13.6640625" bestFit="1" customWidth="1"/>
    <col min="5" max="5" width="26" bestFit="1" customWidth="1"/>
    <col min="6" max="6" width="13.5546875" bestFit="1" customWidth="1"/>
    <col min="7" max="7" width="32" bestFit="1" customWidth="1"/>
    <col min="8" max="8" width="11.5546875" bestFit="1" customWidth="1"/>
    <col min="9" max="9" width="15.6640625" bestFit="1" customWidth="1"/>
    <col min="10" max="10" width="16" bestFit="1" customWidth="1"/>
    <col min="11" max="11" width="11.5546875" bestFit="1" customWidth="1"/>
    <col min="12" max="12" width="19.33203125" bestFit="1" customWidth="1"/>
    <col min="13" max="13" width="11.6640625" bestFit="1" customWidth="1"/>
  </cols>
  <sheetData>
    <row r="1" spans="1:13" x14ac:dyDescent="0.3">
      <c r="A1" s="32" t="s">
        <v>246</v>
      </c>
    </row>
    <row r="3" spans="1:13" x14ac:dyDescent="0.3">
      <c r="A3" t="s">
        <v>0</v>
      </c>
      <c r="B3" t="s">
        <v>11</v>
      </c>
      <c r="C3" t="s">
        <v>104</v>
      </c>
      <c r="D3" t="s">
        <v>21</v>
      </c>
      <c r="E3" t="s">
        <v>19</v>
      </c>
      <c r="F3" t="s">
        <v>20</v>
      </c>
      <c r="G3" t="s">
        <v>4</v>
      </c>
      <c r="H3" t="s">
        <v>1</v>
      </c>
      <c r="I3" t="s">
        <v>10</v>
      </c>
      <c r="J3" t="s">
        <v>145</v>
      </c>
      <c r="K3" t="s">
        <v>146</v>
      </c>
      <c r="L3" t="s">
        <v>148</v>
      </c>
      <c r="M3" t="s">
        <v>85</v>
      </c>
    </row>
    <row r="4" spans="1:13" x14ac:dyDescent="0.3">
      <c r="A4" s="23">
        <v>45454</v>
      </c>
      <c r="B4" t="s">
        <v>13</v>
      </c>
      <c r="C4" t="s">
        <v>132</v>
      </c>
      <c r="D4" t="s">
        <v>17</v>
      </c>
      <c r="E4" t="s">
        <v>169</v>
      </c>
      <c r="F4">
        <v>1400000000</v>
      </c>
      <c r="G4" t="s">
        <v>131</v>
      </c>
      <c r="H4" t="s">
        <v>81</v>
      </c>
      <c r="I4" t="s">
        <v>9</v>
      </c>
      <c r="L4" t="s">
        <v>161</v>
      </c>
      <c r="M4">
        <v>-1400000000</v>
      </c>
    </row>
    <row r="5" spans="1:13" x14ac:dyDescent="0.3">
      <c r="A5" s="23">
        <v>45594</v>
      </c>
      <c r="B5" t="s">
        <v>13</v>
      </c>
      <c r="C5" t="s">
        <v>132</v>
      </c>
      <c r="D5" t="s">
        <v>17</v>
      </c>
      <c r="E5" t="s">
        <v>136</v>
      </c>
      <c r="F5">
        <v>1033183240</v>
      </c>
      <c r="G5" t="s">
        <v>134</v>
      </c>
      <c r="H5" t="s">
        <v>81</v>
      </c>
      <c r="I5" t="s">
        <v>9</v>
      </c>
      <c r="L5" t="s">
        <v>161</v>
      </c>
      <c r="M5">
        <v>-1033183240</v>
      </c>
    </row>
    <row r="6" spans="1:13" x14ac:dyDescent="0.3">
      <c r="A6" s="23">
        <v>45313</v>
      </c>
      <c r="B6" t="s">
        <v>13</v>
      </c>
      <c r="C6" t="s">
        <v>132</v>
      </c>
      <c r="D6" t="s">
        <v>17</v>
      </c>
      <c r="E6" t="s">
        <v>136</v>
      </c>
      <c r="F6">
        <v>818950944.78999996</v>
      </c>
      <c r="G6" t="s">
        <v>134</v>
      </c>
      <c r="H6" t="s">
        <v>81</v>
      </c>
      <c r="I6" t="s">
        <v>9</v>
      </c>
      <c r="L6" t="s">
        <v>161</v>
      </c>
      <c r="M6">
        <v>-818950944.78999996</v>
      </c>
    </row>
    <row r="7" spans="1:13" x14ac:dyDescent="0.3">
      <c r="A7" s="23">
        <v>45426</v>
      </c>
      <c r="B7" t="s">
        <v>13</v>
      </c>
      <c r="C7" t="s">
        <v>132</v>
      </c>
      <c r="D7" t="s">
        <v>17</v>
      </c>
      <c r="E7" t="s">
        <v>136</v>
      </c>
      <c r="F7">
        <v>810000000</v>
      </c>
      <c r="G7" t="s">
        <v>134</v>
      </c>
      <c r="H7" t="s">
        <v>81</v>
      </c>
      <c r="I7" t="s">
        <v>9</v>
      </c>
      <c r="L7" t="s">
        <v>161</v>
      </c>
      <c r="M7">
        <v>-810000000</v>
      </c>
    </row>
    <row r="8" spans="1:13" x14ac:dyDescent="0.3">
      <c r="A8" s="23">
        <v>45428</v>
      </c>
      <c r="B8" t="s">
        <v>13</v>
      </c>
      <c r="C8" t="s">
        <v>132</v>
      </c>
      <c r="D8" t="s">
        <v>17</v>
      </c>
      <c r="E8" t="s">
        <v>136</v>
      </c>
      <c r="F8">
        <v>800000000</v>
      </c>
      <c r="G8" t="s">
        <v>134</v>
      </c>
      <c r="H8" t="s">
        <v>81</v>
      </c>
      <c r="I8" t="s">
        <v>9</v>
      </c>
      <c r="L8" t="s">
        <v>161</v>
      </c>
      <c r="M8">
        <v>-800000000</v>
      </c>
    </row>
    <row r="9" spans="1:13" x14ac:dyDescent="0.3">
      <c r="A9" s="23">
        <v>45422</v>
      </c>
      <c r="B9" t="s">
        <v>13</v>
      </c>
      <c r="C9" t="s">
        <v>132</v>
      </c>
      <c r="D9" t="s">
        <v>17</v>
      </c>
      <c r="E9" t="s">
        <v>136</v>
      </c>
      <c r="F9">
        <v>700000000</v>
      </c>
      <c r="G9" t="s">
        <v>134</v>
      </c>
      <c r="H9" t="s">
        <v>81</v>
      </c>
      <c r="I9" t="s">
        <v>9</v>
      </c>
      <c r="L9" t="s">
        <v>161</v>
      </c>
      <c r="M9">
        <v>-700000000</v>
      </c>
    </row>
    <row r="10" spans="1:13" x14ac:dyDescent="0.3">
      <c r="A10" s="23">
        <v>45329</v>
      </c>
      <c r="B10" t="s">
        <v>13</v>
      </c>
      <c r="C10" t="s">
        <v>132</v>
      </c>
      <c r="D10" t="s">
        <v>17</v>
      </c>
      <c r="E10" t="s">
        <v>136</v>
      </c>
      <c r="F10">
        <v>700000000</v>
      </c>
      <c r="G10" t="s">
        <v>134</v>
      </c>
      <c r="H10" t="s">
        <v>81</v>
      </c>
      <c r="I10" t="s">
        <v>9</v>
      </c>
      <c r="L10" t="s">
        <v>161</v>
      </c>
      <c r="M10">
        <v>-700000000</v>
      </c>
    </row>
    <row r="11" spans="1:13" x14ac:dyDescent="0.3">
      <c r="A11" s="23">
        <v>45692</v>
      </c>
      <c r="B11" t="s">
        <v>13</v>
      </c>
      <c r="C11" t="s">
        <v>132</v>
      </c>
      <c r="D11" t="s">
        <v>17</v>
      </c>
      <c r="E11" t="s">
        <v>40</v>
      </c>
      <c r="F11">
        <v>671400000</v>
      </c>
      <c r="G11" t="s">
        <v>25</v>
      </c>
      <c r="H11" t="s">
        <v>81</v>
      </c>
      <c r="I11" t="s">
        <v>9</v>
      </c>
      <c r="L11" t="s">
        <v>161</v>
      </c>
      <c r="M11">
        <v>-671400000</v>
      </c>
    </row>
    <row r="12" spans="1:13" x14ac:dyDescent="0.3">
      <c r="A12" s="23">
        <v>45421</v>
      </c>
      <c r="B12" t="s">
        <v>13</v>
      </c>
      <c r="C12" t="s">
        <v>132</v>
      </c>
      <c r="D12" t="s">
        <v>17</v>
      </c>
      <c r="E12" t="s">
        <v>136</v>
      </c>
      <c r="F12">
        <v>600000000</v>
      </c>
      <c r="G12" t="s">
        <v>134</v>
      </c>
      <c r="H12" t="s">
        <v>81</v>
      </c>
      <c r="I12" t="s">
        <v>9</v>
      </c>
      <c r="L12" t="s">
        <v>161</v>
      </c>
      <c r="M12">
        <v>-600000000</v>
      </c>
    </row>
    <row r="13" spans="1:13" x14ac:dyDescent="0.3">
      <c r="A13" s="23">
        <v>45754</v>
      </c>
      <c r="B13" t="s">
        <v>13</v>
      </c>
      <c r="C13" t="s">
        <v>132</v>
      </c>
      <c r="D13" t="s">
        <v>17</v>
      </c>
      <c r="E13" t="s">
        <v>193</v>
      </c>
      <c r="F13">
        <v>550000000</v>
      </c>
      <c r="G13" t="s">
        <v>131</v>
      </c>
      <c r="H13" t="s">
        <v>81</v>
      </c>
      <c r="I13" t="s">
        <v>9</v>
      </c>
      <c r="L13" t="s">
        <v>161</v>
      </c>
      <c r="M13">
        <v>-550000000</v>
      </c>
    </row>
    <row r="14" spans="1:13" x14ac:dyDescent="0.3">
      <c r="A14" s="23">
        <v>45204</v>
      </c>
      <c r="B14" t="s">
        <v>13</v>
      </c>
      <c r="C14" t="s">
        <v>132</v>
      </c>
      <c r="D14" t="s">
        <v>17</v>
      </c>
      <c r="E14" t="s">
        <v>136</v>
      </c>
      <c r="F14">
        <v>510793237.5</v>
      </c>
      <c r="G14" t="s">
        <v>134</v>
      </c>
      <c r="H14" t="s">
        <v>81</v>
      </c>
      <c r="I14" t="s">
        <v>9</v>
      </c>
      <c r="L14" t="s">
        <v>161</v>
      </c>
      <c r="M14">
        <v>-510793237.5</v>
      </c>
    </row>
    <row r="15" spans="1:13" x14ac:dyDescent="0.3">
      <c r="A15" s="23">
        <v>45316</v>
      </c>
      <c r="B15" t="s">
        <v>13</v>
      </c>
      <c r="C15" t="s">
        <v>132</v>
      </c>
      <c r="D15" t="s">
        <v>17</v>
      </c>
      <c r="E15" t="s">
        <v>136</v>
      </c>
      <c r="F15">
        <v>500000000</v>
      </c>
      <c r="G15" t="s">
        <v>134</v>
      </c>
      <c r="H15" t="s">
        <v>81</v>
      </c>
      <c r="I15" t="s">
        <v>9</v>
      </c>
      <c r="L15" t="s">
        <v>161</v>
      </c>
      <c r="M15">
        <v>-500000000</v>
      </c>
    </row>
    <row r="16" spans="1:13" x14ac:dyDescent="0.3">
      <c r="A16" s="23">
        <v>45538</v>
      </c>
      <c r="B16" t="s">
        <v>13</v>
      </c>
      <c r="C16" t="s">
        <v>132</v>
      </c>
      <c r="D16" t="s">
        <v>17</v>
      </c>
      <c r="E16" t="s">
        <v>136</v>
      </c>
      <c r="F16">
        <v>428227875</v>
      </c>
      <c r="G16" t="s">
        <v>134</v>
      </c>
      <c r="H16" t="s">
        <v>81</v>
      </c>
      <c r="I16" t="s">
        <v>9</v>
      </c>
      <c r="L16" t="s">
        <v>161</v>
      </c>
      <c r="M16">
        <v>-428227875</v>
      </c>
    </row>
    <row r="17" spans="1:13" x14ac:dyDescent="0.3">
      <c r="A17" s="23">
        <v>45351</v>
      </c>
      <c r="B17" t="s">
        <v>13</v>
      </c>
      <c r="C17" t="s">
        <v>132</v>
      </c>
      <c r="D17" t="s">
        <v>17</v>
      </c>
      <c r="E17" t="s">
        <v>136</v>
      </c>
      <c r="F17">
        <v>400000000</v>
      </c>
      <c r="G17" t="s">
        <v>134</v>
      </c>
      <c r="H17" t="s">
        <v>81</v>
      </c>
      <c r="I17" t="s">
        <v>9</v>
      </c>
      <c r="L17" t="s">
        <v>161</v>
      </c>
      <c r="M17">
        <v>-400000000</v>
      </c>
    </row>
    <row r="18" spans="1:13" x14ac:dyDescent="0.3">
      <c r="A18" s="23">
        <v>45296</v>
      </c>
      <c r="B18" t="s">
        <v>13</v>
      </c>
      <c r="C18" t="s">
        <v>132</v>
      </c>
      <c r="D18" t="s">
        <v>17</v>
      </c>
      <c r="E18" t="s">
        <v>136</v>
      </c>
      <c r="F18">
        <v>400000000</v>
      </c>
      <c r="G18" t="s">
        <v>134</v>
      </c>
      <c r="H18" t="s">
        <v>81</v>
      </c>
      <c r="I18" t="s">
        <v>9</v>
      </c>
      <c r="L18" t="s">
        <v>161</v>
      </c>
      <c r="M18">
        <v>-400000000</v>
      </c>
    </row>
    <row r="19" spans="1:13" x14ac:dyDescent="0.3">
      <c r="A19" s="23">
        <v>45429</v>
      </c>
      <c r="B19" t="s">
        <v>13</v>
      </c>
      <c r="C19" t="s">
        <v>132</v>
      </c>
      <c r="D19" t="s">
        <v>17</v>
      </c>
      <c r="E19" t="s">
        <v>169</v>
      </c>
      <c r="F19">
        <v>400000000</v>
      </c>
      <c r="G19" t="s">
        <v>131</v>
      </c>
      <c r="H19" t="s">
        <v>81</v>
      </c>
      <c r="I19" t="s">
        <v>9</v>
      </c>
      <c r="L19" t="s">
        <v>161</v>
      </c>
      <c r="M19">
        <v>-400000000</v>
      </c>
    </row>
    <row r="20" spans="1:13" x14ac:dyDescent="0.3">
      <c r="A20" s="23">
        <v>45427</v>
      </c>
      <c r="B20" t="s">
        <v>13</v>
      </c>
      <c r="C20" t="s">
        <v>132</v>
      </c>
      <c r="D20" t="s">
        <v>17</v>
      </c>
      <c r="E20" t="s">
        <v>169</v>
      </c>
      <c r="F20">
        <v>400000000</v>
      </c>
      <c r="G20" t="s">
        <v>131</v>
      </c>
      <c r="H20" t="s">
        <v>81</v>
      </c>
      <c r="I20" t="s">
        <v>9</v>
      </c>
      <c r="L20" t="s">
        <v>161</v>
      </c>
      <c r="M20">
        <v>-400000000</v>
      </c>
    </row>
    <row r="21" spans="1:13" x14ac:dyDescent="0.3">
      <c r="A21" s="23">
        <v>45315</v>
      </c>
      <c r="B21" t="s">
        <v>13</v>
      </c>
      <c r="C21" t="s">
        <v>132</v>
      </c>
      <c r="D21" t="s">
        <v>17</v>
      </c>
      <c r="E21" t="s">
        <v>169</v>
      </c>
      <c r="F21">
        <v>400000000</v>
      </c>
      <c r="G21" t="s">
        <v>131</v>
      </c>
      <c r="H21" t="s">
        <v>81</v>
      </c>
      <c r="I21" t="s">
        <v>9</v>
      </c>
      <c r="L21" t="s">
        <v>161</v>
      </c>
      <c r="M21">
        <v>-400000000</v>
      </c>
    </row>
    <row r="22" spans="1:13" x14ac:dyDescent="0.3">
      <c r="A22" s="23">
        <v>45425</v>
      </c>
      <c r="B22" t="s">
        <v>13</v>
      </c>
      <c r="C22" t="s">
        <v>132</v>
      </c>
      <c r="D22" t="s">
        <v>17</v>
      </c>
      <c r="E22" t="s">
        <v>169</v>
      </c>
      <c r="F22">
        <v>399190000</v>
      </c>
      <c r="G22" t="s">
        <v>131</v>
      </c>
      <c r="H22" t="s">
        <v>81</v>
      </c>
      <c r="I22" t="s">
        <v>9</v>
      </c>
      <c r="L22" t="s">
        <v>161</v>
      </c>
      <c r="M22">
        <v>-399190000</v>
      </c>
    </row>
    <row r="23" spans="1:13" x14ac:dyDescent="0.3">
      <c r="A23" s="23">
        <v>45422</v>
      </c>
      <c r="B23" t="s">
        <v>13</v>
      </c>
      <c r="C23" t="s">
        <v>132</v>
      </c>
      <c r="D23" t="s">
        <v>17</v>
      </c>
      <c r="E23" t="s">
        <v>169</v>
      </c>
      <c r="F23">
        <v>399190000</v>
      </c>
      <c r="G23" t="s">
        <v>131</v>
      </c>
      <c r="H23" t="s">
        <v>81</v>
      </c>
      <c r="I23" t="s">
        <v>9</v>
      </c>
      <c r="L23" t="s">
        <v>161</v>
      </c>
      <c r="M23">
        <v>-399190000</v>
      </c>
    </row>
    <row r="24" spans="1:13" x14ac:dyDescent="0.3">
      <c r="A24" s="23">
        <v>45426</v>
      </c>
      <c r="B24" t="s">
        <v>13</v>
      </c>
      <c r="C24" t="s">
        <v>132</v>
      </c>
      <c r="D24" t="s">
        <v>17</v>
      </c>
      <c r="E24" t="s">
        <v>169</v>
      </c>
      <c r="F24">
        <v>398703702</v>
      </c>
      <c r="G24" t="s">
        <v>131</v>
      </c>
      <c r="H24" t="s">
        <v>81</v>
      </c>
      <c r="I24" t="s">
        <v>9</v>
      </c>
      <c r="L24" t="s">
        <v>161</v>
      </c>
      <c r="M24">
        <v>-398703702</v>
      </c>
    </row>
    <row r="25" spans="1:13" x14ac:dyDescent="0.3">
      <c r="A25" s="23">
        <v>45589</v>
      </c>
      <c r="B25" t="s">
        <v>13</v>
      </c>
      <c r="C25" t="s">
        <v>132</v>
      </c>
      <c r="D25" t="s">
        <v>17</v>
      </c>
      <c r="E25" t="s">
        <v>180</v>
      </c>
      <c r="F25">
        <v>395705113.87</v>
      </c>
      <c r="G25" t="s">
        <v>181</v>
      </c>
      <c r="H25" t="s">
        <v>81</v>
      </c>
      <c r="I25" t="s">
        <v>9</v>
      </c>
      <c r="L25" t="s">
        <v>161</v>
      </c>
      <c r="M25">
        <v>-395705113.87</v>
      </c>
    </row>
    <row r="26" spans="1:13" x14ac:dyDescent="0.3">
      <c r="A26" s="23">
        <v>45757</v>
      </c>
      <c r="B26" t="s">
        <v>13</v>
      </c>
      <c r="C26" t="s">
        <v>132</v>
      </c>
      <c r="D26" t="s">
        <v>17</v>
      </c>
      <c r="E26" t="s">
        <v>193</v>
      </c>
      <c r="F26">
        <v>368100000</v>
      </c>
      <c r="G26" t="s">
        <v>131</v>
      </c>
      <c r="H26" t="s">
        <v>81</v>
      </c>
      <c r="I26" t="s">
        <v>9</v>
      </c>
      <c r="L26" t="s">
        <v>161</v>
      </c>
      <c r="M26">
        <v>-368100000</v>
      </c>
    </row>
    <row r="27" spans="1:13" x14ac:dyDescent="0.3">
      <c r="A27" s="23">
        <v>45247</v>
      </c>
      <c r="B27" t="s">
        <v>13</v>
      </c>
      <c r="C27" t="s">
        <v>132</v>
      </c>
      <c r="D27" t="s">
        <v>17</v>
      </c>
      <c r="E27" t="s">
        <v>136</v>
      </c>
      <c r="F27">
        <v>355071540.88</v>
      </c>
      <c r="G27" t="s">
        <v>134</v>
      </c>
      <c r="H27" t="s">
        <v>81</v>
      </c>
      <c r="I27" t="s">
        <v>9</v>
      </c>
      <c r="L27" t="s">
        <v>161</v>
      </c>
      <c r="M27">
        <v>-355071540.88</v>
      </c>
    </row>
    <row r="28" spans="1:13" x14ac:dyDescent="0.3">
      <c r="A28" s="23">
        <v>45635</v>
      </c>
      <c r="B28" t="s">
        <v>13</v>
      </c>
      <c r="C28" t="s">
        <v>132</v>
      </c>
      <c r="D28" t="s">
        <v>17</v>
      </c>
      <c r="E28" t="s">
        <v>136</v>
      </c>
      <c r="F28">
        <v>346237925.47000003</v>
      </c>
      <c r="G28" t="s">
        <v>134</v>
      </c>
      <c r="H28" t="s">
        <v>81</v>
      </c>
      <c r="I28" t="s">
        <v>9</v>
      </c>
      <c r="L28" t="s">
        <v>161</v>
      </c>
      <c r="M28">
        <v>-346237925.47000003</v>
      </c>
    </row>
    <row r="29" spans="1:13" x14ac:dyDescent="0.3">
      <c r="A29" s="23">
        <v>45316</v>
      </c>
      <c r="B29" t="s">
        <v>13</v>
      </c>
      <c r="C29" t="s">
        <v>132</v>
      </c>
      <c r="D29" t="s">
        <v>17</v>
      </c>
      <c r="E29" t="s">
        <v>41</v>
      </c>
      <c r="F29">
        <v>318300000</v>
      </c>
      <c r="G29" t="s">
        <v>26</v>
      </c>
      <c r="H29" t="s">
        <v>81</v>
      </c>
      <c r="I29" t="s">
        <v>9</v>
      </c>
      <c r="L29" t="s">
        <v>161</v>
      </c>
      <c r="M29">
        <v>-318300000</v>
      </c>
    </row>
    <row r="30" spans="1:13" x14ac:dyDescent="0.3">
      <c r="A30" s="23">
        <v>45320</v>
      </c>
      <c r="B30" t="s">
        <v>13</v>
      </c>
      <c r="C30" t="s">
        <v>132</v>
      </c>
      <c r="D30" t="s">
        <v>17</v>
      </c>
      <c r="E30" t="s">
        <v>136</v>
      </c>
      <c r="F30">
        <v>318000000</v>
      </c>
      <c r="G30" t="s">
        <v>134</v>
      </c>
      <c r="H30" t="s">
        <v>81</v>
      </c>
      <c r="I30" t="s">
        <v>9</v>
      </c>
      <c r="L30" t="s">
        <v>161</v>
      </c>
      <c r="M30">
        <v>-318000000</v>
      </c>
    </row>
    <row r="31" spans="1:13" x14ac:dyDescent="0.3">
      <c r="A31" s="23">
        <v>45636</v>
      </c>
      <c r="B31" t="s">
        <v>13</v>
      </c>
      <c r="C31" t="s">
        <v>132</v>
      </c>
      <c r="D31" t="s">
        <v>17</v>
      </c>
      <c r="E31" t="s">
        <v>136</v>
      </c>
      <c r="F31">
        <v>316934535</v>
      </c>
      <c r="G31" t="s">
        <v>134</v>
      </c>
      <c r="H31" t="s">
        <v>81</v>
      </c>
      <c r="I31" t="s">
        <v>9</v>
      </c>
      <c r="L31" t="s">
        <v>161</v>
      </c>
      <c r="M31">
        <v>-316934535</v>
      </c>
    </row>
    <row r="32" spans="1:13" x14ac:dyDescent="0.3">
      <c r="A32" s="23">
        <v>45636</v>
      </c>
      <c r="B32" t="s">
        <v>13</v>
      </c>
      <c r="C32" t="s">
        <v>132</v>
      </c>
      <c r="D32" t="s">
        <v>17</v>
      </c>
      <c r="E32" t="s">
        <v>136</v>
      </c>
      <c r="F32">
        <v>312232769</v>
      </c>
      <c r="G32" t="s">
        <v>134</v>
      </c>
      <c r="H32" t="s">
        <v>81</v>
      </c>
      <c r="I32" t="s">
        <v>9</v>
      </c>
      <c r="L32" t="s">
        <v>161</v>
      </c>
      <c r="M32">
        <v>-312232769</v>
      </c>
    </row>
    <row r="33" spans="1:13" x14ac:dyDescent="0.3">
      <c r="A33" s="23">
        <v>45593</v>
      </c>
      <c r="B33" t="s">
        <v>13</v>
      </c>
      <c r="C33" t="s">
        <v>132</v>
      </c>
      <c r="D33" t="s">
        <v>17</v>
      </c>
      <c r="E33" t="s">
        <v>41</v>
      </c>
      <c r="F33">
        <v>310200000</v>
      </c>
      <c r="G33" t="s">
        <v>26</v>
      </c>
      <c r="H33" t="s">
        <v>81</v>
      </c>
      <c r="I33" t="s">
        <v>9</v>
      </c>
      <c r="L33" t="s">
        <v>161</v>
      </c>
      <c r="M33">
        <v>-310200000</v>
      </c>
    </row>
    <row r="34" spans="1:13" x14ac:dyDescent="0.3">
      <c r="A34" s="23">
        <v>45450</v>
      </c>
      <c r="B34" t="s">
        <v>13</v>
      </c>
      <c r="C34" t="s">
        <v>132</v>
      </c>
      <c r="D34" t="s">
        <v>17</v>
      </c>
      <c r="E34" t="s">
        <v>136</v>
      </c>
      <c r="F34">
        <v>305000000</v>
      </c>
      <c r="G34" t="s">
        <v>134</v>
      </c>
      <c r="H34" t="s">
        <v>81</v>
      </c>
      <c r="I34" t="s">
        <v>9</v>
      </c>
      <c r="L34" t="s">
        <v>161</v>
      </c>
      <c r="M34">
        <v>-305000000</v>
      </c>
    </row>
    <row r="35" spans="1:13" x14ac:dyDescent="0.3">
      <c r="A35" s="23">
        <v>45328</v>
      </c>
      <c r="B35" t="s">
        <v>13</v>
      </c>
      <c r="C35" t="s">
        <v>132</v>
      </c>
      <c r="D35" t="s">
        <v>17</v>
      </c>
      <c r="E35" t="s">
        <v>136</v>
      </c>
      <c r="F35">
        <v>304100000</v>
      </c>
      <c r="G35" t="s">
        <v>134</v>
      </c>
      <c r="H35" t="s">
        <v>81</v>
      </c>
      <c r="I35" t="s">
        <v>9</v>
      </c>
      <c r="L35" t="s">
        <v>161</v>
      </c>
      <c r="M35">
        <v>-304100000</v>
      </c>
    </row>
    <row r="36" spans="1:13" x14ac:dyDescent="0.3">
      <c r="A36" s="23">
        <v>45593</v>
      </c>
      <c r="B36" t="s">
        <v>13</v>
      </c>
      <c r="C36" t="s">
        <v>132</v>
      </c>
      <c r="D36" t="s">
        <v>17</v>
      </c>
      <c r="E36" t="s">
        <v>46</v>
      </c>
      <c r="F36">
        <v>300000000</v>
      </c>
      <c r="G36" t="s">
        <v>28</v>
      </c>
      <c r="H36" t="s">
        <v>81</v>
      </c>
      <c r="I36" t="s">
        <v>9</v>
      </c>
      <c r="L36" t="s">
        <v>161</v>
      </c>
      <c r="M36">
        <v>-300000000</v>
      </c>
    </row>
    <row r="37" spans="1:13" x14ac:dyDescent="0.3">
      <c r="A37" s="23">
        <v>45593</v>
      </c>
      <c r="B37" t="s">
        <v>13</v>
      </c>
      <c r="C37" t="s">
        <v>132</v>
      </c>
      <c r="D37" t="s">
        <v>17</v>
      </c>
      <c r="E37" t="s">
        <v>48</v>
      </c>
      <c r="F37">
        <v>300000000</v>
      </c>
      <c r="G37" t="s">
        <v>29</v>
      </c>
      <c r="H37" t="s">
        <v>81</v>
      </c>
      <c r="I37" t="s">
        <v>9</v>
      </c>
      <c r="L37" t="s">
        <v>161</v>
      </c>
      <c r="M37">
        <v>-300000000</v>
      </c>
    </row>
    <row r="38" spans="1:13" x14ac:dyDescent="0.3">
      <c r="A38" s="23">
        <v>45082</v>
      </c>
      <c r="B38" t="s">
        <v>13</v>
      </c>
      <c r="C38" t="s">
        <v>132</v>
      </c>
      <c r="D38" t="s">
        <v>17</v>
      </c>
      <c r="E38" t="s">
        <v>162</v>
      </c>
      <c r="F38">
        <v>300000000</v>
      </c>
      <c r="G38" t="s">
        <v>22</v>
      </c>
      <c r="H38" t="s">
        <v>81</v>
      </c>
      <c r="I38" t="s">
        <v>9</v>
      </c>
      <c r="L38" t="s">
        <v>161</v>
      </c>
      <c r="M38">
        <v>-300000000</v>
      </c>
    </row>
    <row r="39" spans="1:13" x14ac:dyDescent="0.3">
      <c r="A39" s="23">
        <v>45695</v>
      </c>
      <c r="B39" t="s">
        <v>13</v>
      </c>
      <c r="C39" t="s">
        <v>132</v>
      </c>
      <c r="D39" t="s">
        <v>17</v>
      </c>
      <c r="E39" t="s">
        <v>193</v>
      </c>
      <c r="F39">
        <v>300000000</v>
      </c>
      <c r="G39" t="s">
        <v>131</v>
      </c>
      <c r="H39" t="s">
        <v>81</v>
      </c>
      <c r="I39" t="s">
        <v>9</v>
      </c>
      <c r="L39" t="s">
        <v>161</v>
      </c>
      <c r="M39">
        <v>-300000000</v>
      </c>
    </row>
    <row r="40" spans="1:13" x14ac:dyDescent="0.3">
      <c r="A40" s="23">
        <v>45266</v>
      </c>
      <c r="B40" t="s">
        <v>13</v>
      </c>
      <c r="C40" t="s">
        <v>132</v>
      </c>
      <c r="D40" t="s">
        <v>17</v>
      </c>
      <c r="E40" t="s">
        <v>46</v>
      </c>
      <c r="F40">
        <v>295300000</v>
      </c>
      <c r="G40" t="s">
        <v>28</v>
      </c>
      <c r="H40" t="s">
        <v>81</v>
      </c>
      <c r="I40" t="s">
        <v>9</v>
      </c>
      <c r="L40" t="s">
        <v>161</v>
      </c>
      <c r="M40">
        <v>-295300000</v>
      </c>
    </row>
    <row r="41" spans="1:13" x14ac:dyDescent="0.3">
      <c r="A41" s="23">
        <v>45728</v>
      </c>
      <c r="B41" t="s">
        <v>13</v>
      </c>
      <c r="C41" t="s">
        <v>132</v>
      </c>
      <c r="D41" t="s">
        <v>17</v>
      </c>
      <c r="E41" t="s">
        <v>136</v>
      </c>
      <c r="F41">
        <v>268012624.05000001</v>
      </c>
      <c r="G41" t="s">
        <v>134</v>
      </c>
      <c r="H41" t="s">
        <v>81</v>
      </c>
      <c r="I41" t="s">
        <v>9</v>
      </c>
      <c r="L41" t="s">
        <v>161</v>
      </c>
      <c r="M41">
        <v>-268012624.05000001</v>
      </c>
    </row>
    <row r="42" spans="1:13" x14ac:dyDescent="0.3">
      <c r="A42" s="23">
        <v>45644</v>
      </c>
      <c r="B42" t="s">
        <v>13</v>
      </c>
      <c r="C42" t="s">
        <v>132</v>
      </c>
      <c r="D42" t="s">
        <v>17</v>
      </c>
      <c r="E42" t="s">
        <v>193</v>
      </c>
      <c r="F42">
        <v>258065752.46000001</v>
      </c>
      <c r="G42" t="s">
        <v>131</v>
      </c>
      <c r="H42" t="s">
        <v>81</v>
      </c>
      <c r="I42" t="s">
        <v>9</v>
      </c>
      <c r="L42" t="s">
        <v>161</v>
      </c>
      <c r="M42">
        <v>-258065752.46000001</v>
      </c>
    </row>
    <row r="43" spans="1:13" x14ac:dyDescent="0.3">
      <c r="A43" s="23">
        <v>45078</v>
      </c>
      <c r="B43" t="s">
        <v>13</v>
      </c>
      <c r="C43" t="s">
        <v>132</v>
      </c>
      <c r="D43" t="s">
        <v>17</v>
      </c>
      <c r="E43" t="s">
        <v>46</v>
      </c>
      <c r="F43">
        <v>257000000</v>
      </c>
      <c r="G43" t="s">
        <v>28</v>
      </c>
      <c r="H43" t="s">
        <v>81</v>
      </c>
      <c r="I43" t="s">
        <v>9</v>
      </c>
      <c r="L43" t="s">
        <v>161</v>
      </c>
      <c r="M43">
        <v>-257000000</v>
      </c>
    </row>
    <row r="44" spans="1:13" x14ac:dyDescent="0.3">
      <c r="A44" s="23">
        <v>45695</v>
      </c>
      <c r="B44" t="s">
        <v>13</v>
      </c>
      <c r="C44" t="s">
        <v>132</v>
      </c>
      <c r="D44" t="s">
        <v>17</v>
      </c>
      <c r="E44" t="s">
        <v>195</v>
      </c>
      <c r="F44">
        <v>256863315</v>
      </c>
      <c r="G44" t="s">
        <v>134</v>
      </c>
      <c r="H44" t="s">
        <v>81</v>
      </c>
      <c r="I44" t="s">
        <v>9</v>
      </c>
      <c r="L44" t="s">
        <v>161</v>
      </c>
      <c r="M44">
        <v>-256863315</v>
      </c>
    </row>
    <row r="45" spans="1:13" x14ac:dyDescent="0.3">
      <c r="A45" s="23">
        <v>45217</v>
      </c>
      <c r="B45" t="s">
        <v>13</v>
      </c>
      <c r="C45" t="s">
        <v>132</v>
      </c>
      <c r="D45" t="s">
        <v>17</v>
      </c>
      <c r="E45" t="s">
        <v>169</v>
      </c>
      <c r="F45">
        <v>253800725.66999999</v>
      </c>
      <c r="G45" t="s">
        <v>131</v>
      </c>
      <c r="H45" t="s">
        <v>81</v>
      </c>
      <c r="I45" t="s">
        <v>9</v>
      </c>
      <c r="L45" t="s">
        <v>161</v>
      </c>
      <c r="M45">
        <v>-253800725.66999999</v>
      </c>
    </row>
    <row r="46" spans="1:13" x14ac:dyDescent="0.3">
      <c r="A46" s="23">
        <v>45453</v>
      </c>
      <c r="B46" t="s">
        <v>13</v>
      </c>
      <c r="C46" t="s">
        <v>132</v>
      </c>
      <c r="D46" t="s">
        <v>17</v>
      </c>
      <c r="E46" t="s">
        <v>136</v>
      </c>
      <c r="F46">
        <v>240000000</v>
      </c>
      <c r="G46" t="s">
        <v>134</v>
      </c>
      <c r="H46" t="s">
        <v>81</v>
      </c>
      <c r="I46" t="s">
        <v>9</v>
      </c>
      <c r="L46" t="s">
        <v>161</v>
      </c>
      <c r="M46">
        <v>-240000000</v>
      </c>
    </row>
    <row r="47" spans="1:13" x14ac:dyDescent="0.3">
      <c r="A47" s="23">
        <v>45387</v>
      </c>
      <c r="B47" t="s">
        <v>13</v>
      </c>
      <c r="C47" t="s">
        <v>132</v>
      </c>
      <c r="D47" t="s">
        <v>17</v>
      </c>
      <c r="E47" t="s">
        <v>136</v>
      </c>
      <c r="F47">
        <v>237194520</v>
      </c>
      <c r="G47" t="s">
        <v>134</v>
      </c>
      <c r="H47" t="s">
        <v>81</v>
      </c>
      <c r="I47" t="s">
        <v>9</v>
      </c>
      <c r="L47" t="s">
        <v>161</v>
      </c>
      <c r="M47">
        <v>-237194520</v>
      </c>
    </row>
    <row r="48" spans="1:13" x14ac:dyDescent="0.3">
      <c r="A48" s="23">
        <v>45621</v>
      </c>
      <c r="B48" t="s">
        <v>13</v>
      </c>
      <c r="C48" t="s">
        <v>132</v>
      </c>
      <c r="D48" t="s">
        <v>17</v>
      </c>
      <c r="E48" t="s">
        <v>169</v>
      </c>
      <c r="F48">
        <v>236516946</v>
      </c>
      <c r="G48" t="s">
        <v>131</v>
      </c>
      <c r="H48" t="s">
        <v>81</v>
      </c>
      <c r="I48" t="s">
        <v>9</v>
      </c>
      <c r="L48" t="s">
        <v>161</v>
      </c>
      <c r="M48">
        <v>-236516946</v>
      </c>
    </row>
    <row r="49" spans="1:13" x14ac:dyDescent="0.3">
      <c r="A49" s="23">
        <v>45324</v>
      </c>
      <c r="B49" t="s">
        <v>13</v>
      </c>
      <c r="C49" t="s">
        <v>132</v>
      </c>
      <c r="D49" t="s">
        <v>17</v>
      </c>
      <c r="E49" t="s">
        <v>136</v>
      </c>
      <c r="F49">
        <v>211951914.69999999</v>
      </c>
      <c r="G49" t="s">
        <v>134</v>
      </c>
      <c r="H49" t="s">
        <v>81</v>
      </c>
      <c r="I49" t="s">
        <v>9</v>
      </c>
      <c r="L49" t="s">
        <v>161</v>
      </c>
      <c r="M49">
        <v>-211951914.69999999</v>
      </c>
    </row>
    <row r="50" spans="1:13" x14ac:dyDescent="0.3">
      <c r="A50" s="23">
        <v>45513</v>
      </c>
      <c r="B50" t="s">
        <v>13</v>
      </c>
      <c r="C50" t="s">
        <v>132</v>
      </c>
      <c r="D50" t="s">
        <v>17</v>
      </c>
      <c r="E50" t="s">
        <v>136</v>
      </c>
      <c r="F50">
        <v>211728451</v>
      </c>
      <c r="G50" t="s">
        <v>134</v>
      </c>
      <c r="H50" t="s">
        <v>81</v>
      </c>
      <c r="I50" t="s">
        <v>9</v>
      </c>
      <c r="L50" t="s">
        <v>161</v>
      </c>
      <c r="M50">
        <v>-211728451</v>
      </c>
    </row>
    <row r="51" spans="1:13" x14ac:dyDescent="0.3">
      <c r="A51" s="23">
        <v>45425</v>
      </c>
      <c r="B51" t="s">
        <v>13</v>
      </c>
      <c r="C51" t="s">
        <v>132</v>
      </c>
      <c r="D51" t="s">
        <v>17</v>
      </c>
      <c r="E51" t="s">
        <v>136</v>
      </c>
      <c r="F51">
        <v>210000000</v>
      </c>
      <c r="G51" t="s">
        <v>134</v>
      </c>
      <c r="H51" t="s">
        <v>81</v>
      </c>
      <c r="I51" t="s">
        <v>9</v>
      </c>
      <c r="L51" t="s">
        <v>161</v>
      </c>
      <c r="M51">
        <v>-210000000</v>
      </c>
    </row>
    <row r="52" spans="1:13" x14ac:dyDescent="0.3">
      <c r="A52" s="23">
        <v>45344</v>
      </c>
      <c r="B52" t="s">
        <v>13</v>
      </c>
      <c r="C52" t="s">
        <v>132</v>
      </c>
      <c r="D52" t="s">
        <v>17</v>
      </c>
      <c r="E52" t="s">
        <v>180</v>
      </c>
      <c r="F52">
        <v>203050000</v>
      </c>
      <c r="G52" t="s">
        <v>181</v>
      </c>
      <c r="H52" t="s">
        <v>81</v>
      </c>
      <c r="I52" t="s">
        <v>9</v>
      </c>
      <c r="L52" t="s">
        <v>161</v>
      </c>
      <c r="M52">
        <v>-203050000</v>
      </c>
    </row>
    <row r="53" spans="1:13" x14ac:dyDescent="0.3">
      <c r="A53" s="23">
        <v>44837</v>
      </c>
      <c r="B53" t="s">
        <v>13</v>
      </c>
      <c r="C53" t="s">
        <v>132</v>
      </c>
      <c r="D53" t="s">
        <v>17</v>
      </c>
      <c r="E53" t="s">
        <v>41</v>
      </c>
      <c r="F53">
        <v>201402078.37</v>
      </c>
      <c r="G53" t="s">
        <v>26</v>
      </c>
      <c r="H53" t="s">
        <v>81</v>
      </c>
      <c r="I53" t="s">
        <v>9</v>
      </c>
      <c r="L53" t="s">
        <v>161</v>
      </c>
      <c r="M53">
        <v>-201402078.37</v>
      </c>
    </row>
    <row r="54" spans="1:13" x14ac:dyDescent="0.3">
      <c r="A54" s="23">
        <v>45317</v>
      </c>
      <c r="B54" t="s">
        <v>13</v>
      </c>
      <c r="C54" t="s">
        <v>132</v>
      </c>
      <c r="D54" t="s">
        <v>17</v>
      </c>
      <c r="E54" t="s">
        <v>169</v>
      </c>
      <c r="F54">
        <v>201000000</v>
      </c>
      <c r="G54" t="s">
        <v>131</v>
      </c>
      <c r="H54" t="s">
        <v>81</v>
      </c>
      <c r="I54" t="s">
        <v>9</v>
      </c>
      <c r="L54" t="s">
        <v>161</v>
      </c>
      <c r="M54">
        <v>-201000000</v>
      </c>
    </row>
    <row r="55" spans="1:13" x14ac:dyDescent="0.3">
      <c r="A55" s="23">
        <v>44837</v>
      </c>
      <c r="B55" t="s">
        <v>13</v>
      </c>
      <c r="C55" t="s">
        <v>132</v>
      </c>
      <c r="D55" t="s">
        <v>17</v>
      </c>
      <c r="E55" t="s">
        <v>48</v>
      </c>
      <c r="F55">
        <v>200594691.43000004</v>
      </c>
      <c r="G55" t="s">
        <v>29</v>
      </c>
      <c r="H55" t="s">
        <v>81</v>
      </c>
      <c r="I55" t="s">
        <v>9</v>
      </c>
      <c r="L55" t="s">
        <v>161</v>
      </c>
      <c r="M55">
        <v>-200594691.43000001</v>
      </c>
    </row>
    <row r="56" spans="1:13" x14ac:dyDescent="0.3">
      <c r="A56" s="23">
        <v>45509</v>
      </c>
      <c r="B56" t="s">
        <v>13</v>
      </c>
      <c r="C56" t="s">
        <v>132</v>
      </c>
      <c r="D56" t="s">
        <v>17</v>
      </c>
      <c r="E56" t="s">
        <v>136</v>
      </c>
      <c r="F56">
        <v>200000000</v>
      </c>
      <c r="G56" t="s">
        <v>134</v>
      </c>
      <c r="H56" t="s">
        <v>81</v>
      </c>
      <c r="I56" t="s">
        <v>9</v>
      </c>
      <c r="L56" t="s">
        <v>161</v>
      </c>
      <c r="M56">
        <v>-200000000</v>
      </c>
    </row>
    <row r="57" spans="1:13" x14ac:dyDescent="0.3">
      <c r="A57" s="23">
        <v>45477</v>
      </c>
      <c r="B57" t="s">
        <v>13</v>
      </c>
      <c r="C57" t="s">
        <v>132</v>
      </c>
      <c r="D57" t="s">
        <v>17</v>
      </c>
      <c r="E57" t="s">
        <v>136</v>
      </c>
      <c r="F57">
        <v>200000000</v>
      </c>
      <c r="G57" t="s">
        <v>134</v>
      </c>
      <c r="H57" t="s">
        <v>81</v>
      </c>
      <c r="I57" t="s">
        <v>9</v>
      </c>
      <c r="L57" t="s">
        <v>161</v>
      </c>
      <c r="M57">
        <v>-200000000</v>
      </c>
    </row>
    <row r="58" spans="1:13" x14ac:dyDescent="0.3">
      <c r="A58" s="23">
        <v>45419</v>
      </c>
      <c r="B58" t="s">
        <v>13</v>
      </c>
      <c r="C58" t="s">
        <v>132</v>
      </c>
      <c r="D58" t="s">
        <v>17</v>
      </c>
      <c r="E58" t="s">
        <v>136</v>
      </c>
      <c r="F58">
        <v>200000000</v>
      </c>
      <c r="G58" t="s">
        <v>134</v>
      </c>
      <c r="H58" t="s">
        <v>81</v>
      </c>
      <c r="I58" t="s">
        <v>9</v>
      </c>
      <c r="L58" t="s">
        <v>161</v>
      </c>
      <c r="M58">
        <v>-200000000</v>
      </c>
    </row>
    <row r="59" spans="1:13" x14ac:dyDescent="0.3">
      <c r="A59" s="23">
        <v>45356</v>
      </c>
      <c r="B59" t="s">
        <v>13</v>
      </c>
      <c r="C59" t="s">
        <v>132</v>
      </c>
      <c r="D59" t="s">
        <v>17</v>
      </c>
      <c r="E59" t="s">
        <v>136</v>
      </c>
      <c r="F59">
        <v>200000000</v>
      </c>
      <c r="G59" t="s">
        <v>134</v>
      </c>
      <c r="H59" t="s">
        <v>81</v>
      </c>
      <c r="I59" t="s">
        <v>9</v>
      </c>
      <c r="L59" t="s">
        <v>161</v>
      </c>
      <c r="M59">
        <v>-200000000</v>
      </c>
    </row>
    <row r="60" spans="1:13" x14ac:dyDescent="0.3">
      <c r="A60" s="23">
        <v>45330</v>
      </c>
      <c r="B60" t="s">
        <v>13</v>
      </c>
      <c r="C60" t="s">
        <v>132</v>
      </c>
      <c r="D60" t="s">
        <v>17</v>
      </c>
      <c r="E60" t="s">
        <v>136</v>
      </c>
      <c r="F60">
        <v>200000000</v>
      </c>
      <c r="G60" t="s">
        <v>134</v>
      </c>
      <c r="H60" t="s">
        <v>81</v>
      </c>
      <c r="I60" t="s">
        <v>9</v>
      </c>
      <c r="L60" t="s">
        <v>161</v>
      </c>
      <c r="M60">
        <v>-200000000</v>
      </c>
    </row>
    <row r="61" spans="1:13" x14ac:dyDescent="0.3">
      <c r="A61" s="23">
        <v>45188</v>
      </c>
      <c r="B61" t="s">
        <v>13</v>
      </c>
      <c r="C61" t="s">
        <v>132</v>
      </c>
      <c r="D61" t="s">
        <v>17</v>
      </c>
      <c r="E61" t="s">
        <v>136</v>
      </c>
      <c r="F61">
        <v>200000000</v>
      </c>
      <c r="G61" t="s">
        <v>134</v>
      </c>
      <c r="H61" t="s">
        <v>81</v>
      </c>
      <c r="I61" t="s">
        <v>9</v>
      </c>
      <c r="L61" t="s">
        <v>161</v>
      </c>
      <c r="M61">
        <v>-200000000</v>
      </c>
    </row>
    <row r="62" spans="1:13" x14ac:dyDescent="0.3">
      <c r="A62" s="23">
        <v>45317</v>
      </c>
      <c r="B62" t="s">
        <v>13</v>
      </c>
      <c r="C62" t="s">
        <v>132</v>
      </c>
      <c r="D62" t="s">
        <v>17</v>
      </c>
      <c r="E62" t="s">
        <v>169</v>
      </c>
      <c r="F62">
        <v>200000000</v>
      </c>
      <c r="G62" t="s">
        <v>131</v>
      </c>
      <c r="H62" t="s">
        <v>81</v>
      </c>
      <c r="I62" t="s">
        <v>9</v>
      </c>
      <c r="L62" t="s">
        <v>161</v>
      </c>
      <c r="M62">
        <v>-200000000</v>
      </c>
    </row>
    <row r="63" spans="1:13" x14ac:dyDescent="0.3">
      <c r="A63" s="23">
        <v>45307</v>
      </c>
      <c r="B63" t="s">
        <v>13</v>
      </c>
      <c r="C63" t="s">
        <v>132</v>
      </c>
      <c r="D63" t="s">
        <v>17</v>
      </c>
      <c r="E63" t="s">
        <v>169</v>
      </c>
      <c r="F63">
        <v>200000000</v>
      </c>
      <c r="G63" t="s">
        <v>131</v>
      </c>
      <c r="H63" t="s">
        <v>81</v>
      </c>
      <c r="I63" t="s">
        <v>9</v>
      </c>
      <c r="L63" t="s">
        <v>161</v>
      </c>
      <c r="M63">
        <v>-200000000</v>
      </c>
    </row>
    <row r="64" spans="1:13" x14ac:dyDescent="0.3">
      <c r="A64" s="23">
        <v>45188</v>
      </c>
      <c r="B64" t="s">
        <v>13</v>
      </c>
      <c r="C64" t="s">
        <v>132</v>
      </c>
      <c r="D64" t="s">
        <v>17</v>
      </c>
      <c r="E64" t="s">
        <v>169</v>
      </c>
      <c r="F64">
        <v>200000000</v>
      </c>
      <c r="G64" t="s">
        <v>131</v>
      </c>
      <c r="H64" t="s">
        <v>81</v>
      </c>
      <c r="I64" t="s">
        <v>9</v>
      </c>
      <c r="L64" t="s">
        <v>161</v>
      </c>
      <c r="M64">
        <v>-200000000</v>
      </c>
    </row>
    <row r="65" spans="1:13" x14ac:dyDescent="0.3">
      <c r="A65" s="23">
        <v>45357</v>
      </c>
      <c r="B65" t="s">
        <v>13</v>
      </c>
      <c r="C65" t="s">
        <v>132</v>
      </c>
      <c r="D65" t="s">
        <v>17</v>
      </c>
      <c r="E65" t="s">
        <v>180</v>
      </c>
      <c r="F65">
        <v>200000000</v>
      </c>
      <c r="G65" t="s">
        <v>181</v>
      </c>
      <c r="H65" t="s">
        <v>81</v>
      </c>
      <c r="I65" t="s">
        <v>9</v>
      </c>
      <c r="L65" t="s">
        <v>161</v>
      </c>
      <c r="M65">
        <v>-200000000</v>
      </c>
    </row>
    <row r="66" spans="1:13" x14ac:dyDescent="0.3">
      <c r="A66" s="23">
        <v>45359</v>
      </c>
      <c r="B66" t="s">
        <v>13</v>
      </c>
      <c r="C66" t="s">
        <v>132</v>
      </c>
      <c r="D66" t="s">
        <v>17</v>
      </c>
      <c r="E66" t="s">
        <v>136</v>
      </c>
      <c r="F66">
        <v>199820000</v>
      </c>
      <c r="G66" t="s">
        <v>134</v>
      </c>
      <c r="H66" t="s">
        <v>81</v>
      </c>
      <c r="I66" t="s">
        <v>9</v>
      </c>
      <c r="L66" t="s">
        <v>161</v>
      </c>
      <c r="M66">
        <v>-199820000</v>
      </c>
    </row>
    <row r="67" spans="1:13" x14ac:dyDescent="0.3">
      <c r="A67" s="23">
        <v>45427</v>
      </c>
      <c r="B67" t="s">
        <v>13</v>
      </c>
      <c r="C67" t="s">
        <v>132</v>
      </c>
      <c r="D67" t="s">
        <v>17</v>
      </c>
      <c r="E67" t="s">
        <v>169</v>
      </c>
      <c r="F67">
        <v>199432912</v>
      </c>
      <c r="G67" t="s">
        <v>131</v>
      </c>
      <c r="H67" t="s">
        <v>81</v>
      </c>
      <c r="I67" t="s">
        <v>9</v>
      </c>
      <c r="L67" t="s">
        <v>161</v>
      </c>
      <c r="M67">
        <v>-199432912</v>
      </c>
    </row>
    <row r="68" spans="1:13" x14ac:dyDescent="0.3">
      <c r="A68" s="23">
        <v>45428</v>
      </c>
      <c r="B68" t="s">
        <v>13</v>
      </c>
      <c r="C68" t="s">
        <v>132</v>
      </c>
      <c r="D68" t="s">
        <v>17</v>
      </c>
      <c r="E68" t="s">
        <v>169</v>
      </c>
      <c r="F68">
        <v>199243589</v>
      </c>
      <c r="G68" t="s">
        <v>131</v>
      </c>
      <c r="H68" t="s">
        <v>81</v>
      </c>
      <c r="I68" t="s">
        <v>9</v>
      </c>
      <c r="L68" t="s">
        <v>161</v>
      </c>
      <c r="M68">
        <v>-199243589</v>
      </c>
    </row>
    <row r="69" spans="1:13" x14ac:dyDescent="0.3">
      <c r="A69" s="23">
        <v>45330</v>
      </c>
      <c r="B69" t="s">
        <v>13</v>
      </c>
      <c r="C69" t="s">
        <v>132</v>
      </c>
      <c r="D69" t="s">
        <v>17</v>
      </c>
      <c r="E69" t="s">
        <v>169</v>
      </c>
      <c r="F69">
        <v>199000000</v>
      </c>
      <c r="G69" t="s">
        <v>131</v>
      </c>
      <c r="H69" t="s">
        <v>81</v>
      </c>
      <c r="I69" t="s">
        <v>9</v>
      </c>
      <c r="L69" t="s">
        <v>161</v>
      </c>
      <c r="M69">
        <v>-199000000</v>
      </c>
    </row>
    <row r="70" spans="1:13" x14ac:dyDescent="0.3">
      <c r="A70" s="23">
        <v>45328</v>
      </c>
      <c r="B70" t="s">
        <v>13</v>
      </c>
      <c r="C70" t="s">
        <v>132</v>
      </c>
      <c r="D70" t="s">
        <v>17</v>
      </c>
      <c r="E70" t="s">
        <v>169</v>
      </c>
      <c r="F70">
        <v>199000000</v>
      </c>
      <c r="G70" t="s">
        <v>131</v>
      </c>
      <c r="H70" t="s">
        <v>81</v>
      </c>
      <c r="I70" t="s">
        <v>9</v>
      </c>
      <c r="L70" t="s">
        <v>161</v>
      </c>
      <c r="M70">
        <v>-199000000</v>
      </c>
    </row>
    <row r="71" spans="1:13" x14ac:dyDescent="0.3">
      <c r="A71" s="23">
        <v>45331</v>
      </c>
      <c r="B71" t="s">
        <v>13</v>
      </c>
      <c r="C71" t="s">
        <v>132</v>
      </c>
      <c r="D71" t="s">
        <v>17</v>
      </c>
      <c r="E71" t="s">
        <v>169</v>
      </c>
      <c r="F71">
        <v>198300000</v>
      </c>
      <c r="G71" t="s">
        <v>131</v>
      </c>
      <c r="H71" t="s">
        <v>81</v>
      </c>
      <c r="I71" t="s">
        <v>9</v>
      </c>
      <c r="L71" t="s">
        <v>161</v>
      </c>
      <c r="M71">
        <v>-198300000</v>
      </c>
    </row>
    <row r="72" spans="1:13" x14ac:dyDescent="0.3">
      <c r="A72" s="23">
        <v>45355</v>
      </c>
      <c r="B72" t="s">
        <v>13</v>
      </c>
      <c r="C72" t="s">
        <v>132</v>
      </c>
      <c r="D72" t="s">
        <v>17</v>
      </c>
      <c r="E72" t="s">
        <v>169</v>
      </c>
      <c r="F72">
        <v>198000000</v>
      </c>
      <c r="G72" t="s">
        <v>131</v>
      </c>
      <c r="H72" t="s">
        <v>81</v>
      </c>
      <c r="I72" t="s">
        <v>9</v>
      </c>
      <c r="L72" t="s">
        <v>161</v>
      </c>
      <c r="M72">
        <v>-198000000</v>
      </c>
    </row>
    <row r="73" spans="1:13" x14ac:dyDescent="0.3">
      <c r="A73" s="23">
        <v>45362</v>
      </c>
      <c r="B73" t="s">
        <v>13</v>
      </c>
      <c r="C73" t="s">
        <v>132</v>
      </c>
      <c r="D73" t="s">
        <v>17</v>
      </c>
      <c r="E73" t="s">
        <v>169</v>
      </c>
      <c r="F73">
        <v>196650000</v>
      </c>
      <c r="G73" t="s">
        <v>131</v>
      </c>
      <c r="H73" t="s">
        <v>81</v>
      </c>
      <c r="I73" t="s">
        <v>9</v>
      </c>
      <c r="L73" t="s">
        <v>161</v>
      </c>
      <c r="M73">
        <v>-196650000</v>
      </c>
    </row>
    <row r="74" spans="1:13" x14ac:dyDescent="0.3">
      <c r="A74" s="23">
        <v>45323</v>
      </c>
      <c r="B74" t="s">
        <v>13</v>
      </c>
      <c r="C74" t="s">
        <v>132</v>
      </c>
      <c r="D74" t="s">
        <v>17</v>
      </c>
      <c r="E74" t="s">
        <v>169</v>
      </c>
      <c r="F74">
        <v>196000000</v>
      </c>
      <c r="G74" t="s">
        <v>131</v>
      </c>
      <c r="H74" t="s">
        <v>81</v>
      </c>
      <c r="I74" t="s">
        <v>9</v>
      </c>
      <c r="L74" t="s">
        <v>161</v>
      </c>
      <c r="M74">
        <v>-196000000</v>
      </c>
    </row>
    <row r="75" spans="1:13" x14ac:dyDescent="0.3">
      <c r="A75" s="23">
        <v>45316</v>
      </c>
      <c r="B75" t="s">
        <v>13</v>
      </c>
      <c r="C75" t="s">
        <v>143</v>
      </c>
      <c r="D75" t="s">
        <v>17</v>
      </c>
      <c r="E75" t="s">
        <v>149</v>
      </c>
      <c r="F75">
        <v>195045830.87</v>
      </c>
      <c r="G75" t="s">
        <v>140</v>
      </c>
      <c r="H75" t="s">
        <v>81</v>
      </c>
      <c r="I75" t="s">
        <v>9</v>
      </c>
      <c r="M75">
        <v>-195045830.87</v>
      </c>
    </row>
    <row r="76" spans="1:13" x14ac:dyDescent="0.3">
      <c r="A76" s="23">
        <v>45448</v>
      </c>
      <c r="B76" t="s">
        <v>13</v>
      </c>
      <c r="C76" t="s">
        <v>132</v>
      </c>
      <c r="D76" t="s">
        <v>17</v>
      </c>
      <c r="E76" t="s">
        <v>41</v>
      </c>
      <c r="F76">
        <v>192000000</v>
      </c>
      <c r="G76" t="s">
        <v>26</v>
      </c>
      <c r="H76" t="s">
        <v>81</v>
      </c>
      <c r="I76" t="s">
        <v>9</v>
      </c>
      <c r="L76" t="s">
        <v>161</v>
      </c>
      <c r="M76">
        <v>-192000000</v>
      </c>
    </row>
    <row r="77" spans="1:13" x14ac:dyDescent="0.3">
      <c r="A77" s="23">
        <v>45540</v>
      </c>
      <c r="B77" t="s">
        <v>13</v>
      </c>
      <c r="C77" t="s">
        <v>132</v>
      </c>
      <c r="D77" t="s">
        <v>17</v>
      </c>
      <c r="E77" t="s">
        <v>136</v>
      </c>
      <c r="F77">
        <v>191131027.18000001</v>
      </c>
      <c r="G77" t="s">
        <v>134</v>
      </c>
      <c r="H77" t="s">
        <v>81</v>
      </c>
      <c r="I77" t="s">
        <v>9</v>
      </c>
      <c r="L77" t="s">
        <v>161</v>
      </c>
      <c r="M77">
        <v>-191131027.18000001</v>
      </c>
    </row>
    <row r="78" spans="1:13" x14ac:dyDescent="0.3">
      <c r="A78" s="23">
        <v>45433</v>
      </c>
      <c r="B78" t="s">
        <v>13</v>
      </c>
      <c r="C78" t="s">
        <v>132</v>
      </c>
      <c r="D78" t="s">
        <v>17</v>
      </c>
      <c r="E78" t="s">
        <v>180</v>
      </c>
      <c r="F78">
        <v>190000000</v>
      </c>
      <c r="G78" t="s">
        <v>181</v>
      </c>
      <c r="H78" t="s">
        <v>81</v>
      </c>
      <c r="I78" t="s">
        <v>9</v>
      </c>
      <c r="L78" t="s">
        <v>161</v>
      </c>
      <c r="M78">
        <v>-190000000</v>
      </c>
    </row>
    <row r="79" spans="1:13" x14ac:dyDescent="0.3">
      <c r="A79" s="23">
        <v>45432</v>
      </c>
      <c r="B79" t="s">
        <v>13</v>
      </c>
      <c r="C79" t="s">
        <v>132</v>
      </c>
      <c r="D79" t="s">
        <v>17</v>
      </c>
      <c r="E79" t="s">
        <v>180</v>
      </c>
      <c r="F79">
        <v>190000000</v>
      </c>
      <c r="G79" t="s">
        <v>181</v>
      </c>
      <c r="H79" t="s">
        <v>81</v>
      </c>
      <c r="I79" t="s">
        <v>9</v>
      </c>
      <c r="L79" t="s">
        <v>161</v>
      </c>
      <c r="M79">
        <v>-190000000</v>
      </c>
    </row>
    <row r="80" spans="1:13" x14ac:dyDescent="0.3">
      <c r="A80" s="23">
        <v>45636</v>
      </c>
      <c r="B80" t="s">
        <v>13</v>
      </c>
      <c r="C80" t="s">
        <v>132</v>
      </c>
      <c r="D80" t="s">
        <v>17</v>
      </c>
      <c r="E80" t="s">
        <v>136</v>
      </c>
      <c r="F80">
        <v>188576088.99000001</v>
      </c>
      <c r="G80" t="s">
        <v>134</v>
      </c>
      <c r="H80" t="s">
        <v>81</v>
      </c>
      <c r="I80" t="s">
        <v>9</v>
      </c>
      <c r="L80" t="s">
        <v>161</v>
      </c>
      <c r="M80">
        <v>-188576088.99000001</v>
      </c>
    </row>
    <row r="81" spans="1:13" x14ac:dyDescent="0.3">
      <c r="A81" s="23">
        <v>45244</v>
      </c>
      <c r="B81" t="s">
        <v>13</v>
      </c>
      <c r="C81" t="s">
        <v>132</v>
      </c>
      <c r="D81" t="s">
        <v>17</v>
      </c>
      <c r="E81" t="s">
        <v>41</v>
      </c>
      <c r="F81">
        <v>187900000</v>
      </c>
      <c r="G81" t="s">
        <v>26</v>
      </c>
      <c r="H81" t="s">
        <v>81</v>
      </c>
      <c r="I81" t="s">
        <v>9</v>
      </c>
      <c r="L81" t="s">
        <v>161</v>
      </c>
      <c r="M81">
        <v>-187900000</v>
      </c>
    </row>
    <row r="82" spans="1:13" x14ac:dyDescent="0.3">
      <c r="A82" s="23">
        <v>45128</v>
      </c>
      <c r="B82" t="s">
        <v>13</v>
      </c>
      <c r="C82" t="s">
        <v>132</v>
      </c>
      <c r="D82" t="s">
        <v>17</v>
      </c>
      <c r="E82" t="s">
        <v>162</v>
      </c>
      <c r="F82">
        <v>185358429.08000001</v>
      </c>
      <c r="G82" t="s">
        <v>22</v>
      </c>
      <c r="H82" t="s">
        <v>81</v>
      </c>
      <c r="I82" t="s">
        <v>9</v>
      </c>
      <c r="L82" t="s">
        <v>161</v>
      </c>
      <c r="M82">
        <v>-185358429.08000001</v>
      </c>
    </row>
    <row r="83" spans="1:13" x14ac:dyDescent="0.3">
      <c r="A83" s="23">
        <v>45674</v>
      </c>
      <c r="B83" t="s">
        <v>13</v>
      </c>
      <c r="C83" t="s">
        <v>132</v>
      </c>
      <c r="D83" t="s">
        <v>17</v>
      </c>
      <c r="E83" t="s">
        <v>195</v>
      </c>
      <c r="F83">
        <v>179277464.84</v>
      </c>
      <c r="G83" t="s">
        <v>134</v>
      </c>
      <c r="H83" t="s">
        <v>81</v>
      </c>
      <c r="I83" t="s">
        <v>9</v>
      </c>
      <c r="L83" t="s">
        <v>161</v>
      </c>
      <c r="M83">
        <v>-179277464.84</v>
      </c>
    </row>
    <row r="84" spans="1:13" x14ac:dyDescent="0.3">
      <c r="A84" s="23">
        <v>45562</v>
      </c>
      <c r="B84" t="s">
        <v>13</v>
      </c>
      <c r="C84" t="s">
        <v>132</v>
      </c>
      <c r="D84" t="s">
        <v>17</v>
      </c>
      <c r="E84" t="s">
        <v>136</v>
      </c>
      <c r="F84">
        <v>178892725</v>
      </c>
      <c r="G84" t="s">
        <v>134</v>
      </c>
      <c r="H84" t="s">
        <v>81</v>
      </c>
      <c r="I84" t="s">
        <v>9</v>
      </c>
      <c r="L84" t="s">
        <v>161</v>
      </c>
      <c r="M84">
        <v>-178892725</v>
      </c>
    </row>
    <row r="85" spans="1:13" x14ac:dyDescent="0.3">
      <c r="A85" s="23">
        <v>45580</v>
      </c>
      <c r="B85" t="s">
        <v>13</v>
      </c>
      <c r="C85" t="s">
        <v>132</v>
      </c>
      <c r="D85" t="s">
        <v>17</v>
      </c>
      <c r="E85" t="s">
        <v>169</v>
      </c>
      <c r="F85">
        <v>177993631.87</v>
      </c>
      <c r="G85" t="s">
        <v>131</v>
      </c>
      <c r="H85" t="s">
        <v>81</v>
      </c>
      <c r="I85" t="s">
        <v>9</v>
      </c>
      <c r="L85" t="s">
        <v>161</v>
      </c>
      <c r="M85">
        <v>-177993631.87</v>
      </c>
    </row>
    <row r="86" spans="1:13" x14ac:dyDescent="0.3">
      <c r="A86" s="23">
        <v>45687</v>
      </c>
      <c r="B86" t="s">
        <v>13</v>
      </c>
      <c r="C86" t="s">
        <v>132</v>
      </c>
      <c r="D86" t="s">
        <v>17</v>
      </c>
      <c r="E86" t="s">
        <v>193</v>
      </c>
      <c r="F86">
        <v>174696551</v>
      </c>
      <c r="G86" t="s">
        <v>131</v>
      </c>
      <c r="H86" t="s">
        <v>81</v>
      </c>
      <c r="I86" t="s">
        <v>9</v>
      </c>
      <c r="L86" t="s">
        <v>161</v>
      </c>
      <c r="M86">
        <v>-174696551</v>
      </c>
    </row>
    <row r="87" spans="1:13" x14ac:dyDescent="0.3">
      <c r="A87" s="23">
        <v>45267</v>
      </c>
      <c r="B87" t="s">
        <v>13</v>
      </c>
      <c r="C87" t="s">
        <v>132</v>
      </c>
      <c r="D87" t="s">
        <v>17</v>
      </c>
      <c r="E87" t="s">
        <v>169</v>
      </c>
      <c r="F87">
        <v>172833289.72999999</v>
      </c>
      <c r="G87" t="s">
        <v>131</v>
      </c>
      <c r="H87" t="s">
        <v>81</v>
      </c>
      <c r="I87" t="s">
        <v>9</v>
      </c>
      <c r="L87" t="s">
        <v>161</v>
      </c>
      <c r="M87">
        <v>-172833289.72999999</v>
      </c>
    </row>
    <row r="88" spans="1:13" x14ac:dyDescent="0.3">
      <c r="A88" s="23">
        <v>45492</v>
      </c>
      <c r="B88" t="s">
        <v>13</v>
      </c>
      <c r="C88" t="s">
        <v>132</v>
      </c>
      <c r="D88" t="s">
        <v>17</v>
      </c>
      <c r="E88" t="s">
        <v>180</v>
      </c>
      <c r="F88">
        <v>172633718</v>
      </c>
      <c r="G88" t="s">
        <v>181</v>
      </c>
      <c r="H88" t="s">
        <v>81</v>
      </c>
      <c r="I88" t="s">
        <v>9</v>
      </c>
      <c r="L88" t="s">
        <v>161</v>
      </c>
      <c r="M88">
        <v>-172633718</v>
      </c>
    </row>
    <row r="89" spans="1:13" x14ac:dyDescent="0.3">
      <c r="A89" s="23">
        <v>45267</v>
      </c>
      <c r="B89" t="s">
        <v>13</v>
      </c>
      <c r="C89" t="s">
        <v>132</v>
      </c>
      <c r="D89" t="s">
        <v>17</v>
      </c>
      <c r="E89" t="s">
        <v>136</v>
      </c>
      <c r="F89">
        <v>170989590.5</v>
      </c>
      <c r="G89" t="s">
        <v>134</v>
      </c>
      <c r="H89" t="s">
        <v>81</v>
      </c>
      <c r="I89" t="s">
        <v>9</v>
      </c>
      <c r="L89" t="s">
        <v>161</v>
      </c>
      <c r="M89">
        <v>-170989590.5</v>
      </c>
    </row>
    <row r="90" spans="1:13" x14ac:dyDescent="0.3">
      <c r="A90" s="23">
        <v>45154</v>
      </c>
      <c r="B90" t="s">
        <v>13</v>
      </c>
      <c r="C90" t="s">
        <v>132</v>
      </c>
      <c r="D90" t="s">
        <v>17</v>
      </c>
      <c r="E90" t="s">
        <v>136</v>
      </c>
      <c r="F90">
        <v>170000000</v>
      </c>
      <c r="G90" t="s">
        <v>134</v>
      </c>
      <c r="H90" t="s">
        <v>81</v>
      </c>
      <c r="I90" t="s">
        <v>9</v>
      </c>
      <c r="L90" t="s">
        <v>161</v>
      </c>
      <c r="M90">
        <v>-170000000</v>
      </c>
    </row>
    <row r="91" spans="1:13" x14ac:dyDescent="0.3">
      <c r="A91" s="23">
        <v>45089</v>
      </c>
      <c r="B91" t="s">
        <v>13</v>
      </c>
      <c r="C91" t="s">
        <v>143</v>
      </c>
      <c r="D91" t="s">
        <v>17</v>
      </c>
      <c r="E91" t="s">
        <v>149</v>
      </c>
      <c r="F91">
        <v>168157415.38999999</v>
      </c>
      <c r="G91" t="s">
        <v>140</v>
      </c>
      <c r="H91" t="s">
        <v>81</v>
      </c>
      <c r="I91" t="s">
        <v>9</v>
      </c>
      <c r="J91" s="23">
        <v>45041</v>
      </c>
      <c r="M91">
        <v>-168157415.38999999</v>
      </c>
    </row>
    <row r="92" spans="1:13" x14ac:dyDescent="0.3">
      <c r="A92" s="23">
        <v>45617</v>
      </c>
      <c r="B92" t="s">
        <v>13</v>
      </c>
      <c r="C92" t="s">
        <v>132</v>
      </c>
      <c r="D92" t="s">
        <v>17</v>
      </c>
      <c r="E92" t="s">
        <v>41</v>
      </c>
      <c r="F92">
        <v>165700000</v>
      </c>
      <c r="G92" t="s">
        <v>26</v>
      </c>
      <c r="H92" t="s">
        <v>81</v>
      </c>
      <c r="I92" t="s">
        <v>9</v>
      </c>
      <c r="L92" t="s">
        <v>161</v>
      </c>
      <c r="M92">
        <v>-165700000</v>
      </c>
    </row>
    <row r="93" spans="1:13" x14ac:dyDescent="0.3">
      <c r="A93" s="23">
        <v>45492</v>
      </c>
      <c r="B93" t="s">
        <v>13</v>
      </c>
      <c r="C93" t="s">
        <v>132</v>
      </c>
      <c r="D93" t="s">
        <v>17</v>
      </c>
      <c r="E93" t="s">
        <v>46</v>
      </c>
      <c r="F93">
        <v>164000000</v>
      </c>
      <c r="G93" t="s">
        <v>28</v>
      </c>
      <c r="H93" t="s">
        <v>81</v>
      </c>
      <c r="I93" t="s">
        <v>9</v>
      </c>
      <c r="L93" t="s">
        <v>161</v>
      </c>
      <c r="M93">
        <v>-164000000</v>
      </c>
    </row>
    <row r="94" spans="1:13" x14ac:dyDescent="0.3">
      <c r="A94" s="23">
        <v>45196</v>
      </c>
      <c r="B94" t="s">
        <v>13</v>
      </c>
      <c r="C94" t="s">
        <v>132</v>
      </c>
      <c r="D94" t="s">
        <v>17</v>
      </c>
      <c r="E94" t="s">
        <v>136</v>
      </c>
      <c r="F94">
        <v>162533142.18000001</v>
      </c>
      <c r="G94" t="s">
        <v>134</v>
      </c>
      <c r="H94" t="s">
        <v>81</v>
      </c>
      <c r="I94" t="s">
        <v>9</v>
      </c>
      <c r="L94" t="s">
        <v>161</v>
      </c>
      <c r="M94">
        <v>-162533142.18000001</v>
      </c>
    </row>
    <row r="95" spans="1:13" x14ac:dyDescent="0.3">
      <c r="A95" s="23">
        <v>45688</v>
      </c>
      <c r="B95" t="s">
        <v>13</v>
      </c>
      <c r="C95" t="s">
        <v>132</v>
      </c>
      <c r="D95" t="s">
        <v>17</v>
      </c>
      <c r="E95" t="s">
        <v>193</v>
      </c>
      <c r="F95">
        <v>161763428</v>
      </c>
      <c r="G95" t="s">
        <v>131</v>
      </c>
      <c r="H95" t="s">
        <v>81</v>
      </c>
      <c r="I95" t="s">
        <v>9</v>
      </c>
      <c r="L95" t="s">
        <v>161</v>
      </c>
      <c r="M95">
        <v>-161763428</v>
      </c>
    </row>
    <row r="96" spans="1:13" x14ac:dyDescent="0.3">
      <c r="A96" s="23">
        <v>45673</v>
      </c>
      <c r="B96" t="s">
        <v>13</v>
      </c>
      <c r="C96" t="s">
        <v>132</v>
      </c>
      <c r="D96" t="s">
        <v>17</v>
      </c>
      <c r="E96" t="s">
        <v>195</v>
      </c>
      <c r="F96">
        <v>159000000</v>
      </c>
      <c r="G96" t="s">
        <v>134</v>
      </c>
      <c r="H96" t="s">
        <v>81</v>
      </c>
      <c r="I96" t="s">
        <v>9</v>
      </c>
      <c r="L96" t="s">
        <v>161</v>
      </c>
      <c r="M96">
        <v>-159000000</v>
      </c>
    </row>
    <row r="97" spans="1:13" x14ac:dyDescent="0.3">
      <c r="A97" s="23">
        <v>45631</v>
      </c>
      <c r="B97" t="s">
        <v>13</v>
      </c>
      <c r="C97" t="s">
        <v>132</v>
      </c>
      <c r="D97" t="s">
        <v>17</v>
      </c>
      <c r="E97" t="s">
        <v>193</v>
      </c>
      <c r="F97">
        <v>156589717</v>
      </c>
      <c r="G97" t="s">
        <v>131</v>
      </c>
      <c r="H97" t="s">
        <v>81</v>
      </c>
      <c r="I97" t="s">
        <v>9</v>
      </c>
      <c r="L97" t="s">
        <v>161</v>
      </c>
      <c r="M97">
        <v>-156589717</v>
      </c>
    </row>
    <row r="98" spans="1:13" x14ac:dyDescent="0.3">
      <c r="A98" s="23">
        <v>45336</v>
      </c>
      <c r="B98" t="s">
        <v>13</v>
      </c>
      <c r="C98" t="s">
        <v>132</v>
      </c>
      <c r="D98" t="s">
        <v>17</v>
      </c>
      <c r="E98" t="s">
        <v>46</v>
      </c>
      <c r="F98">
        <v>151700000</v>
      </c>
      <c r="G98" t="s">
        <v>28</v>
      </c>
      <c r="H98" t="s">
        <v>81</v>
      </c>
      <c r="I98" t="s">
        <v>9</v>
      </c>
      <c r="L98" t="s">
        <v>161</v>
      </c>
      <c r="M98">
        <v>-151700000</v>
      </c>
    </row>
    <row r="99" spans="1:13" x14ac:dyDescent="0.3">
      <c r="A99" s="23">
        <v>44764</v>
      </c>
      <c r="B99" t="s">
        <v>13</v>
      </c>
      <c r="C99" t="s">
        <v>132</v>
      </c>
      <c r="D99" t="s">
        <v>17</v>
      </c>
      <c r="E99" t="s">
        <v>139</v>
      </c>
      <c r="F99">
        <v>151631955.55000001</v>
      </c>
      <c r="G99" t="s">
        <v>140</v>
      </c>
      <c r="H99" t="s">
        <v>81</v>
      </c>
      <c r="I99" t="s">
        <v>9</v>
      </c>
      <c r="L99" t="s">
        <v>161</v>
      </c>
      <c r="M99">
        <v>-151631955.55000001</v>
      </c>
    </row>
    <row r="100" spans="1:13" x14ac:dyDescent="0.3">
      <c r="A100" s="23">
        <v>45492</v>
      </c>
      <c r="B100" t="s">
        <v>13</v>
      </c>
      <c r="C100" t="s">
        <v>132</v>
      </c>
      <c r="D100" t="s">
        <v>17</v>
      </c>
      <c r="E100" t="s">
        <v>193</v>
      </c>
      <c r="F100">
        <v>150811505</v>
      </c>
      <c r="G100" t="s">
        <v>131</v>
      </c>
      <c r="H100" t="s">
        <v>81</v>
      </c>
      <c r="I100" t="s">
        <v>9</v>
      </c>
      <c r="L100" t="s">
        <v>161</v>
      </c>
      <c r="M100">
        <v>-150811505</v>
      </c>
    </row>
    <row r="101" spans="1:13" x14ac:dyDescent="0.3">
      <c r="A101" s="23">
        <v>45492</v>
      </c>
      <c r="B101" t="s">
        <v>13</v>
      </c>
      <c r="C101" t="s">
        <v>132</v>
      </c>
      <c r="D101" t="s">
        <v>17</v>
      </c>
      <c r="E101" t="s">
        <v>193</v>
      </c>
      <c r="F101">
        <v>150115557</v>
      </c>
      <c r="G101" t="s">
        <v>131</v>
      </c>
      <c r="H101" t="s">
        <v>81</v>
      </c>
      <c r="I101" t="s">
        <v>9</v>
      </c>
      <c r="L101" t="s">
        <v>161</v>
      </c>
      <c r="M101">
        <v>-150115557</v>
      </c>
    </row>
    <row r="102" spans="1:13" x14ac:dyDescent="0.3">
      <c r="A102" s="23">
        <v>44830</v>
      </c>
      <c r="B102" t="s">
        <v>13</v>
      </c>
      <c r="C102" t="s">
        <v>132</v>
      </c>
      <c r="D102" t="s">
        <v>17</v>
      </c>
      <c r="E102" t="s">
        <v>41</v>
      </c>
      <c r="F102">
        <v>150000000</v>
      </c>
      <c r="G102" t="s">
        <v>26</v>
      </c>
      <c r="H102" t="s">
        <v>81</v>
      </c>
      <c r="I102" t="s">
        <v>9</v>
      </c>
      <c r="L102" t="s">
        <v>161</v>
      </c>
      <c r="M102">
        <v>-150000000</v>
      </c>
    </row>
    <row r="103" spans="1:13" x14ac:dyDescent="0.3">
      <c r="A103" s="23">
        <v>45322</v>
      </c>
      <c r="B103" t="s">
        <v>13</v>
      </c>
      <c r="C103" t="s">
        <v>132</v>
      </c>
      <c r="D103" t="s">
        <v>17</v>
      </c>
      <c r="E103" t="s">
        <v>41</v>
      </c>
      <c r="F103">
        <v>150000000</v>
      </c>
      <c r="G103" t="s">
        <v>26</v>
      </c>
      <c r="H103" t="s">
        <v>81</v>
      </c>
      <c r="I103" t="s">
        <v>9</v>
      </c>
      <c r="L103" t="s">
        <v>161</v>
      </c>
      <c r="M103">
        <v>-150000000</v>
      </c>
    </row>
    <row r="104" spans="1:13" x14ac:dyDescent="0.3">
      <c r="A104" s="23">
        <v>45604</v>
      </c>
      <c r="B104" t="s">
        <v>13</v>
      </c>
      <c r="C104" t="s">
        <v>132</v>
      </c>
      <c r="D104" t="s">
        <v>17</v>
      </c>
      <c r="E104" t="s">
        <v>48</v>
      </c>
      <c r="F104">
        <v>150000000</v>
      </c>
      <c r="G104" t="s">
        <v>29</v>
      </c>
      <c r="H104" t="s">
        <v>81</v>
      </c>
      <c r="I104" t="s">
        <v>9</v>
      </c>
      <c r="L104" t="s">
        <v>161</v>
      </c>
      <c r="M104">
        <v>-150000000</v>
      </c>
    </row>
    <row r="105" spans="1:13" x14ac:dyDescent="0.3">
      <c r="A105" s="23">
        <v>45625</v>
      </c>
      <c r="B105" t="s">
        <v>13</v>
      </c>
      <c r="C105" t="s">
        <v>132</v>
      </c>
      <c r="D105" t="s">
        <v>17</v>
      </c>
      <c r="E105" t="s">
        <v>193</v>
      </c>
      <c r="F105">
        <v>150000000</v>
      </c>
      <c r="G105" t="s">
        <v>131</v>
      </c>
      <c r="H105" t="s">
        <v>81</v>
      </c>
      <c r="I105" t="s">
        <v>9</v>
      </c>
      <c r="L105" t="s">
        <v>161</v>
      </c>
      <c r="M105">
        <v>-150000000</v>
      </c>
    </row>
    <row r="106" spans="1:13" x14ac:dyDescent="0.3">
      <c r="A106" s="23">
        <v>45100</v>
      </c>
      <c r="B106" t="s">
        <v>13</v>
      </c>
      <c r="C106" t="s">
        <v>132</v>
      </c>
      <c r="D106" t="s">
        <v>17</v>
      </c>
      <c r="E106" t="s">
        <v>136</v>
      </c>
      <c r="F106">
        <v>148150713.81999999</v>
      </c>
      <c r="G106" t="s">
        <v>134</v>
      </c>
      <c r="H106" t="s">
        <v>81</v>
      </c>
      <c r="I106" t="s">
        <v>9</v>
      </c>
      <c r="L106" t="s">
        <v>161</v>
      </c>
      <c r="M106">
        <v>-148150713.81999999</v>
      </c>
    </row>
    <row r="107" spans="1:13" x14ac:dyDescent="0.3">
      <c r="A107" s="23">
        <v>45621</v>
      </c>
      <c r="B107" t="s">
        <v>13</v>
      </c>
      <c r="C107" t="s">
        <v>132</v>
      </c>
      <c r="D107" t="s">
        <v>17</v>
      </c>
      <c r="E107" t="s">
        <v>180</v>
      </c>
      <c r="F107">
        <v>146000000</v>
      </c>
      <c r="G107" t="s">
        <v>181</v>
      </c>
      <c r="H107" t="s">
        <v>81</v>
      </c>
      <c r="I107" t="s">
        <v>9</v>
      </c>
      <c r="L107" t="s">
        <v>161</v>
      </c>
      <c r="M107">
        <v>-146000000</v>
      </c>
    </row>
    <row r="108" spans="1:13" x14ac:dyDescent="0.3">
      <c r="A108" s="23">
        <v>45687</v>
      </c>
      <c r="B108" t="s">
        <v>13</v>
      </c>
      <c r="C108" t="s">
        <v>132</v>
      </c>
      <c r="D108" t="s">
        <v>17</v>
      </c>
      <c r="E108" t="s">
        <v>136</v>
      </c>
      <c r="F108">
        <v>144308776</v>
      </c>
      <c r="G108" t="s">
        <v>134</v>
      </c>
      <c r="H108" t="s">
        <v>81</v>
      </c>
      <c r="I108" t="s">
        <v>9</v>
      </c>
      <c r="L108" t="s">
        <v>161</v>
      </c>
      <c r="M108">
        <v>-144308776</v>
      </c>
    </row>
    <row r="109" spans="1:13" x14ac:dyDescent="0.3">
      <c r="A109" s="23">
        <v>45652</v>
      </c>
      <c r="B109" t="s">
        <v>13</v>
      </c>
      <c r="C109" t="s">
        <v>132</v>
      </c>
      <c r="D109" t="s">
        <v>17</v>
      </c>
      <c r="E109" t="s">
        <v>41</v>
      </c>
      <c r="F109">
        <v>142800000</v>
      </c>
      <c r="G109" t="s">
        <v>26</v>
      </c>
      <c r="H109" t="s">
        <v>81</v>
      </c>
      <c r="I109" t="s">
        <v>9</v>
      </c>
      <c r="L109" t="s">
        <v>161</v>
      </c>
      <c r="M109">
        <v>-142800000</v>
      </c>
    </row>
    <row r="110" spans="1:13" x14ac:dyDescent="0.3">
      <c r="A110" s="23">
        <v>45735</v>
      </c>
      <c r="B110" t="s">
        <v>13</v>
      </c>
      <c r="C110" t="s">
        <v>132</v>
      </c>
      <c r="D110" t="s">
        <v>17</v>
      </c>
      <c r="E110" t="s">
        <v>193</v>
      </c>
      <c r="F110">
        <v>140019501.44</v>
      </c>
      <c r="G110" t="s">
        <v>131</v>
      </c>
      <c r="H110" t="s">
        <v>81</v>
      </c>
      <c r="I110" t="s">
        <v>9</v>
      </c>
      <c r="L110" t="s">
        <v>161</v>
      </c>
      <c r="M110">
        <v>-140019501.44</v>
      </c>
    </row>
    <row r="111" spans="1:13" x14ac:dyDescent="0.3">
      <c r="A111" s="23">
        <v>45637</v>
      </c>
      <c r="B111" t="s">
        <v>13</v>
      </c>
      <c r="C111" t="s">
        <v>132</v>
      </c>
      <c r="D111" t="s">
        <v>17</v>
      </c>
      <c r="E111" t="s">
        <v>136</v>
      </c>
      <c r="F111">
        <v>140000000</v>
      </c>
      <c r="G111" t="s">
        <v>134</v>
      </c>
      <c r="H111" t="s">
        <v>81</v>
      </c>
      <c r="I111" t="s">
        <v>9</v>
      </c>
      <c r="L111" t="s">
        <v>161</v>
      </c>
      <c r="M111">
        <v>-140000000</v>
      </c>
    </row>
    <row r="112" spans="1:13" x14ac:dyDescent="0.3">
      <c r="A112" s="23">
        <v>45646</v>
      </c>
      <c r="B112" t="s">
        <v>13</v>
      </c>
      <c r="C112" t="s">
        <v>132</v>
      </c>
      <c r="D112" t="s">
        <v>17</v>
      </c>
      <c r="E112" t="s">
        <v>193</v>
      </c>
      <c r="F112">
        <v>140000000</v>
      </c>
      <c r="G112" t="s">
        <v>131</v>
      </c>
      <c r="H112" t="s">
        <v>81</v>
      </c>
      <c r="I112" t="s">
        <v>9</v>
      </c>
      <c r="L112" t="s">
        <v>161</v>
      </c>
      <c r="M112">
        <v>-140000000</v>
      </c>
    </row>
    <row r="113" spans="1:13" x14ac:dyDescent="0.3">
      <c r="A113" s="23">
        <v>45184</v>
      </c>
      <c r="B113" t="s">
        <v>13</v>
      </c>
      <c r="C113" t="s">
        <v>132</v>
      </c>
      <c r="D113" t="s">
        <v>17</v>
      </c>
      <c r="E113" t="s">
        <v>136</v>
      </c>
      <c r="F113">
        <v>138372234</v>
      </c>
      <c r="G113" t="s">
        <v>134</v>
      </c>
      <c r="H113" t="s">
        <v>81</v>
      </c>
      <c r="I113" t="s">
        <v>9</v>
      </c>
      <c r="L113" t="s">
        <v>161</v>
      </c>
      <c r="M113">
        <v>-138372234</v>
      </c>
    </row>
    <row r="114" spans="1:13" x14ac:dyDescent="0.3">
      <c r="A114" s="23">
        <v>45331</v>
      </c>
      <c r="B114" t="s">
        <v>13</v>
      </c>
      <c r="C114" t="s">
        <v>132</v>
      </c>
      <c r="D114" t="s">
        <v>17</v>
      </c>
      <c r="E114" t="s">
        <v>180</v>
      </c>
      <c r="F114">
        <v>137458784.81999999</v>
      </c>
      <c r="G114" t="s">
        <v>181</v>
      </c>
      <c r="H114" t="s">
        <v>81</v>
      </c>
      <c r="I114" t="s">
        <v>9</v>
      </c>
      <c r="L114" t="s">
        <v>161</v>
      </c>
      <c r="M114">
        <v>-137458784.81999999</v>
      </c>
    </row>
    <row r="115" spans="1:13" x14ac:dyDescent="0.3">
      <c r="A115" s="23">
        <v>45293</v>
      </c>
      <c r="B115" t="s">
        <v>13</v>
      </c>
      <c r="C115" t="s">
        <v>132</v>
      </c>
      <c r="D115" t="s">
        <v>17</v>
      </c>
      <c r="E115" t="s">
        <v>41</v>
      </c>
      <c r="F115">
        <v>136300000</v>
      </c>
      <c r="G115" t="s">
        <v>26</v>
      </c>
      <c r="H115" t="s">
        <v>81</v>
      </c>
      <c r="I115" t="s">
        <v>9</v>
      </c>
      <c r="L115" t="s">
        <v>161</v>
      </c>
      <c r="M115">
        <v>-136300000</v>
      </c>
    </row>
    <row r="116" spans="1:13" x14ac:dyDescent="0.3">
      <c r="A116" s="23">
        <v>45211</v>
      </c>
      <c r="B116" t="s">
        <v>13</v>
      </c>
      <c r="C116" t="s">
        <v>132</v>
      </c>
      <c r="D116" t="s">
        <v>17</v>
      </c>
      <c r="E116" t="s">
        <v>169</v>
      </c>
      <c r="F116">
        <v>136076785.24000001</v>
      </c>
      <c r="G116" t="s">
        <v>131</v>
      </c>
      <c r="H116" t="s">
        <v>81</v>
      </c>
      <c r="I116" t="s">
        <v>9</v>
      </c>
      <c r="L116" t="s">
        <v>161</v>
      </c>
      <c r="M116">
        <v>-136076785.24000001</v>
      </c>
    </row>
    <row r="117" spans="1:13" x14ac:dyDescent="0.3">
      <c r="A117" s="23">
        <v>45309</v>
      </c>
      <c r="B117" t="s">
        <v>13</v>
      </c>
      <c r="C117" t="s">
        <v>132</v>
      </c>
      <c r="D117" t="s">
        <v>17</v>
      </c>
      <c r="E117" t="s">
        <v>169</v>
      </c>
      <c r="F117">
        <v>136000000</v>
      </c>
      <c r="G117" t="s">
        <v>131</v>
      </c>
      <c r="H117" t="s">
        <v>81</v>
      </c>
      <c r="I117" t="s">
        <v>9</v>
      </c>
      <c r="L117" t="s">
        <v>161</v>
      </c>
      <c r="M117">
        <v>-136000000</v>
      </c>
    </row>
    <row r="118" spans="1:13" x14ac:dyDescent="0.3">
      <c r="A118" s="23">
        <v>45635</v>
      </c>
      <c r="B118" t="s">
        <v>13</v>
      </c>
      <c r="C118" t="s">
        <v>132</v>
      </c>
      <c r="D118" t="s">
        <v>17</v>
      </c>
      <c r="E118" t="s">
        <v>193</v>
      </c>
      <c r="F118">
        <v>135117214.00999999</v>
      </c>
      <c r="G118" t="s">
        <v>131</v>
      </c>
      <c r="H118" t="s">
        <v>81</v>
      </c>
      <c r="I118" t="s">
        <v>9</v>
      </c>
      <c r="L118" t="s">
        <v>161</v>
      </c>
      <c r="M118">
        <v>-135117214.00999999</v>
      </c>
    </row>
    <row r="119" spans="1:13" x14ac:dyDescent="0.3">
      <c r="A119" s="23">
        <v>45611</v>
      </c>
      <c r="B119" t="s">
        <v>13</v>
      </c>
      <c r="C119" t="s">
        <v>132</v>
      </c>
      <c r="D119" t="s">
        <v>17</v>
      </c>
      <c r="E119" t="s">
        <v>46</v>
      </c>
      <c r="F119">
        <v>132400000</v>
      </c>
      <c r="G119" t="s">
        <v>28</v>
      </c>
      <c r="H119" t="s">
        <v>81</v>
      </c>
      <c r="I119" t="s">
        <v>9</v>
      </c>
      <c r="L119" t="s">
        <v>161</v>
      </c>
      <c r="M119">
        <v>-132400000</v>
      </c>
    </row>
    <row r="120" spans="1:13" x14ac:dyDescent="0.3">
      <c r="A120" s="23">
        <v>45625</v>
      </c>
      <c r="B120" t="s">
        <v>13</v>
      </c>
      <c r="C120" t="s">
        <v>132</v>
      </c>
      <c r="D120" t="s">
        <v>17</v>
      </c>
      <c r="E120" t="s">
        <v>208</v>
      </c>
      <c r="F120">
        <v>130054261.29000001</v>
      </c>
      <c r="G120" t="s">
        <v>209</v>
      </c>
      <c r="H120" t="s">
        <v>81</v>
      </c>
      <c r="I120" t="s">
        <v>9</v>
      </c>
      <c r="L120" t="s">
        <v>161</v>
      </c>
      <c r="M120">
        <v>-130054261.29000001</v>
      </c>
    </row>
    <row r="121" spans="1:13" x14ac:dyDescent="0.3">
      <c r="A121" s="23">
        <v>45604</v>
      </c>
      <c r="B121" t="s">
        <v>13</v>
      </c>
      <c r="C121" t="s">
        <v>132</v>
      </c>
      <c r="D121" t="s">
        <v>17</v>
      </c>
      <c r="E121" t="s">
        <v>41</v>
      </c>
      <c r="F121">
        <v>129300000</v>
      </c>
      <c r="G121" t="s">
        <v>26</v>
      </c>
      <c r="H121" t="s">
        <v>81</v>
      </c>
      <c r="I121" t="s">
        <v>9</v>
      </c>
      <c r="L121" t="s">
        <v>161</v>
      </c>
      <c r="M121">
        <v>-129300000</v>
      </c>
    </row>
    <row r="122" spans="1:13" x14ac:dyDescent="0.3">
      <c r="A122" s="23">
        <v>45610</v>
      </c>
      <c r="B122" t="s">
        <v>13</v>
      </c>
      <c r="C122" t="s">
        <v>132</v>
      </c>
      <c r="D122" t="s">
        <v>17</v>
      </c>
      <c r="E122" t="s">
        <v>193</v>
      </c>
      <c r="F122">
        <v>126628504.22</v>
      </c>
      <c r="G122" t="s">
        <v>131</v>
      </c>
      <c r="H122" t="s">
        <v>81</v>
      </c>
      <c r="I122" t="s">
        <v>9</v>
      </c>
      <c r="L122" t="s">
        <v>161</v>
      </c>
      <c r="M122">
        <v>-126628504.22</v>
      </c>
    </row>
    <row r="123" spans="1:13" x14ac:dyDescent="0.3">
      <c r="A123" s="23">
        <v>45632</v>
      </c>
      <c r="B123" t="s">
        <v>13</v>
      </c>
      <c r="C123" t="s">
        <v>132</v>
      </c>
      <c r="D123" t="s">
        <v>17</v>
      </c>
      <c r="E123" t="s">
        <v>193</v>
      </c>
      <c r="F123">
        <v>124725830</v>
      </c>
      <c r="G123" t="s">
        <v>131</v>
      </c>
      <c r="H123" t="s">
        <v>81</v>
      </c>
      <c r="I123" t="s">
        <v>9</v>
      </c>
      <c r="L123" t="s">
        <v>161</v>
      </c>
      <c r="M123">
        <v>-124725830</v>
      </c>
    </row>
    <row r="124" spans="1:13" x14ac:dyDescent="0.3">
      <c r="A124" s="23">
        <v>45330</v>
      </c>
      <c r="B124" t="s">
        <v>13</v>
      </c>
      <c r="C124" t="s">
        <v>132</v>
      </c>
      <c r="D124" t="s">
        <v>17</v>
      </c>
      <c r="E124" t="s">
        <v>136</v>
      </c>
      <c r="F124">
        <v>124269765.15000001</v>
      </c>
      <c r="G124" t="s">
        <v>134</v>
      </c>
      <c r="H124" t="s">
        <v>81</v>
      </c>
      <c r="I124" t="s">
        <v>9</v>
      </c>
      <c r="L124" t="s">
        <v>161</v>
      </c>
      <c r="M124">
        <v>-124269765.15000001</v>
      </c>
    </row>
    <row r="125" spans="1:13" x14ac:dyDescent="0.3">
      <c r="A125" s="23">
        <v>45491</v>
      </c>
      <c r="B125" t="s">
        <v>13</v>
      </c>
      <c r="C125" t="s">
        <v>132</v>
      </c>
      <c r="D125" t="s">
        <v>17</v>
      </c>
      <c r="E125" t="s">
        <v>180</v>
      </c>
      <c r="F125">
        <v>123561082</v>
      </c>
      <c r="G125" t="s">
        <v>181</v>
      </c>
      <c r="H125" t="s">
        <v>81</v>
      </c>
      <c r="I125" t="s">
        <v>9</v>
      </c>
      <c r="L125" t="s">
        <v>161</v>
      </c>
      <c r="M125">
        <v>-123561082</v>
      </c>
    </row>
    <row r="126" spans="1:13" x14ac:dyDescent="0.3">
      <c r="A126" s="23">
        <v>45082</v>
      </c>
      <c r="B126" t="s">
        <v>13</v>
      </c>
      <c r="C126" t="s">
        <v>132</v>
      </c>
      <c r="D126" t="s">
        <v>17</v>
      </c>
      <c r="E126" t="s">
        <v>46</v>
      </c>
      <c r="F126">
        <v>122000000</v>
      </c>
      <c r="G126" t="s">
        <v>28</v>
      </c>
      <c r="H126" t="s">
        <v>81</v>
      </c>
      <c r="I126" t="s">
        <v>9</v>
      </c>
      <c r="L126" t="s">
        <v>161</v>
      </c>
      <c r="M126">
        <v>-122000000</v>
      </c>
    </row>
    <row r="127" spans="1:13" x14ac:dyDescent="0.3">
      <c r="A127" s="23">
        <v>44837</v>
      </c>
      <c r="B127" t="s">
        <v>13</v>
      </c>
      <c r="C127" t="s">
        <v>132</v>
      </c>
      <c r="D127" t="s">
        <v>17</v>
      </c>
      <c r="E127" t="s">
        <v>136</v>
      </c>
      <c r="F127">
        <v>121381412.09</v>
      </c>
      <c r="G127" t="s">
        <v>134</v>
      </c>
      <c r="H127" t="s">
        <v>81</v>
      </c>
      <c r="I127" t="s">
        <v>9</v>
      </c>
      <c r="L127" t="s">
        <v>161</v>
      </c>
      <c r="M127">
        <v>-121381412.09</v>
      </c>
    </row>
    <row r="128" spans="1:13" x14ac:dyDescent="0.3">
      <c r="A128" s="23">
        <v>45454</v>
      </c>
      <c r="B128" t="s">
        <v>13</v>
      </c>
      <c r="C128" t="s">
        <v>132</v>
      </c>
      <c r="D128" t="s">
        <v>17</v>
      </c>
      <c r="E128" t="s">
        <v>136</v>
      </c>
      <c r="F128">
        <v>120720000</v>
      </c>
      <c r="G128" t="s">
        <v>134</v>
      </c>
      <c r="H128" t="s">
        <v>81</v>
      </c>
      <c r="I128" t="s">
        <v>9</v>
      </c>
      <c r="L128" t="s">
        <v>161</v>
      </c>
      <c r="M128">
        <v>-120720000</v>
      </c>
    </row>
    <row r="129" spans="1:13" x14ac:dyDescent="0.3">
      <c r="A129" s="23">
        <v>45709</v>
      </c>
      <c r="B129" t="s">
        <v>13</v>
      </c>
      <c r="C129" t="s">
        <v>132</v>
      </c>
      <c r="D129" t="s">
        <v>17</v>
      </c>
      <c r="E129" t="s">
        <v>40</v>
      </c>
      <c r="F129">
        <v>120600000</v>
      </c>
      <c r="G129" t="s">
        <v>25</v>
      </c>
      <c r="H129" t="s">
        <v>81</v>
      </c>
      <c r="I129" t="s">
        <v>9</v>
      </c>
      <c r="L129" t="s">
        <v>161</v>
      </c>
      <c r="M129">
        <v>-120600000</v>
      </c>
    </row>
    <row r="130" spans="1:13" x14ac:dyDescent="0.3">
      <c r="A130" s="23">
        <v>45483</v>
      </c>
      <c r="B130" t="s">
        <v>13</v>
      </c>
      <c r="C130" t="s">
        <v>132</v>
      </c>
      <c r="D130" t="s">
        <v>17</v>
      </c>
      <c r="E130" t="s">
        <v>136</v>
      </c>
      <c r="F130">
        <v>120000000</v>
      </c>
      <c r="G130" t="s">
        <v>134</v>
      </c>
      <c r="H130" t="s">
        <v>81</v>
      </c>
      <c r="I130" t="s">
        <v>9</v>
      </c>
      <c r="L130" t="s">
        <v>161</v>
      </c>
      <c r="M130">
        <v>-120000000</v>
      </c>
    </row>
    <row r="131" spans="1:13" x14ac:dyDescent="0.3">
      <c r="A131" s="23">
        <v>45456</v>
      </c>
      <c r="B131" t="s">
        <v>13</v>
      </c>
      <c r="C131" t="s">
        <v>132</v>
      </c>
      <c r="D131" t="s">
        <v>17</v>
      </c>
      <c r="E131" t="s">
        <v>169</v>
      </c>
      <c r="F131">
        <v>120000000</v>
      </c>
      <c r="G131" t="s">
        <v>131</v>
      </c>
      <c r="H131" t="s">
        <v>81</v>
      </c>
      <c r="I131" t="s">
        <v>9</v>
      </c>
      <c r="L131" t="s">
        <v>161</v>
      </c>
      <c r="M131">
        <v>-120000000</v>
      </c>
    </row>
    <row r="132" spans="1:13" x14ac:dyDescent="0.3">
      <c r="A132" s="23">
        <v>45364</v>
      </c>
      <c r="B132" t="s">
        <v>13</v>
      </c>
      <c r="C132" t="s">
        <v>132</v>
      </c>
      <c r="D132" t="s">
        <v>17</v>
      </c>
      <c r="E132" t="s">
        <v>169</v>
      </c>
      <c r="F132">
        <v>119000000</v>
      </c>
      <c r="G132" t="s">
        <v>131</v>
      </c>
      <c r="H132" t="s">
        <v>81</v>
      </c>
      <c r="I132" t="s">
        <v>9</v>
      </c>
      <c r="L132" t="s">
        <v>161</v>
      </c>
      <c r="M132">
        <v>-119000000</v>
      </c>
    </row>
    <row r="133" spans="1:13" x14ac:dyDescent="0.3">
      <c r="A133" s="23">
        <v>45700</v>
      </c>
      <c r="B133" t="s">
        <v>13</v>
      </c>
      <c r="C133" t="s">
        <v>132</v>
      </c>
      <c r="D133" t="s">
        <v>17</v>
      </c>
      <c r="E133" t="s">
        <v>40</v>
      </c>
      <c r="F133">
        <v>118700000</v>
      </c>
      <c r="G133" t="s">
        <v>25</v>
      </c>
      <c r="H133" t="s">
        <v>81</v>
      </c>
      <c r="I133" t="s">
        <v>9</v>
      </c>
      <c r="L133" t="s">
        <v>161</v>
      </c>
      <c r="M133">
        <v>-118700000</v>
      </c>
    </row>
    <row r="134" spans="1:13" x14ac:dyDescent="0.3">
      <c r="A134" s="23">
        <v>45618</v>
      </c>
      <c r="B134" t="s">
        <v>13</v>
      </c>
      <c r="C134" t="s">
        <v>132</v>
      </c>
      <c r="D134" t="s">
        <v>17</v>
      </c>
      <c r="E134" t="s">
        <v>193</v>
      </c>
      <c r="F134">
        <v>117869013</v>
      </c>
      <c r="G134" t="s">
        <v>131</v>
      </c>
      <c r="H134" t="s">
        <v>81</v>
      </c>
      <c r="I134" t="s">
        <v>9</v>
      </c>
      <c r="L134" t="s">
        <v>161</v>
      </c>
      <c r="M134">
        <v>-117869013</v>
      </c>
    </row>
    <row r="135" spans="1:13" x14ac:dyDescent="0.3">
      <c r="A135" s="23">
        <v>45600</v>
      </c>
      <c r="B135" t="s">
        <v>13</v>
      </c>
      <c r="C135" t="s">
        <v>143</v>
      </c>
      <c r="D135" t="s">
        <v>17</v>
      </c>
      <c r="E135" t="s">
        <v>149</v>
      </c>
      <c r="F135">
        <v>117356682.41</v>
      </c>
      <c r="G135" t="s">
        <v>140</v>
      </c>
      <c r="H135" t="s">
        <v>81</v>
      </c>
      <c r="I135" t="s">
        <v>9</v>
      </c>
      <c r="M135">
        <v>-117356682.41</v>
      </c>
    </row>
    <row r="136" spans="1:13" x14ac:dyDescent="0.3">
      <c r="A136" s="23">
        <v>44874</v>
      </c>
      <c r="B136" t="s">
        <v>13</v>
      </c>
      <c r="C136" t="s">
        <v>132</v>
      </c>
      <c r="D136" t="s">
        <v>17</v>
      </c>
      <c r="E136" t="s">
        <v>46</v>
      </c>
      <c r="F136">
        <v>116400000</v>
      </c>
      <c r="G136" t="s">
        <v>28</v>
      </c>
      <c r="H136" t="s">
        <v>81</v>
      </c>
      <c r="I136" t="s">
        <v>9</v>
      </c>
      <c r="L136" t="s">
        <v>161</v>
      </c>
      <c r="M136">
        <v>-116400000</v>
      </c>
    </row>
    <row r="137" spans="1:13" x14ac:dyDescent="0.3">
      <c r="A137" s="23">
        <v>45692</v>
      </c>
      <c r="B137" t="s">
        <v>13</v>
      </c>
      <c r="C137" t="s">
        <v>132</v>
      </c>
      <c r="D137" t="s">
        <v>17</v>
      </c>
      <c r="E137" t="s">
        <v>195</v>
      </c>
      <c r="F137">
        <v>115634712</v>
      </c>
      <c r="G137" t="s">
        <v>134</v>
      </c>
      <c r="H137" t="s">
        <v>81</v>
      </c>
      <c r="I137" t="s">
        <v>9</v>
      </c>
      <c r="L137" t="s">
        <v>161</v>
      </c>
      <c r="M137">
        <v>-115634712</v>
      </c>
    </row>
    <row r="138" spans="1:13" x14ac:dyDescent="0.3">
      <c r="A138" s="23">
        <v>44764</v>
      </c>
      <c r="B138" t="s">
        <v>13</v>
      </c>
      <c r="C138" t="s">
        <v>132</v>
      </c>
      <c r="D138" t="s">
        <v>17</v>
      </c>
      <c r="E138" t="s">
        <v>41</v>
      </c>
      <c r="F138">
        <v>114737758.29000001</v>
      </c>
      <c r="G138" t="s">
        <v>26</v>
      </c>
      <c r="H138" t="s">
        <v>81</v>
      </c>
      <c r="I138" t="s">
        <v>9</v>
      </c>
      <c r="L138" t="s">
        <v>161</v>
      </c>
      <c r="M138">
        <v>-114737758.29000001</v>
      </c>
    </row>
    <row r="139" spans="1:13" x14ac:dyDescent="0.3">
      <c r="A139" s="23">
        <v>44750</v>
      </c>
      <c r="B139" t="s">
        <v>13</v>
      </c>
      <c r="C139" t="s">
        <v>143</v>
      </c>
      <c r="D139" t="s">
        <v>17</v>
      </c>
      <c r="E139" t="s">
        <v>149</v>
      </c>
      <c r="F139">
        <v>113746222.33</v>
      </c>
      <c r="G139" t="s">
        <v>140</v>
      </c>
      <c r="H139" t="s">
        <v>81</v>
      </c>
      <c r="I139" t="s">
        <v>9</v>
      </c>
      <c r="J139" s="23">
        <v>44748</v>
      </c>
      <c r="L139" t="s">
        <v>224</v>
      </c>
      <c r="M139">
        <v>-113746222.33</v>
      </c>
    </row>
    <row r="140" spans="1:13" x14ac:dyDescent="0.3">
      <c r="A140" s="23">
        <v>45644</v>
      </c>
      <c r="B140" t="s">
        <v>13</v>
      </c>
      <c r="C140" t="s">
        <v>132</v>
      </c>
      <c r="D140" t="s">
        <v>17</v>
      </c>
      <c r="E140" t="s">
        <v>136</v>
      </c>
      <c r="F140">
        <v>113680246.38</v>
      </c>
      <c r="G140" t="s">
        <v>134</v>
      </c>
      <c r="H140" t="s">
        <v>81</v>
      </c>
      <c r="I140" t="s">
        <v>9</v>
      </c>
      <c r="L140" t="s">
        <v>161</v>
      </c>
      <c r="M140">
        <v>-113680246.38</v>
      </c>
    </row>
    <row r="141" spans="1:13" x14ac:dyDescent="0.3">
      <c r="A141" s="23">
        <v>45621</v>
      </c>
      <c r="B141" t="s">
        <v>13</v>
      </c>
      <c r="C141" t="s">
        <v>132</v>
      </c>
      <c r="D141" t="s">
        <v>17</v>
      </c>
      <c r="E141" t="s">
        <v>193</v>
      </c>
      <c r="F141">
        <v>113483054</v>
      </c>
      <c r="G141" t="s">
        <v>131</v>
      </c>
      <c r="H141" t="s">
        <v>81</v>
      </c>
      <c r="I141" t="s">
        <v>9</v>
      </c>
      <c r="L141" t="s">
        <v>161</v>
      </c>
      <c r="M141">
        <v>-113483054</v>
      </c>
    </row>
    <row r="142" spans="1:13" x14ac:dyDescent="0.3">
      <c r="A142" s="23">
        <v>45211</v>
      </c>
      <c r="B142" t="s">
        <v>13</v>
      </c>
      <c r="C142" t="s">
        <v>132</v>
      </c>
      <c r="D142" t="s">
        <v>17</v>
      </c>
      <c r="E142" t="s">
        <v>136</v>
      </c>
      <c r="F142">
        <v>112596895.98</v>
      </c>
      <c r="G142" t="s">
        <v>134</v>
      </c>
      <c r="H142" t="s">
        <v>81</v>
      </c>
      <c r="I142" t="s">
        <v>9</v>
      </c>
      <c r="L142" t="s">
        <v>161</v>
      </c>
      <c r="M142">
        <v>-112596895.98</v>
      </c>
    </row>
    <row r="143" spans="1:13" x14ac:dyDescent="0.3">
      <c r="A143" s="23">
        <v>45695</v>
      </c>
      <c r="B143" t="s">
        <v>13</v>
      </c>
      <c r="C143" t="s">
        <v>132</v>
      </c>
      <c r="D143" t="s">
        <v>17</v>
      </c>
      <c r="E143" t="s">
        <v>136</v>
      </c>
      <c r="F143">
        <v>112490000</v>
      </c>
      <c r="G143" t="s">
        <v>134</v>
      </c>
      <c r="H143" t="s">
        <v>81</v>
      </c>
      <c r="I143" t="s">
        <v>9</v>
      </c>
      <c r="L143" t="s">
        <v>161</v>
      </c>
      <c r="M143">
        <v>-112490000</v>
      </c>
    </row>
    <row r="144" spans="1:13" x14ac:dyDescent="0.3">
      <c r="A144" s="23">
        <v>45286</v>
      </c>
      <c r="B144" t="s">
        <v>13</v>
      </c>
      <c r="C144" t="s">
        <v>132</v>
      </c>
      <c r="D144" t="s">
        <v>17</v>
      </c>
      <c r="E144" t="s">
        <v>46</v>
      </c>
      <c r="F144">
        <v>110600000</v>
      </c>
      <c r="G144" t="s">
        <v>28</v>
      </c>
      <c r="H144" t="s">
        <v>81</v>
      </c>
      <c r="I144" t="s">
        <v>9</v>
      </c>
      <c r="L144" t="s">
        <v>161</v>
      </c>
      <c r="M144">
        <v>-110600000</v>
      </c>
    </row>
    <row r="145" spans="1:13" x14ac:dyDescent="0.3">
      <c r="A145" s="23">
        <v>45343</v>
      </c>
      <c r="B145" t="s">
        <v>13</v>
      </c>
      <c r="C145" t="s">
        <v>132</v>
      </c>
      <c r="D145" t="s">
        <v>17</v>
      </c>
      <c r="E145" t="s">
        <v>169</v>
      </c>
      <c r="F145">
        <v>110502724</v>
      </c>
      <c r="G145" t="s">
        <v>131</v>
      </c>
      <c r="H145" t="s">
        <v>81</v>
      </c>
      <c r="I145" t="s">
        <v>9</v>
      </c>
      <c r="L145" t="s">
        <v>161</v>
      </c>
      <c r="M145">
        <v>-110502724</v>
      </c>
    </row>
    <row r="146" spans="1:13" x14ac:dyDescent="0.3">
      <c r="A146" s="23">
        <v>45203</v>
      </c>
      <c r="B146" t="s">
        <v>13</v>
      </c>
      <c r="C146" t="s">
        <v>132</v>
      </c>
      <c r="D146" t="s">
        <v>17</v>
      </c>
      <c r="E146" t="s">
        <v>136</v>
      </c>
      <c r="F146">
        <v>110252173.03</v>
      </c>
      <c r="G146" t="s">
        <v>134</v>
      </c>
      <c r="H146" t="s">
        <v>81</v>
      </c>
      <c r="I146" t="s">
        <v>9</v>
      </c>
      <c r="L146" t="s">
        <v>161</v>
      </c>
      <c r="M146">
        <v>-110252173.03</v>
      </c>
    </row>
    <row r="147" spans="1:13" x14ac:dyDescent="0.3">
      <c r="A147" s="23">
        <v>44747</v>
      </c>
      <c r="B147" t="s">
        <v>13</v>
      </c>
      <c r="C147" t="s">
        <v>143</v>
      </c>
      <c r="D147" t="s">
        <v>17</v>
      </c>
      <c r="E147" t="s">
        <v>149</v>
      </c>
      <c r="F147">
        <v>110037168.01000001</v>
      </c>
      <c r="G147" t="s">
        <v>140</v>
      </c>
      <c r="H147" t="s">
        <v>81</v>
      </c>
      <c r="I147" t="s">
        <v>9</v>
      </c>
      <c r="J147" s="23">
        <v>44747</v>
      </c>
      <c r="K147" t="s">
        <v>152</v>
      </c>
      <c r="L147" t="s">
        <v>223</v>
      </c>
      <c r="M147">
        <v>-110037168.01000001</v>
      </c>
    </row>
    <row r="148" spans="1:13" x14ac:dyDescent="0.3">
      <c r="A148" s="23">
        <v>45446</v>
      </c>
      <c r="B148" t="s">
        <v>13</v>
      </c>
      <c r="C148" t="s">
        <v>132</v>
      </c>
      <c r="D148" t="s">
        <v>17</v>
      </c>
      <c r="E148" t="s">
        <v>41</v>
      </c>
      <c r="F148">
        <v>108900000</v>
      </c>
      <c r="G148" t="s">
        <v>26</v>
      </c>
      <c r="H148" t="s">
        <v>81</v>
      </c>
      <c r="I148" t="s">
        <v>9</v>
      </c>
      <c r="L148" t="s">
        <v>161</v>
      </c>
      <c r="M148">
        <v>-108900000</v>
      </c>
    </row>
    <row r="149" spans="1:13" x14ac:dyDescent="0.3">
      <c r="A149" s="23">
        <v>45526</v>
      </c>
      <c r="B149" t="s">
        <v>13</v>
      </c>
      <c r="C149" t="s">
        <v>132</v>
      </c>
      <c r="D149" t="s">
        <v>17</v>
      </c>
      <c r="E149" t="s">
        <v>136</v>
      </c>
      <c r="F149">
        <v>108184943</v>
      </c>
      <c r="G149" t="s">
        <v>134</v>
      </c>
      <c r="H149" t="s">
        <v>81</v>
      </c>
      <c r="I149" t="s">
        <v>9</v>
      </c>
      <c r="L149" t="s">
        <v>161</v>
      </c>
      <c r="M149">
        <v>-108184943</v>
      </c>
    </row>
    <row r="150" spans="1:13" x14ac:dyDescent="0.3">
      <c r="A150" s="23">
        <v>45639</v>
      </c>
      <c r="B150" t="s">
        <v>13</v>
      </c>
      <c r="C150" t="s">
        <v>132</v>
      </c>
      <c r="D150" t="s">
        <v>17</v>
      </c>
      <c r="E150" t="s">
        <v>136</v>
      </c>
      <c r="F150">
        <v>107694804.83</v>
      </c>
      <c r="G150" t="s">
        <v>134</v>
      </c>
      <c r="H150" t="s">
        <v>81</v>
      </c>
      <c r="I150" t="s">
        <v>9</v>
      </c>
      <c r="L150" t="s">
        <v>161</v>
      </c>
      <c r="M150">
        <v>-107694804.83</v>
      </c>
    </row>
    <row r="151" spans="1:13" x14ac:dyDescent="0.3">
      <c r="A151" s="23">
        <v>45644</v>
      </c>
      <c r="B151" t="s">
        <v>13</v>
      </c>
      <c r="C151" t="s">
        <v>132</v>
      </c>
      <c r="D151" t="s">
        <v>17</v>
      </c>
      <c r="E151" t="s">
        <v>136</v>
      </c>
      <c r="F151">
        <v>106588762.25</v>
      </c>
      <c r="G151" t="s">
        <v>134</v>
      </c>
      <c r="H151" t="s">
        <v>81</v>
      </c>
      <c r="I151" t="s">
        <v>9</v>
      </c>
      <c r="L151" t="s">
        <v>161</v>
      </c>
      <c r="M151">
        <v>-106588762.25</v>
      </c>
    </row>
    <row r="152" spans="1:13" x14ac:dyDescent="0.3">
      <c r="A152" s="23">
        <v>45544</v>
      </c>
      <c r="B152" t="s">
        <v>13</v>
      </c>
      <c r="C152" t="s">
        <v>132</v>
      </c>
      <c r="D152" t="s">
        <v>17</v>
      </c>
      <c r="E152" t="s">
        <v>41</v>
      </c>
      <c r="F152">
        <v>106300000</v>
      </c>
      <c r="G152" t="s">
        <v>26</v>
      </c>
      <c r="H152" t="s">
        <v>81</v>
      </c>
      <c r="I152" t="s">
        <v>9</v>
      </c>
      <c r="L152" t="s">
        <v>161</v>
      </c>
      <c r="M152">
        <v>-106300000</v>
      </c>
    </row>
    <row r="153" spans="1:13" x14ac:dyDescent="0.3">
      <c r="A153" s="23">
        <v>45637</v>
      </c>
      <c r="B153" t="s">
        <v>13</v>
      </c>
      <c r="C153" t="s">
        <v>132</v>
      </c>
      <c r="D153" t="s">
        <v>17</v>
      </c>
      <c r="E153" t="s">
        <v>136</v>
      </c>
      <c r="F153">
        <v>106249930.88</v>
      </c>
      <c r="G153" t="s">
        <v>134</v>
      </c>
      <c r="H153" t="s">
        <v>81</v>
      </c>
      <c r="I153" t="s">
        <v>9</v>
      </c>
      <c r="L153" t="s">
        <v>161</v>
      </c>
      <c r="M153">
        <v>-106249930.88</v>
      </c>
    </row>
    <row r="154" spans="1:13" x14ac:dyDescent="0.3">
      <c r="A154" s="23">
        <v>45701</v>
      </c>
      <c r="B154" t="s">
        <v>13</v>
      </c>
      <c r="C154" t="s">
        <v>132</v>
      </c>
      <c r="D154" t="s">
        <v>17</v>
      </c>
      <c r="E154" t="s">
        <v>193</v>
      </c>
      <c r="F154">
        <v>105964239.47</v>
      </c>
      <c r="G154" t="s">
        <v>131</v>
      </c>
      <c r="H154" t="s">
        <v>81</v>
      </c>
      <c r="I154" t="s">
        <v>9</v>
      </c>
      <c r="L154" t="s">
        <v>161</v>
      </c>
      <c r="M154">
        <v>-105964239.47</v>
      </c>
    </row>
    <row r="155" spans="1:13" x14ac:dyDescent="0.3">
      <c r="A155" s="23">
        <v>45476</v>
      </c>
      <c r="B155" t="s">
        <v>13</v>
      </c>
      <c r="C155" t="s">
        <v>132</v>
      </c>
      <c r="D155" t="s">
        <v>17</v>
      </c>
      <c r="E155" t="s">
        <v>136</v>
      </c>
      <c r="F155">
        <v>105765265</v>
      </c>
      <c r="G155" t="s">
        <v>134</v>
      </c>
      <c r="H155" t="s">
        <v>81</v>
      </c>
      <c r="I155" t="s">
        <v>9</v>
      </c>
      <c r="L155" t="s">
        <v>161</v>
      </c>
      <c r="M155">
        <v>-105765265</v>
      </c>
    </row>
    <row r="156" spans="1:13" x14ac:dyDescent="0.3">
      <c r="A156" s="23">
        <v>45540</v>
      </c>
      <c r="B156" t="s">
        <v>13</v>
      </c>
      <c r="C156" t="s">
        <v>132</v>
      </c>
      <c r="D156" t="s">
        <v>17</v>
      </c>
      <c r="E156" t="s">
        <v>169</v>
      </c>
      <c r="F156">
        <v>104434687.5</v>
      </c>
      <c r="G156" t="s">
        <v>131</v>
      </c>
      <c r="H156" t="s">
        <v>81</v>
      </c>
      <c r="I156" t="s">
        <v>9</v>
      </c>
      <c r="L156" t="s">
        <v>161</v>
      </c>
      <c r="M156">
        <v>-104434687.5</v>
      </c>
    </row>
    <row r="157" spans="1:13" x14ac:dyDescent="0.3">
      <c r="A157" s="23">
        <v>45308</v>
      </c>
      <c r="B157" t="s">
        <v>13</v>
      </c>
      <c r="C157" t="s">
        <v>143</v>
      </c>
      <c r="D157" t="s">
        <v>17</v>
      </c>
      <c r="E157" t="s">
        <v>149</v>
      </c>
      <c r="F157">
        <v>102966036.44</v>
      </c>
      <c r="G157" t="s">
        <v>140</v>
      </c>
      <c r="H157" t="s">
        <v>81</v>
      </c>
      <c r="I157" t="s">
        <v>9</v>
      </c>
      <c r="M157">
        <v>-102966036.44</v>
      </c>
    </row>
    <row r="158" spans="1:13" x14ac:dyDescent="0.3">
      <c r="A158" s="23">
        <v>45610</v>
      </c>
      <c r="B158" t="s">
        <v>13</v>
      </c>
      <c r="C158" t="s">
        <v>132</v>
      </c>
      <c r="D158" t="s">
        <v>17</v>
      </c>
      <c r="E158" t="s">
        <v>180</v>
      </c>
      <c r="F158">
        <v>102636215.45</v>
      </c>
      <c r="G158" t="s">
        <v>181</v>
      </c>
      <c r="H158" t="s">
        <v>81</v>
      </c>
      <c r="I158" t="s">
        <v>9</v>
      </c>
      <c r="L158" t="s">
        <v>161</v>
      </c>
      <c r="M158">
        <v>-102636215.45</v>
      </c>
    </row>
    <row r="159" spans="1:13" x14ac:dyDescent="0.3">
      <c r="A159" s="23">
        <v>45625</v>
      </c>
      <c r="B159" t="s">
        <v>13</v>
      </c>
      <c r="C159" t="s">
        <v>132</v>
      </c>
      <c r="D159" t="s">
        <v>17</v>
      </c>
      <c r="E159" t="s">
        <v>136</v>
      </c>
      <c r="F159">
        <v>102496320.40000001</v>
      </c>
      <c r="G159" t="s">
        <v>134</v>
      </c>
      <c r="H159" t="s">
        <v>81</v>
      </c>
      <c r="I159" t="s">
        <v>9</v>
      </c>
      <c r="L159" t="s">
        <v>161</v>
      </c>
      <c r="M159">
        <v>-102496320.40000001</v>
      </c>
    </row>
    <row r="160" spans="1:13" x14ac:dyDescent="0.3">
      <c r="A160" s="23">
        <v>44764</v>
      </c>
      <c r="B160" t="s">
        <v>13</v>
      </c>
      <c r="C160" t="s">
        <v>132</v>
      </c>
      <c r="D160" t="s">
        <v>17</v>
      </c>
      <c r="E160" t="s">
        <v>46</v>
      </c>
      <c r="F160">
        <v>101712074.19</v>
      </c>
      <c r="G160" t="s">
        <v>28</v>
      </c>
      <c r="H160" t="s">
        <v>81</v>
      </c>
      <c r="I160" t="s">
        <v>9</v>
      </c>
      <c r="L160" t="s">
        <v>161</v>
      </c>
      <c r="M160">
        <v>-101712074.19</v>
      </c>
    </row>
    <row r="161" spans="1:13" x14ac:dyDescent="0.3">
      <c r="A161" s="23">
        <v>45079</v>
      </c>
      <c r="B161" t="s">
        <v>13</v>
      </c>
      <c r="C161" t="s">
        <v>132</v>
      </c>
      <c r="D161" t="s">
        <v>17</v>
      </c>
      <c r="E161" t="s">
        <v>46</v>
      </c>
      <c r="F161">
        <v>101600000</v>
      </c>
      <c r="G161" t="s">
        <v>28</v>
      </c>
      <c r="H161" t="s">
        <v>81</v>
      </c>
      <c r="I161" t="s">
        <v>9</v>
      </c>
      <c r="L161" t="s">
        <v>161</v>
      </c>
      <c r="M161">
        <v>-101600000</v>
      </c>
    </row>
    <row r="162" spans="1:13" x14ac:dyDescent="0.3">
      <c r="A162" s="23">
        <v>45659</v>
      </c>
      <c r="B162" t="s">
        <v>13</v>
      </c>
      <c r="C162" t="s">
        <v>132</v>
      </c>
      <c r="D162" t="s">
        <v>17</v>
      </c>
      <c r="E162" t="s">
        <v>41</v>
      </c>
      <c r="F162">
        <v>100700000</v>
      </c>
      <c r="G162" t="s">
        <v>26</v>
      </c>
      <c r="H162" t="s">
        <v>81</v>
      </c>
      <c r="I162" t="s">
        <v>9</v>
      </c>
      <c r="L162" t="s">
        <v>161</v>
      </c>
      <c r="M162">
        <v>-100700000</v>
      </c>
    </row>
    <row r="163" spans="1:13" x14ac:dyDescent="0.3">
      <c r="A163" s="23">
        <v>45331</v>
      </c>
      <c r="B163" t="s">
        <v>13</v>
      </c>
      <c r="C163" t="s">
        <v>132</v>
      </c>
      <c r="D163" t="s">
        <v>17</v>
      </c>
      <c r="E163" t="s">
        <v>136</v>
      </c>
      <c r="F163">
        <v>100100000</v>
      </c>
      <c r="G163" t="s">
        <v>134</v>
      </c>
      <c r="H163" t="s">
        <v>81</v>
      </c>
      <c r="I163" t="s">
        <v>9</v>
      </c>
      <c r="L163" t="s">
        <v>161</v>
      </c>
      <c r="M163">
        <v>-100100000</v>
      </c>
    </row>
    <row r="164" spans="1:13" x14ac:dyDescent="0.3">
      <c r="A164" s="23">
        <v>45070</v>
      </c>
      <c r="B164" t="s">
        <v>13</v>
      </c>
      <c r="C164" t="s">
        <v>132</v>
      </c>
      <c r="D164" t="s">
        <v>17</v>
      </c>
      <c r="E164" t="s">
        <v>136</v>
      </c>
      <c r="F164">
        <v>100040000</v>
      </c>
      <c r="G164" t="s">
        <v>134</v>
      </c>
      <c r="H164" t="s">
        <v>81</v>
      </c>
      <c r="I164" t="s">
        <v>9</v>
      </c>
      <c r="L164" t="s">
        <v>161</v>
      </c>
      <c r="M164">
        <v>-100040000</v>
      </c>
    </row>
    <row r="165" spans="1:13" x14ac:dyDescent="0.3">
      <c r="A165" s="23">
        <v>45728</v>
      </c>
      <c r="B165" t="s">
        <v>13</v>
      </c>
      <c r="C165" t="s">
        <v>132</v>
      </c>
      <c r="D165" t="s">
        <v>17</v>
      </c>
      <c r="E165" t="s">
        <v>136</v>
      </c>
      <c r="F165">
        <v>100000000</v>
      </c>
      <c r="G165" t="s">
        <v>134</v>
      </c>
      <c r="H165" t="s">
        <v>81</v>
      </c>
      <c r="I165" t="s">
        <v>9</v>
      </c>
      <c r="L165" t="s">
        <v>161</v>
      </c>
      <c r="M165">
        <v>-100000000</v>
      </c>
    </row>
    <row r="166" spans="1:13" x14ac:dyDescent="0.3">
      <c r="A166" s="23">
        <v>45722</v>
      </c>
      <c r="B166" t="s">
        <v>13</v>
      </c>
      <c r="C166" t="s">
        <v>132</v>
      </c>
      <c r="D166" t="s">
        <v>17</v>
      </c>
      <c r="E166" t="s">
        <v>136</v>
      </c>
      <c r="F166">
        <v>100000000</v>
      </c>
      <c r="G166" t="s">
        <v>134</v>
      </c>
      <c r="H166" t="s">
        <v>81</v>
      </c>
      <c r="I166" t="s">
        <v>9</v>
      </c>
      <c r="L166" t="s">
        <v>161</v>
      </c>
      <c r="M166">
        <v>-100000000</v>
      </c>
    </row>
    <row r="167" spans="1:13" x14ac:dyDescent="0.3">
      <c r="A167" s="23">
        <v>45643</v>
      </c>
      <c r="B167" t="s">
        <v>13</v>
      </c>
      <c r="C167" t="s">
        <v>132</v>
      </c>
      <c r="D167" t="s">
        <v>17</v>
      </c>
      <c r="E167" t="s">
        <v>136</v>
      </c>
      <c r="F167">
        <v>100000000</v>
      </c>
      <c r="G167" t="s">
        <v>134</v>
      </c>
      <c r="H167" t="s">
        <v>81</v>
      </c>
      <c r="I167" t="s">
        <v>9</v>
      </c>
      <c r="L167" t="s">
        <v>161</v>
      </c>
      <c r="M167">
        <v>-100000000</v>
      </c>
    </row>
    <row r="168" spans="1:13" x14ac:dyDescent="0.3">
      <c r="A168" s="23">
        <v>45481</v>
      </c>
      <c r="B168" t="s">
        <v>13</v>
      </c>
      <c r="C168" t="s">
        <v>132</v>
      </c>
      <c r="D168" t="s">
        <v>17</v>
      </c>
      <c r="E168" t="s">
        <v>136</v>
      </c>
      <c r="F168">
        <v>100000000</v>
      </c>
      <c r="G168" t="s">
        <v>134</v>
      </c>
      <c r="H168" t="s">
        <v>81</v>
      </c>
      <c r="I168" t="s">
        <v>9</v>
      </c>
      <c r="L168" t="s">
        <v>161</v>
      </c>
      <c r="M168">
        <v>-100000000</v>
      </c>
    </row>
    <row r="169" spans="1:13" x14ac:dyDescent="0.3">
      <c r="A169" s="23">
        <v>45449</v>
      </c>
      <c r="B169" t="s">
        <v>13</v>
      </c>
      <c r="C169" t="s">
        <v>132</v>
      </c>
      <c r="D169" t="s">
        <v>17</v>
      </c>
      <c r="E169" t="s">
        <v>136</v>
      </c>
      <c r="F169">
        <v>100000000</v>
      </c>
      <c r="G169" t="s">
        <v>134</v>
      </c>
      <c r="H169" t="s">
        <v>81</v>
      </c>
      <c r="I169" t="s">
        <v>9</v>
      </c>
      <c r="L169" t="s">
        <v>161</v>
      </c>
      <c r="M169">
        <v>-100000000</v>
      </c>
    </row>
    <row r="170" spans="1:13" x14ac:dyDescent="0.3">
      <c r="A170" s="23">
        <v>45082</v>
      </c>
      <c r="B170" t="s">
        <v>13</v>
      </c>
      <c r="C170" t="s">
        <v>132</v>
      </c>
      <c r="D170" t="s">
        <v>17</v>
      </c>
      <c r="E170" t="s">
        <v>136</v>
      </c>
      <c r="F170">
        <v>100000000</v>
      </c>
      <c r="G170" t="s">
        <v>134</v>
      </c>
      <c r="H170" t="s">
        <v>81</v>
      </c>
      <c r="I170" t="s">
        <v>9</v>
      </c>
      <c r="L170" t="s">
        <v>161</v>
      </c>
      <c r="M170">
        <v>-100000000</v>
      </c>
    </row>
    <row r="171" spans="1:13" x14ac:dyDescent="0.3">
      <c r="A171" s="23">
        <v>45736</v>
      </c>
      <c r="B171" t="s">
        <v>13</v>
      </c>
      <c r="C171" t="s">
        <v>132</v>
      </c>
      <c r="D171" t="s">
        <v>17</v>
      </c>
      <c r="E171" t="s">
        <v>41</v>
      </c>
      <c r="F171">
        <v>100000000</v>
      </c>
      <c r="G171" t="s">
        <v>26</v>
      </c>
      <c r="H171" t="s">
        <v>81</v>
      </c>
      <c r="I171" t="s">
        <v>9</v>
      </c>
      <c r="L171" t="s">
        <v>161</v>
      </c>
      <c r="M171">
        <v>-100000000</v>
      </c>
    </row>
    <row r="172" spans="1:13" x14ac:dyDescent="0.3">
      <c r="A172" s="23">
        <v>45689</v>
      </c>
      <c r="B172" t="s">
        <v>13</v>
      </c>
      <c r="C172" t="s">
        <v>132</v>
      </c>
      <c r="D172" t="s">
        <v>17</v>
      </c>
      <c r="E172" t="s">
        <v>48</v>
      </c>
      <c r="F172">
        <v>100000000</v>
      </c>
      <c r="G172" t="s">
        <v>29</v>
      </c>
      <c r="H172" t="s">
        <v>81</v>
      </c>
      <c r="I172" t="s">
        <v>9</v>
      </c>
      <c r="L172" t="s">
        <v>161</v>
      </c>
      <c r="M172">
        <v>-100000000</v>
      </c>
    </row>
    <row r="173" spans="1:13" x14ac:dyDescent="0.3">
      <c r="A173" s="23">
        <v>45652</v>
      </c>
      <c r="B173" t="s">
        <v>13</v>
      </c>
      <c r="C173" t="s">
        <v>132</v>
      </c>
      <c r="D173" t="s">
        <v>17</v>
      </c>
      <c r="E173" t="s">
        <v>48</v>
      </c>
      <c r="F173">
        <v>100000000</v>
      </c>
      <c r="G173" t="s">
        <v>29</v>
      </c>
      <c r="H173" t="s">
        <v>81</v>
      </c>
      <c r="I173" t="s">
        <v>9</v>
      </c>
      <c r="L173" t="s">
        <v>161</v>
      </c>
      <c r="M173">
        <v>-100000000</v>
      </c>
    </row>
    <row r="174" spans="1:13" x14ac:dyDescent="0.3">
      <c r="A174" s="23">
        <v>45607</v>
      </c>
      <c r="B174" t="s">
        <v>13</v>
      </c>
      <c r="C174" t="s">
        <v>132</v>
      </c>
      <c r="D174" t="s">
        <v>17</v>
      </c>
      <c r="E174" t="s">
        <v>48</v>
      </c>
      <c r="F174">
        <v>100000000</v>
      </c>
      <c r="G174" t="s">
        <v>29</v>
      </c>
      <c r="H174" t="s">
        <v>81</v>
      </c>
      <c r="I174" t="s">
        <v>9</v>
      </c>
      <c r="L174" t="s">
        <v>161</v>
      </c>
      <c r="M174">
        <v>-100000000</v>
      </c>
    </row>
    <row r="175" spans="1:13" x14ac:dyDescent="0.3">
      <c r="A175" s="23">
        <v>44830</v>
      </c>
      <c r="B175" t="s">
        <v>13</v>
      </c>
      <c r="C175" t="s">
        <v>132</v>
      </c>
      <c r="D175" t="s">
        <v>17</v>
      </c>
      <c r="E175" t="s">
        <v>48</v>
      </c>
      <c r="F175">
        <v>100000000</v>
      </c>
      <c r="G175" t="s">
        <v>29</v>
      </c>
      <c r="H175" t="s">
        <v>81</v>
      </c>
      <c r="I175" t="s">
        <v>9</v>
      </c>
      <c r="L175" t="s">
        <v>161</v>
      </c>
      <c r="M175">
        <v>-100000000</v>
      </c>
    </row>
    <row r="176" spans="1:13" x14ac:dyDescent="0.3">
      <c r="A176" s="23">
        <v>45457</v>
      </c>
      <c r="B176" t="s">
        <v>13</v>
      </c>
      <c r="C176" t="s">
        <v>132</v>
      </c>
      <c r="D176" t="s">
        <v>17</v>
      </c>
      <c r="E176" t="s">
        <v>169</v>
      </c>
      <c r="F176">
        <v>100000000</v>
      </c>
      <c r="G176" t="s">
        <v>131</v>
      </c>
      <c r="H176" t="s">
        <v>81</v>
      </c>
      <c r="I176" t="s">
        <v>9</v>
      </c>
      <c r="L176" t="s">
        <v>161</v>
      </c>
      <c r="M176">
        <v>-100000000</v>
      </c>
    </row>
    <row r="177" spans="1:13" x14ac:dyDescent="0.3">
      <c r="A177" s="23">
        <v>45391</v>
      </c>
      <c r="B177" t="s">
        <v>13</v>
      </c>
      <c r="C177" t="s">
        <v>132</v>
      </c>
      <c r="D177" t="s">
        <v>17</v>
      </c>
      <c r="E177" t="s">
        <v>169</v>
      </c>
      <c r="F177">
        <v>100000000</v>
      </c>
      <c r="G177" t="s">
        <v>131</v>
      </c>
      <c r="H177" t="s">
        <v>81</v>
      </c>
      <c r="I177" t="s">
        <v>9</v>
      </c>
      <c r="L177" t="s">
        <v>161</v>
      </c>
      <c r="M177">
        <v>-100000000</v>
      </c>
    </row>
    <row r="178" spans="1:13" x14ac:dyDescent="0.3">
      <c r="A178" s="23">
        <v>45343</v>
      </c>
      <c r="B178" t="s">
        <v>13</v>
      </c>
      <c r="C178" t="s">
        <v>132</v>
      </c>
      <c r="D178" t="s">
        <v>17</v>
      </c>
      <c r="E178" t="s">
        <v>180</v>
      </c>
      <c r="F178">
        <v>100000000</v>
      </c>
      <c r="G178" t="s">
        <v>181</v>
      </c>
      <c r="H178" t="s">
        <v>81</v>
      </c>
      <c r="I178" t="s">
        <v>9</v>
      </c>
      <c r="L178" t="s">
        <v>161</v>
      </c>
      <c r="M178">
        <v>-100000000</v>
      </c>
    </row>
    <row r="179" spans="1:13" x14ac:dyDescent="0.3">
      <c r="A179" s="23">
        <v>45659</v>
      </c>
      <c r="B179" t="s">
        <v>13</v>
      </c>
      <c r="C179" t="s">
        <v>132</v>
      </c>
      <c r="D179" t="s">
        <v>17</v>
      </c>
      <c r="E179" t="s">
        <v>193</v>
      </c>
      <c r="F179">
        <v>100000000</v>
      </c>
      <c r="G179" t="s">
        <v>131</v>
      </c>
      <c r="H179" t="s">
        <v>81</v>
      </c>
      <c r="I179" t="s">
        <v>9</v>
      </c>
      <c r="L179" t="s">
        <v>161</v>
      </c>
      <c r="M179">
        <v>-100000000</v>
      </c>
    </row>
    <row r="180" spans="1:13" x14ac:dyDescent="0.3">
      <c r="A180" s="23">
        <v>45631</v>
      </c>
      <c r="B180" t="s">
        <v>13</v>
      </c>
      <c r="C180" t="s">
        <v>132</v>
      </c>
      <c r="D180" t="s">
        <v>17</v>
      </c>
      <c r="E180" t="s">
        <v>193</v>
      </c>
      <c r="F180">
        <v>100000000</v>
      </c>
      <c r="G180" t="s">
        <v>131</v>
      </c>
      <c r="H180" t="s">
        <v>81</v>
      </c>
      <c r="I180" t="s">
        <v>9</v>
      </c>
      <c r="L180" t="s">
        <v>161</v>
      </c>
      <c r="M180">
        <v>-100000000</v>
      </c>
    </row>
    <row r="181" spans="1:13" x14ac:dyDescent="0.3">
      <c r="A181" s="23">
        <v>45701</v>
      </c>
      <c r="B181" t="s">
        <v>13</v>
      </c>
      <c r="C181" t="s">
        <v>132</v>
      </c>
      <c r="D181" t="s">
        <v>17</v>
      </c>
      <c r="E181" t="s">
        <v>204</v>
      </c>
      <c r="F181">
        <v>100000000</v>
      </c>
      <c r="G181" t="s">
        <v>205</v>
      </c>
      <c r="H181" t="s">
        <v>81</v>
      </c>
      <c r="I181" t="s">
        <v>9</v>
      </c>
      <c r="L181" t="s">
        <v>161</v>
      </c>
      <c r="M181">
        <v>-100000000</v>
      </c>
    </row>
    <row r="182" spans="1:13" x14ac:dyDescent="0.3">
      <c r="A182" s="23">
        <v>45497</v>
      </c>
      <c r="B182" t="s">
        <v>13</v>
      </c>
      <c r="C182" t="s">
        <v>132</v>
      </c>
      <c r="D182" t="s">
        <v>17</v>
      </c>
      <c r="E182" t="s">
        <v>48</v>
      </c>
      <c r="F182">
        <v>99300000</v>
      </c>
      <c r="G182" t="s">
        <v>29</v>
      </c>
      <c r="H182" t="s">
        <v>81</v>
      </c>
      <c r="I182" t="s">
        <v>9</v>
      </c>
      <c r="L182" t="s">
        <v>161</v>
      </c>
      <c r="M182">
        <v>-99300000</v>
      </c>
    </row>
    <row r="183" spans="1:13" x14ac:dyDescent="0.3">
      <c r="A183" s="23">
        <v>45632</v>
      </c>
      <c r="B183" t="s">
        <v>13</v>
      </c>
      <c r="C183" t="s">
        <v>132</v>
      </c>
      <c r="D183" t="s">
        <v>17</v>
      </c>
      <c r="E183" t="s">
        <v>193</v>
      </c>
      <c r="F183">
        <v>99072332</v>
      </c>
      <c r="G183" t="s">
        <v>131</v>
      </c>
      <c r="H183" t="s">
        <v>81</v>
      </c>
      <c r="I183" t="s">
        <v>9</v>
      </c>
      <c r="L183" t="s">
        <v>161</v>
      </c>
      <c r="M183">
        <v>-99072332</v>
      </c>
    </row>
    <row r="184" spans="1:13" x14ac:dyDescent="0.3">
      <c r="A184" s="23">
        <v>45189</v>
      </c>
      <c r="B184" t="s">
        <v>13</v>
      </c>
      <c r="C184" t="s">
        <v>132</v>
      </c>
      <c r="D184" t="s">
        <v>17</v>
      </c>
      <c r="E184" t="s">
        <v>169</v>
      </c>
      <c r="F184">
        <v>98994049.75</v>
      </c>
      <c r="G184" t="s">
        <v>131</v>
      </c>
      <c r="H184" t="s">
        <v>81</v>
      </c>
      <c r="I184" t="s">
        <v>9</v>
      </c>
      <c r="L184" t="s">
        <v>161</v>
      </c>
      <c r="M184">
        <v>-98994049.75</v>
      </c>
    </row>
    <row r="185" spans="1:13" x14ac:dyDescent="0.3">
      <c r="A185" s="23">
        <v>45742</v>
      </c>
      <c r="B185" t="s">
        <v>13</v>
      </c>
      <c r="C185" t="s">
        <v>132</v>
      </c>
      <c r="D185" t="s">
        <v>17</v>
      </c>
      <c r="E185" t="s">
        <v>193</v>
      </c>
      <c r="F185">
        <v>98700000</v>
      </c>
      <c r="G185" t="s">
        <v>131</v>
      </c>
      <c r="H185" t="s">
        <v>81</v>
      </c>
      <c r="I185" t="s">
        <v>9</v>
      </c>
      <c r="L185" t="s">
        <v>161</v>
      </c>
      <c r="M185">
        <v>-98700000</v>
      </c>
    </row>
    <row r="186" spans="1:13" x14ac:dyDescent="0.3">
      <c r="A186" s="23">
        <v>44739</v>
      </c>
      <c r="B186" t="s">
        <v>13</v>
      </c>
      <c r="C186" t="s">
        <v>132</v>
      </c>
      <c r="D186" t="s">
        <v>17</v>
      </c>
      <c r="E186" t="s">
        <v>41</v>
      </c>
      <c r="F186">
        <v>97600000</v>
      </c>
      <c r="G186" t="s">
        <v>26</v>
      </c>
      <c r="H186" t="s">
        <v>81</v>
      </c>
      <c r="I186" t="s">
        <v>9</v>
      </c>
      <c r="L186" t="s">
        <v>161</v>
      </c>
      <c r="M186">
        <v>-97600000</v>
      </c>
    </row>
    <row r="187" spans="1:13" x14ac:dyDescent="0.3">
      <c r="A187" s="23">
        <v>45636</v>
      </c>
      <c r="B187" t="s">
        <v>13</v>
      </c>
      <c r="C187" t="s">
        <v>132</v>
      </c>
      <c r="D187" t="s">
        <v>17</v>
      </c>
      <c r="E187" t="s">
        <v>193</v>
      </c>
      <c r="F187">
        <v>96806190.230000004</v>
      </c>
      <c r="G187" t="s">
        <v>131</v>
      </c>
      <c r="H187" t="s">
        <v>81</v>
      </c>
      <c r="I187" t="s">
        <v>9</v>
      </c>
      <c r="L187" t="s">
        <v>161</v>
      </c>
      <c r="M187">
        <v>-96806190.230000004</v>
      </c>
    </row>
    <row r="188" spans="1:13" x14ac:dyDescent="0.3">
      <c r="A188" s="23">
        <v>45016</v>
      </c>
      <c r="B188" t="s">
        <v>13</v>
      </c>
      <c r="C188" t="s">
        <v>143</v>
      </c>
      <c r="D188" t="s">
        <v>17</v>
      </c>
      <c r="E188" t="s">
        <v>149</v>
      </c>
      <c r="F188">
        <v>96083847.5</v>
      </c>
      <c r="G188" t="s">
        <v>140</v>
      </c>
      <c r="H188" t="s">
        <v>81</v>
      </c>
      <c r="I188" t="s">
        <v>9</v>
      </c>
      <c r="J188" s="23">
        <v>45012</v>
      </c>
      <c r="L188" t="s">
        <v>244</v>
      </c>
      <c r="M188">
        <v>-96083847.5</v>
      </c>
    </row>
    <row r="189" spans="1:13" x14ac:dyDescent="0.3">
      <c r="A189" s="23">
        <v>45286</v>
      </c>
      <c r="B189" t="s">
        <v>13</v>
      </c>
      <c r="C189" t="s">
        <v>132</v>
      </c>
      <c r="D189" t="s">
        <v>17</v>
      </c>
      <c r="E189" t="s">
        <v>48</v>
      </c>
      <c r="F189">
        <v>95215329.469999999</v>
      </c>
      <c r="G189" t="s">
        <v>29</v>
      </c>
      <c r="H189" t="s">
        <v>81</v>
      </c>
      <c r="I189" t="s">
        <v>9</v>
      </c>
      <c r="L189" t="s">
        <v>161</v>
      </c>
      <c r="M189">
        <v>-95215329.469999999</v>
      </c>
    </row>
    <row r="190" spans="1:13" x14ac:dyDescent="0.3">
      <c r="A190" s="23">
        <v>45443</v>
      </c>
      <c r="B190" t="s">
        <v>13</v>
      </c>
      <c r="C190" t="s">
        <v>132</v>
      </c>
      <c r="D190" t="s">
        <v>17</v>
      </c>
      <c r="E190" t="s">
        <v>41</v>
      </c>
      <c r="F190">
        <v>94300000</v>
      </c>
      <c r="G190" t="s">
        <v>26</v>
      </c>
      <c r="H190" t="s">
        <v>81</v>
      </c>
      <c r="I190" t="s">
        <v>9</v>
      </c>
      <c r="L190" t="s">
        <v>161</v>
      </c>
      <c r="M190">
        <v>-94300000</v>
      </c>
    </row>
    <row r="191" spans="1:13" x14ac:dyDescent="0.3">
      <c r="A191" s="23">
        <v>45194</v>
      </c>
      <c r="B191" t="s">
        <v>13</v>
      </c>
      <c r="C191" t="s">
        <v>132</v>
      </c>
      <c r="D191" t="s">
        <v>17</v>
      </c>
      <c r="E191" t="s">
        <v>169</v>
      </c>
      <c r="F191">
        <v>94083638.900000006</v>
      </c>
      <c r="G191" t="s">
        <v>131</v>
      </c>
      <c r="H191" t="s">
        <v>81</v>
      </c>
      <c r="I191" t="s">
        <v>9</v>
      </c>
      <c r="L191" t="s">
        <v>161</v>
      </c>
      <c r="M191">
        <v>-94083638.900000006</v>
      </c>
    </row>
    <row r="192" spans="1:13" x14ac:dyDescent="0.3">
      <c r="A192" s="23">
        <v>45169</v>
      </c>
      <c r="B192" t="s">
        <v>13</v>
      </c>
      <c r="C192" t="s">
        <v>132</v>
      </c>
      <c r="D192" t="s">
        <v>17</v>
      </c>
      <c r="E192" t="s">
        <v>162</v>
      </c>
      <c r="F192">
        <v>91372577.900000006</v>
      </c>
      <c r="G192" t="s">
        <v>22</v>
      </c>
      <c r="H192" t="s">
        <v>81</v>
      </c>
      <c r="I192" t="s">
        <v>9</v>
      </c>
      <c r="L192" t="s">
        <v>161</v>
      </c>
      <c r="M192">
        <v>-91372577.900000006</v>
      </c>
    </row>
    <row r="193" spans="1:13" x14ac:dyDescent="0.3">
      <c r="A193" s="23">
        <v>45631</v>
      </c>
      <c r="B193" t="s">
        <v>13</v>
      </c>
      <c r="C193" t="s">
        <v>132</v>
      </c>
      <c r="D193" t="s">
        <v>17</v>
      </c>
      <c r="E193" t="s">
        <v>206</v>
      </c>
      <c r="F193">
        <v>90207196</v>
      </c>
      <c r="G193" t="s">
        <v>207</v>
      </c>
      <c r="H193" t="s">
        <v>81</v>
      </c>
      <c r="I193" t="s">
        <v>9</v>
      </c>
      <c r="L193" t="s">
        <v>161</v>
      </c>
      <c r="M193">
        <v>-90207196</v>
      </c>
    </row>
    <row r="194" spans="1:13" x14ac:dyDescent="0.3">
      <c r="A194" s="23">
        <v>45517</v>
      </c>
      <c r="B194" t="s">
        <v>13</v>
      </c>
      <c r="C194" t="s">
        <v>132</v>
      </c>
      <c r="D194" t="s">
        <v>17</v>
      </c>
      <c r="E194" t="s">
        <v>48</v>
      </c>
      <c r="F194">
        <v>90000000</v>
      </c>
      <c r="G194" t="s">
        <v>29</v>
      </c>
      <c r="H194" t="s">
        <v>81</v>
      </c>
      <c r="I194" t="s">
        <v>9</v>
      </c>
      <c r="L194" t="s">
        <v>161</v>
      </c>
      <c r="M194">
        <v>-90000000</v>
      </c>
    </row>
    <row r="195" spans="1:13" x14ac:dyDescent="0.3">
      <c r="A195" s="23">
        <v>45267</v>
      </c>
      <c r="B195" t="s">
        <v>13</v>
      </c>
      <c r="C195" t="s">
        <v>132</v>
      </c>
      <c r="D195" t="s">
        <v>17</v>
      </c>
      <c r="E195" t="s">
        <v>46</v>
      </c>
      <c r="F195">
        <v>89900000</v>
      </c>
      <c r="G195" t="s">
        <v>28</v>
      </c>
      <c r="H195" t="s">
        <v>81</v>
      </c>
      <c r="I195" t="s">
        <v>9</v>
      </c>
      <c r="L195" t="s">
        <v>161</v>
      </c>
      <c r="M195">
        <v>-89900000</v>
      </c>
    </row>
    <row r="196" spans="1:13" x14ac:dyDescent="0.3">
      <c r="A196" s="23">
        <v>45714</v>
      </c>
      <c r="B196" t="s">
        <v>13</v>
      </c>
      <c r="C196" t="s">
        <v>132</v>
      </c>
      <c r="D196" t="s">
        <v>17</v>
      </c>
      <c r="E196" t="s">
        <v>41</v>
      </c>
      <c r="F196">
        <v>89500000</v>
      </c>
      <c r="G196" t="s">
        <v>26</v>
      </c>
      <c r="H196" t="s">
        <v>81</v>
      </c>
      <c r="I196" t="s">
        <v>9</v>
      </c>
      <c r="L196" t="s">
        <v>161</v>
      </c>
      <c r="M196">
        <v>-89500000</v>
      </c>
    </row>
    <row r="197" spans="1:13" x14ac:dyDescent="0.3">
      <c r="A197" s="23">
        <v>45635</v>
      </c>
      <c r="B197" t="s">
        <v>13</v>
      </c>
      <c r="C197" t="s">
        <v>132</v>
      </c>
      <c r="D197" t="s">
        <v>17</v>
      </c>
      <c r="E197" t="s">
        <v>136</v>
      </c>
      <c r="F197">
        <v>89252294</v>
      </c>
      <c r="G197" t="s">
        <v>134</v>
      </c>
      <c r="H197" t="s">
        <v>81</v>
      </c>
      <c r="I197" t="s">
        <v>9</v>
      </c>
      <c r="L197" t="s">
        <v>161</v>
      </c>
      <c r="M197">
        <v>-89252294</v>
      </c>
    </row>
    <row r="198" spans="1:13" x14ac:dyDescent="0.3">
      <c r="A198" s="23">
        <v>45040</v>
      </c>
      <c r="B198" t="s">
        <v>13</v>
      </c>
      <c r="C198" t="s">
        <v>143</v>
      </c>
      <c r="D198" t="s">
        <v>17</v>
      </c>
      <c r="E198" t="s">
        <v>149</v>
      </c>
      <c r="F198">
        <v>89086293.099999994</v>
      </c>
      <c r="G198" t="s">
        <v>140</v>
      </c>
      <c r="H198" t="s">
        <v>81</v>
      </c>
      <c r="I198" t="s">
        <v>9</v>
      </c>
      <c r="J198" s="23">
        <v>45019</v>
      </c>
      <c r="L198" t="s">
        <v>245</v>
      </c>
      <c r="M198">
        <v>-89086293.099999994</v>
      </c>
    </row>
    <row r="199" spans="1:13" x14ac:dyDescent="0.3">
      <c r="A199" s="23">
        <v>45414</v>
      </c>
      <c r="B199" t="s">
        <v>13</v>
      </c>
      <c r="C199" t="s">
        <v>132</v>
      </c>
      <c r="D199" t="s">
        <v>17</v>
      </c>
      <c r="E199" t="s">
        <v>169</v>
      </c>
      <c r="F199">
        <v>88267328</v>
      </c>
      <c r="G199" t="s">
        <v>131</v>
      </c>
      <c r="H199" t="s">
        <v>81</v>
      </c>
      <c r="I199" t="s">
        <v>9</v>
      </c>
      <c r="L199" t="s">
        <v>161</v>
      </c>
      <c r="M199">
        <v>-88267328</v>
      </c>
    </row>
    <row r="200" spans="1:13" x14ac:dyDescent="0.3">
      <c r="A200" s="23">
        <v>44746</v>
      </c>
      <c r="B200" t="s">
        <v>13</v>
      </c>
      <c r="C200" t="s">
        <v>143</v>
      </c>
      <c r="D200" t="s">
        <v>17</v>
      </c>
      <c r="E200" t="s">
        <v>149</v>
      </c>
      <c r="F200">
        <v>88071875.170000002</v>
      </c>
      <c r="G200" t="s">
        <v>140</v>
      </c>
      <c r="H200" t="s">
        <v>81</v>
      </c>
      <c r="I200" t="s">
        <v>9</v>
      </c>
      <c r="J200" s="23">
        <v>44746</v>
      </c>
      <c r="K200" t="s">
        <v>152</v>
      </c>
      <c r="L200" t="s">
        <v>217</v>
      </c>
      <c r="M200">
        <v>-88071875.170000002</v>
      </c>
    </row>
    <row r="201" spans="1:13" x14ac:dyDescent="0.3">
      <c r="A201" s="23">
        <v>45673</v>
      </c>
      <c r="B201" t="s">
        <v>13</v>
      </c>
      <c r="C201" t="s">
        <v>132</v>
      </c>
      <c r="D201" t="s">
        <v>17</v>
      </c>
      <c r="E201" t="s">
        <v>195</v>
      </c>
      <c r="F201">
        <v>87758560.310000002</v>
      </c>
      <c r="G201" t="s">
        <v>134</v>
      </c>
      <c r="H201" t="s">
        <v>81</v>
      </c>
      <c r="I201" t="s">
        <v>9</v>
      </c>
      <c r="L201" t="s">
        <v>161</v>
      </c>
      <c r="M201">
        <v>-87758560.310000002</v>
      </c>
    </row>
    <row r="202" spans="1:13" x14ac:dyDescent="0.3">
      <c r="A202" s="23">
        <v>45698</v>
      </c>
      <c r="B202" t="s">
        <v>13</v>
      </c>
      <c r="C202" t="s">
        <v>132</v>
      </c>
      <c r="D202" t="s">
        <v>17</v>
      </c>
      <c r="E202" t="s">
        <v>40</v>
      </c>
      <c r="F202">
        <v>87700000</v>
      </c>
      <c r="G202" t="s">
        <v>25</v>
      </c>
      <c r="H202" t="s">
        <v>81</v>
      </c>
      <c r="I202" t="s">
        <v>9</v>
      </c>
      <c r="L202" t="s">
        <v>161</v>
      </c>
      <c r="M202">
        <v>-87700000</v>
      </c>
    </row>
    <row r="203" spans="1:13" x14ac:dyDescent="0.3">
      <c r="A203" s="23">
        <v>45679</v>
      </c>
      <c r="B203" t="s">
        <v>13</v>
      </c>
      <c r="C203" t="s">
        <v>132</v>
      </c>
      <c r="D203" t="s">
        <v>17</v>
      </c>
      <c r="E203" t="s">
        <v>212</v>
      </c>
      <c r="F203">
        <v>87035074.799999997</v>
      </c>
      <c r="G203" t="s">
        <v>140</v>
      </c>
      <c r="H203" t="s">
        <v>81</v>
      </c>
      <c r="I203" t="s">
        <v>9</v>
      </c>
      <c r="L203" t="s">
        <v>161</v>
      </c>
      <c r="M203">
        <v>-87035074.799999997</v>
      </c>
    </row>
    <row r="204" spans="1:13" x14ac:dyDescent="0.3">
      <c r="A204" s="23">
        <v>45607</v>
      </c>
      <c r="B204" t="s">
        <v>13</v>
      </c>
      <c r="C204" t="s">
        <v>132</v>
      </c>
      <c r="D204" t="s">
        <v>17</v>
      </c>
      <c r="E204" t="s">
        <v>41</v>
      </c>
      <c r="F204">
        <v>86900000</v>
      </c>
      <c r="G204" t="s">
        <v>26</v>
      </c>
      <c r="H204" t="s">
        <v>81</v>
      </c>
      <c r="I204" t="s">
        <v>9</v>
      </c>
      <c r="L204" t="s">
        <v>161</v>
      </c>
      <c r="M204">
        <v>-86900000</v>
      </c>
    </row>
    <row r="205" spans="1:13" x14ac:dyDescent="0.3">
      <c r="A205" s="23">
        <v>45387</v>
      </c>
      <c r="B205" t="s">
        <v>13</v>
      </c>
      <c r="C205" t="s">
        <v>132</v>
      </c>
      <c r="D205" t="s">
        <v>17</v>
      </c>
      <c r="E205" t="s">
        <v>180</v>
      </c>
      <c r="F205">
        <v>86395355</v>
      </c>
      <c r="G205" t="s">
        <v>181</v>
      </c>
      <c r="H205" t="s">
        <v>81</v>
      </c>
      <c r="I205" t="s">
        <v>9</v>
      </c>
      <c r="L205" t="s">
        <v>161</v>
      </c>
      <c r="M205">
        <v>-86395355</v>
      </c>
    </row>
    <row r="206" spans="1:13" x14ac:dyDescent="0.3">
      <c r="A206" s="23">
        <v>44802</v>
      </c>
      <c r="B206" t="s">
        <v>13</v>
      </c>
      <c r="C206" t="s">
        <v>132</v>
      </c>
      <c r="D206" t="s">
        <v>17</v>
      </c>
      <c r="E206" t="s">
        <v>41</v>
      </c>
      <c r="F206">
        <v>85000000</v>
      </c>
      <c r="G206" t="s">
        <v>26</v>
      </c>
      <c r="H206" t="s">
        <v>81</v>
      </c>
      <c r="I206" t="s">
        <v>9</v>
      </c>
      <c r="L206" t="s">
        <v>161</v>
      </c>
      <c r="M206">
        <v>-85000000</v>
      </c>
    </row>
    <row r="207" spans="1:13" x14ac:dyDescent="0.3">
      <c r="A207" s="23">
        <v>45209</v>
      </c>
      <c r="B207" t="s">
        <v>13</v>
      </c>
      <c r="C207" t="s">
        <v>132</v>
      </c>
      <c r="D207" t="s">
        <v>17</v>
      </c>
      <c r="E207" t="s">
        <v>169</v>
      </c>
      <c r="F207">
        <v>84100000</v>
      </c>
      <c r="G207" t="s">
        <v>131</v>
      </c>
      <c r="H207" t="s">
        <v>81</v>
      </c>
      <c r="I207" t="s">
        <v>9</v>
      </c>
      <c r="L207" t="s">
        <v>161</v>
      </c>
      <c r="M207">
        <v>-84100000</v>
      </c>
    </row>
    <row r="208" spans="1:13" x14ac:dyDescent="0.3">
      <c r="A208" s="23">
        <v>45288</v>
      </c>
      <c r="B208" t="s">
        <v>13</v>
      </c>
      <c r="C208" t="s">
        <v>143</v>
      </c>
      <c r="D208" t="s">
        <v>17</v>
      </c>
      <c r="E208" t="s">
        <v>149</v>
      </c>
      <c r="F208">
        <v>83879124.950000003</v>
      </c>
      <c r="G208" t="s">
        <v>140</v>
      </c>
      <c r="H208" t="s">
        <v>81</v>
      </c>
      <c r="I208" t="s">
        <v>9</v>
      </c>
      <c r="M208">
        <v>-83879124.950000003</v>
      </c>
    </row>
    <row r="209" spans="1:13" x14ac:dyDescent="0.3">
      <c r="A209" s="23">
        <v>45621</v>
      </c>
      <c r="B209" t="s">
        <v>13</v>
      </c>
      <c r="C209" t="s">
        <v>132</v>
      </c>
      <c r="D209" t="s">
        <v>17</v>
      </c>
      <c r="E209" t="s">
        <v>136</v>
      </c>
      <c r="F209">
        <v>82403840</v>
      </c>
      <c r="G209" t="s">
        <v>134</v>
      </c>
      <c r="H209" t="s">
        <v>81</v>
      </c>
      <c r="I209" t="s">
        <v>9</v>
      </c>
      <c r="L209" t="s">
        <v>161</v>
      </c>
      <c r="M209">
        <v>-82403840</v>
      </c>
    </row>
    <row r="210" spans="1:13" x14ac:dyDescent="0.3">
      <c r="A210" s="23">
        <v>45205</v>
      </c>
      <c r="B210" t="s">
        <v>13</v>
      </c>
      <c r="C210" t="s">
        <v>132</v>
      </c>
      <c r="D210" t="s">
        <v>17</v>
      </c>
      <c r="E210" t="s">
        <v>136</v>
      </c>
      <c r="F210">
        <v>80070417</v>
      </c>
      <c r="G210" t="s">
        <v>134</v>
      </c>
      <c r="H210" t="s">
        <v>81</v>
      </c>
      <c r="I210" t="s">
        <v>9</v>
      </c>
      <c r="L210" t="s">
        <v>161</v>
      </c>
      <c r="M210">
        <v>-80070417</v>
      </c>
    </row>
    <row r="211" spans="1:13" x14ac:dyDescent="0.3">
      <c r="A211" s="23">
        <v>45635</v>
      </c>
      <c r="B211" t="s">
        <v>13</v>
      </c>
      <c r="C211" t="s">
        <v>132</v>
      </c>
      <c r="D211" t="s">
        <v>17</v>
      </c>
      <c r="E211" t="s">
        <v>136</v>
      </c>
      <c r="F211">
        <v>80000000</v>
      </c>
      <c r="G211" t="s">
        <v>134</v>
      </c>
      <c r="H211" t="s">
        <v>81</v>
      </c>
      <c r="I211" t="s">
        <v>9</v>
      </c>
      <c r="L211" t="s">
        <v>161</v>
      </c>
      <c r="M211">
        <v>-80000000</v>
      </c>
    </row>
    <row r="212" spans="1:13" x14ac:dyDescent="0.3">
      <c r="A212" s="23">
        <v>45436</v>
      </c>
      <c r="B212" t="s">
        <v>13</v>
      </c>
      <c r="C212" t="s">
        <v>132</v>
      </c>
      <c r="D212" t="s">
        <v>17</v>
      </c>
      <c r="E212" t="s">
        <v>169</v>
      </c>
      <c r="F212">
        <v>80000000</v>
      </c>
      <c r="G212" t="s">
        <v>131</v>
      </c>
      <c r="H212" t="s">
        <v>81</v>
      </c>
      <c r="I212" t="s">
        <v>9</v>
      </c>
      <c r="L212" t="s">
        <v>161</v>
      </c>
      <c r="M212">
        <v>-80000000</v>
      </c>
    </row>
    <row r="213" spans="1:13" x14ac:dyDescent="0.3">
      <c r="A213" s="23">
        <v>45509</v>
      </c>
      <c r="B213" t="s">
        <v>13</v>
      </c>
      <c r="C213" t="s">
        <v>132</v>
      </c>
      <c r="D213" t="s">
        <v>17</v>
      </c>
      <c r="E213" t="s">
        <v>180</v>
      </c>
      <c r="F213">
        <v>80000000</v>
      </c>
      <c r="G213" t="s">
        <v>181</v>
      </c>
      <c r="H213" t="s">
        <v>81</v>
      </c>
      <c r="I213" t="s">
        <v>9</v>
      </c>
      <c r="L213" t="s">
        <v>161</v>
      </c>
      <c r="M213">
        <v>-80000000</v>
      </c>
    </row>
    <row r="214" spans="1:13" x14ac:dyDescent="0.3">
      <c r="A214" s="23">
        <v>45331</v>
      </c>
      <c r="B214" t="s">
        <v>13</v>
      </c>
      <c r="C214" t="s">
        <v>132</v>
      </c>
      <c r="D214" t="s">
        <v>17</v>
      </c>
      <c r="E214" t="s">
        <v>180</v>
      </c>
      <c r="F214">
        <v>80000000</v>
      </c>
      <c r="G214" t="s">
        <v>181</v>
      </c>
      <c r="H214" t="s">
        <v>81</v>
      </c>
      <c r="I214" t="s">
        <v>9</v>
      </c>
      <c r="L214" t="s">
        <v>161</v>
      </c>
      <c r="M214">
        <v>-80000000</v>
      </c>
    </row>
    <row r="215" spans="1:13" x14ac:dyDescent="0.3">
      <c r="A215" s="23">
        <v>45687</v>
      </c>
      <c r="B215" t="s">
        <v>13</v>
      </c>
      <c r="C215" t="s">
        <v>132</v>
      </c>
      <c r="D215" t="s">
        <v>17</v>
      </c>
      <c r="E215" t="s">
        <v>204</v>
      </c>
      <c r="F215">
        <v>78985280</v>
      </c>
      <c r="G215" t="s">
        <v>205</v>
      </c>
      <c r="H215" t="s">
        <v>81</v>
      </c>
      <c r="I215" t="s">
        <v>9</v>
      </c>
      <c r="L215" t="s">
        <v>161</v>
      </c>
      <c r="M215">
        <v>-78985280</v>
      </c>
    </row>
    <row r="216" spans="1:13" x14ac:dyDescent="0.3">
      <c r="A216" s="23">
        <v>45610</v>
      </c>
      <c r="B216" t="s">
        <v>13</v>
      </c>
      <c r="C216" t="s">
        <v>132</v>
      </c>
      <c r="D216" t="s">
        <v>17</v>
      </c>
      <c r="E216" t="s">
        <v>193</v>
      </c>
      <c r="F216">
        <v>78904081.219999999</v>
      </c>
      <c r="G216" t="s">
        <v>131</v>
      </c>
      <c r="H216" t="s">
        <v>81</v>
      </c>
      <c r="I216" t="s">
        <v>9</v>
      </c>
      <c r="L216" t="s">
        <v>161</v>
      </c>
      <c r="M216">
        <v>-78904081.219999999</v>
      </c>
    </row>
    <row r="217" spans="1:13" x14ac:dyDescent="0.3">
      <c r="A217" s="23">
        <v>44876</v>
      </c>
      <c r="B217" t="s">
        <v>13</v>
      </c>
      <c r="C217" t="s">
        <v>132</v>
      </c>
      <c r="D217" t="s">
        <v>17</v>
      </c>
      <c r="E217" t="s">
        <v>41</v>
      </c>
      <c r="F217">
        <v>78400000</v>
      </c>
      <c r="G217" t="s">
        <v>26</v>
      </c>
      <c r="H217" t="s">
        <v>81</v>
      </c>
      <c r="I217" t="s">
        <v>9</v>
      </c>
      <c r="L217" t="s">
        <v>161</v>
      </c>
      <c r="M217">
        <v>-78400000</v>
      </c>
    </row>
    <row r="218" spans="1:13" x14ac:dyDescent="0.3">
      <c r="A218" s="23">
        <v>45356</v>
      </c>
      <c r="B218" t="s">
        <v>13</v>
      </c>
      <c r="C218" t="s">
        <v>143</v>
      </c>
      <c r="D218" t="s">
        <v>17</v>
      </c>
      <c r="E218" t="s">
        <v>149</v>
      </c>
      <c r="F218">
        <v>77332632.150000006</v>
      </c>
      <c r="G218" t="s">
        <v>140</v>
      </c>
      <c r="H218" t="s">
        <v>81</v>
      </c>
      <c r="I218" t="s">
        <v>9</v>
      </c>
      <c r="M218">
        <v>-77332632.150000006</v>
      </c>
    </row>
    <row r="219" spans="1:13" x14ac:dyDescent="0.3">
      <c r="A219" s="23">
        <v>45673</v>
      </c>
      <c r="B219" t="s">
        <v>13</v>
      </c>
      <c r="C219" t="s">
        <v>132</v>
      </c>
      <c r="D219" t="s">
        <v>17</v>
      </c>
      <c r="E219" t="s">
        <v>195</v>
      </c>
      <c r="F219">
        <v>76210689.260000005</v>
      </c>
      <c r="G219" t="s">
        <v>134</v>
      </c>
      <c r="H219" t="s">
        <v>81</v>
      </c>
      <c r="I219" t="s">
        <v>9</v>
      </c>
      <c r="L219" t="s">
        <v>161</v>
      </c>
      <c r="M219">
        <v>-76210689.260000005</v>
      </c>
    </row>
    <row r="220" spans="1:13" x14ac:dyDescent="0.3">
      <c r="A220" s="23">
        <v>45217</v>
      </c>
      <c r="B220" t="s">
        <v>13</v>
      </c>
      <c r="C220" t="s">
        <v>132</v>
      </c>
      <c r="D220" t="s">
        <v>17</v>
      </c>
      <c r="E220" t="s">
        <v>136</v>
      </c>
      <c r="F220">
        <v>75757097.049999997</v>
      </c>
      <c r="G220" t="s">
        <v>134</v>
      </c>
      <c r="H220" t="s">
        <v>81</v>
      </c>
      <c r="I220" t="s">
        <v>9</v>
      </c>
      <c r="L220" t="s">
        <v>161</v>
      </c>
      <c r="M220">
        <v>-75757097.049999997</v>
      </c>
    </row>
    <row r="221" spans="1:13" x14ac:dyDescent="0.3">
      <c r="A221" s="23">
        <v>44935</v>
      </c>
      <c r="B221" t="s">
        <v>13</v>
      </c>
      <c r="C221" t="s">
        <v>132</v>
      </c>
      <c r="D221" t="s">
        <v>17</v>
      </c>
      <c r="E221" t="s">
        <v>48</v>
      </c>
      <c r="F221">
        <v>75600000</v>
      </c>
      <c r="G221" t="s">
        <v>29</v>
      </c>
      <c r="H221" t="s">
        <v>81</v>
      </c>
      <c r="I221" t="s">
        <v>9</v>
      </c>
      <c r="L221" t="s">
        <v>161</v>
      </c>
      <c r="M221">
        <v>-75600000</v>
      </c>
    </row>
    <row r="222" spans="1:13" x14ac:dyDescent="0.3">
      <c r="A222" s="23">
        <v>45007</v>
      </c>
      <c r="B222" t="s">
        <v>13</v>
      </c>
      <c r="C222" t="s">
        <v>143</v>
      </c>
      <c r="D222" t="s">
        <v>17</v>
      </c>
      <c r="E222" t="s">
        <v>149</v>
      </c>
      <c r="F222">
        <v>75390054.010000005</v>
      </c>
      <c r="G222" t="s">
        <v>140</v>
      </c>
      <c r="H222" t="s">
        <v>81</v>
      </c>
      <c r="I222" t="s">
        <v>9</v>
      </c>
      <c r="J222" s="23">
        <v>45008</v>
      </c>
      <c r="L222" t="s">
        <v>243</v>
      </c>
      <c r="M222">
        <v>-75390054.010000005</v>
      </c>
    </row>
    <row r="223" spans="1:13" x14ac:dyDescent="0.3">
      <c r="A223" s="23">
        <v>45505</v>
      </c>
      <c r="B223" t="s">
        <v>13</v>
      </c>
      <c r="C223" t="s">
        <v>132</v>
      </c>
      <c r="D223" t="s">
        <v>17</v>
      </c>
      <c r="E223" t="s">
        <v>180</v>
      </c>
      <c r="F223">
        <v>75250642.319999993</v>
      </c>
      <c r="G223" t="s">
        <v>181</v>
      </c>
      <c r="H223" t="s">
        <v>81</v>
      </c>
      <c r="I223" t="s">
        <v>9</v>
      </c>
      <c r="L223" t="s">
        <v>161</v>
      </c>
      <c r="M223">
        <v>-75250642.319999993</v>
      </c>
    </row>
    <row r="224" spans="1:13" x14ac:dyDescent="0.3">
      <c r="A224" s="23">
        <v>45169</v>
      </c>
      <c r="B224" t="s">
        <v>13</v>
      </c>
      <c r="C224" t="s">
        <v>132</v>
      </c>
      <c r="D224" t="s">
        <v>17</v>
      </c>
      <c r="E224" t="s">
        <v>136</v>
      </c>
      <c r="F224">
        <v>75242630.079999998</v>
      </c>
      <c r="G224" t="s">
        <v>134</v>
      </c>
      <c r="H224" t="s">
        <v>81</v>
      </c>
      <c r="I224" t="s">
        <v>9</v>
      </c>
      <c r="L224" t="s">
        <v>161</v>
      </c>
      <c r="M224">
        <v>-75242630.079999998</v>
      </c>
    </row>
    <row r="225" spans="1:13" x14ac:dyDescent="0.3">
      <c r="A225" s="23">
        <v>45204</v>
      </c>
      <c r="B225" t="s">
        <v>13</v>
      </c>
      <c r="C225" t="s">
        <v>132</v>
      </c>
      <c r="D225" t="s">
        <v>17</v>
      </c>
      <c r="E225" t="s">
        <v>169</v>
      </c>
      <c r="F225">
        <v>75100056.5</v>
      </c>
      <c r="G225" t="s">
        <v>131</v>
      </c>
      <c r="H225" t="s">
        <v>81</v>
      </c>
      <c r="I225" t="s">
        <v>9</v>
      </c>
      <c r="L225" t="s">
        <v>161</v>
      </c>
      <c r="M225">
        <v>-75100056.5</v>
      </c>
    </row>
    <row r="226" spans="1:13" x14ac:dyDescent="0.3">
      <c r="A226" s="23">
        <v>45663</v>
      </c>
      <c r="B226" t="s">
        <v>13</v>
      </c>
      <c r="C226" t="s">
        <v>132</v>
      </c>
      <c r="D226" t="s">
        <v>17</v>
      </c>
      <c r="E226" t="s">
        <v>136</v>
      </c>
      <c r="F226">
        <v>75000000</v>
      </c>
      <c r="G226" t="s">
        <v>134</v>
      </c>
      <c r="H226" t="s">
        <v>81</v>
      </c>
      <c r="I226" t="s">
        <v>9</v>
      </c>
      <c r="L226" t="s">
        <v>161</v>
      </c>
      <c r="M226">
        <v>-75000000</v>
      </c>
    </row>
    <row r="227" spans="1:13" x14ac:dyDescent="0.3">
      <c r="A227" s="23">
        <v>45672</v>
      </c>
      <c r="B227" t="s">
        <v>13</v>
      </c>
      <c r="C227" t="s">
        <v>132</v>
      </c>
      <c r="D227" t="s">
        <v>17</v>
      </c>
      <c r="E227" t="s">
        <v>193</v>
      </c>
      <c r="F227">
        <v>75000000</v>
      </c>
      <c r="G227" t="s">
        <v>131</v>
      </c>
      <c r="H227" t="s">
        <v>81</v>
      </c>
      <c r="I227" t="s">
        <v>9</v>
      </c>
      <c r="L227" t="s">
        <v>161</v>
      </c>
      <c r="M227">
        <v>-75000000</v>
      </c>
    </row>
    <row r="228" spans="1:13" x14ac:dyDescent="0.3">
      <c r="A228" s="23">
        <v>45645</v>
      </c>
      <c r="B228" t="s">
        <v>13</v>
      </c>
      <c r="C228" t="s">
        <v>132</v>
      </c>
      <c r="D228" t="s">
        <v>17</v>
      </c>
      <c r="E228" t="s">
        <v>193</v>
      </c>
      <c r="F228">
        <v>74006104.269999996</v>
      </c>
      <c r="G228" t="s">
        <v>131</v>
      </c>
      <c r="H228" t="s">
        <v>81</v>
      </c>
      <c r="I228" t="s">
        <v>9</v>
      </c>
      <c r="L228" t="s">
        <v>161</v>
      </c>
      <c r="M228">
        <v>-74006104.269999996</v>
      </c>
    </row>
    <row r="229" spans="1:13" x14ac:dyDescent="0.3">
      <c r="A229" s="23">
        <v>44743</v>
      </c>
      <c r="B229" t="s">
        <v>13</v>
      </c>
      <c r="C229" t="s">
        <v>143</v>
      </c>
      <c r="D229" t="s">
        <v>17</v>
      </c>
      <c r="E229" t="s">
        <v>149</v>
      </c>
      <c r="F229">
        <v>73865755.409999996</v>
      </c>
      <c r="G229" t="s">
        <v>140</v>
      </c>
      <c r="H229" t="s">
        <v>81</v>
      </c>
      <c r="I229" t="s">
        <v>9</v>
      </c>
      <c r="J229" s="23">
        <v>44742</v>
      </c>
      <c r="K229" t="s">
        <v>152</v>
      </c>
      <c r="L229" t="s">
        <v>220</v>
      </c>
      <c r="M229">
        <v>-73865755.409999996</v>
      </c>
    </row>
    <row r="230" spans="1:13" x14ac:dyDescent="0.3">
      <c r="A230" s="23">
        <v>45153</v>
      </c>
      <c r="B230" t="s">
        <v>13</v>
      </c>
      <c r="C230" t="s">
        <v>132</v>
      </c>
      <c r="D230" t="s">
        <v>17</v>
      </c>
      <c r="E230" t="s">
        <v>41</v>
      </c>
      <c r="F230">
        <v>72580069.769999996</v>
      </c>
      <c r="G230" t="s">
        <v>26</v>
      </c>
      <c r="H230" t="s">
        <v>81</v>
      </c>
      <c r="I230" t="s">
        <v>9</v>
      </c>
      <c r="L230" t="s">
        <v>161</v>
      </c>
      <c r="M230">
        <v>-72580069.769999996</v>
      </c>
    </row>
    <row r="231" spans="1:13" x14ac:dyDescent="0.3">
      <c r="A231" s="23">
        <v>45330</v>
      </c>
      <c r="B231" t="s">
        <v>13</v>
      </c>
      <c r="C231" t="s">
        <v>132</v>
      </c>
      <c r="D231" t="s">
        <v>17</v>
      </c>
      <c r="E231" t="s">
        <v>180</v>
      </c>
      <c r="F231">
        <v>72233572.400000006</v>
      </c>
      <c r="G231" t="s">
        <v>181</v>
      </c>
      <c r="H231" t="s">
        <v>81</v>
      </c>
      <c r="I231" t="s">
        <v>9</v>
      </c>
      <c r="L231" t="s">
        <v>161</v>
      </c>
      <c r="M231">
        <v>-72233572.400000006</v>
      </c>
    </row>
    <row r="232" spans="1:13" x14ac:dyDescent="0.3">
      <c r="A232" s="23">
        <v>45209</v>
      </c>
      <c r="B232" t="s">
        <v>13</v>
      </c>
      <c r="C232" t="s">
        <v>132</v>
      </c>
      <c r="D232" t="s">
        <v>17</v>
      </c>
      <c r="E232" t="s">
        <v>136</v>
      </c>
      <c r="F232">
        <v>71860333.329999998</v>
      </c>
      <c r="G232" t="s">
        <v>134</v>
      </c>
      <c r="H232" t="s">
        <v>81</v>
      </c>
      <c r="I232" t="s">
        <v>9</v>
      </c>
      <c r="L232" t="s">
        <v>161</v>
      </c>
      <c r="M232">
        <v>-71860333.329999998</v>
      </c>
    </row>
    <row r="233" spans="1:13" x14ac:dyDescent="0.3">
      <c r="A233" s="23">
        <v>45695</v>
      </c>
      <c r="B233" t="s">
        <v>13</v>
      </c>
      <c r="C233" t="s">
        <v>132</v>
      </c>
      <c r="D233" t="s">
        <v>17</v>
      </c>
      <c r="E233" t="s">
        <v>40</v>
      </c>
      <c r="F233">
        <v>71500000</v>
      </c>
      <c r="G233" t="s">
        <v>25</v>
      </c>
      <c r="H233" t="s">
        <v>81</v>
      </c>
      <c r="I233" t="s">
        <v>9</v>
      </c>
      <c r="L233" t="s">
        <v>161</v>
      </c>
      <c r="M233">
        <v>-71500000</v>
      </c>
    </row>
    <row r="234" spans="1:13" x14ac:dyDescent="0.3">
      <c r="A234" s="23">
        <v>45553</v>
      </c>
      <c r="B234" t="s">
        <v>13</v>
      </c>
      <c r="C234" t="s">
        <v>132</v>
      </c>
      <c r="D234" t="s">
        <v>17</v>
      </c>
      <c r="E234" t="s">
        <v>180</v>
      </c>
      <c r="F234">
        <v>70427807</v>
      </c>
      <c r="G234" t="s">
        <v>181</v>
      </c>
      <c r="H234" t="s">
        <v>81</v>
      </c>
      <c r="I234" t="s">
        <v>9</v>
      </c>
      <c r="L234" t="s">
        <v>161</v>
      </c>
      <c r="M234">
        <v>-70427807</v>
      </c>
    </row>
    <row r="235" spans="1:13" x14ac:dyDescent="0.3">
      <c r="A235" s="23">
        <v>45551</v>
      </c>
      <c r="B235" t="s">
        <v>13</v>
      </c>
      <c r="C235" t="s">
        <v>132</v>
      </c>
      <c r="D235" t="s">
        <v>17</v>
      </c>
      <c r="E235" t="s">
        <v>136</v>
      </c>
      <c r="F235">
        <v>70000000</v>
      </c>
      <c r="G235" t="s">
        <v>134</v>
      </c>
      <c r="H235" t="s">
        <v>81</v>
      </c>
      <c r="I235" t="s">
        <v>9</v>
      </c>
      <c r="L235" t="s">
        <v>161</v>
      </c>
      <c r="M235">
        <v>-70000000</v>
      </c>
    </row>
    <row r="236" spans="1:13" x14ac:dyDescent="0.3">
      <c r="A236" s="23">
        <v>45461</v>
      </c>
      <c r="B236" t="s">
        <v>13</v>
      </c>
      <c r="C236" t="s">
        <v>132</v>
      </c>
      <c r="D236" t="s">
        <v>17</v>
      </c>
      <c r="E236" t="s">
        <v>41</v>
      </c>
      <c r="F236">
        <v>70000000</v>
      </c>
      <c r="G236" t="s">
        <v>26</v>
      </c>
      <c r="H236" t="s">
        <v>81</v>
      </c>
      <c r="I236" t="s">
        <v>9</v>
      </c>
      <c r="L236" t="s">
        <v>161</v>
      </c>
      <c r="M236">
        <v>-70000000</v>
      </c>
    </row>
    <row r="237" spans="1:13" x14ac:dyDescent="0.3">
      <c r="A237" s="23">
        <v>45343</v>
      </c>
      <c r="B237" t="s">
        <v>13</v>
      </c>
      <c r="C237" t="s">
        <v>132</v>
      </c>
      <c r="D237" t="s">
        <v>17</v>
      </c>
      <c r="E237" t="s">
        <v>46</v>
      </c>
      <c r="F237">
        <v>70000000</v>
      </c>
      <c r="G237" t="s">
        <v>28</v>
      </c>
      <c r="H237" t="s">
        <v>81</v>
      </c>
      <c r="I237" t="s">
        <v>9</v>
      </c>
      <c r="L237" t="s">
        <v>161</v>
      </c>
      <c r="M237">
        <v>-70000000</v>
      </c>
    </row>
    <row r="238" spans="1:13" x14ac:dyDescent="0.3">
      <c r="A238" s="23">
        <v>45562</v>
      </c>
      <c r="B238" t="s">
        <v>13</v>
      </c>
      <c r="C238" t="s">
        <v>132</v>
      </c>
      <c r="D238" t="s">
        <v>17</v>
      </c>
      <c r="E238" t="s">
        <v>180</v>
      </c>
      <c r="F238">
        <v>70000000</v>
      </c>
      <c r="G238" t="s">
        <v>181</v>
      </c>
      <c r="H238" t="s">
        <v>81</v>
      </c>
      <c r="I238" t="s">
        <v>9</v>
      </c>
      <c r="L238" t="s">
        <v>161</v>
      </c>
      <c r="M238">
        <v>-70000000</v>
      </c>
    </row>
    <row r="239" spans="1:13" x14ac:dyDescent="0.3">
      <c r="A239" s="23">
        <v>45715</v>
      </c>
      <c r="B239" t="s">
        <v>13</v>
      </c>
      <c r="C239" t="s">
        <v>132</v>
      </c>
      <c r="D239" t="s">
        <v>17</v>
      </c>
      <c r="E239" t="s">
        <v>41</v>
      </c>
      <c r="F239">
        <v>69500000</v>
      </c>
      <c r="G239" t="s">
        <v>26</v>
      </c>
      <c r="H239" t="s">
        <v>81</v>
      </c>
      <c r="I239" t="s">
        <v>9</v>
      </c>
      <c r="L239" t="s">
        <v>161</v>
      </c>
      <c r="M239">
        <v>-69500000</v>
      </c>
    </row>
    <row r="240" spans="1:13" x14ac:dyDescent="0.3">
      <c r="A240" s="23">
        <v>45741</v>
      </c>
      <c r="B240" t="s">
        <v>13</v>
      </c>
      <c r="C240" t="s">
        <v>132</v>
      </c>
      <c r="D240" t="s">
        <v>17</v>
      </c>
      <c r="E240" t="s">
        <v>136</v>
      </c>
      <c r="F240">
        <v>69100000</v>
      </c>
      <c r="G240" t="s">
        <v>134</v>
      </c>
      <c r="H240" t="s">
        <v>81</v>
      </c>
      <c r="I240" t="s">
        <v>9</v>
      </c>
      <c r="L240" t="s">
        <v>161</v>
      </c>
      <c r="M240">
        <v>-69100000</v>
      </c>
    </row>
    <row r="241" spans="1:13" x14ac:dyDescent="0.3">
      <c r="A241" s="23">
        <v>45503</v>
      </c>
      <c r="B241" t="s">
        <v>13</v>
      </c>
      <c r="C241" t="s">
        <v>132</v>
      </c>
      <c r="D241" t="s">
        <v>17</v>
      </c>
      <c r="E241" t="s">
        <v>136</v>
      </c>
      <c r="F241">
        <v>67457351</v>
      </c>
      <c r="G241" t="s">
        <v>134</v>
      </c>
      <c r="H241" t="s">
        <v>81</v>
      </c>
      <c r="I241" t="s">
        <v>9</v>
      </c>
      <c r="L241" t="s">
        <v>161</v>
      </c>
      <c r="M241">
        <v>-67457351</v>
      </c>
    </row>
    <row r="242" spans="1:13" x14ac:dyDescent="0.3">
      <c r="A242" s="23">
        <v>45706</v>
      </c>
      <c r="B242" t="s">
        <v>13</v>
      </c>
      <c r="C242" t="s">
        <v>132</v>
      </c>
      <c r="D242" t="s">
        <v>17</v>
      </c>
      <c r="E242" t="s">
        <v>40</v>
      </c>
      <c r="F242">
        <v>66900000</v>
      </c>
      <c r="G242" t="s">
        <v>25</v>
      </c>
      <c r="H242" t="s">
        <v>81</v>
      </c>
      <c r="I242" t="s">
        <v>9</v>
      </c>
      <c r="L242" t="s">
        <v>161</v>
      </c>
      <c r="M242">
        <v>-66900000</v>
      </c>
    </row>
    <row r="243" spans="1:13" x14ac:dyDescent="0.3">
      <c r="A243" s="23">
        <v>45637</v>
      </c>
      <c r="B243" t="s">
        <v>13</v>
      </c>
      <c r="C243" t="s">
        <v>132</v>
      </c>
      <c r="D243" t="s">
        <v>17</v>
      </c>
      <c r="E243" t="s">
        <v>136</v>
      </c>
      <c r="F243">
        <v>66594115.979999997</v>
      </c>
      <c r="G243" t="s">
        <v>134</v>
      </c>
      <c r="H243" t="s">
        <v>81</v>
      </c>
      <c r="I243" t="s">
        <v>9</v>
      </c>
      <c r="L243" t="s">
        <v>161</v>
      </c>
      <c r="M243">
        <v>-66594115.979999997</v>
      </c>
    </row>
    <row r="244" spans="1:13" x14ac:dyDescent="0.3">
      <c r="A244" s="23">
        <v>45679</v>
      </c>
      <c r="B244" t="s">
        <v>13</v>
      </c>
      <c r="C244" t="s">
        <v>132</v>
      </c>
      <c r="D244" t="s">
        <v>17</v>
      </c>
      <c r="E244" t="s">
        <v>136</v>
      </c>
      <c r="F244">
        <v>66500000</v>
      </c>
      <c r="G244" t="s">
        <v>134</v>
      </c>
      <c r="H244" t="s">
        <v>81</v>
      </c>
      <c r="I244" t="s">
        <v>9</v>
      </c>
      <c r="L244" t="s">
        <v>161</v>
      </c>
      <c r="M244">
        <v>-66500000</v>
      </c>
    </row>
    <row r="245" spans="1:13" x14ac:dyDescent="0.3">
      <c r="A245" s="23">
        <v>45446</v>
      </c>
      <c r="B245" t="s">
        <v>13</v>
      </c>
      <c r="C245" t="s">
        <v>132</v>
      </c>
      <c r="D245" t="s">
        <v>17</v>
      </c>
      <c r="E245" t="s">
        <v>136</v>
      </c>
      <c r="F245">
        <v>66133622</v>
      </c>
      <c r="G245" t="s">
        <v>134</v>
      </c>
      <c r="H245" t="s">
        <v>81</v>
      </c>
      <c r="I245" t="s">
        <v>9</v>
      </c>
      <c r="L245" t="s">
        <v>161</v>
      </c>
      <c r="M245">
        <v>-66133622</v>
      </c>
    </row>
    <row r="246" spans="1:13" x14ac:dyDescent="0.3">
      <c r="A246" s="23">
        <v>45516</v>
      </c>
      <c r="B246" t="s">
        <v>13</v>
      </c>
      <c r="C246" t="s">
        <v>132</v>
      </c>
      <c r="D246" t="s">
        <v>17</v>
      </c>
      <c r="E246" t="s">
        <v>41</v>
      </c>
      <c r="F246">
        <v>66100000</v>
      </c>
      <c r="G246" t="s">
        <v>26</v>
      </c>
      <c r="H246" t="s">
        <v>81</v>
      </c>
      <c r="I246" t="s">
        <v>9</v>
      </c>
      <c r="L246" t="s">
        <v>161</v>
      </c>
      <c r="M246">
        <v>-66100000</v>
      </c>
    </row>
    <row r="247" spans="1:13" x14ac:dyDescent="0.3">
      <c r="A247" s="23">
        <v>45392</v>
      </c>
      <c r="B247" t="s">
        <v>13</v>
      </c>
      <c r="C247" t="s">
        <v>132</v>
      </c>
      <c r="D247" t="s">
        <v>17</v>
      </c>
      <c r="E247" t="s">
        <v>180</v>
      </c>
      <c r="F247">
        <v>65991972</v>
      </c>
      <c r="G247" t="s">
        <v>181</v>
      </c>
      <c r="H247" t="s">
        <v>81</v>
      </c>
      <c r="I247" t="s">
        <v>9</v>
      </c>
      <c r="L247" t="s">
        <v>161</v>
      </c>
      <c r="M247">
        <v>-65991972</v>
      </c>
    </row>
    <row r="248" spans="1:13" x14ac:dyDescent="0.3">
      <c r="A248" s="23">
        <v>45485</v>
      </c>
      <c r="B248" t="s">
        <v>13</v>
      </c>
      <c r="C248" t="s">
        <v>132</v>
      </c>
      <c r="D248" t="s">
        <v>17</v>
      </c>
      <c r="E248" t="s">
        <v>136</v>
      </c>
      <c r="F248">
        <v>65969800</v>
      </c>
      <c r="G248" t="s">
        <v>134</v>
      </c>
      <c r="H248" t="s">
        <v>81</v>
      </c>
      <c r="I248" t="s">
        <v>9</v>
      </c>
      <c r="L248" t="s">
        <v>161</v>
      </c>
      <c r="M248">
        <v>-65969800</v>
      </c>
    </row>
    <row r="249" spans="1:13" x14ac:dyDescent="0.3">
      <c r="A249" s="23">
        <v>45203</v>
      </c>
      <c r="B249" t="s">
        <v>13</v>
      </c>
      <c r="C249" t="s">
        <v>132</v>
      </c>
      <c r="D249" t="s">
        <v>17</v>
      </c>
      <c r="E249" t="s">
        <v>169</v>
      </c>
      <c r="F249">
        <v>65928550.020000003</v>
      </c>
      <c r="G249" t="s">
        <v>131</v>
      </c>
      <c r="H249" t="s">
        <v>81</v>
      </c>
      <c r="I249" t="s">
        <v>9</v>
      </c>
      <c r="L249" t="s">
        <v>161</v>
      </c>
      <c r="M249">
        <v>-65928550.020000003</v>
      </c>
    </row>
    <row r="250" spans="1:13" x14ac:dyDescent="0.3">
      <c r="A250" s="23">
        <v>45721</v>
      </c>
      <c r="B250" t="s">
        <v>13</v>
      </c>
      <c r="C250" t="s">
        <v>132</v>
      </c>
      <c r="D250" t="s">
        <v>17</v>
      </c>
      <c r="E250" t="s">
        <v>136</v>
      </c>
      <c r="F250">
        <v>65900000</v>
      </c>
      <c r="G250" t="s">
        <v>134</v>
      </c>
      <c r="H250" t="s">
        <v>81</v>
      </c>
      <c r="I250" t="s">
        <v>9</v>
      </c>
      <c r="L250" t="s">
        <v>161</v>
      </c>
      <c r="M250">
        <v>-65900000</v>
      </c>
    </row>
    <row r="251" spans="1:13" x14ac:dyDescent="0.3">
      <c r="A251" s="23">
        <v>45180</v>
      </c>
      <c r="B251" t="s">
        <v>13</v>
      </c>
      <c r="C251" t="s">
        <v>132</v>
      </c>
      <c r="D251" t="s">
        <v>17</v>
      </c>
      <c r="E251" t="s">
        <v>41</v>
      </c>
      <c r="F251">
        <v>65800000</v>
      </c>
      <c r="G251" t="s">
        <v>26</v>
      </c>
      <c r="H251" t="s">
        <v>81</v>
      </c>
      <c r="I251" t="s">
        <v>9</v>
      </c>
      <c r="L251" t="s">
        <v>161</v>
      </c>
      <c r="M251">
        <v>-65800000</v>
      </c>
    </row>
    <row r="252" spans="1:13" x14ac:dyDescent="0.3">
      <c r="A252" s="23">
        <v>45616</v>
      </c>
      <c r="B252" t="s">
        <v>13</v>
      </c>
      <c r="C252" t="s">
        <v>132</v>
      </c>
      <c r="D252" t="s">
        <v>17</v>
      </c>
      <c r="E252" t="s">
        <v>208</v>
      </c>
      <c r="F252">
        <v>65494517.119999997</v>
      </c>
      <c r="G252" t="s">
        <v>209</v>
      </c>
      <c r="H252" t="s">
        <v>81</v>
      </c>
      <c r="I252" t="s">
        <v>9</v>
      </c>
      <c r="L252" t="s">
        <v>161</v>
      </c>
      <c r="M252">
        <v>-65494517.119999997</v>
      </c>
    </row>
    <row r="253" spans="1:13" x14ac:dyDescent="0.3">
      <c r="A253" s="23">
        <v>45628</v>
      </c>
      <c r="B253" t="s">
        <v>13</v>
      </c>
      <c r="C253" t="s">
        <v>132</v>
      </c>
      <c r="D253" t="s">
        <v>17</v>
      </c>
      <c r="E253" t="s">
        <v>48</v>
      </c>
      <c r="F253">
        <v>65000000</v>
      </c>
      <c r="G253" t="s">
        <v>29</v>
      </c>
      <c r="H253" t="s">
        <v>81</v>
      </c>
      <c r="I253" t="s">
        <v>9</v>
      </c>
      <c r="L253" t="s">
        <v>161</v>
      </c>
      <c r="M253">
        <v>-65000000</v>
      </c>
    </row>
    <row r="254" spans="1:13" x14ac:dyDescent="0.3">
      <c r="A254" s="23">
        <v>45421</v>
      </c>
      <c r="B254" t="s">
        <v>13</v>
      </c>
      <c r="C254" t="s">
        <v>132</v>
      </c>
      <c r="D254" t="s">
        <v>17</v>
      </c>
      <c r="E254" t="s">
        <v>136</v>
      </c>
      <c r="F254">
        <v>64785845</v>
      </c>
      <c r="G254" t="s">
        <v>134</v>
      </c>
      <c r="H254" t="s">
        <v>81</v>
      </c>
      <c r="I254" t="s">
        <v>9</v>
      </c>
      <c r="L254" t="s">
        <v>161</v>
      </c>
      <c r="M254">
        <v>-64785845</v>
      </c>
    </row>
    <row r="255" spans="1:13" x14ac:dyDescent="0.3">
      <c r="A255" s="23">
        <v>45421</v>
      </c>
      <c r="B255" t="s">
        <v>13</v>
      </c>
      <c r="C255" t="s">
        <v>132</v>
      </c>
      <c r="D255" t="s">
        <v>17</v>
      </c>
      <c r="E255" t="s">
        <v>136</v>
      </c>
      <c r="F255">
        <v>64785844</v>
      </c>
      <c r="G255" t="s">
        <v>134</v>
      </c>
      <c r="H255" t="s">
        <v>81</v>
      </c>
      <c r="I255" t="s">
        <v>9</v>
      </c>
      <c r="L255" t="s">
        <v>161</v>
      </c>
      <c r="M255">
        <v>-64785844</v>
      </c>
    </row>
    <row r="256" spans="1:13" x14ac:dyDescent="0.3">
      <c r="A256" s="23">
        <v>45645</v>
      </c>
      <c r="B256" t="s">
        <v>13</v>
      </c>
      <c r="C256" t="s">
        <v>132</v>
      </c>
      <c r="D256" t="s">
        <v>17</v>
      </c>
      <c r="E256" t="s">
        <v>193</v>
      </c>
      <c r="F256">
        <v>64314239.170000002</v>
      </c>
      <c r="G256" t="s">
        <v>131</v>
      </c>
      <c r="H256" t="s">
        <v>81</v>
      </c>
      <c r="I256" t="s">
        <v>9</v>
      </c>
      <c r="L256" t="s">
        <v>161</v>
      </c>
      <c r="M256">
        <v>-64314239.170000002</v>
      </c>
    </row>
    <row r="257" spans="1:13" x14ac:dyDescent="0.3">
      <c r="A257" s="23">
        <v>45586</v>
      </c>
      <c r="B257" t="s">
        <v>13</v>
      </c>
      <c r="C257" t="s">
        <v>132</v>
      </c>
      <c r="D257" t="s">
        <v>17</v>
      </c>
      <c r="E257" t="s">
        <v>41</v>
      </c>
      <c r="F257">
        <v>64200000</v>
      </c>
      <c r="G257" t="s">
        <v>26</v>
      </c>
      <c r="H257" t="s">
        <v>81</v>
      </c>
      <c r="I257" t="s">
        <v>9</v>
      </c>
      <c r="L257" t="s">
        <v>161</v>
      </c>
      <c r="M257">
        <v>-64200000</v>
      </c>
    </row>
    <row r="258" spans="1:13" x14ac:dyDescent="0.3">
      <c r="A258" s="23">
        <v>45299</v>
      </c>
      <c r="B258" t="s">
        <v>13</v>
      </c>
      <c r="C258" t="s">
        <v>132</v>
      </c>
      <c r="D258" t="s">
        <v>17</v>
      </c>
      <c r="E258" t="s">
        <v>169</v>
      </c>
      <c r="F258">
        <v>64073646.68</v>
      </c>
      <c r="G258" t="s">
        <v>131</v>
      </c>
      <c r="H258" t="s">
        <v>81</v>
      </c>
      <c r="I258" t="s">
        <v>9</v>
      </c>
      <c r="L258" t="s">
        <v>161</v>
      </c>
      <c r="M258">
        <v>-64073646.68</v>
      </c>
    </row>
    <row r="259" spans="1:13" x14ac:dyDescent="0.3">
      <c r="A259" s="23">
        <v>45418</v>
      </c>
      <c r="B259" t="s">
        <v>13</v>
      </c>
      <c r="C259" t="s">
        <v>132</v>
      </c>
      <c r="D259" t="s">
        <v>17</v>
      </c>
      <c r="E259" t="s">
        <v>136</v>
      </c>
      <c r="F259">
        <v>63000000</v>
      </c>
      <c r="G259" t="s">
        <v>134</v>
      </c>
      <c r="H259" t="s">
        <v>81</v>
      </c>
      <c r="I259" t="s">
        <v>9</v>
      </c>
      <c r="L259" t="s">
        <v>161</v>
      </c>
      <c r="M259">
        <v>-63000000</v>
      </c>
    </row>
    <row r="260" spans="1:13" x14ac:dyDescent="0.3">
      <c r="A260" s="23">
        <v>45418</v>
      </c>
      <c r="B260" t="s">
        <v>13</v>
      </c>
      <c r="C260" t="s">
        <v>132</v>
      </c>
      <c r="D260" t="s">
        <v>17</v>
      </c>
      <c r="E260" t="s">
        <v>180</v>
      </c>
      <c r="F260">
        <v>63000000</v>
      </c>
      <c r="G260" t="s">
        <v>181</v>
      </c>
      <c r="H260" t="s">
        <v>81</v>
      </c>
      <c r="I260" t="s">
        <v>9</v>
      </c>
      <c r="L260" t="s">
        <v>161</v>
      </c>
      <c r="M260">
        <v>-63000000</v>
      </c>
    </row>
    <row r="261" spans="1:13" x14ac:dyDescent="0.3">
      <c r="A261" s="23">
        <v>45707</v>
      </c>
      <c r="B261" t="s">
        <v>13</v>
      </c>
      <c r="C261" t="s">
        <v>132</v>
      </c>
      <c r="D261" t="s">
        <v>17</v>
      </c>
      <c r="E261" t="s">
        <v>40</v>
      </c>
      <c r="F261">
        <v>63000000</v>
      </c>
      <c r="G261" t="s">
        <v>25</v>
      </c>
      <c r="H261" t="s">
        <v>81</v>
      </c>
      <c r="I261" t="s">
        <v>9</v>
      </c>
      <c r="L261" t="s">
        <v>161</v>
      </c>
      <c r="M261">
        <v>-63000000</v>
      </c>
    </row>
    <row r="262" spans="1:13" x14ac:dyDescent="0.3">
      <c r="A262" s="23">
        <v>45588</v>
      </c>
      <c r="B262" t="s">
        <v>13</v>
      </c>
      <c r="C262" t="s">
        <v>132</v>
      </c>
      <c r="D262" t="s">
        <v>17</v>
      </c>
      <c r="E262" t="s">
        <v>136</v>
      </c>
      <c r="F262">
        <v>62963501.119999997</v>
      </c>
      <c r="G262" t="s">
        <v>134</v>
      </c>
      <c r="H262" t="s">
        <v>81</v>
      </c>
      <c r="I262" t="s">
        <v>9</v>
      </c>
      <c r="L262" t="s">
        <v>161</v>
      </c>
      <c r="M262">
        <v>-62963501.119999997</v>
      </c>
    </row>
    <row r="263" spans="1:13" x14ac:dyDescent="0.3">
      <c r="A263" s="23">
        <v>45701</v>
      </c>
      <c r="B263" t="s">
        <v>13</v>
      </c>
      <c r="C263" t="s">
        <v>132</v>
      </c>
      <c r="D263" t="s">
        <v>17</v>
      </c>
      <c r="E263" t="s">
        <v>136</v>
      </c>
      <c r="F263">
        <v>62638794.829999998</v>
      </c>
      <c r="G263" t="s">
        <v>134</v>
      </c>
      <c r="H263" t="s">
        <v>81</v>
      </c>
      <c r="I263" t="s">
        <v>9</v>
      </c>
      <c r="L263" t="s">
        <v>161</v>
      </c>
      <c r="M263">
        <v>-62638794.829999998</v>
      </c>
    </row>
    <row r="264" spans="1:13" x14ac:dyDescent="0.3">
      <c r="A264" s="23">
        <v>45603</v>
      </c>
      <c r="B264" t="s">
        <v>13</v>
      </c>
      <c r="C264" t="s">
        <v>132</v>
      </c>
      <c r="D264" t="s">
        <v>17</v>
      </c>
      <c r="E264" t="s">
        <v>41</v>
      </c>
      <c r="F264">
        <v>62100000</v>
      </c>
      <c r="G264" t="s">
        <v>26</v>
      </c>
      <c r="H264" t="s">
        <v>81</v>
      </c>
      <c r="I264" t="s">
        <v>9</v>
      </c>
      <c r="L264" t="s">
        <v>161</v>
      </c>
      <c r="M264">
        <v>-62100000</v>
      </c>
    </row>
    <row r="265" spans="1:13" x14ac:dyDescent="0.3">
      <c r="A265" s="23">
        <v>45167</v>
      </c>
      <c r="B265" t="s">
        <v>13</v>
      </c>
      <c r="C265" t="s">
        <v>143</v>
      </c>
      <c r="D265" t="s">
        <v>17</v>
      </c>
      <c r="E265" t="s">
        <v>149</v>
      </c>
      <c r="F265">
        <v>61980908.25</v>
      </c>
      <c r="G265" t="s">
        <v>140</v>
      </c>
      <c r="H265" t="s">
        <v>81</v>
      </c>
      <c r="I265" t="s">
        <v>9</v>
      </c>
      <c r="M265">
        <v>-61980908.25</v>
      </c>
    </row>
    <row r="266" spans="1:13" x14ac:dyDescent="0.3">
      <c r="A266" s="23">
        <v>44875</v>
      </c>
      <c r="B266" t="s">
        <v>13</v>
      </c>
      <c r="C266" t="s">
        <v>132</v>
      </c>
      <c r="D266" t="s">
        <v>17</v>
      </c>
      <c r="E266" t="s">
        <v>41</v>
      </c>
      <c r="F266">
        <v>61700000</v>
      </c>
      <c r="G266" t="s">
        <v>26</v>
      </c>
      <c r="H266" t="s">
        <v>81</v>
      </c>
      <c r="I266" t="s">
        <v>9</v>
      </c>
      <c r="L266" t="s">
        <v>161</v>
      </c>
      <c r="M266">
        <v>-61700000</v>
      </c>
    </row>
    <row r="267" spans="1:13" x14ac:dyDescent="0.3">
      <c r="A267" s="23">
        <v>45294</v>
      </c>
      <c r="B267" t="s">
        <v>13</v>
      </c>
      <c r="C267" t="s">
        <v>132</v>
      </c>
      <c r="D267" t="s">
        <v>17</v>
      </c>
      <c r="E267" t="s">
        <v>41</v>
      </c>
      <c r="F267">
        <v>61100000</v>
      </c>
      <c r="G267" t="s">
        <v>26</v>
      </c>
      <c r="H267" t="s">
        <v>81</v>
      </c>
      <c r="I267" t="s">
        <v>9</v>
      </c>
      <c r="L267" t="s">
        <v>161</v>
      </c>
      <c r="M267">
        <v>-61100000</v>
      </c>
    </row>
    <row r="268" spans="1:13" x14ac:dyDescent="0.3">
      <c r="A268" s="23">
        <v>45616</v>
      </c>
      <c r="B268" t="s">
        <v>13</v>
      </c>
      <c r="C268" t="s">
        <v>132</v>
      </c>
      <c r="D268" t="s">
        <v>17</v>
      </c>
      <c r="E268" t="s">
        <v>208</v>
      </c>
      <c r="F268">
        <v>60842646.390000001</v>
      </c>
      <c r="G268" t="s">
        <v>209</v>
      </c>
      <c r="H268" t="s">
        <v>81</v>
      </c>
      <c r="I268" t="s">
        <v>9</v>
      </c>
      <c r="L268" t="s">
        <v>161</v>
      </c>
      <c r="M268">
        <v>-60842646.390000001</v>
      </c>
    </row>
    <row r="269" spans="1:13" x14ac:dyDescent="0.3">
      <c r="A269" s="23">
        <v>45103</v>
      </c>
      <c r="B269" t="s">
        <v>13</v>
      </c>
      <c r="C269" t="s">
        <v>132</v>
      </c>
      <c r="D269" t="s">
        <v>17</v>
      </c>
      <c r="E269" t="s">
        <v>162</v>
      </c>
      <c r="F269">
        <v>60700000</v>
      </c>
      <c r="G269" t="s">
        <v>22</v>
      </c>
      <c r="H269" t="s">
        <v>81</v>
      </c>
      <c r="I269" t="s">
        <v>9</v>
      </c>
      <c r="L269" t="s">
        <v>161</v>
      </c>
      <c r="M269">
        <v>-60700000</v>
      </c>
    </row>
    <row r="270" spans="1:13" x14ac:dyDescent="0.3">
      <c r="A270" s="23">
        <v>45680</v>
      </c>
      <c r="B270" t="s">
        <v>13</v>
      </c>
      <c r="C270" t="s">
        <v>132</v>
      </c>
      <c r="D270" t="s">
        <v>17</v>
      </c>
      <c r="E270" t="s">
        <v>136</v>
      </c>
      <c r="F270">
        <v>60400000</v>
      </c>
      <c r="G270" t="s">
        <v>134</v>
      </c>
      <c r="H270" t="s">
        <v>81</v>
      </c>
      <c r="I270" t="s">
        <v>9</v>
      </c>
      <c r="L270" t="s">
        <v>161</v>
      </c>
      <c r="M270">
        <v>-60400000</v>
      </c>
    </row>
    <row r="271" spans="1:13" x14ac:dyDescent="0.3">
      <c r="A271" s="23">
        <v>45635</v>
      </c>
      <c r="B271" t="s">
        <v>13</v>
      </c>
      <c r="C271" t="s">
        <v>132</v>
      </c>
      <c r="D271" t="s">
        <v>17</v>
      </c>
      <c r="E271" t="s">
        <v>193</v>
      </c>
      <c r="F271">
        <v>60372851.729999997</v>
      </c>
      <c r="G271" t="s">
        <v>131</v>
      </c>
      <c r="H271" t="s">
        <v>81</v>
      </c>
      <c r="I271" t="s">
        <v>9</v>
      </c>
      <c r="L271" t="s">
        <v>161</v>
      </c>
      <c r="M271">
        <v>-60372851.729999997</v>
      </c>
    </row>
    <row r="272" spans="1:13" x14ac:dyDescent="0.3">
      <c r="A272" s="23">
        <v>44872</v>
      </c>
      <c r="B272" t="s">
        <v>13</v>
      </c>
      <c r="C272" t="s">
        <v>132</v>
      </c>
      <c r="D272" t="s">
        <v>17</v>
      </c>
      <c r="E272" t="s">
        <v>48</v>
      </c>
      <c r="F272">
        <v>60200000</v>
      </c>
      <c r="G272" t="s">
        <v>29</v>
      </c>
      <c r="H272" t="s">
        <v>81</v>
      </c>
      <c r="I272" t="s">
        <v>9</v>
      </c>
      <c r="L272" t="s">
        <v>161</v>
      </c>
      <c r="M272">
        <v>-60200000</v>
      </c>
    </row>
    <row r="273" spans="1:13" x14ac:dyDescent="0.3">
      <c r="A273" s="23">
        <v>45539</v>
      </c>
      <c r="B273" t="s">
        <v>13</v>
      </c>
      <c r="C273" t="s">
        <v>132</v>
      </c>
      <c r="D273" t="s">
        <v>17</v>
      </c>
      <c r="E273" t="s">
        <v>46</v>
      </c>
      <c r="F273">
        <v>60000000</v>
      </c>
      <c r="G273" t="s">
        <v>28</v>
      </c>
      <c r="H273" t="s">
        <v>81</v>
      </c>
      <c r="I273" t="s">
        <v>9</v>
      </c>
      <c r="L273" t="s">
        <v>161</v>
      </c>
      <c r="M273">
        <v>-60000000</v>
      </c>
    </row>
    <row r="274" spans="1:13" x14ac:dyDescent="0.3">
      <c r="A274" s="23">
        <v>45566</v>
      </c>
      <c r="B274" t="s">
        <v>13</v>
      </c>
      <c r="C274" t="s">
        <v>132</v>
      </c>
      <c r="D274" t="s">
        <v>17</v>
      </c>
      <c r="E274" t="s">
        <v>193</v>
      </c>
      <c r="F274">
        <v>60000000</v>
      </c>
      <c r="G274" t="s">
        <v>131</v>
      </c>
      <c r="H274" t="s">
        <v>81</v>
      </c>
      <c r="I274" t="s">
        <v>9</v>
      </c>
      <c r="L274" t="s">
        <v>161</v>
      </c>
      <c r="M274">
        <v>-60000000</v>
      </c>
    </row>
    <row r="275" spans="1:13" x14ac:dyDescent="0.3">
      <c r="A275" s="23">
        <v>45629</v>
      </c>
      <c r="B275" t="s">
        <v>13</v>
      </c>
      <c r="C275" t="s">
        <v>132</v>
      </c>
      <c r="D275" t="s">
        <v>17</v>
      </c>
      <c r="E275" t="s">
        <v>212</v>
      </c>
      <c r="F275">
        <v>60000000</v>
      </c>
      <c r="G275" t="s">
        <v>140</v>
      </c>
      <c r="H275" t="s">
        <v>81</v>
      </c>
      <c r="I275" t="s">
        <v>9</v>
      </c>
      <c r="L275" t="s">
        <v>161</v>
      </c>
      <c r="M275">
        <v>-60000000</v>
      </c>
    </row>
    <row r="276" spans="1:13" x14ac:dyDescent="0.3">
      <c r="A276" s="23">
        <v>45636</v>
      </c>
      <c r="B276" t="s">
        <v>13</v>
      </c>
      <c r="C276" t="s">
        <v>132</v>
      </c>
      <c r="D276" t="s">
        <v>17</v>
      </c>
      <c r="E276" t="s">
        <v>193</v>
      </c>
      <c r="F276">
        <v>59804652.020000003</v>
      </c>
      <c r="G276" t="s">
        <v>131</v>
      </c>
      <c r="H276" t="s">
        <v>81</v>
      </c>
      <c r="I276" t="s">
        <v>9</v>
      </c>
      <c r="L276" t="s">
        <v>161</v>
      </c>
      <c r="M276">
        <v>-59804652.020000003</v>
      </c>
    </row>
    <row r="277" spans="1:13" x14ac:dyDescent="0.3">
      <c r="A277" s="23">
        <v>45425</v>
      </c>
      <c r="B277" t="s">
        <v>13</v>
      </c>
      <c r="C277" t="s">
        <v>132</v>
      </c>
      <c r="D277" t="s">
        <v>17</v>
      </c>
      <c r="E277" t="s">
        <v>41</v>
      </c>
      <c r="F277">
        <v>59500000</v>
      </c>
      <c r="G277" t="s">
        <v>26</v>
      </c>
      <c r="H277" t="s">
        <v>81</v>
      </c>
      <c r="I277" t="s">
        <v>9</v>
      </c>
      <c r="L277" t="s">
        <v>161</v>
      </c>
      <c r="M277">
        <v>-59500000</v>
      </c>
    </row>
    <row r="278" spans="1:13" x14ac:dyDescent="0.3">
      <c r="A278" s="23">
        <v>45209</v>
      </c>
      <c r="B278" t="s">
        <v>13</v>
      </c>
      <c r="C278" t="s">
        <v>132</v>
      </c>
      <c r="D278" t="s">
        <v>17</v>
      </c>
      <c r="E278" t="s">
        <v>162</v>
      </c>
      <c r="F278">
        <v>58938747.759999998</v>
      </c>
      <c r="G278" t="s">
        <v>22</v>
      </c>
      <c r="H278" t="s">
        <v>81</v>
      </c>
      <c r="I278" t="s">
        <v>9</v>
      </c>
      <c r="L278" t="s">
        <v>161</v>
      </c>
      <c r="M278">
        <v>-58938747.759999998</v>
      </c>
    </row>
    <row r="279" spans="1:13" x14ac:dyDescent="0.3">
      <c r="A279" s="23">
        <v>45526</v>
      </c>
      <c r="B279" t="s">
        <v>13</v>
      </c>
      <c r="C279" t="s">
        <v>143</v>
      </c>
      <c r="D279" t="s">
        <v>17</v>
      </c>
      <c r="E279" t="s">
        <v>149</v>
      </c>
      <c r="F279">
        <v>58791262</v>
      </c>
      <c r="G279" t="s">
        <v>140</v>
      </c>
      <c r="H279" t="s">
        <v>81</v>
      </c>
      <c r="I279" t="s">
        <v>9</v>
      </c>
      <c r="M279">
        <v>-58791262</v>
      </c>
    </row>
    <row r="280" spans="1:13" x14ac:dyDescent="0.3">
      <c r="A280" s="23">
        <v>45582</v>
      </c>
      <c r="B280" t="s">
        <v>13</v>
      </c>
      <c r="C280" t="s">
        <v>132</v>
      </c>
      <c r="D280" t="s">
        <v>17</v>
      </c>
      <c r="E280" t="s">
        <v>41</v>
      </c>
      <c r="F280">
        <v>58700000</v>
      </c>
      <c r="G280" t="s">
        <v>26</v>
      </c>
      <c r="H280" t="s">
        <v>81</v>
      </c>
      <c r="I280" t="s">
        <v>9</v>
      </c>
      <c r="L280" t="s">
        <v>161</v>
      </c>
      <c r="M280">
        <v>-58700000</v>
      </c>
    </row>
    <row r="281" spans="1:13" x14ac:dyDescent="0.3">
      <c r="A281" s="23">
        <v>45452</v>
      </c>
      <c r="B281" t="s">
        <v>13</v>
      </c>
      <c r="C281" t="s">
        <v>132</v>
      </c>
      <c r="D281" t="s">
        <v>17</v>
      </c>
      <c r="E281" t="s">
        <v>41</v>
      </c>
      <c r="F281">
        <v>58400000</v>
      </c>
      <c r="G281" t="s">
        <v>26</v>
      </c>
      <c r="H281" t="s">
        <v>81</v>
      </c>
      <c r="I281" t="s">
        <v>9</v>
      </c>
      <c r="L281" t="s">
        <v>161</v>
      </c>
      <c r="M281">
        <v>-58400000</v>
      </c>
    </row>
    <row r="282" spans="1:13" x14ac:dyDescent="0.3">
      <c r="A282" s="23">
        <v>44776</v>
      </c>
      <c r="B282" t="s">
        <v>13</v>
      </c>
      <c r="C282" t="s">
        <v>132</v>
      </c>
      <c r="D282" t="s">
        <v>17</v>
      </c>
      <c r="E282" t="s">
        <v>41</v>
      </c>
      <c r="F282">
        <v>57800000</v>
      </c>
      <c r="G282" t="s">
        <v>26</v>
      </c>
      <c r="H282" t="s">
        <v>81</v>
      </c>
      <c r="I282" t="s">
        <v>9</v>
      </c>
      <c r="L282" t="s">
        <v>161</v>
      </c>
      <c r="M282">
        <v>-57800000</v>
      </c>
    </row>
    <row r="283" spans="1:13" x14ac:dyDescent="0.3">
      <c r="A283" s="23">
        <v>45153</v>
      </c>
      <c r="B283" t="s">
        <v>13</v>
      </c>
      <c r="C283" t="s">
        <v>132</v>
      </c>
      <c r="D283" t="s">
        <v>17</v>
      </c>
      <c r="E283" t="s">
        <v>46</v>
      </c>
      <c r="F283">
        <v>57700000</v>
      </c>
      <c r="G283" t="s">
        <v>28</v>
      </c>
      <c r="H283" t="s">
        <v>81</v>
      </c>
      <c r="I283" t="s">
        <v>9</v>
      </c>
      <c r="L283" t="s">
        <v>161</v>
      </c>
      <c r="M283">
        <v>-57700000</v>
      </c>
    </row>
    <row r="284" spans="1:13" x14ac:dyDescent="0.3">
      <c r="A284" s="23">
        <v>44663</v>
      </c>
      <c r="B284" t="s">
        <v>13</v>
      </c>
      <c r="C284" t="s">
        <v>132</v>
      </c>
      <c r="D284" t="s">
        <v>17</v>
      </c>
      <c r="E284" t="s">
        <v>136</v>
      </c>
      <c r="F284">
        <v>57535395</v>
      </c>
      <c r="G284" t="s">
        <v>134</v>
      </c>
      <c r="H284" t="s">
        <v>81</v>
      </c>
      <c r="I284" t="s">
        <v>9</v>
      </c>
      <c r="L284" t="s">
        <v>161</v>
      </c>
      <c r="M284">
        <v>-57535395</v>
      </c>
    </row>
    <row r="285" spans="1:13" x14ac:dyDescent="0.3">
      <c r="A285" s="23">
        <v>44935</v>
      </c>
      <c r="B285" t="s">
        <v>13</v>
      </c>
      <c r="C285" t="s">
        <v>132</v>
      </c>
      <c r="D285" t="s">
        <v>17</v>
      </c>
      <c r="E285" t="s">
        <v>41</v>
      </c>
      <c r="F285">
        <v>57500000</v>
      </c>
      <c r="G285" t="s">
        <v>26</v>
      </c>
      <c r="H285" t="s">
        <v>81</v>
      </c>
      <c r="I285" t="s">
        <v>9</v>
      </c>
      <c r="L285" t="s">
        <v>161</v>
      </c>
      <c r="M285">
        <v>-57500000</v>
      </c>
    </row>
    <row r="286" spans="1:13" x14ac:dyDescent="0.3">
      <c r="A286" s="23">
        <v>44869</v>
      </c>
      <c r="B286" t="s">
        <v>13</v>
      </c>
      <c r="C286" t="s">
        <v>132</v>
      </c>
      <c r="D286" t="s">
        <v>17</v>
      </c>
      <c r="E286" t="s">
        <v>48</v>
      </c>
      <c r="F286">
        <v>57400000</v>
      </c>
      <c r="G286" t="s">
        <v>29</v>
      </c>
      <c r="H286" t="s">
        <v>81</v>
      </c>
      <c r="I286" t="s">
        <v>9</v>
      </c>
      <c r="L286" t="s">
        <v>161</v>
      </c>
      <c r="M286">
        <v>-57400000</v>
      </c>
    </row>
    <row r="287" spans="1:13" x14ac:dyDescent="0.3">
      <c r="A287" s="23">
        <v>45363</v>
      </c>
      <c r="B287" t="s">
        <v>13</v>
      </c>
      <c r="C287" t="s">
        <v>143</v>
      </c>
      <c r="D287" t="s">
        <v>17</v>
      </c>
      <c r="E287" t="s">
        <v>149</v>
      </c>
      <c r="F287">
        <v>57358092.299999997</v>
      </c>
      <c r="G287" t="s">
        <v>140</v>
      </c>
      <c r="H287" t="s">
        <v>81</v>
      </c>
      <c r="I287" t="s">
        <v>9</v>
      </c>
      <c r="M287">
        <v>-57358092.299999997</v>
      </c>
    </row>
    <row r="288" spans="1:13" x14ac:dyDescent="0.3">
      <c r="A288" s="23">
        <v>45751</v>
      </c>
      <c r="B288" t="s">
        <v>13</v>
      </c>
      <c r="C288" t="s">
        <v>132</v>
      </c>
      <c r="D288" t="s">
        <v>17</v>
      </c>
      <c r="E288" t="s">
        <v>193</v>
      </c>
      <c r="F288">
        <v>57131318.399999999</v>
      </c>
      <c r="G288" t="s">
        <v>131</v>
      </c>
      <c r="H288" t="s">
        <v>81</v>
      </c>
      <c r="I288" t="s">
        <v>9</v>
      </c>
      <c r="L288" t="s">
        <v>161</v>
      </c>
      <c r="M288">
        <v>-57131318.399999999</v>
      </c>
    </row>
    <row r="289" spans="1:13" x14ac:dyDescent="0.3">
      <c r="A289" s="23">
        <v>45201</v>
      </c>
      <c r="B289" t="s">
        <v>13</v>
      </c>
      <c r="C289" t="s">
        <v>132</v>
      </c>
      <c r="D289" t="s">
        <v>17</v>
      </c>
      <c r="E289" t="s">
        <v>169</v>
      </c>
      <c r="F289">
        <v>57007375.350000001</v>
      </c>
      <c r="G289" t="s">
        <v>131</v>
      </c>
      <c r="H289" t="s">
        <v>81</v>
      </c>
      <c r="I289" t="s">
        <v>9</v>
      </c>
      <c r="L289" t="s">
        <v>161</v>
      </c>
      <c r="M289">
        <v>-57007375.350000001</v>
      </c>
    </row>
    <row r="290" spans="1:13" x14ac:dyDescent="0.3">
      <c r="A290" s="23">
        <v>45293</v>
      </c>
      <c r="B290" t="s">
        <v>13</v>
      </c>
      <c r="C290" t="s">
        <v>132</v>
      </c>
      <c r="D290" t="s">
        <v>17</v>
      </c>
      <c r="E290" t="s">
        <v>48</v>
      </c>
      <c r="F290">
        <v>56499999.960000001</v>
      </c>
      <c r="G290" t="s">
        <v>29</v>
      </c>
      <c r="H290" t="s">
        <v>81</v>
      </c>
      <c r="I290" t="s">
        <v>9</v>
      </c>
      <c r="L290" t="s">
        <v>161</v>
      </c>
      <c r="M290">
        <v>-56499999.960000001</v>
      </c>
    </row>
    <row r="291" spans="1:13" x14ac:dyDescent="0.3">
      <c r="A291" s="23">
        <v>45152</v>
      </c>
      <c r="B291" t="s">
        <v>13</v>
      </c>
      <c r="C291" t="s">
        <v>132</v>
      </c>
      <c r="D291" t="s">
        <v>17</v>
      </c>
      <c r="E291" t="s">
        <v>41</v>
      </c>
      <c r="F291">
        <v>56100000</v>
      </c>
      <c r="G291" t="s">
        <v>26</v>
      </c>
      <c r="H291" t="s">
        <v>81</v>
      </c>
      <c r="I291" t="s">
        <v>9</v>
      </c>
      <c r="L291" t="s">
        <v>161</v>
      </c>
      <c r="M291">
        <v>-56100000</v>
      </c>
    </row>
    <row r="292" spans="1:13" x14ac:dyDescent="0.3">
      <c r="A292" s="23">
        <v>45604</v>
      </c>
      <c r="B292" t="s">
        <v>13</v>
      </c>
      <c r="C292" t="s">
        <v>132</v>
      </c>
      <c r="D292" t="s">
        <v>17</v>
      </c>
      <c r="E292" t="s">
        <v>46</v>
      </c>
      <c r="F292">
        <v>56100000</v>
      </c>
      <c r="G292" t="s">
        <v>28</v>
      </c>
      <c r="H292" t="s">
        <v>81</v>
      </c>
      <c r="I292" t="s">
        <v>9</v>
      </c>
      <c r="L292" t="s">
        <v>161</v>
      </c>
      <c r="M292">
        <v>-56100000</v>
      </c>
    </row>
    <row r="293" spans="1:13" x14ac:dyDescent="0.3">
      <c r="A293" s="23">
        <v>45674</v>
      </c>
      <c r="B293" t="s">
        <v>13</v>
      </c>
      <c r="C293" t="s">
        <v>132</v>
      </c>
      <c r="D293" t="s">
        <v>17</v>
      </c>
      <c r="E293" t="s">
        <v>136</v>
      </c>
      <c r="F293">
        <v>55991140</v>
      </c>
      <c r="G293" t="s">
        <v>134</v>
      </c>
      <c r="H293" t="s">
        <v>81</v>
      </c>
      <c r="I293" t="s">
        <v>9</v>
      </c>
      <c r="L293" t="s">
        <v>161</v>
      </c>
      <c r="M293">
        <v>-55991140</v>
      </c>
    </row>
    <row r="294" spans="1:13" x14ac:dyDescent="0.3">
      <c r="A294" s="23">
        <v>45743</v>
      </c>
      <c r="B294" t="s">
        <v>13</v>
      </c>
      <c r="C294" t="s">
        <v>132</v>
      </c>
      <c r="D294" t="s">
        <v>17</v>
      </c>
      <c r="E294" t="s">
        <v>136</v>
      </c>
      <c r="F294">
        <v>55965336.630000003</v>
      </c>
      <c r="G294" t="s">
        <v>134</v>
      </c>
      <c r="H294" t="s">
        <v>81</v>
      </c>
      <c r="I294" t="s">
        <v>9</v>
      </c>
      <c r="L294" t="s">
        <v>161</v>
      </c>
      <c r="M294">
        <v>-55965336.630000003</v>
      </c>
    </row>
    <row r="295" spans="1:13" x14ac:dyDescent="0.3">
      <c r="A295" s="23">
        <v>45555</v>
      </c>
      <c r="B295" t="s">
        <v>13</v>
      </c>
      <c r="C295" t="s">
        <v>132</v>
      </c>
      <c r="D295" t="s">
        <v>17</v>
      </c>
      <c r="E295" t="s">
        <v>136</v>
      </c>
      <c r="F295">
        <v>55188325.859999999</v>
      </c>
      <c r="G295" t="s">
        <v>134</v>
      </c>
      <c r="H295" t="s">
        <v>81</v>
      </c>
      <c r="I295" t="s">
        <v>9</v>
      </c>
      <c r="L295" t="s">
        <v>161</v>
      </c>
      <c r="M295">
        <v>-55188325.859999999</v>
      </c>
    </row>
    <row r="296" spans="1:13" x14ac:dyDescent="0.3">
      <c r="A296" s="23">
        <v>44970</v>
      </c>
      <c r="B296" t="s">
        <v>13</v>
      </c>
      <c r="C296" t="s">
        <v>143</v>
      </c>
      <c r="D296" t="s">
        <v>17</v>
      </c>
      <c r="E296" t="s">
        <v>149</v>
      </c>
      <c r="F296">
        <v>54600885.729999997</v>
      </c>
      <c r="G296" t="s">
        <v>140</v>
      </c>
      <c r="H296" t="s">
        <v>81</v>
      </c>
      <c r="I296" t="s">
        <v>9</v>
      </c>
      <c r="J296" s="23">
        <v>44965</v>
      </c>
      <c r="L296" t="s">
        <v>240</v>
      </c>
      <c r="M296">
        <v>-54600885.729999997</v>
      </c>
    </row>
    <row r="297" spans="1:13" x14ac:dyDescent="0.3">
      <c r="A297" s="23">
        <v>45691</v>
      </c>
      <c r="B297" t="s">
        <v>13</v>
      </c>
      <c r="C297" t="s">
        <v>132</v>
      </c>
      <c r="D297" t="s">
        <v>17</v>
      </c>
      <c r="E297" t="s">
        <v>40</v>
      </c>
      <c r="F297">
        <v>54400000</v>
      </c>
      <c r="G297" t="s">
        <v>25</v>
      </c>
      <c r="H297" t="s">
        <v>81</v>
      </c>
      <c r="I297" t="s">
        <v>9</v>
      </c>
      <c r="L297" t="s">
        <v>161</v>
      </c>
      <c r="M297">
        <v>-54400000</v>
      </c>
    </row>
    <row r="298" spans="1:13" x14ac:dyDescent="0.3">
      <c r="A298" s="23">
        <v>45568</v>
      </c>
      <c r="B298" t="s">
        <v>13</v>
      </c>
      <c r="C298" t="s">
        <v>132</v>
      </c>
      <c r="D298" t="s">
        <v>17</v>
      </c>
      <c r="E298" t="s">
        <v>169</v>
      </c>
      <c r="F298">
        <v>53873400.5</v>
      </c>
      <c r="G298" t="s">
        <v>131</v>
      </c>
      <c r="H298" t="s">
        <v>81</v>
      </c>
      <c r="I298" t="s">
        <v>9</v>
      </c>
      <c r="L298" t="s">
        <v>161</v>
      </c>
      <c r="M298">
        <v>-53873400.5</v>
      </c>
    </row>
    <row r="299" spans="1:13" x14ac:dyDescent="0.3">
      <c r="A299" s="23">
        <v>44858</v>
      </c>
      <c r="B299" t="s">
        <v>13</v>
      </c>
      <c r="C299" t="s">
        <v>132</v>
      </c>
      <c r="D299" t="s">
        <v>17</v>
      </c>
      <c r="E299" t="s">
        <v>41</v>
      </c>
      <c r="F299">
        <v>53700000</v>
      </c>
      <c r="G299" t="s">
        <v>26</v>
      </c>
      <c r="H299" t="s">
        <v>81</v>
      </c>
      <c r="I299" t="s">
        <v>9</v>
      </c>
      <c r="L299" t="s">
        <v>161</v>
      </c>
      <c r="M299">
        <v>-53700000</v>
      </c>
    </row>
    <row r="300" spans="1:13" x14ac:dyDescent="0.3">
      <c r="A300" s="23">
        <v>45266</v>
      </c>
      <c r="B300" t="s">
        <v>13</v>
      </c>
      <c r="C300" t="s">
        <v>132</v>
      </c>
      <c r="D300" t="s">
        <v>17</v>
      </c>
      <c r="E300" t="s">
        <v>136</v>
      </c>
      <c r="F300">
        <v>53694237.93</v>
      </c>
      <c r="G300" t="s">
        <v>134</v>
      </c>
      <c r="H300" t="s">
        <v>81</v>
      </c>
      <c r="I300" t="s">
        <v>9</v>
      </c>
      <c r="L300" t="s">
        <v>161</v>
      </c>
      <c r="M300">
        <v>-53694237.93</v>
      </c>
    </row>
    <row r="301" spans="1:13" x14ac:dyDescent="0.3">
      <c r="A301" s="23">
        <v>45539</v>
      </c>
      <c r="B301" t="s">
        <v>13</v>
      </c>
      <c r="C301" t="s">
        <v>132</v>
      </c>
      <c r="D301" t="s">
        <v>17</v>
      </c>
      <c r="E301" t="s">
        <v>41</v>
      </c>
      <c r="F301">
        <v>53200000</v>
      </c>
      <c r="G301" t="s">
        <v>26</v>
      </c>
      <c r="H301" t="s">
        <v>81</v>
      </c>
      <c r="I301" t="s">
        <v>9</v>
      </c>
      <c r="L301" t="s">
        <v>161</v>
      </c>
      <c r="M301">
        <v>-53200000</v>
      </c>
    </row>
    <row r="302" spans="1:13" x14ac:dyDescent="0.3">
      <c r="A302" s="23">
        <v>45485</v>
      </c>
      <c r="B302" t="s">
        <v>13</v>
      </c>
      <c r="C302" t="s">
        <v>132</v>
      </c>
      <c r="D302" t="s">
        <v>17</v>
      </c>
      <c r="E302" t="s">
        <v>136</v>
      </c>
      <c r="F302">
        <v>53000000</v>
      </c>
      <c r="G302" t="s">
        <v>134</v>
      </c>
      <c r="H302" t="s">
        <v>81</v>
      </c>
      <c r="I302" t="s">
        <v>9</v>
      </c>
      <c r="L302" t="s">
        <v>161</v>
      </c>
      <c r="M302">
        <v>-53000000</v>
      </c>
    </row>
    <row r="303" spans="1:13" x14ac:dyDescent="0.3">
      <c r="A303" s="23">
        <v>45441</v>
      </c>
      <c r="B303" t="s">
        <v>13</v>
      </c>
      <c r="C303" t="s">
        <v>143</v>
      </c>
      <c r="D303" t="s">
        <v>17</v>
      </c>
      <c r="E303" t="s">
        <v>149</v>
      </c>
      <c r="F303">
        <v>52946218</v>
      </c>
      <c r="G303" t="s">
        <v>140</v>
      </c>
      <c r="H303" t="s">
        <v>81</v>
      </c>
      <c r="I303" t="s">
        <v>9</v>
      </c>
      <c r="M303">
        <v>-52946218</v>
      </c>
    </row>
    <row r="304" spans="1:13" x14ac:dyDescent="0.3">
      <c r="A304" s="23">
        <v>45708</v>
      </c>
      <c r="B304" t="s">
        <v>13</v>
      </c>
      <c r="C304" t="s">
        <v>132</v>
      </c>
      <c r="D304" t="s">
        <v>17</v>
      </c>
      <c r="E304" t="s">
        <v>40</v>
      </c>
      <c r="F304">
        <v>52800000</v>
      </c>
      <c r="G304" t="s">
        <v>25</v>
      </c>
      <c r="H304" t="s">
        <v>81</v>
      </c>
      <c r="I304" t="s">
        <v>9</v>
      </c>
      <c r="L304" t="s">
        <v>161</v>
      </c>
      <c r="M304">
        <v>-52800000</v>
      </c>
    </row>
    <row r="305" spans="1:13" x14ac:dyDescent="0.3">
      <c r="A305" s="23">
        <v>45156</v>
      </c>
      <c r="B305" t="s">
        <v>13</v>
      </c>
      <c r="C305" t="s">
        <v>143</v>
      </c>
      <c r="D305" t="s">
        <v>17</v>
      </c>
      <c r="E305" t="s">
        <v>149</v>
      </c>
      <c r="F305">
        <v>52508538.469999999</v>
      </c>
      <c r="G305" t="s">
        <v>140</v>
      </c>
      <c r="H305" t="s">
        <v>81</v>
      </c>
      <c r="I305" t="s">
        <v>9</v>
      </c>
      <c r="M305">
        <v>-52508538.469999999</v>
      </c>
    </row>
    <row r="306" spans="1:13" x14ac:dyDescent="0.3">
      <c r="A306" s="23">
        <v>45588</v>
      </c>
      <c r="B306" t="s">
        <v>13</v>
      </c>
      <c r="C306" t="s">
        <v>132</v>
      </c>
      <c r="D306" t="s">
        <v>17</v>
      </c>
      <c r="E306" t="s">
        <v>193</v>
      </c>
      <c r="F306">
        <v>52250000</v>
      </c>
      <c r="G306" t="s">
        <v>131</v>
      </c>
      <c r="H306" t="s">
        <v>81</v>
      </c>
      <c r="I306" t="s">
        <v>9</v>
      </c>
      <c r="L306" t="s">
        <v>161</v>
      </c>
      <c r="M306">
        <v>-52250000</v>
      </c>
    </row>
    <row r="307" spans="1:13" x14ac:dyDescent="0.3">
      <c r="A307" s="23">
        <v>45322</v>
      </c>
      <c r="B307" t="s">
        <v>13</v>
      </c>
      <c r="C307" t="s">
        <v>132</v>
      </c>
      <c r="D307" t="s">
        <v>17</v>
      </c>
      <c r="E307" t="s">
        <v>46</v>
      </c>
      <c r="F307">
        <v>51900000</v>
      </c>
      <c r="G307" t="s">
        <v>28</v>
      </c>
      <c r="H307" t="s">
        <v>81</v>
      </c>
      <c r="I307" t="s">
        <v>9</v>
      </c>
      <c r="L307" t="s">
        <v>161</v>
      </c>
      <c r="M307">
        <v>-51900000</v>
      </c>
    </row>
    <row r="308" spans="1:13" x14ac:dyDescent="0.3">
      <c r="A308" s="23">
        <v>45575</v>
      </c>
      <c r="B308" t="s">
        <v>13</v>
      </c>
      <c r="C308" t="s">
        <v>132</v>
      </c>
      <c r="D308" t="s">
        <v>17</v>
      </c>
      <c r="E308" t="s">
        <v>169</v>
      </c>
      <c r="F308">
        <v>51745379.710000001</v>
      </c>
      <c r="G308" t="s">
        <v>131</v>
      </c>
      <c r="H308" t="s">
        <v>81</v>
      </c>
      <c r="I308" t="s">
        <v>9</v>
      </c>
      <c r="L308" t="s">
        <v>161</v>
      </c>
      <c r="M308">
        <v>-51745379.710000001</v>
      </c>
    </row>
    <row r="309" spans="1:13" x14ac:dyDescent="0.3">
      <c r="A309" s="23">
        <v>45352</v>
      </c>
      <c r="B309" t="s">
        <v>13</v>
      </c>
      <c r="C309" t="s">
        <v>132</v>
      </c>
      <c r="D309" t="s">
        <v>17</v>
      </c>
      <c r="E309" t="s">
        <v>41</v>
      </c>
      <c r="F309">
        <v>51300000</v>
      </c>
      <c r="G309" t="s">
        <v>26</v>
      </c>
      <c r="H309" t="s">
        <v>81</v>
      </c>
      <c r="I309" t="s">
        <v>9</v>
      </c>
      <c r="L309" t="s">
        <v>161</v>
      </c>
      <c r="M309">
        <v>-51300000</v>
      </c>
    </row>
    <row r="310" spans="1:13" x14ac:dyDescent="0.3">
      <c r="A310" s="23">
        <v>44999</v>
      </c>
      <c r="B310" t="s">
        <v>13</v>
      </c>
      <c r="C310" t="s">
        <v>143</v>
      </c>
      <c r="D310" t="s">
        <v>17</v>
      </c>
      <c r="E310" t="s">
        <v>149</v>
      </c>
      <c r="F310">
        <v>50986049.659999996</v>
      </c>
      <c r="G310" t="s">
        <v>140</v>
      </c>
      <c r="H310" t="s">
        <v>81</v>
      </c>
      <c r="I310" t="s">
        <v>9</v>
      </c>
      <c r="J310" s="23">
        <v>45000</v>
      </c>
      <c r="L310" t="s">
        <v>242</v>
      </c>
      <c r="M310">
        <v>-50986049.659999996</v>
      </c>
    </row>
    <row r="311" spans="1:13" x14ac:dyDescent="0.3">
      <c r="A311" s="23">
        <v>45607</v>
      </c>
      <c r="B311" t="s">
        <v>13</v>
      </c>
      <c r="C311" t="s">
        <v>132</v>
      </c>
      <c r="D311" t="s">
        <v>17</v>
      </c>
      <c r="E311" t="s">
        <v>212</v>
      </c>
      <c r="F311">
        <v>50764992.939999998</v>
      </c>
      <c r="G311" t="s">
        <v>140</v>
      </c>
      <c r="H311" t="s">
        <v>81</v>
      </c>
      <c r="I311" t="s">
        <v>9</v>
      </c>
      <c r="L311" t="s">
        <v>161</v>
      </c>
      <c r="M311">
        <v>-50764992.939999998</v>
      </c>
    </row>
    <row r="312" spans="1:13" x14ac:dyDescent="0.3">
      <c r="A312" s="23">
        <v>45729</v>
      </c>
      <c r="B312" t="s">
        <v>13</v>
      </c>
      <c r="C312" t="s">
        <v>132</v>
      </c>
      <c r="D312" t="s">
        <v>17</v>
      </c>
      <c r="E312" t="s">
        <v>41</v>
      </c>
      <c r="F312">
        <v>50100000</v>
      </c>
      <c r="G312" t="s">
        <v>26</v>
      </c>
      <c r="H312" t="s">
        <v>81</v>
      </c>
      <c r="I312" t="s">
        <v>9</v>
      </c>
      <c r="L312" t="s">
        <v>161</v>
      </c>
      <c r="M312">
        <v>-50100000</v>
      </c>
    </row>
    <row r="313" spans="1:13" x14ac:dyDescent="0.3">
      <c r="A313" s="23">
        <v>45681</v>
      </c>
      <c r="B313" t="s">
        <v>13</v>
      </c>
      <c r="C313" t="s">
        <v>132</v>
      </c>
      <c r="D313" t="s">
        <v>17</v>
      </c>
      <c r="E313" t="s">
        <v>136</v>
      </c>
      <c r="F313">
        <v>50000000</v>
      </c>
      <c r="G313" t="s">
        <v>134</v>
      </c>
      <c r="H313" t="s">
        <v>81</v>
      </c>
      <c r="I313" t="s">
        <v>9</v>
      </c>
      <c r="L313" t="s">
        <v>161</v>
      </c>
      <c r="M313">
        <v>-50000000</v>
      </c>
    </row>
    <row r="314" spans="1:13" x14ac:dyDescent="0.3">
      <c r="A314" s="23">
        <v>45547</v>
      </c>
      <c r="B314" t="s">
        <v>13</v>
      </c>
      <c r="C314" t="s">
        <v>132</v>
      </c>
      <c r="D314" t="s">
        <v>17</v>
      </c>
      <c r="E314" t="s">
        <v>136</v>
      </c>
      <c r="F314">
        <v>50000000</v>
      </c>
      <c r="G314" t="s">
        <v>134</v>
      </c>
      <c r="H314" t="s">
        <v>81</v>
      </c>
      <c r="I314" t="s">
        <v>9</v>
      </c>
      <c r="L314" t="s">
        <v>161</v>
      </c>
      <c r="M314">
        <v>-50000000</v>
      </c>
    </row>
    <row r="315" spans="1:13" x14ac:dyDescent="0.3">
      <c r="A315" s="23">
        <v>45506</v>
      </c>
      <c r="B315" t="s">
        <v>13</v>
      </c>
      <c r="C315" t="s">
        <v>132</v>
      </c>
      <c r="D315" t="s">
        <v>17</v>
      </c>
      <c r="E315" t="s">
        <v>136</v>
      </c>
      <c r="F315">
        <v>50000000</v>
      </c>
      <c r="G315" t="s">
        <v>134</v>
      </c>
      <c r="H315" t="s">
        <v>81</v>
      </c>
      <c r="I315" t="s">
        <v>9</v>
      </c>
      <c r="L315" t="s">
        <v>161</v>
      </c>
      <c r="M315">
        <v>-50000000</v>
      </c>
    </row>
    <row r="316" spans="1:13" x14ac:dyDescent="0.3">
      <c r="A316" s="23">
        <v>45474</v>
      </c>
      <c r="B316" t="s">
        <v>13</v>
      </c>
      <c r="C316" t="s">
        <v>132</v>
      </c>
      <c r="D316" t="s">
        <v>17</v>
      </c>
      <c r="E316" t="s">
        <v>136</v>
      </c>
      <c r="F316">
        <v>50000000</v>
      </c>
      <c r="G316" t="s">
        <v>134</v>
      </c>
      <c r="H316" t="s">
        <v>81</v>
      </c>
      <c r="I316" t="s">
        <v>9</v>
      </c>
      <c r="L316" t="s">
        <v>161</v>
      </c>
      <c r="M316">
        <v>-50000000</v>
      </c>
    </row>
    <row r="317" spans="1:13" x14ac:dyDescent="0.3">
      <c r="A317" s="23">
        <v>45432</v>
      </c>
      <c r="B317" t="s">
        <v>13</v>
      </c>
      <c r="C317" t="s">
        <v>132</v>
      </c>
      <c r="D317" t="s">
        <v>17</v>
      </c>
      <c r="E317" t="s">
        <v>136</v>
      </c>
      <c r="F317">
        <v>50000000</v>
      </c>
      <c r="G317" t="s">
        <v>134</v>
      </c>
      <c r="H317" t="s">
        <v>81</v>
      </c>
      <c r="I317" t="s">
        <v>9</v>
      </c>
      <c r="L317" t="s">
        <v>161</v>
      </c>
      <c r="M317">
        <v>-50000000</v>
      </c>
    </row>
    <row r="318" spans="1:13" x14ac:dyDescent="0.3">
      <c r="A318" s="23">
        <v>45385</v>
      </c>
      <c r="B318" t="s">
        <v>13</v>
      </c>
      <c r="C318" t="s">
        <v>132</v>
      </c>
      <c r="D318" t="s">
        <v>17</v>
      </c>
      <c r="E318" t="s">
        <v>136</v>
      </c>
      <c r="F318">
        <v>50000000</v>
      </c>
      <c r="G318" t="s">
        <v>134</v>
      </c>
      <c r="H318" t="s">
        <v>81</v>
      </c>
      <c r="I318" t="s">
        <v>9</v>
      </c>
      <c r="L318" t="s">
        <v>161</v>
      </c>
      <c r="M318">
        <v>-50000000</v>
      </c>
    </row>
    <row r="319" spans="1:13" x14ac:dyDescent="0.3">
      <c r="A319" s="23">
        <v>45545</v>
      </c>
      <c r="B319" t="s">
        <v>13</v>
      </c>
      <c r="C319" t="s">
        <v>132</v>
      </c>
      <c r="D319" t="s">
        <v>17</v>
      </c>
      <c r="E319" t="s">
        <v>46</v>
      </c>
      <c r="F319">
        <v>50000000</v>
      </c>
      <c r="G319" t="s">
        <v>28</v>
      </c>
      <c r="H319" t="s">
        <v>81</v>
      </c>
      <c r="I319" t="s">
        <v>9</v>
      </c>
      <c r="L319" t="s">
        <v>161</v>
      </c>
      <c r="M319">
        <v>-50000000</v>
      </c>
    </row>
    <row r="320" spans="1:13" x14ac:dyDescent="0.3">
      <c r="A320" s="23">
        <v>45544</v>
      </c>
      <c r="B320" t="s">
        <v>13</v>
      </c>
      <c r="C320" t="s">
        <v>132</v>
      </c>
      <c r="D320" t="s">
        <v>17</v>
      </c>
      <c r="E320" t="s">
        <v>46</v>
      </c>
      <c r="F320">
        <v>50000000</v>
      </c>
      <c r="G320" t="s">
        <v>28</v>
      </c>
      <c r="H320" t="s">
        <v>81</v>
      </c>
      <c r="I320" t="s">
        <v>9</v>
      </c>
      <c r="L320" t="s">
        <v>161</v>
      </c>
      <c r="M320">
        <v>-50000000</v>
      </c>
    </row>
    <row r="321" spans="1:13" x14ac:dyDescent="0.3">
      <c r="A321" s="23">
        <v>45471</v>
      </c>
      <c r="B321" t="s">
        <v>13</v>
      </c>
      <c r="C321" t="s">
        <v>132</v>
      </c>
      <c r="D321" t="s">
        <v>17</v>
      </c>
      <c r="E321" t="s">
        <v>48</v>
      </c>
      <c r="F321">
        <v>50000000</v>
      </c>
      <c r="G321" t="s">
        <v>29</v>
      </c>
      <c r="H321" t="s">
        <v>81</v>
      </c>
      <c r="I321" t="s">
        <v>9</v>
      </c>
      <c r="L321" t="s">
        <v>161</v>
      </c>
      <c r="M321">
        <v>-50000000</v>
      </c>
    </row>
    <row r="322" spans="1:13" x14ac:dyDescent="0.3">
      <c r="A322" s="23">
        <v>45152</v>
      </c>
      <c r="B322" t="s">
        <v>13</v>
      </c>
      <c r="C322" t="s">
        <v>132</v>
      </c>
      <c r="D322" t="s">
        <v>17</v>
      </c>
      <c r="E322" t="s">
        <v>48</v>
      </c>
      <c r="F322">
        <v>50000000</v>
      </c>
      <c r="G322" t="s">
        <v>29</v>
      </c>
      <c r="H322" t="s">
        <v>81</v>
      </c>
      <c r="I322" t="s">
        <v>9</v>
      </c>
      <c r="L322" t="s">
        <v>161</v>
      </c>
      <c r="M322">
        <v>-50000000</v>
      </c>
    </row>
    <row r="323" spans="1:13" x14ac:dyDescent="0.3">
      <c r="A323" s="23">
        <v>45488</v>
      </c>
      <c r="B323" t="s">
        <v>13</v>
      </c>
      <c r="C323" t="s">
        <v>132</v>
      </c>
      <c r="D323" t="s">
        <v>17</v>
      </c>
      <c r="E323" t="s">
        <v>180</v>
      </c>
      <c r="F323">
        <v>50000000</v>
      </c>
      <c r="G323" t="s">
        <v>181</v>
      </c>
      <c r="H323" t="s">
        <v>81</v>
      </c>
      <c r="I323" t="s">
        <v>9</v>
      </c>
      <c r="L323" t="s">
        <v>161</v>
      </c>
      <c r="M323">
        <v>-50000000</v>
      </c>
    </row>
    <row r="324" spans="1:13" x14ac:dyDescent="0.3">
      <c r="A324" s="23">
        <v>45385</v>
      </c>
      <c r="B324" t="s">
        <v>13</v>
      </c>
      <c r="C324" t="s">
        <v>132</v>
      </c>
      <c r="D324" t="s">
        <v>17</v>
      </c>
      <c r="E324" t="s">
        <v>180</v>
      </c>
      <c r="F324">
        <v>50000000</v>
      </c>
      <c r="G324" t="s">
        <v>181</v>
      </c>
      <c r="H324" t="s">
        <v>81</v>
      </c>
      <c r="I324" t="s">
        <v>9</v>
      </c>
      <c r="L324" t="s">
        <v>161</v>
      </c>
      <c r="M324">
        <v>-50000000</v>
      </c>
    </row>
    <row r="325" spans="1:13" x14ac:dyDescent="0.3">
      <c r="A325" s="23">
        <v>45699</v>
      </c>
      <c r="B325" t="s">
        <v>13</v>
      </c>
      <c r="C325" t="s">
        <v>132</v>
      </c>
      <c r="D325" t="s">
        <v>17</v>
      </c>
      <c r="E325" t="s">
        <v>40</v>
      </c>
      <c r="F325">
        <v>50000000</v>
      </c>
      <c r="G325" t="s">
        <v>25</v>
      </c>
      <c r="H325" t="s">
        <v>81</v>
      </c>
      <c r="I325" t="s">
        <v>9</v>
      </c>
      <c r="L325" t="s">
        <v>161</v>
      </c>
      <c r="M325">
        <v>-50000000</v>
      </c>
    </row>
    <row r="326" spans="1:13" x14ac:dyDescent="0.3">
      <c r="A326" s="23">
        <v>44964</v>
      </c>
      <c r="B326" t="s">
        <v>13</v>
      </c>
      <c r="C326" t="s">
        <v>143</v>
      </c>
      <c r="D326" t="s">
        <v>17</v>
      </c>
      <c r="E326" t="s">
        <v>149</v>
      </c>
      <c r="F326">
        <v>49969941.689999998</v>
      </c>
      <c r="G326" t="s">
        <v>140</v>
      </c>
      <c r="H326" t="s">
        <v>81</v>
      </c>
      <c r="I326" t="s">
        <v>9</v>
      </c>
      <c r="J326" s="23">
        <v>44952</v>
      </c>
      <c r="L326" t="s">
        <v>239</v>
      </c>
      <c r="M326">
        <v>-49969941.689999998</v>
      </c>
    </row>
    <row r="327" spans="1:13" x14ac:dyDescent="0.3">
      <c r="A327" s="23">
        <v>45674</v>
      </c>
      <c r="B327" t="s">
        <v>13</v>
      </c>
      <c r="C327" t="s">
        <v>132</v>
      </c>
      <c r="D327" t="s">
        <v>17</v>
      </c>
      <c r="E327" t="s">
        <v>136</v>
      </c>
      <c r="F327">
        <v>48899496.399999999</v>
      </c>
      <c r="G327" t="s">
        <v>134</v>
      </c>
      <c r="H327" t="s">
        <v>81</v>
      </c>
      <c r="I327" t="s">
        <v>9</v>
      </c>
      <c r="L327" t="s">
        <v>161</v>
      </c>
      <c r="M327">
        <v>-48899496.399999999</v>
      </c>
    </row>
    <row r="328" spans="1:13" x14ac:dyDescent="0.3">
      <c r="A328" s="23">
        <v>45447</v>
      </c>
      <c r="B328" t="s">
        <v>13</v>
      </c>
      <c r="C328" t="s">
        <v>132</v>
      </c>
      <c r="D328" t="s">
        <v>17</v>
      </c>
      <c r="E328" t="s">
        <v>41</v>
      </c>
      <c r="F328">
        <v>48600000</v>
      </c>
      <c r="G328" t="s">
        <v>26</v>
      </c>
      <c r="H328" t="s">
        <v>81</v>
      </c>
      <c r="I328" t="s">
        <v>9</v>
      </c>
      <c r="L328" t="s">
        <v>161</v>
      </c>
      <c r="M328">
        <v>-48600000</v>
      </c>
    </row>
    <row r="329" spans="1:13" x14ac:dyDescent="0.3">
      <c r="A329" s="23">
        <v>45485</v>
      </c>
      <c r="B329" t="s">
        <v>13</v>
      </c>
      <c r="C329" t="s">
        <v>132</v>
      </c>
      <c r="D329" t="s">
        <v>17</v>
      </c>
      <c r="E329" t="s">
        <v>41</v>
      </c>
      <c r="F329">
        <v>48200000</v>
      </c>
      <c r="G329" t="s">
        <v>26</v>
      </c>
      <c r="H329" t="s">
        <v>81</v>
      </c>
      <c r="I329" t="s">
        <v>9</v>
      </c>
      <c r="L329" t="s">
        <v>161</v>
      </c>
      <c r="M329">
        <v>-48200000</v>
      </c>
    </row>
    <row r="330" spans="1:13" x14ac:dyDescent="0.3">
      <c r="A330" s="23">
        <v>45762</v>
      </c>
      <c r="B330" t="s">
        <v>13</v>
      </c>
      <c r="C330" t="s">
        <v>132</v>
      </c>
      <c r="D330" t="s">
        <v>17</v>
      </c>
      <c r="E330" t="s">
        <v>48</v>
      </c>
      <c r="F330">
        <v>48200000</v>
      </c>
      <c r="G330" t="s">
        <v>29</v>
      </c>
      <c r="H330" t="s">
        <v>81</v>
      </c>
      <c r="I330" t="s">
        <v>9</v>
      </c>
      <c r="L330" t="s">
        <v>161</v>
      </c>
      <c r="M330">
        <v>-48200000</v>
      </c>
    </row>
    <row r="331" spans="1:13" x14ac:dyDescent="0.3">
      <c r="A331" s="23">
        <v>45736</v>
      </c>
      <c r="B331" t="s">
        <v>13</v>
      </c>
      <c r="C331" t="s">
        <v>132</v>
      </c>
      <c r="D331" t="s">
        <v>17</v>
      </c>
      <c r="E331" t="s">
        <v>48</v>
      </c>
      <c r="F331">
        <v>48100000</v>
      </c>
      <c r="G331" t="s">
        <v>29</v>
      </c>
      <c r="H331" t="s">
        <v>81</v>
      </c>
      <c r="I331" t="s">
        <v>9</v>
      </c>
      <c r="L331" t="s">
        <v>161</v>
      </c>
      <c r="M331">
        <v>-48100000</v>
      </c>
    </row>
    <row r="332" spans="1:13" x14ac:dyDescent="0.3">
      <c r="A332" s="23">
        <v>45400</v>
      </c>
      <c r="B332" t="s">
        <v>13</v>
      </c>
      <c r="C332" t="s">
        <v>132</v>
      </c>
      <c r="D332" t="s">
        <v>17</v>
      </c>
      <c r="E332" t="s">
        <v>180</v>
      </c>
      <c r="F332">
        <v>48048445</v>
      </c>
      <c r="G332" t="s">
        <v>181</v>
      </c>
      <c r="H332" t="s">
        <v>81</v>
      </c>
      <c r="I332" t="s">
        <v>9</v>
      </c>
      <c r="L332" t="s">
        <v>161</v>
      </c>
      <c r="M332">
        <v>-48048445</v>
      </c>
    </row>
    <row r="333" spans="1:13" x14ac:dyDescent="0.3">
      <c r="A333" s="23">
        <v>45730</v>
      </c>
      <c r="B333" t="s">
        <v>13</v>
      </c>
      <c r="C333" t="s">
        <v>132</v>
      </c>
      <c r="D333" t="s">
        <v>17</v>
      </c>
      <c r="E333" t="s">
        <v>193</v>
      </c>
      <c r="F333">
        <v>48000000</v>
      </c>
      <c r="G333" t="s">
        <v>131</v>
      </c>
      <c r="H333" t="s">
        <v>81</v>
      </c>
      <c r="I333" t="s">
        <v>9</v>
      </c>
      <c r="L333" t="s">
        <v>161</v>
      </c>
      <c r="M333">
        <v>-48000000</v>
      </c>
    </row>
    <row r="334" spans="1:13" x14ac:dyDescent="0.3">
      <c r="A334" s="23">
        <v>45712</v>
      </c>
      <c r="B334" t="s">
        <v>13</v>
      </c>
      <c r="C334" t="s">
        <v>132</v>
      </c>
      <c r="D334" t="s">
        <v>17</v>
      </c>
      <c r="E334" t="s">
        <v>40</v>
      </c>
      <c r="F334">
        <v>47900000</v>
      </c>
      <c r="G334" t="s">
        <v>25</v>
      </c>
      <c r="H334" t="s">
        <v>81</v>
      </c>
      <c r="I334" t="s">
        <v>9</v>
      </c>
      <c r="L334" t="s">
        <v>161</v>
      </c>
      <c r="M334">
        <v>-47900000</v>
      </c>
    </row>
    <row r="335" spans="1:13" x14ac:dyDescent="0.3">
      <c r="A335" s="23">
        <v>45517</v>
      </c>
      <c r="B335" t="s">
        <v>13</v>
      </c>
      <c r="C335" t="s">
        <v>132</v>
      </c>
      <c r="D335" t="s">
        <v>17</v>
      </c>
      <c r="E335" t="s">
        <v>41</v>
      </c>
      <c r="F335">
        <v>47700000</v>
      </c>
      <c r="G335" t="s">
        <v>26</v>
      </c>
      <c r="H335" t="s">
        <v>81</v>
      </c>
      <c r="I335" t="s">
        <v>9</v>
      </c>
      <c r="L335" t="s">
        <v>161</v>
      </c>
      <c r="M335">
        <v>-47700000</v>
      </c>
    </row>
    <row r="336" spans="1:13" x14ac:dyDescent="0.3">
      <c r="A336" s="23">
        <v>45091</v>
      </c>
      <c r="B336" t="s">
        <v>13</v>
      </c>
      <c r="C336" t="s">
        <v>132</v>
      </c>
      <c r="D336" t="s">
        <v>17</v>
      </c>
      <c r="E336" t="s">
        <v>41</v>
      </c>
      <c r="F336">
        <v>47700000</v>
      </c>
      <c r="G336" t="s">
        <v>26</v>
      </c>
      <c r="H336" t="s">
        <v>81</v>
      </c>
      <c r="I336" t="s">
        <v>9</v>
      </c>
      <c r="L336" t="s">
        <v>161</v>
      </c>
      <c r="M336">
        <v>-47700000</v>
      </c>
    </row>
    <row r="337" spans="1:13" x14ac:dyDescent="0.3">
      <c r="A337" s="23">
        <v>45282</v>
      </c>
      <c r="B337" t="s">
        <v>13</v>
      </c>
      <c r="C337" t="s">
        <v>132</v>
      </c>
      <c r="D337" t="s">
        <v>17</v>
      </c>
      <c r="E337" t="s">
        <v>48</v>
      </c>
      <c r="F337">
        <v>47700000</v>
      </c>
      <c r="G337" t="s">
        <v>29</v>
      </c>
      <c r="H337" t="s">
        <v>81</v>
      </c>
      <c r="I337" t="s">
        <v>9</v>
      </c>
      <c r="L337" t="s">
        <v>161</v>
      </c>
      <c r="M337">
        <v>-47700000</v>
      </c>
    </row>
    <row r="338" spans="1:13" x14ac:dyDescent="0.3">
      <c r="A338" s="23">
        <v>45055</v>
      </c>
      <c r="B338" t="s">
        <v>13</v>
      </c>
      <c r="C338" t="s">
        <v>132</v>
      </c>
      <c r="D338" t="s">
        <v>17</v>
      </c>
      <c r="E338" t="s">
        <v>48</v>
      </c>
      <c r="F338">
        <v>47000000</v>
      </c>
      <c r="G338" t="s">
        <v>29</v>
      </c>
      <c r="H338" t="s">
        <v>81</v>
      </c>
      <c r="I338" t="s">
        <v>9</v>
      </c>
      <c r="L338" t="s">
        <v>161</v>
      </c>
      <c r="M338">
        <v>-47000000</v>
      </c>
    </row>
    <row r="339" spans="1:13" x14ac:dyDescent="0.3">
      <c r="A339" s="23">
        <v>45390</v>
      </c>
      <c r="B339" t="s">
        <v>13</v>
      </c>
      <c r="C339" t="s">
        <v>132</v>
      </c>
      <c r="D339" t="s">
        <v>17</v>
      </c>
      <c r="E339" t="s">
        <v>41</v>
      </c>
      <c r="F339">
        <v>46900000</v>
      </c>
      <c r="G339" t="s">
        <v>26</v>
      </c>
      <c r="H339" t="s">
        <v>81</v>
      </c>
      <c r="I339" t="s">
        <v>9</v>
      </c>
      <c r="L339" t="s">
        <v>161</v>
      </c>
      <c r="M339">
        <v>-46900000</v>
      </c>
    </row>
    <row r="340" spans="1:13" x14ac:dyDescent="0.3">
      <c r="A340" s="23">
        <v>45596</v>
      </c>
      <c r="B340" t="s">
        <v>13</v>
      </c>
      <c r="C340" t="s">
        <v>132</v>
      </c>
      <c r="D340" t="s">
        <v>17</v>
      </c>
      <c r="E340" t="s">
        <v>41</v>
      </c>
      <c r="F340">
        <v>46700000</v>
      </c>
      <c r="G340" t="s">
        <v>26</v>
      </c>
      <c r="H340" t="s">
        <v>81</v>
      </c>
      <c r="I340" t="s">
        <v>9</v>
      </c>
      <c r="L340" t="s">
        <v>161</v>
      </c>
      <c r="M340">
        <v>-46700000</v>
      </c>
    </row>
    <row r="341" spans="1:13" x14ac:dyDescent="0.3">
      <c r="A341" s="23">
        <v>45502</v>
      </c>
      <c r="B341" t="s">
        <v>13</v>
      </c>
      <c r="C341" t="s">
        <v>132</v>
      </c>
      <c r="D341" t="s">
        <v>17</v>
      </c>
      <c r="E341" t="s">
        <v>46</v>
      </c>
      <c r="F341">
        <v>46500000</v>
      </c>
      <c r="G341" t="s">
        <v>28</v>
      </c>
      <c r="H341" t="s">
        <v>81</v>
      </c>
      <c r="I341" t="s">
        <v>9</v>
      </c>
      <c r="L341" t="s">
        <v>161</v>
      </c>
      <c r="M341">
        <v>-46500000</v>
      </c>
    </row>
    <row r="342" spans="1:13" x14ac:dyDescent="0.3">
      <c r="A342" s="23">
        <v>45707</v>
      </c>
      <c r="B342" t="s">
        <v>13</v>
      </c>
      <c r="C342" t="s">
        <v>132</v>
      </c>
      <c r="D342" t="s">
        <v>17</v>
      </c>
      <c r="E342" t="s">
        <v>193</v>
      </c>
      <c r="F342">
        <v>46479778.200000003</v>
      </c>
      <c r="G342" t="s">
        <v>131</v>
      </c>
      <c r="H342" t="s">
        <v>81</v>
      </c>
      <c r="I342" t="s">
        <v>9</v>
      </c>
      <c r="L342" t="s">
        <v>161</v>
      </c>
      <c r="M342">
        <v>-46479778.200000003</v>
      </c>
    </row>
    <row r="343" spans="1:13" x14ac:dyDescent="0.3">
      <c r="A343" s="23">
        <v>45343</v>
      </c>
      <c r="B343" t="s">
        <v>13</v>
      </c>
      <c r="C343" t="s">
        <v>132</v>
      </c>
      <c r="D343" t="s">
        <v>17</v>
      </c>
      <c r="E343" t="s">
        <v>41</v>
      </c>
      <c r="F343">
        <v>46300000</v>
      </c>
      <c r="G343" t="s">
        <v>26</v>
      </c>
      <c r="H343" t="s">
        <v>81</v>
      </c>
      <c r="I343" t="s">
        <v>9</v>
      </c>
      <c r="L343" t="s">
        <v>161</v>
      </c>
      <c r="M343">
        <v>-46300000</v>
      </c>
    </row>
    <row r="344" spans="1:13" x14ac:dyDescent="0.3">
      <c r="A344" s="23">
        <v>45359</v>
      </c>
      <c r="B344" t="s">
        <v>13</v>
      </c>
      <c r="C344" t="s">
        <v>143</v>
      </c>
      <c r="D344" t="s">
        <v>17</v>
      </c>
      <c r="E344" t="s">
        <v>149</v>
      </c>
      <c r="F344">
        <v>46261206.780000001</v>
      </c>
      <c r="G344" t="s">
        <v>140</v>
      </c>
      <c r="H344" t="s">
        <v>81</v>
      </c>
      <c r="I344" t="s">
        <v>9</v>
      </c>
      <c r="M344">
        <v>-46261206.780000001</v>
      </c>
    </row>
    <row r="345" spans="1:13" x14ac:dyDescent="0.3">
      <c r="A345" s="23">
        <v>45723</v>
      </c>
      <c r="B345" t="s">
        <v>13</v>
      </c>
      <c r="C345" t="s">
        <v>132</v>
      </c>
      <c r="D345" t="s">
        <v>17</v>
      </c>
      <c r="E345" t="s">
        <v>41</v>
      </c>
      <c r="F345">
        <v>46100000</v>
      </c>
      <c r="G345" t="s">
        <v>26</v>
      </c>
      <c r="H345" t="s">
        <v>81</v>
      </c>
      <c r="I345" t="s">
        <v>9</v>
      </c>
      <c r="L345" t="s">
        <v>161</v>
      </c>
      <c r="M345">
        <v>-46100000</v>
      </c>
    </row>
    <row r="346" spans="1:13" x14ac:dyDescent="0.3">
      <c r="A346" s="23">
        <v>44868</v>
      </c>
      <c r="B346" t="s">
        <v>13</v>
      </c>
      <c r="C346" t="s">
        <v>132</v>
      </c>
      <c r="D346" t="s">
        <v>17</v>
      </c>
      <c r="E346" t="s">
        <v>48</v>
      </c>
      <c r="F346">
        <v>45300000</v>
      </c>
      <c r="G346" t="s">
        <v>29</v>
      </c>
      <c r="H346" t="s">
        <v>81</v>
      </c>
      <c r="I346" t="s">
        <v>9</v>
      </c>
      <c r="L346" t="s">
        <v>161</v>
      </c>
      <c r="M346">
        <v>-45300000</v>
      </c>
    </row>
    <row r="347" spans="1:13" x14ac:dyDescent="0.3">
      <c r="A347" s="23">
        <v>45040</v>
      </c>
      <c r="B347" t="s">
        <v>13</v>
      </c>
      <c r="C347" t="s">
        <v>132</v>
      </c>
      <c r="D347" t="s">
        <v>17</v>
      </c>
      <c r="E347" t="s">
        <v>41</v>
      </c>
      <c r="F347">
        <v>45200000</v>
      </c>
      <c r="G347" t="s">
        <v>26</v>
      </c>
      <c r="H347" t="s">
        <v>81</v>
      </c>
      <c r="I347" t="s">
        <v>9</v>
      </c>
      <c r="L347" t="s">
        <v>161</v>
      </c>
      <c r="M347">
        <v>-45200000</v>
      </c>
    </row>
    <row r="348" spans="1:13" x14ac:dyDescent="0.3">
      <c r="A348" s="23">
        <v>45057</v>
      </c>
      <c r="B348" t="s">
        <v>13</v>
      </c>
      <c r="C348" t="s">
        <v>132</v>
      </c>
      <c r="D348" t="s">
        <v>17</v>
      </c>
      <c r="E348" t="s">
        <v>41</v>
      </c>
      <c r="F348">
        <v>45000000</v>
      </c>
      <c r="G348" t="s">
        <v>26</v>
      </c>
      <c r="H348" t="s">
        <v>81</v>
      </c>
      <c r="I348" t="s">
        <v>9</v>
      </c>
      <c r="L348" t="s">
        <v>161</v>
      </c>
      <c r="M348">
        <v>-45000000</v>
      </c>
    </row>
    <row r="349" spans="1:13" x14ac:dyDescent="0.3">
      <c r="A349" s="23">
        <v>45660</v>
      </c>
      <c r="B349" t="s">
        <v>13</v>
      </c>
      <c r="C349" t="s">
        <v>132</v>
      </c>
      <c r="D349" t="s">
        <v>17</v>
      </c>
      <c r="E349" t="s">
        <v>206</v>
      </c>
      <c r="F349">
        <v>44501175</v>
      </c>
      <c r="G349" t="s">
        <v>207</v>
      </c>
      <c r="H349" t="s">
        <v>81</v>
      </c>
      <c r="I349" t="s">
        <v>9</v>
      </c>
      <c r="L349" t="s">
        <v>161</v>
      </c>
      <c r="M349">
        <v>-44501175</v>
      </c>
    </row>
    <row r="350" spans="1:13" x14ac:dyDescent="0.3">
      <c r="A350" s="23">
        <v>45502</v>
      </c>
      <c r="B350" t="s">
        <v>13</v>
      </c>
      <c r="C350" t="s">
        <v>143</v>
      </c>
      <c r="D350" t="s">
        <v>17</v>
      </c>
      <c r="E350" t="s">
        <v>149</v>
      </c>
      <c r="F350">
        <v>44043000</v>
      </c>
      <c r="G350" t="s">
        <v>140</v>
      </c>
      <c r="H350" t="s">
        <v>81</v>
      </c>
      <c r="I350" t="s">
        <v>9</v>
      </c>
      <c r="M350">
        <v>-44043000</v>
      </c>
    </row>
    <row r="351" spans="1:13" x14ac:dyDescent="0.3">
      <c r="A351" s="23">
        <v>45307</v>
      </c>
      <c r="B351" t="s">
        <v>13</v>
      </c>
      <c r="C351" t="s">
        <v>132</v>
      </c>
      <c r="D351" t="s">
        <v>17</v>
      </c>
      <c r="E351" t="s">
        <v>169</v>
      </c>
      <c r="F351">
        <v>43200000</v>
      </c>
      <c r="G351" t="s">
        <v>131</v>
      </c>
      <c r="H351" t="s">
        <v>81</v>
      </c>
      <c r="I351" t="s">
        <v>9</v>
      </c>
      <c r="L351" t="s">
        <v>161</v>
      </c>
      <c r="M351">
        <v>-43200000</v>
      </c>
    </row>
    <row r="352" spans="1:13" x14ac:dyDescent="0.3">
      <c r="A352" s="23">
        <v>45434</v>
      </c>
      <c r="B352" t="s">
        <v>13</v>
      </c>
      <c r="C352" t="s">
        <v>132</v>
      </c>
      <c r="D352" t="s">
        <v>17</v>
      </c>
      <c r="E352" t="s">
        <v>136</v>
      </c>
      <c r="F352">
        <v>42728845</v>
      </c>
      <c r="G352" t="s">
        <v>134</v>
      </c>
      <c r="H352" t="s">
        <v>81</v>
      </c>
      <c r="I352" t="s">
        <v>9</v>
      </c>
      <c r="L352" t="s">
        <v>161</v>
      </c>
      <c r="M352">
        <v>-42728845</v>
      </c>
    </row>
    <row r="353" spans="1:13" x14ac:dyDescent="0.3">
      <c r="A353" s="23">
        <v>45574</v>
      </c>
      <c r="B353" t="s">
        <v>13</v>
      </c>
      <c r="C353" t="s">
        <v>132</v>
      </c>
      <c r="D353" t="s">
        <v>17</v>
      </c>
      <c r="E353" t="s">
        <v>41</v>
      </c>
      <c r="F353">
        <v>42700000</v>
      </c>
      <c r="G353" t="s">
        <v>26</v>
      </c>
      <c r="H353" t="s">
        <v>81</v>
      </c>
      <c r="I353" t="s">
        <v>9</v>
      </c>
      <c r="L353" t="s">
        <v>161</v>
      </c>
      <c r="M353">
        <v>-42700000</v>
      </c>
    </row>
    <row r="354" spans="1:13" x14ac:dyDescent="0.3">
      <c r="A354" s="23">
        <v>44764</v>
      </c>
      <c r="B354" t="s">
        <v>13</v>
      </c>
      <c r="C354" t="s">
        <v>132</v>
      </c>
      <c r="D354" t="s">
        <v>17</v>
      </c>
      <c r="E354" t="s">
        <v>48</v>
      </c>
      <c r="F354">
        <v>41449317.579999998</v>
      </c>
      <c r="G354" t="s">
        <v>29</v>
      </c>
      <c r="H354" t="s">
        <v>81</v>
      </c>
      <c r="I354" t="s">
        <v>9</v>
      </c>
      <c r="L354" t="s">
        <v>161</v>
      </c>
      <c r="M354">
        <v>-41449317.579999998</v>
      </c>
    </row>
    <row r="355" spans="1:13" x14ac:dyDescent="0.3">
      <c r="A355" s="23">
        <v>45205</v>
      </c>
      <c r="B355" t="s">
        <v>13</v>
      </c>
      <c r="C355" t="s">
        <v>132</v>
      </c>
      <c r="D355" t="s">
        <v>17</v>
      </c>
      <c r="E355" t="s">
        <v>46</v>
      </c>
      <c r="F355">
        <v>41300000</v>
      </c>
      <c r="G355" t="s">
        <v>28</v>
      </c>
      <c r="H355" t="s">
        <v>81</v>
      </c>
      <c r="I355" t="s">
        <v>9</v>
      </c>
      <c r="L355" t="s">
        <v>161</v>
      </c>
      <c r="M355">
        <v>-41300000</v>
      </c>
    </row>
    <row r="356" spans="1:13" x14ac:dyDescent="0.3">
      <c r="A356" s="23">
        <v>44970</v>
      </c>
      <c r="B356" t="s">
        <v>13</v>
      </c>
      <c r="C356" t="s">
        <v>132</v>
      </c>
      <c r="D356" t="s">
        <v>17</v>
      </c>
      <c r="E356" t="s">
        <v>48</v>
      </c>
      <c r="F356">
        <v>41300000</v>
      </c>
      <c r="G356" t="s">
        <v>29</v>
      </c>
      <c r="H356" t="s">
        <v>81</v>
      </c>
      <c r="I356" t="s">
        <v>9</v>
      </c>
      <c r="L356" t="s">
        <v>161</v>
      </c>
      <c r="M356">
        <v>-41300000</v>
      </c>
    </row>
    <row r="357" spans="1:13" x14ac:dyDescent="0.3">
      <c r="A357" s="23">
        <v>45616</v>
      </c>
      <c r="B357" t="s">
        <v>13</v>
      </c>
      <c r="C357" t="s">
        <v>132</v>
      </c>
      <c r="D357" t="s">
        <v>17</v>
      </c>
      <c r="E357" t="s">
        <v>41</v>
      </c>
      <c r="F357">
        <v>41000000</v>
      </c>
      <c r="G357" t="s">
        <v>26</v>
      </c>
      <c r="H357" t="s">
        <v>81</v>
      </c>
      <c r="I357" t="s">
        <v>9</v>
      </c>
      <c r="L357" t="s">
        <v>161</v>
      </c>
      <c r="M357">
        <v>-41000000</v>
      </c>
    </row>
    <row r="358" spans="1:13" x14ac:dyDescent="0.3">
      <c r="A358" s="23">
        <v>45484</v>
      </c>
      <c r="B358" t="s">
        <v>13</v>
      </c>
      <c r="C358" t="s">
        <v>132</v>
      </c>
      <c r="D358" t="s">
        <v>17</v>
      </c>
      <c r="E358" t="s">
        <v>41</v>
      </c>
      <c r="F358">
        <v>40800000</v>
      </c>
      <c r="G358" t="s">
        <v>26</v>
      </c>
      <c r="H358" t="s">
        <v>81</v>
      </c>
      <c r="I358" t="s">
        <v>9</v>
      </c>
      <c r="L358" t="s">
        <v>161</v>
      </c>
      <c r="M358">
        <v>-40800000</v>
      </c>
    </row>
    <row r="359" spans="1:13" x14ac:dyDescent="0.3">
      <c r="A359" s="23">
        <v>45546</v>
      </c>
      <c r="B359" t="s">
        <v>13</v>
      </c>
      <c r="C359" t="s">
        <v>132</v>
      </c>
      <c r="D359" t="s">
        <v>17</v>
      </c>
      <c r="E359" t="s">
        <v>41</v>
      </c>
      <c r="F359">
        <v>40300000</v>
      </c>
      <c r="G359" t="s">
        <v>26</v>
      </c>
      <c r="H359" t="s">
        <v>81</v>
      </c>
      <c r="I359" t="s">
        <v>9</v>
      </c>
      <c r="L359" t="s">
        <v>161</v>
      </c>
      <c r="M359">
        <v>-40300000</v>
      </c>
    </row>
    <row r="360" spans="1:13" x14ac:dyDescent="0.3">
      <c r="A360" s="23">
        <v>45450</v>
      </c>
      <c r="B360" t="s">
        <v>13</v>
      </c>
      <c r="C360" t="s">
        <v>132</v>
      </c>
      <c r="D360" t="s">
        <v>17</v>
      </c>
      <c r="E360" t="s">
        <v>41</v>
      </c>
      <c r="F360">
        <v>40221000</v>
      </c>
      <c r="G360" t="s">
        <v>26</v>
      </c>
      <c r="H360" t="s">
        <v>81</v>
      </c>
      <c r="I360" t="s">
        <v>9</v>
      </c>
      <c r="L360" t="s">
        <v>161</v>
      </c>
      <c r="M360">
        <v>-40221000</v>
      </c>
    </row>
    <row r="361" spans="1:13" x14ac:dyDescent="0.3">
      <c r="A361" s="23">
        <v>44680</v>
      </c>
      <c r="B361" t="s">
        <v>13</v>
      </c>
      <c r="C361" t="s">
        <v>132</v>
      </c>
      <c r="D361" t="s">
        <v>17</v>
      </c>
      <c r="E361" t="s">
        <v>41</v>
      </c>
      <c r="F361">
        <v>40200000</v>
      </c>
      <c r="G361" t="s">
        <v>26</v>
      </c>
      <c r="H361" t="s">
        <v>81</v>
      </c>
      <c r="I361" t="s">
        <v>9</v>
      </c>
      <c r="L361" t="s">
        <v>161</v>
      </c>
      <c r="M361">
        <v>-40200000</v>
      </c>
    </row>
    <row r="362" spans="1:13" x14ac:dyDescent="0.3">
      <c r="A362" s="23">
        <v>45350</v>
      </c>
      <c r="B362" t="s">
        <v>13</v>
      </c>
      <c r="C362" t="s">
        <v>132</v>
      </c>
      <c r="D362" t="s">
        <v>17</v>
      </c>
      <c r="E362" t="s">
        <v>136</v>
      </c>
      <c r="F362">
        <v>40160805</v>
      </c>
      <c r="G362" t="s">
        <v>134</v>
      </c>
      <c r="H362" t="s">
        <v>81</v>
      </c>
      <c r="I362" t="s">
        <v>9</v>
      </c>
      <c r="L362" t="s">
        <v>161</v>
      </c>
      <c r="M362">
        <v>-40160805</v>
      </c>
    </row>
    <row r="363" spans="1:13" x14ac:dyDescent="0.3">
      <c r="A363" s="23">
        <v>45623</v>
      </c>
      <c r="B363" t="s">
        <v>13</v>
      </c>
      <c r="C363" t="s">
        <v>132</v>
      </c>
      <c r="D363" t="s">
        <v>17</v>
      </c>
      <c r="E363" t="s">
        <v>41</v>
      </c>
      <c r="F363">
        <v>40100000</v>
      </c>
      <c r="G363" t="s">
        <v>26</v>
      </c>
      <c r="H363" t="s">
        <v>81</v>
      </c>
      <c r="I363" t="s">
        <v>9</v>
      </c>
      <c r="L363" t="s">
        <v>161</v>
      </c>
      <c r="M363">
        <v>-40100000</v>
      </c>
    </row>
    <row r="364" spans="1:13" x14ac:dyDescent="0.3">
      <c r="A364" s="23">
        <v>45636</v>
      </c>
      <c r="B364" t="s">
        <v>13</v>
      </c>
      <c r="C364" t="s">
        <v>132</v>
      </c>
      <c r="D364" t="s">
        <v>17</v>
      </c>
      <c r="E364" t="s">
        <v>136</v>
      </c>
      <c r="F364">
        <v>40000000</v>
      </c>
      <c r="G364" t="s">
        <v>134</v>
      </c>
      <c r="H364" t="s">
        <v>81</v>
      </c>
      <c r="I364" t="s">
        <v>9</v>
      </c>
      <c r="L364" t="s">
        <v>161</v>
      </c>
      <c r="M364">
        <v>-40000000</v>
      </c>
    </row>
    <row r="365" spans="1:13" x14ac:dyDescent="0.3">
      <c r="A365" s="23">
        <v>45520</v>
      </c>
      <c r="B365" t="s">
        <v>13</v>
      </c>
      <c r="C365" t="s">
        <v>132</v>
      </c>
      <c r="D365" t="s">
        <v>17</v>
      </c>
      <c r="E365" t="s">
        <v>136</v>
      </c>
      <c r="F365">
        <v>40000000</v>
      </c>
      <c r="G365" t="s">
        <v>134</v>
      </c>
      <c r="H365" t="s">
        <v>81</v>
      </c>
      <c r="I365" t="s">
        <v>9</v>
      </c>
      <c r="L365" t="s">
        <v>161</v>
      </c>
      <c r="M365">
        <v>-40000000</v>
      </c>
    </row>
    <row r="366" spans="1:13" x14ac:dyDescent="0.3">
      <c r="A366" s="23">
        <v>45440</v>
      </c>
      <c r="B366" t="s">
        <v>13</v>
      </c>
      <c r="C366" t="s">
        <v>132</v>
      </c>
      <c r="D366" t="s">
        <v>17</v>
      </c>
      <c r="E366" t="s">
        <v>136</v>
      </c>
      <c r="F366">
        <v>40000000</v>
      </c>
      <c r="G366" t="s">
        <v>134</v>
      </c>
      <c r="H366" t="s">
        <v>81</v>
      </c>
      <c r="I366" t="s">
        <v>9</v>
      </c>
      <c r="L366" t="s">
        <v>161</v>
      </c>
      <c r="M366">
        <v>-40000000</v>
      </c>
    </row>
    <row r="367" spans="1:13" x14ac:dyDescent="0.3">
      <c r="A367" s="23">
        <v>45414</v>
      </c>
      <c r="B367" t="s">
        <v>13</v>
      </c>
      <c r="C367" t="s">
        <v>132</v>
      </c>
      <c r="D367" t="s">
        <v>17</v>
      </c>
      <c r="E367" t="s">
        <v>136</v>
      </c>
      <c r="F367">
        <v>40000000</v>
      </c>
      <c r="G367" t="s">
        <v>134</v>
      </c>
      <c r="H367" t="s">
        <v>81</v>
      </c>
      <c r="I367" t="s">
        <v>9</v>
      </c>
      <c r="L367" t="s">
        <v>161</v>
      </c>
      <c r="M367">
        <v>-40000000</v>
      </c>
    </row>
    <row r="368" spans="1:13" x14ac:dyDescent="0.3">
      <c r="A368" s="23">
        <v>45219</v>
      </c>
      <c r="B368" t="s">
        <v>13</v>
      </c>
      <c r="C368" t="s">
        <v>132</v>
      </c>
      <c r="D368" t="s">
        <v>17</v>
      </c>
      <c r="E368" t="s">
        <v>41</v>
      </c>
      <c r="F368">
        <v>40000000</v>
      </c>
      <c r="G368" t="s">
        <v>26</v>
      </c>
      <c r="H368" t="s">
        <v>81</v>
      </c>
      <c r="I368" t="s">
        <v>9</v>
      </c>
      <c r="L368" t="s">
        <v>161</v>
      </c>
      <c r="M368">
        <v>-40000000</v>
      </c>
    </row>
    <row r="369" spans="1:13" x14ac:dyDescent="0.3">
      <c r="A369" s="23">
        <v>45546</v>
      </c>
      <c r="B369" t="s">
        <v>13</v>
      </c>
      <c r="C369" t="s">
        <v>132</v>
      </c>
      <c r="D369" t="s">
        <v>17</v>
      </c>
      <c r="E369" t="s">
        <v>46</v>
      </c>
      <c r="F369">
        <v>40000000</v>
      </c>
      <c r="G369" t="s">
        <v>28</v>
      </c>
      <c r="H369" t="s">
        <v>81</v>
      </c>
      <c r="I369" t="s">
        <v>9</v>
      </c>
      <c r="L369" t="s">
        <v>161</v>
      </c>
      <c r="M369">
        <v>-40000000</v>
      </c>
    </row>
    <row r="370" spans="1:13" x14ac:dyDescent="0.3">
      <c r="A370" s="23">
        <v>45338</v>
      </c>
      <c r="B370" t="s">
        <v>13</v>
      </c>
      <c r="C370" t="s">
        <v>132</v>
      </c>
      <c r="D370" t="s">
        <v>17</v>
      </c>
      <c r="E370" t="s">
        <v>46</v>
      </c>
      <c r="F370">
        <v>40000000</v>
      </c>
      <c r="G370" t="s">
        <v>28</v>
      </c>
      <c r="H370" t="s">
        <v>81</v>
      </c>
      <c r="I370" t="s">
        <v>9</v>
      </c>
      <c r="L370" t="s">
        <v>161</v>
      </c>
      <c r="M370">
        <v>-40000000</v>
      </c>
    </row>
    <row r="371" spans="1:13" x14ac:dyDescent="0.3">
      <c r="A371" s="23">
        <v>45390</v>
      </c>
      <c r="B371" t="s">
        <v>13</v>
      </c>
      <c r="C371" t="s">
        <v>132</v>
      </c>
      <c r="D371" t="s">
        <v>17</v>
      </c>
      <c r="E371" t="s">
        <v>48</v>
      </c>
      <c r="F371">
        <v>40000000</v>
      </c>
      <c r="G371" t="s">
        <v>29</v>
      </c>
      <c r="H371" t="s">
        <v>81</v>
      </c>
      <c r="I371" t="s">
        <v>9</v>
      </c>
      <c r="L371" t="s">
        <v>161</v>
      </c>
      <c r="M371">
        <v>-40000000</v>
      </c>
    </row>
    <row r="372" spans="1:13" x14ac:dyDescent="0.3">
      <c r="A372" s="23">
        <v>45348</v>
      </c>
      <c r="B372" t="s">
        <v>13</v>
      </c>
      <c r="C372" t="s">
        <v>132</v>
      </c>
      <c r="D372" t="s">
        <v>17</v>
      </c>
      <c r="E372" t="s">
        <v>48</v>
      </c>
      <c r="F372">
        <v>40000000</v>
      </c>
      <c r="G372" t="s">
        <v>29</v>
      </c>
      <c r="H372" t="s">
        <v>81</v>
      </c>
      <c r="I372" t="s">
        <v>9</v>
      </c>
      <c r="L372" t="s">
        <v>161</v>
      </c>
      <c r="M372">
        <v>-40000000</v>
      </c>
    </row>
    <row r="373" spans="1:13" x14ac:dyDescent="0.3">
      <c r="A373" s="23">
        <v>45392</v>
      </c>
      <c r="B373" t="s">
        <v>13</v>
      </c>
      <c r="C373" t="s">
        <v>132</v>
      </c>
      <c r="D373" t="s">
        <v>17</v>
      </c>
      <c r="E373" t="s">
        <v>169</v>
      </c>
      <c r="F373">
        <v>40000000</v>
      </c>
      <c r="G373" t="s">
        <v>131</v>
      </c>
      <c r="H373" t="s">
        <v>81</v>
      </c>
      <c r="I373" t="s">
        <v>9</v>
      </c>
      <c r="L373" t="s">
        <v>161</v>
      </c>
      <c r="M373">
        <v>-40000000</v>
      </c>
    </row>
    <row r="374" spans="1:13" x14ac:dyDescent="0.3">
      <c r="A374" s="23">
        <v>45400</v>
      </c>
      <c r="B374" t="s">
        <v>13</v>
      </c>
      <c r="C374" t="s">
        <v>132</v>
      </c>
      <c r="D374" t="s">
        <v>17</v>
      </c>
      <c r="E374" t="s">
        <v>180</v>
      </c>
      <c r="F374">
        <v>40000000</v>
      </c>
      <c r="G374" t="s">
        <v>181</v>
      </c>
      <c r="H374" t="s">
        <v>81</v>
      </c>
      <c r="I374" t="s">
        <v>9</v>
      </c>
      <c r="L374" t="s">
        <v>161</v>
      </c>
      <c r="M374">
        <v>-40000000</v>
      </c>
    </row>
    <row r="375" spans="1:13" x14ac:dyDescent="0.3">
      <c r="A375" s="23">
        <v>45434</v>
      </c>
      <c r="B375" t="s">
        <v>13</v>
      </c>
      <c r="C375" t="s">
        <v>132</v>
      </c>
      <c r="D375" t="s">
        <v>17</v>
      </c>
      <c r="E375" t="s">
        <v>136</v>
      </c>
      <c r="F375">
        <v>39328746</v>
      </c>
      <c r="G375" t="s">
        <v>134</v>
      </c>
      <c r="H375" t="s">
        <v>81</v>
      </c>
      <c r="I375" t="s">
        <v>9</v>
      </c>
      <c r="L375" t="s">
        <v>161</v>
      </c>
      <c r="M375">
        <v>-39328746</v>
      </c>
    </row>
    <row r="376" spans="1:13" x14ac:dyDescent="0.3">
      <c r="A376" s="23">
        <v>45747</v>
      </c>
      <c r="B376" t="s">
        <v>13</v>
      </c>
      <c r="C376" t="s">
        <v>132</v>
      </c>
      <c r="D376" t="s">
        <v>17</v>
      </c>
      <c r="E376" t="s">
        <v>136</v>
      </c>
      <c r="F376">
        <v>39200000</v>
      </c>
      <c r="G376" t="s">
        <v>134</v>
      </c>
      <c r="H376" t="s">
        <v>81</v>
      </c>
      <c r="I376" t="s">
        <v>9</v>
      </c>
      <c r="L376" t="s">
        <v>161</v>
      </c>
      <c r="M376">
        <v>-39200000</v>
      </c>
    </row>
    <row r="377" spans="1:13" x14ac:dyDescent="0.3">
      <c r="A377" s="23">
        <v>45677</v>
      </c>
      <c r="B377" t="s">
        <v>13</v>
      </c>
      <c r="C377" t="s">
        <v>132</v>
      </c>
      <c r="D377" t="s">
        <v>17</v>
      </c>
      <c r="E377" t="s">
        <v>136</v>
      </c>
      <c r="F377">
        <v>39200000</v>
      </c>
      <c r="G377" t="s">
        <v>134</v>
      </c>
      <c r="H377" t="s">
        <v>81</v>
      </c>
      <c r="I377" t="s">
        <v>9</v>
      </c>
      <c r="L377" t="s">
        <v>161</v>
      </c>
      <c r="M377">
        <v>-39200000</v>
      </c>
    </row>
    <row r="378" spans="1:13" x14ac:dyDescent="0.3">
      <c r="A378" s="23">
        <v>45645</v>
      </c>
      <c r="B378" t="s">
        <v>13</v>
      </c>
      <c r="C378" t="s">
        <v>132</v>
      </c>
      <c r="D378" t="s">
        <v>17</v>
      </c>
      <c r="E378" t="s">
        <v>41</v>
      </c>
      <c r="F378">
        <v>39200000</v>
      </c>
      <c r="G378" t="s">
        <v>26</v>
      </c>
      <c r="H378" t="s">
        <v>81</v>
      </c>
      <c r="I378" t="s">
        <v>9</v>
      </c>
      <c r="L378" t="s">
        <v>161</v>
      </c>
      <c r="M378">
        <v>-39200000</v>
      </c>
    </row>
    <row r="379" spans="1:13" x14ac:dyDescent="0.3">
      <c r="A379" s="23">
        <v>45411</v>
      </c>
      <c r="B379" t="s">
        <v>13</v>
      </c>
      <c r="C379" t="s">
        <v>132</v>
      </c>
      <c r="D379" t="s">
        <v>17</v>
      </c>
      <c r="E379" t="s">
        <v>169</v>
      </c>
      <c r="F379">
        <v>39100000</v>
      </c>
      <c r="G379" t="s">
        <v>131</v>
      </c>
      <c r="H379" t="s">
        <v>81</v>
      </c>
      <c r="I379" t="s">
        <v>9</v>
      </c>
      <c r="L379" t="s">
        <v>161</v>
      </c>
      <c r="M379">
        <v>-39100000</v>
      </c>
    </row>
    <row r="380" spans="1:13" x14ac:dyDescent="0.3">
      <c r="A380" s="23">
        <v>45350</v>
      </c>
      <c r="B380" t="s">
        <v>13</v>
      </c>
      <c r="C380" t="s">
        <v>132</v>
      </c>
      <c r="D380" t="s">
        <v>17</v>
      </c>
      <c r="E380" t="s">
        <v>180</v>
      </c>
      <c r="F380">
        <v>38700176</v>
      </c>
      <c r="G380" t="s">
        <v>181</v>
      </c>
      <c r="H380" t="s">
        <v>81</v>
      </c>
      <c r="I380" t="s">
        <v>9</v>
      </c>
      <c r="L380" t="s">
        <v>161</v>
      </c>
      <c r="M380">
        <v>-38700176</v>
      </c>
    </row>
    <row r="381" spans="1:13" x14ac:dyDescent="0.3">
      <c r="A381" s="23">
        <v>45433</v>
      </c>
      <c r="B381" t="s">
        <v>13</v>
      </c>
      <c r="C381" t="s">
        <v>132</v>
      </c>
      <c r="D381" t="s">
        <v>17</v>
      </c>
      <c r="E381" t="s">
        <v>169</v>
      </c>
      <c r="F381">
        <v>38390541</v>
      </c>
      <c r="G381" t="s">
        <v>131</v>
      </c>
      <c r="H381" t="s">
        <v>81</v>
      </c>
      <c r="I381" t="s">
        <v>9</v>
      </c>
      <c r="L381" t="s">
        <v>161</v>
      </c>
      <c r="M381">
        <v>-38390541</v>
      </c>
    </row>
    <row r="382" spans="1:13" x14ac:dyDescent="0.3">
      <c r="A382" s="23">
        <v>45238</v>
      </c>
      <c r="B382" t="s">
        <v>13</v>
      </c>
      <c r="C382" t="s">
        <v>132</v>
      </c>
      <c r="D382" t="s">
        <v>17</v>
      </c>
      <c r="E382" t="s">
        <v>46</v>
      </c>
      <c r="F382">
        <v>38300000</v>
      </c>
      <c r="G382" t="s">
        <v>28</v>
      </c>
      <c r="H382" t="s">
        <v>81</v>
      </c>
      <c r="I382" t="s">
        <v>9</v>
      </c>
      <c r="L382" t="s">
        <v>161</v>
      </c>
      <c r="M382">
        <v>-38300000</v>
      </c>
    </row>
    <row r="383" spans="1:13" x14ac:dyDescent="0.3">
      <c r="A383" s="23">
        <v>44950</v>
      </c>
      <c r="B383" t="s">
        <v>13</v>
      </c>
      <c r="C383" t="s">
        <v>132</v>
      </c>
      <c r="D383" t="s">
        <v>17</v>
      </c>
      <c r="E383" t="s">
        <v>46</v>
      </c>
      <c r="F383">
        <v>38174941.299999997</v>
      </c>
      <c r="G383" t="s">
        <v>28</v>
      </c>
      <c r="H383" t="s">
        <v>81</v>
      </c>
      <c r="I383" t="s">
        <v>9</v>
      </c>
      <c r="L383" t="s">
        <v>161</v>
      </c>
      <c r="M383">
        <v>-38174941.299999997</v>
      </c>
    </row>
    <row r="384" spans="1:13" x14ac:dyDescent="0.3">
      <c r="A384" s="23">
        <v>45404</v>
      </c>
      <c r="B384" t="s">
        <v>13</v>
      </c>
      <c r="C384" t="s">
        <v>132</v>
      </c>
      <c r="D384" t="s">
        <v>17</v>
      </c>
      <c r="E384" t="s">
        <v>46</v>
      </c>
      <c r="F384">
        <v>37900000</v>
      </c>
      <c r="G384" t="s">
        <v>28</v>
      </c>
      <c r="H384" t="s">
        <v>81</v>
      </c>
      <c r="I384" t="s">
        <v>9</v>
      </c>
      <c r="L384" t="s">
        <v>161</v>
      </c>
      <c r="M384">
        <v>-37900000</v>
      </c>
    </row>
    <row r="385" spans="1:13" x14ac:dyDescent="0.3">
      <c r="A385" s="23">
        <v>45055</v>
      </c>
      <c r="B385" t="s">
        <v>13</v>
      </c>
      <c r="C385" t="s">
        <v>143</v>
      </c>
      <c r="D385" t="s">
        <v>17</v>
      </c>
      <c r="E385" t="s">
        <v>149</v>
      </c>
      <c r="F385">
        <v>37849256.490000002</v>
      </c>
      <c r="G385" t="s">
        <v>140</v>
      </c>
      <c r="H385" t="s">
        <v>81</v>
      </c>
      <c r="I385" t="s">
        <v>9</v>
      </c>
      <c r="M385">
        <v>-37849256.490000002</v>
      </c>
    </row>
    <row r="386" spans="1:13" x14ac:dyDescent="0.3">
      <c r="A386" s="23">
        <v>45737</v>
      </c>
      <c r="B386" t="s">
        <v>13</v>
      </c>
      <c r="C386" t="s">
        <v>132</v>
      </c>
      <c r="D386" t="s">
        <v>17</v>
      </c>
      <c r="E386" t="s">
        <v>41</v>
      </c>
      <c r="F386">
        <v>37700000</v>
      </c>
      <c r="G386" t="s">
        <v>26</v>
      </c>
      <c r="H386" t="s">
        <v>81</v>
      </c>
      <c r="I386" t="s">
        <v>9</v>
      </c>
      <c r="L386" t="s">
        <v>161</v>
      </c>
      <c r="M386">
        <v>-37700000</v>
      </c>
    </row>
    <row r="387" spans="1:13" x14ac:dyDescent="0.3">
      <c r="A387" s="23">
        <v>45525</v>
      </c>
      <c r="B387" t="s">
        <v>13</v>
      </c>
      <c r="C387" t="s">
        <v>132</v>
      </c>
      <c r="D387" t="s">
        <v>17</v>
      </c>
      <c r="E387" t="s">
        <v>41</v>
      </c>
      <c r="F387">
        <v>37600000</v>
      </c>
      <c r="G387" t="s">
        <v>26</v>
      </c>
      <c r="H387" t="s">
        <v>81</v>
      </c>
      <c r="I387" t="s">
        <v>9</v>
      </c>
      <c r="L387" t="s">
        <v>161</v>
      </c>
      <c r="M387">
        <v>-37600000</v>
      </c>
    </row>
    <row r="388" spans="1:13" x14ac:dyDescent="0.3">
      <c r="A388" s="23">
        <v>44942</v>
      </c>
      <c r="B388" t="s">
        <v>13</v>
      </c>
      <c r="C388" t="s">
        <v>132</v>
      </c>
      <c r="D388" t="s">
        <v>17</v>
      </c>
      <c r="E388" t="s">
        <v>48</v>
      </c>
      <c r="F388">
        <v>37300000</v>
      </c>
      <c r="G388" t="s">
        <v>29</v>
      </c>
      <c r="H388" t="s">
        <v>81</v>
      </c>
      <c r="I388" t="s">
        <v>9</v>
      </c>
      <c r="L388" t="s">
        <v>161</v>
      </c>
      <c r="M388">
        <v>-37300000</v>
      </c>
    </row>
    <row r="389" spans="1:13" x14ac:dyDescent="0.3">
      <c r="A389" s="23">
        <v>45400</v>
      </c>
      <c r="B389" t="s">
        <v>13</v>
      </c>
      <c r="C389" t="s">
        <v>132</v>
      </c>
      <c r="D389" t="s">
        <v>17</v>
      </c>
      <c r="E389" t="s">
        <v>41</v>
      </c>
      <c r="F389">
        <v>37100000</v>
      </c>
      <c r="G389" t="s">
        <v>26</v>
      </c>
      <c r="H389" t="s">
        <v>81</v>
      </c>
      <c r="I389" t="s">
        <v>9</v>
      </c>
      <c r="L389" t="s">
        <v>161</v>
      </c>
      <c r="M389">
        <v>-37100000</v>
      </c>
    </row>
    <row r="390" spans="1:13" x14ac:dyDescent="0.3">
      <c r="A390" s="23">
        <v>45428</v>
      </c>
      <c r="B390" t="s">
        <v>13</v>
      </c>
      <c r="C390" t="s">
        <v>132</v>
      </c>
      <c r="D390" t="s">
        <v>17</v>
      </c>
      <c r="E390" t="s">
        <v>136</v>
      </c>
      <c r="F390">
        <v>36775202</v>
      </c>
      <c r="G390" t="s">
        <v>134</v>
      </c>
      <c r="H390" t="s">
        <v>81</v>
      </c>
      <c r="I390" t="s">
        <v>9</v>
      </c>
      <c r="L390" t="s">
        <v>161</v>
      </c>
      <c r="M390">
        <v>-36775202</v>
      </c>
    </row>
    <row r="391" spans="1:13" x14ac:dyDescent="0.3">
      <c r="A391" s="23">
        <v>45082</v>
      </c>
      <c r="B391" t="s">
        <v>13</v>
      </c>
      <c r="C391" t="s">
        <v>132</v>
      </c>
      <c r="D391" t="s">
        <v>17</v>
      </c>
      <c r="E391" t="s">
        <v>41</v>
      </c>
      <c r="F391">
        <v>36700000</v>
      </c>
      <c r="G391" t="s">
        <v>26</v>
      </c>
      <c r="H391" t="s">
        <v>81</v>
      </c>
      <c r="I391" t="s">
        <v>9</v>
      </c>
      <c r="L391" t="s">
        <v>161</v>
      </c>
      <c r="M391">
        <v>-36700000</v>
      </c>
    </row>
    <row r="392" spans="1:13" x14ac:dyDescent="0.3">
      <c r="A392" s="23">
        <v>45400</v>
      </c>
      <c r="B392" t="s">
        <v>13</v>
      </c>
      <c r="C392" t="s">
        <v>132</v>
      </c>
      <c r="D392" t="s">
        <v>17</v>
      </c>
      <c r="E392" t="s">
        <v>169</v>
      </c>
      <c r="F392">
        <v>36505784</v>
      </c>
      <c r="G392" t="s">
        <v>131</v>
      </c>
      <c r="H392" t="s">
        <v>81</v>
      </c>
      <c r="I392" t="s">
        <v>9</v>
      </c>
      <c r="L392" t="s">
        <v>161</v>
      </c>
      <c r="M392">
        <v>-36505784</v>
      </c>
    </row>
    <row r="393" spans="1:13" x14ac:dyDescent="0.3">
      <c r="A393" s="23">
        <v>45266</v>
      </c>
      <c r="B393" t="s">
        <v>13</v>
      </c>
      <c r="C393" t="s">
        <v>132</v>
      </c>
      <c r="D393" t="s">
        <v>17</v>
      </c>
      <c r="E393" t="s">
        <v>169</v>
      </c>
      <c r="F393">
        <v>36485511</v>
      </c>
      <c r="G393" t="s">
        <v>131</v>
      </c>
      <c r="H393" t="s">
        <v>81</v>
      </c>
      <c r="I393" t="s">
        <v>9</v>
      </c>
      <c r="L393" t="s">
        <v>161</v>
      </c>
      <c r="M393">
        <v>-36485511</v>
      </c>
    </row>
    <row r="394" spans="1:13" x14ac:dyDescent="0.3">
      <c r="A394" s="23">
        <v>45674</v>
      </c>
      <c r="B394" t="s">
        <v>13</v>
      </c>
      <c r="C394" t="s">
        <v>132</v>
      </c>
      <c r="D394" t="s">
        <v>17</v>
      </c>
      <c r="E394" t="s">
        <v>136</v>
      </c>
      <c r="F394">
        <v>36400000</v>
      </c>
      <c r="G394" t="s">
        <v>134</v>
      </c>
      <c r="H394" t="s">
        <v>81</v>
      </c>
      <c r="I394" t="s">
        <v>9</v>
      </c>
      <c r="L394" t="s">
        <v>161</v>
      </c>
      <c r="M394">
        <v>-36400000</v>
      </c>
    </row>
    <row r="395" spans="1:13" x14ac:dyDescent="0.3">
      <c r="A395" s="23">
        <v>45510</v>
      </c>
      <c r="B395" t="s">
        <v>13</v>
      </c>
      <c r="C395" t="s">
        <v>132</v>
      </c>
      <c r="D395" t="s">
        <v>17</v>
      </c>
      <c r="E395" t="s">
        <v>180</v>
      </c>
      <c r="F395">
        <v>36000000</v>
      </c>
      <c r="G395" t="s">
        <v>181</v>
      </c>
      <c r="H395" t="s">
        <v>81</v>
      </c>
      <c r="I395" t="s">
        <v>9</v>
      </c>
      <c r="L395" t="s">
        <v>161</v>
      </c>
      <c r="M395">
        <v>-36000000</v>
      </c>
    </row>
    <row r="396" spans="1:13" x14ac:dyDescent="0.3">
      <c r="A396" s="23">
        <v>45686</v>
      </c>
      <c r="B396" t="s">
        <v>13</v>
      </c>
      <c r="C396" t="s">
        <v>132</v>
      </c>
      <c r="D396" t="s">
        <v>17</v>
      </c>
      <c r="E396" t="s">
        <v>48</v>
      </c>
      <c r="F396">
        <v>35900000</v>
      </c>
      <c r="G396" t="s">
        <v>29</v>
      </c>
      <c r="H396" t="s">
        <v>81</v>
      </c>
      <c r="I396" t="s">
        <v>9</v>
      </c>
      <c r="L396" t="s">
        <v>161</v>
      </c>
      <c r="M396">
        <v>-35900000</v>
      </c>
    </row>
    <row r="397" spans="1:13" x14ac:dyDescent="0.3">
      <c r="A397" s="23">
        <v>45589</v>
      </c>
      <c r="B397" t="s">
        <v>13</v>
      </c>
      <c r="C397" t="s">
        <v>132</v>
      </c>
      <c r="D397" t="s">
        <v>17</v>
      </c>
      <c r="E397" t="s">
        <v>41</v>
      </c>
      <c r="F397">
        <v>35800000</v>
      </c>
      <c r="G397" t="s">
        <v>26</v>
      </c>
      <c r="H397" t="s">
        <v>81</v>
      </c>
      <c r="I397" t="s">
        <v>9</v>
      </c>
      <c r="L397" t="s">
        <v>161</v>
      </c>
      <c r="M397">
        <v>-35800000</v>
      </c>
    </row>
    <row r="398" spans="1:13" x14ac:dyDescent="0.3">
      <c r="A398" s="23">
        <v>45751</v>
      </c>
      <c r="B398" t="s">
        <v>13</v>
      </c>
      <c r="C398" t="s">
        <v>132</v>
      </c>
      <c r="D398" t="s">
        <v>17</v>
      </c>
      <c r="E398" t="s">
        <v>193</v>
      </c>
      <c r="F398">
        <v>35465290</v>
      </c>
      <c r="G398" t="s">
        <v>131</v>
      </c>
      <c r="H398" t="s">
        <v>81</v>
      </c>
      <c r="I398" t="s">
        <v>9</v>
      </c>
      <c r="L398" t="s">
        <v>161</v>
      </c>
      <c r="M398">
        <v>-35465290</v>
      </c>
    </row>
    <row r="399" spans="1:13" x14ac:dyDescent="0.3">
      <c r="A399" s="23">
        <v>45174</v>
      </c>
      <c r="B399" t="s">
        <v>13</v>
      </c>
      <c r="C399" t="s">
        <v>132</v>
      </c>
      <c r="D399" t="s">
        <v>17</v>
      </c>
      <c r="E399" t="s">
        <v>136</v>
      </c>
      <c r="F399">
        <v>35453718.399999999</v>
      </c>
      <c r="G399" t="s">
        <v>134</v>
      </c>
      <c r="H399" t="s">
        <v>81</v>
      </c>
      <c r="I399" t="s">
        <v>9</v>
      </c>
      <c r="L399" t="s">
        <v>161</v>
      </c>
      <c r="M399">
        <v>-35453718.399999999</v>
      </c>
    </row>
    <row r="400" spans="1:13" x14ac:dyDescent="0.3">
      <c r="A400" s="23">
        <v>44967</v>
      </c>
      <c r="B400" t="s">
        <v>13</v>
      </c>
      <c r="C400" t="s">
        <v>132</v>
      </c>
      <c r="D400" t="s">
        <v>17</v>
      </c>
      <c r="E400" t="s">
        <v>41</v>
      </c>
      <c r="F400">
        <v>35200000</v>
      </c>
      <c r="G400" t="s">
        <v>26</v>
      </c>
      <c r="H400" t="s">
        <v>81</v>
      </c>
      <c r="I400" t="s">
        <v>9</v>
      </c>
      <c r="L400" t="s">
        <v>161</v>
      </c>
      <c r="M400">
        <v>-35200000</v>
      </c>
    </row>
    <row r="401" spans="1:13" x14ac:dyDescent="0.3">
      <c r="A401" s="23">
        <v>45763</v>
      </c>
      <c r="B401" t="s">
        <v>13</v>
      </c>
      <c r="C401" t="s">
        <v>132</v>
      </c>
      <c r="D401" t="s">
        <v>17</v>
      </c>
      <c r="E401" t="s">
        <v>204</v>
      </c>
      <c r="F401">
        <v>34953487.950000003</v>
      </c>
      <c r="G401" t="s">
        <v>205</v>
      </c>
      <c r="H401" t="s">
        <v>81</v>
      </c>
      <c r="I401" t="s">
        <v>9</v>
      </c>
      <c r="L401" t="s">
        <v>161</v>
      </c>
      <c r="M401">
        <v>-34953487.950000003</v>
      </c>
    </row>
    <row r="402" spans="1:13" x14ac:dyDescent="0.3">
      <c r="A402" s="23">
        <v>45555</v>
      </c>
      <c r="B402" t="s">
        <v>13</v>
      </c>
      <c r="C402" t="s">
        <v>132</v>
      </c>
      <c r="D402" t="s">
        <v>17</v>
      </c>
      <c r="E402" t="s">
        <v>41</v>
      </c>
      <c r="F402">
        <v>34800000</v>
      </c>
      <c r="G402" t="s">
        <v>26</v>
      </c>
      <c r="H402" t="s">
        <v>81</v>
      </c>
      <c r="I402" t="s">
        <v>9</v>
      </c>
      <c r="L402" t="s">
        <v>161</v>
      </c>
      <c r="M402">
        <v>-34800000</v>
      </c>
    </row>
    <row r="403" spans="1:13" x14ac:dyDescent="0.3">
      <c r="A403" s="23">
        <v>44993</v>
      </c>
      <c r="B403" t="s">
        <v>13</v>
      </c>
      <c r="C403" t="s">
        <v>143</v>
      </c>
      <c r="D403" t="s">
        <v>17</v>
      </c>
      <c r="E403" t="s">
        <v>149</v>
      </c>
      <c r="F403">
        <v>34721047.170000002</v>
      </c>
      <c r="G403" t="s">
        <v>140</v>
      </c>
      <c r="H403" t="s">
        <v>81</v>
      </c>
      <c r="I403" t="s">
        <v>9</v>
      </c>
      <c r="J403" s="23">
        <v>44993</v>
      </c>
      <c r="L403" t="s">
        <v>241</v>
      </c>
      <c r="M403">
        <v>-34721047.170000002</v>
      </c>
    </row>
    <row r="404" spans="1:13" x14ac:dyDescent="0.3">
      <c r="A404" s="23">
        <v>45471</v>
      </c>
      <c r="B404" t="s">
        <v>13</v>
      </c>
      <c r="C404" t="s">
        <v>132</v>
      </c>
      <c r="D404" t="s">
        <v>17</v>
      </c>
      <c r="E404" t="s">
        <v>41</v>
      </c>
      <c r="F404">
        <v>34500000</v>
      </c>
      <c r="G404" t="s">
        <v>26</v>
      </c>
      <c r="H404" t="s">
        <v>81</v>
      </c>
      <c r="I404" t="s">
        <v>9</v>
      </c>
      <c r="L404" t="s">
        <v>161</v>
      </c>
      <c r="M404">
        <v>-34500000</v>
      </c>
    </row>
    <row r="405" spans="1:13" x14ac:dyDescent="0.3">
      <c r="A405" s="23">
        <v>45198</v>
      </c>
      <c r="B405" t="s">
        <v>13</v>
      </c>
      <c r="C405" t="s">
        <v>132</v>
      </c>
      <c r="D405" t="s">
        <v>17</v>
      </c>
      <c r="E405" t="s">
        <v>41</v>
      </c>
      <c r="F405">
        <v>34500000</v>
      </c>
      <c r="G405" t="s">
        <v>26</v>
      </c>
      <c r="H405" t="s">
        <v>81</v>
      </c>
      <c r="I405" t="s">
        <v>9</v>
      </c>
      <c r="L405" t="s">
        <v>161</v>
      </c>
      <c r="M405">
        <v>-34500000</v>
      </c>
    </row>
    <row r="406" spans="1:13" x14ac:dyDescent="0.3">
      <c r="A406" s="23">
        <v>45672</v>
      </c>
      <c r="B406" t="s">
        <v>13</v>
      </c>
      <c r="C406" t="s">
        <v>132</v>
      </c>
      <c r="D406" t="s">
        <v>17</v>
      </c>
      <c r="E406" t="s">
        <v>208</v>
      </c>
      <c r="F406">
        <v>34376754.219999999</v>
      </c>
      <c r="G406" t="s">
        <v>209</v>
      </c>
      <c r="H406" t="s">
        <v>81</v>
      </c>
      <c r="I406" t="s">
        <v>9</v>
      </c>
      <c r="L406" t="s">
        <v>161</v>
      </c>
      <c r="M406">
        <v>-34376754.219999999</v>
      </c>
    </row>
    <row r="407" spans="1:13" x14ac:dyDescent="0.3">
      <c r="A407" s="23">
        <v>45503</v>
      </c>
      <c r="B407" t="s">
        <v>13</v>
      </c>
      <c r="C407" t="s">
        <v>132</v>
      </c>
      <c r="D407" t="s">
        <v>17</v>
      </c>
      <c r="E407" t="s">
        <v>46</v>
      </c>
      <c r="F407">
        <v>34200000</v>
      </c>
      <c r="G407" t="s">
        <v>28</v>
      </c>
      <c r="H407" t="s">
        <v>81</v>
      </c>
      <c r="I407" t="s">
        <v>9</v>
      </c>
      <c r="L407" t="s">
        <v>161</v>
      </c>
      <c r="M407">
        <v>-34200000</v>
      </c>
    </row>
    <row r="408" spans="1:13" x14ac:dyDescent="0.3">
      <c r="A408" s="23">
        <v>45244</v>
      </c>
      <c r="B408" t="s">
        <v>13</v>
      </c>
      <c r="C408" t="s">
        <v>143</v>
      </c>
      <c r="D408" t="s">
        <v>17</v>
      </c>
      <c r="E408" t="s">
        <v>149</v>
      </c>
      <c r="F408">
        <v>34013268.960000001</v>
      </c>
      <c r="G408" t="s">
        <v>140</v>
      </c>
      <c r="H408" t="s">
        <v>81</v>
      </c>
      <c r="I408" t="s">
        <v>9</v>
      </c>
      <c r="M408">
        <v>-34013268.960000001</v>
      </c>
    </row>
    <row r="409" spans="1:13" x14ac:dyDescent="0.3">
      <c r="A409" s="23">
        <v>44935</v>
      </c>
      <c r="B409" t="s">
        <v>13</v>
      </c>
      <c r="C409" t="s">
        <v>143</v>
      </c>
      <c r="D409" t="s">
        <v>17</v>
      </c>
      <c r="E409" t="s">
        <v>149</v>
      </c>
      <c r="F409">
        <v>34000000</v>
      </c>
      <c r="G409" t="s">
        <v>140</v>
      </c>
      <c r="H409" t="s">
        <v>81</v>
      </c>
      <c r="I409" t="s">
        <v>9</v>
      </c>
      <c r="M409">
        <v>-34000000</v>
      </c>
    </row>
    <row r="410" spans="1:13" x14ac:dyDescent="0.3">
      <c r="A410" s="23">
        <v>45162</v>
      </c>
      <c r="B410" t="s">
        <v>13</v>
      </c>
      <c r="C410" t="s">
        <v>143</v>
      </c>
      <c r="D410" t="s">
        <v>17</v>
      </c>
      <c r="E410" t="s">
        <v>149</v>
      </c>
      <c r="F410">
        <v>33720624.450000003</v>
      </c>
      <c r="G410" t="s">
        <v>140</v>
      </c>
      <c r="H410" t="s">
        <v>81</v>
      </c>
      <c r="I410" t="s">
        <v>9</v>
      </c>
      <c r="M410">
        <v>-33720624.450000003</v>
      </c>
    </row>
    <row r="411" spans="1:13" x14ac:dyDescent="0.3">
      <c r="A411" s="23">
        <v>45301</v>
      </c>
      <c r="B411" t="s">
        <v>13</v>
      </c>
      <c r="C411" t="s">
        <v>143</v>
      </c>
      <c r="D411" t="s">
        <v>17</v>
      </c>
      <c r="E411" t="s">
        <v>149</v>
      </c>
      <c r="F411">
        <v>33700000</v>
      </c>
      <c r="G411" t="s">
        <v>140</v>
      </c>
      <c r="H411" t="s">
        <v>81</v>
      </c>
      <c r="I411" t="s">
        <v>9</v>
      </c>
      <c r="M411">
        <v>-33700000</v>
      </c>
    </row>
    <row r="412" spans="1:13" x14ac:dyDescent="0.3">
      <c r="A412" s="23">
        <v>45201</v>
      </c>
      <c r="B412" t="s">
        <v>13</v>
      </c>
      <c r="C412" t="s">
        <v>132</v>
      </c>
      <c r="D412" t="s">
        <v>17</v>
      </c>
      <c r="E412" t="s">
        <v>46</v>
      </c>
      <c r="F412">
        <v>33610586.539999999</v>
      </c>
      <c r="G412" t="s">
        <v>28</v>
      </c>
      <c r="H412" t="s">
        <v>81</v>
      </c>
      <c r="I412" t="s">
        <v>9</v>
      </c>
      <c r="L412" t="s">
        <v>161</v>
      </c>
      <c r="M412">
        <v>-33610586.539999999</v>
      </c>
    </row>
    <row r="413" spans="1:13" x14ac:dyDescent="0.3">
      <c r="A413" s="23">
        <v>45173</v>
      </c>
      <c r="B413" t="s">
        <v>13</v>
      </c>
      <c r="C413" t="s">
        <v>132</v>
      </c>
      <c r="D413" t="s">
        <v>17</v>
      </c>
      <c r="E413" t="s">
        <v>45</v>
      </c>
      <c r="F413">
        <v>33390271.66</v>
      </c>
      <c r="G413" t="s">
        <v>26</v>
      </c>
      <c r="H413" t="s">
        <v>81</v>
      </c>
      <c r="I413" t="s">
        <v>9</v>
      </c>
      <c r="L413" t="s">
        <v>161</v>
      </c>
      <c r="M413">
        <v>-33390271.66</v>
      </c>
    </row>
    <row r="414" spans="1:13" x14ac:dyDescent="0.3">
      <c r="A414" s="23">
        <v>45373</v>
      </c>
      <c r="B414" t="s">
        <v>13</v>
      </c>
      <c r="C414" t="s">
        <v>132</v>
      </c>
      <c r="D414" t="s">
        <v>17</v>
      </c>
      <c r="E414" t="s">
        <v>169</v>
      </c>
      <c r="F414">
        <v>33385925</v>
      </c>
      <c r="G414" t="s">
        <v>131</v>
      </c>
      <c r="H414" t="s">
        <v>81</v>
      </c>
      <c r="I414" t="s">
        <v>9</v>
      </c>
      <c r="L414" t="s">
        <v>161</v>
      </c>
      <c r="M414">
        <v>-33385925</v>
      </c>
    </row>
    <row r="415" spans="1:13" x14ac:dyDescent="0.3">
      <c r="A415" s="23">
        <v>45653</v>
      </c>
      <c r="B415" t="s">
        <v>13</v>
      </c>
      <c r="C415" t="s">
        <v>132</v>
      </c>
      <c r="D415" t="s">
        <v>17</v>
      </c>
      <c r="E415" t="s">
        <v>41</v>
      </c>
      <c r="F415">
        <v>33100000</v>
      </c>
      <c r="G415" t="s">
        <v>26</v>
      </c>
      <c r="H415" t="s">
        <v>81</v>
      </c>
      <c r="I415" t="s">
        <v>9</v>
      </c>
      <c r="L415" t="s">
        <v>161</v>
      </c>
      <c r="M415">
        <v>-33100000</v>
      </c>
    </row>
    <row r="416" spans="1:13" x14ac:dyDescent="0.3">
      <c r="A416" s="23">
        <v>45693</v>
      </c>
      <c r="B416" t="s">
        <v>13</v>
      </c>
      <c r="C416" t="s">
        <v>132</v>
      </c>
      <c r="D416" t="s">
        <v>17</v>
      </c>
      <c r="E416" t="s">
        <v>48</v>
      </c>
      <c r="F416">
        <v>32900000</v>
      </c>
      <c r="G416" t="s">
        <v>29</v>
      </c>
      <c r="H416" t="s">
        <v>81</v>
      </c>
      <c r="I416" t="s">
        <v>9</v>
      </c>
      <c r="L416" t="s">
        <v>161</v>
      </c>
      <c r="M416">
        <v>-32900000</v>
      </c>
    </row>
    <row r="417" spans="1:13" x14ac:dyDescent="0.3">
      <c r="A417" s="23">
        <v>45526</v>
      </c>
      <c r="B417" t="s">
        <v>13</v>
      </c>
      <c r="C417" t="s">
        <v>132</v>
      </c>
      <c r="D417" t="s">
        <v>17</v>
      </c>
      <c r="E417" t="s">
        <v>41</v>
      </c>
      <c r="F417">
        <v>32500000</v>
      </c>
      <c r="G417" t="s">
        <v>26</v>
      </c>
      <c r="H417" t="s">
        <v>81</v>
      </c>
      <c r="I417" t="s">
        <v>9</v>
      </c>
      <c r="L417" t="s">
        <v>161</v>
      </c>
      <c r="M417">
        <v>-32500000</v>
      </c>
    </row>
    <row r="418" spans="1:13" x14ac:dyDescent="0.3">
      <c r="A418" s="23">
        <v>44803</v>
      </c>
      <c r="B418" t="s">
        <v>13</v>
      </c>
      <c r="C418" t="s">
        <v>132</v>
      </c>
      <c r="D418" t="s">
        <v>17</v>
      </c>
      <c r="E418" t="s">
        <v>41</v>
      </c>
      <c r="F418">
        <v>32200000</v>
      </c>
      <c r="G418" t="s">
        <v>26</v>
      </c>
      <c r="H418" t="s">
        <v>81</v>
      </c>
      <c r="I418" t="s">
        <v>9</v>
      </c>
      <c r="L418" t="s">
        <v>161</v>
      </c>
      <c r="M418">
        <v>-32200000</v>
      </c>
    </row>
    <row r="419" spans="1:13" x14ac:dyDescent="0.3">
      <c r="A419" s="23">
        <v>45667</v>
      </c>
      <c r="B419" t="s">
        <v>13</v>
      </c>
      <c r="C419" t="s">
        <v>132</v>
      </c>
      <c r="D419" t="s">
        <v>17</v>
      </c>
      <c r="E419" t="s">
        <v>48</v>
      </c>
      <c r="F419">
        <v>32000000</v>
      </c>
      <c r="G419" t="s">
        <v>29</v>
      </c>
      <c r="H419" t="s">
        <v>81</v>
      </c>
      <c r="I419" t="s">
        <v>9</v>
      </c>
      <c r="L419" t="s">
        <v>161</v>
      </c>
      <c r="M419">
        <v>-32000000</v>
      </c>
    </row>
    <row r="420" spans="1:13" x14ac:dyDescent="0.3">
      <c r="A420" s="23">
        <v>45672</v>
      </c>
      <c r="B420" t="s">
        <v>13</v>
      </c>
      <c r="C420" t="s">
        <v>132</v>
      </c>
      <c r="D420" t="s">
        <v>17</v>
      </c>
      <c r="E420" t="s">
        <v>180</v>
      </c>
      <c r="F420">
        <v>31919563.059999999</v>
      </c>
      <c r="G420" t="s">
        <v>181</v>
      </c>
      <c r="H420" t="s">
        <v>81</v>
      </c>
      <c r="I420" t="s">
        <v>9</v>
      </c>
      <c r="L420" t="s">
        <v>161</v>
      </c>
      <c r="M420">
        <v>-31919563.059999999</v>
      </c>
    </row>
    <row r="421" spans="1:13" x14ac:dyDescent="0.3">
      <c r="A421" s="23">
        <v>45498</v>
      </c>
      <c r="B421" t="s">
        <v>13</v>
      </c>
      <c r="C421" t="s">
        <v>132</v>
      </c>
      <c r="D421" t="s">
        <v>17</v>
      </c>
      <c r="E421" t="s">
        <v>48</v>
      </c>
      <c r="F421">
        <v>31800000</v>
      </c>
      <c r="G421" t="s">
        <v>29</v>
      </c>
      <c r="H421" t="s">
        <v>81</v>
      </c>
      <c r="I421" t="s">
        <v>9</v>
      </c>
      <c r="L421" t="s">
        <v>161</v>
      </c>
      <c r="M421">
        <v>-31800000</v>
      </c>
    </row>
    <row r="422" spans="1:13" x14ac:dyDescent="0.3">
      <c r="A422" s="23">
        <v>45093</v>
      </c>
      <c r="B422" t="s">
        <v>13</v>
      </c>
      <c r="C422" t="s">
        <v>143</v>
      </c>
      <c r="D422" t="s">
        <v>17</v>
      </c>
      <c r="E422" t="s">
        <v>149</v>
      </c>
      <c r="F422">
        <v>31614986.670000002</v>
      </c>
      <c r="G422" t="s">
        <v>140</v>
      </c>
      <c r="H422" t="s">
        <v>81</v>
      </c>
      <c r="I422" t="s">
        <v>9</v>
      </c>
      <c r="M422">
        <v>-31614986.670000002</v>
      </c>
    </row>
    <row r="423" spans="1:13" x14ac:dyDescent="0.3">
      <c r="A423" s="23">
        <v>44803</v>
      </c>
      <c r="B423" t="s">
        <v>13</v>
      </c>
      <c r="C423" t="s">
        <v>132</v>
      </c>
      <c r="D423" t="s">
        <v>17</v>
      </c>
      <c r="E423" t="s">
        <v>48</v>
      </c>
      <c r="F423">
        <v>31500000</v>
      </c>
      <c r="G423" t="s">
        <v>29</v>
      </c>
      <c r="H423" t="s">
        <v>81</v>
      </c>
      <c r="I423" t="s">
        <v>9</v>
      </c>
      <c r="L423" t="s">
        <v>161</v>
      </c>
      <c r="M423">
        <v>-31500000</v>
      </c>
    </row>
    <row r="424" spans="1:13" x14ac:dyDescent="0.3">
      <c r="A424" s="23">
        <v>45182</v>
      </c>
      <c r="B424" t="s">
        <v>13</v>
      </c>
      <c r="C424" t="s">
        <v>132</v>
      </c>
      <c r="D424" t="s">
        <v>17</v>
      </c>
      <c r="E424" t="s">
        <v>41</v>
      </c>
      <c r="F424">
        <v>31400000</v>
      </c>
      <c r="G424" t="s">
        <v>26</v>
      </c>
      <c r="H424" t="s">
        <v>81</v>
      </c>
      <c r="I424" t="s">
        <v>9</v>
      </c>
      <c r="L424" t="s">
        <v>161</v>
      </c>
      <c r="M424">
        <v>-31400000</v>
      </c>
    </row>
    <row r="425" spans="1:13" x14ac:dyDescent="0.3">
      <c r="A425" s="23">
        <v>45638</v>
      </c>
      <c r="B425" t="s">
        <v>13</v>
      </c>
      <c r="C425" t="s">
        <v>132</v>
      </c>
      <c r="D425" t="s">
        <v>17</v>
      </c>
      <c r="E425" t="s">
        <v>136</v>
      </c>
      <c r="F425">
        <v>31244691.059999999</v>
      </c>
      <c r="G425" t="s">
        <v>134</v>
      </c>
      <c r="H425" t="s">
        <v>81</v>
      </c>
      <c r="I425" t="s">
        <v>9</v>
      </c>
      <c r="L425" t="s">
        <v>161</v>
      </c>
      <c r="M425">
        <v>-31244691.059999999</v>
      </c>
    </row>
    <row r="426" spans="1:13" x14ac:dyDescent="0.3">
      <c r="A426" s="23">
        <v>45240</v>
      </c>
      <c r="B426" t="s">
        <v>13</v>
      </c>
      <c r="C426" t="s">
        <v>132</v>
      </c>
      <c r="D426" t="s">
        <v>17</v>
      </c>
      <c r="E426" t="s">
        <v>46</v>
      </c>
      <c r="F426">
        <v>31200000</v>
      </c>
      <c r="G426" t="s">
        <v>28</v>
      </c>
      <c r="H426" t="s">
        <v>81</v>
      </c>
      <c r="I426" t="s">
        <v>9</v>
      </c>
      <c r="L426" t="s">
        <v>161</v>
      </c>
      <c r="M426">
        <v>-31200000</v>
      </c>
    </row>
    <row r="427" spans="1:13" x14ac:dyDescent="0.3">
      <c r="A427" s="23">
        <v>44791</v>
      </c>
      <c r="B427" t="s">
        <v>13</v>
      </c>
      <c r="C427" t="s">
        <v>143</v>
      </c>
      <c r="D427" t="s">
        <v>17</v>
      </c>
      <c r="E427" t="s">
        <v>149</v>
      </c>
      <c r="F427" t="s">
        <v>157</v>
      </c>
      <c r="G427" t="s">
        <v>140</v>
      </c>
      <c r="H427" t="s">
        <v>81</v>
      </c>
      <c r="I427" t="s">
        <v>9</v>
      </c>
      <c r="J427" s="23">
        <v>44791</v>
      </c>
      <c r="L427" t="s">
        <v>226</v>
      </c>
      <c r="M427">
        <v>-31171455.52</v>
      </c>
    </row>
    <row r="428" spans="1:13" x14ac:dyDescent="0.3">
      <c r="A428" s="23">
        <v>45184</v>
      </c>
      <c r="B428" t="s">
        <v>13</v>
      </c>
      <c r="C428" t="s">
        <v>143</v>
      </c>
      <c r="D428" t="s">
        <v>17</v>
      </c>
      <c r="E428" t="s">
        <v>149</v>
      </c>
      <c r="F428">
        <v>31054164.32</v>
      </c>
      <c r="G428" t="s">
        <v>140</v>
      </c>
      <c r="H428" t="s">
        <v>81</v>
      </c>
      <c r="I428" t="s">
        <v>9</v>
      </c>
      <c r="M428">
        <v>-31054164.32</v>
      </c>
    </row>
    <row r="429" spans="1:13" x14ac:dyDescent="0.3">
      <c r="A429" s="23">
        <v>45265</v>
      </c>
      <c r="B429" t="s">
        <v>13</v>
      </c>
      <c r="C429" t="s">
        <v>132</v>
      </c>
      <c r="D429" t="s">
        <v>17</v>
      </c>
      <c r="E429" t="s">
        <v>46</v>
      </c>
      <c r="F429">
        <v>30500000</v>
      </c>
      <c r="G429" t="s">
        <v>28</v>
      </c>
      <c r="H429" t="s">
        <v>81</v>
      </c>
      <c r="I429" t="s">
        <v>9</v>
      </c>
      <c r="L429" t="s">
        <v>161</v>
      </c>
      <c r="M429">
        <v>-30500000</v>
      </c>
    </row>
    <row r="430" spans="1:13" x14ac:dyDescent="0.3">
      <c r="A430" s="23">
        <v>45209</v>
      </c>
      <c r="B430" t="s">
        <v>13</v>
      </c>
      <c r="C430" t="s">
        <v>132</v>
      </c>
      <c r="D430" t="s">
        <v>17</v>
      </c>
      <c r="E430" t="s">
        <v>48</v>
      </c>
      <c r="F430">
        <v>30200000</v>
      </c>
      <c r="G430" t="s">
        <v>29</v>
      </c>
      <c r="H430" t="s">
        <v>81</v>
      </c>
      <c r="I430" t="s">
        <v>9</v>
      </c>
      <c r="L430" t="s">
        <v>161</v>
      </c>
      <c r="M430">
        <v>-30200000</v>
      </c>
    </row>
    <row r="431" spans="1:13" x14ac:dyDescent="0.3">
      <c r="A431" s="23">
        <v>45295</v>
      </c>
      <c r="B431" t="s">
        <v>13</v>
      </c>
      <c r="C431" t="s">
        <v>132</v>
      </c>
      <c r="D431" t="s">
        <v>17</v>
      </c>
      <c r="E431" t="s">
        <v>41</v>
      </c>
      <c r="F431">
        <v>30000000</v>
      </c>
      <c r="G431" t="s">
        <v>26</v>
      </c>
      <c r="H431" t="s">
        <v>81</v>
      </c>
      <c r="I431" t="s">
        <v>9</v>
      </c>
      <c r="L431" t="s">
        <v>161</v>
      </c>
      <c r="M431">
        <v>-30000000</v>
      </c>
    </row>
    <row r="432" spans="1:13" x14ac:dyDescent="0.3">
      <c r="A432" s="23">
        <v>44921</v>
      </c>
      <c r="B432" t="s">
        <v>13</v>
      </c>
      <c r="C432" t="s">
        <v>132</v>
      </c>
      <c r="D432" t="s">
        <v>17</v>
      </c>
      <c r="E432" t="s">
        <v>41</v>
      </c>
      <c r="F432">
        <v>30000000</v>
      </c>
      <c r="G432" t="s">
        <v>26</v>
      </c>
      <c r="H432" t="s">
        <v>81</v>
      </c>
      <c r="I432" t="s">
        <v>9</v>
      </c>
      <c r="L432" t="s">
        <v>161</v>
      </c>
      <c r="M432">
        <v>-30000000</v>
      </c>
    </row>
    <row r="433" spans="1:13" x14ac:dyDescent="0.3">
      <c r="A433" s="23">
        <v>45686</v>
      </c>
      <c r="B433" t="s">
        <v>13</v>
      </c>
      <c r="C433" t="s">
        <v>132</v>
      </c>
      <c r="D433" t="s">
        <v>17</v>
      </c>
      <c r="E433" t="s">
        <v>46</v>
      </c>
      <c r="F433">
        <v>30000000</v>
      </c>
      <c r="G433" t="s">
        <v>28</v>
      </c>
      <c r="H433" t="s">
        <v>81</v>
      </c>
      <c r="I433" t="s">
        <v>9</v>
      </c>
      <c r="L433" t="s">
        <v>161</v>
      </c>
      <c r="M433">
        <v>-30000000</v>
      </c>
    </row>
    <row r="434" spans="1:13" x14ac:dyDescent="0.3">
      <c r="A434" s="23">
        <v>45558</v>
      </c>
      <c r="B434" t="s">
        <v>13</v>
      </c>
      <c r="C434" t="s">
        <v>132</v>
      </c>
      <c r="D434" t="s">
        <v>17</v>
      </c>
      <c r="E434" t="s">
        <v>46</v>
      </c>
      <c r="F434">
        <v>30000000</v>
      </c>
      <c r="G434" t="s">
        <v>28</v>
      </c>
      <c r="H434" t="s">
        <v>81</v>
      </c>
      <c r="I434" t="s">
        <v>9</v>
      </c>
      <c r="L434" t="s">
        <v>161</v>
      </c>
      <c r="M434">
        <v>-30000000</v>
      </c>
    </row>
    <row r="435" spans="1:13" x14ac:dyDescent="0.3">
      <c r="A435" s="23">
        <v>45737</v>
      </c>
      <c r="B435" t="s">
        <v>13</v>
      </c>
      <c r="C435" t="s">
        <v>132</v>
      </c>
      <c r="D435" t="s">
        <v>17</v>
      </c>
      <c r="E435" t="s">
        <v>48</v>
      </c>
      <c r="F435">
        <v>30000000</v>
      </c>
      <c r="G435" t="s">
        <v>29</v>
      </c>
      <c r="H435" t="s">
        <v>81</v>
      </c>
      <c r="I435" t="s">
        <v>9</v>
      </c>
      <c r="L435" t="s">
        <v>161</v>
      </c>
      <c r="M435">
        <v>-30000000</v>
      </c>
    </row>
    <row r="436" spans="1:13" x14ac:dyDescent="0.3">
      <c r="A436" s="23">
        <v>45558</v>
      </c>
      <c r="B436" t="s">
        <v>13</v>
      </c>
      <c r="C436" t="s">
        <v>132</v>
      </c>
      <c r="D436" t="s">
        <v>17</v>
      </c>
      <c r="E436" t="s">
        <v>48</v>
      </c>
      <c r="F436">
        <v>30000000</v>
      </c>
      <c r="G436" t="s">
        <v>29</v>
      </c>
      <c r="H436" t="s">
        <v>81</v>
      </c>
      <c r="I436" t="s">
        <v>9</v>
      </c>
      <c r="L436" t="s">
        <v>161</v>
      </c>
      <c r="M436">
        <v>-30000000</v>
      </c>
    </row>
    <row r="437" spans="1:13" x14ac:dyDescent="0.3">
      <c r="A437" s="23">
        <v>45532</v>
      </c>
      <c r="B437" t="s">
        <v>13</v>
      </c>
      <c r="C437" t="s">
        <v>132</v>
      </c>
      <c r="D437" t="s">
        <v>17</v>
      </c>
      <c r="E437" t="s">
        <v>48</v>
      </c>
      <c r="F437">
        <v>30000000</v>
      </c>
      <c r="G437" t="s">
        <v>29</v>
      </c>
      <c r="H437" t="s">
        <v>81</v>
      </c>
      <c r="I437" t="s">
        <v>9</v>
      </c>
      <c r="L437" t="s">
        <v>161</v>
      </c>
      <c r="M437">
        <v>-30000000</v>
      </c>
    </row>
    <row r="438" spans="1:13" x14ac:dyDescent="0.3">
      <c r="A438" s="23">
        <v>45519</v>
      </c>
      <c r="B438" t="s">
        <v>13</v>
      </c>
      <c r="C438" t="s">
        <v>132</v>
      </c>
      <c r="D438" t="s">
        <v>17</v>
      </c>
      <c r="E438" t="s">
        <v>48</v>
      </c>
      <c r="F438">
        <v>30000000</v>
      </c>
      <c r="G438" t="s">
        <v>29</v>
      </c>
      <c r="H438" t="s">
        <v>81</v>
      </c>
      <c r="I438" t="s">
        <v>9</v>
      </c>
      <c r="L438" t="s">
        <v>161</v>
      </c>
      <c r="M438">
        <v>-30000000</v>
      </c>
    </row>
    <row r="439" spans="1:13" x14ac:dyDescent="0.3">
      <c r="A439" s="23">
        <v>45435</v>
      </c>
      <c r="B439" t="s">
        <v>13</v>
      </c>
      <c r="C439" t="s">
        <v>132</v>
      </c>
      <c r="D439" t="s">
        <v>17</v>
      </c>
      <c r="E439" t="s">
        <v>180</v>
      </c>
      <c r="F439">
        <v>30000000</v>
      </c>
      <c r="G439" t="s">
        <v>181</v>
      </c>
      <c r="H439" t="s">
        <v>81</v>
      </c>
      <c r="I439" t="s">
        <v>9</v>
      </c>
      <c r="L439" t="s">
        <v>161</v>
      </c>
      <c r="M439">
        <v>-30000000</v>
      </c>
    </row>
    <row r="440" spans="1:13" x14ac:dyDescent="0.3">
      <c r="A440" s="23">
        <v>44796</v>
      </c>
      <c r="B440" t="s">
        <v>13</v>
      </c>
      <c r="C440" t="s">
        <v>143</v>
      </c>
      <c r="D440" t="s">
        <v>17</v>
      </c>
      <c r="E440" t="s">
        <v>149</v>
      </c>
      <c r="F440">
        <v>29574560.120000001</v>
      </c>
      <c r="G440" t="s">
        <v>140</v>
      </c>
      <c r="H440" t="s">
        <v>81</v>
      </c>
      <c r="I440" t="s">
        <v>9</v>
      </c>
      <c r="J440" t="s">
        <v>159</v>
      </c>
      <c r="L440" t="s">
        <v>229</v>
      </c>
      <c r="M440">
        <v>-29574560.120000001</v>
      </c>
    </row>
    <row r="441" spans="1:13" x14ac:dyDescent="0.3">
      <c r="A441" s="23">
        <v>45541</v>
      </c>
      <c r="B441" t="s">
        <v>13</v>
      </c>
      <c r="C441" t="s">
        <v>143</v>
      </c>
      <c r="D441" t="s">
        <v>17</v>
      </c>
      <c r="E441" t="s">
        <v>149</v>
      </c>
      <c r="F441">
        <v>29550014.699999999</v>
      </c>
      <c r="G441" t="s">
        <v>140</v>
      </c>
      <c r="H441" t="s">
        <v>81</v>
      </c>
      <c r="I441" t="s">
        <v>9</v>
      </c>
      <c r="J441" s="23">
        <v>44965</v>
      </c>
      <c r="L441" t="s">
        <v>240</v>
      </c>
      <c r="M441">
        <v>-29550014.699999999</v>
      </c>
    </row>
    <row r="442" spans="1:13" x14ac:dyDescent="0.3">
      <c r="A442" s="23">
        <v>45373</v>
      </c>
      <c r="B442" t="s">
        <v>13</v>
      </c>
      <c r="C442" t="s">
        <v>132</v>
      </c>
      <c r="D442" t="s">
        <v>17</v>
      </c>
      <c r="E442" t="s">
        <v>169</v>
      </c>
      <c r="F442">
        <v>29461995</v>
      </c>
      <c r="G442" t="s">
        <v>131</v>
      </c>
      <c r="H442" t="s">
        <v>81</v>
      </c>
      <c r="I442" t="s">
        <v>9</v>
      </c>
      <c r="L442" t="s">
        <v>161</v>
      </c>
      <c r="M442">
        <v>-29461995</v>
      </c>
    </row>
    <row r="443" spans="1:13" x14ac:dyDescent="0.3">
      <c r="A443" s="23">
        <v>44763</v>
      </c>
      <c r="B443" t="s">
        <v>13</v>
      </c>
      <c r="C443" t="s">
        <v>132</v>
      </c>
      <c r="D443" t="s">
        <v>17</v>
      </c>
      <c r="E443" t="s">
        <v>41</v>
      </c>
      <c r="F443">
        <v>29400000</v>
      </c>
      <c r="G443" t="s">
        <v>26</v>
      </c>
      <c r="H443" t="s">
        <v>81</v>
      </c>
      <c r="I443" t="s">
        <v>9</v>
      </c>
      <c r="L443" t="s">
        <v>161</v>
      </c>
      <c r="M443">
        <v>-29400000</v>
      </c>
    </row>
    <row r="444" spans="1:13" x14ac:dyDescent="0.3">
      <c r="A444" s="23">
        <v>45496</v>
      </c>
      <c r="B444" t="s">
        <v>13</v>
      </c>
      <c r="C444" t="s">
        <v>132</v>
      </c>
      <c r="D444" t="s">
        <v>17</v>
      </c>
      <c r="E444" t="s">
        <v>46</v>
      </c>
      <c r="F444">
        <v>29400000</v>
      </c>
      <c r="G444" t="s">
        <v>28</v>
      </c>
      <c r="H444" t="s">
        <v>81</v>
      </c>
      <c r="I444" t="s">
        <v>9</v>
      </c>
      <c r="L444" t="s">
        <v>161</v>
      </c>
      <c r="M444">
        <v>-29400000</v>
      </c>
    </row>
    <row r="445" spans="1:13" x14ac:dyDescent="0.3">
      <c r="A445" s="23">
        <v>45567</v>
      </c>
      <c r="B445" t="s">
        <v>13</v>
      </c>
      <c r="C445" t="s">
        <v>132</v>
      </c>
      <c r="D445" t="s">
        <v>17</v>
      </c>
      <c r="E445" t="s">
        <v>46</v>
      </c>
      <c r="F445">
        <v>29200000</v>
      </c>
      <c r="G445" t="s">
        <v>28</v>
      </c>
      <c r="H445" t="s">
        <v>81</v>
      </c>
      <c r="I445" t="s">
        <v>9</v>
      </c>
      <c r="L445" t="s">
        <v>161</v>
      </c>
      <c r="M445">
        <v>-29200000</v>
      </c>
    </row>
    <row r="446" spans="1:13" x14ac:dyDescent="0.3">
      <c r="A446" s="23">
        <v>44755</v>
      </c>
      <c r="B446" t="s">
        <v>13</v>
      </c>
      <c r="C446" t="s">
        <v>132</v>
      </c>
      <c r="D446" t="s">
        <v>17</v>
      </c>
      <c r="E446" t="s">
        <v>41</v>
      </c>
      <c r="F446">
        <v>28800000</v>
      </c>
      <c r="G446" t="s">
        <v>26</v>
      </c>
      <c r="H446" t="s">
        <v>81</v>
      </c>
      <c r="I446" t="s">
        <v>9</v>
      </c>
      <c r="L446" t="s">
        <v>161</v>
      </c>
      <c r="M446">
        <v>-28800000</v>
      </c>
    </row>
    <row r="447" spans="1:13" x14ac:dyDescent="0.3">
      <c r="A447" s="23">
        <v>45687</v>
      </c>
      <c r="B447" t="s">
        <v>13</v>
      </c>
      <c r="C447" t="s">
        <v>132</v>
      </c>
      <c r="D447" t="s">
        <v>17</v>
      </c>
      <c r="E447" t="s">
        <v>46</v>
      </c>
      <c r="F447">
        <v>28800000</v>
      </c>
      <c r="G447" t="s">
        <v>28</v>
      </c>
      <c r="H447" t="s">
        <v>81</v>
      </c>
      <c r="I447" t="s">
        <v>9</v>
      </c>
      <c r="L447" t="s">
        <v>161</v>
      </c>
      <c r="M447">
        <v>-28800000</v>
      </c>
    </row>
    <row r="448" spans="1:13" x14ac:dyDescent="0.3">
      <c r="A448" s="23">
        <v>45532</v>
      </c>
      <c r="B448" t="s">
        <v>13</v>
      </c>
      <c r="C448" t="s">
        <v>132</v>
      </c>
      <c r="D448" t="s">
        <v>17</v>
      </c>
      <c r="E448" t="s">
        <v>41</v>
      </c>
      <c r="F448">
        <v>28700000</v>
      </c>
      <c r="G448" t="s">
        <v>26</v>
      </c>
      <c r="H448" t="s">
        <v>81</v>
      </c>
      <c r="I448" t="s">
        <v>9</v>
      </c>
      <c r="L448" t="s">
        <v>161</v>
      </c>
      <c r="M448">
        <v>-28700000</v>
      </c>
    </row>
    <row r="449" spans="1:13" x14ac:dyDescent="0.3">
      <c r="A449" s="23">
        <v>45323</v>
      </c>
      <c r="B449" t="s">
        <v>13</v>
      </c>
      <c r="C449" t="s">
        <v>132</v>
      </c>
      <c r="D449" t="s">
        <v>17</v>
      </c>
      <c r="E449" t="s">
        <v>46</v>
      </c>
      <c r="F449">
        <v>28600000</v>
      </c>
      <c r="G449" t="s">
        <v>28</v>
      </c>
      <c r="H449" t="s">
        <v>81</v>
      </c>
      <c r="I449" t="s">
        <v>9</v>
      </c>
      <c r="L449" t="s">
        <v>161</v>
      </c>
      <c r="M449">
        <v>-28600000</v>
      </c>
    </row>
    <row r="450" spans="1:13" x14ac:dyDescent="0.3">
      <c r="A450" s="23">
        <v>44810</v>
      </c>
      <c r="B450" t="s">
        <v>13</v>
      </c>
      <c r="C450" t="s">
        <v>143</v>
      </c>
      <c r="D450" t="s">
        <v>17</v>
      </c>
      <c r="E450" t="s">
        <v>149</v>
      </c>
      <c r="F450">
        <v>28549572.039999999</v>
      </c>
      <c r="G450" t="s">
        <v>140</v>
      </c>
      <c r="H450" t="s">
        <v>81</v>
      </c>
      <c r="I450" t="s">
        <v>9</v>
      </c>
      <c r="J450" s="23">
        <v>44810</v>
      </c>
      <c r="L450" t="s">
        <v>233</v>
      </c>
      <c r="M450">
        <v>-28549572.039999999</v>
      </c>
    </row>
    <row r="451" spans="1:13" x14ac:dyDescent="0.3">
      <c r="A451" s="23">
        <v>45513</v>
      </c>
      <c r="B451" t="s">
        <v>13</v>
      </c>
      <c r="C451" t="s">
        <v>132</v>
      </c>
      <c r="D451" t="s">
        <v>17</v>
      </c>
      <c r="E451" t="s">
        <v>41</v>
      </c>
      <c r="F451">
        <v>28100000</v>
      </c>
      <c r="G451" t="s">
        <v>26</v>
      </c>
      <c r="H451" t="s">
        <v>81</v>
      </c>
      <c r="I451" t="s">
        <v>9</v>
      </c>
      <c r="L451" t="s">
        <v>161</v>
      </c>
      <c r="M451">
        <v>-28100000</v>
      </c>
    </row>
    <row r="452" spans="1:13" x14ac:dyDescent="0.3">
      <c r="A452" s="23">
        <v>45132</v>
      </c>
      <c r="B452" t="s">
        <v>13</v>
      </c>
      <c r="C452" t="s">
        <v>143</v>
      </c>
      <c r="D452" t="s">
        <v>17</v>
      </c>
      <c r="E452" t="s">
        <v>149</v>
      </c>
      <c r="F452">
        <v>28053434.809999999</v>
      </c>
      <c r="G452" t="s">
        <v>140</v>
      </c>
      <c r="H452" t="s">
        <v>81</v>
      </c>
      <c r="I452" t="s">
        <v>9</v>
      </c>
      <c r="M452">
        <v>-28053434.809999999</v>
      </c>
    </row>
    <row r="453" spans="1:13" x14ac:dyDescent="0.3">
      <c r="A453" s="23">
        <v>44575</v>
      </c>
      <c r="B453" t="s">
        <v>13</v>
      </c>
      <c r="C453" t="s">
        <v>132</v>
      </c>
      <c r="D453" t="s">
        <v>17</v>
      </c>
      <c r="E453" t="s">
        <v>41</v>
      </c>
      <c r="F453">
        <v>28000000</v>
      </c>
      <c r="G453" t="s">
        <v>26</v>
      </c>
      <c r="H453" t="s">
        <v>81</v>
      </c>
      <c r="I453" t="s">
        <v>9</v>
      </c>
      <c r="L453" t="s">
        <v>161</v>
      </c>
      <c r="M453">
        <v>-28000000</v>
      </c>
    </row>
    <row r="454" spans="1:13" x14ac:dyDescent="0.3">
      <c r="A454" s="23">
        <v>44963</v>
      </c>
      <c r="B454" t="s">
        <v>13</v>
      </c>
      <c r="C454" t="s">
        <v>132</v>
      </c>
      <c r="D454" t="s">
        <v>17</v>
      </c>
      <c r="E454" t="s">
        <v>41</v>
      </c>
      <c r="F454">
        <v>27600000</v>
      </c>
      <c r="G454" t="s">
        <v>26</v>
      </c>
      <c r="H454" t="s">
        <v>81</v>
      </c>
      <c r="I454" t="s">
        <v>9</v>
      </c>
      <c r="L454" t="s">
        <v>161</v>
      </c>
      <c r="M454">
        <v>-27600000</v>
      </c>
    </row>
    <row r="455" spans="1:13" x14ac:dyDescent="0.3">
      <c r="A455" s="23">
        <v>45373</v>
      </c>
      <c r="B455" t="s">
        <v>13</v>
      </c>
      <c r="C455" t="s">
        <v>132</v>
      </c>
      <c r="D455" t="s">
        <v>17</v>
      </c>
      <c r="E455" t="s">
        <v>136</v>
      </c>
      <c r="F455">
        <v>27597829</v>
      </c>
      <c r="G455" t="s">
        <v>134</v>
      </c>
      <c r="H455" t="s">
        <v>81</v>
      </c>
      <c r="I455" t="s">
        <v>9</v>
      </c>
      <c r="L455" t="s">
        <v>161</v>
      </c>
      <c r="M455">
        <v>-27597829</v>
      </c>
    </row>
    <row r="456" spans="1:13" x14ac:dyDescent="0.3">
      <c r="A456" s="23">
        <v>45554</v>
      </c>
      <c r="B456" t="s">
        <v>13</v>
      </c>
      <c r="C456" t="s">
        <v>143</v>
      </c>
      <c r="D456" t="s">
        <v>17</v>
      </c>
      <c r="E456" t="s">
        <v>149</v>
      </c>
      <c r="F456">
        <v>27343302</v>
      </c>
      <c r="G456" t="s">
        <v>140</v>
      </c>
      <c r="H456" t="s">
        <v>81</v>
      </c>
      <c r="I456" t="s">
        <v>9</v>
      </c>
      <c r="M456">
        <v>-27343302</v>
      </c>
    </row>
    <row r="457" spans="1:13" x14ac:dyDescent="0.3">
      <c r="A457" s="23">
        <v>45036</v>
      </c>
      <c r="B457" t="s">
        <v>13</v>
      </c>
      <c r="C457" t="s">
        <v>132</v>
      </c>
      <c r="D457" t="s">
        <v>17</v>
      </c>
      <c r="E457" t="s">
        <v>41</v>
      </c>
      <c r="F457">
        <v>27100000</v>
      </c>
      <c r="G457" t="s">
        <v>26</v>
      </c>
      <c r="H457" t="s">
        <v>81</v>
      </c>
      <c r="I457" t="s">
        <v>9</v>
      </c>
      <c r="L457" t="s">
        <v>161</v>
      </c>
      <c r="M457">
        <v>-27100000</v>
      </c>
    </row>
    <row r="458" spans="1:13" x14ac:dyDescent="0.3">
      <c r="A458" s="23">
        <v>45743</v>
      </c>
      <c r="B458" t="s">
        <v>13</v>
      </c>
      <c r="C458" t="s">
        <v>132</v>
      </c>
      <c r="D458" t="s">
        <v>17</v>
      </c>
      <c r="E458" t="s">
        <v>41</v>
      </c>
      <c r="F458">
        <v>27000000</v>
      </c>
      <c r="G458" t="s">
        <v>26</v>
      </c>
      <c r="H458" t="s">
        <v>81</v>
      </c>
      <c r="I458" t="s">
        <v>9</v>
      </c>
      <c r="L458" t="s">
        <v>161</v>
      </c>
      <c r="M458">
        <v>-27000000</v>
      </c>
    </row>
    <row r="459" spans="1:13" x14ac:dyDescent="0.3">
      <c r="A459" s="23">
        <v>45579</v>
      </c>
      <c r="B459" t="s">
        <v>13</v>
      </c>
      <c r="C459" t="s">
        <v>132</v>
      </c>
      <c r="D459" t="s">
        <v>17</v>
      </c>
      <c r="E459" t="s">
        <v>41</v>
      </c>
      <c r="F459">
        <v>26900000</v>
      </c>
      <c r="G459" t="s">
        <v>26</v>
      </c>
      <c r="H459" t="s">
        <v>81</v>
      </c>
      <c r="I459" t="s">
        <v>9</v>
      </c>
      <c r="L459" t="s">
        <v>161</v>
      </c>
      <c r="M459">
        <v>-26900000</v>
      </c>
    </row>
    <row r="460" spans="1:13" x14ac:dyDescent="0.3">
      <c r="A460" s="23">
        <v>45425</v>
      </c>
      <c r="B460" t="s">
        <v>13</v>
      </c>
      <c r="C460" t="s">
        <v>132</v>
      </c>
      <c r="D460" t="s">
        <v>17</v>
      </c>
      <c r="E460" t="s">
        <v>169</v>
      </c>
      <c r="F460">
        <v>26861000</v>
      </c>
      <c r="G460" t="s">
        <v>131</v>
      </c>
      <c r="H460" t="s">
        <v>81</v>
      </c>
      <c r="I460" t="s">
        <v>9</v>
      </c>
      <c r="L460" t="s">
        <v>161</v>
      </c>
      <c r="M460">
        <v>-26861000</v>
      </c>
    </row>
    <row r="461" spans="1:13" x14ac:dyDescent="0.3">
      <c r="A461" s="23">
        <v>44739</v>
      </c>
      <c r="B461" t="s">
        <v>13</v>
      </c>
      <c r="C461" t="s">
        <v>143</v>
      </c>
      <c r="D461" t="s">
        <v>17</v>
      </c>
      <c r="E461" t="s">
        <v>149</v>
      </c>
      <c r="F461">
        <v>26381556.359999999</v>
      </c>
      <c r="G461" t="s">
        <v>140</v>
      </c>
      <c r="H461" t="s">
        <v>81</v>
      </c>
      <c r="I461" t="s">
        <v>9</v>
      </c>
      <c r="J461" s="23">
        <v>44739</v>
      </c>
      <c r="K461" t="s">
        <v>152</v>
      </c>
      <c r="L461" t="s">
        <v>218</v>
      </c>
      <c r="M461">
        <v>-26381556.359999999</v>
      </c>
    </row>
    <row r="462" spans="1:13" x14ac:dyDescent="0.3">
      <c r="A462" s="23">
        <v>45299</v>
      </c>
      <c r="B462" t="s">
        <v>13</v>
      </c>
      <c r="C462" t="s">
        <v>132</v>
      </c>
      <c r="D462" t="s">
        <v>17</v>
      </c>
      <c r="E462" t="s">
        <v>46</v>
      </c>
      <c r="F462">
        <v>26000000</v>
      </c>
      <c r="G462" t="s">
        <v>28</v>
      </c>
      <c r="H462" t="s">
        <v>81</v>
      </c>
      <c r="I462" t="s">
        <v>9</v>
      </c>
      <c r="L462" t="s">
        <v>161</v>
      </c>
      <c r="M462">
        <v>-26000000</v>
      </c>
    </row>
    <row r="463" spans="1:13" x14ac:dyDescent="0.3">
      <c r="A463" s="23">
        <v>45638</v>
      </c>
      <c r="B463" t="s">
        <v>13</v>
      </c>
      <c r="C463" t="s">
        <v>132</v>
      </c>
      <c r="D463" t="s">
        <v>17</v>
      </c>
      <c r="E463" t="s">
        <v>136</v>
      </c>
      <c r="F463">
        <v>25684511.309999999</v>
      </c>
      <c r="G463" t="s">
        <v>134</v>
      </c>
      <c r="H463" t="s">
        <v>81</v>
      </c>
      <c r="I463" t="s">
        <v>9</v>
      </c>
      <c r="L463" t="s">
        <v>161</v>
      </c>
      <c r="M463">
        <v>-25684511.309999999</v>
      </c>
    </row>
    <row r="464" spans="1:13" x14ac:dyDescent="0.3">
      <c r="A464" s="23">
        <v>45548</v>
      </c>
      <c r="B464" t="s">
        <v>13</v>
      </c>
      <c r="C464" t="s">
        <v>132</v>
      </c>
      <c r="D464" t="s">
        <v>17</v>
      </c>
      <c r="E464" t="s">
        <v>41</v>
      </c>
      <c r="F464">
        <v>25600000</v>
      </c>
      <c r="G464" t="s">
        <v>26</v>
      </c>
      <c r="H464" t="s">
        <v>81</v>
      </c>
      <c r="I464" t="s">
        <v>9</v>
      </c>
      <c r="L464" t="s">
        <v>161</v>
      </c>
      <c r="M464">
        <v>-25600000</v>
      </c>
    </row>
    <row r="465" spans="1:13" x14ac:dyDescent="0.3">
      <c r="A465" s="23">
        <v>45355</v>
      </c>
      <c r="B465" t="s">
        <v>13</v>
      </c>
      <c r="C465" t="s">
        <v>132</v>
      </c>
      <c r="D465" t="s">
        <v>17</v>
      </c>
      <c r="E465" t="s">
        <v>41</v>
      </c>
      <c r="F465">
        <v>25300000</v>
      </c>
      <c r="G465" t="s">
        <v>26</v>
      </c>
      <c r="H465" t="s">
        <v>81</v>
      </c>
      <c r="I465" t="s">
        <v>9</v>
      </c>
      <c r="L465" t="s">
        <v>161</v>
      </c>
      <c r="M465">
        <v>-25300000</v>
      </c>
    </row>
    <row r="466" spans="1:13" x14ac:dyDescent="0.3">
      <c r="A466" s="23">
        <v>45441</v>
      </c>
      <c r="B466" t="s">
        <v>13</v>
      </c>
      <c r="C466" t="s">
        <v>132</v>
      </c>
      <c r="D466" t="s">
        <v>17</v>
      </c>
      <c r="E466" t="s">
        <v>136</v>
      </c>
      <c r="F466">
        <v>25200000</v>
      </c>
      <c r="G466" t="s">
        <v>134</v>
      </c>
      <c r="H466" t="s">
        <v>81</v>
      </c>
      <c r="I466" t="s">
        <v>9</v>
      </c>
      <c r="L466" t="s">
        <v>161</v>
      </c>
      <c r="M466">
        <v>-25200000</v>
      </c>
    </row>
    <row r="467" spans="1:13" x14ac:dyDescent="0.3">
      <c r="A467" s="23">
        <v>45660</v>
      </c>
      <c r="B467" t="s">
        <v>13</v>
      </c>
      <c r="C467" t="s">
        <v>132</v>
      </c>
      <c r="D467" t="s">
        <v>17</v>
      </c>
      <c r="E467" t="s">
        <v>41</v>
      </c>
      <c r="F467">
        <v>25135916</v>
      </c>
      <c r="G467" t="s">
        <v>26</v>
      </c>
      <c r="H467" t="s">
        <v>81</v>
      </c>
      <c r="I467" t="s">
        <v>9</v>
      </c>
      <c r="L467" t="s">
        <v>161</v>
      </c>
      <c r="M467">
        <v>-25135916</v>
      </c>
    </row>
    <row r="468" spans="1:13" x14ac:dyDescent="0.3">
      <c r="A468" s="23">
        <v>45723</v>
      </c>
      <c r="B468" t="s">
        <v>13</v>
      </c>
      <c r="C468" t="s">
        <v>132</v>
      </c>
      <c r="D468" t="s">
        <v>17</v>
      </c>
      <c r="E468" t="s">
        <v>46</v>
      </c>
      <c r="F468">
        <v>25107597.18</v>
      </c>
      <c r="G468" t="s">
        <v>28</v>
      </c>
      <c r="H468" t="s">
        <v>81</v>
      </c>
      <c r="I468" t="s">
        <v>9</v>
      </c>
      <c r="L468" t="s">
        <v>161</v>
      </c>
      <c r="M468">
        <v>-25107597.18</v>
      </c>
    </row>
    <row r="469" spans="1:13" x14ac:dyDescent="0.3">
      <c r="A469" s="23">
        <v>45644</v>
      </c>
      <c r="B469" t="s">
        <v>13</v>
      </c>
      <c r="C469" t="s">
        <v>132</v>
      </c>
      <c r="D469" t="s">
        <v>17</v>
      </c>
      <c r="E469" t="s">
        <v>41</v>
      </c>
      <c r="F469">
        <v>25100000</v>
      </c>
      <c r="G469" t="s">
        <v>26</v>
      </c>
      <c r="H469" t="s">
        <v>81</v>
      </c>
      <c r="I469" t="s">
        <v>9</v>
      </c>
      <c r="L469" t="s">
        <v>161</v>
      </c>
      <c r="M469">
        <v>-25100000</v>
      </c>
    </row>
    <row r="470" spans="1:13" x14ac:dyDescent="0.3">
      <c r="A470" s="23">
        <v>45205</v>
      </c>
      <c r="B470" t="s">
        <v>13</v>
      </c>
      <c r="C470" t="s">
        <v>132</v>
      </c>
      <c r="D470" t="s">
        <v>17</v>
      </c>
      <c r="E470" t="s">
        <v>41</v>
      </c>
      <c r="F470">
        <v>25000000</v>
      </c>
      <c r="G470" t="s">
        <v>26</v>
      </c>
      <c r="H470" t="s">
        <v>81</v>
      </c>
      <c r="I470" t="s">
        <v>9</v>
      </c>
      <c r="L470" t="s">
        <v>161</v>
      </c>
      <c r="M470">
        <v>-25000000</v>
      </c>
    </row>
    <row r="471" spans="1:13" x14ac:dyDescent="0.3">
      <c r="A471" s="23">
        <v>45546</v>
      </c>
      <c r="B471" t="s">
        <v>13</v>
      </c>
      <c r="C471" t="s">
        <v>132</v>
      </c>
      <c r="D471" t="s">
        <v>17</v>
      </c>
      <c r="E471" t="s">
        <v>48</v>
      </c>
      <c r="F471">
        <v>25000000</v>
      </c>
      <c r="G471" t="s">
        <v>29</v>
      </c>
      <c r="H471" t="s">
        <v>81</v>
      </c>
      <c r="I471" t="s">
        <v>9</v>
      </c>
      <c r="L471" t="s">
        <v>161</v>
      </c>
      <c r="M471">
        <v>-25000000</v>
      </c>
    </row>
    <row r="472" spans="1:13" x14ac:dyDescent="0.3">
      <c r="A472" s="23">
        <v>45026</v>
      </c>
      <c r="B472" t="s">
        <v>13</v>
      </c>
      <c r="C472" t="s">
        <v>132</v>
      </c>
      <c r="D472" t="s">
        <v>17</v>
      </c>
      <c r="E472" t="s">
        <v>41</v>
      </c>
      <c r="F472">
        <v>24900000</v>
      </c>
      <c r="G472" t="s">
        <v>26</v>
      </c>
      <c r="H472" t="s">
        <v>81</v>
      </c>
      <c r="I472" t="s">
        <v>9</v>
      </c>
      <c r="L472" t="s">
        <v>161</v>
      </c>
      <c r="M472">
        <v>-24900000</v>
      </c>
    </row>
    <row r="473" spans="1:13" x14ac:dyDescent="0.3">
      <c r="A473" s="23">
        <v>45370</v>
      </c>
      <c r="B473" t="s">
        <v>13</v>
      </c>
      <c r="C473" t="s">
        <v>132</v>
      </c>
      <c r="D473" t="s">
        <v>17</v>
      </c>
      <c r="E473" t="s">
        <v>46</v>
      </c>
      <c r="F473">
        <v>24800000</v>
      </c>
      <c r="G473" t="s">
        <v>28</v>
      </c>
      <c r="H473" t="s">
        <v>81</v>
      </c>
      <c r="I473" t="s">
        <v>9</v>
      </c>
      <c r="L473" t="s">
        <v>161</v>
      </c>
      <c r="M473">
        <v>-24800000</v>
      </c>
    </row>
    <row r="474" spans="1:13" x14ac:dyDescent="0.3">
      <c r="A474" s="23">
        <v>45323</v>
      </c>
      <c r="B474" t="s">
        <v>13</v>
      </c>
      <c r="C474" t="s">
        <v>132</v>
      </c>
      <c r="D474" t="s">
        <v>17</v>
      </c>
      <c r="E474" t="s">
        <v>41</v>
      </c>
      <c r="F474">
        <v>24700000</v>
      </c>
      <c r="G474" t="s">
        <v>26</v>
      </c>
      <c r="H474" t="s">
        <v>81</v>
      </c>
      <c r="I474" t="s">
        <v>9</v>
      </c>
      <c r="L474" t="s">
        <v>161</v>
      </c>
      <c r="M474">
        <v>-24700000</v>
      </c>
    </row>
    <row r="475" spans="1:13" x14ac:dyDescent="0.3">
      <c r="A475" s="23">
        <v>45363</v>
      </c>
      <c r="B475" t="s">
        <v>13</v>
      </c>
      <c r="C475" t="s">
        <v>132</v>
      </c>
      <c r="D475" t="s">
        <v>17</v>
      </c>
      <c r="E475" t="s">
        <v>48</v>
      </c>
      <c r="F475">
        <v>24600000</v>
      </c>
      <c r="G475" t="s">
        <v>29</v>
      </c>
      <c r="H475" t="s">
        <v>81</v>
      </c>
      <c r="I475" t="s">
        <v>9</v>
      </c>
      <c r="L475" t="s">
        <v>161</v>
      </c>
      <c r="M475">
        <v>-24600000</v>
      </c>
    </row>
    <row r="476" spans="1:13" x14ac:dyDescent="0.3">
      <c r="A476" s="23">
        <v>45149</v>
      </c>
      <c r="B476" t="s">
        <v>13</v>
      </c>
      <c r="C476" t="s">
        <v>132</v>
      </c>
      <c r="D476" t="s">
        <v>17</v>
      </c>
      <c r="E476" t="s">
        <v>41</v>
      </c>
      <c r="F476">
        <v>24500000</v>
      </c>
      <c r="G476" t="s">
        <v>26</v>
      </c>
      <c r="H476" t="s">
        <v>81</v>
      </c>
      <c r="I476" t="s">
        <v>9</v>
      </c>
      <c r="L476" t="s">
        <v>161</v>
      </c>
      <c r="M476">
        <v>-24500000</v>
      </c>
    </row>
    <row r="477" spans="1:13" x14ac:dyDescent="0.3">
      <c r="A477" s="23">
        <v>45670</v>
      </c>
      <c r="B477" t="s">
        <v>13</v>
      </c>
      <c r="C477" t="s">
        <v>132</v>
      </c>
      <c r="D477" t="s">
        <v>17</v>
      </c>
      <c r="E477" t="s">
        <v>136</v>
      </c>
      <c r="F477">
        <v>24400000</v>
      </c>
      <c r="G477" t="s">
        <v>134</v>
      </c>
      <c r="H477" t="s">
        <v>81</v>
      </c>
      <c r="I477" t="s">
        <v>9</v>
      </c>
      <c r="L477" t="s">
        <v>161</v>
      </c>
      <c r="M477">
        <v>-24400000</v>
      </c>
    </row>
    <row r="478" spans="1:13" x14ac:dyDescent="0.3">
      <c r="A478" s="23">
        <v>45694</v>
      </c>
      <c r="B478" t="s">
        <v>13</v>
      </c>
      <c r="C478" t="s">
        <v>132</v>
      </c>
      <c r="D478" t="s">
        <v>17</v>
      </c>
      <c r="E478" t="s">
        <v>40</v>
      </c>
      <c r="F478">
        <v>24400000</v>
      </c>
      <c r="G478" t="s">
        <v>25</v>
      </c>
      <c r="H478" t="s">
        <v>81</v>
      </c>
      <c r="I478" t="s">
        <v>9</v>
      </c>
      <c r="L478" t="s">
        <v>161</v>
      </c>
      <c r="M478">
        <v>-24400000</v>
      </c>
    </row>
    <row r="479" spans="1:13" x14ac:dyDescent="0.3">
      <c r="A479" s="23">
        <v>45545</v>
      </c>
      <c r="B479" t="s">
        <v>13</v>
      </c>
      <c r="C479" t="s">
        <v>132</v>
      </c>
      <c r="D479" t="s">
        <v>17</v>
      </c>
      <c r="E479" t="s">
        <v>41</v>
      </c>
      <c r="F479">
        <v>24300000</v>
      </c>
      <c r="G479" t="s">
        <v>26</v>
      </c>
      <c r="H479" t="s">
        <v>81</v>
      </c>
      <c r="I479" t="s">
        <v>9</v>
      </c>
      <c r="L479" t="s">
        <v>161</v>
      </c>
      <c r="M479">
        <v>-24300000</v>
      </c>
    </row>
    <row r="480" spans="1:13" x14ac:dyDescent="0.3">
      <c r="A480" s="23">
        <v>45714</v>
      </c>
      <c r="B480" t="s">
        <v>13</v>
      </c>
      <c r="C480" t="s">
        <v>132</v>
      </c>
      <c r="D480" t="s">
        <v>17</v>
      </c>
      <c r="E480" t="s">
        <v>204</v>
      </c>
      <c r="F480">
        <v>24201232.050000001</v>
      </c>
      <c r="G480" t="s">
        <v>205</v>
      </c>
      <c r="H480" t="s">
        <v>81</v>
      </c>
      <c r="I480" t="s">
        <v>9</v>
      </c>
      <c r="L480" t="s">
        <v>161</v>
      </c>
      <c r="M480">
        <v>-24201232.050000001</v>
      </c>
    </row>
    <row r="481" spans="1:13" x14ac:dyDescent="0.3">
      <c r="A481" s="23">
        <v>45139</v>
      </c>
      <c r="B481" t="s">
        <v>13</v>
      </c>
      <c r="C481" t="s">
        <v>132</v>
      </c>
      <c r="D481" t="s">
        <v>17</v>
      </c>
      <c r="E481" t="s">
        <v>41</v>
      </c>
      <c r="F481">
        <v>23900000</v>
      </c>
      <c r="G481" t="s">
        <v>26</v>
      </c>
      <c r="H481" t="s">
        <v>81</v>
      </c>
      <c r="I481" t="s">
        <v>9</v>
      </c>
      <c r="L481" t="s">
        <v>161</v>
      </c>
      <c r="M481">
        <v>-23900000</v>
      </c>
    </row>
    <row r="482" spans="1:13" x14ac:dyDescent="0.3">
      <c r="A482" s="23">
        <v>45176</v>
      </c>
      <c r="B482" t="s">
        <v>13</v>
      </c>
      <c r="C482" t="s">
        <v>143</v>
      </c>
      <c r="D482" t="s">
        <v>17</v>
      </c>
      <c r="E482" t="s">
        <v>149</v>
      </c>
      <c r="F482">
        <v>23718691.170000002</v>
      </c>
      <c r="G482" t="s">
        <v>140</v>
      </c>
      <c r="H482" t="s">
        <v>81</v>
      </c>
      <c r="I482" t="s">
        <v>9</v>
      </c>
      <c r="M482">
        <v>-23718691.170000002</v>
      </c>
    </row>
    <row r="483" spans="1:13" x14ac:dyDescent="0.3">
      <c r="A483" s="23">
        <v>45588</v>
      </c>
      <c r="B483" t="s">
        <v>13</v>
      </c>
      <c r="C483" t="s">
        <v>132</v>
      </c>
      <c r="D483" t="s">
        <v>17</v>
      </c>
      <c r="E483" t="s">
        <v>41</v>
      </c>
      <c r="F483">
        <v>23600000</v>
      </c>
      <c r="G483" t="s">
        <v>26</v>
      </c>
      <c r="H483" t="s">
        <v>81</v>
      </c>
      <c r="I483" t="s">
        <v>9</v>
      </c>
      <c r="L483" t="s">
        <v>161</v>
      </c>
      <c r="M483">
        <v>-23600000</v>
      </c>
    </row>
    <row r="484" spans="1:13" x14ac:dyDescent="0.3">
      <c r="A484" s="23">
        <v>44945</v>
      </c>
      <c r="B484" t="s">
        <v>13</v>
      </c>
      <c r="C484" t="s">
        <v>132</v>
      </c>
      <c r="D484" t="s">
        <v>17</v>
      </c>
      <c r="E484" t="s">
        <v>46</v>
      </c>
      <c r="F484">
        <v>23500000</v>
      </c>
      <c r="G484" t="s">
        <v>28</v>
      </c>
      <c r="H484" t="s">
        <v>81</v>
      </c>
      <c r="I484" t="s">
        <v>9</v>
      </c>
      <c r="L484" t="s">
        <v>161</v>
      </c>
      <c r="M484">
        <v>-23500000</v>
      </c>
    </row>
    <row r="485" spans="1:13" x14ac:dyDescent="0.3">
      <c r="A485" s="23">
        <v>44795</v>
      </c>
      <c r="B485" t="s">
        <v>13</v>
      </c>
      <c r="C485" t="s">
        <v>143</v>
      </c>
      <c r="D485" t="s">
        <v>17</v>
      </c>
      <c r="E485" t="s">
        <v>149</v>
      </c>
      <c r="F485">
        <v>23309410.609999999</v>
      </c>
      <c r="G485" t="s">
        <v>140</v>
      </c>
      <c r="H485" t="s">
        <v>81</v>
      </c>
      <c r="I485" t="s">
        <v>9</v>
      </c>
      <c r="J485" s="23">
        <v>44795</v>
      </c>
      <c r="L485" t="s">
        <v>228</v>
      </c>
      <c r="M485">
        <v>-23309410.609999999</v>
      </c>
    </row>
    <row r="486" spans="1:13" x14ac:dyDescent="0.3">
      <c r="A486" s="23">
        <v>45371</v>
      </c>
      <c r="B486" t="s">
        <v>13</v>
      </c>
      <c r="C486" t="s">
        <v>132</v>
      </c>
      <c r="D486" t="s">
        <v>17</v>
      </c>
      <c r="E486" t="s">
        <v>41</v>
      </c>
      <c r="F486">
        <v>23300000</v>
      </c>
      <c r="G486" t="s">
        <v>26</v>
      </c>
      <c r="H486" t="s">
        <v>81</v>
      </c>
      <c r="I486" t="s">
        <v>9</v>
      </c>
      <c r="L486" t="s">
        <v>161</v>
      </c>
      <c r="M486">
        <v>-23300000</v>
      </c>
    </row>
    <row r="487" spans="1:13" x14ac:dyDescent="0.3">
      <c r="A487" s="23">
        <v>45064</v>
      </c>
      <c r="B487" t="s">
        <v>13</v>
      </c>
      <c r="C487" t="s">
        <v>132</v>
      </c>
      <c r="D487" t="s">
        <v>17</v>
      </c>
      <c r="E487" t="s">
        <v>41</v>
      </c>
      <c r="F487">
        <v>23200000</v>
      </c>
      <c r="G487" t="s">
        <v>26</v>
      </c>
      <c r="H487" t="s">
        <v>81</v>
      </c>
      <c r="I487" t="s">
        <v>9</v>
      </c>
      <c r="L487" t="s">
        <v>161</v>
      </c>
      <c r="M487">
        <v>-23200000</v>
      </c>
    </row>
    <row r="488" spans="1:13" x14ac:dyDescent="0.3">
      <c r="A488" s="23">
        <v>45376</v>
      </c>
      <c r="B488" t="s">
        <v>13</v>
      </c>
      <c r="C488" t="s">
        <v>132</v>
      </c>
      <c r="D488" t="s">
        <v>17</v>
      </c>
      <c r="E488" t="s">
        <v>41</v>
      </c>
      <c r="F488">
        <v>23100000</v>
      </c>
      <c r="G488" t="s">
        <v>26</v>
      </c>
      <c r="H488" t="s">
        <v>81</v>
      </c>
      <c r="I488" t="s">
        <v>9</v>
      </c>
      <c r="L488" t="s">
        <v>161</v>
      </c>
      <c r="M488">
        <v>-23100000</v>
      </c>
    </row>
    <row r="489" spans="1:13" x14ac:dyDescent="0.3">
      <c r="A489" s="23">
        <v>44944</v>
      </c>
      <c r="B489" t="s">
        <v>13</v>
      </c>
      <c r="C489" t="s">
        <v>132</v>
      </c>
      <c r="D489" t="s">
        <v>17</v>
      </c>
      <c r="E489" t="s">
        <v>46</v>
      </c>
      <c r="F489">
        <v>23100000</v>
      </c>
      <c r="G489" t="s">
        <v>28</v>
      </c>
      <c r="H489" t="s">
        <v>81</v>
      </c>
      <c r="I489" t="s">
        <v>9</v>
      </c>
      <c r="L489" t="s">
        <v>161</v>
      </c>
      <c r="M489">
        <v>-23100000</v>
      </c>
    </row>
    <row r="490" spans="1:13" x14ac:dyDescent="0.3">
      <c r="A490" s="23">
        <v>45166</v>
      </c>
      <c r="B490" t="s">
        <v>13</v>
      </c>
      <c r="C490" t="s">
        <v>132</v>
      </c>
      <c r="D490" t="s">
        <v>17</v>
      </c>
      <c r="E490" t="s">
        <v>48</v>
      </c>
      <c r="F490">
        <v>23082171.32</v>
      </c>
      <c r="G490" t="s">
        <v>29</v>
      </c>
      <c r="H490" t="s">
        <v>81</v>
      </c>
      <c r="I490" t="s">
        <v>9</v>
      </c>
      <c r="L490" t="s">
        <v>161</v>
      </c>
      <c r="M490">
        <v>-23082171.32</v>
      </c>
    </row>
    <row r="491" spans="1:13" x14ac:dyDescent="0.3">
      <c r="A491" s="23">
        <v>44893</v>
      </c>
      <c r="B491" t="s">
        <v>13</v>
      </c>
      <c r="C491" t="s">
        <v>132</v>
      </c>
      <c r="D491" t="s">
        <v>17</v>
      </c>
      <c r="E491" t="s">
        <v>48</v>
      </c>
      <c r="F491">
        <v>23000000</v>
      </c>
      <c r="G491" t="s">
        <v>29</v>
      </c>
      <c r="H491" t="s">
        <v>81</v>
      </c>
      <c r="I491" t="s">
        <v>9</v>
      </c>
      <c r="L491" t="s">
        <v>161</v>
      </c>
      <c r="M491">
        <v>-23000000</v>
      </c>
    </row>
    <row r="492" spans="1:13" x14ac:dyDescent="0.3">
      <c r="A492" s="23">
        <v>45565</v>
      </c>
      <c r="B492" t="s">
        <v>13</v>
      </c>
      <c r="C492" t="s">
        <v>132</v>
      </c>
      <c r="D492" t="s">
        <v>17</v>
      </c>
      <c r="E492" t="s">
        <v>41</v>
      </c>
      <c r="F492">
        <v>22800000</v>
      </c>
      <c r="G492" t="s">
        <v>26</v>
      </c>
      <c r="H492" t="s">
        <v>81</v>
      </c>
      <c r="I492" t="s">
        <v>9</v>
      </c>
      <c r="L492" t="s">
        <v>161</v>
      </c>
      <c r="M492">
        <v>-22800000</v>
      </c>
    </row>
    <row r="493" spans="1:13" x14ac:dyDescent="0.3">
      <c r="A493" s="23">
        <v>45499</v>
      </c>
      <c r="B493" t="s">
        <v>13</v>
      </c>
      <c r="C493" t="s">
        <v>132</v>
      </c>
      <c r="D493" t="s">
        <v>17</v>
      </c>
      <c r="E493" t="s">
        <v>46</v>
      </c>
      <c r="F493">
        <v>22700000</v>
      </c>
      <c r="G493" t="s">
        <v>28</v>
      </c>
      <c r="H493" t="s">
        <v>81</v>
      </c>
      <c r="I493" t="s">
        <v>9</v>
      </c>
      <c r="L493" t="s">
        <v>161</v>
      </c>
      <c r="M493">
        <v>-22700000</v>
      </c>
    </row>
    <row r="494" spans="1:13" x14ac:dyDescent="0.3">
      <c r="A494" s="23">
        <v>45373</v>
      </c>
      <c r="B494" t="s">
        <v>13</v>
      </c>
      <c r="C494" t="s">
        <v>132</v>
      </c>
      <c r="D494" t="s">
        <v>17</v>
      </c>
      <c r="E494" t="s">
        <v>136</v>
      </c>
      <c r="F494">
        <v>22651959</v>
      </c>
      <c r="G494" t="s">
        <v>134</v>
      </c>
      <c r="H494" t="s">
        <v>81</v>
      </c>
      <c r="I494" t="s">
        <v>9</v>
      </c>
      <c r="L494" t="s">
        <v>161</v>
      </c>
      <c r="M494">
        <v>-22651959</v>
      </c>
    </row>
    <row r="495" spans="1:13" x14ac:dyDescent="0.3">
      <c r="A495" s="23">
        <v>45371</v>
      </c>
      <c r="B495" t="s">
        <v>13</v>
      </c>
      <c r="C495" t="s">
        <v>132</v>
      </c>
      <c r="D495" t="s">
        <v>17</v>
      </c>
      <c r="E495" t="s">
        <v>46</v>
      </c>
      <c r="F495">
        <v>22500000</v>
      </c>
      <c r="G495" t="s">
        <v>28</v>
      </c>
      <c r="H495" t="s">
        <v>81</v>
      </c>
      <c r="I495" t="s">
        <v>9</v>
      </c>
      <c r="L495" t="s">
        <v>161</v>
      </c>
      <c r="M495">
        <v>-22500000</v>
      </c>
    </row>
    <row r="496" spans="1:13" x14ac:dyDescent="0.3">
      <c r="A496" s="23">
        <v>44960</v>
      </c>
      <c r="B496" t="s">
        <v>13</v>
      </c>
      <c r="C496" t="s">
        <v>132</v>
      </c>
      <c r="D496" t="s">
        <v>17</v>
      </c>
      <c r="E496" t="s">
        <v>48</v>
      </c>
      <c r="F496">
        <v>22500000</v>
      </c>
      <c r="G496" t="s">
        <v>29</v>
      </c>
      <c r="H496" t="s">
        <v>81</v>
      </c>
      <c r="I496" t="s">
        <v>9</v>
      </c>
      <c r="L496" t="s">
        <v>161</v>
      </c>
      <c r="M496">
        <v>-22500000</v>
      </c>
    </row>
    <row r="497" spans="1:13" x14ac:dyDescent="0.3">
      <c r="A497" s="23">
        <v>44802</v>
      </c>
      <c r="B497" t="s">
        <v>13</v>
      </c>
      <c r="C497" t="s">
        <v>143</v>
      </c>
      <c r="D497" t="s">
        <v>17</v>
      </c>
      <c r="E497" t="s">
        <v>149</v>
      </c>
      <c r="F497">
        <v>22454670.75</v>
      </c>
      <c r="G497" t="s">
        <v>140</v>
      </c>
      <c r="H497" t="s">
        <v>81</v>
      </c>
      <c r="I497" t="s">
        <v>9</v>
      </c>
      <c r="J497" t="s">
        <v>160</v>
      </c>
      <c r="L497" t="s">
        <v>230</v>
      </c>
      <c r="M497">
        <v>-22454670.75</v>
      </c>
    </row>
    <row r="498" spans="1:13" x14ac:dyDescent="0.3">
      <c r="A498" s="23">
        <v>45156</v>
      </c>
      <c r="B498" t="s">
        <v>13</v>
      </c>
      <c r="C498" t="s">
        <v>132</v>
      </c>
      <c r="D498" t="s">
        <v>17</v>
      </c>
      <c r="E498" t="s">
        <v>48</v>
      </c>
      <c r="F498">
        <v>22000000</v>
      </c>
      <c r="G498" t="s">
        <v>29</v>
      </c>
      <c r="H498" t="s">
        <v>81</v>
      </c>
      <c r="I498" t="s">
        <v>9</v>
      </c>
      <c r="L498" t="s">
        <v>161</v>
      </c>
      <c r="M498">
        <v>-22000000</v>
      </c>
    </row>
    <row r="499" spans="1:13" x14ac:dyDescent="0.3">
      <c r="A499" s="23">
        <v>45133</v>
      </c>
      <c r="B499" t="s">
        <v>13</v>
      </c>
      <c r="C499" t="s">
        <v>143</v>
      </c>
      <c r="D499" t="s">
        <v>17</v>
      </c>
      <c r="E499" t="s">
        <v>149</v>
      </c>
      <c r="F499">
        <v>21987645.5</v>
      </c>
      <c r="G499" t="s">
        <v>140</v>
      </c>
      <c r="H499" t="s">
        <v>81</v>
      </c>
      <c r="I499" t="s">
        <v>9</v>
      </c>
      <c r="M499">
        <v>-21987645.5</v>
      </c>
    </row>
    <row r="500" spans="1:13" x14ac:dyDescent="0.3">
      <c r="A500" s="23">
        <v>45475</v>
      </c>
      <c r="B500" t="s">
        <v>13</v>
      </c>
      <c r="C500" t="s">
        <v>132</v>
      </c>
      <c r="D500" t="s">
        <v>17</v>
      </c>
      <c r="E500" t="s">
        <v>41</v>
      </c>
      <c r="F500">
        <v>21800000</v>
      </c>
      <c r="G500" t="s">
        <v>26</v>
      </c>
      <c r="H500" t="s">
        <v>81</v>
      </c>
      <c r="I500" t="s">
        <v>9</v>
      </c>
      <c r="L500" t="s">
        <v>161</v>
      </c>
      <c r="M500">
        <v>-21800000</v>
      </c>
    </row>
    <row r="501" spans="1:13" x14ac:dyDescent="0.3">
      <c r="A501" s="23">
        <v>45194</v>
      </c>
      <c r="B501" t="s">
        <v>13</v>
      </c>
      <c r="C501" t="s">
        <v>132</v>
      </c>
      <c r="D501" t="s">
        <v>17</v>
      </c>
      <c r="E501" t="s">
        <v>41</v>
      </c>
      <c r="F501">
        <v>21700000</v>
      </c>
      <c r="G501" t="s">
        <v>26</v>
      </c>
      <c r="H501" t="s">
        <v>81</v>
      </c>
      <c r="I501" t="s">
        <v>9</v>
      </c>
      <c r="L501" t="s">
        <v>161</v>
      </c>
      <c r="M501">
        <v>-21700000</v>
      </c>
    </row>
    <row r="502" spans="1:13" x14ac:dyDescent="0.3">
      <c r="A502" s="23">
        <v>45378</v>
      </c>
      <c r="B502" t="s">
        <v>13</v>
      </c>
      <c r="C502" t="s">
        <v>132</v>
      </c>
      <c r="D502" t="s">
        <v>17</v>
      </c>
      <c r="E502" t="s">
        <v>46</v>
      </c>
      <c r="F502">
        <v>21700000</v>
      </c>
      <c r="G502" t="s">
        <v>28</v>
      </c>
      <c r="H502" t="s">
        <v>81</v>
      </c>
      <c r="I502" t="s">
        <v>9</v>
      </c>
      <c r="L502" t="s">
        <v>161</v>
      </c>
      <c r="M502">
        <v>-21700000</v>
      </c>
    </row>
    <row r="503" spans="1:13" x14ac:dyDescent="0.3">
      <c r="A503" s="23">
        <v>44742</v>
      </c>
      <c r="B503" t="s">
        <v>13</v>
      </c>
      <c r="C503" t="s">
        <v>143</v>
      </c>
      <c r="D503" t="s">
        <v>17</v>
      </c>
      <c r="E503" t="s">
        <v>149</v>
      </c>
      <c r="F503">
        <v>21693150.93</v>
      </c>
      <c r="G503" t="s">
        <v>140</v>
      </c>
      <c r="H503" t="s">
        <v>81</v>
      </c>
      <c r="I503" t="s">
        <v>9</v>
      </c>
      <c r="J503" t="s">
        <v>153</v>
      </c>
      <c r="K503" t="s">
        <v>152</v>
      </c>
      <c r="L503" t="s">
        <v>220</v>
      </c>
      <c r="M503">
        <v>-21693150.93</v>
      </c>
    </row>
    <row r="504" spans="1:13" x14ac:dyDescent="0.3">
      <c r="A504" s="23">
        <v>45012</v>
      </c>
      <c r="B504" t="s">
        <v>13</v>
      </c>
      <c r="C504" t="s">
        <v>132</v>
      </c>
      <c r="D504" t="s">
        <v>17</v>
      </c>
      <c r="E504" t="s">
        <v>41</v>
      </c>
      <c r="F504">
        <v>21500000</v>
      </c>
      <c r="G504" t="s">
        <v>26</v>
      </c>
      <c r="H504" t="s">
        <v>81</v>
      </c>
      <c r="I504" t="s">
        <v>9</v>
      </c>
      <c r="L504" t="s">
        <v>161</v>
      </c>
      <c r="M504">
        <v>-21500000</v>
      </c>
    </row>
    <row r="505" spans="1:13" x14ac:dyDescent="0.3">
      <c r="A505" s="23">
        <v>45519</v>
      </c>
      <c r="B505" t="s">
        <v>13</v>
      </c>
      <c r="C505" t="s">
        <v>132</v>
      </c>
      <c r="D505" t="s">
        <v>17</v>
      </c>
      <c r="E505" t="s">
        <v>41</v>
      </c>
      <c r="F505">
        <v>21300000</v>
      </c>
      <c r="G505" t="s">
        <v>26</v>
      </c>
      <c r="H505" t="s">
        <v>81</v>
      </c>
      <c r="I505" t="s">
        <v>9</v>
      </c>
      <c r="L505" t="s">
        <v>161</v>
      </c>
      <c r="M505">
        <v>-21300000</v>
      </c>
    </row>
    <row r="506" spans="1:13" x14ac:dyDescent="0.3">
      <c r="A506" s="23">
        <v>44791</v>
      </c>
      <c r="B506" t="s">
        <v>13</v>
      </c>
      <c r="C506" t="s">
        <v>132</v>
      </c>
      <c r="D506" t="s">
        <v>17</v>
      </c>
      <c r="E506" t="s">
        <v>41</v>
      </c>
      <c r="F506">
        <v>21200000</v>
      </c>
      <c r="G506" t="s">
        <v>26</v>
      </c>
      <c r="H506" t="s">
        <v>81</v>
      </c>
      <c r="I506" t="s">
        <v>9</v>
      </c>
      <c r="L506" t="s">
        <v>161</v>
      </c>
      <c r="M506">
        <v>-21200000</v>
      </c>
    </row>
    <row r="507" spans="1:13" x14ac:dyDescent="0.3">
      <c r="A507" s="23">
        <v>45615</v>
      </c>
      <c r="B507" t="s">
        <v>13</v>
      </c>
      <c r="C507" t="s">
        <v>132</v>
      </c>
      <c r="D507" t="s">
        <v>17</v>
      </c>
      <c r="E507" t="s">
        <v>41</v>
      </c>
      <c r="F507">
        <v>21100000</v>
      </c>
      <c r="G507" t="s">
        <v>26</v>
      </c>
      <c r="H507" t="s">
        <v>81</v>
      </c>
      <c r="I507" t="s">
        <v>9</v>
      </c>
      <c r="L507" t="s">
        <v>161</v>
      </c>
      <c r="M507">
        <v>-21100000</v>
      </c>
    </row>
    <row r="508" spans="1:13" x14ac:dyDescent="0.3">
      <c r="A508" s="23">
        <v>45705</v>
      </c>
      <c r="B508" t="s">
        <v>13</v>
      </c>
      <c r="C508" t="s">
        <v>132</v>
      </c>
      <c r="D508" t="s">
        <v>17</v>
      </c>
      <c r="E508" t="s">
        <v>48</v>
      </c>
      <c r="F508">
        <v>21100000</v>
      </c>
      <c r="G508" t="s">
        <v>29</v>
      </c>
      <c r="H508" t="s">
        <v>81</v>
      </c>
      <c r="I508" t="s">
        <v>9</v>
      </c>
      <c r="L508" t="s">
        <v>161</v>
      </c>
      <c r="M508">
        <v>-21100000</v>
      </c>
    </row>
    <row r="509" spans="1:13" x14ac:dyDescent="0.3">
      <c r="A509" s="23">
        <v>44615</v>
      </c>
      <c r="B509" t="s">
        <v>13</v>
      </c>
      <c r="C509" t="s">
        <v>132</v>
      </c>
      <c r="D509" t="s">
        <v>17</v>
      </c>
      <c r="E509" t="s">
        <v>41</v>
      </c>
      <c r="F509">
        <v>21000000</v>
      </c>
      <c r="G509" t="s">
        <v>26</v>
      </c>
      <c r="H509" t="s">
        <v>81</v>
      </c>
      <c r="I509" t="s">
        <v>9</v>
      </c>
      <c r="L509" t="s">
        <v>161</v>
      </c>
      <c r="M509">
        <v>-21000000</v>
      </c>
    </row>
    <row r="510" spans="1:13" x14ac:dyDescent="0.3">
      <c r="A510" s="23">
        <v>45083</v>
      </c>
      <c r="B510" t="s">
        <v>13</v>
      </c>
      <c r="C510" t="s">
        <v>132</v>
      </c>
      <c r="D510" t="s">
        <v>17</v>
      </c>
      <c r="E510" t="s">
        <v>46</v>
      </c>
      <c r="F510">
        <v>21000000</v>
      </c>
      <c r="G510" t="s">
        <v>28</v>
      </c>
      <c r="H510" t="s">
        <v>81</v>
      </c>
      <c r="I510" t="s">
        <v>9</v>
      </c>
      <c r="L510" t="s">
        <v>161</v>
      </c>
      <c r="M510">
        <v>-21000000</v>
      </c>
    </row>
    <row r="511" spans="1:13" x14ac:dyDescent="0.3">
      <c r="A511" s="23">
        <v>44792</v>
      </c>
      <c r="B511" t="s">
        <v>13</v>
      </c>
      <c r="C511" t="s">
        <v>143</v>
      </c>
      <c r="D511" t="s">
        <v>17</v>
      </c>
      <c r="E511" t="s">
        <v>149</v>
      </c>
      <c r="F511">
        <v>20641127.09</v>
      </c>
      <c r="G511" t="s">
        <v>140</v>
      </c>
      <c r="H511" t="s">
        <v>81</v>
      </c>
      <c r="I511" t="s">
        <v>9</v>
      </c>
      <c r="J511" s="23">
        <v>44792</v>
      </c>
      <c r="L511" t="s">
        <v>227</v>
      </c>
      <c r="M511">
        <v>-20641127.09</v>
      </c>
    </row>
    <row r="512" spans="1:13" x14ac:dyDescent="0.3">
      <c r="A512" s="23">
        <v>45418</v>
      </c>
      <c r="B512" t="s">
        <v>13</v>
      </c>
      <c r="C512" t="s">
        <v>132</v>
      </c>
      <c r="D512" t="s">
        <v>17</v>
      </c>
      <c r="E512" t="s">
        <v>169</v>
      </c>
      <c r="F512">
        <v>20400000</v>
      </c>
      <c r="G512" t="s">
        <v>131</v>
      </c>
      <c r="H512" t="s">
        <v>81</v>
      </c>
      <c r="I512" t="s">
        <v>9</v>
      </c>
      <c r="L512" t="s">
        <v>161</v>
      </c>
      <c r="M512">
        <v>-20400000</v>
      </c>
    </row>
    <row r="513" spans="1:13" x14ac:dyDescent="0.3">
      <c r="A513" s="23">
        <v>44809</v>
      </c>
      <c r="B513" t="s">
        <v>13</v>
      </c>
      <c r="C513" t="s">
        <v>143</v>
      </c>
      <c r="D513" t="s">
        <v>17</v>
      </c>
      <c r="E513" t="s">
        <v>149</v>
      </c>
      <c r="F513">
        <v>20200000</v>
      </c>
      <c r="G513" t="s">
        <v>140</v>
      </c>
      <c r="H513" t="s">
        <v>81</v>
      </c>
      <c r="I513" t="s">
        <v>9</v>
      </c>
      <c r="J513" s="23">
        <v>44806</v>
      </c>
      <c r="L513" t="s">
        <v>232</v>
      </c>
      <c r="M513">
        <v>-20200000</v>
      </c>
    </row>
    <row r="514" spans="1:13" x14ac:dyDescent="0.3">
      <c r="A514" s="23">
        <v>45128</v>
      </c>
      <c r="B514" t="s">
        <v>13</v>
      </c>
      <c r="C514" t="s">
        <v>143</v>
      </c>
      <c r="D514" t="s">
        <v>17</v>
      </c>
      <c r="E514" t="s">
        <v>149</v>
      </c>
      <c r="F514">
        <v>20179009.789999999</v>
      </c>
      <c r="G514" t="s">
        <v>140</v>
      </c>
      <c r="H514" t="s">
        <v>81</v>
      </c>
      <c r="I514" t="s">
        <v>9</v>
      </c>
      <c r="M514">
        <v>-20179009.789999999</v>
      </c>
    </row>
    <row r="515" spans="1:13" x14ac:dyDescent="0.3">
      <c r="A515" s="23">
        <v>45678</v>
      </c>
      <c r="B515" t="s">
        <v>13</v>
      </c>
      <c r="C515" t="s">
        <v>132</v>
      </c>
      <c r="D515" t="s">
        <v>17</v>
      </c>
      <c r="E515" t="s">
        <v>193</v>
      </c>
      <c r="F515">
        <v>20134424.210000001</v>
      </c>
      <c r="G515" t="s">
        <v>131</v>
      </c>
      <c r="H515" t="s">
        <v>81</v>
      </c>
      <c r="I515" t="s">
        <v>9</v>
      </c>
      <c r="L515" t="s">
        <v>161</v>
      </c>
      <c r="M515">
        <v>-20134424.210000001</v>
      </c>
    </row>
    <row r="516" spans="1:13" x14ac:dyDescent="0.3">
      <c r="A516" s="23">
        <v>45254</v>
      </c>
      <c r="B516" t="s">
        <v>13</v>
      </c>
      <c r="C516" t="s">
        <v>143</v>
      </c>
      <c r="D516" t="s">
        <v>17</v>
      </c>
      <c r="E516" t="s">
        <v>149</v>
      </c>
      <c r="F516">
        <v>20130337.859999999</v>
      </c>
      <c r="G516" t="s">
        <v>140</v>
      </c>
      <c r="H516" t="s">
        <v>81</v>
      </c>
      <c r="I516" t="s">
        <v>9</v>
      </c>
      <c r="M516">
        <v>-20130337.859999999</v>
      </c>
    </row>
    <row r="517" spans="1:13" x14ac:dyDescent="0.3">
      <c r="A517" s="23">
        <v>45559</v>
      </c>
      <c r="B517" t="s">
        <v>13</v>
      </c>
      <c r="C517" t="s">
        <v>132</v>
      </c>
      <c r="D517" t="s">
        <v>17</v>
      </c>
      <c r="E517" t="s">
        <v>48</v>
      </c>
      <c r="F517">
        <v>20100000</v>
      </c>
      <c r="G517" t="s">
        <v>29</v>
      </c>
      <c r="H517" t="s">
        <v>81</v>
      </c>
      <c r="I517" t="s">
        <v>9</v>
      </c>
      <c r="L517" t="s">
        <v>161</v>
      </c>
      <c r="M517">
        <v>-20100000</v>
      </c>
    </row>
    <row r="518" spans="1:13" x14ac:dyDescent="0.3">
      <c r="A518" s="23">
        <v>44741</v>
      </c>
      <c r="B518" t="s">
        <v>13</v>
      </c>
      <c r="C518" t="s">
        <v>143</v>
      </c>
      <c r="D518" t="s">
        <v>17</v>
      </c>
      <c r="E518" t="s">
        <v>149</v>
      </c>
      <c r="F518">
        <v>20011928.870000001</v>
      </c>
      <c r="G518" t="s">
        <v>140</v>
      </c>
      <c r="H518" t="s">
        <v>81</v>
      </c>
      <c r="I518" t="s">
        <v>9</v>
      </c>
      <c r="J518" s="23">
        <v>44741</v>
      </c>
      <c r="K518" t="s">
        <v>152</v>
      </c>
      <c r="L518" t="s">
        <v>219</v>
      </c>
      <c r="M518">
        <v>-20011928.870000001</v>
      </c>
    </row>
    <row r="519" spans="1:13" x14ac:dyDescent="0.3">
      <c r="A519" s="23">
        <v>45376</v>
      </c>
      <c r="B519" t="s">
        <v>13</v>
      </c>
      <c r="C519" t="s">
        <v>132</v>
      </c>
      <c r="D519" t="s">
        <v>17</v>
      </c>
      <c r="E519" t="s">
        <v>46</v>
      </c>
      <c r="F519">
        <v>20000000</v>
      </c>
      <c r="G519" t="s">
        <v>28</v>
      </c>
      <c r="H519" t="s">
        <v>81</v>
      </c>
      <c r="I519" t="s">
        <v>9</v>
      </c>
      <c r="L519" t="s">
        <v>161</v>
      </c>
      <c r="M519">
        <v>-20000000</v>
      </c>
    </row>
    <row r="520" spans="1:13" x14ac:dyDescent="0.3">
      <c r="A520" s="23">
        <v>45363</v>
      </c>
      <c r="B520" t="s">
        <v>13</v>
      </c>
      <c r="C520" t="s">
        <v>132</v>
      </c>
      <c r="D520" t="s">
        <v>17</v>
      </c>
      <c r="E520" t="s">
        <v>46</v>
      </c>
      <c r="F520">
        <v>20000000</v>
      </c>
      <c r="G520" t="s">
        <v>28</v>
      </c>
      <c r="H520" t="s">
        <v>81</v>
      </c>
      <c r="I520" t="s">
        <v>9</v>
      </c>
      <c r="L520" t="s">
        <v>161</v>
      </c>
      <c r="M520">
        <v>-20000000</v>
      </c>
    </row>
    <row r="521" spans="1:13" x14ac:dyDescent="0.3">
      <c r="A521" s="23">
        <v>45754</v>
      </c>
      <c r="B521" t="s">
        <v>13</v>
      </c>
      <c r="C521" t="s">
        <v>132</v>
      </c>
      <c r="D521" t="s">
        <v>17</v>
      </c>
      <c r="E521" t="s">
        <v>48</v>
      </c>
      <c r="F521">
        <v>20000000</v>
      </c>
      <c r="G521" t="s">
        <v>29</v>
      </c>
      <c r="H521" t="s">
        <v>81</v>
      </c>
      <c r="I521" t="s">
        <v>9</v>
      </c>
      <c r="L521" t="s">
        <v>161</v>
      </c>
      <c r="M521">
        <v>-20000000</v>
      </c>
    </row>
    <row r="522" spans="1:13" x14ac:dyDescent="0.3">
      <c r="A522" s="23">
        <v>45671</v>
      </c>
      <c r="B522" t="s">
        <v>13</v>
      </c>
      <c r="C522" t="s">
        <v>132</v>
      </c>
      <c r="D522" t="s">
        <v>17</v>
      </c>
      <c r="E522" t="s">
        <v>193</v>
      </c>
      <c r="F522">
        <v>20000000</v>
      </c>
      <c r="G522" t="s">
        <v>131</v>
      </c>
      <c r="H522" t="s">
        <v>81</v>
      </c>
      <c r="I522" t="s">
        <v>9</v>
      </c>
      <c r="L522" t="s">
        <v>161</v>
      </c>
      <c r="M522">
        <v>-20000000</v>
      </c>
    </row>
    <row r="523" spans="1:13" x14ac:dyDescent="0.3">
      <c r="A523" s="23">
        <v>45664</v>
      </c>
      <c r="B523" t="s">
        <v>13</v>
      </c>
      <c r="C523" t="s">
        <v>132</v>
      </c>
      <c r="D523" t="s">
        <v>17</v>
      </c>
      <c r="E523" t="s">
        <v>193</v>
      </c>
      <c r="F523">
        <v>20000000</v>
      </c>
      <c r="G523" t="s">
        <v>131</v>
      </c>
      <c r="H523" t="s">
        <v>81</v>
      </c>
      <c r="I523" t="s">
        <v>9</v>
      </c>
      <c r="L523" t="s">
        <v>161</v>
      </c>
      <c r="M523">
        <v>-20000000</v>
      </c>
    </row>
    <row r="524" spans="1:13" x14ac:dyDescent="0.3">
      <c r="A524" s="23">
        <v>45209</v>
      </c>
      <c r="B524" t="s">
        <v>13</v>
      </c>
      <c r="C524" t="s">
        <v>132</v>
      </c>
      <c r="D524" t="s">
        <v>17</v>
      </c>
      <c r="E524" t="s">
        <v>41</v>
      </c>
      <c r="F524">
        <v>19873847.789999999</v>
      </c>
      <c r="G524" t="s">
        <v>26</v>
      </c>
      <c r="H524" t="s">
        <v>81</v>
      </c>
      <c r="I524" t="s">
        <v>9</v>
      </c>
      <c r="L524" t="s">
        <v>161</v>
      </c>
      <c r="M524">
        <v>-19873847.789999999</v>
      </c>
    </row>
    <row r="525" spans="1:13" x14ac:dyDescent="0.3">
      <c r="A525" s="23">
        <v>45429</v>
      </c>
      <c r="B525" t="s">
        <v>13</v>
      </c>
      <c r="C525" t="s">
        <v>132</v>
      </c>
      <c r="D525" t="s">
        <v>17</v>
      </c>
      <c r="E525" t="s">
        <v>48</v>
      </c>
      <c r="F525">
        <v>19800000</v>
      </c>
      <c r="G525" t="s">
        <v>29</v>
      </c>
      <c r="H525" t="s">
        <v>81</v>
      </c>
      <c r="I525" t="s">
        <v>9</v>
      </c>
      <c r="L525" t="s">
        <v>161</v>
      </c>
      <c r="M525">
        <v>-19800000</v>
      </c>
    </row>
    <row r="526" spans="1:13" x14ac:dyDescent="0.3">
      <c r="A526" s="23">
        <v>44827</v>
      </c>
      <c r="B526" t="s">
        <v>13</v>
      </c>
      <c r="C526" t="s">
        <v>132</v>
      </c>
      <c r="D526" t="s">
        <v>17</v>
      </c>
      <c r="E526" t="s">
        <v>48</v>
      </c>
      <c r="F526">
        <v>19800000</v>
      </c>
      <c r="G526" t="s">
        <v>29</v>
      </c>
      <c r="H526" t="s">
        <v>81</v>
      </c>
      <c r="I526" t="s">
        <v>9</v>
      </c>
      <c r="L526" t="s">
        <v>161</v>
      </c>
      <c r="M526">
        <v>-19800000</v>
      </c>
    </row>
    <row r="527" spans="1:13" x14ac:dyDescent="0.3">
      <c r="A527" s="23">
        <v>45702</v>
      </c>
      <c r="B527" t="s">
        <v>13</v>
      </c>
      <c r="C527" t="s">
        <v>132</v>
      </c>
      <c r="D527" t="s">
        <v>17</v>
      </c>
      <c r="E527" t="s">
        <v>48</v>
      </c>
      <c r="F527">
        <v>19600000</v>
      </c>
      <c r="G527" t="s">
        <v>29</v>
      </c>
      <c r="H527" t="s">
        <v>81</v>
      </c>
      <c r="I527" t="s">
        <v>9</v>
      </c>
      <c r="L527" t="s">
        <v>161</v>
      </c>
      <c r="M527">
        <v>-19600000</v>
      </c>
    </row>
    <row r="528" spans="1:13" x14ac:dyDescent="0.3">
      <c r="A528" s="23">
        <v>45357</v>
      </c>
      <c r="B528" t="s">
        <v>13</v>
      </c>
      <c r="C528" t="s">
        <v>132</v>
      </c>
      <c r="D528" t="s">
        <v>17</v>
      </c>
      <c r="E528" t="s">
        <v>136</v>
      </c>
      <c r="F528">
        <v>19249988.75</v>
      </c>
      <c r="G528" t="s">
        <v>134</v>
      </c>
      <c r="H528" t="s">
        <v>81</v>
      </c>
      <c r="I528" t="s">
        <v>9</v>
      </c>
      <c r="L528" t="s">
        <v>161</v>
      </c>
      <c r="M528">
        <v>-19249988.75</v>
      </c>
    </row>
    <row r="529" spans="1:13" x14ac:dyDescent="0.3">
      <c r="A529" s="23">
        <v>45608</v>
      </c>
      <c r="B529" t="s">
        <v>13</v>
      </c>
      <c r="C529" t="s">
        <v>132</v>
      </c>
      <c r="D529" t="s">
        <v>17</v>
      </c>
      <c r="E529" t="s">
        <v>41</v>
      </c>
      <c r="F529">
        <v>19200000</v>
      </c>
      <c r="G529" t="s">
        <v>26</v>
      </c>
      <c r="H529" t="s">
        <v>81</v>
      </c>
      <c r="I529" t="s">
        <v>9</v>
      </c>
      <c r="L529" t="s">
        <v>161</v>
      </c>
      <c r="M529">
        <v>-19200000</v>
      </c>
    </row>
    <row r="530" spans="1:13" x14ac:dyDescent="0.3">
      <c r="A530" s="23">
        <v>44993</v>
      </c>
      <c r="B530" t="s">
        <v>13</v>
      </c>
      <c r="C530" t="s">
        <v>132</v>
      </c>
      <c r="D530" t="s">
        <v>17</v>
      </c>
      <c r="E530" t="s">
        <v>41</v>
      </c>
      <c r="F530">
        <v>19100000</v>
      </c>
      <c r="G530" t="s">
        <v>26</v>
      </c>
      <c r="H530" t="s">
        <v>81</v>
      </c>
      <c r="I530" t="s">
        <v>9</v>
      </c>
      <c r="L530" t="s">
        <v>161</v>
      </c>
      <c r="M530">
        <v>-19100000</v>
      </c>
    </row>
    <row r="531" spans="1:13" x14ac:dyDescent="0.3">
      <c r="A531" s="23">
        <v>45450</v>
      </c>
      <c r="B531" t="s">
        <v>13</v>
      </c>
      <c r="C531" t="s">
        <v>132</v>
      </c>
      <c r="D531" t="s">
        <v>17</v>
      </c>
      <c r="E531" t="s">
        <v>136</v>
      </c>
      <c r="F531">
        <v>19094846</v>
      </c>
      <c r="G531" t="s">
        <v>134</v>
      </c>
      <c r="H531" t="s">
        <v>81</v>
      </c>
      <c r="I531" t="s">
        <v>9</v>
      </c>
      <c r="L531" t="s">
        <v>161</v>
      </c>
      <c r="M531">
        <v>-19094846</v>
      </c>
    </row>
    <row r="532" spans="1:13" x14ac:dyDescent="0.3">
      <c r="A532" s="23">
        <v>45362</v>
      </c>
      <c r="B532" t="s">
        <v>13</v>
      </c>
      <c r="C532" t="s">
        <v>132</v>
      </c>
      <c r="D532" t="s">
        <v>17</v>
      </c>
      <c r="E532" t="s">
        <v>41</v>
      </c>
      <c r="F532">
        <v>18800000</v>
      </c>
      <c r="G532" t="s">
        <v>26</v>
      </c>
      <c r="H532" t="s">
        <v>81</v>
      </c>
      <c r="I532" t="s">
        <v>9</v>
      </c>
      <c r="L532" t="s">
        <v>161</v>
      </c>
      <c r="M532">
        <v>-18800000</v>
      </c>
    </row>
    <row r="533" spans="1:13" x14ac:dyDescent="0.3">
      <c r="A533" s="23">
        <v>45217</v>
      </c>
      <c r="B533" t="s">
        <v>13</v>
      </c>
      <c r="C533" t="s">
        <v>143</v>
      </c>
      <c r="D533" t="s">
        <v>17</v>
      </c>
      <c r="E533" t="s">
        <v>149</v>
      </c>
      <c r="F533">
        <v>18661956.300000001</v>
      </c>
      <c r="G533" t="s">
        <v>140</v>
      </c>
      <c r="H533" t="s">
        <v>81</v>
      </c>
      <c r="I533" t="s">
        <v>9</v>
      </c>
      <c r="M533">
        <v>-18661956.300000001</v>
      </c>
    </row>
    <row r="534" spans="1:13" x14ac:dyDescent="0.3">
      <c r="A534" s="23">
        <v>45510</v>
      </c>
      <c r="B534" t="s">
        <v>13</v>
      </c>
      <c r="C534" t="s">
        <v>143</v>
      </c>
      <c r="D534" t="s">
        <v>17</v>
      </c>
      <c r="E534" t="s">
        <v>149</v>
      </c>
      <c r="F534">
        <v>18620085.41</v>
      </c>
      <c r="G534" t="s">
        <v>140</v>
      </c>
      <c r="H534" t="s">
        <v>81</v>
      </c>
      <c r="I534" t="s">
        <v>9</v>
      </c>
      <c r="M534">
        <v>-18620085.41</v>
      </c>
    </row>
    <row r="535" spans="1:13" x14ac:dyDescent="0.3">
      <c r="A535" s="23">
        <v>44830</v>
      </c>
      <c r="B535" t="s">
        <v>13</v>
      </c>
      <c r="C535" t="s">
        <v>132</v>
      </c>
      <c r="D535" t="s">
        <v>17</v>
      </c>
      <c r="E535" t="s">
        <v>48</v>
      </c>
      <c r="F535">
        <v>18600000</v>
      </c>
      <c r="G535" t="s">
        <v>29</v>
      </c>
      <c r="H535" t="s">
        <v>81</v>
      </c>
      <c r="I535" t="s">
        <v>9</v>
      </c>
      <c r="L535" t="s">
        <v>161</v>
      </c>
      <c r="M535">
        <v>-18600000</v>
      </c>
    </row>
    <row r="536" spans="1:13" x14ac:dyDescent="0.3">
      <c r="A536" s="23">
        <v>45625</v>
      </c>
      <c r="B536" t="s">
        <v>13</v>
      </c>
      <c r="C536" t="s">
        <v>132</v>
      </c>
      <c r="D536" t="s">
        <v>17</v>
      </c>
      <c r="E536" t="s">
        <v>41</v>
      </c>
      <c r="F536">
        <v>18200000</v>
      </c>
      <c r="G536" t="s">
        <v>26</v>
      </c>
      <c r="H536" t="s">
        <v>81</v>
      </c>
      <c r="I536" t="s">
        <v>9</v>
      </c>
      <c r="L536" t="s">
        <v>161</v>
      </c>
      <c r="M536">
        <v>-18200000</v>
      </c>
    </row>
    <row r="537" spans="1:13" x14ac:dyDescent="0.3">
      <c r="A537" s="23">
        <v>45351</v>
      </c>
      <c r="B537" t="s">
        <v>13</v>
      </c>
      <c r="C537" t="s">
        <v>132</v>
      </c>
      <c r="D537" t="s">
        <v>17</v>
      </c>
      <c r="E537" t="s">
        <v>46</v>
      </c>
      <c r="F537">
        <v>18200000</v>
      </c>
      <c r="G537" t="s">
        <v>28</v>
      </c>
      <c r="H537" t="s">
        <v>81</v>
      </c>
      <c r="I537" t="s">
        <v>9</v>
      </c>
      <c r="L537" t="s">
        <v>161</v>
      </c>
      <c r="M537">
        <v>-18200000</v>
      </c>
    </row>
    <row r="538" spans="1:13" x14ac:dyDescent="0.3">
      <c r="A538" s="23">
        <v>45685</v>
      </c>
      <c r="B538" t="s">
        <v>13</v>
      </c>
      <c r="C538" t="s">
        <v>132</v>
      </c>
      <c r="D538" t="s">
        <v>17</v>
      </c>
      <c r="E538" t="s">
        <v>48</v>
      </c>
      <c r="F538">
        <v>18200000</v>
      </c>
      <c r="G538" t="s">
        <v>29</v>
      </c>
      <c r="H538" t="s">
        <v>81</v>
      </c>
      <c r="I538" t="s">
        <v>9</v>
      </c>
      <c r="L538" t="s">
        <v>161</v>
      </c>
      <c r="M538">
        <v>-18200000</v>
      </c>
    </row>
    <row r="539" spans="1:13" x14ac:dyDescent="0.3">
      <c r="A539" s="23">
        <v>45344</v>
      </c>
      <c r="B539" t="s">
        <v>13</v>
      </c>
      <c r="C539" t="s">
        <v>132</v>
      </c>
      <c r="D539" t="s">
        <v>17</v>
      </c>
      <c r="E539" t="s">
        <v>136</v>
      </c>
      <c r="F539">
        <v>18195463.48</v>
      </c>
      <c r="G539" t="s">
        <v>134</v>
      </c>
      <c r="H539" t="s">
        <v>81</v>
      </c>
      <c r="I539" t="s">
        <v>9</v>
      </c>
      <c r="L539" t="s">
        <v>161</v>
      </c>
      <c r="M539">
        <v>-18195463.48</v>
      </c>
    </row>
    <row r="540" spans="1:13" x14ac:dyDescent="0.3">
      <c r="A540" s="23">
        <v>44565</v>
      </c>
      <c r="B540" t="s">
        <v>13</v>
      </c>
      <c r="C540" t="s">
        <v>132</v>
      </c>
      <c r="D540" t="s">
        <v>17</v>
      </c>
      <c r="E540" t="s">
        <v>41</v>
      </c>
      <c r="F540">
        <v>18037124.460000001</v>
      </c>
      <c r="G540" t="s">
        <v>26</v>
      </c>
      <c r="H540" t="s">
        <v>81</v>
      </c>
      <c r="I540" t="s">
        <v>9</v>
      </c>
      <c r="L540" t="s">
        <v>161</v>
      </c>
      <c r="M540">
        <v>-18037124.460000001</v>
      </c>
    </row>
    <row r="541" spans="1:13" x14ac:dyDescent="0.3">
      <c r="A541" s="23">
        <v>45254</v>
      </c>
      <c r="B541" t="s">
        <v>13</v>
      </c>
      <c r="C541" t="s">
        <v>132</v>
      </c>
      <c r="D541" t="s">
        <v>17</v>
      </c>
      <c r="E541" t="s">
        <v>41</v>
      </c>
      <c r="F541">
        <v>18000000</v>
      </c>
      <c r="G541" t="s">
        <v>26</v>
      </c>
      <c r="H541" t="s">
        <v>81</v>
      </c>
      <c r="I541" t="s">
        <v>9</v>
      </c>
      <c r="L541" t="s">
        <v>161</v>
      </c>
      <c r="M541">
        <v>-18000000</v>
      </c>
    </row>
    <row r="542" spans="1:13" x14ac:dyDescent="0.3">
      <c r="A542" s="23">
        <v>44741</v>
      </c>
      <c r="B542" t="s">
        <v>13</v>
      </c>
      <c r="C542" t="s">
        <v>143</v>
      </c>
      <c r="D542" t="s">
        <v>17</v>
      </c>
      <c r="E542" t="s">
        <v>149</v>
      </c>
      <c r="F542">
        <v>17622678.859999999</v>
      </c>
      <c r="G542" t="s">
        <v>140</v>
      </c>
      <c r="H542" t="s">
        <v>81</v>
      </c>
      <c r="I542" t="s">
        <v>9</v>
      </c>
      <c r="J542" t="s">
        <v>151</v>
      </c>
      <c r="K542" t="s">
        <v>152</v>
      </c>
      <c r="L542" t="s">
        <v>219</v>
      </c>
      <c r="M542">
        <v>-17622678.859999999</v>
      </c>
    </row>
    <row r="543" spans="1:13" x14ac:dyDescent="0.3">
      <c r="A543" s="23">
        <v>45554</v>
      </c>
      <c r="B543" t="s">
        <v>13</v>
      </c>
      <c r="C543" t="s">
        <v>132</v>
      </c>
      <c r="D543" t="s">
        <v>17</v>
      </c>
      <c r="E543" t="s">
        <v>41</v>
      </c>
      <c r="F543">
        <v>17600000</v>
      </c>
      <c r="G543" t="s">
        <v>26</v>
      </c>
      <c r="H543" t="s">
        <v>81</v>
      </c>
      <c r="I543" t="s">
        <v>9</v>
      </c>
      <c r="L543" t="s">
        <v>161</v>
      </c>
      <c r="M543">
        <v>-17600000</v>
      </c>
    </row>
    <row r="544" spans="1:13" x14ac:dyDescent="0.3">
      <c r="A544" s="23">
        <v>45267</v>
      </c>
      <c r="B544" t="s">
        <v>13</v>
      </c>
      <c r="C544" t="s">
        <v>143</v>
      </c>
      <c r="D544" t="s">
        <v>17</v>
      </c>
      <c r="E544" t="s">
        <v>149</v>
      </c>
      <c r="F544">
        <v>17541383.530000001</v>
      </c>
      <c r="G544" t="s">
        <v>140</v>
      </c>
      <c r="H544" t="s">
        <v>81</v>
      </c>
      <c r="I544" t="s">
        <v>9</v>
      </c>
      <c r="M544">
        <v>-17541383.530000001</v>
      </c>
    </row>
    <row r="545" spans="1:13" x14ac:dyDescent="0.3">
      <c r="A545" s="23">
        <v>45713</v>
      </c>
      <c r="B545" t="s">
        <v>13</v>
      </c>
      <c r="C545" t="s">
        <v>132</v>
      </c>
      <c r="D545" t="s">
        <v>17</v>
      </c>
      <c r="E545" t="s">
        <v>41</v>
      </c>
      <c r="F545">
        <v>17500000</v>
      </c>
      <c r="G545" t="s">
        <v>26</v>
      </c>
      <c r="H545" t="s">
        <v>81</v>
      </c>
      <c r="I545" t="s">
        <v>9</v>
      </c>
      <c r="L545" t="s">
        <v>161</v>
      </c>
      <c r="M545">
        <v>-17500000</v>
      </c>
    </row>
    <row r="546" spans="1:13" x14ac:dyDescent="0.3">
      <c r="A546" s="23">
        <v>44586</v>
      </c>
      <c r="B546" t="s">
        <v>13</v>
      </c>
      <c r="C546" t="s">
        <v>132</v>
      </c>
      <c r="D546" t="s">
        <v>17</v>
      </c>
      <c r="E546" t="s">
        <v>41</v>
      </c>
      <c r="F546">
        <v>17500000</v>
      </c>
      <c r="G546" t="s">
        <v>26</v>
      </c>
      <c r="H546" t="s">
        <v>81</v>
      </c>
      <c r="I546" t="s">
        <v>9</v>
      </c>
      <c r="L546" t="s">
        <v>161</v>
      </c>
      <c r="M546">
        <v>-17500000</v>
      </c>
    </row>
    <row r="547" spans="1:13" x14ac:dyDescent="0.3">
      <c r="A547" s="23">
        <v>45455</v>
      </c>
      <c r="B547" t="s">
        <v>13</v>
      </c>
      <c r="C547" t="s">
        <v>132</v>
      </c>
      <c r="D547" t="s">
        <v>17</v>
      </c>
      <c r="E547" t="s">
        <v>180</v>
      </c>
      <c r="F547">
        <v>17500000</v>
      </c>
      <c r="G547" t="s">
        <v>181</v>
      </c>
      <c r="H547" t="s">
        <v>81</v>
      </c>
      <c r="I547" t="s">
        <v>9</v>
      </c>
      <c r="L547" t="s">
        <v>161</v>
      </c>
      <c r="M547">
        <v>-17500000</v>
      </c>
    </row>
    <row r="548" spans="1:13" x14ac:dyDescent="0.3">
      <c r="A548" s="23">
        <v>45161</v>
      </c>
      <c r="B548" t="s">
        <v>13</v>
      </c>
      <c r="C548" t="s">
        <v>132</v>
      </c>
      <c r="D548" t="s">
        <v>17</v>
      </c>
      <c r="E548" t="s">
        <v>41</v>
      </c>
      <c r="F548">
        <v>17400000</v>
      </c>
      <c r="G548" t="s">
        <v>26</v>
      </c>
      <c r="H548" t="s">
        <v>81</v>
      </c>
      <c r="I548" t="s">
        <v>9</v>
      </c>
      <c r="L548" t="s">
        <v>161</v>
      </c>
      <c r="M548">
        <v>-17400000</v>
      </c>
    </row>
    <row r="549" spans="1:13" x14ac:dyDescent="0.3">
      <c r="A549" s="23">
        <v>45264</v>
      </c>
      <c r="B549" t="s">
        <v>13</v>
      </c>
      <c r="C549" t="s">
        <v>132</v>
      </c>
      <c r="D549" t="s">
        <v>17</v>
      </c>
      <c r="E549" t="s">
        <v>46</v>
      </c>
      <c r="F549">
        <v>17300000</v>
      </c>
      <c r="G549" t="s">
        <v>28</v>
      </c>
      <c r="H549" t="s">
        <v>81</v>
      </c>
      <c r="I549" t="s">
        <v>9</v>
      </c>
      <c r="L549" t="s">
        <v>161</v>
      </c>
      <c r="M549">
        <v>-17300000</v>
      </c>
    </row>
    <row r="550" spans="1:13" x14ac:dyDescent="0.3">
      <c r="A550" s="23">
        <v>44687</v>
      </c>
      <c r="B550" t="s">
        <v>13</v>
      </c>
      <c r="C550" t="s">
        <v>132</v>
      </c>
      <c r="D550" t="s">
        <v>17</v>
      </c>
      <c r="E550" t="s">
        <v>41</v>
      </c>
      <c r="F550">
        <v>17200000</v>
      </c>
      <c r="G550" t="s">
        <v>26</v>
      </c>
      <c r="H550" t="s">
        <v>81</v>
      </c>
      <c r="I550" t="s">
        <v>9</v>
      </c>
      <c r="L550" t="s">
        <v>161</v>
      </c>
      <c r="M550">
        <v>-17200000</v>
      </c>
    </row>
    <row r="551" spans="1:13" x14ac:dyDescent="0.3">
      <c r="A551" s="23">
        <v>45397</v>
      </c>
      <c r="B551" t="s">
        <v>13</v>
      </c>
      <c r="C551" t="s">
        <v>132</v>
      </c>
      <c r="D551" t="s">
        <v>17</v>
      </c>
      <c r="E551" t="s">
        <v>41</v>
      </c>
      <c r="F551">
        <v>17200000</v>
      </c>
      <c r="G551" t="s">
        <v>26</v>
      </c>
      <c r="H551" t="s">
        <v>81</v>
      </c>
      <c r="I551" t="s">
        <v>9</v>
      </c>
      <c r="L551" t="s">
        <v>161</v>
      </c>
      <c r="M551">
        <v>-17200000</v>
      </c>
    </row>
    <row r="552" spans="1:13" x14ac:dyDescent="0.3">
      <c r="A552" s="23">
        <v>44858</v>
      </c>
      <c r="B552" t="s">
        <v>13</v>
      </c>
      <c r="C552" t="s">
        <v>132</v>
      </c>
      <c r="D552" t="s">
        <v>17</v>
      </c>
      <c r="E552" t="s">
        <v>48</v>
      </c>
      <c r="F552">
        <v>17199999.999999978</v>
      </c>
      <c r="G552" t="s">
        <v>29</v>
      </c>
      <c r="H552" t="s">
        <v>81</v>
      </c>
      <c r="I552" t="s">
        <v>9</v>
      </c>
      <c r="L552" t="s">
        <v>161</v>
      </c>
      <c r="M552">
        <v>-17200000</v>
      </c>
    </row>
    <row r="553" spans="1:13" x14ac:dyDescent="0.3">
      <c r="A553" s="23">
        <v>45629</v>
      </c>
      <c r="B553" t="s">
        <v>13</v>
      </c>
      <c r="C553" t="s">
        <v>132</v>
      </c>
      <c r="D553" t="s">
        <v>17</v>
      </c>
      <c r="E553" t="s">
        <v>41</v>
      </c>
      <c r="F553">
        <v>17100000</v>
      </c>
      <c r="G553" t="s">
        <v>26</v>
      </c>
      <c r="H553" t="s">
        <v>81</v>
      </c>
      <c r="I553" t="s">
        <v>9</v>
      </c>
      <c r="L553" t="s">
        <v>161</v>
      </c>
      <c r="M553">
        <v>-17100000</v>
      </c>
    </row>
    <row r="554" spans="1:13" x14ac:dyDescent="0.3">
      <c r="A554" s="23">
        <v>45491</v>
      </c>
      <c r="B554" t="s">
        <v>13</v>
      </c>
      <c r="C554" t="s">
        <v>132</v>
      </c>
      <c r="D554" t="s">
        <v>17</v>
      </c>
      <c r="E554" t="s">
        <v>46</v>
      </c>
      <c r="F554">
        <v>17100000</v>
      </c>
      <c r="G554" t="s">
        <v>28</v>
      </c>
      <c r="H554" t="s">
        <v>81</v>
      </c>
      <c r="I554" t="s">
        <v>9</v>
      </c>
      <c r="L554" t="s">
        <v>161</v>
      </c>
      <c r="M554">
        <v>-17100000</v>
      </c>
    </row>
    <row r="555" spans="1:13" x14ac:dyDescent="0.3">
      <c r="A555" s="23">
        <v>45323</v>
      </c>
      <c r="B555" t="s">
        <v>13</v>
      </c>
      <c r="C555" t="s">
        <v>143</v>
      </c>
      <c r="D555" t="s">
        <v>17</v>
      </c>
      <c r="E555" t="s">
        <v>149</v>
      </c>
      <c r="F555">
        <v>17098674</v>
      </c>
      <c r="G555" t="s">
        <v>140</v>
      </c>
      <c r="H555" t="s">
        <v>81</v>
      </c>
      <c r="I555" t="s">
        <v>9</v>
      </c>
      <c r="M555">
        <v>-17098674</v>
      </c>
    </row>
    <row r="556" spans="1:13" x14ac:dyDescent="0.3">
      <c r="A556" s="23">
        <v>44831</v>
      </c>
      <c r="B556" t="s">
        <v>13</v>
      </c>
      <c r="C556" t="s">
        <v>132</v>
      </c>
      <c r="D556" t="s">
        <v>17</v>
      </c>
      <c r="E556" t="s">
        <v>136</v>
      </c>
      <c r="F556">
        <v>16995421.93</v>
      </c>
      <c r="G556" t="s">
        <v>134</v>
      </c>
      <c r="H556" t="s">
        <v>81</v>
      </c>
      <c r="I556" t="s">
        <v>9</v>
      </c>
      <c r="L556" t="s">
        <v>161</v>
      </c>
      <c r="M556">
        <v>-16995421.93</v>
      </c>
    </row>
    <row r="557" spans="1:13" x14ac:dyDescent="0.3">
      <c r="A557" s="23">
        <v>45183</v>
      </c>
      <c r="B557" t="s">
        <v>13</v>
      </c>
      <c r="C557" t="s">
        <v>143</v>
      </c>
      <c r="D557" t="s">
        <v>17</v>
      </c>
      <c r="E557" t="s">
        <v>149</v>
      </c>
      <c r="F557">
        <v>16885001.359999999</v>
      </c>
      <c r="G557" t="s">
        <v>140</v>
      </c>
      <c r="H557" t="s">
        <v>81</v>
      </c>
      <c r="I557" t="s">
        <v>9</v>
      </c>
      <c r="M557">
        <v>-16885001.359999999</v>
      </c>
    </row>
    <row r="558" spans="1:13" x14ac:dyDescent="0.3">
      <c r="A558" s="23">
        <v>45716</v>
      </c>
      <c r="B558" t="s">
        <v>13</v>
      </c>
      <c r="C558" t="s">
        <v>132</v>
      </c>
      <c r="D558" t="s">
        <v>17</v>
      </c>
      <c r="E558" t="s">
        <v>41</v>
      </c>
      <c r="F558">
        <v>16800000</v>
      </c>
      <c r="G558" t="s">
        <v>26</v>
      </c>
      <c r="H558" t="s">
        <v>81</v>
      </c>
      <c r="I558" t="s">
        <v>9</v>
      </c>
      <c r="L558" t="s">
        <v>161</v>
      </c>
      <c r="M558">
        <v>-16800000</v>
      </c>
    </row>
    <row r="559" spans="1:13" x14ac:dyDescent="0.3">
      <c r="A559" s="23">
        <v>45145</v>
      </c>
      <c r="B559" t="s">
        <v>13</v>
      </c>
      <c r="C559" t="s">
        <v>132</v>
      </c>
      <c r="D559" t="s">
        <v>17</v>
      </c>
      <c r="E559" t="s">
        <v>41</v>
      </c>
      <c r="F559">
        <v>16800000</v>
      </c>
      <c r="G559" t="s">
        <v>26</v>
      </c>
      <c r="H559" t="s">
        <v>81</v>
      </c>
      <c r="I559" t="s">
        <v>9</v>
      </c>
      <c r="L559" t="s">
        <v>161</v>
      </c>
      <c r="M559">
        <v>-16800000</v>
      </c>
    </row>
    <row r="560" spans="1:13" x14ac:dyDescent="0.3">
      <c r="A560" s="23">
        <v>45406</v>
      </c>
      <c r="B560" t="s">
        <v>13</v>
      </c>
      <c r="C560" t="s">
        <v>132</v>
      </c>
      <c r="D560" t="s">
        <v>17</v>
      </c>
      <c r="E560" t="s">
        <v>41</v>
      </c>
      <c r="F560">
        <v>16600000</v>
      </c>
      <c r="G560" t="s">
        <v>26</v>
      </c>
      <c r="H560" t="s">
        <v>81</v>
      </c>
      <c r="I560" t="s">
        <v>9</v>
      </c>
      <c r="L560" t="s">
        <v>161</v>
      </c>
      <c r="M560">
        <v>-16600000</v>
      </c>
    </row>
    <row r="561" spans="1:13" x14ac:dyDescent="0.3">
      <c r="A561" s="23">
        <v>45061</v>
      </c>
      <c r="B561" t="s">
        <v>13</v>
      </c>
      <c r="C561" t="s">
        <v>132</v>
      </c>
      <c r="D561" t="s">
        <v>17</v>
      </c>
      <c r="E561" t="s">
        <v>41</v>
      </c>
      <c r="F561">
        <v>16400000</v>
      </c>
      <c r="G561" t="s">
        <v>26</v>
      </c>
      <c r="H561" t="s">
        <v>81</v>
      </c>
      <c r="I561" t="s">
        <v>9</v>
      </c>
      <c r="L561" t="s">
        <v>161</v>
      </c>
      <c r="M561">
        <v>-16400000</v>
      </c>
    </row>
    <row r="562" spans="1:13" x14ac:dyDescent="0.3">
      <c r="A562" s="23">
        <v>44613</v>
      </c>
      <c r="B562" t="s">
        <v>13</v>
      </c>
      <c r="C562" t="s">
        <v>132</v>
      </c>
      <c r="D562" t="s">
        <v>17</v>
      </c>
      <c r="E562" t="s">
        <v>41</v>
      </c>
      <c r="F562">
        <v>16300000</v>
      </c>
      <c r="G562" t="s">
        <v>26</v>
      </c>
      <c r="H562" t="s">
        <v>81</v>
      </c>
      <c r="I562" t="s">
        <v>9</v>
      </c>
      <c r="L562" t="s">
        <v>161</v>
      </c>
      <c r="M562">
        <v>-16300000</v>
      </c>
    </row>
    <row r="563" spans="1:13" x14ac:dyDescent="0.3">
      <c r="A563" s="23">
        <v>44811</v>
      </c>
      <c r="B563" t="s">
        <v>13</v>
      </c>
      <c r="C563" t="s">
        <v>143</v>
      </c>
      <c r="D563" t="s">
        <v>17</v>
      </c>
      <c r="E563" t="s">
        <v>149</v>
      </c>
      <c r="F563">
        <v>16248930.57</v>
      </c>
      <c r="G563" t="s">
        <v>140</v>
      </c>
      <c r="H563" t="s">
        <v>81</v>
      </c>
      <c r="I563" t="s">
        <v>9</v>
      </c>
      <c r="J563" s="23">
        <v>44811</v>
      </c>
      <c r="L563" t="s">
        <v>234</v>
      </c>
      <c r="M563">
        <v>-16248930.57</v>
      </c>
    </row>
    <row r="564" spans="1:13" x14ac:dyDescent="0.3">
      <c r="A564" s="23">
        <v>45373</v>
      </c>
      <c r="B564" t="s">
        <v>13</v>
      </c>
      <c r="C564" t="s">
        <v>132</v>
      </c>
      <c r="D564" t="s">
        <v>17</v>
      </c>
      <c r="E564" t="s">
        <v>180</v>
      </c>
      <c r="F564">
        <v>16246046</v>
      </c>
      <c r="G564" t="s">
        <v>181</v>
      </c>
      <c r="H564" t="s">
        <v>81</v>
      </c>
      <c r="I564" t="s">
        <v>9</v>
      </c>
      <c r="L564" t="s">
        <v>161</v>
      </c>
      <c r="M564">
        <v>-16246046</v>
      </c>
    </row>
    <row r="565" spans="1:13" x14ac:dyDescent="0.3">
      <c r="A565" s="23">
        <v>45428</v>
      </c>
      <c r="B565" t="s">
        <v>13</v>
      </c>
      <c r="C565" t="s">
        <v>132</v>
      </c>
      <c r="D565" t="s">
        <v>17</v>
      </c>
      <c r="E565" t="s">
        <v>46</v>
      </c>
      <c r="F565">
        <v>16200000</v>
      </c>
      <c r="G565" t="s">
        <v>28</v>
      </c>
      <c r="H565" t="s">
        <v>81</v>
      </c>
      <c r="I565" t="s">
        <v>9</v>
      </c>
      <c r="L565" t="s">
        <v>161</v>
      </c>
      <c r="M565">
        <v>-16200000</v>
      </c>
    </row>
    <row r="566" spans="1:13" x14ac:dyDescent="0.3">
      <c r="A566" s="23">
        <v>45043</v>
      </c>
      <c r="B566" t="s">
        <v>13</v>
      </c>
      <c r="C566" t="s">
        <v>132</v>
      </c>
      <c r="D566" t="s">
        <v>17</v>
      </c>
      <c r="E566" t="s">
        <v>41</v>
      </c>
      <c r="F566">
        <v>16000000</v>
      </c>
      <c r="G566" t="s">
        <v>26</v>
      </c>
      <c r="H566" t="s">
        <v>81</v>
      </c>
      <c r="I566" t="s">
        <v>9</v>
      </c>
      <c r="L566" t="s">
        <v>161</v>
      </c>
      <c r="M566">
        <v>-16000000</v>
      </c>
    </row>
    <row r="567" spans="1:13" x14ac:dyDescent="0.3">
      <c r="A567" s="23">
        <v>45366</v>
      </c>
      <c r="B567" t="s">
        <v>13</v>
      </c>
      <c r="C567" t="s">
        <v>132</v>
      </c>
      <c r="D567" t="s">
        <v>17</v>
      </c>
      <c r="E567" t="s">
        <v>48</v>
      </c>
      <c r="F567">
        <v>16000000</v>
      </c>
      <c r="G567" t="s">
        <v>29</v>
      </c>
      <c r="H567" t="s">
        <v>81</v>
      </c>
      <c r="I567" t="s">
        <v>9</v>
      </c>
      <c r="L567" t="s">
        <v>161</v>
      </c>
      <c r="M567">
        <v>-16000000</v>
      </c>
    </row>
    <row r="568" spans="1:13" x14ac:dyDescent="0.3">
      <c r="A568" s="23">
        <v>45439</v>
      </c>
      <c r="B568" t="s">
        <v>13</v>
      </c>
      <c r="C568" t="s">
        <v>132</v>
      </c>
      <c r="D568" t="s">
        <v>17</v>
      </c>
      <c r="E568" t="s">
        <v>169</v>
      </c>
      <c r="F568">
        <v>16000000</v>
      </c>
      <c r="G568" t="s">
        <v>131</v>
      </c>
      <c r="H568" t="s">
        <v>81</v>
      </c>
      <c r="I568" t="s">
        <v>9</v>
      </c>
      <c r="L568" t="s">
        <v>161</v>
      </c>
      <c r="M568">
        <v>-16000000</v>
      </c>
    </row>
    <row r="569" spans="1:13" x14ac:dyDescent="0.3">
      <c r="A569" s="23">
        <v>45075</v>
      </c>
      <c r="B569" t="s">
        <v>13</v>
      </c>
      <c r="C569" t="s">
        <v>132</v>
      </c>
      <c r="D569" t="s">
        <v>17</v>
      </c>
      <c r="E569" t="s">
        <v>41</v>
      </c>
      <c r="F569">
        <v>15800000</v>
      </c>
      <c r="G569" t="s">
        <v>26</v>
      </c>
      <c r="H569" t="s">
        <v>81</v>
      </c>
      <c r="I569" t="s">
        <v>9</v>
      </c>
      <c r="L569" t="s">
        <v>161</v>
      </c>
      <c r="M569">
        <v>-15800000</v>
      </c>
    </row>
    <row r="570" spans="1:13" x14ac:dyDescent="0.3">
      <c r="A570" s="23">
        <v>45420</v>
      </c>
      <c r="B570" t="s">
        <v>13</v>
      </c>
      <c r="C570" t="s">
        <v>132</v>
      </c>
      <c r="D570" t="s">
        <v>17</v>
      </c>
      <c r="E570" t="s">
        <v>41</v>
      </c>
      <c r="F570">
        <v>15600000</v>
      </c>
      <c r="G570" t="s">
        <v>26</v>
      </c>
      <c r="H570" t="s">
        <v>81</v>
      </c>
      <c r="I570" t="s">
        <v>9</v>
      </c>
      <c r="L570" t="s">
        <v>161</v>
      </c>
      <c r="M570">
        <v>-15600000</v>
      </c>
    </row>
    <row r="571" spans="1:13" x14ac:dyDescent="0.3">
      <c r="A571" s="23">
        <v>45558</v>
      </c>
      <c r="B571" t="s">
        <v>13</v>
      </c>
      <c r="C571" t="s">
        <v>132</v>
      </c>
      <c r="D571" t="s">
        <v>17</v>
      </c>
      <c r="E571" t="s">
        <v>41</v>
      </c>
      <c r="F571">
        <v>15500000</v>
      </c>
      <c r="G571" t="s">
        <v>26</v>
      </c>
      <c r="H571" t="s">
        <v>81</v>
      </c>
      <c r="I571" t="s">
        <v>9</v>
      </c>
      <c r="L571" t="s">
        <v>161</v>
      </c>
      <c r="M571">
        <v>-15500000</v>
      </c>
    </row>
    <row r="572" spans="1:13" x14ac:dyDescent="0.3">
      <c r="A572" s="23">
        <v>44719</v>
      </c>
      <c r="B572" t="s">
        <v>13</v>
      </c>
      <c r="C572" t="s">
        <v>132</v>
      </c>
      <c r="D572" t="s">
        <v>17</v>
      </c>
      <c r="E572" t="s">
        <v>139</v>
      </c>
      <c r="F572">
        <v>15440000</v>
      </c>
      <c r="G572" t="s">
        <v>140</v>
      </c>
      <c r="H572" t="s">
        <v>81</v>
      </c>
      <c r="I572" t="s">
        <v>9</v>
      </c>
      <c r="L572" t="s">
        <v>161</v>
      </c>
      <c r="M572">
        <v>-15440000</v>
      </c>
    </row>
    <row r="573" spans="1:13" x14ac:dyDescent="0.3">
      <c r="A573" s="23">
        <v>45490</v>
      </c>
      <c r="B573" t="s">
        <v>13</v>
      </c>
      <c r="C573" t="s">
        <v>132</v>
      </c>
      <c r="D573" t="s">
        <v>17</v>
      </c>
      <c r="E573" t="s">
        <v>46</v>
      </c>
      <c r="F573">
        <v>15400000</v>
      </c>
      <c r="G573" t="s">
        <v>28</v>
      </c>
      <c r="H573" t="s">
        <v>81</v>
      </c>
      <c r="I573" t="s">
        <v>9</v>
      </c>
      <c r="L573" t="s">
        <v>161</v>
      </c>
      <c r="M573">
        <v>-15400000</v>
      </c>
    </row>
    <row r="574" spans="1:13" x14ac:dyDescent="0.3">
      <c r="A574" s="23">
        <v>45433</v>
      </c>
      <c r="B574" t="s">
        <v>13</v>
      </c>
      <c r="C574" t="s">
        <v>132</v>
      </c>
      <c r="D574" t="s">
        <v>17</v>
      </c>
      <c r="E574" t="s">
        <v>41</v>
      </c>
      <c r="F574">
        <v>15200000</v>
      </c>
      <c r="G574" t="s">
        <v>26</v>
      </c>
      <c r="H574" t="s">
        <v>81</v>
      </c>
      <c r="I574" t="s">
        <v>9</v>
      </c>
      <c r="L574" t="s">
        <v>161</v>
      </c>
      <c r="M574">
        <v>-15200000</v>
      </c>
    </row>
    <row r="575" spans="1:13" x14ac:dyDescent="0.3">
      <c r="A575" s="23">
        <v>45485</v>
      </c>
      <c r="B575" t="s">
        <v>13</v>
      </c>
      <c r="C575" t="s">
        <v>132</v>
      </c>
      <c r="D575" t="s">
        <v>17</v>
      </c>
      <c r="E575" t="s">
        <v>180</v>
      </c>
      <c r="F575">
        <v>15132040</v>
      </c>
      <c r="G575" t="s">
        <v>181</v>
      </c>
      <c r="H575" t="s">
        <v>81</v>
      </c>
      <c r="I575" t="s">
        <v>9</v>
      </c>
      <c r="L575" t="s">
        <v>161</v>
      </c>
      <c r="M575">
        <v>-15132040</v>
      </c>
    </row>
    <row r="576" spans="1:13" x14ac:dyDescent="0.3">
      <c r="A576" s="23">
        <v>44964</v>
      </c>
      <c r="B576" t="s">
        <v>13</v>
      </c>
      <c r="C576" t="s">
        <v>132</v>
      </c>
      <c r="D576" t="s">
        <v>17</v>
      </c>
      <c r="E576" t="s">
        <v>48</v>
      </c>
      <c r="F576">
        <v>15100000</v>
      </c>
      <c r="G576" t="s">
        <v>29</v>
      </c>
      <c r="H576" t="s">
        <v>81</v>
      </c>
      <c r="I576" t="s">
        <v>9</v>
      </c>
      <c r="L576" t="s">
        <v>161</v>
      </c>
      <c r="M576">
        <v>-15100000</v>
      </c>
    </row>
    <row r="577" spans="1:13" x14ac:dyDescent="0.3">
      <c r="A577" s="23">
        <v>45726</v>
      </c>
      <c r="B577" t="s">
        <v>13</v>
      </c>
      <c r="C577" t="s">
        <v>132</v>
      </c>
      <c r="D577" t="s">
        <v>17</v>
      </c>
      <c r="E577" t="s">
        <v>41</v>
      </c>
      <c r="F577">
        <v>15000000</v>
      </c>
      <c r="G577" t="s">
        <v>26</v>
      </c>
      <c r="H577" t="s">
        <v>81</v>
      </c>
      <c r="I577" t="s">
        <v>9</v>
      </c>
      <c r="L577" t="s">
        <v>161</v>
      </c>
      <c r="M577">
        <v>-15000000</v>
      </c>
    </row>
    <row r="578" spans="1:13" x14ac:dyDescent="0.3">
      <c r="A578" s="23">
        <v>45407</v>
      </c>
      <c r="B578" t="s">
        <v>13</v>
      </c>
      <c r="C578" t="s">
        <v>132</v>
      </c>
      <c r="D578" t="s">
        <v>17</v>
      </c>
      <c r="E578" t="s">
        <v>46</v>
      </c>
      <c r="F578">
        <v>15000000</v>
      </c>
      <c r="G578" t="s">
        <v>28</v>
      </c>
      <c r="H578" t="s">
        <v>81</v>
      </c>
      <c r="I578" t="s">
        <v>9</v>
      </c>
      <c r="L578" t="s">
        <v>161</v>
      </c>
      <c r="M578">
        <v>-15000000</v>
      </c>
    </row>
    <row r="579" spans="1:13" x14ac:dyDescent="0.3">
      <c r="A579" s="23">
        <v>45338</v>
      </c>
      <c r="B579" t="s">
        <v>13</v>
      </c>
      <c r="C579" t="s">
        <v>132</v>
      </c>
      <c r="D579" t="s">
        <v>17</v>
      </c>
      <c r="E579" t="s">
        <v>48</v>
      </c>
      <c r="F579">
        <v>14900000</v>
      </c>
      <c r="G579" t="s">
        <v>29</v>
      </c>
      <c r="H579" t="s">
        <v>81</v>
      </c>
      <c r="I579" t="s">
        <v>9</v>
      </c>
      <c r="L579" t="s">
        <v>161</v>
      </c>
      <c r="M579">
        <v>-14900000</v>
      </c>
    </row>
    <row r="580" spans="1:13" x14ac:dyDescent="0.3">
      <c r="A580" s="23">
        <v>44887</v>
      </c>
      <c r="B580" t="s">
        <v>13</v>
      </c>
      <c r="C580" t="s">
        <v>132</v>
      </c>
      <c r="D580" t="s">
        <v>17</v>
      </c>
      <c r="E580" t="s">
        <v>48</v>
      </c>
      <c r="F580">
        <v>14800000</v>
      </c>
      <c r="G580" t="s">
        <v>29</v>
      </c>
      <c r="H580" t="s">
        <v>81</v>
      </c>
      <c r="I580" t="s">
        <v>9</v>
      </c>
      <c r="L580" t="s">
        <v>161</v>
      </c>
      <c r="M580">
        <v>-14800000</v>
      </c>
    </row>
    <row r="581" spans="1:13" x14ac:dyDescent="0.3">
      <c r="A581" s="23">
        <v>45726</v>
      </c>
      <c r="B581" t="s">
        <v>13</v>
      </c>
      <c r="C581" t="s">
        <v>132</v>
      </c>
      <c r="D581" t="s">
        <v>17</v>
      </c>
      <c r="E581" t="s">
        <v>40</v>
      </c>
      <c r="F581">
        <v>14600000</v>
      </c>
      <c r="G581" t="s">
        <v>25</v>
      </c>
      <c r="H581" t="s">
        <v>81</v>
      </c>
      <c r="I581" t="s">
        <v>9</v>
      </c>
      <c r="L581" t="s">
        <v>161</v>
      </c>
      <c r="M581">
        <v>-14600000</v>
      </c>
    </row>
    <row r="582" spans="1:13" x14ac:dyDescent="0.3">
      <c r="A582" s="23">
        <v>44593</v>
      </c>
      <c r="B582" t="s">
        <v>13</v>
      </c>
      <c r="C582" t="s">
        <v>132</v>
      </c>
      <c r="D582" t="s">
        <v>17</v>
      </c>
      <c r="E582" t="s">
        <v>48</v>
      </c>
      <c r="F582">
        <v>14485866.91</v>
      </c>
      <c r="G582" t="s">
        <v>29</v>
      </c>
      <c r="H582" t="s">
        <v>81</v>
      </c>
      <c r="I582" t="s">
        <v>9</v>
      </c>
      <c r="L582" t="s">
        <v>161</v>
      </c>
      <c r="M582">
        <v>-14485866.91</v>
      </c>
    </row>
    <row r="583" spans="1:13" x14ac:dyDescent="0.3">
      <c r="A583" s="23">
        <v>45435</v>
      </c>
      <c r="B583" t="s">
        <v>13</v>
      </c>
      <c r="C583" t="s">
        <v>132</v>
      </c>
      <c r="D583" t="s">
        <v>17</v>
      </c>
      <c r="E583" t="s">
        <v>46</v>
      </c>
      <c r="F583">
        <v>14400000</v>
      </c>
      <c r="G583" t="s">
        <v>28</v>
      </c>
      <c r="H583" t="s">
        <v>81</v>
      </c>
      <c r="I583" t="s">
        <v>9</v>
      </c>
      <c r="L583" t="s">
        <v>161</v>
      </c>
      <c r="M583">
        <v>-14400000</v>
      </c>
    </row>
    <row r="584" spans="1:13" x14ac:dyDescent="0.3">
      <c r="A584" s="23">
        <v>44740</v>
      </c>
      <c r="B584" t="s">
        <v>13</v>
      </c>
      <c r="C584" t="s">
        <v>143</v>
      </c>
      <c r="D584" t="s">
        <v>17</v>
      </c>
      <c r="E584" t="s">
        <v>149</v>
      </c>
      <c r="F584">
        <v>14369000</v>
      </c>
      <c r="G584" t="s">
        <v>140</v>
      </c>
      <c r="H584" t="s">
        <v>81</v>
      </c>
      <c r="I584" t="s">
        <v>9</v>
      </c>
      <c r="J584" s="23">
        <v>44740</v>
      </c>
      <c r="K584" t="s">
        <v>152</v>
      </c>
      <c r="L584" t="s">
        <v>221</v>
      </c>
      <c r="M584">
        <v>-14369000</v>
      </c>
    </row>
    <row r="585" spans="1:13" x14ac:dyDescent="0.3">
      <c r="A585" s="23">
        <v>45196</v>
      </c>
      <c r="B585" t="s">
        <v>13</v>
      </c>
      <c r="C585" t="s">
        <v>143</v>
      </c>
      <c r="D585" t="s">
        <v>17</v>
      </c>
      <c r="E585" t="s">
        <v>149</v>
      </c>
      <c r="F585">
        <v>14358004.869999999</v>
      </c>
      <c r="G585" t="s">
        <v>140</v>
      </c>
      <c r="H585" t="s">
        <v>81</v>
      </c>
      <c r="I585" t="s">
        <v>9</v>
      </c>
      <c r="M585">
        <v>-14358004.869999999</v>
      </c>
    </row>
    <row r="586" spans="1:13" x14ac:dyDescent="0.3">
      <c r="A586" s="23">
        <v>45195</v>
      </c>
      <c r="B586" t="s">
        <v>13</v>
      </c>
      <c r="C586" t="s">
        <v>132</v>
      </c>
      <c r="D586" t="s">
        <v>17</v>
      </c>
      <c r="E586" t="s">
        <v>41</v>
      </c>
      <c r="F586">
        <v>14300000</v>
      </c>
      <c r="G586" t="s">
        <v>26</v>
      </c>
      <c r="H586" t="s">
        <v>81</v>
      </c>
      <c r="I586" t="s">
        <v>9</v>
      </c>
      <c r="L586" t="s">
        <v>161</v>
      </c>
      <c r="M586">
        <v>-14300000</v>
      </c>
    </row>
    <row r="587" spans="1:13" x14ac:dyDescent="0.3">
      <c r="A587" s="23">
        <v>45308</v>
      </c>
      <c r="B587" t="s">
        <v>13</v>
      </c>
      <c r="C587" t="s">
        <v>132</v>
      </c>
      <c r="D587" t="s">
        <v>17</v>
      </c>
      <c r="E587" t="s">
        <v>46</v>
      </c>
      <c r="F587">
        <v>14200000</v>
      </c>
      <c r="G587" t="s">
        <v>28</v>
      </c>
      <c r="H587" t="s">
        <v>81</v>
      </c>
      <c r="I587" t="s">
        <v>9</v>
      </c>
      <c r="L587" t="s">
        <v>161</v>
      </c>
      <c r="M587">
        <v>-14200000</v>
      </c>
    </row>
    <row r="588" spans="1:13" x14ac:dyDescent="0.3">
      <c r="A588" s="23">
        <v>45562</v>
      </c>
      <c r="B588" t="s">
        <v>13</v>
      </c>
      <c r="C588" t="s">
        <v>132</v>
      </c>
      <c r="D588" t="s">
        <v>17</v>
      </c>
      <c r="E588" t="s">
        <v>41</v>
      </c>
      <c r="F588">
        <v>14100000</v>
      </c>
      <c r="G588" t="s">
        <v>26</v>
      </c>
      <c r="H588" t="s">
        <v>81</v>
      </c>
      <c r="I588" t="s">
        <v>9</v>
      </c>
      <c r="L588" t="s">
        <v>161</v>
      </c>
      <c r="M588">
        <v>-14100000</v>
      </c>
    </row>
    <row r="589" spans="1:13" x14ac:dyDescent="0.3">
      <c r="A589" s="23">
        <v>45244</v>
      </c>
      <c r="B589" t="s">
        <v>13</v>
      </c>
      <c r="C589" t="s">
        <v>132</v>
      </c>
      <c r="D589" t="s">
        <v>17</v>
      </c>
      <c r="E589" t="s">
        <v>46</v>
      </c>
      <c r="F589">
        <v>14100000</v>
      </c>
      <c r="G589" t="s">
        <v>28</v>
      </c>
      <c r="H589" t="s">
        <v>81</v>
      </c>
      <c r="I589" t="s">
        <v>9</v>
      </c>
      <c r="L589" t="s">
        <v>161</v>
      </c>
      <c r="M589">
        <v>-14100000</v>
      </c>
    </row>
    <row r="590" spans="1:13" x14ac:dyDescent="0.3">
      <c r="A590" s="23">
        <v>45296</v>
      </c>
      <c r="B590" t="s">
        <v>13</v>
      </c>
      <c r="C590" t="s">
        <v>132</v>
      </c>
      <c r="D590" t="s">
        <v>17</v>
      </c>
      <c r="E590" t="s">
        <v>41</v>
      </c>
      <c r="F590">
        <v>14000000</v>
      </c>
      <c r="G590" t="s">
        <v>26</v>
      </c>
      <c r="H590" t="s">
        <v>81</v>
      </c>
      <c r="I590" t="s">
        <v>9</v>
      </c>
      <c r="L590" t="s">
        <v>161</v>
      </c>
      <c r="M590">
        <v>-14000000</v>
      </c>
    </row>
    <row r="591" spans="1:13" x14ac:dyDescent="0.3">
      <c r="A591" s="23">
        <v>45461</v>
      </c>
      <c r="B591" t="s">
        <v>13</v>
      </c>
      <c r="C591" t="s">
        <v>132</v>
      </c>
      <c r="D591" t="s">
        <v>17</v>
      </c>
      <c r="E591" t="s">
        <v>48</v>
      </c>
      <c r="F591">
        <v>13900000</v>
      </c>
      <c r="G591" t="s">
        <v>29</v>
      </c>
      <c r="H591" t="s">
        <v>81</v>
      </c>
      <c r="I591" t="s">
        <v>9</v>
      </c>
      <c r="L591" t="s">
        <v>161</v>
      </c>
      <c r="M591">
        <v>-13900000</v>
      </c>
    </row>
    <row r="592" spans="1:13" x14ac:dyDescent="0.3">
      <c r="A592" s="23">
        <v>44812</v>
      </c>
      <c r="B592" t="s">
        <v>13</v>
      </c>
      <c r="C592" t="s">
        <v>143</v>
      </c>
      <c r="D592" t="s">
        <v>17</v>
      </c>
      <c r="E592" t="s">
        <v>149</v>
      </c>
      <c r="F592">
        <v>13893360.85</v>
      </c>
      <c r="G592" t="s">
        <v>140</v>
      </c>
      <c r="H592" t="s">
        <v>81</v>
      </c>
      <c r="I592" t="s">
        <v>9</v>
      </c>
      <c r="J592" s="23">
        <v>44812</v>
      </c>
      <c r="L592" t="s">
        <v>235</v>
      </c>
      <c r="M592">
        <v>-13893360.85</v>
      </c>
    </row>
    <row r="593" spans="1:13" x14ac:dyDescent="0.3">
      <c r="A593" s="23">
        <v>45624</v>
      </c>
      <c r="B593" t="s">
        <v>13</v>
      </c>
      <c r="C593" t="s">
        <v>132</v>
      </c>
      <c r="D593" t="s">
        <v>17</v>
      </c>
      <c r="E593" t="s">
        <v>41</v>
      </c>
      <c r="F593">
        <v>13700000</v>
      </c>
      <c r="G593" t="s">
        <v>26</v>
      </c>
      <c r="H593" t="s">
        <v>81</v>
      </c>
      <c r="I593" t="s">
        <v>9</v>
      </c>
      <c r="L593" t="s">
        <v>161</v>
      </c>
      <c r="M593">
        <v>-13700000</v>
      </c>
    </row>
    <row r="594" spans="1:13" x14ac:dyDescent="0.3">
      <c r="A594" s="23">
        <v>44901</v>
      </c>
      <c r="B594" t="s">
        <v>13</v>
      </c>
      <c r="C594" t="s">
        <v>132</v>
      </c>
      <c r="D594" t="s">
        <v>17</v>
      </c>
      <c r="E594" t="s">
        <v>46</v>
      </c>
      <c r="F594">
        <v>13700000</v>
      </c>
      <c r="G594" t="s">
        <v>28</v>
      </c>
      <c r="H594" t="s">
        <v>81</v>
      </c>
      <c r="I594" t="s">
        <v>9</v>
      </c>
      <c r="L594" t="s">
        <v>161</v>
      </c>
      <c r="M594">
        <v>-13700000</v>
      </c>
    </row>
    <row r="595" spans="1:13" x14ac:dyDescent="0.3">
      <c r="A595" s="23">
        <v>45632</v>
      </c>
      <c r="B595" t="s">
        <v>13</v>
      </c>
      <c r="C595" t="s">
        <v>132</v>
      </c>
      <c r="D595" t="s">
        <v>17</v>
      </c>
      <c r="E595" t="s">
        <v>41</v>
      </c>
      <c r="F595">
        <v>13600000</v>
      </c>
      <c r="G595" t="s">
        <v>26</v>
      </c>
      <c r="H595" t="s">
        <v>81</v>
      </c>
      <c r="I595" t="s">
        <v>9</v>
      </c>
      <c r="L595" t="s">
        <v>161</v>
      </c>
      <c r="M595">
        <v>-13600000</v>
      </c>
    </row>
    <row r="596" spans="1:13" x14ac:dyDescent="0.3">
      <c r="A596" s="23">
        <v>45163</v>
      </c>
      <c r="B596" t="s">
        <v>13</v>
      </c>
      <c r="C596" t="s">
        <v>143</v>
      </c>
      <c r="D596" t="s">
        <v>17</v>
      </c>
      <c r="E596" t="s">
        <v>149</v>
      </c>
      <c r="F596">
        <v>13535248.710000001</v>
      </c>
      <c r="G596" t="s">
        <v>140</v>
      </c>
      <c r="H596" t="s">
        <v>81</v>
      </c>
      <c r="I596" t="s">
        <v>9</v>
      </c>
      <c r="M596">
        <v>-13535248.710000001</v>
      </c>
    </row>
    <row r="597" spans="1:13" x14ac:dyDescent="0.3">
      <c r="A597" s="23">
        <v>44734</v>
      </c>
      <c r="B597" t="s">
        <v>13</v>
      </c>
      <c r="C597" t="s">
        <v>132</v>
      </c>
      <c r="D597" t="s">
        <v>17</v>
      </c>
      <c r="E597" t="s">
        <v>41</v>
      </c>
      <c r="F597">
        <v>13500000</v>
      </c>
      <c r="G597" t="s">
        <v>26</v>
      </c>
      <c r="H597" t="s">
        <v>81</v>
      </c>
      <c r="I597" t="s">
        <v>9</v>
      </c>
      <c r="L597" t="s">
        <v>161</v>
      </c>
      <c r="M597">
        <v>-13500000</v>
      </c>
    </row>
    <row r="598" spans="1:13" x14ac:dyDescent="0.3">
      <c r="A598" s="23">
        <v>44908</v>
      </c>
      <c r="B598" t="s">
        <v>13</v>
      </c>
      <c r="C598" t="s">
        <v>132</v>
      </c>
      <c r="D598" t="s">
        <v>17</v>
      </c>
      <c r="E598" t="s">
        <v>46</v>
      </c>
      <c r="F598">
        <v>13500000</v>
      </c>
      <c r="G598" t="s">
        <v>28</v>
      </c>
      <c r="H598" t="s">
        <v>81</v>
      </c>
      <c r="I598" t="s">
        <v>9</v>
      </c>
      <c r="L598" t="s">
        <v>161</v>
      </c>
      <c r="M598">
        <v>-13500000</v>
      </c>
    </row>
    <row r="599" spans="1:13" x14ac:dyDescent="0.3">
      <c r="A599" s="23">
        <v>45531</v>
      </c>
      <c r="B599" t="s">
        <v>13</v>
      </c>
      <c r="C599" t="s">
        <v>132</v>
      </c>
      <c r="D599" t="s">
        <v>17</v>
      </c>
      <c r="E599" t="s">
        <v>48</v>
      </c>
      <c r="F599">
        <v>13500000</v>
      </c>
      <c r="G599" t="s">
        <v>29</v>
      </c>
      <c r="H599" t="s">
        <v>81</v>
      </c>
      <c r="I599" t="s">
        <v>9</v>
      </c>
      <c r="L599" t="s">
        <v>161</v>
      </c>
      <c r="M599">
        <v>-13500000</v>
      </c>
    </row>
    <row r="600" spans="1:13" x14ac:dyDescent="0.3">
      <c r="A600" s="23">
        <v>45394</v>
      </c>
      <c r="B600" t="s">
        <v>13</v>
      </c>
      <c r="C600" t="s">
        <v>132</v>
      </c>
      <c r="D600" t="s">
        <v>17</v>
      </c>
      <c r="E600" t="s">
        <v>48</v>
      </c>
      <c r="F600">
        <v>13500000</v>
      </c>
      <c r="G600" t="s">
        <v>29</v>
      </c>
      <c r="H600" t="s">
        <v>81</v>
      </c>
      <c r="I600" t="s">
        <v>9</v>
      </c>
      <c r="L600" t="s">
        <v>161</v>
      </c>
      <c r="M600">
        <v>-13500000</v>
      </c>
    </row>
    <row r="601" spans="1:13" x14ac:dyDescent="0.3">
      <c r="A601" s="23">
        <v>44942</v>
      </c>
      <c r="B601" t="s">
        <v>13</v>
      </c>
      <c r="C601" t="s">
        <v>132</v>
      </c>
      <c r="D601" t="s">
        <v>17</v>
      </c>
      <c r="E601" t="s">
        <v>41</v>
      </c>
      <c r="F601">
        <v>13400000</v>
      </c>
      <c r="G601" t="s">
        <v>26</v>
      </c>
      <c r="H601" t="s">
        <v>81</v>
      </c>
      <c r="I601" t="s">
        <v>9</v>
      </c>
      <c r="L601" t="s">
        <v>161</v>
      </c>
      <c r="M601">
        <v>-13400000</v>
      </c>
    </row>
    <row r="602" spans="1:13" x14ac:dyDescent="0.3">
      <c r="A602" s="23">
        <v>44593</v>
      </c>
      <c r="B602" t="s">
        <v>13</v>
      </c>
      <c r="C602" t="s">
        <v>132</v>
      </c>
      <c r="D602" t="s">
        <v>17</v>
      </c>
      <c r="E602" t="s">
        <v>41</v>
      </c>
      <c r="F602">
        <v>13200000</v>
      </c>
      <c r="G602" t="s">
        <v>26</v>
      </c>
      <c r="H602" t="s">
        <v>81</v>
      </c>
      <c r="I602" t="s">
        <v>9</v>
      </c>
      <c r="L602" t="s">
        <v>161</v>
      </c>
      <c r="M602">
        <v>-13200000</v>
      </c>
    </row>
    <row r="603" spans="1:13" x14ac:dyDescent="0.3">
      <c r="A603" s="23">
        <v>44677</v>
      </c>
      <c r="B603" t="s">
        <v>13</v>
      </c>
      <c r="C603" t="s">
        <v>132</v>
      </c>
      <c r="D603" t="s">
        <v>17</v>
      </c>
      <c r="E603" t="s">
        <v>41</v>
      </c>
      <c r="F603">
        <v>13000000</v>
      </c>
      <c r="G603" t="s">
        <v>26</v>
      </c>
      <c r="H603" t="s">
        <v>81</v>
      </c>
      <c r="I603" t="s">
        <v>9</v>
      </c>
      <c r="L603" t="s">
        <v>161</v>
      </c>
      <c r="M603">
        <v>-13000000</v>
      </c>
    </row>
    <row r="604" spans="1:13" x14ac:dyDescent="0.3">
      <c r="A604" s="23">
        <v>45205</v>
      </c>
      <c r="B604" t="s">
        <v>13</v>
      </c>
      <c r="C604" t="s">
        <v>143</v>
      </c>
      <c r="D604" t="s">
        <v>17</v>
      </c>
      <c r="E604" t="s">
        <v>149</v>
      </c>
      <c r="F604">
        <v>12924438.74</v>
      </c>
      <c r="G604" t="s">
        <v>140</v>
      </c>
      <c r="H604" t="s">
        <v>81</v>
      </c>
      <c r="I604" t="s">
        <v>9</v>
      </c>
      <c r="M604">
        <v>-12924438.74</v>
      </c>
    </row>
    <row r="605" spans="1:13" x14ac:dyDescent="0.3">
      <c r="A605" s="23">
        <v>44704</v>
      </c>
      <c r="B605" t="s">
        <v>13</v>
      </c>
      <c r="C605" t="s">
        <v>132</v>
      </c>
      <c r="D605" t="s">
        <v>17</v>
      </c>
      <c r="E605" t="s">
        <v>41</v>
      </c>
      <c r="F605">
        <v>12600000</v>
      </c>
      <c r="G605" t="s">
        <v>26</v>
      </c>
      <c r="H605" t="s">
        <v>81</v>
      </c>
      <c r="I605" t="s">
        <v>9</v>
      </c>
      <c r="L605" t="s">
        <v>161</v>
      </c>
      <c r="M605">
        <v>-12600000</v>
      </c>
    </row>
    <row r="606" spans="1:13" x14ac:dyDescent="0.3">
      <c r="A606" s="23">
        <v>44722</v>
      </c>
      <c r="B606" t="s">
        <v>13</v>
      </c>
      <c r="C606" t="s">
        <v>132</v>
      </c>
      <c r="D606" t="s">
        <v>17</v>
      </c>
      <c r="E606" t="s">
        <v>41</v>
      </c>
      <c r="F606">
        <v>12600000</v>
      </c>
      <c r="G606" t="s">
        <v>26</v>
      </c>
      <c r="H606" t="s">
        <v>81</v>
      </c>
      <c r="I606" t="s">
        <v>9</v>
      </c>
      <c r="L606" t="s">
        <v>161</v>
      </c>
      <c r="M606">
        <v>-12600000</v>
      </c>
    </row>
    <row r="607" spans="1:13" x14ac:dyDescent="0.3">
      <c r="A607" s="23">
        <v>45247</v>
      </c>
      <c r="B607" t="s">
        <v>13</v>
      </c>
      <c r="C607" t="s">
        <v>143</v>
      </c>
      <c r="D607" t="s">
        <v>17</v>
      </c>
      <c r="E607" t="s">
        <v>149</v>
      </c>
      <c r="F607">
        <v>12372404.859999999</v>
      </c>
      <c r="G607" t="s">
        <v>140</v>
      </c>
      <c r="H607" t="s">
        <v>81</v>
      </c>
      <c r="I607" t="s">
        <v>9</v>
      </c>
      <c r="M607">
        <v>-12372404.859999999</v>
      </c>
    </row>
    <row r="608" spans="1:13" x14ac:dyDescent="0.3">
      <c r="A608" s="23">
        <v>45664</v>
      </c>
      <c r="B608" t="s">
        <v>13</v>
      </c>
      <c r="C608" t="s">
        <v>132</v>
      </c>
      <c r="D608" t="s">
        <v>17</v>
      </c>
      <c r="E608" t="s">
        <v>46</v>
      </c>
      <c r="F608">
        <v>12300000</v>
      </c>
      <c r="G608" t="s">
        <v>28</v>
      </c>
      <c r="H608" t="s">
        <v>81</v>
      </c>
      <c r="I608" t="s">
        <v>9</v>
      </c>
      <c r="L608" t="s">
        <v>161</v>
      </c>
      <c r="M608">
        <v>-12300000</v>
      </c>
    </row>
    <row r="609" spans="1:13" x14ac:dyDescent="0.3">
      <c r="A609" s="23">
        <v>44662</v>
      </c>
      <c r="B609" t="s">
        <v>13</v>
      </c>
      <c r="C609" t="s">
        <v>132</v>
      </c>
      <c r="D609" t="s">
        <v>17</v>
      </c>
      <c r="E609" t="s">
        <v>41</v>
      </c>
      <c r="F609">
        <v>12200000</v>
      </c>
      <c r="G609" t="s">
        <v>26</v>
      </c>
      <c r="H609" t="s">
        <v>81</v>
      </c>
      <c r="I609" t="s">
        <v>9</v>
      </c>
      <c r="L609" t="s">
        <v>161</v>
      </c>
      <c r="M609">
        <v>-12200000</v>
      </c>
    </row>
    <row r="610" spans="1:13" x14ac:dyDescent="0.3">
      <c r="A610" s="23">
        <v>45505</v>
      </c>
      <c r="B610" t="s">
        <v>13</v>
      </c>
      <c r="C610" t="s">
        <v>132</v>
      </c>
      <c r="D610" t="s">
        <v>17</v>
      </c>
      <c r="E610" t="s">
        <v>41</v>
      </c>
      <c r="F610">
        <v>12000000</v>
      </c>
      <c r="G610" t="s">
        <v>26</v>
      </c>
      <c r="H610" t="s">
        <v>81</v>
      </c>
      <c r="I610" t="s">
        <v>9</v>
      </c>
      <c r="L610" t="s">
        <v>161</v>
      </c>
      <c r="M610">
        <v>-12000000</v>
      </c>
    </row>
    <row r="611" spans="1:13" x14ac:dyDescent="0.3">
      <c r="A611" s="23">
        <v>44837</v>
      </c>
      <c r="B611" t="s">
        <v>13</v>
      </c>
      <c r="C611" t="s">
        <v>132</v>
      </c>
      <c r="D611" t="s">
        <v>17</v>
      </c>
      <c r="E611" t="s">
        <v>46</v>
      </c>
      <c r="F611">
        <v>12000000</v>
      </c>
      <c r="G611" t="s">
        <v>28</v>
      </c>
      <c r="H611" t="s">
        <v>81</v>
      </c>
      <c r="I611" t="s">
        <v>9</v>
      </c>
      <c r="L611" t="s">
        <v>161</v>
      </c>
      <c r="M611">
        <v>-12000000</v>
      </c>
    </row>
    <row r="612" spans="1:13" x14ac:dyDescent="0.3">
      <c r="A612" s="23">
        <v>45715</v>
      </c>
      <c r="B612" t="s">
        <v>13</v>
      </c>
      <c r="C612" t="s">
        <v>132</v>
      </c>
      <c r="D612" t="s">
        <v>17</v>
      </c>
      <c r="E612" t="s">
        <v>136</v>
      </c>
      <c r="F612">
        <v>11873815.689999999</v>
      </c>
      <c r="G612" t="s">
        <v>134</v>
      </c>
      <c r="H612" t="s">
        <v>81</v>
      </c>
      <c r="I612" t="s">
        <v>9</v>
      </c>
      <c r="L612" t="s">
        <v>161</v>
      </c>
      <c r="M612">
        <v>-11873815.689999999</v>
      </c>
    </row>
    <row r="613" spans="1:13" x14ac:dyDescent="0.3">
      <c r="A613" s="23">
        <v>45636</v>
      </c>
      <c r="B613" t="s">
        <v>13</v>
      </c>
      <c r="C613" t="s">
        <v>132</v>
      </c>
      <c r="D613" t="s">
        <v>17</v>
      </c>
      <c r="E613" t="s">
        <v>41</v>
      </c>
      <c r="F613">
        <v>11700000</v>
      </c>
      <c r="G613" t="s">
        <v>26</v>
      </c>
      <c r="H613" t="s">
        <v>81</v>
      </c>
      <c r="I613" t="s">
        <v>9</v>
      </c>
      <c r="L613" t="s">
        <v>161</v>
      </c>
      <c r="M613">
        <v>-11700000</v>
      </c>
    </row>
    <row r="614" spans="1:13" x14ac:dyDescent="0.3">
      <c r="A614" s="23">
        <v>45628</v>
      </c>
      <c r="B614" t="s">
        <v>13</v>
      </c>
      <c r="C614" t="s">
        <v>132</v>
      </c>
      <c r="D614" t="s">
        <v>17</v>
      </c>
      <c r="E614" t="s">
        <v>46</v>
      </c>
      <c r="F614">
        <v>11700000</v>
      </c>
      <c r="G614" t="s">
        <v>28</v>
      </c>
      <c r="H614" t="s">
        <v>81</v>
      </c>
      <c r="I614" t="s">
        <v>9</v>
      </c>
      <c r="L614" t="s">
        <v>161</v>
      </c>
      <c r="M614">
        <v>-11700000</v>
      </c>
    </row>
    <row r="615" spans="1:13" x14ac:dyDescent="0.3">
      <c r="A615" s="23">
        <v>44831</v>
      </c>
      <c r="B615" t="s">
        <v>13</v>
      </c>
      <c r="C615" t="s">
        <v>132</v>
      </c>
      <c r="D615" t="s">
        <v>17</v>
      </c>
      <c r="E615" t="s">
        <v>136</v>
      </c>
      <c r="F615">
        <v>11623165.98</v>
      </c>
      <c r="G615" t="s">
        <v>134</v>
      </c>
      <c r="H615" t="s">
        <v>81</v>
      </c>
      <c r="I615" t="s">
        <v>9</v>
      </c>
      <c r="L615" t="s">
        <v>161</v>
      </c>
      <c r="M615">
        <v>-11623165.98</v>
      </c>
    </row>
    <row r="616" spans="1:13" x14ac:dyDescent="0.3">
      <c r="A616" s="23">
        <v>44816</v>
      </c>
      <c r="B616" t="s">
        <v>13</v>
      </c>
      <c r="C616" t="s">
        <v>132</v>
      </c>
      <c r="D616" t="s">
        <v>17</v>
      </c>
      <c r="E616" t="s">
        <v>41</v>
      </c>
      <c r="F616">
        <v>11600000</v>
      </c>
      <c r="G616" t="s">
        <v>26</v>
      </c>
      <c r="H616" t="s">
        <v>81</v>
      </c>
      <c r="I616" t="s">
        <v>9</v>
      </c>
      <c r="L616" t="s">
        <v>161</v>
      </c>
      <c r="M616">
        <v>-11600000</v>
      </c>
    </row>
    <row r="617" spans="1:13" x14ac:dyDescent="0.3">
      <c r="A617" s="23">
        <v>45258</v>
      </c>
      <c r="B617" t="s">
        <v>13</v>
      </c>
      <c r="C617" t="s">
        <v>132</v>
      </c>
      <c r="D617" t="s">
        <v>17</v>
      </c>
      <c r="E617" t="s">
        <v>136</v>
      </c>
      <c r="F617">
        <v>11556227.630000001</v>
      </c>
      <c r="G617" t="s">
        <v>134</v>
      </c>
      <c r="H617" t="s">
        <v>81</v>
      </c>
      <c r="I617" t="s">
        <v>9</v>
      </c>
      <c r="L617" t="s">
        <v>161</v>
      </c>
      <c r="M617">
        <v>-11556227.630000001</v>
      </c>
    </row>
    <row r="618" spans="1:13" x14ac:dyDescent="0.3">
      <c r="A618" s="23">
        <v>45166</v>
      </c>
      <c r="B618" t="s">
        <v>13</v>
      </c>
      <c r="C618" t="s">
        <v>132</v>
      </c>
      <c r="D618" t="s">
        <v>17</v>
      </c>
      <c r="E618" t="s">
        <v>136</v>
      </c>
      <c r="F618">
        <v>11400000</v>
      </c>
      <c r="G618" t="s">
        <v>134</v>
      </c>
      <c r="H618" t="s">
        <v>81</v>
      </c>
      <c r="I618" t="s">
        <v>9</v>
      </c>
      <c r="L618" t="s">
        <v>161</v>
      </c>
      <c r="M618">
        <v>-11400000</v>
      </c>
    </row>
    <row r="619" spans="1:13" x14ac:dyDescent="0.3">
      <c r="A619" s="23">
        <v>44893</v>
      </c>
      <c r="B619" t="s">
        <v>13</v>
      </c>
      <c r="C619" t="s">
        <v>132</v>
      </c>
      <c r="D619" t="s">
        <v>17</v>
      </c>
      <c r="E619" t="s">
        <v>41</v>
      </c>
      <c r="F619">
        <v>11400000</v>
      </c>
      <c r="G619" t="s">
        <v>26</v>
      </c>
      <c r="H619" t="s">
        <v>81</v>
      </c>
      <c r="I619" t="s">
        <v>9</v>
      </c>
      <c r="L619" t="s">
        <v>161</v>
      </c>
      <c r="M619">
        <v>-11400000</v>
      </c>
    </row>
    <row r="620" spans="1:13" x14ac:dyDescent="0.3">
      <c r="A620" s="23">
        <v>44607</v>
      </c>
      <c r="B620" t="s">
        <v>13</v>
      </c>
      <c r="C620" t="s">
        <v>132</v>
      </c>
      <c r="D620" t="s">
        <v>17</v>
      </c>
      <c r="E620" t="s">
        <v>41</v>
      </c>
      <c r="F620">
        <v>11300000</v>
      </c>
      <c r="G620" t="s">
        <v>26</v>
      </c>
      <c r="H620" t="s">
        <v>81</v>
      </c>
      <c r="I620" t="s">
        <v>9</v>
      </c>
      <c r="L620" t="s">
        <v>161</v>
      </c>
      <c r="M620">
        <v>-11300000</v>
      </c>
    </row>
    <row r="621" spans="1:13" x14ac:dyDescent="0.3">
      <c r="A621" s="23">
        <v>45189</v>
      </c>
      <c r="B621" t="s">
        <v>13</v>
      </c>
      <c r="C621" t="s">
        <v>143</v>
      </c>
      <c r="D621" t="s">
        <v>17</v>
      </c>
      <c r="E621" t="s">
        <v>149</v>
      </c>
      <c r="F621">
        <v>11154041.859999999</v>
      </c>
      <c r="G621" t="s">
        <v>140</v>
      </c>
      <c r="H621" t="s">
        <v>81</v>
      </c>
      <c r="I621" t="s">
        <v>9</v>
      </c>
      <c r="M621">
        <v>-11154041.859999999</v>
      </c>
    </row>
    <row r="622" spans="1:13" x14ac:dyDescent="0.3">
      <c r="A622" s="23">
        <v>44634</v>
      </c>
      <c r="B622" t="s">
        <v>13</v>
      </c>
      <c r="C622" t="s">
        <v>132</v>
      </c>
      <c r="D622" t="s">
        <v>17</v>
      </c>
      <c r="E622" t="s">
        <v>41</v>
      </c>
      <c r="F622">
        <v>11100000</v>
      </c>
      <c r="G622" t="s">
        <v>26</v>
      </c>
      <c r="H622" t="s">
        <v>81</v>
      </c>
      <c r="I622" t="s">
        <v>9</v>
      </c>
      <c r="L622" t="s">
        <v>161</v>
      </c>
      <c r="M622">
        <v>-11100000</v>
      </c>
    </row>
    <row r="623" spans="1:13" x14ac:dyDescent="0.3">
      <c r="A623" s="23">
        <v>45754</v>
      </c>
      <c r="B623" t="s">
        <v>13</v>
      </c>
      <c r="C623" t="s">
        <v>132</v>
      </c>
      <c r="D623" t="s">
        <v>17</v>
      </c>
      <c r="E623" t="s">
        <v>41</v>
      </c>
      <c r="F623">
        <v>11000000</v>
      </c>
      <c r="G623" t="s">
        <v>26</v>
      </c>
      <c r="H623" t="s">
        <v>81</v>
      </c>
      <c r="I623" t="s">
        <v>9</v>
      </c>
      <c r="L623" t="s">
        <v>161</v>
      </c>
      <c r="M623">
        <v>-11000000</v>
      </c>
    </row>
    <row r="624" spans="1:13" x14ac:dyDescent="0.3">
      <c r="A624" s="23">
        <v>44718</v>
      </c>
      <c r="B624" t="s">
        <v>13</v>
      </c>
      <c r="C624" t="s">
        <v>132</v>
      </c>
      <c r="D624" t="s">
        <v>17</v>
      </c>
      <c r="E624" t="s">
        <v>41</v>
      </c>
      <c r="F624">
        <v>11000000</v>
      </c>
      <c r="G624" t="s">
        <v>26</v>
      </c>
      <c r="H624" t="s">
        <v>81</v>
      </c>
      <c r="I624" t="s">
        <v>9</v>
      </c>
      <c r="L624" t="s">
        <v>161</v>
      </c>
      <c r="M624">
        <v>-11000000</v>
      </c>
    </row>
    <row r="625" spans="1:13" x14ac:dyDescent="0.3">
      <c r="A625" s="23">
        <v>45054</v>
      </c>
      <c r="B625" t="s">
        <v>13</v>
      </c>
      <c r="C625" t="s">
        <v>132</v>
      </c>
      <c r="D625" t="s">
        <v>17</v>
      </c>
      <c r="E625" t="s">
        <v>41</v>
      </c>
      <c r="F625">
        <v>11000000</v>
      </c>
      <c r="G625" t="s">
        <v>26</v>
      </c>
      <c r="H625" t="s">
        <v>81</v>
      </c>
      <c r="I625" t="s">
        <v>9</v>
      </c>
      <c r="L625" t="s">
        <v>161</v>
      </c>
      <c r="M625">
        <v>-11000000</v>
      </c>
    </row>
    <row r="626" spans="1:13" x14ac:dyDescent="0.3">
      <c r="A626" s="23">
        <v>45092</v>
      </c>
      <c r="B626" t="s">
        <v>13</v>
      </c>
      <c r="C626" t="s">
        <v>143</v>
      </c>
      <c r="D626" t="s">
        <v>17</v>
      </c>
      <c r="E626" t="s">
        <v>149</v>
      </c>
      <c r="F626">
        <v>11000000</v>
      </c>
      <c r="G626" t="s">
        <v>140</v>
      </c>
      <c r="H626" t="s">
        <v>81</v>
      </c>
      <c r="I626" t="s">
        <v>9</v>
      </c>
      <c r="M626">
        <v>-11000000</v>
      </c>
    </row>
    <row r="627" spans="1:13" x14ac:dyDescent="0.3">
      <c r="A627" s="23">
        <v>44740</v>
      </c>
      <c r="B627" t="s">
        <v>13</v>
      </c>
      <c r="C627" t="s">
        <v>132</v>
      </c>
      <c r="D627" t="s">
        <v>17</v>
      </c>
      <c r="E627" t="s">
        <v>41</v>
      </c>
      <c r="F627">
        <v>10900000</v>
      </c>
      <c r="G627" t="s">
        <v>26</v>
      </c>
      <c r="H627" t="s">
        <v>81</v>
      </c>
      <c r="I627" t="s">
        <v>9</v>
      </c>
      <c r="L627" t="s">
        <v>161</v>
      </c>
      <c r="M627">
        <v>-10900000</v>
      </c>
    </row>
    <row r="628" spans="1:13" x14ac:dyDescent="0.3">
      <c r="A628" s="23">
        <v>45091</v>
      </c>
      <c r="B628" t="s">
        <v>13</v>
      </c>
      <c r="C628" t="s">
        <v>143</v>
      </c>
      <c r="D628" t="s">
        <v>17</v>
      </c>
      <c r="E628" t="s">
        <v>149</v>
      </c>
      <c r="F628">
        <v>10802104.970000001</v>
      </c>
      <c r="G628" t="s">
        <v>140</v>
      </c>
      <c r="H628" t="s">
        <v>81</v>
      </c>
      <c r="I628" t="s">
        <v>9</v>
      </c>
      <c r="J628" t="s">
        <v>155</v>
      </c>
      <c r="M628">
        <v>-10802104.970000001</v>
      </c>
    </row>
    <row r="629" spans="1:13" x14ac:dyDescent="0.3">
      <c r="A629" s="23">
        <v>45359</v>
      </c>
      <c r="B629" t="s">
        <v>13</v>
      </c>
      <c r="C629" t="s">
        <v>132</v>
      </c>
      <c r="D629" t="s">
        <v>17</v>
      </c>
      <c r="E629" t="s">
        <v>46</v>
      </c>
      <c r="F629">
        <v>10700000</v>
      </c>
      <c r="G629" t="s">
        <v>28</v>
      </c>
      <c r="H629" t="s">
        <v>81</v>
      </c>
      <c r="I629" t="s">
        <v>9</v>
      </c>
      <c r="L629" t="s">
        <v>161</v>
      </c>
      <c r="M629">
        <v>-10700000</v>
      </c>
    </row>
    <row r="630" spans="1:13" x14ac:dyDescent="0.3">
      <c r="A630" s="23">
        <v>44924</v>
      </c>
      <c r="B630" t="s">
        <v>13</v>
      </c>
      <c r="C630" t="s">
        <v>132</v>
      </c>
      <c r="D630" t="s">
        <v>17</v>
      </c>
      <c r="E630" t="s">
        <v>48</v>
      </c>
      <c r="F630">
        <v>10700000</v>
      </c>
      <c r="G630" t="s">
        <v>29</v>
      </c>
      <c r="H630" t="s">
        <v>81</v>
      </c>
      <c r="I630" t="s">
        <v>9</v>
      </c>
      <c r="L630" t="s">
        <v>161</v>
      </c>
      <c r="M630">
        <v>-10700000</v>
      </c>
    </row>
    <row r="631" spans="1:13" x14ac:dyDescent="0.3">
      <c r="A631" s="23">
        <v>45366</v>
      </c>
      <c r="B631" t="s">
        <v>13</v>
      </c>
      <c r="C631" t="s">
        <v>132</v>
      </c>
      <c r="D631" t="s">
        <v>17</v>
      </c>
      <c r="E631" t="s">
        <v>46</v>
      </c>
      <c r="F631">
        <v>10600000</v>
      </c>
      <c r="G631" t="s">
        <v>28</v>
      </c>
      <c r="H631" t="s">
        <v>81</v>
      </c>
      <c r="I631" t="s">
        <v>9</v>
      </c>
      <c r="L631" t="s">
        <v>161</v>
      </c>
      <c r="M631">
        <v>-10600000</v>
      </c>
    </row>
    <row r="632" spans="1:13" x14ac:dyDescent="0.3">
      <c r="A632" s="23">
        <v>45678</v>
      </c>
      <c r="B632" t="s">
        <v>13</v>
      </c>
      <c r="C632" t="s">
        <v>132</v>
      </c>
      <c r="D632" t="s">
        <v>17</v>
      </c>
      <c r="E632" t="s">
        <v>195</v>
      </c>
      <c r="F632">
        <v>10548135.560000001</v>
      </c>
      <c r="G632" t="s">
        <v>134</v>
      </c>
      <c r="H632" t="s">
        <v>81</v>
      </c>
      <c r="I632" t="s">
        <v>9</v>
      </c>
      <c r="L632" t="s">
        <v>161</v>
      </c>
      <c r="M632">
        <v>-10548135.560000001</v>
      </c>
    </row>
    <row r="633" spans="1:13" x14ac:dyDescent="0.3">
      <c r="A633" s="23">
        <v>45131</v>
      </c>
      <c r="B633" t="s">
        <v>13</v>
      </c>
      <c r="C633" t="s">
        <v>143</v>
      </c>
      <c r="D633" t="s">
        <v>17</v>
      </c>
      <c r="E633" t="s">
        <v>149</v>
      </c>
      <c r="F633">
        <v>10430137.689999999</v>
      </c>
      <c r="G633" t="s">
        <v>140</v>
      </c>
      <c r="H633" t="s">
        <v>81</v>
      </c>
      <c r="I633" t="s">
        <v>9</v>
      </c>
      <c r="M633">
        <v>-10430137.689999999</v>
      </c>
    </row>
    <row r="634" spans="1:13" x14ac:dyDescent="0.3">
      <c r="A634" s="23">
        <v>45299</v>
      </c>
      <c r="B634" t="s">
        <v>13</v>
      </c>
      <c r="C634" t="s">
        <v>132</v>
      </c>
      <c r="D634" t="s">
        <v>17</v>
      </c>
      <c r="E634" t="s">
        <v>136</v>
      </c>
      <c r="F634">
        <v>10281059.210000001</v>
      </c>
      <c r="G634" t="s">
        <v>134</v>
      </c>
      <c r="H634" t="s">
        <v>81</v>
      </c>
      <c r="I634" t="s">
        <v>9</v>
      </c>
      <c r="L634" t="s">
        <v>161</v>
      </c>
      <c r="M634">
        <v>-10281059.210000001</v>
      </c>
    </row>
    <row r="635" spans="1:13" x14ac:dyDescent="0.3">
      <c r="A635" s="23">
        <v>44608</v>
      </c>
      <c r="B635" t="s">
        <v>13</v>
      </c>
      <c r="C635" t="s">
        <v>132</v>
      </c>
      <c r="D635" t="s">
        <v>17</v>
      </c>
      <c r="E635" t="s">
        <v>41</v>
      </c>
      <c r="F635">
        <v>10200000</v>
      </c>
      <c r="G635" t="s">
        <v>26</v>
      </c>
      <c r="H635" t="s">
        <v>81</v>
      </c>
      <c r="I635" t="s">
        <v>9</v>
      </c>
      <c r="L635" t="s">
        <v>161</v>
      </c>
      <c r="M635">
        <v>-10200000</v>
      </c>
    </row>
    <row r="636" spans="1:13" x14ac:dyDescent="0.3">
      <c r="A636" s="23">
        <v>44853</v>
      </c>
      <c r="B636" t="s">
        <v>13</v>
      </c>
      <c r="C636" t="s">
        <v>132</v>
      </c>
      <c r="D636" t="s">
        <v>17</v>
      </c>
      <c r="E636" t="s">
        <v>41</v>
      </c>
      <c r="F636">
        <v>10200000</v>
      </c>
      <c r="G636" t="s">
        <v>26</v>
      </c>
      <c r="H636" t="s">
        <v>81</v>
      </c>
      <c r="I636" t="s">
        <v>9</v>
      </c>
      <c r="L636" t="s">
        <v>161</v>
      </c>
      <c r="M636">
        <v>-10200000</v>
      </c>
    </row>
    <row r="637" spans="1:13" x14ac:dyDescent="0.3">
      <c r="A637" s="23">
        <v>44769</v>
      </c>
      <c r="B637" t="s">
        <v>13</v>
      </c>
      <c r="C637" t="s">
        <v>132</v>
      </c>
      <c r="D637" t="s">
        <v>17</v>
      </c>
      <c r="E637" t="s">
        <v>41</v>
      </c>
      <c r="F637">
        <v>10100000</v>
      </c>
      <c r="G637" t="s">
        <v>26</v>
      </c>
      <c r="H637" t="s">
        <v>81</v>
      </c>
      <c r="I637" t="s">
        <v>9</v>
      </c>
      <c r="L637" t="s">
        <v>161</v>
      </c>
      <c r="M637">
        <v>-10100000</v>
      </c>
    </row>
    <row r="638" spans="1:13" x14ac:dyDescent="0.3">
      <c r="A638" s="23">
        <v>45393</v>
      </c>
      <c r="B638" t="s">
        <v>13</v>
      </c>
      <c r="C638" t="s">
        <v>132</v>
      </c>
      <c r="D638" t="s">
        <v>17</v>
      </c>
      <c r="E638" t="s">
        <v>41</v>
      </c>
      <c r="F638">
        <v>10100000</v>
      </c>
      <c r="G638" t="s">
        <v>26</v>
      </c>
      <c r="H638" t="s">
        <v>81</v>
      </c>
      <c r="I638" t="s">
        <v>9</v>
      </c>
      <c r="L638" t="s">
        <v>161</v>
      </c>
      <c r="M638">
        <v>-10100000</v>
      </c>
    </row>
    <row r="639" spans="1:13" x14ac:dyDescent="0.3">
      <c r="A639" s="23">
        <v>45240</v>
      </c>
      <c r="B639" t="s">
        <v>13</v>
      </c>
      <c r="C639" t="s">
        <v>132</v>
      </c>
      <c r="D639" t="s">
        <v>17</v>
      </c>
      <c r="E639" t="s">
        <v>41</v>
      </c>
      <c r="F639">
        <v>10100000</v>
      </c>
      <c r="G639" t="s">
        <v>26</v>
      </c>
      <c r="H639" t="s">
        <v>81</v>
      </c>
      <c r="I639" t="s">
        <v>9</v>
      </c>
      <c r="L639" t="s">
        <v>161</v>
      </c>
      <c r="M639">
        <v>-10100000</v>
      </c>
    </row>
    <row r="640" spans="1:13" x14ac:dyDescent="0.3">
      <c r="A640" s="23">
        <v>45261</v>
      </c>
      <c r="B640" t="s">
        <v>13</v>
      </c>
      <c r="C640" t="s">
        <v>143</v>
      </c>
      <c r="D640" t="s">
        <v>17</v>
      </c>
      <c r="E640" t="s">
        <v>149</v>
      </c>
      <c r="F640">
        <v>10093335.65</v>
      </c>
      <c r="G640" t="s">
        <v>140</v>
      </c>
      <c r="H640" t="s">
        <v>81</v>
      </c>
      <c r="I640" t="s">
        <v>9</v>
      </c>
      <c r="M640">
        <v>-10093335.65</v>
      </c>
    </row>
    <row r="641" spans="1:13" x14ac:dyDescent="0.3">
      <c r="A641" s="23">
        <v>45266</v>
      </c>
      <c r="B641" t="s">
        <v>13</v>
      </c>
      <c r="C641" t="s">
        <v>143</v>
      </c>
      <c r="D641" t="s">
        <v>17</v>
      </c>
      <c r="E641" t="s">
        <v>149</v>
      </c>
      <c r="F641">
        <v>10012582.109999999</v>
      </c>
      <c r="G641" t="s">
        <v>140</v>
      </c>
      <c r="H641" t="s">
        <v>81</v>
      </c>
      <c r="I641" t="s">
        <v>9</v>
      </c>
      <c r="M641">
        <v>-10012582.109999999</v>
      </c>
    </row>
    <row r="642" spans="1:13" x14ac:dyDescent="0.3">
      <c r="A642" s="23">
        <v>45433</v>
      </c>
      <c r="B642" t="s">
        <v>13</v>
      </c>
      <c r="C642" t="s">
        <v>132</v>
      </c>
      <c r="D642" t="s">
        <v>17</v>
      </c>
      <c r="E642" t="s">
        <v>46</v>
      </c>
      <c r="F642">
        <v>10000000</v>
      </c>
      <c r="G642" t="s">
        <v>28</v>
      </c>
      <c r="H642" t="s">
        <v>81</v>
      </c>
      <c r="I642" t="s">
        <v>9</v>
      </c>
      <c r="L642" t="s">
        <v>161</v>
      </c>
      <c r="M642">
        <v>-10000000</v>
      </c>
    </row>
    <row r="643" spans="1:13" x14ac:dyDescent="0.3">
      <c r="A643" s="23">
        <v>45397</v>
      </c>
      <c r="B643" t="s">
        <v>13</v>
      </c>
      <c r="C643" t="s">
        <v>132</v>
      </c>
      <c r="D643" t="s">
        <v>17</v>
      </c>
      <c r="E643" t="s">
        <v>46</v>
      </c>
      <c r="F643">
        <v>10000000</v>
      </c>
      <c r="G643" t="s">
        <v>28</v>
      </c>
      <c r="H643" t="s">
        <v>81</v>
      </c>
      <c r="I643" t="s">
        <v>9</v>
      </c>
      <c r="L643" t="s">
        <v>161</v>
      </c>
      <c r="M643">
        <v>-10000000</v>
      </c>
    </row>
    <row r="644" spans="1:13" x14ac:dyDescent="0.3">
      <c r="A644" s="23">
        <v>44909</v>
      </c>
      <c r="B644" t="s">
        <v>13</v>
      </c>
      <c r="C644" t="s">
        <v>132</v>
      </c>
      <c r="D644" t="s">
        <v>17</v>
      </c>
      <c r="E644" t="s">
        <v>46</v>
      </c>
      <c r="F644">
        <v>10000000</v>
      </c>
      <c r="G644" t="s">
        <v>28</v>
      </c>
      <c r="H644" t="s">
        <v>81</v>
      </c>
      <c r="I644" t="s">
        <v>9</v>
      </c>
      <c r="L644" t="s">
        <v>161</v>
      </c>
      <c r="M644">
        <v>-10000000</v>
      </c>
    </row>
    <row r="645" spans="1:13" x14ac:dyDescent="0.3">
      <c r="A645" s="23">
        <v>44692</v>
      </c>
      <c r="B645" t="s">
        <v>13</v>
      </c>
      <c r="C645" t="s">
        <v>132</v>
      </c>
      <c r="D645" t="s">
        <v>17</v>
      </c>
      <c r="E645" t="s">
        <v>139</v>
      </c>
      <c r="F645">
        <v>10000000</v>
      </c>
      <c r="G645" t="s">
        <v>140</v>
      </c>
      <c r="H645" t="s">
        <v>81</v>
      </c>
      <c r="I645" t="s">
        <v>9</v>
      </c>
      <c r="L645" t="s">
        <v>161</v>
      </c>
      <c r="M645">
        <v>-10000000</v>
      </c>
    </row>
    <row r="646" spans="1:13" x14ac:dyDescent="0.3">
      <c r="A646" s="23">
        <v>45629</v>
      </c>
      <c r="B646" t="s">
        <v>13</v>
      </c>
      <c r="C646" t="s">
        <v>132</v>
      </c>
      <c r="D646" t="s">
        <v>17</v>
      </c>
      <c r="E646" t="s">
        <v>48</v>
      </c>
      <c r="F646">
        <v>10000000</v>
      </c>
      <c r="G646" t="s">
        <v>29</v>
      </c>
      <c r="H646" t="s">
        <v>81</v>
      </c>
      <c r="I646" t="s">
        <v>9</v>
      </c>
      <c r="L646" t="s">
        <v>161</v>
      </c>
      <c r="M646">
        <v>-10000000</v>
      </c>
    </row>
    <row r="647" spans="1:13" x14ac:dyDescent="0.3">
      <c r="A647" s="23">
        <v>44888</v>
      </c>
      <c r="B647" t="s">
        <v>13</v>
      </c>
      <c r="C647" t="s">
        <v>132</v>
      </c>
      <c r="D647" t="s">
        <v>17</v>
      </c>
      <c r="E647" t="s">
        <v>48</v>
      </c>
      <c r="F647">
        <v>10000000</v>
      </c>
      <c r="G647" t="s">
        <v>29</v>
      </c>
      <c r="H647" t="s">
        <v>81</v>
      </c>
      <c r="I647" t="s">
        <v>9</v>
      </c>
      <c r="L647" t="s">
        <v>161</v>
      </c>
      <c r="M647">
        <v>-10000000</v>
      </c>
    </row>
    <row r="648" spans="1:13" x14ac:dyDescent="0.3">
      <c r="A648" s="23">
        <v>44750</v>
      </c>
      <c r="B648" t="s">
        <v>13</v>
      </c>
      <c r="C648" t="s">
        <v>143</v>
      </c>
      <c r="D648" t="s">
        <v>17</v>
      </c>
      <c r="E648" t="s">
        <v>149</v>
      </c>
      <c r="F648">
        <v>10000000</v>
      </c>
      <c r="G648" t="s">
        <v>140</v>
      </c>
      <c r="H648" t="s">
        <v>81</v>
      </c>
      <c r="I648" t="s">
        <v>9</v>
      </c>
      <c r="J648" s="23">
        <v>44749</v>
      </c>
      <c r="L648" t="s">
        <v>222</v>
      </c>
      <c r="M648">
        <v>-10000000</v>
      </c>
    </row>
    <row r="649" spans="1:13" x14ac:dyDescent="0.3">
      <c r="A649" s="23">
        <v>45091</v>
      </c>
      <c r="B649" t="s">
        <v>13</v>
      </c>
      <c r="C649" t="s">
        <v>143</v>
      </c>
      <c r="D649" t="s">
        <v>17</v>
      </c>
      <c r="E649" t="s">
        <v>149</v>
      </c>
      <c r="F649">
        <v>10000000</v>
      </c>
      <c r="G649" t="s">
        <v>140</v>
      </c>
      <c r="H649" t="s">
        <v>81</v>
      </c>
      <c r="I649" t="s">
        <v>9</v>
      </c>
      <c r="M649">
        <v>-10000000</v>
      </c>
    </row>
    <row r="650" spans="1:13" x14ac:dyDescent="0.3">
      <c r="A650" s="23">
        <v>45629</v>
      </c>
      <c r="B650" t="s">
        <v>13</v>
      </c>
      <c r="C650" t="s">
        <v>132</v>
      </c>
      <c r="D650" t="s">
        <v>17</v>
      </c>
      <c r="E650" t="s">
        <v>180</v>
      </c>
      <c r="F650">
        <v>10000000</v>
      </c>
      <c r="G650" t="s">
        <v>181</v>
      </c>
      <c r="H650" t="s">
        <v>81</v>
      </c>
      <c r="I650" t="s">
        <v>9</v>
      </c>
      <c r="L650" t="s">
        <v>161</v>
      </c>
      <c r="M650">
        <v>-10000000</v>
      </c>
    </row>
    <row r="651" spans="1:13" x14ac:dyDescent="0.3">
      <c r="A651" s="23">
        <v>45665</v>
      </c>
      <c r="B651" t="s">
        <v>13</v>
      </c>
      <c r="C651" t="s">
        <v>132</v>
      </c>
      <c r="D651" t="s">
        <v>17</v>
      </c>
      <c r="E651" t="s">
        <v>208</v>
      </c>
      <c r="F651">
        <v>10000000</v>
      </c>
      <c r="G651" t="s">
        <v>209</v>
      </c>
      <c r="H651" t="s">
        <v>81</v>
      </c>
      <c r="I651" t="s">
        <v>9</v>
      </c>
      <c r="L651" t="s">
        <v>161</v>
      </c>
      <c r="M651">
        <v>-10000000</v>
      </c>
    </row>
    <row r="652" spans="1:13" x14ac:dyDescent="0.3">
      <c r="A652" s="23">
        <v>45245</v>
      </c>
      <c r="B652" t="s">
        <v>13</v>
      </c>
      <c r="C652" t="s">
        <v>132</v>
      </c>
      <c r="D652" t="s">
        <v>17</v>
      </c>
      <c r="E652" t="s">
        <v>136</v>
      </c>
      <c r="F652">
        <v>9935000</v>
      </c>
      <c r="G652" t="s">
        <v>134</v>
      </c>
      <c r="H652" t="s">
        <v>81</v>
      </c>
      <c r="I652" t="s">
        <v>9</v>
      </c>
      <c r="L652" t="s">
        <v>161</v>
      </c>
      <c r="M652">
        <v>-9935000</v>
      </c>
    </row>
    <row r="653" spans="1:13" x14ac:dyDescent="0.3">
      <c r="A653" s="23">
        <v>45357</v>
      </c>
      <c r="B653" t="s">
        <v>13</v>
      </c>
      <c r="C653" t="s">
        <v>132</v>
      </c>
      <c r="D653" t="s">
        <v>17</v>
      </c>
      <c r="E653" t="s">
        <v>136</v>
      </c>
      <c r="F653">
        <v>9927484</v>
      </c>
      <c r="G653" t="s">
        <v>134</v>
      </c>
      <c r="H653" t="s">
        <v>81</v>
      </c>
      <c r="I653" t="s">
        <v>9</v>
      </c>
      <c r="L653" t="s">
        <v>161</v>
      </c>
      <c r="M653">
        <v>-9927484</v>
      </c>
    </row>
    <row r="654" spans="1:13" x14ac:dyDescent="0.3">
      <c r="A654" s="23">
        <v>45007</v>
      </c>
      <c r="B654" t="s">
        <v>13</v>
      </c>
      <c r="C654" t="s">
        <v>132</v>
      </c>
      <c r="D654" t="s">
        <v>17</v>
      </c>
      <c r="E654" t="s">
        <v>41</v>
      </c>
      <c r="F654">
        <v>9879529.9799999595</v>
      </c>
      <c r="G654" t="s">
        <v>26</v>
      </c>
      <c r="H654" t="s">
        <v>81</v>
      </c>
      <c r="I654" t="s">
        <v>9</v>
      </c>
      <c r="L654" t="s">
        <v>161</v>
      </c>
      <c r="M654">
        <v>-9879529.9800000004</v>
      </c>
    </row>
    <row r="655" spans="1:13" x14ac:dyDescent="0.3">
      <c r="A655" s="23">
        <v>44617</v>
      </c>
      <c r="B655" t="s">
        <v>13</v>
      </c>
      <c r="C655" t="s">
        <v>132</v>
      </c>
      <c r="D655" t="s">
        <v>17</v>
      </c>
      <c r="E655" t="s">
        <v>41</v>
      </c>
      <c r="F655">
        <v>9800000</v>
      </c>
      <c r="G655" t="s">
        <v>26</v>
      </c>
      <c r="H655" t="s">
        <v>81</v>
      </c>
      <c r="I655" t="s">
        <v>9</v>
      </c>
      <c r="L655" t="s">
        <v>161</v>
      </c>
      <c r="M655">
        <v>-9800000</v>
      </c>
    </row>
    <row r="656" spans="1:13" x14ac:dyDescent="0.3">
      <c r="A656" s="23">
        <v>44974</v>
      </c>
      <c r="B656" t="s">
        <v>13</v>
      </c>
      <c r="C656" t="s">
        <v>132</v>
      </c>
      <c r="D656" t="s">
        <v>17</v>
      </c>
      <c r="E656" t="s">
        <v>48</v>
      </c>
      <c r="F656">
        <v>9800000</v>
      </c>
      <c r="G656" t="s">
        <v>29</v>
      </c>
      <c r="H656" t="s">
        <v>81</v>
      </c>
      <c r="I656" t="s">
        <v>9</v>
      </c>
      <c r="L656" t="s">
        <v>161</v>
      </c>
      <c r="M656">
        <v>-9800000</v>
      </c>
    </row>
    <row r="657" spans="1:13" x14ac:dyDescent="0.3">
      <c r="A657" s="23">
        <v>45678</v>
      </c>
      <c r="B657" t="s">
        <v>13</v>
      </c>
      <c r="C657" t="s">
        <v>132</v>
      </c>
      <c r="D657" t="s">
        <v>17</v>
      </c>
      <c r="E657" t="s">
        <v>136</v>
      </c>
      <c r="F657">
        <v>9747130.8000000007</v>
      </c>
      <c r="G657" t="s">
        <v>134</v>
      </c>
      <c r="H657" t="s">
        <v>81</v>
      </c>
      <c r="I657" t="s">
        <v>9</v>
      </c>
      <c r="L657" t="s">
        <v>161</v>
      </c>
      <c r="M657">
        <v>-9747130.8000000007</v>
      </c>
    </row>
    <row r="658" spans="1:13" x14ac:dyDescent="0.3">
      <c r="A658" s="23">
        <v>45135</v>
      </c>
      <c r="B658" t="s">
        <v>13</v>
      </c>
      <c r="C658" t="s">
        <v>143</v>
      </c>
      <c r="D658" t="s">
        <v>17</v>
      </c>
      <c r="E658" t="s">
        <v>149</v>
      </c>
      <c r="F658">
        <v>9671206.6300000008</v>
      </c>
      <c r="G658" t="s">
        <v>140</v>
      </c>
      <c r="H658" t="s">
        <v>81</v>
      </c>
      <c r="I658" t="s">
        <v>9</v>
      </c>
      <c r="M658">
        <v>-9671206.6300000008</v>
      </c>
    </row>
    <row r="659" spans="1:13" x14ac:dyDescent="0.3">
      <c r="A659" s="23">
        <v>44602</v>
      </c>
      <c r="B659" t="s">
        <v>13</v>
      </c>
      <c r="C659" t="s">
        <v>132</v>
      </c>
      <c r="D659" t="s">
        <v>17</v>
      </c>
      <c r="E659" t="s">
        <v>41</v>
      </c>
      <c r="F659">
        <v>9600000</v>
      </c>
      <c r="G659" t="s">
        <v>26</v>
      </c>
      <c r="H659" t="s">
        <v>81</v>
      </c>
      <c r="I659" t="s">
        <v>9</v>
      </c>
      <c r="L659" t="s">
        <v>161</v>
      </c>
      <c r="M659">
        <v>-9600000</v>
      </c>
    </row>
    <row r="660" spans="1:13" x14ac:dyDescent="0.3">
      <c r="A660" s="23">
        <v>44746</v>
      </c>
      <c r="B660" t="s">
        <v>13</v>
      </c>
      <c r="C660" t="s">
        <v>132</v>
      </c>
      <c r="D660" t="s">
        <v>17</v>
      </c>
      <c r="E660" t="s">
        <v>41</v>
      </c>
      <c r="F660">
        <v>9600000</v>
      </c>
      <c r="G660" t="s">
        <v>26</v>
      </c>
      <c r="H660" t="s">
        <v>81</v>
      </c>
      <c r="I660" t="s">
        <v>9</v>
      </c>
      <c r="L660" t="s">
        <v>161</v>
      </c>
      <c r="M660">
        <v>-9600000</v>
      </c>
    </row>
    <row r="661" spans="1:13" x14ac:dyDescent="0.3">
      <c r="A661" s="23">
        <v>44805</v>
      </c>
      <c r="B661" t="s">
        <v>13</v>
      </c>
      <c r="C661" t="s">
        <v>143</v>
      </c>
      <c r="D661" t="s">
        <v>17</v>
      </c>
      <c r="E661" t="s">
        <v>149</v>
      </c>
      <c r="F661">
        <v>9492822.3300000001</v>
      </c>
      <c r="G661" t="s">
        <v>140</v>
      </c>
      <c r="H661" t="s">
        <v>81</v>
      </c>
      <c r="I661" t="s">
        <v>9</v>
      </c>
      <c r="J661" s="23">
        <v>44804</v>
      </c>
      <c r="L661" t="s">
        <v>231</v>
      </c>
      <c r="M661">
        <v>-9492822.3300000001</v>
      </c>
    </row>
    <row r="662" spans="1:13" x14ac:dyDescent="0.3">
      <c r="A662" s="23">
        <v>45678</v>
      </c>
      <c r="B662" t="s">
        <v>13</v>
      </c>
      <c r="C662" t="s">
        <v>132</v>
      </c>
      <c r="D662" t="s">
        <v>17</v>
      </c>
      <c r="E662" t="s">
        <v>48</v>
      </c>
      <c r="F662">
        <v>9300000</v>
      </c>
      <c r="G662" t="s">
        <v>29</v>
      </c>
      <c r="H662" t="s">
        <v>81</v>
      </c>
      <c r="I662" t="s">
        <v>9</v>
      </c>
      <c r="L662" t="s">
        <v>161</v>
      </c>
      <c r="M662">
        <v>-9300000</v>
      </c>
    </row>
    <row r="663" spans="1:13" x14ac:dyDescent="0.3">
      <c r="A663" s="23">
        <v>44733</v>
      </c>
      <c r="B663" t="s">
        <v>13</v>
      </c>
      <c r="C663" t="s">
        <v>132</v>
      </c>
      <c r="D663" t="s">
        <v>17</v>
      </c>
      <c r="E663" t="s">
        <v>139</v>
      </c>
      <c r="F663">
        <v>9220000</v>
      </c>
      <c r="G663" t="s">
        <v>140</v>
      </c>
      <c r="H663" t="s">
        <v>81</v>
      </c>
      <c r="I663" t="s">
        <v>9</v>
      </c>
      <c r="L663" t="s">
        <v>161</v>
      </c>
      <c r="M663">
        <v>-9220000</v>
      </c>
    </row>
    <row r="664" spans="1:13" x14ac:dyDescent="0.3">
      <c r="A664" s="23">
        <v>45289</v>
      </c>
      <c r="B664" t="s">
        <v>13</v>
      </c>
      <c r="C664" t="s">
        <v>143</v>
      </c>
      <c r="D664" t="s">
        <v>17</v>
      </c>
      <c r="E664" t="s">
        <v>149</v>
      </c>
      <c r="F664">
        <v>9161610.2899999991</v>
      </c>
      <c r="G664" t="s">
        <v>140</v>
      </c>
      <c r="H664" t="s">
        <v>81</v>
      </c>
      <c r="I664" t="s">
        <v>9</v>
      </c>
      <c r="M664">
        <v>-9161610.2899999991</v>
      </c>
    </row>
    <row r="665" spans="1:13" x14ac:dyDescent="0.3">
      <c r="A665" s="23">
        <v>45275</v>
      </c>
      <c r="B665" t="s">
        <v>13</v>
      </c>
      <c r="C665" t="s">
        <v>132</v>
      </c>
      <c r="D665" t="s">
        <v>17</v>
      </c>
      <c r="E665" t="s">
        <v>41</v>
      </c>
      <c r="F665">
        <v>9100000</v>
      </c>
      <c r="G665" t="s">
        <v>26</v>
      </c>
      <c r="H665" t="s">
        <v>81</v>
      </c>
      <c r="I665" t="s">
        <v>9</v>
      </c>
      <c r="L665" t="s">
        <v>161</v>
      </c>
      <c r="M665">
        <v>-9100000</v>
      </c>
    </row>
    <row r="666" spans="1:13" x14ac:dyDescent="0.3">
      <c r="A666" s="23">
        <v>44684</v>
      </c>
      <c r="B666" t="s">
        <v>13</v>
      </c>
      <c r="C666" t="s">
        <v>132</v>
      </c>
      <c r="D666" t="s">
        <v>17</v>
      </c>
      <c r="E666" t="s">
        <v>41</v>
      </c>
      <c r="F666">
        <v>9000000</v>
      </c>
      <c r="G666" t="s">
        <v>26</v>
      </c>
      <c r="H666" t="s">
        <v>81</v>
      </c>
      <c r="I666" t="s">
        <v>9</v>
      </c>
      <c r="L666" t="s">
        <v>161</v>
      </c>
      <c r="M666">
        <v>-9000000</v>
      </c>
    </row>
    <row r="667" spans="1:13" x14ac:dyDescent="0.3">
      <c r="A667" s="23">
        <v>45216</v>
      </c>
      <c r="B667" t="s">
        <v>13</v>
      </c>
      <c r="C667" t="s">
        <v>132</v>
      </c>
      <c r="D667" t="s">
        <v>17</v>
      </c>
      <c r="E667" t="s">
        <v>46</v>
      </c>
      <c r="F667">
        <v>9000000</v>
      </c>
      <c r="G667" t="s">
        <v>28</v>
      </c>
      <c r="H667" t="s">
        <v>81</v>
      </c>
      <c r="I667" t="s">
        <v>9</v>
      </c>
      <c r="L667" t="s">
        <v>161</v>
      </c>
      <c r="M667">
        <v>-9000000</v>
      </c>
    </row>
    <row r="668" spans="1:13" x14ac:dyDescent="0.3">
      <c r="A668" s="23">
        <v>45282</v>
      </c>
      <c r="B668" t="s">
        <v>13</v>
      </c>
      <c r="C668" t="s">
        <v>132</v>
      </c>
      <c r="D668" t="s">
        <v>17</v>
      </c>
      <c r="E668" t="s">
        <v>41</v>
      </c>
      <c r="F668">
        <v>8978189.8000000007</v>
      </c>
      <c r="G668" t="s">
        <v>26</v>
      </c>
      <c r="H668" t="s">
        <v>81</v>
      </c>
      <c r="I668" t="s">
        <v>9</v>
      </c>
      <c r="L668" t="s">
        <v>161</v>
      </c>
      <c r="M668">
        <v>-8978189.8000000007</v>
      </c>
    </row>
    <row r="669" spans="1:13" x14ac:dyDescent="0.3">
      <c r="A669" s="23">
        <v>44951</v>
      </c>
      <c r="B669" t="s">
        <v>13</v>
      </c>
      <c r="C669" t="s">
        <v>143</v>
      </c>
      <c r="D669" t="s">
        <v>17</v>
      </c>
      <c r="E669" t="s">
        <v>149</v>
      </c>
      <c r="F669">
        <v>8977134.8900000006</v>
      </c>
      <c r="G669" t="s">
        <v>140</v>
      </c>
      <c r="H669" t="s">
        <v>81</v>
      </c>
      <c r="I669" t="s">
        <v>9</v>
      </c>
      <c r="J669" s="23">
        <v>44942</v>
      </c>
      <c r="L669" t="s">
        <v>238</v>
      </c>
      <c r="M669">
        <v>-8977134.8900000006</v>
      </c>
    </row>
    <row r="670" spans="1:13" x14ac:dyDescent="0.3">
      <c r="A670" s="23">
        <v>44580</v>
      </c>
      <c r="B670" t="s">
        <v>13</v>
      </c>
      <c r="C670" t="s">
        <v>132</v>
      </c>
      <c r="D670" t="s">
        <v>17</v>
      </c>
      <c r="E670" t="s">
        <v>41</v>
      </c>
      <c r="F670">
        <v>8900000</v>
      </c>
      <c r="G670" t="s">
        <v>26</v>
      </c>
      <c r="H670" t="s">
        <v>81</v>
      </c>
      <c r="I670" t="s">
        <v>9</v>
      </c>
      <c r="L670" t="s">
        <v>161</v>
      </c>
      <c r="M670">
        <v>-8900000</v>
      </c>
    </row>
    <row r="671" spans="1:13" x14ac:dyDescent="0.3">
      <c r="A671" s="23">
        <v>45084</v>
      </c>
      <c r="B671" t="s">
        <v>13</v>
      </c>
      <c r="C671" t="s">
        <v>132</v>
      </c>
      <c r="D671" t="s">
        <v>17</v>
      </c>
      <c r="E671" t="s">
        <v>41</v>
      </c>
      <c r="F671">
        <v>8800804.8399999738</v>
      </c>
      <c r="G671" t="s">
        <v>26</v>
      </c>
      <c r="H671" t="s">
        <v>81</v>
      </c>
      <c r="I671" t="s">
        <v>9</v>
      </c>
      <c r="L671" t="s">
        <v>161</v>
      </c>
      <c r="M671">
        <v>-8800804.8399999999</v>
      </c>
    </row>
    <row r="672" spans="1:13" x14ac:dyDescent="0.3">
      <c r="A672" s="23">
        <v>45505</v>
      </c>
      <c r="B672" t="s">
        <v>13</v>
      </c>
      <c r="C672" t="s">
        <v>132</v>
      </c>
      <c r="D672" t="s">
        <v>17</v>
      </c>
      <c r="E672" t="s">
        <v>46</v>
      </c>
      <c r="F672">
        <v>8800000</v>
      </c>
      <c r="G672" t="s">
        <v>28</v>
      </c>
      <c r="H672" t="s">
        <v>81</v>
      </c>
      <c r="I672" t="s">
        <v>9</v>
      </c>
      <c r="L672" t="s">
        <v>161</v>
      </c>
      <c r="M672">
        <v>-8800000</v>
      </c>
    </row>
    <row r="673" spans="1:13" x14ac:dyDescent="0.3">
      <c r="A673" s="23">
        <v>45618</v>
      </c>
      <c r="B673" t="s">
        <v>13</v>
      </c>
      <c r="C673" t="s">
        <v>132</v>
      </c>
      <c r="D673" t="s">
        <v>17</v>
      </c>
      <c r="E673" t="s">
        <v>41</v>
      </c>
      <c r="F673">
        <v>8700000</v>
      </c>
      <c r="G673" t="s">
        <v>26</v>
      </c>
      <c r="H673" t="s">
        <v>81</v>
      </c>
      <c r="I673" t="s">
        <v>9</v>
      </c>
      <c r="L673" t="s">
        <v>161</v>
      </c>
      <c r="M673">
        <v>-8700000</v>
      </c>
    </row>
    <row r="674" spans="1:13" x14ac:dyDescent="0.3">
      <c r="A674" s="23">
        <v>45295</v>
      </c>
      <c r="B674" t="s">
        <v>13</v>
      </c>
      <c r="C674" t="s">
        <v>132</v>
      </c>
      <c r="D674" t="s">
        <v>17</v>
      </c>
      <c r="E674" t="s">
        <v>46</v>
      </c>
      <c r="F674">
        <v>8700000</v>
      </c>
      <c r="G674" t="s">
        <v>28</v>
      </c>
      <c r="H674" t="s">
        <v>81</v>
      </c>
      <c r="I674" t="s">
        <v>9</v>
      </c>
      <c r="L674" t="s">
        <v>161</v>
      </c>
      <c r="M674">
        <v>-8700000</v>
      </c>
    </row>
    <row r="675" spans="1:13" x14ac:dyDescent="0.3">
      <c r="A675" s="23">
        <v>45209</v>
      </c>
      <c r="B675" t="s">
        <v>13</v>
      </c>
      <c r="C675" t="s">
        <v>132</v>
      </c>
      <c r="D675" t="s">
        <v>17</v>
      </c>
      <c r="E675" t="s">
        <v>46</v>
      </c>
      <c r="F675">
        <v>8700000</v>
      </c>
      <c r="G675" t="s">
        <v>28</v>
      </c>
      <c r="H675" t="s">
        <v>81</v>
      </c>
      <c r="I675" t="s">
        <v>9</v>
      </c>
      <c r="L675" t="s">
        <v>161</v>
      </c>
      <c r="M675">
        <v>-8700000</v>
      </c>
    </row>
    <row r="676" spans="1:13" x14ac:dyDescent="0.3">
      <c r="A676" s="23">
        <v>44742</v>
      </c>
      <c r="B676" t="s">
        <v>13</v>
      </c>
      <c r="C676" t="s">
        <v>143</v>
      </c>
      <c r="D676" t="s">
        <v>17</v>
      </c>
      <c r="E676" t="s">
        <v>149</v>
      </c>
      <c r="F676">
        <v>8683398</v>
      </c>
      <c r="G676" t="s">
        <v>140</v>
      </c>
      <c r="H676" t="s">
        <v>81</v>
      </c>
      <c r="I676" t="s">
        <v>9</v>
      </c>
      <c r="J676" t="s">
        <v>153</v>
      </c>
      <c r="K676" t="s">
        <v>152</v>
      </c>
      <c r="L676" t="s">
        <v>220</v>
      </c>
      <c r="M676">
        <v>-8683398</v>
      </c>
    </row>
    <row r="677" spans="1:13" x14ac:dyDescent="0.3">
      <c r="A677" s="23">
        <v>44624</v>
      </c>
      <c r="B677" t="s">
        <v>13</v>
      </c>
      <c r="C677" t="s">
        <v>132</v>
      </c>
      <c r="D677" t="s">
        <v>17</v>
      </c>
      <c r="E677" t="s">
        <v>41</v>
      </c>
      <c r="F677">
        <v>8596129.2099999916</v>
      </c>
      <c r="G677" t="s">
        <v>26</v>
      </c>
      <c r="H677" t="s">
        <v>81</v>
      </c>
      <c r="I677" t="s">
        <v>9</v>
      </c>
      <c r="L677" t="s">
        <v>161</v>
      </c>
      <c r="M677">
        <v>-8596129.2100000009</v>
      </c>
    </row>
    <row r="678" spans="1:13" x14ac:dyDescent="0.3">
      <c r="A678" s="23">
        <v>44998</v>
      </c>
      <c r="B678" t="s">
        <v>13</v>
      </c>
      <c r="C678" t="s">
        <v>132</v>
      </c>
      <c r="D678" t="s">
        <v>17</v>
      </c>
      <c r="E678" t="s">
        <v>41</v>
      </c>
      <c r="F678">
        <v>8500000</v>
      </c>
      <c r="G678" t="s">
        <v>26</v>
      </c>
      <c r="H678" t="s">
        <v>81</v>
      </c>
      <c r="I678" t="s">
        <v>9</v>
      </c>
      <c r="L678" t="s">
        <v>161</v>
      </c>
      <c r="M678">
        <v>-8500000</v>
      </c>
    </row>
    <row r="679" spans="1:13" x14ac:dyDescent="0.3">
      <c r="A679" s="23">
        <v>44564</v>
      </c>
      <c r="B679" t="s">
        <v>13</v>
      </c>
      <c r="C679" t="s">
        <v>132</v>
      </c>
      <c r="D679" t="s">
        <v>17</v>
      </c>
      <c r="E679" t="s">
        <v>41</v>
      </c>
      <c r="F679">
        <v>8400000</v>
      </c>
      <c r="G679" t="s">
        <v>26</v>
      </c>
      <c r="H679" t="s">
        <v>81</v>
      </c>
      <c r="I679" t="s">
        <v>9</v>
      </c>
      <c r="L679" t="s">
        <v>161</v>
      </c>
      <c r="M679">
        <v>-8400000</v>
      </c>
    </row>
    <row r="680" spans="1:13" x14ac:dyDescent="0.3">
      <c r="A680" s="23">
        <v>45744</v>
      </c>
      <c r="B680" t="s">
        <v>13</v>
      </c>
      <c r="C680" t="s">
        <v>132</v>
      </c>
      <c r="D680" t="s">
        <v>17</v>
      </c>
      <c r="E680" t="s">
        <v>48</v>
      </c>
      <c r="F680">
        <v>8100000</v>
      </c>
      <c r="G680" t="s">
        <v>29</v>
      </c>
      <c r="H680" t="s">
        <v>81</v>
      </c>
      <c r="I680" t="s">
        <v>9</v>
      </c>
      <c r="L680" t="s">
        <v>161</v>
      </c>
      <c r="M680">
        <v>-8100000</v>
      </c>
    </row>
    <row r="681" spans="1:13" x14ac:dyDescent="0.3">
      <c r="A681" s="23">
        <v>45678</v>
      </c>
      <c r="B681" t="s">
        <v>13</v>
      </c>
      <c r="C681" t="s">
        <v>132</v>
      </c>
      <c r="D681" t="s">
        <v>17</v>
      </c>
      <c r="E681" t="s">
        <v>169</v>
      </c>
      <c r="F681">
        <v>8070612.0099999998</v>
      </c>
      <c r="G681" t="s">
        <v>131</v>
      </c>
      <c r="H681" t="s">
        <v>81</v>
      </c>
      <c r="I681" t="s">
        <v>9</v>
      </c>
      <c r="L681" t="s">
        <v>161</v>
      </c>
      <c r="M681">
        <v>-8070612.0099999998</v>
      </c>
    </row>
    <row r="682" spans="1:13" x14ac:dyDescent="0.3">
      <c r="A682" s="23">
        <v>45177</v>
      </c>
      <c r="B682" t="s">
        <v>13</v>
      </c>
      <c r="C682" t="s">
        <v>143</v>
      </c>
      <c r="D682" t="s">
        <v>17</v>
      </c>
      <c r="E682" t="s">
        <v>149</v>
      </c>
      <c r="F682">
        <v>8052129.3099999996</v>
      </c>
      <c r="G682" t="s">
        <v>140</v>
      </c>
      <c r="H682" t="s">
        <v>81</v>
      </c>
      <c r="I682" t="s">
        <v>9</v>
      </c>
      <c r="M682">
        <v>-8052129.3099999996</v>
      </c>
    </row>
    <row r="683" spans="1:13" x14ac:dyDescent="0.3">
      <c r="A683" s="23">
        <v>45504</v>
      </c>
      <c r="B683" t="s">
        <v>13</v>
      </c>
      <c r="C683" t="s">
        <v>132</v>
      </c>
      <c r="D683" t="s">
        <v>17</v>
      </c>
      <c r="E683" t="s">
        <v>46</v>
      </c>
      <c r="F683">
        <v>8000000</v>
      </c>
      <c r="G683" t="s">
        <v>28</v>
      </c>
      <c r="H683" t="s">
        <v>81</v>
      </c>
      <c r="I683" t="s">
        <v>9</v>
      </c>
      <c r="L683" t="s">
        <v>161</v>
      </c>
      <c r="M683">
        <v>-8000000</v>
      </c>
    </row>
    <row r="684" spans="1:13" x14ac:dyDescent="0.3">
      <c r="A684" s="23">
        <v>45436</v>
      </c>
      <c r="B684" t="s">
        <v>13</v>
      </c>
      <c r="C684" t="s">
        <v>132</v>
      </c>
      <c r="D684" t="s">
        <v>17</v>
      </c>
      <c r="E684" t="s">
        <v>48</v>
      </c>
      <c r="F684">
        <v>8000000</v>
      </c>
      <c r="G684" t="s">
        <v>29</v>
      </c>
      <c r="H684" t="s">
        <v>81</v>
      </c>
      <c r="I684" t="s">
        <v>9</v>
      </c>
      <c r="L684" t="s">
        <v>161</v>
      </c>
      <c r="M684">
        <v>-8000000</v>
      </c>
    </row>
    <row r="685" spans="1:13" x14ac:dyDescent="0.3">
      <c r="A685" s="23">
        <v>44876</v>
      </c>
      <c r="B685" t="s">
        <v>13</v>
      </c>
      <c r="C685" t="s">
        <v>132</v>
      </c>
      <c r="D685" t="s">
        <v>17</v>
      </c>
      <c r="E685" t="s">
        <v>48</v>
      </c>
      <c r="F685">
        <v>8000000</v>
      </c>
      <c r="G685" t="s">
        <v>29</v>
      </c>
      <c r="H685" t="s">
        <v>81</v>
      </c>
      <c r="I685" t="s">
        <v>9</v>
      </c>
      <c r="L685" t="s">
        <v>161</v>
      </c>
      <c r="M685">
        <v>-8000000</v>
      </c>
    </row>
    <row r="686" spans="1:13" x14ac:dyDescent="0.3">
      <c r="A686" s="23">
        <v>45398</v>
      </c>
      <c r="B686" t="s">
        <v>13</v>
      </c>
      <c r="C686" t="s">
        <v>132</v>
      </c>
      <c r="D686" t="s">
        <v>17</v>
      </c>
      <c r="E686" t="s">
        <v>48</v>
      </c>
      <c r="F686">
        <v>7900000</v>
      </c>
      <c r="G686" t="s">
        <v>29</v>
      </c>
      <c r="H686" t="s">
        <v>81</v>
      </c>
      <c r="I686" t="s">
        <v>9</v>
      </c>
      <c r="L686" t="s">
        <v>161</v>
      </c>
      <c r="M686">
        <v>-7900000</v>
      </c>
    </row>
    <row r="687" spans="1:13" x14ac:dyDescent="0.3">
      <c r="A687" s="23">
        <v>44930</v>
      </c>
      <c r="B687" t="s">
        <v>13</v>
      </c>
      <c r="C687" t="s">
        <v>132</v>
      </c>
      <c r="D687" t="s">
        <v>17</v>
      </c>
      <c r="E687" t="s">
        <v>48</v>
      </c>
      <c r="F687">
        <v>7900000</v>
      </c>
      <c r="G687" t="s">
        <v>29</v>
      </c>
      <c r="H687" t="s">
        <v>81</v>
      </c>
      <c r="I687" t="s">
        <v>9</v>
      </c>
      <c r="L687" t="s">
        <v>161</v>
      </c>
      <c r="M687">
        <v>-7900000</v>
      </c>
    </row>
    <row r="688" spans="1:13" x14ac:dyDescent="0.3">
      <c r="A688" s="23">
        <v>45203</v>
      </c>
      <c r="B688" t="s">
        <v>13</v>
      </c>
      <c r="C688" t="s">
        <v>143</v>
      </c>
      <c r="D688" t="s">
        <v>17</v>
      </c>
      <c r="E688" t="s">
        <v>149</v>
      </c>
      <c r="F688">
        <v>7852900.6399999997</v>
      </c>
      <c r="G688" t="s">
        <v>140</v>
      </c>
      <c r="H688" t="s">
        <v>81</v>
      </c>
      <c r="I688" t="s">
        <v>9</v>
      </c>
      <c r="M688">
        <v>-7852900.6399999997</v>
      </c>
    </row>
    <row r="689" spans="1:13" x14ac:dyDescent="0.3">
      <c r="A689" s="23">
        <v>44855</v>
      </c>
      <c r="B689" t="s">
        <v>13</v>
      </c>
      <c r="C689" t="s">
        <v>132</v>
      </c>
      <c r="D689" t="s">
        <v>17</v>
      </c>
      <c r="E689" t="s">
        <v>41</v>
      </c>
      <c r="F689">
        <v>7800000</v>
      </c>
      <c r="G689" t="s">
        <v>26</v>
      </c>
      <c r="H689" t="s">
        <v>81</v>
      </c>
      <c r="I689" t="s">
        <v>9</v>
      </c>
      <c r="L689" t="s">
        <v>161</v>
      </c>
      <c r="M689">
        <v>-7800000</v>
      </c>
    </row>
    <row r="690" spans="1:13" x14ac:dyDescent="0.3">
      <c r="A690" s="23">
        <v>45029</v>
      </c>
      <c r="B690" t="s">
        <v>13</v>
      </c>
      <c r="C690" t="s">
        <v>132</v>
      </c>
      <c r="D690" t="s">
        <v>17</v>
      </c>
      <c r="E690" t="s">
        <v>41</v>
      </c>
      <c r="F690">
        <v>7700000</v>
      </c>
      <c r="G690" t="s">
        <v>26</v>
      </c>
      <c r="H690" t="s">
        <v>81</v>
      </c>
      <c r="I690" t="s">
        <v>9</v>
      </c>
      <c r="L690" t="s">
        <v>161</v>
      </c>
      <c r="M690">
        <v>-7700000</v>
      </c>
    </row>
    <row r="691" spans="1:13" x14ac:dyDescent="0.3">
      <c r="A691" s="23">
        <v>45020</v>
      </c>
      <c r="B691" t="s">
        <v>13</v>
      </c>
      <c r="C691" t="s">
        <v>132</v>
      </c>
      <c r="D691" t="s">
        <v>17</v>
      </c>
      <c r="E691" t="s">
        <v>41</v>
      </c>
      <c r="F691">
        <v>7700000</v>
      </c>
      <c r="G691" t="s">
        <v>26</v>
      </c>
      <c r="H691" t="s">
        <v>81</v>
      </c>
      <c r="I691" t="s">
        <v>9</v>
      </c>
      <c r="L691" t="s">
        <v>161</v>
      </c>
      <c r="M691">
        <v>-7700000</v>
      </c>
    </row>
    <row r="692" spans="1:13" x14ac:dyDescent="0.3">
      <c r="A692" s="23">
        <v>45348</v>
      </c>
      <c r="B692" t="s">
        <v>13</v>
      </c>
      <c r="C692" t="s">
        <v>132</v>
      </c>
      <c r="D692" t="s">
        <v>17</v>
      </c>
      <c r="E692" t="s">
        <v>46</v>
      </c>
      <c r="F692">
        <v>7700000</v>
      </c>
      <c r="G692" t="s">
        <v>28</v>
      </c>
      <c r="H692" t="s">
        <v>81</v>
      </c>
      <c r="I692" t="s">
        <v>9</v>
      </c>
      <c r="L692" t="s">
        <v>161</v>
      </c>
      <c r="M692">
        <v>-7700000</v>
      </c>
    </row>
    <row r="693" spans="1:13" x14ac:dyDescent="0.3">
      <c r="A693" s="23">
        <v>45660</v>
      </c>
      <c r="B693" t="s">
        <v>13</v>
      </c>
      <c r="C693" t="s">
        <v>132</v>
      </c>
      <c r="D693" t="s">
        <v>17</v>
      </c>
      <c r="E693" t="s">
        <v>48</v>
      </c>
      <c r="F693">
        <v>7700000</v>
      </c>
      <c r="G693" t="s">
        <v>29</v>
      </c>
      <c r="H693" t="s">
        <v>81</v>
      </c>
      <c r="I693" t="s">
        <v>9</v>
      </c>
      <c r="L693" t="s">
        <v>161</v>
      </c>
      <c r="M693">
        <v>-7700000</v>
      </c>
    </row>
    <row r="694" spans="1:13" x14ac:dyDescent="0.3">
      <c r="A694" s="23">
        <v>45205</v>
      </c>
      <c r="B694" t="s">
        <v>13</v>
      </c>
      <c r="C694" t="s">
        <v>132</v>
      </c>
      <c r="D694" t="s">
        <v>17</v>
      </c>
      <c r="E694" t="s">
        <v>169</v>
      </c>
      <c r="F694">
        <v>7622453.4000000004</v>
      </c>
      <c r="G694" t="s">
        <v>131</v>
      </c>
      <c r="H694" t="s">
        <v>81</v>
      </c>
      <c r="I694" t="s">
        <v>9</v>
      </c>
      <c r="L694" t="s">
        <v>161</v>
      </c>
      <c r="M694">
        <v>-7622453.4000000004</v>
      </c>
    </row>
    <row r="695" spans="1:13" x14ac:dyDescent="0.3">
      <c r="A695" s="23">
        <v>45279</v>
      </c>
      <c r="B695" t="s">
        <v>13</v>
      </c>
      <c r="C695" t="s">
        <v>132</v>
      </c>
      <c r="D695" t="s">
        <v>17</v>
      </c>
      <c r="E695" t="s">
        <v>46</v>
      </c>
      <c r="F695">
        <v>7600000</v>
      </c>
      <c r="G695" t="s">
        <v>28</v>
      </c>
      <c r="H695" t="s">
        <v>81</v>
      </c>
      <c r="I695" t="s">
        <v>9</v>
      </c>
      <c r="L695" t="s">
        <v>161</v>
      </c>
      <c r="M695">
        <v>-7600000</v>
      </c>
    </row>
    <row r="696" spans="1:13" x14ac:dyDescent="0.3">
      <c r="A696" s="23">
        <v>45495</v>
      </c>
      <c r="B696" t="s">
        <v>13</v>
      </c>
      <c r="C696" t="s">
        <v>132</v>
      </c>
      <c r="D696" t="s">
        <v>17</v>
      </c>
      <c r="E696" t="s">
        <v>48</v>
      </c>
      <c r="F696">
        <v>7600000</v>
      </c>
      <c r="G696" t="s">
        <v>29</v>
      </c>
      <c r="H696" t="s">
        <v>81</v>
      </c>
      <c r="I696" t="s">
        <v>9</v>
      </c>
      <c r="L696" t="s">
        <v>161</v>
      </c>
      <c r="M696">
        <v>-7600000</v>
      </c>
    </row>
    <row r="697" spans="1:13" x14ac:dyDescent="0.3">
      <c r="A697" s="23">
        <v>44956</v>
      </c>
      <c r="B697" t="s">
        <v>13</v>
      </c>
      <c r="C697" t="s">
        <v>132</v>
      </c>
      <c r="D697" t="s">
        <v>17</v>
      </c>
      <c r="E697" t="s">
        <v>48</v>
      </c>
      <c r="F697">
        <v>7600000</v>
      </c>
      <c r="G697" t="s">
        <v>29</v>
      </c>
      <c r="H697" t="s">
        <v>81</v>
      </c>
      <c r="I697" t="s">
        <v>9</v>
      </c>
      <c r="L697" t="s">
        <v>161</v>
      </c>
      <c r="M697">
        <v>-7600000</v>
      </c>
    </row>
    <row r="698" spans="1:13" x14ac:dyDescent="0.3">
      <c r="A698" s="23">
        <v>45337</v>
      </c>
      <c r="B698" t="s">
        <v>13</v>
      </c>
      <c r="C698" t="s">
        <v>143</v>
      </c>
      <c r="D698" t="s">
        <v>17</v>
      </c>
      <c r="E698" t="s">
        <v>149</v>
      </c>
      <c r="F698">
        <v>7523905.8799999999</v>
      </c>
      <c r="G698" t="s">
        <v>140</v>
      </c>
      <c r="H698" t="s">
        <v>81</v>
      </c>
      <c r="I698" t="s">
        <v>9</v>
      </c>
      <c r="M698">
        <v>-7523905.8799999999</v>
      </c>
    </row>
    <row r="699" spans="1:13" x14ac:dyDescent="0.3">
      <c r="A699" s="23">
        <v>45481</v>
      </c>
      <c r="B699" t="s">
        <v>13</v>
      </c>
      <c r="C699" t="s">
        <v>132</v>
      </c>
      <c r="D699" t="s">
        <v>17</v>
      </c>
      <c r="E699" t="s">
        <v>41</v>
      </c>
      <c r="F699">
        <v>7500000</v>
      </c>
      <c r="G699" t="s">
        <v>26</v>
      </c>
      <c r="H699" t="s">
        <v>81</v>
      </c>
      <c r="I699" t="s">
        <v>9</v>
      </c>
      <c r="L699" t="s">
        <v>161</v>
      </c>
      <c r="M699">
        <v>-7500000</v>
      </c>
    </row>
    <row r="700" spans="1:13" x14ac:dyDescent="0.3">
      <c r="A700" s="23">
        <v>45056</v>
      </c>
      <c r="B700" t="s">
        <v>13</v>
      </c>
      <c r="C700" t="s">
        <v>132</v>
      </c>
      <c r="D700" t="s">
        <v>17</v>
      </c>
      <c r="E700" t="s">
        <v>41</v>
      </c>
      <c r="F700">
        <v>7400000</v>
      </c>
      <c r="G700" t="s">
        <v>26</v>
      </c>
      <c r="H700" t="s">
        <v>81</v>
      </c>
      <c r="I700" t="s">
        <v>9</v>
      </c>
      <c r="L700" t="s">
        <v>161</v>
      </c>
      <c r="M700">
        <v>-7400000</v>
      </c>
    </row>
    <row r="701" spans="1:13" x14ac:dyDescent="0.3">
      <c r="A701" s="23">
        <v>44707</v>
      </c>
      <c r="B701" t="s">
        <v>13</v>
      </c>
      <c r="C701" t="s">
        <v>132</v>
      </c>
      <c r="D701" t="s">
        <v>17</v>
      </c>
      <c r="E701" t="s">
        <v>139</v>
      </c>
      <c r="F701">
        <v>7370000</v>
      </c>
      <c r="G701" t="s">
        <v>140</v>
      </c>
      <c r="H701" t="s">
        <v>81</v>
      </c>
      <c r="I701" t="s">
        <v>9</v>
      </c>
      <c r="L701" t="s">
        <v>161</v>
      </c>
      <c r="M701">
        <v>-7370000</v>
      </c>
    </row>
    <row r="702" spans="1:13" x14ac:dyDescent="0.3">
      <c r="A702" s="23">
        <v>44581</v>
      </c>
      <c r="B702" t="s">
        <v>13</v>
      </c>
      <c r="C702" t="s">
        <v>132</v>
      </c>
      <c r="D702" t="s">
        <v>17</v>
      </c>
      <c r="E702" t="s">
        <v>41</v>
      </c>
      <c r="F702">
        <v>7300000</v>
      </c>
      <c r="G702" t="s">
        <v>26</v>
      </c>
      <c r="H702" t="s">
        <v>81</v>
      </c>
      <c r="I702" t="s">
        <v>9</v>
      </c>
      <c r="L702" t="s">
        <v>161</v>
      </c>
      <c r="M702">
        <v>-7300000</v>
      </c>
    </row>
    <row r="703" spans="1:13" x14ac:dyDescent="0.3">
      <c r="A703" s="23">
        <v>45217</v>
      </c>
      <c r="B703" t="s">
        <v>13</v>
      </c>
      <c r="C703" t="s">
        <v>132</v>
      </c>
      <c r="D703" t="s">
        <v>17</v>
      </c>
      <c r="E703" t="s">
        <v>41</v>
      </c>
      <c r="F703">
        <v>7300000</v>
      </c>
      <c r="G703" t="s">
        <v>26</v>
      </c>
      <c r="H703" t="s">
        <v>81</v>
      </c>
      <c r="I703" t="s">
        <v>9</v>
      </c>
      <c r="L703" t="s">
        <v>161</v>
      </c>
      <c r="M703">
        <v>-7300000</v>
      </c>
    </row>
    <row r="704" spans="1:13" x14ac:dyDescent="0.3">
      <c r="A704" s="23">
        <v>44953</v>
      </c>
      <c r="B704" t="s">
        <v>13</v>
      </c>
      <c r="C704" t="s">
        <v>132</v>
      </c>
      <c r="D704" t="s">
        <v>17</v>
      </c>
      <c r="E704" t="s">
        <v>41</v>
      </c>
      <c r="F704">
        <v>7300000</v>
      </c>
      <c r="G704" t="s">
        <v>26</v>
      </c>
      <c r="H704" t="s">
        <v>81</v>
      </c>
      <c r="I704" t="s">
        <v>9</v>
      </c>
      <c r="L704" t="s">
        <v>161</v>
      </c>
      <c r="M704">
        <v>-7300000</v>
      </c>
    </row>
    <row r="705" spans="1:13" x14ac:dyDescent="0.3">
      <c r="A705" s="23">
        <v>45751</v>
      </c>
      <c r="B705" t="s">
        <v>13</v>
      </c>
      <c r="C705" t="s">
        <v>132</v>
      </c>
      <c r="D705" t="s">
        <v>17</v>
      </c>
      <c r="E705" t="s">
        <v>48</v>
      </c>
      <c r="F705">
        <v>7300000</v>
      </c>
      <c r="G705" t="s">
        <v>29</v>
      </c>
      <c r="H705" t="s">
        <v>81</v>
      </c>
      <c r="I705" t="s">
        <v>9</v>
      </c>
      <c r="L705" t="s">
        <v>161</v>
      </c>
      <c r="M705">
        <v>-7300000</v>
      </c>
    </row>
    <row r="706" spans="1:13" x14ac:dyDescent="0.3">
      <c r="A706" s="23">
        <v>44589</v>
      </c>
      <c r="B706" t="s">
        <v>13</v>
      </c>
      <c r="C706" t="s">
        <v>132</v>
      </c>
      <c r="D706" t="s">
        <v>17</v>
      </c>
      <c r="E706" t="s">
        <v>41</v>
      </c>
      <c r="F706">
        <v>7200000</v>
      </c>
      <c r="G706" t="s">
        <v>26</v>
      </c>
      <c r="H706" t="s">
        <v>81</v>
      </c>
      <c r="I706" t="s">
        <v>9</v>
      </c>
      <c r="L706" t="s">
        <v>161</v>
      </c>
      <c r="M706">
        <v>-7200000</v>
      </c>
    </row>
    <row r="707" spans="1:13" x14ac:dyDescent="0.3">
      <c r="A707" s="23">
        <v>44792</v>
      </c>
      <c r="B707" t="s">
        <v>13</v>
      </c>
      <c r="C707" t="s">
        <v>132</v>
      </c>
      <c r="D707" t="s">
        <v>17</v>
      </c>
      <c r="E707" t="s">
        <v>41</v>
      </c>
      <c r="F707">
        <v>7200000</v>
      </c>
      <c r="G707" t="s">
        <v>26</v>
      </c>
      <c r="H707" t="s">
        <v>81</v>
      </c>
      <c r="I707" t="s">
        <v>9</v>
      </c>
      <c r="L707" t="s">
        <v>161</v>
      </c>
      <c r="M707">
        <v>-7200000</v>
      </c>
    </row>
    <row r="708" spans="1:13" x14ac:dyDescent="0.3">
      <c r="A708" s="23">
        <v>44711</v>
      </c>
      <c r="B708" t="s">
        <v>13</v>
      </c>
      <c r="C708" t="s">
        <v>132</v>
      </c>
      <c r="D708" t="s">
        <v>17</v>
      </c>
      <c r="E708" t="s">
        <v>41</v>
      </c>
      <c r="F708">
        <v>7100000</v>
      </c>
      <c r="G708" t="s">
        <v>26</v>
      </c>
      <c r="H708" t="s">
        <v>81</v>
      </c>
      <c r="I708" t="s">
        <v>9</v>
      </c>
      <c r="L708" t="s">
        <v>161</v>
      </c>
      <c r="M708">
        <v>-7100000</v>
      </c>
    </row>
    <row r="709" spans="1:13" x14ac:dyDescent="0.3">
      <c r="A709" s="23">
        <v>45065</v>
      </c>
      <c r="B709" t="s">
        <v>13</v>
      </c>
      <c r="C709" t="s">
        <v>132</v>
      </c>
      <c r="D709" t="s">
        <v>17</v>
      </c>
      <c r="E709" t="s">
        <v>41</v>
      </c>
      <c r="F709">
        <v>7100000</v>
      </c>
      <c r="G709" t="s">
        <v>26</v>
      </c>
      <c r="H709" t="s">
        <v>81</v>
      </c>
      <c r="I709" t="s">
        <v>9</v>
      </c>
      <c r="L709" t="s">
        <v>161</v>
      </c>
      <c r="M709">
        <v>-7100000</v>
      </c>
    </row>
    <row r="710" spans="1:13" x14ac:dyDescent="0.3">
      <c r="A710" s="23">
        <v>45504</v>
      </c>
      <c r="B710" t="s">
        <v>13</v>
      </c>
      <c r="C710" t="s">
        <v>132</v>
      </c>
      <c r="D710" t="s">
        <v>17</v>
      </c>
      <c r="E710" t="s">
        <v>48</v>
      </c>
      <c r="F710">
        <v>7061000</v>
      </c>
      <c r="G710" t="s">
        <v>29</v>
      </c>
      <c r="H710" t="s">
        <v>81</v>
      </c>
      <c r="I710" t="s">
        <v>9</v>
      </c>
      <c r="L710" t="s">
        <v>161</v>
      </c>
      <c r="M710">
        <v>-7061000</v>
      </c>
    </row>
    <row r="711" spans="1:13" x14ac:dyDescent="0.3">
      <c r="A711" s="23">
        <v>45415</v>
      </c>
      <c r="B711" t="s">
        <v>13</v>
      </c>
      <c r="C711" t="s">
        <v>132</v>
      </c>
      <c r="D711" t="s">
        <v>17</v>
      </c>
      <c r="E711" t="s">
        <v>48</v>
      </c>
      <c r="F711">
        <v>7000000</v>
      </c>
      <c r="G711" t="s">
        <v>29</v>
      </c>
      <c r="H711" t="s">
        <v>81</v>
      </c>
      <c r="I711" t="s">
        <v>9</v>
      </c>
      <c r="L711" t="s">
        <v>161</v>
      </c>
      <c r="M711">
        <v>-7000000</v>
      </c>
    </row>
    <row r="712" spans="1:13" x14ac:dyDescent="0.3">
      <c r="A712" s="23">
        <v>44991</v>
      </c>
      <c r="B712" t="s">
        <v>13</v>
      </c>
      <c r="C712" t="s">
        <v>132</v>
      </c>
      <c r="D712" t="s">
        <v>17</v>
      </c>
      <c r="E712" t="s">
        <v>41</v>
      </c>
      <c r="F712">
        <v>6900000</v>
      </c>
      <c r="G712" t="s">
        <v>26</v>
      </c>
      <c r="H712" t="s">
        <v>81</v>
      </c>
      <c r="I712" t="s">
        <v>9</v>
      </c>
      <c r="L712" t="s">
        <v>161</v>
      </c>
      <c r="M712">
        <v>-6900000</v>
      </c>
    </row>
    <row r="713" spans="1:13" x14ac:dyDescent="0.3">
      <c r="A713" s="23">
        <v>45405</v>
      </c>
      <c r="B713" t="s">
        <v>13</v>
      </c>
      <c r="C713" t="s">
        <v>132</v>
      </c>
      <c r="D713" t="s">
        <v>17</v>
      </c>
      <c r="E713" t="s">
        <v>46</v>
      </c>
      <c r="F713">
        <v>6900000</v>
      </c>
      <c r="G713" t="s">
        <v>28</v>
      </c>
      <c r="H713" t="s">
        <v>81</v>
      </c>
      <c r="I713" t="s">
        <v>9</v>
      </c>
      <c r="L713" t="s">
        <v>161</v>
      </c>
      <c r="M713">
        <v>-6900000</v>
      </c>
    </row>
    <row r="714" spans="1:13" x14ac:dyDescent="0.3">
      <c r="A714" s="23">
        <v>45358</v>
      </c>
      <c r="B714" t="s">
        <v>13</v>
      </c>
      <c r="C714" t="s">
        <v>132</v>
      </c>
      <c r="D714" t="s">
        <v>17</v>
      </c>
      <c r="E714" t="s">
        <v>48</v>
      </c>
      <c r="F714">
        <v>6900000</v>
      </c>
      <c r="G714" t="s">
        <v>29</v>
      </c>
      <c r="H714" t="s">
        <v>81</v>
      </c>
      <c r="I714" t="s">
        <v>9</v>
      </c>
      <c r="L714" t="s">
        <v>161</v>
      </c>
      <c r="M714">
        <v>-6900000</v>
      </c>
    </row>
    <row r="715" spans="1:13" x14ac:dyDescent="0.3">
      <c r="A715" s="23">
        <v>45259</v>
      </c>
      <c r="B715" t="s">
        <v>13</v>
      </c>
      <c r="C715" t="s">
        <v>143</v>
      </c>
      <c r="D715" t="s">
        <v>17</v>
      </c>
      <c r="E715" t="s">
        <v>149</v>
      </c>
      <c r="F715">
        <v>6888366.5899999999</v>
      </c>
      <c r="G715" t="s">
        <v>140</v>
      </c>
      <c r="H715" t="s">
        <v>81</v>
      </c>
      <c r="I715" t="s">
        <v>9</v>
      </c>
      <c r="M715">
        <v>-6888366.5899999999</v>
      </c>
    </row>
    <row r="716" spans="1:13" x14ac:dyDescent="0.3">
      <c r="A716" s="23">
        <v>45407</v>
      </c>
      <c r="B716" t="s">
        <v>13</v>
      </c>
      <c r="C716" t="s">
        <v>132</v>
      </c>
      <c r="D716" t="s">
        <v>17</v>
      </c>
      <c r="E716" t="s">
        <v>48</v>
      </c>
      <c r="F716">
        <v>6800000</v>
      </c>
      <c r="G716" t="s">
        <v>29</v>
      </c>
      <c r="H716" t="s">
        <v>81</v>
      </c>
      <c r="I716" t="s">
        <v>9</v>
      </c>
      <c r="L716" t="s">
        <v>161</v>
      </c>
      <c r="M716">
        <v>-6800000</v>
      </c>
    </row>
    <row r="717" spans="1:13" x14ac:dyDescent="0.3">
      <c r="A717" s="23">
        <v>45436</v>
      </c>
      <c r="B717" t="s">
        <v>13</v>
      </c>
      <c r="C717" t="s">
        <v>132</v>
      </c>
      <c r="D717" t="s">
        <v>17</v>
      </c>
      <c r="E717" t="s">
        <v>180</v>
      </c>
      <c r="F717">
        <v>6743364</v>
      </c>
      <c r="G717" t="s">
        <v>181</v>
      </c>
      <c r="H717" t="s">
        <v>81</v>
      </c>
      <c r="I717" t="s">
        <v>9</v>
      </c>
      <c r="L717" t="s">
        <v>161</v>
      </c>
      <c r="M717">
        <v>-6743364</v>
      </c>
    </row>
    <row r="718" spans="1:13" x14ac:dyDescent="0.3">
      <c r="A718" s="23">
        <v>44708</v>
      </c>
      <c r="B718" t="s">
        <v>13</v>
      </c>
      <c r="C718" t="s">
        <v>132</v>
      </c>
      <c r="D718" t="s">
        <v>17</v>
      </c>
      <c r="E718" t="s">
        <v>139</v>
      </c>
      <c r="F718">
        <v>6702985.9500000002</v>
      </c>
      <c r="G718" t="s">
        <v>140</v>
      </c>
      <c r="H718" t="s">
        <v>81</v>
      </c>
      <c r="I718" t="s">
        <v>9</v>
      </c>
      <c r="L718" t="s">
        <v>161</v>
      </c>
      <c r="M718">
        <v>-6702985.9500000002</v>
      </c>
    </row>
    <row r="719" spans="1:13" x14ac:dyDescent="0.3">
      <c r="A719" s="23">
        <v>45251</v>
      </c>
      <c r="B719" t="s">
        <v>13</v>
      </c>
      <c r="C719" t="s">
        <v>132</v>
      </c>
      <c r="D719" t="s">
        <v>17</v>
      </c>
      <c r="E719" t="s">
        <v>41</v>
      </c>
      <c r="F719">
        <v>6700000</v>
      </c>
      <c r="G719" t="s">
        <v>26</v>
      </c>
      <c r="H719" t="s">
        <v>81</v>
      </c>
      <c r="I719" t="s">
        <v>9</v>
      </c>
      <c r="L719" t="s">
        <v>161</v>
      </c>
      <c r="M719">
        <v>-6700000</v>
      </c>
    </row>
    <row r="720" spans="1:13" x14ac:dyDescent="0.3">
      <c r="A720" s="23">
        <v>44572</v>
      </c>
      <c r="B720" t="s">
        <v>13</v>
      </c>
      <c r="C720" t="s">
        <v>132</v>
      </c>
      <c r="D720" t="s">
        <v>17</v>
      </c>
      <c r="E720" t="s">
        <v>41</v>
      </c>
      <c r="F720">
        <v>6500000</v>
      </c>
      <c r="G720" t="s">
        <v>26</v>
      </c>
      <c r="H720" t="s">
        <v>81</v>
      </c>
      <c r="I720" t="s">
        <v>9</v>
      </c>
      <c r="L720" t="s">
        <v>161</v>
      </c>
      <c r="M720">
        <v>-6500000</v>
      </c>
    </row>
    <row r="721" spans="1:13" x14ac:dyDescent="0.3">
      <c r="A721" s="23">
        <v>44753</v>
      </c>
      <c r="B721" t="s">
        <v>13</v>
      </c>
      <c r="C721" t="s">
        <v>132</v>
      </c>
      <c r="D721" t="s">
        <v>17</v>
      </c>
      <c r="E721" t="s">
        <v>41</v>
      </c>
      <c r="F721">
        <v>6500000</v>
      </c>
      <c r="G721" t="s">
        <v>26</v>
      </c>
      <c r="H721" t="s">
        <v>81</v>
      </c>
      <c r="I721" t="s">
        <v>9</v>
      </c>
      <c r="L721" t="s">
        <v>161</v>
      </c>
      <c r="M721">
        <v>-6500000</v>
      </c>
    </row>
    <row r="722" spans="1:13" x14ac:dyDescent="0.3">
      <c r="A722" s="23">
        <v>44804</v>
      </c>
      <c r="B722" t="s">
        <v>13</v>
      </c>
      <c r="C722" t="s">
        <v>132</v>
      </c>
      <c r="D722" t="s">
        <v>17</v>
      </c>
      <c r="E722" t="s">
        <v>41</v>
      </c>
      <c r="F722">
        <v>6500000</v>
      </c>
      <c r="G722" t="s">
        <v>26</v>
      </c>
      <c r="H722" t="s">
        <v>81</v>
      </c>
      <c r="I722" t="s">
        <v>9</v>
      </c>
      <c r="L722" t="s">
        <v>161</v>
      </c>
      <c r="M722">
        <v>-6500000</v>
      </c>
    </row>
    <row r="723" spans="1:13" x14ac:dyDescent="0.3">
      <c r="A723" s="23">
        <v>45597</v>
      </c>
      <c r="B723" t="s">
        <v>13</v>
      </c>
      <c r="C723" t="s">
        <v>132</v>
      </c>
      <c r="D723" t="s">
        <v>17</v>
      </c>
      <c r="E723" t="s">
        <v>41</v>
      </c>
      <c r="F723">
        <v>6300000</v>
      </c>
      <c r="G723" t="s">
        <v>26</v>
      </c>
      <c r="H723" t="s">
        <v>81</v>
      </c>
      <c r="I723" t="s">
        <v>9</v>
      </c>
      <c r="L723" t="s">
        <v>161</v>
      </c>
      <c r="M723">
        <v>-6300000</v>
      </c>
    </row>
    <row r="724" spans="1:13" x14ac:dyDescent="0.3">
      <c r="A724" s="23">
        <v>45568</v>
      </c>
      <c r="B724" t="s">
        <v>13</v>
      </c>
      <c r="C724" t="s">
        <v>132</v>
      </c>
      <c r="D724" t="s">
        <v>17</v>
      </c>
      <c r="E724" t="s">
        <v>193</v>
      </c>
      <c r="F724">
        <v>6126599.5</v>
      </c>
      <c r="G724" t="s">
        <v>131</v>
      </c>
      <c r="H724" t="s">
        <v>81</v>
      </c>
      <c r="I724" t="s">
        <v>9</v>
      </c>
      <c r="L724" t="s">
        <v>161</v>
      </c>
      <c r="M724">
        <v>-6126599.5</v>
      </c>
    </row>
    <row r="725" spans="1:13" x14ac:dyDescent="0.3">
      <c r="A725" s="23">
        <v>45083</v>
      </c>
      <c r="B725" t="s">
        <v>13</v>
      </c>
      <c r="C725" t="s">
        <v>132</v>
      </c>
      <c r="D725" t="s">
        <v>17</v>
      </c>
      <c r="E725" t="s">
        <v>46</v>
      </c>
      <c r="F725">
        <v>6100000</v>
      </c>
      <c r="G725" t="s">
        <v>28</v>
      </c>
      <c r="H725" t="s">
        <v>81</v>
      </c>
      <c r="I725" t="s">
        <v>9</v>
      </c>
      <c r="L725" t="s">
        <v>161</v>
      </c>
      <c r="M725">
        <v>-6100000</v>
      </c>
    </row>
    <row r="726" spans="1:13" x14ac:dyDescent="0.3">
      <c r="A726" s="23">
        <v>45727</v>
      </c>
      <c r="B726" t="s">
        <v>13</v>
      </c>
      <c r="C726" t="s">
        <v>132</v>
      </c>
      <c r="D726" t="s">
        <v>17</v>
      </c>
      <c r="E726" t="s">
        <v>48</v>
      </c>
      <c r="F726">
        <v>6100000</v>
      </c>
      <c r="G726" t="s">
        <v>29</v>
      </c>
      <c r="H726" t="s">
        <v>81</v>
      </c>
      <c r="I726" t="s">
        <v>9</v>
      </c>
      <c r="L726" t="s">
        <v>161</v>
      </c>
      <c r="M726">
        <v>-6100000</v>
      </c>
    </row>
    <row r="727" spans="1:13" x14ac:dyDescent="0.3">
      <c r="A727" s="23">
        <v>45166</v>
      </c>
      <c r="B727" t="s">
        <v>13</v>
      </c>
      <c r="C727" t="s">
        <v>132</v>
      </c>
      <c r="D727" t="s">
        <v>17</v>
      </c>
      <c r="E727" t="s">
        <v>46</v>
      </c>
      <c r="F727">
        <v>6082965.6600000001</v>
      </c>
      <c r="G727" t="s">
        <v>28</v>
      </c>
      <c r="H727" t="s">
        <v>81</v>
      </c>
      <c r="I727" t="s">
        <v>9</v>
      </c>
      <c r="L727" t="s">
        <v>161</v>
      </c>
      <c r="M727">
        <v>-6082965.6600000001</v>
      </c>
    </row>
    <row r="728" spans="1:13" x14ac:dyDescent="0.3">
      <c r="A728" s="23">
        <v>44813</v>
      </c>
      <c r="B728" t="s">
        <v>13</v>
      </c>
      <c r="C728" t="s">
        <v>143</v>
      </c>
      <c r="D728" t="s">
        <v>17</v>
      </c>
      <c r="E728" t="s">
        <v>149</v>
      </c>
      <c r="F728">
        <v>6059520.3099999996</v>
      </c>
      <c r="G728" t="s">
        <v>140</v>
      </c>
      <c r="H728" t="s">
        <v>81</v>
      </c>
      <c r="I728" t="s">
        <v>9</v>
      </c>
      <c r="J728" s="23">
        <v>44813</v>
      </c>
      <c r="L728" t="s">
        <v>236</v>
      </c>
      <c r="M728">
        <v>-6059520.3099999996</v>
      </c>
    </row>
    <row r="729" spans="1:13" x14ac:dyDescent="0.3">
      <c r="A729" s="23">
        <v>45265</v>
      </c>
      <c r="B729" t="s">
        <v>13</v>
      </c>
      <c r="C729" t="s">
        <v>143</v>
      </c>
      <c r="D729" t="s">
        <v>17</v>
      </c>
      <c r="E729" t="s">
        <v>149</v>
      </c>
      <c r="F729">
        <v>6001920.7999999998</v>
      </c>
      <c r="G729" t="s">
        <v>140</v>
      </c>
      <c r="H729" t="s">
        <v>81</v>
      </c>
      <c r="I729" t="s">
        <v>9</v>
      </c>
      <c r="M729">
        <v>-6001920.7999999998</v>
      </c>
    </row>
    <row r="730" spans="1:13" x14ac:dyDescent="0.3">
      <c r="A730" s="23">
        <v>45408</v>
      </c>
      <c r="B730" t="s">
        <v>13</v>
      </c>
      <c r="C730" t="s">
        <v>132</v>
      </c>
      <c r="D730" t="s">
        <v>17</v>
      </c>
      <c r="E730" t="s">
        <v>41</v>
      </c>
      <c r="F730">
        <v>6000000</v>
      </c>
      <c r="G730" t="s">
        <v>26</v>
      </c>
      <c r="H730" t="s">
        <v>81</v>
      </c>
      <c r="I730" t="s">
        <v>9</v>
      </c>
      <c r="L730" t="s">
        <v>161</v>
      </c>
      <c r="M730">
        <v>-6000000</v>
      </c>
    </row>
    <row r="731" spans="1:13" x14ac:dyDescent="0.3">
      <c r="A731" s="23">
        <v>44784</v>
      </c>
      <c r="B731" t="s">
        <v>13</v>
      </c>
      <c r="C731" t="s">
        <v>132</v>
      </c>
      <c r="D731" t="s">
        <v>17</v>
      </c>
      <c r="E731" t="s">
        <v>41</v>
      </c>
      <c r="F731">
        <v>6000000</v>
      </c>
      <c r="G731" t="s">
        <v>26</v>
      </c>
      <c r="H731" t="s">
        <v>81</v>
      </c>
      <c r="I731" t="s">
        <v>9</v>
      </c>
      <c r="L731" t="s">
        <v>161</v>
      </c>
      <c r="M731">
        <v>-6000000</v>
      </c>
    </row>
    <row r="732" spans="1:13" x14ac:dyDescent="0.3">
      <c r="A732" s="23">
        <v>45320</v>
      </c>
      <c r="B732" t="s">
        <v>13</v>
      </c>
      <c r="C732" t="s">
        <v>132</v>
      </c>
      <c r="D732" t="s">
        <v>17</v>
      </c>
      <c r="E732" t="s">
        <v>41</v>
      </c>
      <c r="F732">
        <v>6000000</v>
      </c>
      <c r="G732" t="s">
        <v>26</v>
      </c>
      <c r="H732" t="s">
        <v>81</v>
      </c>
      <c r="I732" t="s">
        <v>9</v>
      </c>
      <c r="L732" t="s">
        <v>161</v>
      </c>
      <c r="M732">
        <v>-6000000</v>
      </c>
    </row>
    <row r="733" spans="1:13" x14ac:dyDescent="0.3">
      <c r="A733" s="23">
        <v>44966</v>
      </c>
      <c r="B733" t="s">
        <v>13</v>
      </c>
      <c r="C733" t="s">
        <v>132</v>
      </c>
      <c r="D733" t="s">
        <v>17</v>
      </c>
      <c r="E733" t="s">
        <v>41</v>
      </c>
      <c r="F733">
        <v>6000000</v>
      </c>
      <c r="G733" t="s">
        <v>26</v>
      </c>
      <c r="H733" t="s">
        <v>81</v>
      </c>
      <c r="I733" t="s">
        <v>9</v>
      </c>
      <c r="L733" t="s">
        <v>161</v>
      </c>
      <c r="M733">
        <v>-6000000</v>
      </c>
    </row>
    <row r="734" spans="1:13" x14ac:dyDescent="0.3">
      <c r="A734" s="23">
        <v>45027</v>
      </c>
      <c r="B734" t="s">
        <v>13</v>
      </c>
      <c r="C734" t="s">
        <v>132</v>
      </c>
      <c r="D734" t="s">
        <v>17</v>
      </c>
      <c r="E734" t="s">
        <v>41</v>
      </c>
      <c r="F734">
        <v>5900000</v>
      </c>
      <c r="G734" t="s">
        <v>26</v>
      </c>
      <c r="H734" t="s">
        <v>81</v>
      </c>
      <c r="I734" t="s">
        <v>9</v>
      </c>
      <c r="L734" t="s">
        <v>161</v>
      </c>
      <c r="M734">
        <v>-5900000</v>
      </c>
    </row>
    <row r="735" spans="1:13" x14ac:dyDescent="0.3">
      <c r="A735" s="23">
        <v>44694</v>
      </c>
      <c r="B735" t="s">
        <v>13</v>
      </c>
      <c r="C735" t="s">
        <v>132</v>
      </c>
      <c r="D735" t="s">
        <v>17</v>
      </c>
      <c r="E735" t="s">
        <v>139</v>
      </c>
      <c r="F735">
        <v>5900000</v>
      </c>
      <c r="G735" t="s">
        <v>140</v>
      </c>
      <c r="H735" t="s">
        <v>81</v>
      </c>
      <c r="I735" t="s">
        <v>9</v>
      </c>
      <c r="L735" t="s">
        <v>161</v>
      </c>
      <c r="M735">
        <v>-5900000</v>
      </c>
    </row>
    <row r="736" spans="1:13" x14ac:dyDescent="0.3">
      <c r="A736" s="23">
        <v>45434</v>
      </c>
      <c r="B736" t="s">
        <v>13</v>
      </c>
      <c r="C736" t="s">
        <v>132</v>
      </c>
      <c r="D736" t="s">
        <v>17</v>
      </c>
      <c r="E736" t="s">
        <v>48</v>
      </c>
      <c r="F736">
        <v>5900000</v>
      </c>
      <c r="G736" t="s">
        <v>29</v>
      </c>
      <c r="H736" t="s">
        <v>81</v>
      </c>
      <c r="I736" t="s">
        <v>9</v>
      </c>
      <c r="L736" t="s">
        <v>161</v>
      </c>
      <c r="M736">
        <v>-5900000</v>
      </c>
    </row>
    <row r="737" spans="1:13" x14ac:dyDescent="0.3">
      <c r="A737" s="23">
        <v>44571</v>
      </c>
      <c r="B737" t="s">
        <v>13</v>
      </c>
      <c r="C737" t="s">
        <v>132</v>
      </c>
      <c r="D737" t="s">
        <v>17</v>
      </c>
      <c r="E737" t="s">
        <v>41</v>
      </c>
      <c r="F737">
        <v>5800000</v>
      </c>
      <c r="G737" t="s">
        <v>26</v>
      </c>
      <c r="H737" t="s">
        <v>81</v>
      </c>
      <c r="I737" t="s">
        <v>9</v>
      </c>
      <c r="L737" t="s">
        <v>161</v>
      </c>
      <c r="M737">
        <v>-5800000</v>
      </c>
    </row>
    <row r="738" spans="1:13" x14ac:dyDescent="0.3">
      <c r="A738" s="23">
        <v>45014</v>
      </c>
      <c r="B738" t="s">
        <v>13</v>
      </c>
      <c r="C738" t="s">
        <v>132</v>
      </c>
      <c r="D738" t="s">
        <v>17</v>
      </c>
      <c r="E738" t="s">
        <v>41</v>
      </c>
      <c r="F738">
        <v>5800000</v>
      </c>
      <c r="G738" t="s">
        <v>26</v>
      </c>
      <c r="H738" t="s">
        <v>81</v>
      </c>
      <c r="I738" t="s">
        <v>9</v>
      </c>
      <c r="L738" t="s">
        <v>161</v>
      </c>
      <c r="M738">
        <v>-5800000</v>
      </c>
    </row>
    <row r="739" spans="1:13" x14ac:dyDescent="0.3">
      <c r="A739" s="23">
        <v>45364</v>
      </c>
      <c r="B739" t="s">
        <v>13</v>
      </c>
      <c r="C739" t="s">
        <v>132</v>
      </c>
      <c r="D739" t="s">
        <v>17</v>
      </c>
      <c r="E739" t="s">
        <v>48</v>
      </c>
      <c r="F739">
        <v>5800000</v>
      </c>
      <c r="G739" t="s">
        <v>29</v>
      </c>
      <c r="H739" t="s">
        <v>81</v>
      </c>
      <c r="I739" t="s">
        <v>9</v>
      </c>
      <c r="L739" t="s">
        <v>161</v>
      </c>
      <c r="M739">
        <v>-5800000</v>
      </c>
    </row>
    <row r="740" spans="1:13" x14ac:dyDescent="0.3">
      <c r="A740" s="23">
        <v>44795</v>
      </c>
      <c r="B740" t="s">
        <v>13</v>
      </c>
      <c r="C740" t="s">
        <v>132</v>
      </c>
      <c r="D740" t="s">
        <v>17</v>
      </c>
      <c r="E740" t="s">
        <v>48</v>
      </c>
      <c r="F740">
        <v>5800000</v>
      </c>
      <c r="G740" t="s">
        <v>29</v>
      </c>
      <c r="H740" t="s">
        <v>81</v>
      </c>
      <c r="I740" t="s">
        <v>9</v>
      </c>
      <c r="L740" t="s">
        <v>161</v>
      </c>
      <c r="M740">
        <v>-5800000</v>
      </c>
    </row>
    <row r="741" spans="1:13" x14ac:dyDescent="0.3">
      <c r="A741" s="23">
        <v>45642</v>
      </c>
      <c r="B741" t="s">
        <v>13</v>
      </c>
      <c r="C741" t="s">
        <v>132</v>
      </c>
      <c r="D741" t="s">
        <v>17</v>
      </c>
      <c r="E741" t="s">
        <v>41</v>
      </c>
      <c r="F741">
        <v>5700000</v>
      </c>
      <c r="G741" t="s">
        <v>26</v>
      </c>
      <c r="H741" t="s">
        <v>81</v>
      </c>
      <c r="I741" t="s">
        <v>9</v>
      </c>
      <c r="L741" t="s">
        <v>161</v>
      </c>
      <c r="M741">
        <v>-5700000</v>
      </c>
    </row>
    <row r="742" spans="1:13" x14ac:dyDescent="0.3">
      <c r="A742" s="23">
        <v>44704</v>
      </c>
      <c r="B742" t="s">
        <v>13</v>
      </c>
      <c r="C742" t="s">
        <v>132</v>
      </c>
      <c r="D742" t="s">
        <v>17</v>
      </c>
      <c r="E742" t="s">
        <v>139</v>
      </c>
      <c r="F742">
        <v>5610000</v>
      </c>
      <c r="G742" t="s">
        <v>140</v>
      </c>
      <c r="H742" t="s">
        <v>81</v>
      </c>
      <c r="I742" t="s">
        <v>9</v>
      </c>
      <c r="L742" t="s">
        <v>161</v>
      </c>
      <c r="M742">
        <v>-5610000</v>
      </c>
    </row>
    <row r="743" spans="1:13" x14ac:dyDescent="0.3">
      <c r="A743" s="23">
        <v>44697</v>
      </c>
      <c r="B743" t="s">
        <v>13</v>
      </c>
      <c r="C743" t="s">
        <v>132</v>
      </c>
      <c r="D743" t="s">
        <v>17</v>
      </c>
      <c r="E743" t="s">
        <v>41</v>
      </c>
      <c r="F743">
        <v>5600000</v>
      </c>
      <c r="G743" t="s">
        <v>26</v>
      </c>
      <c r="H743" t="s">
        <v>81</v>
      </c>
      <c r="I743" t="s">
        <v>9</v>
      </c>
      <c r="L743" t="s">
        <v>161</v>
      </c>
      <c r="M743">
        <v>-5600000</v>
      </c>
    </row>
    <row r="744" spans="1:13" x14ac:dyDescent="0.3">
      <c r="A744" s="23">
        <v>44754</v>
      </c>
      <c r="B744" t="s">
        <v>13</v>
      </c>
      <c r="C744" t="s">
        <v>132</v>
      </c>
      <c r="D744" t="s">
        <v>17</v>
      </c>
      <c r="E744" t="s">
        <v>41</v>
      </c>
      <c r="F744">
        <v>5500000</v>
      </c>
      <c r="G744" t="s">
        <v>26</v>
      </c>
      <c r="H744" t="s">
        <v>81</v>
      </c>
      <c r="I744" t="s">
        <v>9</v>
      </c>
      <c r="L744" t="s">
        <v>161</v>
      </c>
      <c r="M744">
        <v>-5500000</v>
      </c>
    </row>
    <row r="745" spans="1:13" x14ac:dyDescent="0.3">
      <c r="A745" s="23">
        <v>44698</v>
      </c>
      <c r="B745" t="s">
        <v>13</v>
      </c>
      <c r="C745" t="s">
        <v>132</v>
      </c>
      <c r="D745" t="s">
        <v>17</v>
      </c>
      <c r="E745" t="s">
        <v>139</v>
      </c>
      <c r="F745">
        <v>5500000</v>
      </c>
      <c r="G745" t="s">
        <v>140</v>
      </c>
      <c r="H745" t="s">
        <v>81</v>
      </c>
      <c r="I745" t="s">
        <v>9</v>
      </c>
      <c r="L745" t="s">
        <v>161</v>
      </c>
      <c r="M745">
        <v>-5500000</v>
      </c>
    </row>
    <row r="746" spans="1:13" x14ac:dyDescent="0.3">
      <c r="A746" s="23">
        <v>44783</v>
      </c>
      <c r="B746" t="s">
        <v>13</v>
      </c>
      <c r="C746" t="s">
        <v>143</v>
      </c>
      <c r="D746" t="s">
        <v>17</v>
      </c>
      <c r="E746" t="s">
        <v>149</v>
      </c>
      <c r="F746">
        <v>5461877.5599999996</v>
      </c>
      <c r="G746" t="s">
        <v>140</v>
      </c>
      <c r="H746" t="s">
        <v>81</v>
      </c>
      <c r="I746" t="s">
        <v>9</v>
      </c>
      <c r="J746" s="23">
        <v>44783</v>
      </c>
      <c r="L746" t="s">
        <v>225</v>
      </c>
      <c r="M746">
        <v>-5461877.5599999996</v>
      </c>
    </row>
    <row r="747" spans="1:13" x14ac:dyDescent="0.3">
      <c r="A747" s="23">
        <v>45201</v>
      </c>
      <c r="B747" t="s">
        <v>13</v>
      </c>
      <c r="C747" t="s">
        <v>143</v>
      </c>
      <c r="D747" t="s">
        <v>17</v>
      </c>
      <c r="E747" t="s">
        <v>149</v>
      </c>
      <c r="F747">
        <v>5373360.4199999999</v>
      </c>
      <c r="G747" t="s">
        <v>140</v>
      </c>
      <c r="H747" t="s">
        <v>81</v>
      </c>
      <c r="I747" t="s">
        <v>9</v>
      </c>
      <c r="M747">
        <v>-5373360.4199999999</v>
      </c>
    </row>
    <row r="748" spans="1:13" x14ac:dyDescent="0.3">
      <c r="A748" s="23">
        <v>45540</v>
      </c>
      <c r="B748" t="s">
        <v>13</v>
      </c>
      <c r="C748" t="s">
        <v>132</v>
      </c>
      <c r="D748" t="s">
        <v>17</v>
      </c>
      <c r="E748" t="s">
        <v>41</v>
      </c>
      <c r="F748">
        <v>5300000</v>
      </c>
      <c r="G748" t="s">
        <v>26</v>
      </c>
      <c r="H748" t="s">
        <v>81</v>
      </c>
      <c r="I748" t="s">
        <v>9</v>
      </c>
      <c r="L748" t="s">
        <v>161</v>
      </c>
      <c r="M748">
        <v>-5300000</v>
      </c>
    </row>
    <row r="749" spans="1:13" x14ac:dyDescent="0.3">
      <c r="A749" s="23">
        <v>44973</v>
      </c>
      <c r="B749" t="s">
        <v>13</v>
      </c>
      <c r="C749" t="s">
        <v>132</v>
      </c>
      <c r="D749" t="s">
        <v>17</v>
      </c>
      <c r="E749" t="s">
        <v>41</v>
      </c>
      <c r="F749">
        <v>5100000</v>
      </c>
      <c r="G749" t="s">
        <v>26</v>
      </c>
      <c r="H749" t="s">
        <v>81</v>
      </c>
      <c r="I749" t="s">
        <v>9</v>
      </c>
      <c r="L749" t="s">
        <v>161</v>
      </c>
      <c r="M749">
        <v>-5100000</v>
      </c>
    </row>
    <row r="750" spans="1:13" x14ac:dyDescent="0.3">
      <c r="A750" s="23">
        <v>45163</v>
      </c>
      <c r="B750" t="s">
        <v>13</v>
      </c>
      <c r="C750" t="s">
        <v>132</v>
      </c>
      <c r="D750" t="s">
        <v>17</v>
      </c>
      <c r="E750" t="s">
        <v>48</v>
      </c>
      <c r="F750">
        <v>5100000</v>
      </c>
      <c r="G750" t="s">
        <v>29</v>
      </c>
      <c r="H750" t="s">
        <v>81</v>
      </c>
      <c r="I750" t="s">
        <v>9</v>
      </c>
      <c r="L750" t="s">
        <v>161</v>
      </c>
      <c r="M750">
        <v>-5100000</v>
      </c>
    </row>
    <row r="751" spans="1:13" x14ac:dyDescent="0.3">
      <c r="A751" s="23">
        <v>45530</v>
      </c>
      <c r="B751" t="s">
        <v>13</v>
      </c>
      <c r="C751" t="s">
        <v>132</v>
      </c>
      <c r="D751" t="s">
        <v>17</v>
      </c>
      <c r="E751" t="s">
        <v>41</v>
      </c>
      <c r="F751">
        <v>5000000</v>
      </c>
      <c r="G751" t="s">
        <v>26</v>
      </c>
      <c r="H751" t="s">
        <v>81</v>
      </c>
      <c r="I751" t="s">
        <v>9</v>
      </c>
      <c r="L751" t="s">
        <v>161</v>
      </c>
      <c r="M751">
        <v>-5000000</v>
      </c>
    </row>
    <row r="752" spans="1:13" x14ac:dyDescent="0.3">
      <c r="A752" s="23">
        <v>44950</v>
      </c>
      <c r="B752" t="s">
        <v>13</v>
      </c>
      <c r="C752" t="s">
        <v>132</v>
      </c>
      <c r="D752" t="s">
        <v>17</v>
      </c>
      <c r="E752" t="s">
        <v>41</v>
      </c>
      <c r="F752">
        <v>5000000</v>
      </c>
      <c r="G752" t="s">
        <v>26</v>
      </c>
      <c r="H752" t="s">
        <v>81</v>
      </c>
      <c r="I752" t="s">
        <v>9</v>
      </c>
      <c r="L752" t="s">
        <v>161</v>
      </c>
      <c r="M752">
        <v>-5000000</v>
      </c>
    </row>
    <row r="753" spans="1:13" x14ac:dyDescent="0.3">
      <c r="A753" s="23">
        <v>45019</v>
      </c>
      <c r="B753" t="s">
        <v>13</v>
      </c>
      <c r="C753" t="s">
        <v>132</v>
      </c>
      <c r="D753" t="s">
        <v>17</v>
      </c>
      <c r="E753" t="s">
        <v>41</v>
      </c>
      <c r="F753">
        <v>5000000</v>
      </c>
      <c r="G753" t="s">
        <v>26</v>
      </c>
      <c r="H753" t="s">
        <v>81</v>
      </c>
      <c r="I753" t="s">
        <v>9</v>
      </c>
      <c r="L753" t="s">
        <v>161</v>
      </c>
      <c r="M753">
        <v>-5000000</v>
      </c>
    </row>
    <row r="754" spans="1:13" x14ac:dyDescent="0.3">
      <c r="A754" s="23">
        <v>45209</v>
      </c>
      <c r="B754" t="s">
        <v>13</v>
      </c>
      <c r="C754" t="s">
        <v>143</v>
      </c>
      <c r="D754" t="s">
        <v>17</v>
      </c>
      <c r="E754" t="s">
        <v>149</v>
      </c>
      <c r="F754">
        <v>4989764.67</v>
      </c>
      <c r="G754" t="s">
        <v>140</v>
      </c>
      <c r="H754" t="s">
        <v>81</v>
      </c>
      <c r="I754" t="s">
        <v>9</v>
      </c>
      <c r="M754">
        <v>-4989764.67</v>
      </c>
    </row>
    <row r="755" spans="1:13" x14ac:dyDescent="0.3">
      <c r="A755" s="23">
        <v>44798</v>
      </c>
      <c r="B755" t="s">
        <v>13</v>
      </c>
      <c r="C755" t="s">
        <v>132</v>
      </c>
      <c r="D755" t="s">
        <v>17</v>
      </c>
      <c r="E755" t="s">
        <v>41</v>
      </c>
      <c r="F755">
        <v>4800000</v>
      </c>
      <c r="G755" t="s">
        <v>26</v>
      </c>
      <c r="H755" t="s">
        <v>81</v>
      </c>
      <c r="I755" t="s">
        <v>9</v>
      </c>
      <c r="L755" t="s">
        <v>161</v>
      </c>
      <c r="M755">
        <v>-4800000</v>
      </c>
    </row>
    <row r="756" spans="1:13" x14ac:dyDescent="0.3">
      <c r="A756" s="23">
        <v>44833</v>
      </c>
      <c r="B756" t="s">
        <v>13</v>
      </c>
      <c r="C756" t="s">
        <v>132</v>
      </c>
      <c r="D756" t="s">
        <v>17</v>
      </c>
      <c r="E756" t="s">
        <v>41</v>
      </c>
      <c r="F756">
        <v>4800000</v>
      </c>
      <c r="G756" t="s">
        <v>26</v>
      </c>
      <c r="H756" t="s">
        <v>81</v>
      </c>
      <c r="I756" t="s">
        <v>9</v>
      </c>
      <c r="L756" t="s">
        <v>161</v>
      </c>
      <c r="M756">
        <v>-4800000</v>
      </c>
    </row>
    <row r="757" spans="1:13" x14ac:dyDescent="0.3">
      <c r="A757" s="23">
        <v>45083</v>
      </c>
      <c r="B757" t="s">
        <v>13</v>
      </c>
      <c r="C757" t="s">
        <v>132</v>
      </c>
      <c r="D757" t="s">
        <v>17</v>
      </c>
      <c r="E757" t="s">
        <v>41</v>
      </c>
      <c r="F757">
        <v>4800000</v>
      </c>
      <c r="G757" t="s">
        <v>26</v>
      </c>
      <c r="H757" t="s">
        <v>81</v>
      </c>
      <c r="I757" t="s">
        <v>9</v>
      </c>
      <c r="L757" t="s">
        <v>161</v>
      </c>
      <c r="M757">
        <v>-4800000</v>
      </c>
    </row>
    <row r="758" spans="1:13" x14ac:dyDescent="0.3">
      <c r="A758" s="23">
        <v>45204</v>
      </c>
      <c r="B758" t="s">
        <v>13</v>
      </c>
      <c r="C758" t="s">
        <v>143</v>
      </c>
      <c r="D758" t="s">
        <v>17</v>
      </c>
      <c r="E758" t="s">
        <v>149</v>
      </c>
      <c r="F758">
        <v>4755706.63</v>
      </c>
      <c r="G758" t="s">
        <v>140</v>
      </c>
      <c r="H758" t="s">
        <v>81</v>
      </c>
      <c r="I758" t="s">
        <v>9</v>
      </c>
      <c r="M758">
        <v>-4755706.63</v>
      </c>
    </row>
    <row r="759" spans="1:13" x14ac:dyDescent="0.3">
      <c r="A759" s="23">
        <v>45323</v>
      </c>
      <c r="B759" t="s">
        <v>13</v>
      </c>
      <c r="C759" t="s">
        <v>132</v>
      </c>
      <c r="D759" t="s">
        <v>17</v>
      </c>
      <c r="E759" t="s">
        <v>136</v>
      </c>
      <c r="F759">
        <v>4740000</v>
      </c>
      <c r="G759" t="s">
        <v>134</v>
      </c>
      <c r="H759" t="s">
        <v>81</v>
      </c>
      <c r="I759" t="s">
        <v>9</v>
      </c>
      <c r="L759" t="s">
        <v>161</v>
      </c>
      <c r="M759">
        <v>-4740000</v>
      </c>
    </row>
    <row r="760" spans="1:13" x14ac:dyDescent="0.3">
      <c r="A760" s="23">
        <v>44694</v>
      </c>
      <c r="B760" t="s">
        <v>13</v>
      </c>
      <c r="C760" t="s">
        <v>132</v>
      </c>
      <c r="D760" t="s">
        <v>17</v>
      </c>
      <c r="E760" t="s">
        <v>41</v>
      </c>
      <c r="F760">
        <v>4700000</v>
      </c>
      <c r="G760" t="s">
        <v>26</v>
      </c>
      <c r="H760" t="s">
        <v>81</v>
      </c>
      <c r="I760" t="s">
        <v>9</v>
      </c>
      <c r="L760" t="s">
        <v>161</v>
      </c>
      <c r="M760">
        <v>-4700000</v>
      </c>
    </row>
    <row r="761" spans="1:13" x14ac:dyDescent="0.3">
      <c r="A761" s="23">
        <v>44748</v>
      </c>
      <c r="B761" t="s">
        <v>13</v>
      </c>
      <c r="C761" t="s">
        <v>132</v>
      </c>
      <c r="D761" t="s">
        <v>17</v>
      </c>
      <c r="E761" t="s">
        <v>41</v>
      </c>
      <c r="F761">
        <v>4700000</v>
      </c>
      <c r="G761" t="s">
        <v>26</v>
      </c>
      <c r="H761" t="s">
        <v>81</v>
      </c>
      <c r="I761" t="s">
        <v>9</v>
      </c>
      <c r="L761" t="s">
        <v>161</v>
      </c>
      <c r="M761">
        <v>-4700000</v>
      </c>
    </row>
    <row r="762" spans="1:13" x14ac:dyDescent="0.3">
      <c r="A762" s="23">
        <v>44743</v>
      </c>
      <c r="B762" t="s">
        <v>13</v>
      </c>
      <c r="C762" t="s">
        <v>132</v>
      </c>
      <c r="D762" t="s">
        <v>17</v>
      </c>
      <c r="E762" t="s">
        <v>46</v>
      </c>
      <c r="F762">
        <v>4700000</v>
      </c>
      <c r="G762" t="s">
        <v>28</v>
      </c>
      <c r="H762" t="s">
        <v>81</v>
      </c>
      <c r="I762" t="s">
        <v>9</v>
      </c>
      <c r="L762" t="s">
        <v>161</v>
      </c>
      <c r="M762">
        <v>-4700000</v>
      </c>
    </row>
    <row r="763" spans="1:13" x14ac:dyDescent="0.3">
      <c r="A763" s="23">
        <v>44599</v>
      </c>
      <c r="B763" t="s">
        <v>13</v>
      </c>
      <c r="C763" t="s">
        <v>132</v>
      </c>
      <c r="D763" t="s">
        <v>17</v>
      </c>
      <c r="E763" t="s">
        <v>41</v>
      </c>
      <c r="F763">
        <v>4600000</v>
      </c>
      <c r="G763" t="s">
        <v>26</v>
      </c>
      <c r="H763" t="s">
        <v>81</v>
      </c>
      <c r="I763" t="s">
        <v>9</v>
      </c>
      <c r="L763" t="s">
        <v>161</v>
      </c>
      <c r="M763">
        <v>-4600000</v>
      </c>
    </row>
    <row r="764" spans="1:13" x14ac:dyDescent="0.3">
      <c r="A764" s="23">
        <v>44938</v>
      </c>
      <c r="B764" t="s">
        <v>13</v>
      </c>
      <c r="C764" t="s">
        <v>132</v>
      </c>
      <c r="D764" t="s">
        <v>17</v>
      </c>
      <c r="E764" t="s">
        <v>48</v>
      </c>
      <c r="F764">
        <v>4600000</v>
      </c>
      <c r="G764" t="s">
        <v>29</v>
      </c>
      <c r="H764" t="s">
        <v>81</v>
      </c>
      <c r="I764" t="s">
        <v>9</v>
      </c>
      <c r="L764" t="s">
        <v>161</v>
      </c>
      <c r="M764">
        <v>-4600000</v>
      </c>
    </row>
    <row r="765" spans="1:13" x14ac:dyDescent="0.3">
      <c r="A765" s="23">
        <v>44693</v>
      </c>
      <c r="B765" t="s">
        <v>13</v>
      </c>
      <c r="C765" t="s">
        <v>132</v>
      </c>
      <c r="D765" t="s">
        <v>17</v>
      </c>
      <c r="E765" t="s">
        <v>41</v>
      </c>
      <c r="F765">
        <v>4500000</v>
      </c>
      <c r="G765" t="s">
        <v>26</v>
      </c>
      <c r="H765" t="s">
        <v>81</v>
      </c>
      <c r="I765" t="s">
        <v>9</v>
      </c>
      <c r="L765" t="s">
        <v>161</v>
      </c>
      <c r="M765">
        <v>-4500000</v>
      </c>
    </row>
    <row r="766" spans="1:13" x14ac:dyDescent="0.3">
      <c r="A766" s="23">
        <v>44719</v>
      </c>
      <c r="B766" t="s">
        <v>13</v>
      </c>
      <c r="C766" t="s">
        <v>132</v>
      </c>
      <c r="D766" t="s">
        <v>17</v>
      </c>
      <c r="E766" t="s">
        <v>41</v>
      </c>
      <c r="F766">
        <v>4500000</v>
      </c>
      <c r="G766" t="s">
        <v>26</v>
      </c>
      <c r="H766" t="s">
        <v>81</v>
      </c>
      <c r="I766" t="s">
        <v>9</v>
      </c>
      <c r="L766" t="s">
        <v>161</v>
      </c>
      <c r="M766">
        <v>-4500000</v>
      </c>
    </row>
    <row r="767" spans="1:13" x14ac:dyDescent="0.3">
      <c r="A767" s="23">
        <v>45204</v>
      </c>
      <c r="B767" t="s">
        <v>13</v>
      </c>
      <c r="C767" t="s">
        <v>132</v>
      </c>
      <c r="D767" t="s">
        <v>17</v>
      </c>
      <c r="E767" t="s">
        <v>41</v>
      </c>
      <c r="F767">
        <v>4500000</v>
      </c>
      <c r="G767" t="s">
        <v>26</v>
      </c>
      <c r="H767" t="s">
        <v>81</v>
      </c>
      <c r="I767" t="s">
        <v>9</v>
      </c>
      <c r="L767" t="s">
        <v>161</v>
      </c>
      <c r="M767">
        <v>-4500000</v>
      </c>
    </row>
    <row r="768" spans="1:13" x14ac:dyDescent="0.3">
      <c r="A768" s="23">
        <v>45688</v>
      </c>
      <c r="B768" t="s">
        <v>13</v>
      </c>
      <c r="C768" t="s">
        <v>132</v>
      </c>
      <c r="D768" t="s">
        <v>17</v>
      </c>
      <c r="E768" t="s">
        <v>48</v>
      </c>
      <c r="F768">
        <v>4500000</v>
      </c>
      <c r="G768" t="s">
        <v>29</v>
      </c>
      <c r="H768" t="s">
        <v>81</v>
      </c>
      <c r="I768" t="s">
        <v>9</v>
      </c>
      <c r="L768" t="s">
        <v>161</v>
      </c>
      <c r="M768">
        <v>-4500000</v>
      </c>
    </row>
    <row r="769" spans="1:13" x14ac:dyDescent="0.3">
      <c r="A769" s="23">
        <v>45630</v>
      </c>
      <c r="B769" t="s">
        <v>13</v>
      </c>
      <c r="C769" t="s">
        <v>132</v>
      </c>
      <c r="D769" t="s">
        <v>17</v>
      </c>
      <c r="E769" t="s">
        <v>41</v>
      </c>
      <c r="F769">
        <v>4400000</v>
      </c>
      <c r="G769" t="s">
        <v>26</v>
      </c>
      <c r="H769" t="s">
        <v>81</v>
      </c>
      <c r="I769" t="s">
        <v>9</v>
      </c>
      <c r="L769" t="s">
        <v>161</v>
      </c>
      <c r="M769">
        <v>-4400000</v>
      </c>
    </row>
    <row r="770" spans="1:13" x14ac:dyDescent="0.3">
      <c r="A770" s="23">
        <v>45030</v>
      </c>
      <c r="B770" t="s">
        <v>13</v>
      </c>
      <c r="C770" t="s">
        <v>132</v>
      </c>
      <c r="D770" t="s">
        <v>17</v>
      </c>
      <c r="E770" t="s">
        <v>41</v>
      </c>
      <c r="F770">
        <v>4400000</v>
      </c>
      <c r="G770" t="s">
        <v>26</v>
      </c>
      <c r="H770" t="s">
        <v>81</v>
      </c>
      <c r="I770" t="s">
        <v>9</v>
      </c>
      <c r="L770" t="s">
        <v>161</v>
      </c>
      <c r="M770">
        <v>-4400000</v>
      </c>
    </row>
    <row r="771" spans="1:13" x14ac:dyDescent="0.3">
      <c r="A771" s="23">
        <v>44672</v>
      </c>
      <c r="B771" t="s">
        <v>13</v>
      </c>
      <c r="C771" t="s">
        <v>132</v>
      </c>
      <c r="D771" t="s">
        <v>17</v>
      </c>
      <c r="E771" t="s">
        <v>41</v>
      </c>
      <c r="F771">
        <v>4300000</v>
      </c>
      <c r="G771" t="s">
        <v>26</v>
      </c>
      <c r="H771" t="s">
        <v>81</v>
      </c>
      <c r="I771" t="s">
        <v>9</v>
      </c>
      <c r="L771" t="s">
        <v>161</v>
      </c>
      <c r="M771">
        <v>-4300000</v>
      </c>
    </row>
    <row r="772" spans="1:13" x14ac:dyDescent="0.3">
      <c r="A772" s="23">
        <v>44848</v>
      </c>
      <c r="B772" t="s">
        <v>13</v>
      </c>
      <c r="C772" t="s">
        <v>132</v>
      </c>
      <c r="D772" t="s">
        <v>17</v>
      </c>
      <c r="E772" t="s">
        <v>45</v>
      </c>
      <c r="F772">
        <v>4300000</v>
      </c>
      <c r="G772" t="s">
        <v>26</v>
      </c>
      <c r="H772" t="s">
        <v>81</v>
      </c>
      <c r="I772" t="s">
        <v>9</v>
      </c>
      <c r="L772" t="s">
        <v>161</v>
      </c>
      <c r="M772">
        <v>-4300000</v>
      </c>
    </row>
    <row r="773" spans="1:13" x14ac:dyDescent="0.3">
      <c r="A773" s="23">
        <v>44669</v>
      </c>
      <c r="B773" t="s">
        <v>13</v>
      </c>
      <c r="C773" t="s">
        <v>132</v>
      </c>
      <c r="D773" t="s">
        <v>17</v>
      </c>
      <c r="E773" t="s">
        <v>41</v>
      </c>
      <c r="F773">
        <v>4200000</v>
      </c>
      <c r="G773" t="s">
        <v>26</v>
      </c>
      <c r="H773" t="s">
        <v>81</v>
      </c>
      <c r="I773" t="s">
        <v>9</v>
      </c>
      <c r="L773" t="s">
        <v>161</v>
      </c>
      <c r="M773">
        <v>-4200000</v>
      </c>
    </row>
    <row r="774" spans="1:13" x14ac:dyDescent="0.3">
      <c r="A774" s="23">
        <v>44676</v>
      </c>
      <c r="B774" t="s">
        <v>13</v>
      </c>
      <c r="C774" t="s">
        <v>132</v>
      </c>
      <c r="D774" t="s">
        <v>17</v>
      </c>
      <c r="E774" t="s">
        <v>41</v>
      </c>
      <c r="F774">
        <v>4200000</v>
      </c>
      <c r="G774" t="s">
        <v>26</v>
      </c>
      <c r="H774" t="s">
        <v>81</v>
      </c>
      <c r="I774" t="s">
        <v>9</v>
      </c>
      <c r="L774" t="s">
        <v>161</v>
      </c>
      <c r="M774">
        <v>-4200000</v>
      </c>
    </row>
    <row r="775" spans="1:13" x14ac:dyDescent="0.3">
      <c r="A775" s="23">
        <v>45166</v>
      </c>
      <c r="B775" t="s">
        <v>13</v>
      </c>
      <c r="C775" t="s">
        <v>132</v>
      </c>
      <c r="D775" t="s">
        <v>17</v>
      </c>
      <c r="E775" t="s">
        <v>41</v>
      </c>
      <c r="F775">
        <v>4100000</v>
      </c>
      <c r="G775" t="s">
        <v>26</v>
      </c>
      <c r="H775" t="s">
        <v>81</v>
      </c>
      <c r="I775" t="s">
        <v>9</v>
      </c>
      <c r="L775" t="s">
        <v>161</v>
      </c>
      <c r="M775">
        <v>-4100000</v>
      </c>
    </row>
    <row r="776" spans="1:13" x14ac:dyDescent="0.3">
      <c r="A776" s="23">
        <v>45147</v>
      </c>
      <c r="B776" t="s">
        <v>13</v>
      </c>
      <c r="C776" t="s">
        <v>132</v>
      </c>
      <c r="D776" t="s">
        <v>17</v>
      </c>
      <c r="E776" t="s">
        <v>46</v>
      </c>
      <c r="F776">
        <v>4100000</v>
      </c>
      <c r="G776" t="s">
        <v>28</v>
      </c>
      <c r="H776" t="s">
        <v>81</v>
      </c>
      <c r="I776" t="s">
        <v>9</v>
      </c>
      <c r="L776" t="s">
        <v>161</v>
      </c>
      <c r="M776">
        <v>-4100000</v>
      </c>
    </row>
    <row r="777" spans="1:13" x14ac:dyDescent="0.3">
      <c r="A777" s="23">
        <v>44663</v>
      </c>
      <c r="B777" t="s">
        <v>13</v>
      </c>
      <c r="C777" t="s">
        <v>132</v>
      </c>
      <c r="D777" t="s">
        <v>17</v>
      </c>
      <c r="E777" t="s">
        <v>41</v>
      </c>
      <c r="F777">
        <v>4000000</v>
      </c>
      <c r="G777" t="s">
        <v>26</v>
      </c>
      <c r="H777" t="s">
        <v>81</v>
      </c>
      <c r="I777" t="s">
        <v>9</v>
      </c>
      <c r="L777" t="s">
        <v>161</v>
      </c>
      <c r="M777">
        <v>-4000000</v>
      </c>
    </row>
    <row r="778" spans="1:13" x14ac:dyDescent="0.3">
      <c r="A778" s="23">
        <v>44939</v>
      </c>
      <c r="B778" t="s">
        <v>13</v>
      </c>
      <c r="C778" t="s">
        <v>132</v>
      </c>
      <c r="D778" t="s">
        <v>17</v>
      </c>
      <c r="E778" t="s">
        <v>48</v>
      </c>
      <c r="F778">
        <v>4000000</v>
      </c>
      <c r="G778" t="s">
        <v>29</v>
      </c>
      <c r="H778" t="s">
        <v>81</v>
      </c>
      <c r="I778" t="s">
        <v>9</v>
      </c>
      <c r="L778" t="s">
        <v>161</v>
      </c>
      <c r="M778">
        <v>-4000000</v>
      </c>
    </row>
    <row r="779" spans="1:13" x14ac:dyDescent="0.3">
      <c r="A779" s="23">
        <v>44628</v>
      </c>
      <c r="B779" t="s">
        <v>13</v>
      </c>
      <c r="C779" t="s">
        <v>132</v>
      </c>
      <c r="D779" t="s">
        <v>17</v>
      </c>
      <c r="E779" t="s">
        <v>41</v>
      </c>
      <c r="F779">
        <v>3900000</v>
      </c>
      <c r="G779" t="s">
        <v>26</v>
      </c>
      <c r="H779" t="s">
        <v>81</v>
      </c>
      <c r="I779" t="s">
        <v>9</v>
      </c>
      <c r="L779" t="s">
        <v>161</v>
      </c>
      <c r="M779">
        <v>-3900000</v>
      </c>
    </row>
    <row r="780" spans="1:13" x14ac:dyDescent="0.3">
      <c r="A780" s="23">
        <v>45469</v>
      </c>
      <c r="B780" t="s">
        <v>13</v>
      </c>
      <c r="C780" t="s">
        <v>132</v>
      </c>
      <c r="D780" t="s">
        <v>17</v>
      </c>
      <c r="E780" t="s">
        <v>41</v>
      </c>
      <c r="F780">
        <v>3900000</v>
      </c>
      <c r="G780" t="s">
        <v>26</v>
      </c>
      <c r="H780" t="s">
        <v>81</v>
      </c>
      <c r="I780" t="s">
        <v>9</v>
      </c>
      <c r="L780" t="s">
        <v>161</v>
      </c>
      <c r="M780">
        <v>-3900000</v>
      </c>
    </row>
    <row r="781" spans="1:13" x14ac:dyDescent="0.3">
      <c r="A781" s="23">
        <v>45138</v>
      </c>
      <c r="B781" t="s">
        <v>13</v>
      </c>
      <c r="C781" t="s">
        <v>132</v>
      </c>
      <c r="D781" t="s">
        <v>17</v>
      </c>
      <c r="E781" t="s">
        <v>41</v>
      </c>
      <c r="F781">
        <v>3900000</v>
      </c>
      <c r="G781" t="s">
        <v>26</v>
      </c>
      <c r="H781" t="s">
        <v>81</v>
      </c>
      <c r="I781" t="s">
        <v>9</v>
      </c>
      <c r="L781" t="s">
        <v>161</v>
      </c>
      <c r="M781">
        <v>-3900000</v>
      </c>
    </row>
    <row r="782" spans="1:13" x14ac:dyDescent="0.3">
      <c r="A782" s="23">
        <v>44691</v>
      </c>
      <c r="B782" t="s">
        <v>13</v>
      </c>
      <c r="C782" t="s">
        <v>132</v>
      </c>
      <c r="D782" t="s">
        <v>17</v>
      </c>
      <c r="E782" t="s">
        <v>41</v>
      </c>
      <c r="F782">
        <v>3800000</v>
      </c>
      <c r="G782" t="s">
        <v>26</v>
      </c>
      <c r="H782" t="s">
        <v>81</v>
      </c>
      <c r="I782" t="s">
        <v>9</v>
      </c>
      <c r="L782" t="s">
        <v>161</v>
      </c>
      <c r="M782">
        <v>-3800000</v>
      </c>
    </row>
    <row r="783" spans="1:13" x14ac:dyDescent="0.3">
      <c r="A783" s="23">
        <v>44812</v>
      </c>
      <c r="B783" t="s">
        <v>13</v>
      </c>
      <c r="C783" t="s">
        <v>132</v>
      </c>
      <c r="D783" t="s">
        <v>17</v>
      </c>
      <c r="E783" t="s">
        <v>41</v>
      </c>
      <c r="F783">
        <v>3800000</v>
      </c>
      <c r="G783" t="s">
        <v>26</v>
      </c>
      <c r="H783" t="s">
        <v>81</v>
      </c>
      <c r="I783" t="s">
        <v>9</v>
      </c>
      <c r="L783" t="s">
        <v>161</v>
      </c>
      <c r="M783">
        <v>-3800000</v>
      </c>
    </row>
    <row r="784" spans="1:13" x14ac:dyDescent="0.3">
      <c r="A784" s="23">
        <v>44988</v>
      </c>
      <c r="B784" t="s">
        <v>13</v>
      </c>
      <c r="C784" t="s">
        <v>132</v>
      </c>
      <c r="D784" t="s">
        <v>17</v>
      </c>
      <c r="E784" t="s">
        <v>41</v>
      </c>
      <c r="F784">
        <v>3800000</v>
      </c>
      <c r="G784" t="s">
        <v>26</v>
      </c>
      <c r="H784" t="s">
        <v>81</v>
      </c>
      <c r="I784" t="s">
        <v>9</v>
      </c>
      <c r="L784" t="s">
        <v>161</v>
      </c>
      <c r="M784">
        <v>-3800000</v>
      </c>
    </row>
    <row r="785" spans="1:13" x14ac:dyDescent="0.3">
      <c r="A785" s="23">
        <v>45182</v>
      </c>
      <c r="B785" t="s">
        <v>13</v>
      </c>
      <c r="C785" t="s">
        <v>143</v>
      </c>
      <c r="D785" t="s">
        <v>17</v>
      </c>
      <c r="E785" t="s">
        <v>149</v>
      </c>
      <c r="F785">
        <v>3784514.43</v>
      </c>
      <c r="G785" t="s">
        <v>140</v>
      </c>
      <c r="H785" t="s">
        <v>81</v>
      </c>
      <c r="I785" t="s">
        <v>9</v>
      </c>
      <c r="M785">
        <v>-3784514.43</v>
      </c>
    </row>
    <row r="786" spans="1:13" x14ac:dyDescent="0.3">
      <c r="A786" s="23">
        <v>45201</v>
      </c>
      <c r="B786" t="s">
        <v>13</v>
      </c>
      <c r="C786" t="s">
        <v>132</v>
      </c>
      <c r="D786" t="s">
        <v>17</v>
      </c>
      <c r="E786" t="s">
        <v>41</v>
      </c>
      <c r="F786">
        <v>3600000</v>
      </c>
      <c r="G786" t="s">
        <v>26</v>
      </c>
      <c r="H786" t="s">
        <v>81</v>
      </c>
      <c r="I786" t="s">
        <v>9</v>
      </c>
      <c r="L786" t="s">
        <v>161</v>
      </c>
      <c r="M786">
        <v>-3600000</v>
      </c>
    </row>
    <row r="787" spans="1:13" x14ac:dyDescent="0.3">
      <c r="A787" s="23">
        <v>44728</v>
      </c>
      <c r="B787" t="s">
        <v>13</v>
      </c>
      <c r="C787" t="s">
        <v>132</v>
      </c>
      <c r="D787" t="s">
        <v>17</v>
      </c>
      <c r="E787" t="s">
        <v>41</v>
      </c>
      <c r="F787">
        <v>3500000</v>
      </c>
      <c r="G787" t="s">
        <v>26</v>
      </c>
      <c r="H787" t="s">
        <v>81</v>
      </c>
      <c r="I787" t="s">
        <v>9</v>
      </c>
      <c r="L787" t="s">
        <v>161</v>
      </c>
      <c r="M787">
        <v>-3500000</v>
      </c>
    </row>
    <row r="788" spans="1:13" x14ac:dyDescent="0.3">
      <c r="A788" s="23">
        <v>45191</v>
      </c>
      <c r="B788" t="s">
        <v>13</v>
      </c>
      <c r="C788" t="s">
        <v>132</v>
      </c>
      <c r="D788" t="s">
        <v>17</v>
      </c>
      <c r="E788" t="s">
        <v>41</v>
      </c>
      <c r="F788">
        <v>3500000</v>
      </c>
      <c r="G788" t="s">
        <v>26</v>
      </c>
      <c r="H788" t="s">
        <v>81</v>
      </c>
      <c r="I788" t="s">
        <v>9</v>
      </c>
      <c r="L788" t="s">
        <v>161</v>
      </c>
      <c r="M788">
        <v>-3500000</v>
      </c>
    </row>
    <row r="789" spans="1:13" x14ac:dyDescent="0.3">
      <c r="A789" s="23">
        <v>45069</v>
      </c>
      <c r="B789" t="s">
        <v>13</v>
      </c>
      <c r="C789" t="s">
        <v>132</v>
      </c>
      <c r="D789" t="s">
        <v>17</v>
      </c>
      <c r="E789" t="s">
        <v>41</v>
      </c>
      <c r="F789">
        <v>3500000</v>
      </c>
      <c r="G789" t="s">
        <v>26</v>
      </c>
      <c r="H789" t="s">
        <v>81</v>
      </c>
      <c r="I789" t="s">
        <v>9</v>
      </c>
      <c r="L789" t="s">
        <v>161</v>
      </c>
      <c r="M789">
        <v>-3500000</v>
      </c>
    </row>
    <row r="790" spans="1:13" x14ac:dyDescent="0.3">
      <c r="A790" s="23">
        <v>44846</v>
      </c>
      <c r="B790" t="s">
        <v>13</v>
      </c>
      <c r="C790" t="s">
        <v>143</v>
      </c>
      <c r="D790" t="s">
        <v>17</v>
      </c>
      <c r="E790" t="s">
        <v>149</v>
      </c>
      <c r="F790">
        <v>3480077.56</v>
      </c>
      <c r="G790" t="s">
        <v>140</v>
      </c>
      <c r="H790" t="s">
        <v>81</v>
      </c>
      <c r="I790" t="s">
        <v>9</v>
      </c>
      <c r="J790" s="23">
        <v>44816</v>
      </c>
      <c r="L790" t="s">
        <v>237</v>
      </c>
      <c r="M790">
        <v>-3480077.56</v>
      </c>
    </row>
    <row r="791" spans="1:13" x14ac:dyDescent="0.3">
      <c r="A791" s="23">
        <v>45147</v>
      </c>
      <c r="B791" t="s">
        <v>13</v>
      </c>
      <c r="C791" t="s">
        <v>143</v>
      </c>
      <c r="D791" t="s">
        <v>17</v>
      </c>
      <c r="E791" t="s">
        <v>149</v>
      </c>
      <c r="F791">
        <v>3411803.66</v>
      </c>
      <c r="G791" t="s">
        <v>140</v>
      </c>
      <c r="H791" t="s">
        <v>81</v>
      </c>
      <c r="I791" t="s">
        <v>9</v>
      </c>
      <c r="M791">
        <v>-3411803.66</v>
      </c>
    </row>
    <row r="792" spans="1:13" x14ac:dyDescent="0.3">
      <c r="A792" s="23">
        <v>44641</v>
      </c>
      <c r="B792" t="s">
        <v>13</v>
      </c>
      <c r="C792" t="s">
        <v>132</v>
      </c>
      <c r="D792" t="s">
        <v>17</v>
      </c>
      <c r="E792" t="s">
        <v>41</v>
      </c>
      <c r="F792">
        <v>3400000</v>
      </c>
      <c r="G792" t="s">
        <v>26</v>
      </c>
      <c r="H792" t="s">
        <v>81</v>
      </c>
      <c r="I792" t="s">
        <v>9</v>
      </c>
      <c r="L792" t="s">
        <v>161</v>
      </c>
      <c r="M792">
        <v>-3400000</v>
      </c>
    </row>
    <row r="793" spans="1:13" x14ac:dyDescent="0.3">
      <c r="A793" s="23">
        <v>44658</v>
      </c>
      <c r="B793" t="s">
        <v>13</v>
      </c>
      <c r="C793" t="s">
        <v>132</v>
      </c>
      <c r="D793" t="s">
        <v>17</v>
      </c>
      <c r="E793" t="s">
        <v>41</v>
      </c>
      <c r="F793">
        <v>3400000</v>
      </c>
      <c r="G793" t="s">
        <v>26</v>
      </c>
      <c r="H793" t="s">
        <v>81</v>
      </c>
      <c r="I793" t="s">
        <v>9</v>
      </c>
      <c r="L793" t="s">
        <v>161</v>
      </c>
      <c r="M793">
        <v>-3400000</v>
      </c>
    </row>
    <row r="794" spans="1:13" x14ac:dyDescent="0.3">
      <c r="A794" s="23">
        <v>44725</v>
      </c>
      <c r="B794" t="s">
        <v>13</v>
      </c>
      <c r="C794" t="s">
        <v>132</v>
      </c>
      <c r="D794" t="s">
        <v>17</v>
      </c>
      <c r="E794" t="s">
        <v>139</v>
      </c>
      <c r="F794">
        <v>3370000</v>
      </c>
      <c r="G794" t="s">
        <v>140</v>
      </c>
      <c r="H794" t="s">
        <v>81</v>
      </c>
      <c r="I794" t="s">
        <v>9</v>
      </c>
      <c r="L794" t="s">
        <v>161</v>
      </c>
      <c r="M794">
        <v>-3370000</v>
      </c>
    </row>
    <row r="795" spans="1:13" x14ac:dyDescent="0.3">
      <c r="A795" s="23">
        <v>45099</v>
      </c>
      <c r="B795" t="s">
        <v>13</v>
      </c>
      <c r="C795" t="s">
        <v>143</v>
      </c>
      <c r="D795" t="s">
        <v>17</v>
      </c>
      <c r="E795" t="s">
        <v>149</v>
      </c>
      <c r="F795">
        <v>3350781.8899999857</v>
      </c>
      <c r="G795" t="s">
        <v>140</v>
      </c>
      <c r="H795" t="s">
        <v>81</v>
      </c>
      <c r="I795" t="s">
        <v>9</v>
      </c>
      <c r="M795">
        <v>-3350781.89</v>
      </c>
    </row>
    <row r="796" spans="1:13" x14ac:dyDescent="0.3">
      <c r="A796" s="23">
        <v>45189</v>
      </c>
      <c r="B796" t="s">
        <v>13</v>
      </c>
      <c r="C796" t="s">
        <v>132</v>
      </c>
      <c r="D796" t="s">
        <v>17</v>
      </c>
      <c r="E796" t="s">
        <v>41</v>
      </c>
      <c r="F796">
        <v>3300000</v>
      </c>
      <c r="G796" t="s">
        <v>26</v>
      </c>
      <c r="H796" t="s">
        <v>81</v>
      </c>
      <c r="I796" t="s">
        <v>9</v>
      </c>
      <c r="L796" t="s">
        <v>161</v>
      </c>
      <c r="M796">
        <v>-3300000</v>
      </c>
    </row>
    <row r="797" spans="1:13" x14ac:dyDescent="0.3">
      <c r="A797" s="23">
        <v>45245</v>
      </c>
      <c r="B797" t="s">
        <v>13</v>
      </c>
      <c r="C797" t="s">
        <v>132</v>
      </c>
      <c r="D797" t="s">
        <v>17</v>
      </c>
      <c r="E797" t="s">
        <v>46</v>
      </c>
      <c r="F797">
        <v>3300000</v>
      </c>
      <c r="G797" t="s">
        <v>28</v>
      </c>
      <c r="H797" t="s">
        <v>81</v>
      </c>
      <c r="I797" t="s">
        <v>9</v>
      </c>
      <c r="L797" t="s">
        <v>161</v>
      </c>
      <c r="M797">
        <v>-3300000</v>
      </c>
    </row>
    <row r="798" spans="1:13" x14ac:dyDescent="0.3">
      <c r="A798" s="23">
        <v>44638</v>
      </c>
      <c r="B798" t="s">
        <v>13</v>
      </c>
      <c r="C798" t="s">
        <v>132</v>
      </c>
      <c r="D798" t="s">
        <v>17</v>
      </c>
      <c r="E798" t="s">
        <v>41</v>
      </c>
      <c r="F798">
        <v>3200000</v>
      </c>
      <c r="G798" t="s">
        <v>26</v>
      </c>
      <c r="H798" t="s">
        <v>81</v>
      </c>
      <c r="I798" t="s">
        <v>9</v>
      </c>
      <c r="L798" t="s">
        <v>161</v>
      </c>
      <c r="M798">
        <v>-3200000</v>
      </c>
    </row>
    <row r="799" spans="1:13" x14ac:dyDescent="0.3">
      <c r="A799" s="23">
        <v>45392</v>
      </c>
      <c r="B799" t="s">
        <v>13</v>
      </c>
      <c r="C799" t="s">
        <v>132</v>
      </c>
      <c r="D799" t="s">
        <v>17</v>
      </c>
      <c r="E799" t="s">
        <v>41</v>
      </c>
      <c r="F799">
        <v>3200000</v>
      </c>
      <c r="G799" t="s">
        <v>26</v>
      </c>
      <c r="H799" t="s">
        <v>81</v>
      </c>
      <c r="I799" t="s">
        <v>9</v>
      </c>
      <c r="L799" t="s">
        <v>161</v>
      </c>
      <c r="M799">
        <v>-3200000</v>
      </c>
    </row>
    <row r="800" spans="1:13" x14ac:dyDescent="0.3">
      <c r="A800" s="23">
        <v>45162</v>
      </c>
      <c r="B800" t="s">
        <v>13</v>
      </c>
      <c r="C800" t="s">
        <v>132</v>
      </c>
      <c r="D800" t="s">
        <v>17</v>
      </c>
      <c r="E800" t="s">
        <v>46</v>
      </c>
      <c r="F800">
        <v>3200000</v>
      </c>
      <c r="G800" t="s">
        <v>28</v>
      </c>
      <c r="H800" t="s">
        <v>81</v>
      </c>
      <c r="I800" t="s">
        <v>9</v>
      </c>
      <c r="L800" t="s">
        <v>161</v>
      </c>
      <c r="M800">
        <v>-3200000</v>
      </c>
    </row>
    <row r="801" spans="1:13" x14ac:dyDescent="0.3">
      <c r="A801" s="23">
        <v>44601</v>
      </c>
      <c r="B801" t="s">
        <v>13</v>
      </c>
      <c r="C801" t="s">
        <v>132</v>
      </c>
      <c r="D801" t="s">
        <v>17</v>
      </c>
      <c r="E801" t="s">
        <v>41</v>
      </c>
      <c r="F801">
        <v>3000000</v>
      </c>
      <c r="G801" t="s">
        <v>26</v>
      </c>
      <c r="H801" t="s">
        <v>81</v>
      </c>
      <c r="I801" t="s">
        <v>9</v>
      </c>
      <c r="L801" t="s">
        <v>161</v>
      </c>
      <c r="M801">
        <v>-3000000</v>
      </c>
    </row>
    <row r="802" spans="1:13" x14ac:dyDescent="0.3">
      <c r="A802" s="23">
        <v>45252</v>
      </c>
      <c r="B802" t="s">
        <v>13</v>
      </c>
      <c r="C802" t="s">
        <v>132</v>
      </c>
      <c r="D802" t="s">
        <v>17</v>
      </c>
      <c r="E802" t="s">
        <v>41</v>
      </c>
      <c r="F802">
        <v>3000000</v>
      </c>
      <c r="G802" t="s">
        <v>26</v>
      </c>
      <c r="H802" t="s">
        <v>81</v>
      </c>
      <c r="I802" t="s">
        <v>9</v>
      </c>
      <c r="L802" t="s">
        <v>161</v>
      </c>
      <c r="M802">
        <v>-3000000</v>
      </c>
    </row>
    <row r="803" spans="1:13" x14ac:dyDescent="0.3">
      <c r="A803" s="23">
        <v>44949</v>
      </c>
      <c r="B803" t="s">
        <v>13</v>
      </c>
      <c r="C803" t="s">
        <v>132</v>
      </c>
      <c r="D803" t="s">
        <v>17</v>
      </c>
      <c r="E803" t="s">
        <v>41</v>
      </c>
      <c r="F803">
        <v>3000000</v>
      </c>
      <c r="G803" t="s">
        <v>26</v>
      </c>
      <c r="H803" t="s">
        <v>81</v>
      </c>
      <c r="I803" t="s">
        <v>9</v>
      </c>
      <c r="L803" t="s">
        <v>161</v>
      </c>
      <c r="M803">
        <v>-3000000</v>
      </c>
    </row>
    <row r="804" spans="1:13" x14ac:dyDescent="0.3">
      <c r="A804" s="23">
        <v>45365</v>
      </c>
      <c r="B804" t="s">
        <v>13</v>
      </c>
      <c r="C804" t="s">
        <v>132</v>
      </c>
      <c r="D804" t="s">
        <v>17</v>
      </c>
      <c r="E804" t="s">
        <v>46</v>
      </c>
      <c r="F804">
        <v>3000000</v>
      </c>
      <c r="G804" t="s">
        <v>28</v>
      </c>
      <c r="H804" t="s">
        <v>81</v>
      </c>
      <c r="I804" t="s">
        <v>9</v>
      </c>
      <c r="L804" t="s">
        <v>161</v>
      </c>
      <c r="M804">
        <v>-3000000</v>
      </c>
    </row>
    <row r="805" spans="1:13" x14ac:dyDescent="0.3">
      <c r="A805" s="23">
        <v>45372</v>
      </c>
      <c r="B805" t="s">
        <v>13</v>
      </c>
      <c r="C805" t="s">
        <v>132</v>
      </c>
      <c r="D805" t="s">
        <v>17</v>
      </c>
      <c r="E805" t="s">
        <v>48</v>
      </c>
      <c r="F805">
        <v>3000000</v>
      </c>
      <c r="G805" t="s">
        <v>29</v>
      </c>
      <c r="H805" t="s">
        <v>81</v>
      </c>
      <c r="I805" t="s">
        <v>9</v>
      </c>
      <c r="L805" t="s">
        <v>161</v>
      </c>
      <c r="M805">
        <v>-3000000</v>
      </c>
    </row>
    <row r="806" spans="1:13" x14ac:dyDescent="0.3">
      <c r="A806" s="23">
        <v>44705</v>
      </c>
      <c r="B806" t="s">
        <v>13</v>
      </c>
      <c r="C806" t="s">
        <v>132</v>
      </c>
      <c r="D806" t="s">
        <v>17</v>
      </c>
      <c r="E806" t="s">
        <v>139</v>
      </c>
      <c r="F806">
        <v>2996873.76</v>
      </c>
      <c r="G806" t="s">
        <v>140</v>
      </c>
      <c r="H806" t="s">
        <v>81</v>
      </c>
      <c r="I806" t="s">
        <v>9</v>
      </c>
      <c r="L806" t="s">
        <v>161</v>
      </c>
      <c r="M806">
        <v>-2996873.76</v>
      </c>
    </row>
    <row r="807" spans="1:13" x14ac:dyDescent="0.3">
      <c r="A807" s="23">
        <v>45258</v>
      </c>
      <c r="B807" t="s">
        <v>13</v>
      </c>
      <c r="C807" t="s">
        <v>132</v>
      </c>
      <c r="D807" t="s">
        <v>17</v>
      </c>
      <c r="E807" t="s">
        <v>41</v>
      </c>
      <c r="F807">
        <v>2900000</v>
      </c>
      <c r="G807" t="s">
        <v>26</v>
      </c>
      <c r="H807" t="s">
        <v>81</v>
      </c>
      <c r="I807" t="s">
        <v>9</v>
      </c>
      <c r="L807" t="s">
        <v>161</v>
      </c>
      <c r="M807">
        <v>-2900000</v>
      </c>
    </row>
    <row r="808" spans="1:13" x14ac:dyDescent="0.3">
      <c r="A808" s="23">
        <v>45197</v>
      </c>
      <c r="B808" t="s">
        <v>13</v>
      </c>
      <c r="C808" t="s">
        <v>132</v>
      </c>
      <c r="D808" t="s">
        <v>17</v>
      </c>
      <c r="E808" t="s">
        <v>46</v>
      </c>
      <c r="F808">
        <v>2900000</v>
      </c>
      <c r="G808" t="s">
        <v>28</v>
      </c>
      <c r="H808" t="s">
        <v>81</v>
      </c>
      <c r="I808" t="s">
        <v>9</v>
      </c>
      <c r="L808" t="s">
        <v>161</v>
      </c>
      <c r="M808">
        <v>-2900000</v>
      </c>
    </row>
    <row r="809" spans="1:13" x14ac:dyDescent="0.3">
      <c r="A809" s="23">
        <v>45302</v>
      </c>
      <c r="B809" t="s">
        <v>13</v>
      </c>
      <c r="C809" t="s">
        <v>132</v>
      </c>
      <c r="D809" t="s">
        <v>17</v>
      </c>
      <c r="E809" t="s">
        <v>46</v>
      </c>
      <c r="F809">
        <v>2800031.55</v>
      </c>
      <c r="G809" t="s">
        <v>28</v>
      </c>
      <c r="H809" t="s">
        <v>81</v>
      </c>
      <c r="I809" t="s">
        <v>9</v>
      </c>
      <c r="L809" t="s">
        <v>161</v>
      </c>
      <c r="M809">
        <v>-2800031.55</v>
      </c>
    </row>
    <row r="810" spans="1:13" x14ac:dyDescent="0.3">
      <c r="A810" s="23">
        <v>44600</v>
      </c>
      <c r="B810" t="s">
        <v>13</v>
      </c>
      <c r="C810" t="s">
        <v>132</v>
      </c>
      <c r="D810" t="s">
        <v>17</v>
      </c>
      <c r="E810" t="s">
        <v>41</v>
      </c>
      <c r="F810">
        <v>2800000</v>
      </c>
      <c r="G810" t="s">
        <v>26</v>
      </c>
      <c r="H810" t="s">
        <v>81</v>
      </c>
      <c r="I810" t="s">
        <v>9</v>
      </c>
      <c r="L810" t="s">
        <v>161</v>
      </c>
      <c r="M810">
        <v>-2800000</v>
      </c>
    </row>
    <row r="811" spans="1:13" x14ac:dyDescent="0.3">
      <c r="A811" s="23">
        <v>44735</v>
      </c>
      <c r="B811" t="s">
        <v>13</v>
      </c>
      <c r="C811" t="s">
        <v>132</v>
      </c>
      <c r="D811" t="s">
        <v>17</v>
      </c>
      <c r="E811" t="s">
        <v>41</v>
      </c>
      <c r="F811">
        <v>2800000</v>
      </c>
      <c r="G811" t="s">
        <v>26</v>
      </c>
      <c r="H811" t="s">
        <v>81</v>
      </c>
      <c r="I811" t="s">
        <v>9</v>
      </c>
      <c r="L811" t="s">
        <v>161</v>
      </c>
      <c r="M811">
        <v>-2800000</v>
      </c>
    </row>
    <row r="812" spans="1:13" x14ac:dyDescent="0.3">
      <c r="A812" s="23">
        <v>45175</v>
      </c>
      <c r="B812" t="s">
        <v>13</v>
      </c>
      <c r="C812" t="s">
        <v>132</v>
      </c>
      <c r="D812" t="s">
        <v>17</v>
      </c>
      <c r="E812" t="s">
        <v>41</v>
      </c>
      <c r="F812">
        <v>2800000</v>
      </c>
      <c r="G812" t="s">
        <v>26</v>
      </c>
      <c r="H812" t="s">
        <v>81</v>
      </c>
      <c r="I812" t="s">
        <v>9</v>
      </c>
      <c r="L812" t="s">
        <v>161</v>
      </c>
      <c r="M812">
        <v>-2800000</v>
      </c>
    </row>
    <row r="813" spans="1:13" x14ac:dyDescent="0.3">
      <c r="A813" s="23">
        <v>45331</v>
      </c>
      <c r="B813" t="s">
        <v>13</v>
      </c>
      <c r="C813" t="s">
        <v>143</v>
      </c>
      <c r="D813" t="s">
        <v>17</v>
      </c>
      <c r="E813" t="s">
        <v>149</v>
      </c>
      <c r="F813">
        <v>2712466.96</v>
      </c>
      <c r="G813" t="s">
        <v>140</v>
      </c>
      <c r="H813" t="s">
        <v>81</v>
      </c>
      <c r="I813" t="s">
        <v>9</v>
      </c>
      <c r="M813">
        <v>-2712466.96</v>
      </c>
    </row>
    <row r="814" spans="1:13" x14ac:dyDescent="0.3">
      <c r="A814" s="23">
        <v>44705</v>
      </c>
      <c r="B814" t="s">
        <v>13</v>
      </c>
      <c r="C814" t="s">
        <v>132</v>
      </c>
      <c r="D814" t="s">
        <v>17</v>
      </c>
      <c r="E814" t="s">
        <v>41</v>
      </c>
      <c r="F814">
        <v>2700000</v>
      </c>
      <c r="G814" t="s">
        <v>26</v>
      </c>
      <c r="H814" t="s">
        <v>81</v>
      </c>
      <c r="I814" t="s">
        <v>9</v>
      </c>
      <c r="L814" t="s">
        <v>161</v>
      </c>
      <c r="M814">
        <v>-2700000</v>
      </c>
    </row>
    <row r="815" spans="1:13" x14ac:dyDescent="0.3">
      <c r="A815" s="23">
        <v>45401</v>
      </c>
      <c r="B815" t="s">
        <v>13</v>
      </c>
      <c r="C815" t="s">
        <v>132</v>
      </c>
      <c r="D815" t="s">
        <v>17</v>
      </c>
      <c r="E815" t="s">
        <v>46</v>
      </c>
      <c r="F815">
        <v>2700000</v>
      </c>
      <c r="G815" t="s">
        <v>28</v>
      </c>
      <c r="H815" t="s">
        <v>81</v>
      </c>
      <c r="I815" t="s">
        <v>9</v>
      </c>
      <c r="L815" t="s">
        <v>161</v>
      </c>
      <c r="M815">
        <v>-2700000</v>
      </c>
    </row>
    <row r="816" spans="1:13" x14ac:dyDescent="0.3">
      <c r="A816" s="23">
        <v>45145</v>
      </c>
      <c r="B816" t="s">
        <v>13</v>
      </c>
      <c r="C816" t="s">
        <v>143</v>
      </c>
      <c r="D816" t="s">
        <v>17</v>
      </c>
      <c r="E816" t="s">
        <v>149</v>
      </c>
      <c r="F816">
        <v>2671197.73</v>
      </c>
      <c r="G816" t="s">
        <v>140</v>
      </c>
      <c r="H816" t="s">
        <v>81</v>
      </c>
      <c r="I816" t="s">
        <v>9</v>
      </c>
      <c r="M816">
        <v>-2671197.73</v>
      </c>
    </row>
    <row r="817" spans="1:13" x14ac:dyDescent="0.3">
      <c r="A817" s="23">
        <v>45177</v>
      </c>
      <c r="B817" t="s">
        <v>13</v>
      </c>
      <c r="C817" t="s">
        <v>132</v>
      </c>
      <c r="D817" t="s">
        <v>17</v>
      </c>
      <c r="E817" t="s">
        <v>41</v>
      </c>
      <c r="F817">
        <v>2600000</v>
      </c>
      <c r="G817" t="s">
        <v>26</v>
      </c>
      <c r="H817" t="s">
        <v>81</v>
      </c>
      <c r="I817" t="s">
        <v>9</v>
      </c>
      <c r="L817" t="s">
        <v>161</v>
      </c>
      <c r="M817">
        <v>-2600000</v>
      </c>
    </row>
    <row r="818" spans="1:13" x14ac:dyDescent="0.3">
      <c r="A818" s="23">
        <v>44931</v>
      </c>
      <c r="B818" t="s">
        <v>13</v>
      </c>
      <c r="C818" t="s">
        <v>132</v>
      </c>
      <c r="D818" t="s">
        <v>17</v>
      </c>
      <c r="E818" t="s">
        <v>48</v>
      </c>
      <c r="F818">
        <v>2600000</v>
      </c>
      <c r="G818" t="s">
        <v>29</v>
      </c>
      <c r="H818" t="s">
        <v>81</v>
      </c>
      <c r="I818" t="s">
        <v>9</v>
      </c>
      <c r="L818" t="s">
        <v>161</v>
      </c>
      <c r="M818">
        <v>-2600000</v>
      </c>
    </row>
    <row r="819" spans="1:13" x14ac:dyDescent="0.3">
      <c r="A819" s="23">
        <v>44686</v>
      </c>
      <c r="B819" t="s">
        <v>13</v>
      </c>
      <c r="C819" t="s">
        <v>132</v>
      </c>
      <c r="D819" t="s">
        <v>17</v>
      </c>
      <c r="E819" t="s">
        <v>41</v>
      </c>
      <c r="F819">
        <v>2500000</v>
      </c>
      <c r="G819" t="s">
        <v>26</v>
      </c>
      <c r="H819" t="s">
        <v>81</v>
      </c>
      <c r="I819" t="s">
        <v>9</v>
      </c>
      <c r="L819" t="s">
        <v>161</v>
      </c>
      <c r="M819">
        <v>-2500000</v>
      </c>
    </row>
    <row r="820" spans="1:13" x14ac:dyDescent="0.3">
      <c r="A820" s="23">
        <v>44846</v>
      </c>
      <c r="B820" t="s">
        <v>13</v>
      </c>
      <c r="C820" t="s">
        <v>132</v>
      </c>
      <c r="D820" t="s">
        <v>17</v>
      </c>
      <c r="E820" t="s">
        <v>41</v>
      </c>
      <c r="F820">
        <v>2500000</v>
      </c>
      <c r="G820" t="s">
        <v>26</v>
      </c>
      <c r="H820" t="s">
        <v>81</v>
      </c>
      <c r="I820" t="s">
        <v>9</v>
      </c>
      <c r="L820" t="s">
        <v>161</v>
      </c>
      <c r="M820">
        <v>-2500000</v>
      </c>
    </row>
    <row r="821" spans="1:13" x14ac:dyDescent="0.3">
      <c r="A821" s="23">
        <v>44958</v>
      </c>
      <c r="B821" t="s">
        <v>13</v>
      </c>
      <c r="C821" t="s">
        <v>132</v>
      </c>
      <c r="D821" t="s">
        <v>17</v>
      </c>
      <c r="E821" t="s">
        <v>41</v>
      </c>
      <c r="F821">
        <v>2500000</v>
      </c>
      <c r="G821" t="s">
        <v>26</v>
      </c>
      <c r="H821" t="s">
        <v>81</v>
      </c>
      <c r="I821" t="s">
        <v>9</v>
      </c>
      <c r="L821" t="s">
        <v>161</v>
      </c>
      <c r="M821">
        <v>-2500000</v>
      </c>
    </row>
    <row r="822" spans="1:13" x14ac:dyDescent="0.3">
      <c r="A822" s="23">
        <v>45601</v>
      </c>
      <c r="B822" t="s">
        <v>13</v>
      </c>
      <c r="C822" t="s">
        <v>132</v>
      </c>
      <c r="D822" t="s">
        <v>17</v>
      </c>
      <c r="E822" t="s">
        <v>41</v>
      </c>
      <c r="F822">
        <v>2400000</v>
      </c>
      <c r="G822" t="s">
        <v>26</v>
      </c>
      <c r="H822" t="s">
        <v>81</v>
      </c>
      <c r="I822" t="s">
        <v>9</v>
      </c>
      <c r="L822" t="s">
        <v>161</v>
      </c>
      <c r="M822">
        <v>-2400000</v>
      </c>
    </row>
    <row r="823" spans="1:13" x14ac:dyDescent="0.3">
      <c r="A823" s="23">
        <v>45021</v>
      </c>
      <c r="B823" t="s">
        <v>13</v>
      </c>
      <c r="C823" t="s">
        <v>132</v>
      </c>
      <c r="D823" t="s">
        <v>17</v>
      </c>
      <c r="E823" t="s">
        <v>41</v>
      </c>
      <c r="F823">
        <v>2300000</v>
      </c>
      <c r="G823" t="s">
        <v>26</v>
      </c>
      <c r="H823" t="s">
        <v>81</v>
      </c>
      <c r="I823" t="s">
        <v>9</v>
      </c>
      <c r="L823" t="s">
        <v>161</v>
      </c>
      <c r="M823">
        <v>-2300000</v>
      </c>
    </row>
    <row r="824" spans="1:13" x14ac:dyDescent="0.3">
      <c r="A824" s="23">
        <v>44714</v>
      </c>
      <c r="B824" t="s">
        <v>13</v>
      </c>
      <c r="C824" t="s">
        <v>132</v>
      </c>
      <c r="D824" t="s">
        <v>17</v>
      </c>
      <c r="E824" t="s">
        <v>41</v>
      </c>
      <c r="F824">
        <v>2200000</v>
      </c>
      <c r="G824" t="s">
        <v>26</v>
      </c>
      <c r="H824" t="s">
        <v>81</v>
      </c>
      <c r="I824" t="s">
        <v>9</v>
      </c>
      <c r="L824" t="s">
        <v>161</v>
      </c>
      <c r="M824">
        <v>-2200000</v>
      </c>
    </row>
    <row r="825" spans="1:13" x14ac:dyDescent="0.3">
      <c r="A825" s="23">
        <v>44994</v>
      </c>
      <c r="B825" t="s">
        <v>13</v>
      </c>
      <c r="C825" t="s">
        <v>132</v>
      </c>
      <c r="D825" t="s">
        <v>17</v>
      </c>
      <c r="E825" t="s">
        <v>41</v>
      </c>
      <c r="F825">
        <v>2200000</v>
      </c>
      <c r="G825" t="s">
        <v>26</v>
      </c>
      <c r="H825" t="s">
        <v>81</v>
      </c>
      <c r="I825" t="s">
        <v>9</v>
      </c>
      <c r="L825" t="s">
        <v>161</v>
      </c>
      <c r="M825">
        <v>-2200000</v>
      </c>
    </row>
    <row r="826" spans="1:13" x14ac:dyDescent="0.3">
      <c r="A826" s="23">
        <v>45246</v>
      </c>
      <c r="B826" t="s">
        <v>13</v>
      </c>
      <c r="C826" t="s">
        <v>132</v>
      </c>
      <c r="D826" t="s">
        <v>17</v>
      </c>
      <c r="E826" t="s">
        <v>46</v>
      </c>
      <c r="F826">
        <v>2200000</v>
      </c>
      <c r="G826" t="s">
        <v>28</v>
      </c>
      <c r="H826" t="s">
        <v>81</v>
      </c>
      <c r="I826" t="s">
        <v>9</v>
      </c>
      <c r="L826" t="s">
        <v>161</v>
      </c>
      <c r="M826">
        <v>-2200000</v>
      </c>
    </row>
    <row r="827" spans="1:13" x14ac:dyDescent="0.3">
      <c r="A827" s="23">
        <v>44802</v>
      </c>
      <c r="B827" t="s">
        <v>13</v>
      </c>
      <c r="C827" t="s">
        <v>132</v>
      </c>
      <c r="D827" t="s">
        <v>17</v>
      </c>
      <c r="E827" t="s">
        <v>139</v>
      </c>
      <c r="F827">
        <v>2100000</v>
      </c>
      <c r="G827" t="s">
        <v>140</v>
      </c>
      <c r="H827" t="s">
        <v>81</v>
      </c>
      <c r="I827" t="s">
        <v>9</v>
      </c>
      <c r="L827" t="s">
        <v>161</v>
      </c>
      <c r="M827">
        <v>-2100000</v>
      </c>
    </row>
    <row r="828" spans="1:13" x14ac:dyDescent="0.3">
      <c r="A828" s="23">
        <v>45149</v>
      </c>
      <c r="B828" t="s">
        <v>13</v>
      </c>
      <c r="C828" t="s">
        <v>143</v>
      </c>
      <c r="D828" t="s">
        <v>17</v>
      </c>
      <c r="E828" t="s">
        <v>149</v>
      </c>
      <c r="F828">
        <v>2045028.47</v>
      </c>
      <c r="G828" t="s">
        <v>140</v>
      </c>
      <c r="H828" t="s">
        <v>81</v>
      </c>
      <c r="I828" t="s">
        <v>9</v>
      </c>
      <c r="M828">
        <v>-2045028.47</v>
      </c>
    </row>
    <row r="829" spans="1:13" x14ac:dyDescent="0.3">
      <c r="A829" s="23">
        <v>44579</v>
      </c>
      <c r="B829" t="s">
        <v>13</v>
      </c>
      <c r="C829" t="s">
        <v>132</v>
      </c>
      <c r="D829" t="s">
        <v>17</v>
      </c>
      <c r="E829" t="s">
        <v>41</v>
      </c>
      <c r="F829">
        <v>2000000</v>
      </c>
      <c r="G829" t="s">
        <v>26</v>
      </c>
      <c r="H829" t="s">
        <v>81</v>
      </c>
      <c r="I829" t="s">
        <v>9</v>
      </c>
      <c r="L829" t="s">
        <v>161</v>
      </c>
      <c r="M829">
        <v>-2000000</v>
      </c>
    </row>
    <row r="830" spans="1:13" x14ac:dyDescent="0.3">
      <c r="A830" s="23">
        <v>45643</v>
      </c>
      <c r="B830" t="s">
        <v>13</v>
      </c>
      <c r="C830" t="s">
        <v>132</v>
      </c>
      <c r="D830" t="s">
        <v>17</v>
      </c>
      <c r="E830" t="s">
        <v>41</v>
      </c>
      <c r="F830">
        <v>2000000</v>
      </c>
      <c r="G830" t="s">
        <v>26</v>
      </c>
      <c r="H830" t="s">
        <v>81</v>
      </c>
      <c r="I830" t="s">
        <v>9</v>
      </c>
      <c r="L830" t="s">
        <v>161</v>
      </c>
      <c r="M830">
        <v>-2000000</v>
      </c>
    </row>
    <row r="831" spans="1:13" x14ac:dyDescent="0.3">
      <c r="A831" s="23">
        <v>45176</v>
      </c>
      <c r="B831" t="s">
        <v>13</v>
      </c>
      <c r="C831" t="s">
        <v>132</v>
      </c>
      <c r="D831" t="s">
        <v>17</v>
      </c>
      <c r="E831" t="s">
        <v>41</v>
      </c>
      <c r="F831">
        <v>2000000</v>
      </c>
      <c r="G831" t="s">
        <v>26</v>
      </c>
      <c r="H831" t="s">
        <v>81</v>
      </c>
      <c r="I831" t="s">
        <v>9</v>
      </c>
      <c r="L831" t="s">
        <v>161</v>
      </c>
      <c r="M831">
        <v>-2000000</v>
      </c>
    </row>
    <row r="832" spans="1:13" x14ac:dyDescent="0.3">
      <c r="A832" s="23">
        <v>44944</v>
      </c>
      <c r="B832" t="s">
        <v>13</v>
      </c>
      <c r="C832" t="s">
        <v>132</v>
      </c>
      <c r="D832" t="s">
        <v>17</v>
      </c>
      <c r="E832" t="s">
        <v>41</v>
      </c>
      <c r="F832">
        <v>2000000</v>
      </c>
      <c r="G832" t="s">
        <v>26</v>
      </c>
      <c r="H832" t="s">
        <v>81</v>
      </c>
      <c r="I832" t="s">
        <v>9</v>
      </c>
      <c r="L832" t="s">
        <v>161</v>
      </c>
      <c r="M832">
        <v>-2000000</v>
      </c>
    </row>
    <row r="833" spans="1:13" x14ac:dyDescent="0.3">
      <c r="A833" s="23">
        <v>45211</v>
      </c>
      <c r="B833" t="s">
        <v>13</v>
      </c>
      <c r="C833" t="s">
        <v>132</v>
      </c>
      <c r="D833" t="s">
        <v>17</v>
      </c>
      <c r="E833" t="s">
        <v>46</v>
      </c>
      <c r="F833">
        <v>2000000</v>
      </c>
      <c r="G833" t="s">
        <v>28</v>
      </c>
      <c r="H833" t="s">
        <v>81</v>
      </c>
      <c r="I833" t="s">
        <v>9</v>
      </c>
      <c r="L833" t="s">
        <v>161</v>
      </c>
      <c r="M833">
        <v>-2000000</v>
      </c>
    </row>
    <row r="834" spans="1:13" x14ac:dyDescent="0.3">
      <c r="A834" s="23">
        <v>45372</v>
      </c>
      <c r="B834" t="s">
        <v>13</v>
      </c>
      <c r="C834" t="s">
        <v>132</v>
      </c>
      <c r="D834" t="s">
        <v>17</v>
      </c>
      <c r="E834" t="s">
        <v>48</v>
      </c>
      <c r="F834">
        <v>2000000</v>
      </c>
      <c r="G834" t="s">
        <v>29</v>
      </c>
      <c r="H834" t="s">
        <v>81</v>
      </c>
      <c r="I834" t="s">
        <v>9</v>
      </c>
      <c r="L834" t="s">
        <v>161</v>
      </c>
      <c r="M834">
        <v>-2000000</v>
      </c>
    </row>
    <row r="835" spans="1:13" x14ac:dyDescent="0.3">
      <c r="A835" s="23">
        <v>44693</v>
      </c>
      <c r="B835" t="s">
        <v>13</v>
      </c>
      <c r="C835" t="s">
        <v>132</v>
      </c>
      <c r="D835" t="s">
        <v>17</v>
      </c>
      <c r="E835" t="s">
        <v>139</v>
      </c>
      <c r="F835">
        <v>1900000</v>
      </c>
      <c r="G835" t="s">
        <v>140</v>
      </c>
      <c r="H835" t="s">
        <v>81</v>
      </c>
      <c r="I835" t="s">
        <v>9</v>
      </c>
      <c r="L835" t="s">
        <v>161</v>
      </c>
      <c r="M835">
        <v>-1900000</v>
      </c>
    </row>
    <row r="836" spans="1:13" x14ac:dyDescent="0.3">
      <c r="A836" s="23">
        <v>44567</v>
      </c>
      <c r="B836" t="s">
        <v>13</v>
      </c>
      <c r="C836" t="s">
        <v>132</v>
      </c>
      <c r="D836" t="s">
        <v>17</v>
      </c>
      <c r="E836" t="s">
        <v>41</v>
      </c>
      <c r="F836">
        <v>1800000</v>
      </c>
      <c r="G836" t="s">
        <v>26</v>
      </c>
      <c r="H836" t="s">
        <v>81</v>
      </c>
      <c r="I836" t="s">
        <v>9</v>
      </c>
      <c r="L836" t="s">
        <v>161</v>
      </c>
      <c r="M836">
        <v>-1800000</v>
      </c>
    </row>
    <row r="837" spans="1:13" x14ac:dyDescent="0.3">
      <c r="A837" s="23">
        <v>44659</v>
      </c>
      <c r="B837" t="s">
        <v>13</v>
      </c>
      <c r="C837" t="s">
        <v>132</v>
      </c>
      <c r="D837" t="s">
        <v>17</v>
      </c>
      <c r="E837" t="s">
        <v>41</v>
      </c>
      <c r="F837">
        <v>1800000</v>
      </c>
      <c r="G837" t="s">
        <v>26</v>
      </c>
      <c r="H837" t="s">
        <v>81</v>
      </c>
      <c r="I837" t="s">
        <v>9</v>
      </c>
      <c r="L837" t="s">
        <v>161</v>
      </c>
      <c r="M837">
        <v>-1800000</v>
      </c>
    </row>
    <row r="838" spans="1:13" x14ac:dyDescent="0.3">
      <c r="A838" s="23">
        <v>45523</v>
      </c>
      <c r="B838" t="s">
        <v>13</v>
      </c>
      <c r="C838" t="s">
        <v>143</v>
      </c>
      <c r="D838" t="s">
        <v>17</v>
      </c>
      <c r="E838" t="s">
        <v>149</v>
      </c>
      <c r="F838">
        <v>1732653</v>
      </c>
      <c r="G838" t="s">
        <v>140</v>
      </c>
      <c r="H838" t="s">
        <v>81</v>
      </c>
      <c r="I838" t="s">
        <v>9</v>
      </c>
      <c r="M838">
        <v>-1732653</v>
      </c>
    </row>
    <row r="839" spans="1:13" x14ac:dyDescent="0.3">
      <c r="A839" s="23">
        <v>44959</v>
      </c>
      <c r="B839" t="s">
        <v>13</v>
      </c>
      <c r="C839" t="s">
        <v>132</v>
      </c>
      <c r="D839" t="s">
        <v>17</v>
      </c>
      <c r="E839" t="s">
        <v>41</v>
      </c>
      <c r="F839">
        <v>1700000</v>
      </c>
      <c r="G839" t="s">
        <v>26</v>
      </c>
      <c r="H839" t="s">
        <v>81</v>
      </c>
      <c r="I839" t="s">
        <v>9</v>
      </c>
      <c r="L839" t="s">
        <v>161</v>
      </c>
      <c r="M839">
        <v>-1700000</v>
      </c>
    </row>
    <row r="840" spans="1:13" x14ac:dyDescent="0.3">
      <c r="A840" s="23">
        <v>45044</v>
      </c>
      <c r="B840" t="s">
        <v>13</v>
      </c>
      <c r="C840" t="s">
        <v>132</v>
      </c>
      <c r="D840" t="s">
        <v>17</v>
      </c>
      <c r="E840" t="s">
        <v>41</v>
      </c>
      <c r="F840">
        <v>1700000</v>
      </c>
      <c r="G840" t="s">
        <v>26</v>
      </c>
      <c r="H840" t="s">
        <v>81</v>
      </c>
      <c r="I840" t="s">
        <v>9</v>
      </c>
      <c r="L840" t="s">
        <v>161</v>
      </c>
      <c r="M840">
        <v>-1700000</v>
      </c>
    </row>
    <row r="841" spans="1:13" x14ac:dyDescent="0.3">
      <c r="A841" s="23">
        <v>44622</v>
      </c>
      <c r="B841" t="s">
        <v>13</v>
      </c>
      <c r="C841" t="s">
        <v>132</v>
      </c>
      <c r="D841" t="s">
        <v>17</v>
      </c>
      <c r="E841" t="s">
        <v>41</v>
      </c>
      <c r="F841">
        <v>1600000</v>
      </c>
      <c r="G841" t="s">
        <v>26</v>
      </c>
      <c r="H841" t="s">
        <v>81</v>
      </c>
      <c r="I841" t="s">
        <v>9</v>
      </c>
      <c r="L841" t="s">
        <v>161</v>
      </c>
      <c r="M841">
        <v>-1600000</v>
      </c>
    </row>
    <row r="842" spans="1:13" x14ac:dyDescent="0.3">
      <c r="A842" s="23">
        <v>44692</v>
      </c>
      <c r="B842" t="s">
        <v>13</v>
      </c>
      <c r="C842" t="s">
        <v>132</v>
      </c>
      <c r="D842" t="s">
        <v>17</v>
      </c>
      <c r="E842" t="s">
        <v>41</v>
      </c>
      <c r="F842">
        <v>1600000</v>
      </c>
      <c r="G842" t="s">
        <v>26</v>
      </c>
      <c r="H842" t="s">
        <v>81</v>
      </c>
      <c r="I842" t="s">
        <v>9</v>
      </c>
      <c r="L842" t="s">
        <v>161</v>
      </c>
      <c r="M842">
        <v>-1600000</v>
      </c>
    </row>
    <row r="843" spans="1:13" x14ac:dyDescent="0.3">
      <c r="A843" s="23">
        <v>45093</v>
      </c>
      <c r="B843" t="s">
        <v>13</v>
      </c>
      <c r="C843" t="s">
        <v>132</v>
      </c>
      <c r="D843" t="s">
        <v>17</v>
      </c>
      <c r="E843" t="s">
        <v>41</v>
      </c>
      <c r="F843">
        <v>1500299.3</v>
      </c>
      <c r="G843" t="s">
        <v>26</v>
      </c>
      <c r="H843" t="s">
        <v>81</v>
      </c>
      <c r="I843" t="s">
        <v>9</v>
      </c>
      <c r="L843" t="s">
        <v>161</v>
      </c>
      <c r="M843">
        <v>-1500299.3</v>
      </c>
    </row>
    <row r="844" spans="1:13" x14ac:dyDescent="0.3">
      <c r="A844" s="23">
        <v>44972</v>
      </c>
      <c r="B844" t="s">
        <v>13</v>
      </c>
      <c r="C844" t="s">
        <v>132</v>
      </c>
      <c r="D844" t="s">
        <v>17</v>
      </c>
      <c r="E844" t="s">
        <v>41</v>
      </c>
      <c r="F844">
        <v>1500000</v>
      </c>
      <c r="G844" t="s">
        <v>26</v>
      </c>
      <c r="H844" t="s">
        <v>81</v>
      </c>
      <c r="I844" t="s">
        <v>9</v>
      </c>
      <c r="L844" t="s">
        <v>161</v>
      </c>
      <c r="M844">
        <v>-1500000</v>
      </c>
    </row>
    <row r="845" spans="1:13" x14ac:dyDescent="0.3">
      <c r="A845" s="23">
        <v>44900</v>
      </c>
      <c r="B845" t="s">
        <v>13</v>
      </c>
      <c r="C845" t="s">
        <v>132</v>
      </c>
      <c r="D845" t="s">
        <v>17</v>
      </c>
      <c r="E845" t="s">
        <v>46</v>
      </c>
      <c r="F845">
        <v>1500000</v>
      </c>
      <c r="G845" t="s">
        <v>28</v>
      </c>
      <c r="H845" t="s">
        <v>81</v>
      </c>
      <c r="I845" t="s">
        <v>9</v>
      </c>
      <c r="L845" t="s">
        <v>161</v>
      </c>
      <c r="M845">
        <v>-1500000</v>
      </c>
    </row>
    <row r="846" spans="1:13" x14ac:dyDescent="0.3">
      <c r="A846" s="23">
        <v>45076</v>
      </c>
      <c r="B846" t="s">
        <v>13</v>
      </c>
      <c r="C846" t="s">
        <v>132</v>
      </c>
      <c r="D846" t="s">
        <v>17</v>
      </c>
      <c r="E846" t="s">
        <v>41</v>
      </c>
      <c r="F846">
        <v>1400000</v>
      </c>
      <c r="G846" t="s">
        <v>26</v>
      </c>
      <c r="H846" t="s">
        <v>81</v>
      </c>
      <c r="I846" t="s">
        <v>9</v>
      </c>
      <c r="L846" t="s">
        <v>161</v>
      </c>
      <c r="M846">
        <v>-1400000</v>
      </c>
    </row>
    <row r="847" spans="1:13" x14ac:dyDescent="0.3">
      <c r="A847" s="23">
        <v>45723</v>
      </c>
      <c r="B847" t="s">
        <v>13</v>
      </c>
      <c r="C847" t="s">
        <v>132</v>
      </c>
      <c r="D847" t="s">
        <v>17</v>
      </c>
      <c r="E847" t="s">
        <v>48</v>
      </c>
      <c r="F847">
        <v>1300000</v>
      </c>
      <c r="G847" t="s">
        <v>29</v>
      </c>
      <c r="H847" t="s">
        <v>81</v>
      </c>
      <c r="I847" t="s">
        <v>9</v>
      </c>
      <c r="L847" t="s">
        <v>161</v>
      </c>
      <c r="M847">
        <v>-1300000</v>
      </c>
    </row>
    <row r="848" spans="1:13" x14ac:dyDescent="0.3">
      <c r="A848" s="23">
        <v>44635</v>
      </c>
      <c r="B848" t="s">
        <v>13</v>
      </c>
      <c r="C848" t="s">
        <v>132</v>
      </c>
      <c r="D848" t="s">
        <v>17</v>
      </c>
      <c r="E848" t="s">
        <v>41</v>
      </c>
      <c r="F848">
        <v>1200000</v>
      </c>
      <c r="G848" t="s">
        <v>26</v>
      </c>
      <c r="H848" t="s">
        <v>81</v>
      </c>
      <c r="I848" t="s">
        <v>9</v>
      </c>
      <c r="L848" t="s">
        <v>161</v>
      </c>
      <c r="M848">
        <v>-1200000</v>
      </c>
    </row>
    <row r="849" spans="1:13" x14ac:dyDescent="0.3">
      <c r="A849" s="23">
        <v>44701</v>
      </c>
      <c r="B849" t="s">
        <v>13</v>
      </c>
      <c r="C849" t="s">
        <v>132</v>
      </c>
      <c r="D849" t="s">
        <v>17</v>
      </c>
      <c r="E849" t="s">
        <v>41</v>
      </c>
      <c r="F849">
        <v>1200000</v>
      </c>
      <c r="G849" t="s">
        <v>26</v>
      </c>
      <c r="H849" t="s">
        <v>81</v>
      </c>
      <c r="I849" t="s">
        <v>9</v>
      </c>
      <c r="L849" t="s">
        <v>161</v>
      </c>
      <c r="M849">
        <v>-1200000</v>
      </c>
    </row>
    <row r="850" spans="1:13" x14ac:dyDescent="0.3">
      <c r="A850" s="23">
        <v>44859</v>
      </c>
      <c r="B850" t="s">
        <v>13</v>
      </c>
      <c r="C850" t="s">
        <v>132</v>
      </c>
      <c r="D850" t="s">
        <v>17</v>
      </c>
      <c r="E850" t="s">
        <v>41</v>
      </c>
      <c r="F850">
        <v>1200000</v>
      </c>
      <c r="G850" t="s">
        <v>26</v>
      </c>
      <c r="H850" t="s">
        <v>81</v>
      </c>
      <c r="I850" t="s">
        <v>9</v>
      </c>
      <c r="L850" t="s">
        <v>161</v>
      </c>
      <c r="M850">
        <v>-1200000</v>
      </c>
    </row>
    <row r="851" spans="1:13" x14ac:dyDescent="0.3">
      <c r="A851" s="23">
        <v>45051</v>
      </c>
      <c r="B851" t="s">
        <v>13</v>
      </c>
      <c r="C851" t="s">
        <v>132</v>
      </c>
      <c r="D851" t="s">
        <v>17</v>
      </c>
      <c r="E851" t="s">
        <v>41</v>
      </c>
      <c r="F851">
        <v>1200000</v>
      </c>
      <c r="G851" t="s">
        <v>26</v>
      </c>
      <c r="H851" t="s">
        <v>81</v>
      </c>
      <c r="I851" t="s">
        <v>9</v>
      </c>
      <c r="L851" t="s">
        <v>161</v>
      </c>
      <c r="M851">
        <v>-1200000</v>
      </c>
    </row>
    <row r="852" spans="1:13" x14ac:dyDescent="0.3">
      <c r="A852" s="23">
        <v>45037</v>
      </c>
      <c r="B852" t="s">
        <v>13</v>
      </c>
      <c r="C852" t="s">
        <v>132</v>
      </c>
      <c r="D852" t="s">
        <v>17</v>
      </c>
      <c r="E852" t="s">
        <v>41</v>
      </c>
      <c r="F852">
        <v>1200000</v>
      </c>
      <c r="G852" t="s">
        <v>26</v>
      </c>
      <c r="H852" t="s">
        <v>81</v>
      </c>
      <c r="I852" t="s">
        <v>9</v>
      </c>
      <c r="L852" t="s">
        <v>161</v>
      </c>
      <c r="M852">
        <v>-1200000</v>
      </c>
    </row>
    <row r="853" spans="1:13" x14ac:dyDescent="0.3">
      <c r="A853" s="23">
        <v>44721</v>
      </c>
      <c r="B853" t="s">
        <v>13</v>
      </c>
      <c r="C853" t="s">
        <v>132</v>
      </c>
      <c r="D853" t="s">
        <v>17</v>
      </c>
      <c r="E853" t="s">
        <v>139</v>
      </c>
      <c r="F853">
        <v>1120000</v>
      </c>
      <c r="G853" t="s">
        <v>140</v>
      </c>
      <c r="H853" t="s">
        <v>81</v>
      </c>
      <c r="I853" t="s">
        <v>9</v>
      </c>
      <c r="L853" t="s">
        <v>161</v>
      </c>
      <c r="M853">
        <v>-1120000</v>
      </c>
    </row>
    <row r="854" spans="1:13" x14ac:dyDescent="0.3">
      <c r="A854" s="23">
        <v>45566</v>
      </c>
      <c r="B854" t="s">
        <v>13</v>
      </c>
      <c r="C854" t="s">
        <v>132</v>
      </c>
      <c r="D854" t="s">
        <v>17</v>
      </c>
      <c r="E854" t="s">
        <v>41</v>
      </c>
      <c r="F854">
        <v>1100000</v>
      </c>
      <c r="G854" t="s">
        <v>26</v>
      </c>
      <c r="H854" t="s">
        <v>81</v>
      </c>
      <c r="I854" t="s">
        <v>9</v>
      </c>
      <c r="L854" t="s">
        <v>161</v>
      </c>
      <c r="M854">
        <v>-1100000</v>
      </c>
    </row>
    <row r="855" spans="1:13" x14ac:dyDescent="0.3">
      <c r="A855" s="23">
        <v>45219</v>
      </c>
      <c r="B855" t="s">
        <v>13</v>
      </c>
      <c r="C855" t="s">
        <v>143</v>
      </c>
      <c r="D855" t="s">
        <v>17</v>
      </c>
      <c r="E855" t="s">
        <v>149</v>
      </c>
      <c r="F855">
        <v>1068110</v>
      </c>
      <c r="G855" t="s">
        <v>140</v>
      </c>
      <c r="H855" t="s">
        <v>81</v>
      </c>
      <c r="I855" t="s">
        <v>9</v>
      </c>
      <c r="M855">
        <v>-1068110</v>
      </c>
    </row>
    <row r="856" spans="1:13" x14ac:dyDescent="0.3">
      <c r="A856" s="23">
        <v>44571</v>
      </c>
      <c r="B856" t="s">
        <v>13</v>
      </c>
      <c r="C856" t="s">
        <v>132</v>
      </c>
      <c r="D856" t="s">
        <v>17</v>
      </c>
      <c r="E856" t="s">
        <v>41</v>
      </c>
      <c r="F856">
        <v>1000000</v>
      </c>
      <c r="G856" t="s">
        <v>26</v>
      </c>
      <c r="H856" t="s">
        <v>81</v>
      </c>
      <c r="I856" t="s">
        <v>9</v>
      </c>
      <c r="L856" t="s">
        <v>161</v>
      </c>
      <c r="M856">
        <v>-1000000</v>
      </c>
    </row>
    <row r="857" spans="1:13" x14ac:dyDescent="0.3">
      <c r="A857" s="23">
        <v>44652</v>
      </c>
      <c r="B857" t="s">
        <v>13</v>
      </c>
      <c r="C857" t="s">
        <v>132</v>
      </c>
      <c r="D857" t="s">
        <v>17</v>
      </c>
      <c r="E857" t="s">
        <v>41</v>
      </c>
      <c r="F857">
        <v>1000000</v>
      </c>
      <c r="G857" t="s">
        <v>26</v>
      </c>
      <c r="H857" t="s">
        <v>81</v>
      </c>
      <c r="I857" t="s">
        <v>9</v>
      </c>
      <c r="L857" t="s">
        <v>161</v>
      </c>
      <c r="M857">
        <v>-1000000</v>
      </c>
    </row>
    <row r="858" spans="1:13" x14ac:dyDescent="0.3">
      <c r="A858" s="23">
        <v>44662</v>
      </c>
      <c r="B858" t="s">
        <v>13</v>
      </c>
      <c r="C858" t="s">
        <v>132</v>
      </c>
      <c r="D858" t="s">
        <v>17</v>
      </c>
      <c r="E858" t="s">
        <v>41</v>
      </c>
      <c r="F858">
        <v>1000000</v>
      </c>
      <c r="G858" t="s">
        <v>26</v>
      </c>
      <c r="H858" t="s">
        <v>81</v>
      </c>
      <c r="I858" t="s">
        <v>9</v>
      </c>
      <c r="L858" t="s">
        <v>161</v>
      </c>
      <c r="M858">
        <v>-1000000</v>
      </c>
    </row>
    <row r="859" spans="1:13" x14ac:dyDescent="0.3">
      <c r="A859" s="23">
        <v>45541</v>
      </c>
      <c r="B859" t="s">
        <v>13</v>
      </c>
      <c r="C859" t="s">
        <v>132</v>
      </c>
      <c r="D859" t="s">
        <v>17</v>
      </c>
      <c r="E859" t="s">
        <v>46</v>
      </c>
      <c r="F859">
        <v>1000000</v>
      </c>
      <c r="G859" t="s">
        <v>28</v>
      </c>
      <c r="H859" t="s">
        <v>81</v>
      </c>
      <c r="I859" t="s">
        <v>9</v>
      </c>
      <c r="L859" t="s">
        <v>161</v>
      </c>
      <c r="M859">
        <v>-1000000</v>
      </c>
    </row>
    <row r="860" spans="1:13" x14ac:dyDescent="0.3">
      <c r="A860" s="23">
        <v>44642</v>
      </c>
      <c r="B860" t="s">
        <v>13</v>
      </c>
      <c r="C860" t="s">
        <v>132</v>
      </c>
      <c r="D860" t="s">
        <v>17</v>
      </c>
      <c r="E860" t="s">
        <v>41</v>
      </c>
      <c r="F860">
        <v>900000</v>
      </c>
      <c r="G860" t="s">
        <v>26</v>
      </c>
      <c r="H860" t="s">
        <v>81</v>
      </c>
      <c r="I860" t="s">
        <v>9</v>
      </c>
      <c r="L860" t="s">
        <v>161</v>
      </c>
      <c r="M860">
        <v>-900000</v>
      </c>
    </row>
    <row r="861" spans="1:13" x14ac:dyDescent="0.3">
      <c r="A861" s="23">
        <v>45050</v>
      </c>
      <c r="B861" t="s">
        <v>13</v>
      </c>
      <c r="C861" t="s">
        <v>132</v>
      </c>
      <c r="D861" t="s">
        <v>17</v>
      </c>
      <c r="E861" t="s">
        <v>41</v>
      </c>
      <c r="F861">
        <v>900000</v>
      </c>
      <c r="G861" t="s">
        <v>26</v>
      </c>
      <c r="H861" t="s">
        <v>81</v>
      </c>
      <c r="I861" t="s">
        <v>9</v>
      </c>
      <c r="L861" t="s">
        <v>161</v>
      </c>
      <c r="M861">
        <v>-900000</v>
      </c>
    </row>
    <row r="862" spans="1:13" x14ac:dyDescent="0.3">
      <c r="A862" s="23">
        <v>45541</v>
      </c>
      <c r="B862" t="s">
        <v>13</v>
      </c>
      <c r="C862" t="s">
        <v>132</v>
      </c>
      <c r="D862" t="s">
        <v>17</v>
      </c>
      <c r="E862" t="s">
        <v>48</v>
      </c>
      <c r="F862">
        <v>861087.99999999255</v>
      </c>
      <c r="G862" t="s">
        <v>29</v>
      </c>
      <c r="H862" t="s">
        <v>81</v>
      </c>
      <c r="I862" t="s">
        <v>9</v>
      </c>
      <c r="L862" t="s">
        <v>161</v>
      </c>
      <c r="M862">
        <v>-861088</v>
      </c>
    </row>
    <row r="863" spans="1:13" x14ac:dyDescent="0.3">
      <c r="A863" s="23">
        <v>45211</v>
      </c>
      <c r="B863" t="s">
        <v>13</v>
      </c>
      <c r="C863" t="s">
        <v>143</v>
      </c>
      <c r="D863" t="s">
        <v>17</v>
      </c>
      <c r="E863" t="s">
        <v>149</v>
      </c>
      <c r="F863">
        <v>840533.53</v>
      </c>
      <c r="G863" t="s">
        <v>140</v>
      </c>
      <c r="H863" t="s">
        <v>81</v>
      </c>
      <c r="I863" t="s">
        <v>9</v>
      </c>
      <c r="M863">
        <v>-840533.53</v>
      </c>
    </row>
    <row r="864" spans="1:13" x14ac:dyDescent="0.3">
      <c r="A864" s="23">
        <v>45141</v>
      </c>
      <c r="B864" t="s">
        <v>13</v>
      </c>
      <c r="C864" t="s">
        <v>143</v>
      </c>
      <c r="D864" t="s">
        <v>17</v>
      </c>
      <c r="E864" t="s">
        <v>149</v>
      </c>
      <c r="F864">
        <v>822855.91</v>
      </c>
      <c r="G864" t="s">
        <v>140</v>
      </c>
      <c r="H864" t="s">
        <v>81</v>
      </c>
      <c r="I864" t="s">
        <v>9</v>
      </c>
      <c r="M864">
        <v>-822855.91</v>
      </c>
    </row>
    <row r="865" spans="1:13" x14ac:dyDescent="0.3">
      <c r="A865" s="23">
        <v>44592</v>
      </c>
      <c r="B865" t="s">
        <v>13</v>
      </c>
      <c r="C865" t="s">
        <v>132</v>
      </c>
      <c r="D865" t="s">
        <v>17</v>
      </c>
      <c r="E865" t="s">
        <v>41</v>
      </c>
      <c r="F865">
        <v>800000</v>
      </c>
      <c r="G865" t="s">
        <v>26</v>
      </c>
      <c r="H865" t="s">
        <v>81</v>
      </c>
      <c r="I865" t="s">
        <v>9</v>
      </c>
      <c r="L865" t="s">
        <v>161</v>
      </c>
      <c r="M865">
        <v>-800000</v>
      </c>
    </row>
    <row r="866" spans="1:13" x14ac:dyDescent="0.3">
      <c r="A866" s="23">
        <v>45239</v>
      </c>
      <c r="B866" t="s">
        <v>13</v>
      </c>
      <c r="C866" t="s">
        <v>132</v>
      </c>
      <c r="D866" t="s">
        <v>17</v>
      </c>
      <c r="E866" t="s">
        <v>41</v>
      </c>
      <c r="F866">
        <v>800000</v>
      </c>
      <c r="G866" t="s">
        <v>26</v>
      </c>
      <c r="H866" t="s">
        <v>81</v>
      </c>
      <c r="I866" t="s">
        <v>9</v>
      </c>
      <c r="L866" t="s">
        <v>161</v>
      </c>
      <c r="M866">
        <v>-800000</v>
      </c>
    </row>
    <row r="867" spans="1:13" x14ac:dyDescent="0.3">
      <c r="A867" s="23">
        <v>45208</v>
      </c>
      <c r="B867" t="s">
        <v>13</v>
      </c>
      <c r="C867" t="s">
        <v>132</v>
      </c>
      <c r="D867" t="s">
        <v>17</v>
      </c>
      <c r="E867" t="s">
        <v>41</v>
      </c>
      <c r="F867">
        <v>800000</v>
      </c>
      <c r="G867" t="s">
        <v>26</v>
      </c>
      <c r="H867" t="s">
        <v>81</v>
      </c>
      <c r="I867" t="s">
        <v>9</v>
      </c>
      <c r="L867" t="s">
        <v>161</v>
      </c>
      <c r="M867">
        <v>-800000</v>
      </c>
    </row>
    <row r="868" spans="1:13" x14ac:dyDescent="0.3">
      <c r="A868" s="23">
        <v>45008</v>
      </c>
      <c r="B868" t="s">
        <v>13</v>
      </c>
      <c r="C868" t="s">
        <v>132</v>
      </c>
      <c r="D868" t="s">
        <v>17</v>
      </c>
      <c r="E868" t="s">
        <v>41</v>
      </c>
      <c r="F868">
        <v>800000</v>
      </c>
      <c r="G868" t="s">
        <v>26</v>
      </c>
      <c r="H868" t="s">
        <v>81</v>
      </c>
      <c r="I868" t="s">
        <v>9</v>
      </c>
      <c r="L868" t="s">
        <v>161</v>
      </c>
      <c r="M868">
        <v>-800000</v>
      </c>
    </row>
    <row r="869" spans="1:13" x14ac:dyDescent="0.3">
      <c r="A869" s="23">
        <v>45310</v>
      </c>
      <c r="B869" t="s">
        <v>13</v>
      </c>
      <c r="C869" t="s">
        <v>132</v>
      </c>
      <c r="D869" t="s">
        <v>17</v>
      </c>
      <c r="E869" t="s">
        <v>46</v>
      </c>
      <c r="F869">
        <v>800000</v>
      </c>
      <c r="G869" t="s">
        <v>28</v>
      </c>
      <c r="H869" t="s">
        <v>81</v>
      </c>
      <c r="I869" t="s">
        <v>9</v>
      </c>
      <c r="L869" t="s">
        <v>161</v>
      </c>
      <c r="M869">
        <v>-800000</v>
      </c>
    </row>
    <row r="870" spans="1:13" x14ac:dyDescent="0.3">
      <c r="A870" s="23">
        <v>45174</v>
      </c>
      <c r="B870" t="s">
        <v>13</v>
      </c>
      <c r="C870" t="s">
        <v>132</v>
      </c>
      <c r="D870" t="s">
        <v>17</v>
      </c>
      <c r="E870" t="s">
        <v>46</v>
      </c>
      <c r="F870">
        <v>800000</v>
      </c>
      <c r="G870" t="s">
        <v>28</v>
      </c>
      <c r="H870" t="s">
        <v>81</v>
      </c>
      <c r="I870" t="s">
        <v>9</v>
      </c>
      <c r="L870" t="s">
        <v>161</v>
      </c>
      <c r="M870">
        <v>-800000</v>
      </c>
    </row>
    <row r="871" spans="1:13" x14ac:dyDescent="0.3">
      <c r="A871" s="23">
        <v>44992</v>
      </c>
      <c r="B871" t="s">
        <v>13</v>
      </c>
      <c r="C871" t="s">
        <v>132</v>
      </c>
      <c r="D871" t="s">
        <v>17</v>
      </c>
      <c r="E871" t="s">
        <v>41</v>
      </c>
      <c r="F871">
        <v>700000</v>
      </c>
      <c r="G871" t="s">
        <v>26</v>
      </c>
      <c r="H871" t="s">
        <v>81</v>
      </c>
      <c r="I871" t="s">
        <v>9</v>
      </c>
      <c r="L871" t="s">
        <v>161</v>
      </c>
      <c r="M871">
        <v>-700000</v>
      </c>
    </row>
    <row r="872" spans="1:13" x14ac:dyDescent="0.3">
      <c r="A872" s="23">
        <v>45155</v>
      </c>
      <c r="B872" t="s">
        <v>13</v>
      </c>
      <c r="C872" t="s">
        <v>132</v>
      </c>
      <c r="D872" t="s">
        <v>17</v>
      </c>
      <c r="E872" t="s">
        <v>46</v>
      </c>
      <c r="F872">
        <v>700000</v>
      </c>
      <c r="G872" t="s">
        <v>28</v>
      </c>
      <c r="H872" t="s">
        <v>81</v>
      </c>
      <c r="I872" t="s">
        <v>9</v>
      </c>
      <c r="L872" t="s">
        <v>161</v>
      </c>
      <c r="M872">
        <v>-700000</v>
      </c>
    </row>
    <row r="873" spans="1:13" x14ac:dyDescent="0.3">
      <c r="A873" s="23">
        <v>45174</v>
      </c>
      <c r="B873" t="s">
        <v>13</v>
      </c>
      <c r="C873" t="s">
        <v>143</v>
      </c>
      <c r="D873" t="s">
        <v>17</v>
      </c>
      <c r="E873" t="s">
        <v>149</v>
      </c>
      <c r="F873">
        <v>687475.15</v>
      </c>
      <c r="G873" t="s">
        <v>140</v>
      </c>
      <c r="H873" t="s">
        <v>81</v>
      </c>
      <c r="I873" t="s">
        <v>9</v>
      </c>
      <c r="M873">
        <v>-687475.15</v>
      </c>
    </row>
    <row r="874" spans="1:13" x14ac:dyDescent="0.3">
      <c r="A874" s="23">
        <v>44876</v>
      </c>
      <c r="B874" t="s">
        <v>13</v>
      </c>
      <c r="C874" t="s">
        <v>132</v>
      </c>
      <c r="D874" t="s">
        <v>17</v>
      </c>
      <c r="E874" t="s">
        <v>46</v>
      </c>
      <c r="F874">
        <v>600000</v>
      </c>
      <c r="G874" t="s">
        <v>28</v>
      </c>
      <c r="H874" t="s">
        <v>81</v>
      </c>
      <c r="I874" t="s">
        <v>9</v>
      </c>
      <c r="L874" t="s">
        <v>161</v>
      </c>
      <c r="M874">
        <v>-600000</v>
      </c>
    </row>
    <row r="875" spans="1:13" x14ac:dyDescent="0.3">
      <c r="A875" s="23">
        <v>45450</v>
      </c>
      <c r="B875" t="s">
        <v>13</v>
      </c>
      <c r="C875" t="s">
        <v>132</v>
      </c>
      <c r="D875" t="s">
        <v>17</v>
      </c>
      <c r="E875" t="s">
        <v>48</v>
      </c>
      <c r="F875">
        <v>600000</v>
      </c>
      <c r="G875" t="s">
        <v>29</v>
      </c>
      <c r="H875" t="s">
        <v>81</v>
      </c>
      <c r="I875" t="s">
        <v>9</v>
      </c>
      <c r="L875" t="s">
        <v>161</v>
      </c>
      <c r="M875">
        <v>-600000</v>
      </c>
    </row>
    <row r="876" spans="1:13" x14ac:dyDescent="0.3">
      <c r="A876" s="23">
        <v>45091</v>
      </c>
      <c r="B876" t="s">
        <v>13</v>
      </c>
      <c r="C876" t="s">
        <v>132</v>
      </c>
      <c r="D876" t="s">
        <v>17</v>
      </c>
      <c r="E876" t="s">
        <v>136</v>
      </c>
      <c r="F876">
        <v>565750.09</v>
      </c>
      <c r="G876" t="s">
        <v>134</v>
      </c>
      <c r="H876" t="s">
        <v>81</v>
      </c>
      <c r="I876" t="s">
        <v>9</v>
      </c>
      <c r="J876" t="s">
        <v>155</v>
      </c>
      <c r="L876" t="s">
        <v>161</v>
      </c>
      <c r="M876">
        <v>-565750.09</v>
      </c>
    </row>
    <row r="877" spans="1:13" x14ac:dyDescent="0.3">
      <c r="A877" s="23">
        <v>44649</v>
      </c>
      <c r="B877" t="s">
        <v>13</v>
      </c>
      <c r="C877" t="s">
        <v>132</v>
      </c>
      <c r="D877" t="s">
        <v>17</v>
      </c>
      <c r="E877" t="s">
        <v>41</v>
      </c>
      <c r="F877">
        <v>500000</v>
      </c>
      <c r="G877" t="s">
        <v>26</v>
      </c>
      <c r="H877" t="s">
        <v>81</v>
      </c>
      <c r="I877" t="s">
        <v>9</v>
      </c>
      <c r="L877" t="s">
        <v>161</v>
      </c>
      <c r="M877">
        <v>-500000</v>
      </c>
    </row>
    <row r="878" spans="1:13" x14ac:dyDescent="0.3">
      <c r="A878" s="23">
        <v>44700</v>
      </c>
      <c r="B878" t="s">
        <v>13</v>
      </c>
      <c r="C878" t="s">
        <v>132</v>
      </c>
      <c r="D878" t="s">
        <v>17</v>
      </c>
      <c r="E878" t="s">
        <v>41</v>
      </c>
      <c r="F878">
        <v>500000</v>
      </c>
      <c r="G878" t="s">
        <v>26</v>
      </c>
      <c r="H878" t="s">
        <v>81</v>
      </c>
      <c r="I878" t="s">
        <v>9</v>
      </c>
      <c r="L878" t="s">
        <v>161</v>
      </c>
      <c r="M878">
        <v>-500000</v>
      </c>
    </row>
    <row r="879" spans="1:13" x14ac:dyDescent="0.3">
      <c r="A879" s="23">
        <v>44721</v>
      </c>
      <c r="B879" t="s">
        <v>13</v>
      </c>
      <c r="C879" t="s">
        <v>132</v>
      </c>
      <c r="D879" t="s">
        <v>17</v>
      </c>
      <c r="E879" t="s">
        <v>41</v>
      </c>
      <c r="F879">
        <v>500000</v>
      </c>
      <c r="G879" t="s">
        <v>26</v>
      </c>
      <c r="H879" t="s">
        <v>81</v>
      </c>
      <c r="I879" t="s">
        <v>9</v>
      </c>
      <c r="L879" t="s">
        <v>161</v>
      </c>
      <c r="M879">
        <v>-500000</v>
      </c>
    </row>
    <row r="880" spans="1:13" x14ac:dyDescent="0.3">
      <c r="A880" s="23">
        <v>45267</v>
      </c>
      <c r="B880" t="s">
        <v>13</v>
      </c>
      <c r="C880" t="s">
        <v>132</v>
      </c>
      <c r="D880" t="s">
        <v>17</v>
      </c>
      <c r="E880" t="s">
        <v>41</v>
      </c>
      <c r="F880">
        <v>500000</v>
      </c>
      <c r="G880" t="s">
        <v>26</v>
      </c>
      <c r="H880" t="s">
        <v>81</v>
      </c>
      <c r="I880" t="s">
        <v>9</v>
      </c>
      <c r="L880" t="s">
        <v>161</v>
      </c>
      <c r="M880">
        <v>-500000</v>
      </c>
    </row>
    <row r="881" spans="1:13" x14ac:dyDescent="0.3">
      <c r="A881" s="23">
        <v>45141</v>
      </c>
      <c r="B881" t="s">
        <v>13</v>
      </c>
      <c r="C881" t="s">
        <v>132</v>
      </c>
      <c r="D881" t="s">
        <v>17</v>
      </c>
      <c r="E881" t="s">
        <v>41</v>
      </c>
      <c r="F881">
        <v>500000</v>
      </c>
      <c r="G881" t="s">
        <v>26</v>
      </c>
      <c r="H881" t="s">
        <v>81</v>
      </c>
      <c r="I881" t="s">
        <v>9</v>
      </c>
      <c r="L881" t="s">
        <v>161</v>
      </c>
      <c r="M881">
        <v>-500000</v>
      </c>
    </row>
    <row r="882" spans="1:13" x14ac:dyDescent="0.3">
      <c r="A882" s="23">
        <v>45350</v>
      </c>
      <c r="B882" t="s">
        <v>13</v>
      </c>
      <c r="C882" t="s">
        <v>132</v>
      </c>
      <c r="D882" t="s">
        <v>17</v>
      </c>
      <c r="E882" t="s">
        <v>46</v>
      </c>
      <c r="F882">
        <v>500000</v>
      </c>
      <c r="G882" t="s">
        <v>28</v>
      </c>
      <c r="H882" t="s">
        <v>81</v>
      </c>
      <c r="I882" t="s">
        <v>9</v>
      </c>
      <c r="L882" t="s">
        <v>161</v>
      </c>
      <c r="M882">
        <v>-500000</v>
      </c>
    </row>
    <row r="883" spans="1:13" x14ac:dyDescent="0.3">
      <c r="A883" s="23">
        <v>45303</v>
      </c>
      <c r="B883" t="s">
        <v>13</v>
      </c>
      <c r="C883" t="s">
        <v>132</v>
      </c>
      <c r="D883" t="s">
        <v>17</v>
      </c>
      <c r="E883" t="s">
        <v>41</v>
      </c>
      <c r="F883">
        <v>400000</v>
      </c>
      <c r="G883" t="s">
        <v>26</v>
      </c>
      <c r="H883" t="s">
        <v>81</v>
      </c>
      <c r="I883" t="s">
        <v>9</v>
      </c>
      <c r="L883" t="s">
        <v>161</v>
      </c>
      <c r="M883">
        <v>-400000</v>
      </c>
    </row>
    <row r="884" spans="1:13" x14ac:dyDescent="0.3">
      <c r="A884" s="23">
        <v>44971</v>
      </c>
      <c r="B884" t="s">
        <v>13</v>
      </c>
      <c r="C884" t="s">
        <v>132</v>
      </c>
      <c r="D884" t="s">
        <v>17</v>
      </c>
      <c r="E884" t="s">
        <v>41</v>
      </c>
      <c r="F884">
        <v>400000</v>
      </c>
      <c r="G884" t="s">
        <v>26</v>
      </c>
      <c r="H884" t="s">
        <v>81</v>
      </c>
      <c r="I884" t="s">
        <v>9</v>
      </c>
      <c r="L884" t="s">
        <v>161</v>
      </c>
      <c r="M884">
        <v>-400000</v>
      </c>
    </row>
    <row r="885" spans="1:13" x14ac:dyDescent="0.3">
      <c r="A885" s="23">
        <v>45086</v>
      </c>
      <c r="B885" t="s">
        <v>13</v>
      </c>
      <c r="C885" t="s">
        <v>132</v>
      </c>
      <c r="D885" t="s">
        <v>17</v>
      </c>
      <c r="E885" t="s">
        <v>41</v>
      </c>
      <c r="F885">
        <v>400000</v>
      </c>
      <c r="G885" t="s">
        <v>26</v>
      </c>
      <c r="H885" t="s">
        <v>81</v>
      </c>
      <c r="I885" t="s">
        <v>9</v>
      </c>
      <c r="L885" t="s">
        <v>161</v>
      </c>
      <c r="M885">
        <v>-400000</v>
      </c>
    </row>
    <row r="886" spans="1:13" x14ac:dyDescent="0.3">
      <c r="A886" s="23">
        <v>45677</v>
      </c>
      <c r="B886" t="s">
        <v>13</v>
      </c>
      <c r="C886" t="s">
        <v>132</v>
      </c>
      <c r="D886" t="s">
        <v>17</v>
      </c>
      <c r="E886" t="s">
        <v>48</v>
      </c>
      <c r="F886">
        <v>400000</v>
      </c>
      <c r="G886" t="s">
        <v>29</v>
      </c>
      <c r="H886" t="s">
        <v>81</v>
      </c>
      <c r="I886" t="s">
        <v>9</v>
      </c>
      <c r="L886" t="s">
        <v>161</v>
      </c>
      <c r="M886">
        <v>-400000</v>
      </c>
    </row>
    <row r="887" spans="1:13" x14ac:dyDescent="0.3">
      <c r="A887" s="23">
        <v>45541</v>
      </c>
      <c r="B887" t="s">
        <v>13</v>
      </c>
      <c r="C887" t="s">
        <v>132</v>
      </c>
      <c r="D887" t="s">
        <v>17</v>
      </c>
      <c r="E887" t="s">
        <v>136</v>
      </c>
      <c r="F887">
        <v>321493.20000001788</v>
      </c>
      <c r="G887" t="s">
        <v>134</v>
      </c>
      <c r="H887" t="s">
        <v>81</v>
      </c>
      <c r="I887" t="s">
        <v>9</v>
      </c>
      <c r="L887" t="s">
        <v>161</v>
      </c>
      <c r="M887">
        <v>-321493.2</v>
      </c>
    </row>
    <row r="888" spans="1:13" x14ac:dyDescent="0.3">
      <c r="A888" s="23">
        <v>44718</v>
      </c>
      <c r="B888" t="s">
        <v>13</v>
      </c>
      <c r="C888" t="s">
        <v>132</v>
      </c>
      <c r="D888" t="s">
        <v>17</v>
      </c>
      <c r="E888" t="s">
        <v>139</v>
      </c>
      <c r="F888">
        <v>320000</v>
      </c>
      <c r="G888" t="s">
        <v>140</v>
      </c>
      <c r="H888" t="s">
        <v>81</v>
      </c>
      <c r="I888" t="s">
        <v>9</v>
      </c>
      <c r="L888" t="s">
        <v>161</v>
      </c>
      <c r="M888">
        <v>-320000</v>
      </c>
    </row>
    <row r="889" spans="1:13" x14ac:dyDescent="0.3">
      <c r="A889" s="23">
        <v>45460</v>
      </c>
      <c r="B889" t="s">
        <v>13</v>
      </c>
      <c r="C889" t="s">
        <v>132</v>
      </c>
      <c r="D889" t="s">
        <v>17</v>
      </c>
      <c r="E889" t="s">
        <v>48</v>
      </c>
      <c r="F889">
        <v>320000</v>
      </c>
      <c r="G889" t="s">
        <v>29</v>
      </c>
      <c r="H889" t="s">
        <v>81</v>
      </c>
      <c r="I889" t="s">
        <v>9</v>
      </c>
      <c r="L889" t="s">
        <v>161</v>
      </c>
      <c r="M889">
        <v>-320000</v>
      </c>
    </row>
    <row r="890" spans="1:13" x14ac:dyDescent="0.3">
      <c r="A890" s="23">
        <v>45594</v>
      </c>
      <c r="B890" t="s">
        <v>13</v>
      </c>
      <c r="C890" t="s">
        <v>132</v>
      </c>
      <c r="D890" t="s">
        <v>17</v>
      </c>
      <c r="E890" t="s">
        <v>41</v>
      </c>
      <c r="F890">
        <v>300000</v>
      </c>
      <c r="G890" t="s">
        <v>26</v>
      </c>
      <c r="H890" t="s">
        <v>81</v>
      </c>
      <c r="I890" t="s">
        <v>9</v>
      </c>
      <c r="L890" t="s">
        <v>161</v>
      </c>
      <c r="M890">
        <v>-300000</v>
      </c>
    </row>
    <row r="891" spans="1:13" x14ac:dyDescent="0.3">
      <c r="A891" s="23">
        <v>45302</v>
      </c>
      <c r="B891" t="s">
        <v>13</v>
      </c>
      <c r="C891" t="s">
        <v>132</v>
      </c>
      <c r="D891" t="s">
        <v>17</v>
      </c>
      <c r="E891" t="s">
        <v>41</v>
      </c>
      <c r="F891">
        <v>300000</v>
      </c>
      <c r="G891" t="s">
        <v>26</v>
      </c>
      <c r="H891" t="s">
        <v>81</v>
      </c>
      <c r="I891" t="s">
        <v>9</v>
      </c>
      <c r="L891" t="s">
        <v>161</v>
      </c>
      <c r="M891">
        <v>-300000</v>
      </c>
    </row>
    <row r="892" spans="1:13" x14ac:dyDescent="0.3">
      <c r="A892" s="23">
        <v>45092</v>
      </c>
      <c r="B892" t="s">
        <v>13</v>
      </c>
      <c r="C892" t="s">
        <v>132</v>
      </c>
      <c r="D892" t="s">
        <v>17</v>
      </c>
      <c r="E892" t="s">
        <v>41</v>
      </c>
      <c r="F892">
        <v>244488.54</v>
      </c>
      <c r="G892" t="s">
        <v>26</v>
      </c>
      <c r="H892" t="s">
        <v>81</v>
      </c>
      <c r="I892" t="s">
        <v>9</v>
      </c>
      <c r="J892" t="s">
        <v>155</v>
      </c>
      <c r="L892" t="s">
        <v>161</v>
      </c>
      <c r="M892">
        <v>-244488.54</v>
      </c>
    </row>
    <row r="893" spans="1:13" x14ac:dyDescent="0.3">
      <c r="A893" s="23">
        <v>45435</v>
      </c>
      <c r="B893" t="s">
        <v>13</v>
      </c>
      <c r="C893" t="s">
        <v>132</v>
      </c>
      <c r="D893" t="s">
        <v>17</v>
      </c>
      <c r="E893" t="s">
        <v>41</v>
      </c>
      <c r="F893">
        <v>200000</v>
      </c>
      <c r="G893" t="s">
        <v>26</v>
      </c>
      <c r="H893" t="s">
        <v>81</v>
      </c>
      <c r="I893" t="s">
        <v>9</v>
      </c>
      <c r="L893" t="s">
        <v>161</v>
      </c>
      <c r="M893">
        <v>-200000</v>
      </c>
    </row>
    <row r="894" spans="1:13" x14ac:dyDescent="0.3">
      <c r="A894" s="23">
        <v>45062</v>
      </c>
      <c r="B894" t="s">
        <v>13</v>
      </c>
      <c r="C894" t="s">
        <v>132</v>
      </c>
      <c r="D894" t="s">
        <v>17</v>
      </c>
      <c r="E894" t="s">
        <v>41</v>
      </c>
      <c r="F894">
        <v>100000</v>
      </c>
      <c r="G894" t="s">
        <v>26</v>
      </c>
      <c r="H894" t="s">
        <v>81</v>
      </c>
      <c r="I894" t="s">
        <v>9</v>
      </c>
      <c r="L894" t="s">
        <v>161</v>
      </c>
      <c r="M894">
        <v>-100000</v>
      </c>
    </row>
    <row r="895" spans="1:13" x14ac:dyDescent="0.3">
      <c r="A895" s="23">
        <v>45246</v>
      </c>
      <c r="B895" t="s">
        <v>13</v>
      </c>
      <c r="C895" t="s">
        <v>132</v>
      </c>
      <c r="D895" t="s">
        <v>16</v>
      </c>
      <c r="E895" t="s">
        <v>136</v>
      </c>
      <c r="F895">
        <v>386.51</v>
      </c>
      <c r="G895" t="s">
        <v>134</v>
      </c>
      <c r="H895" t="s">
        <v>81</v>
      </c>
      <c r="I895" t="s">
        <v>9</v>
      </c>
      <c r="L895" t="s">
        <v>161</v>
      </c>
      <c r="M895">
        <v>386.51</v>
      </c>
    </row>
    <row r="896" spans="1:13" x14ac:dyDescent="0.3">
      <c r="A896" s="23">
        <v>45246</v>
      </c>
      <c r="B896" t="s">
        <v>13</v>
      </c>
      <c r="C896" t="s">
        <v>132</v>
      </c>
      <c r="D896" t="s">
        <v>16</v>
      </c>
      <c r="E896" t="s">
        <v>162</v>
      </c>
      <c r="F896">
        <v>7628.06</v>
      </c>
      <c r="G896" t="s">
        <v>22</v>
      </c>
      <c r="H896" t="s">
        <v>81</v>
      </c>
      <c r="I896" t="s">
        <v>9</v>
      </c>
      <c r="L896" t="s">
        <v>161</v>
      </c>
      <c r="M896">
        <v>7628.06</v>
      </c>
    </row>
    <row r="897" spans="1:13" x14ac:dyDescent="0.3">
      <c r="A897" s="23">
        <v>45425</v>
      </c>
      <c r="B897" t="s">
        <v>13</v>
      </c>
      <c r="C897" t="s">
        <v>132</v>
      </c>
      <c r="D897" t="s">
        <v>16</v>
      </c>
      <c r="E897" t="s">
        <v>162</v>
      </c>
      <c r="F897">
        <v>8000</v>
      </c>
      <c r="G897" t="s">
        <v>22</v>
      </c>
      <c r="H897" t="s">
        <v>81</v>
      </c>
      <c r="I897" t="s">
        <v>9</v>
      </c>
      <c r="L897" t="s">
        <v>161</v>
      </c>
      <c r="M897">
        <v>8000</v>
      </c>
    </row>
    <row r="898" spans="1:13" x14ac:dyDescent="0.3">
      <c r="A898" s="23">
        <v>45565</v>
      </c>
      <c r="B898" t="s">
        <v>13</v>
      </c>
      <c r="C898" t="s">
        <v>132</v>
      </c>
      <c r="D898" t="s">
        <v>16</v>
      </c>
      <c r="E898" t="s">
        <v>162</v>
      </c>
      <c r="F898">
        <v>8700</v>
      </c>
      <c r="G898" t="s">
        <v>22</v>
      </c>
      <c r="H898" t="s">
        <v>81</v>
      </c>
      <c r="I898" t="s">
        <v>9</v>
      </c>
      <c r="L898" t="s">
        <v>161</v>
      </c>
      <c r="M898">
        <v>8700</v>
      </c>
    </row>
    <row r="899" spans="1:13" x14ac:dyDescent="0.3">
      <c r="A899" s="23">
        <v>45460</v>
      </c>
      <c r="B899" t="s">
        <v>13</v>
      </c>
      <c r="C899" t="s">
        <v>132</v>
      </c>
      <c r="D899" t="s">
        <v>16</v>
      </c>
      <c r="E899" t="s">
        <v>162</v>
      </c>
      <c r="F899">
        <v>11000</v>
      </c>
      <c r="G899" t="s">
        <v>22</v>
      </c>
      <c r="H899" t="s">
        <v>81</v>
      </c>
      <c r="I899" t="s">
        <v>9</v>
      </c>
      <c r="L899" t="s">
        <v>161</v>
      </c>
      <c r="M899">
        <v>11000</v>
      </c>
    </row>
    <row r="900" spans="1:13" x14ac:dyDescent="0.3">
      <c r="A900" s="23">
        <v>45538</v>
      </c>
      <c r="B900" t="s">
        <v>13</v>
      </c>
      <c r="C900" t="s">
        <v>132</v>
      </c>
      <c r="D900" t="s">
        <v>16</v>
      </c>
      <c r="E900" t="s">
        <v>162</v>
      </c>
      <c r="F900">
        <v>12000</v>
      </c>
      <c r="G900" t="s">
        <v>22</v>
      </c>
      <c r="H900" t="s">
        <v>81</v>
      </c>
      <c r="I900" t="s">
        <v>9</v>
      </c>
      <c r="L900" t="s">
        <v>161</v>
      </c>
      <c r="M900">
        <v>12000</v>
      </c>
    </row>
    <row r="901" spans="1:13" x14ac:dyDescent="0.3">
      <c r="A901" s="23">
        <v>45504</v>
      </c>
      <c r="B901" t="s">
        <v>13</v>
      </c>
      <c r="C901" t="s">
        <v>132</v>
      </c>
      <c r="D901" t="s">
        <v>16</v>
      </c>
      <c r="E901" t="s">
        <v>162</v>
      </c>
      <c r="F901">
        <v>15000</v>
      </c>
      <c r="G901" t="s">
        <v>22</v>
      </c>
      <c r="H901" t="s">
        <v>81</v>
      </c>
      <c r="I901" t="s">
        <v>9</v>
      </c>
      <c r="L901" t="s">
        <v>161</v>
      </c>
      <c r="M901">
        <v>15000</v>
      </c>
    </row>
    <row r="902" spans="1:13" x14ac:dyDescent="0.3">
      <c r="A902" s="23">
        <v>45407</v>
      </c>
      <c r="B902" t="s">
        <v>13</v>
      </c>
      <c r="C902" t="s">
        <v>132</v>
      </c>
      <c r="D902" t="s">
        <v>16</v>
      </c>
      <c r="E902" t="s">
        <v>162</v>
      </c>
      <c r="F902">
        <v>15000</v>
      </c>
      <c r="G902" t="s">
        <v>22</v>
      </c>
      <c r="H902" t="s">
        <v>81</v>
      </c>
      <c r="I902" t="s">
        <v>9</v>
      </c>
      <c r="L902" t="s">
        <v>161</v>
      </c>
      <c r="M902">
        <v>15000</v>
      </c>
    </row>
    <row r="903" spans="1:13" x14ac:dyDescent="0.3">
      <c r="A903" s="23">
        <v>45695</v>
      </c>
      <c r="B903" t="s">
        <v>13</v>
      </c>
      <c r="C903" t="s">
        <v>132</v>
      </c>
      <c r="D903" t="s">
        <v>16</v>
      </c>
      <c r="E903" t="s">
        <v>162</v>
      </c>
      <c r="F903">
        <v>20000</v>
      </c>
      <c r="G903" t="s">
        <v>22</v>
      </c>
      <c r="H903" t="s">
        <v>81</v>
      </c>
      <c r="I903" t="s">
        <v>9</v>
      </c>
      <c r="L903" t="s">
        <v>161</v>
      </c>
      <c r="M903">
        <v>20000</v>
      </c>
    </row>
    <row r="904" spans="1:13" x14ac:dyDescent="0.3">
      <c r="A904" s="23">
        <v>45383</v>
      </c>
      <c r="B904" t="s">
        <v>13</v>
      </c>
      <c r="C904" t="s">
        <v>132</v>
      </c>
      <c r="D904" t="s">
        <v>16</v>
      </c>
      <c r="E904" t="s">
        <v>162</v>
      </c>
      <c r="F904">
        <v>20000</v>
      </c>
      <c r="G904" t="s">
        <v>22</v>
      </c>
      <c r="H904" t="s">
        <v>81</v>
      </c>
      <c r="I904" t="s">
        <v>9</v>
      </c>
      <c r="L904" t="s">
        <v>161</v>
      </c>
      <c r="M904">
        <v>20000</v>
      </c>
    </row>
    <row r="905" spans="1:13" x14ac:dyDescent="0.3">
      <c r="A905" s="23">
        <v>45630</v>
      </c>
      <c r="B905" t="s">
        <v>13</v>
      </c>
      <c r="C905" t="s">
        <v>132</v>
      </c>
      <c r="D905" t="s">
        <v>16</v>
      </c>
      <c r="E905" t="s">
        <v>162</v>
      </c>
      <c r="F905">
        <v>23843</v>
      </c>
      <c r="G905" t="s">
        <v>22</v>
      </c>
      <c r="H905" t="s">
        <v>81</v>
      </c>
      <c r="I905" t="s">
        <v>9</v>
      </c>
      <c r="L905" t="s">
        <v>161</v>
      </c>
      <c r="M905">
        <v>23843</v>
      </c>
    </row>
    <row r="906" spans="1:13" x14ac:dyDescent="0.3">
      <c r="A906" s="23">
        <v>44760</v>
      </c>
      <c r="B906" t="s">
        <v>13</v>
      </c>
      <c r="C906" t="s">
        <v>132</v>
      </c>
      <c r="D906" t="s">
        <v>16</v>
      </c>
      <c r="E906" t="s">
        <v>48</v>
      </c>
      <c r="F906">
        <v>49317.58</v>
      </c>
      <c r="G906" t="s">
        <v>29</v>
      </c>
      <c r="H906" t="s">
        <v>81</v>
      </c>
      <c r="I906" t="s">
        <v>9</v>
      </c>
      <c r="J906" t="s">
        <v>155</v>
      </c>
      <c r="L906" t="s">
        <v>161</v>
      </c>
      <c r="M906">
        <v>49317.58</v>
      </c>
    </row>
    <row r="907" spans="1:13" x14ac:dyDescent="0.3">
      <c r="A907" s="23">
        <v>45343</v>
      </c>
      <c r="B907" t="s">
        <v>13</v>
      </c>
      <c r="C907" t="s">
        <v>132</v>
      </c>
      <c r="D907" t="s">
        <v>16</v>
      </c>
      <c r="E907" t="s">
        <v>162</v>
      </c>
      <c r="F907">
        <v>56025.64</v>
      </c>
      <c r="G907" t="s">
        <v>22</v>
      </c>
      <c r="H907" t="s">
        <v>81</v>
      </c>
      <c r="I907" t="s">
        <v>9</v>
      </c>
      <c r="L907" t="s">
        <v>161</v>
      </c>
      <c r="M907">
        <v>56025.64</v>
      </c>
    </row>
    <row r="908" spans="1:13" x14ac:dyDescent="0.3">
      <c r="A908" s="23">
        <v>45695</v>
      </c>
      <c r="B908" t="s">
        <v>13</v>
      </c>
      <c r="C908" t="s">
        <v>132</v>
      </c>
      <c r="D908" t="s">
        <v>16</v>
      </c>
      <c r="E908" t="s">
        <v>41</v>
      </c>
      <c r="F908">
        <v>60000</v>
      </c>
      <c r="G908" t="s">
        <v>26</v>
      </c>
      <c r="H908" t="s">
        <v>81</v>
      </c>
      <c r="I908" t="s">
        <v>9</v>
      </c>
      <c r="L908" t="s">
        <v>161</v>
      </c>
      <c r="M908">
        <v>60000</v>
      </c>
    </row>
    <row r="909" spans="1:13" x14ac:dyDescent="0.3">
      <c r="A909" s="23">
        <v>45630</v>
      </c>
      <c r="B909" t="s">
        <v>13</v>
      </c>
      <c r="C909" t="s">
        <v>132</v>
      </c>
      <c r="D909" t="s">
        <v>16</v>
      </c>
      <c r="E909" t="s">
        <v>169</v>
      </c>
      <c r="F909">
        <v>62749</v>
      </c>
      <c r="G909" t="s">
        <v>131</v>
      </c>
      <c r="H909" t="s">
        <v>81</v>
      </c>
      <c r="I909" t="s">
        <v>9</v>
      </c>
      <c r="L909" t="s">
        <v>161</v>
      </c>
      <c r="M909">
        <v>62749</v>
      </c>
    </row>
    <row r="910" spans="1:13" x14ac:dyDescent="0.3">
      <c r="A910" s="23">
        <v>45170</v>
      </c>
      <c r="B910" t="s">
        <v>13</v>
      </c>
      <c r="C910" t="s">
        <v>132</v>
      </c>
      <c r="D910" t="s">
        <v>16</v>
      </c>
      <c r="E910" t="s">
        <v>46</v>
      </c>
      <c r="F910">
        <v>74577.53</v>
      </c>
      <c r="G910" t="s">
        <v>28</v>
      </c>
      <c r="H910" t="s">
        <v>81</v>
      </c>
      <c r="I910" t="s">
        <v>9</v>
      </c>
      <c r="L910" t="s">
        <v>161</v>
      </c>
      <c r="M910">
        <v>74577.53</v>
      </c>
    </row>
    <row r="911" spans="1:13" x14ac:dyDescent="0.3">
      <c r="A911" s="23">
        <v>45630</v>
      </c>
      <c r="B911" t="s">
        <v>13</v>
      </c>
      <c r="C911" t="s">
        <v>132</v>
      </c>
      <c r="D911" t="s">
        <v>16</v>
      </c>
      <c r="E911" t="s">
        <v>48</v>
      </c>
      <c r="F911">
        <v>75765</v>
      </c>
      <c r="G911" t="s">
        <v>29</v>
      </c>
      <c r="H911" t="s">
        <v>81</v>
      </c>
      <c r="I911" t="s">
        <v>9</v>
      </c>
      <c r="L911" t="s">
        <v>161</v>
      </c>
      <c r="M911">
        <v>75765</v>
      </c>
    </row>
    <row r="912" spans="1:13" x14ac:dyDescent="0.3">
      <c r="A912" s="23">
        <v>45460</v>
      </c>
      <c r="B912" t="s">
        <v>13</v>
      </c>
      <c r="C912" t="s">
        <v>132</v>
      </c>
      <c r="D912" t="s">
        <v>16</v>
      </c>
      <c r="E912" t="s">
        <v>180</v>
      </c>
      <c r="F912">
        <v>80000</v>
      </c>
      <c r="G912" t="s">
        <v>181</v>
      </c>
      <c r="H912" t="s">
        <v>81</v>
      </c>
      <c r="I912" t="s">
        <v>9</v>
      </c>
      <c r="L912" t="s">
        <v>161</v>
      </c>
      <c r="M912">
        <v>80000</v>
      </c>
    </row>
    <row r="913" spans="1:13" x14ac:dyDescent="0.3">
      <c r="A913" s="23">
        <v>45170</v>
      </c>
      <c r="B913" t="s">
        <v>13</v>
      </c>
      <c r="C913" t="s">
        <v>132</v>
      </c>
      <c r="D913" t="s">
        <v>16</v>
      </c>
      <c r="E913" t="s">
        <v>45</v>
      </c>
      <c r="F913">
        <v>90271.66</v>
      </c>
      <c r="G913" t="s">
        <v>26</v>
      </c>
      <c r="H913" t="s">
        <v>81</v>
      </c>
      <c r="I913" t="s">
        <v>9</v>
      </c>
      <c r="L913" t="s">
        <v>161</v>
      </c>
      <c r="M913">
        <v>90271.66</v>
      </c>
    </row>
    <row r="914" spans="1:13" x14ac:dyDescent="0.3">
      <c r="A914" s="23">
        <v>45763</v>
      </c>
      <c r="B914" t="s">
        <v>13</v>
      </c>
      <c r="C914" t="s">
        <v>132</v>
      </c>
      <c r="D914" t="s">
        <v>16</v>
      </c>
      <c r="E914" t="s">
        <v>216</v>
      </c>
      <c r="F914">
        <v>101500</v>
      </c>
      <c r="G914" t="s">
        <v>216</v>
      </c>
      <c r="H914" t="s">
        <v>81</v>
      </c>
      <c r="I914" t="s">
        <v>7</v>
      </c>
      <c r="L914" t="s">
        <v>161</v>
      </c>
      <c r="M914">
        <v>101500</v>
      </c>
    </row>
    <row r="915" spans="1:13" x14ac:dyDescent="0.3">
      <c r="A915" s="23">
        <v>44592</v>
      </c>
      <c r="B915" t="s">
        <v>13</v>
      </c>
      <c r="C915" t="s">
        <v>132</v>
      </c>
      <c r="D915" t="s">
        <v>16</v>
      </c>
      <c r="E915" t="s">
        <v>48</v>
      </c>
      <c r="F915">
        <v>122385.91</v>
      </c>
      <c r="G915" t="s">
        <v>29</v>
      </c>
      <c r="H915" t="s">
        <v>81</v>
      </c>
      <c r="I915" t="s">
        <v>9</v>
      </c>
      <c r="L915" t="s">
        <v>161</v>
      </c>
      <c r="M915">
        <v>122385.91</v>
      </c>
    </row>
    <row r="916" spans="1:13" x14ac:dyDescent="0.3">
      <c r="A916" s="23">
        <v>45148</v>
      </c>
      <c r="B916" t="s">
        <v>13</v>
      </c>
      <c r="C916" t="s">
        <v>132</v>
      </c>
      <c r="D916" t="s">
        <v>16</v>
      </c>
      <c r="E916" t="s">
        <v>46</v>
      </c>
      <c r="F916">
        <v>141066.76999999999</v>
      </c>
      <c r="G916" t="s">
        <v>28</v>
      </c>
      <c r="H916" t="s">
        <v>81</v>
      </c>
      <c r="I916" t="s">
        <v>9</v>
      </c>
      <c r="L916" t="s">
        <v>161</v>
      </c>
      <c r="M916">
        <v>141066.76999999999</v>
      </c>
    </row>
    <row r="917" spans="1:13" x14ac:dyDescent="0.3">
      <c r="A917" s="23">
        <v>45091</v>
      </c>
      <c r="B917" t="s">
        <v>13</v>
      </c>
      <c r="C917" t="s">
        <v>132</v>
      </c>
      <c r="D917" t="s">
        <v>16</v>
      </c>
      <c r="E917" t="s">
        <v>41</v>
      </c>
      <c r="F917">
        <v>144787.84</v>
      </c>
      <c r="G917" t="s">
        <v>26</v>
      </c>
      <c r="H917" t="s">
        <v>81</v>
      </c>
      <c r="I917" t="s">
        <v>9</v>
      </c>
      <c r="J917" t="s">
        <v>155</v>
      </c>
      <c r="L917" t="s">
        <v>161</v>
      </c>
      <c r="M917">
        <v>144787.84</v>
      </c>
    </row>
    <row r="918" spans="1:13" x14ac:dyDescent="0.3">
      <c r="A918" s="23">
        <v>45425</v>
      </c>
      <c r="B918" t="s">
        <v>13</v>
      </c>
      <c r="C918" t="s">
        <v>132</v>
      </c>
      <c r="D918" t="s">
        <v>16</v>
      </c>
      <c r="E918" t="s">
        <v>46</v>
      </c>
      <c r="F918">
        <v>178000</v>
      </c>
      <c r="G918" t="s">
        <v>28</v>
      </c>
      <c r="H918" t="s">
        <v>81</v>
      </c>
      <c r="I918" t="s">
        <v>9</v>
      </c>
      <c r="L918" t="s">
        <v>161</v>
      </c>
      <c r="M918">
        <v>178000</v>
      </c>
    </row>
    <row r="919" spans="1:13" x14ac:dyDescent="0.3">
      <c r="A919" s="23">
        <v>45630</v>
      </c>
      <c r="B919" t="s">
        <v>13</v>
      </c>
      <c r="C919" t="s">
        <v>132</v>
      </c>
      <c r="D919" t="s">
        <v>16</v>
      </c>
      <c r="E919" t="s">
        <v>136</v>
      </c>
      <c r="F919">
        <v>184796</v>
      </c>
      <c r="G919" t="s">
        <v>134</v>
      </c>
      <c r="H919" t="s">
        <v>81</v>
      </c>
      <c r="I919" t="s">
        <v>9</v>
      </c>
      <c r="L919" t="s">
        <v>161</v>
      </c>
      <c r="M919">
        <v>184796</v>
      </c>
    </row>
    <row r="920" spans="1:13" x14ac:dyDescent="0.3">
      <c r="A920" s="23">
        <v>45233</v>
      </c>
      <c r="B920" t="s">
        <v>13</v>
      </c>
      <c r="C920" t="s">
        <v>132</v>
      </c>
      <c r="D920" t="s">
        <v>16</v>
      </c>
      <c r="E920" t="s">
        <v>162</v>
      </c>
      <c r="F920">
        <v>191555.72</v>
      </c>
      <c r="G920" t="s">
        <v>22</v>
      </c>
      <c r="H920" t="s">
        <v>81</v>
      </c>
      <c r="I920" t="s">
        <v>9</v>
      </c>
      <c r="L920" t="s">
        <v>161</v>
      </c>
      <c r="M920">
        <v>191555.72</v>
      </c>
    </row>
    <row r="921" spans="1:13" x14ac:dyDescent="0.3">
      <c r="A921" s="23">
        <v>45148</v>
      </c>
      <c r="B921" t="s">
        <v>13</v>
      </c>
      <c r="C921" t="s">
        <v>143</v>
      </c>
      <c r="D921" t="s">
        <v>16</v>
      </c>
      <c r="E921" t="s">
        <v>149</v>
      </c>
      <c r="F921">
        <v>197898.53</v>
      </c>
      <c r="G921" t="s">
        <v>140</v>
      </c>
      <c r="H921" t="s">
        <v>81</v>
      </c>
      <c r="I921" t="s">
        <v>9</v>
      </c>
      <c r="M921">
        <v>197898.53</v>
      </c>
    </row>
    <row r="922" spans="1:13" x14ac:dyDescent="0.3">
      <c r="A922" s="23">
        <v>45343</v>
      </c>
      <c r="B922" t="s">
        <v>13</v>
      </c>
      <c r="C922" t="s">
        <v>132</v>
      </c>
      <c r="D922" t="s">
        <v>16</v>
      </c>
      <c r="E922" t="s">
        <v>41</v>
      </c>
      <c r="F922">
        <v>200000</v>
      </c>
      <c r="G922" t="s">
        <v>26</v>
      </c>
      <c r="H922" t="s">
        <v>81</v>
      </c>
      <c r="I922" t="s">
        <v>9</v>
      </c>
      <c r="L922" t="s">
        <v>161</v>
      </c>
      <c r="M922">
        <v>200000</v>
      </c>
    </row>
    <row r="923" spans="1:13" x14ac:dyDescent="0.3">
      <c r="A923" s="23">
        <v>44582</v>
      </c>
      <c r="B923" t="s">
        <v>13</v>
      </c>
      <c r="C923" t="s">
        <v>132</v>
      </c>
      <c r="D923" t="s">
        <v>16</v>
      </c>
      <c r="E923" t="s">
        <v>48</v>
      </c>
      <c r="F923">
        <v>220131.36</v>
      </c>
      <c r="G923" t="s">
        <v>29</v>
      </c>
      <c r="H923" t="s">
        <v>81</v>
      </c>
      <c r="I923" t="s">
        <v>9</v>
      </c>
      <c r="L923" t="s">
        <v>161</v>
      </c>
      <c r="M923">
        <v>220131.36</v>
      </c>
    </row>
    <row r="924" spans="1:13" x14ac:dyDescent="0.3">
      <c r="A924" s="23">
        <v>45425</v>
      </c>
      <c r="B924" t="s">
        <v>13</v>
      </c>
      <c r="C924" t="s">
        <v>132</v>
      </c>
      <c r="D924" t="s">
        <v>16</v>
      </c>
      <c r="E924" t="s">
        <v>48</v>
      </c>
      <c r="F924">
        <v>249000</v>
      </c>
      <c r="G924" t="s">
        <v>29</v>
      </c>
      <c r="H924" t="s">
        <v>81</v>
      </c>
      <c r="I924" t="s">
        <v>9</v>
      </c>
      <c r="L924" t="s">
        <v>161</v>
      </c>
      <c r="M924">
        <v>249000</v>
      </c>
    </row>
    <row r="925" spans="1:13" x14ac:dyDescent="0.3">
      <c r="A925" s="23">
        <v>44592</v>
      </c>
      <c r="B925" t="s">
        <v>13</v>
      </c>
      <c r="C925" t="s">
        <v>132</v>
      </c>
      <c r="D925" t="s">
        <v>16</v>
      </c>
      <c r="E925" t="s">
        <v>41</v>
      </c>
      <c r="F925">
        <v>264197.51</v>
      </c>
      <c r="G925" t="s">
        <v>26</v>
      </c>
      <c r="H925" t="s">
        <v>81</v>
      </c>
      <c r="I925" t="s">
        <v>9</v>
      </c>
      <c r="L925" t="s">
        <v>161</v>
      </c>
      <c r="M925">
        <v>264197.51</v>
      </c>
    </row>
    <row r="926" spans="1:13" x14ac:dyDescent="0.3">
      <c r="A926" s="23">
        <v>45504</v>
      </c>
      <c r="B926" t="s">
        <v>13</v>
      </c>
      <c r="C926" t="s">
        <v>132</v>
      </c>
      <c r="D926" t="s">
        <v>16</v>
      </c>
      <c r="E926" t="s">
        <v>41</v>
      </c>
      <c r="F926">
        <v>277000</v>
      </c>
      <c r="G926" t="s">
        <v>26</v>
      </c>
      <c r="H926" t="s">
        <v>81</v>
      </c>
      <c r="I926" t="s">
        <v>9</v>
      </c>
      <c r="L926" t="s">
        <v>161</v>
      </c>
      <c r="M926">
        <v>277000</v>
      </c>
    </row>
    <row r="927" spans="1:13" x14ac:dyDescent="0.3">
      <c r="A927" s="23">
        <v>45674</v>
      </c>
      <c r="B927" t="s">
        <v>13</v>
      </c>
      <c r="C927" t="s">
        <v>132</v>
      </c>
      <c r="D927" t="s">
        <v>16</v>
      </c>
      <c r="E927" t="s">
        <v>169</v>
      </c>
      <c r="F927">
        <v>278834.01</v>
      </c>
      <c r="G927" t="s">
        <v>131</v>
      </c>
      <c r="H927" t="s">
        <v>81</v>
      </c>
      <c r="I927" t="s">
        <v>9</v>
      </c>
      <c r="L927" t="s">
        <v>161</v>
      </c>
      <c r="M927">
        <v>278834.01</v>
      </c>
    </row>
    <row r="928" spans="1:13" x14ac:dyDescent="0.3">
      <c r="A928" s="23">
        <v>44673</v>
      </c>
      <c r="B928" t="s">
        <v>13</v>
      </c>
      <c r="C928" t="s">
        <v>132</v>
      </c>
      <c r="D928" t="s">
        <v>16</v>
      </c>
      <c r="E928" t="s">
        <v>41</v>
      </c>
      <c r="F928">
        <v>300000</v>
      </c>
      <c r="G928" t="s">
        <v>26</v>
      </c>
      <c r="H928" t="s">
        <v>81</v>
      </c>
      <c r="I928" t="s">
        <v>9</v>
      </c>
      <c r="L928" t="s">
        <v>161</v>
      </c>
      <c r="M928">
        <v>300000</v>
      </c>
    </row>
    <row r="929" spans="1:13" x14ac:dyDescent="0.3">
      <c r="A929" s="23">
        <v>44742</v>
      </c>
      <c r="B929" t="s">
        <v>13</v>
      </c>
      <c r="C929" t="s">
        <v>132</v>
      </c>
      <c r="D929" t="s">
        <v>16</v>
      </c>
      <c r="E929" t="s">
        <v>41</v>
      </c>
      <c r="F929">
        <v>300000</v>
      </c>
      <c r="G929" t="s">
        <v>26</v>
      </c>
      <c r="H929" t="s">
        <v>81</v>
      </c>
      <c r="I929" t="s">
        <v>9</v>
      </c>
      <c r="L929" t="s">
        <v>161</v>
      </c>
      <c r="M929">
        <v>300000</v>
      </c>
    </row>
    <row r="930" spans="1:13" x14ac:dyDescent="0.3">
      <c r="A930" s="23">
        <v>45383</v>
      </c>
      <c r="B930" t="s">
        <v>13</v>
      </c>
      <c r="C930" t="s">
        <v>132</v>
      </c>
      <c r="D930" t="s">
        <v>16</v>
      </c>
      <c r="E930" t="s">
        <v>46</v>
      </c>
      <c r="F930">
        <v>300000</v>
      </c>
      <c r="G930" t="s">
        <v>28</v>
      </c>
      <c r="H930" t="s">
        <v>81</v>
      </c>
      <c r="I930" t="s">
        <v>9</v>
      </c>
      <c r="L930" t="s">
        <v>161</v>
      </c>
      <c r="M930">
        <v>300000</v>
      </c>
    </row>
    <row r="931" spans="1:13" x14ac:dyDescent="0.3">
      <c r="A931" s="23">
        <v>45439</v>
      </c>
      <c r="B931" t="s">
        <v>13</v>
      </c>
      <c r="C931" t="s">
        <v>132</v>
      </c>
      <c r="D931" t="s">
        <v>16</v>
      </c>
      <c r="E931" t="s">
        <v>48</v>
      </c>
      <c r="F931">
        <v>300000</v>
      </c>
      <c r="G931" t="s">
        <v>29</v>
      </c>
      <c r="H931" t="s">
        <v>81</v>
      </c>
      <c r="I931" t="s">
        <v>9</v>
      </c>
      <c r="L931" t="s">
        <v>161</v>
      </c>
      <c r="M931">
        <v>300000</v>
      </c>
    </row>
    <row r="932" spans="1:13" x14ac:dyDescent="0.3">
      <c r="A932" s="23">
        <v>44881</v>
      </c>
      <c r="B932" t="s">
        <v>13</v>
      </c>
      <c r="C932" t="s">
        <v>132</v>
      </c>
      <c r="D932" t="s">
        <v>16</v>
      </c>
      <c r="E932" t="s">
        <v>48</v>
      </c>
      <c r="F932">
        <v>300000</v>
      </c>
      <c r="G932" t="s">
        <v>29</v>
      </c>
      <c r="H932" t="s">
        <v>81</v>
      </c>
      <c r="I932" t="s">
        <v>9</v>
      </c>
      <c r="L932" t="s">
        <v>161</v>
      </c>
      <c r="M932">
        <v>300000</v>
      </c>
    </row>
    <row r="933" spans="1:13" x14ac:dyDescent="0.3">
      <c r="A933" s="23">
        <v>45180</v>
      </c>
      <c r="B933" t="s">
        <v>13</v>
      </c>
      <c r="C933" t="s">
        <v>143</v>
      </c>
      <c r="D933" t="s">
        <v>16</v>
      </c>
      <c r="E933" t="s">
        <v>149</v>
      </c>
      <c r="F933">
        <v>300246.12</v>
      </c>
      <c r="G933" t="s">
        <v>140</v>
      </c>
      <c r="H933" t="s">
        <v>81</v>
      </c>
      <c r="I933" t="s">
        <v>9</v>
      </c>
      <c r="M933">
        <v>300246.12</v>
      </c>
    </row>
    <row r="934" spans="1:13" x14ac:dyDescent="0.3">
      <c r="A934" s="23">
        <v>45713</v>
      </c>
      <c r="B934" t="s">
        <v>13</v>
      </c>
      <c r="C934" t="s">
        <v>132</v>
      </c>
      <c r="D934" t="s">
        <v>16</v>
      </c>
      <c r="E934" t="s">
        <v>48</v>
      </c>
      <c r="F934">
        <v>317215</v>
      </c>
      <c r="G934" t="s">
        <v>29</v>
      </c>
      <c r="H934" t="s">
        <v>81</v>
      </c>
      <c r="I934" t="s">
        <v>9</v>
      </c>
      <c r="L934" t="s">
        <v>161</v>
      </c>
      <c r="M934">
        <v>317215</v>
      </c>
    </row>
    <row r="935" spans="1:13" x14ac:dyDescent="0.3">
      <c r="A935" s="23">
        <v>44921</v>
      </c>
      <c r="B935" t="s">
        <v>13</v>
      </c>
      <c r="C935" t="s">
        <v>132</v>
      </c>
      <c r="D935" t="s">
        <v>16</v>
      </c>
      <c r="E935" t="s">
        <v>136</v>
      </c>
      <c r="F935">
        <v>321493.2</v>
      </c>
      <c r="G935" t="s">
        <v>134</v>
      </c>
      <c r="H935" t="s">
        <v>81</v>
      </c>
      <c r="I935" t="s">
        <v>9</v>
      </c>
      <c r="J935" t="s">
        <v>155</v>
      </c>
      <c r="L935" t="s">
        <v>161</v>
      </c>
      <c r="M935">
        <v>321493.2</v>
      </c>
    </row>
    <row r="936" spans="1:13" x14ac:dyDescent="0.3">
      <c r="A936" s="23">
        <v>45337</v>
      </c>
      <c r="B936" t="s">
        <v>13</v>
      </c>
      <c r="C936" t="s">
        <v>132</v>
      </c>
      <c r="D936" t="s">
        <v>16</v>
      </c>
      <c r="E936" t="s">
        <v>136</v>
      </c>
      <c r="F936">
        <v>321679.84999999998</v>
      </c>
      <c r="G936" t="s">
        <v>134</v>
      </c>
      <c r="H936" t="s">
        <v>81</v>
      </c>
      <c r="I936" t="s">
        <v>9</v>
      </c>
      <c r="L936" t="s">
        <v>161</v>
      </c>
      <c r="M936">
        <v>321679.84999999998</v>
      </c>
    </row>
    <row r="937" spans="1:13" x14ac:dyDescent="0.3">
      <c r="A937" s="23">
        <v>45713</v>
      </c>
      <c r="B937" t="s">
        <v>13</v>
      </c>
      <c r="C937" t="s">
        <v>132</v>
      </c>
      <c r="D937" t="s">
        <v>16</v>
      </c>
      <c r="E937" t="s">
        <v>46</v>
      </c>
      <c r="F937">
        <v>336764.83</v>
      </c>
      <c r="G937" t="s">
        <v>28</v>
      </c>
      <c r="H937" t="s">
        <v>81</v>
      </c>
      <c r="I937" t="s">
        <v>9</v>
      </c>
      <c r="L937" t="s">
        <v>161</v>
      </c>
      <c r="M937">
        <v>336764.83</v>
      </c>
    </row>
    <row r="938" spans="1:13" x14ac:dyDescent="0.3">
      <c r="A938" s="23">
        <v>45460</v>
      </c>
      <c r="B938" t="s">
        <v>13</v>
      </c>
      <c r="C938" t="s">
        <v>132</v>
      </c>
      <c r="D938" t="s">
        <v>16</v>
      </c>
      <c r="E938" t="s">
        <v>41</v>
      </c>
      <c r="F938">
        <v>350000</v>
      </c>
      <c r="G938" t="s">
        <v>26</v>
      </c>
      <c r="H938" t="s">
        <v>81</v>
      </c>
      <c r="I938" t="s">
        <v>9</v>
      </c>
      <c r="L938" t="s">
        <v>161</v>
      </c>
      <c r="M938">
        <v>350000</v>
      </c>
    </row>
    <row r="939" spans="1:13" x14ac:dyDescent="0.3">
      <c r="A939" s="23">
        <v>45343</v>
      </c>
      <c r="B939" t="s">
        <v>13</v>
      </c>
      <c r="C939" t="s">
        <v>132</v>
      </c>
      <c r="D939" t="s">
        <v>16</v>
      </c>
      <c r="E939" t="s">
        <v>46</v>
      </c>
      <c r="F939">
        <v>350000</v>
      </c>
      <c r="G939" t="s">
        <v>28</v>
      </c>
      <c r="H939" t="s">
        <v>81</v>
      </c>
      <c r="I939" t="s">
        <v>9</v>
      </c>
      <c r="L939" t="s">
        <v>161</v>
      </c>
      <c r="M939">
        <v>350000</v>
      </c>
    </row>
    <row r="940" spans="1:13" x14ac:dyDescent="0.3">
      <c r="A940" s="23">
        <v>44582</v>
      </c>
      <c r="B940" t="s">
        <v>13</v>
      </c>
      <c r="C940" t="s">
        <v>132</v>
      </c>
      <c r="D940" t="s">
        <v>16</v>
      </c>
      <c r="E940" t="s">
        <v>41</v>
      </c>
      <c r="F940">
        <v>374992.08</v>
      </c>
      <c r="G940" t="s">
        <v>26</v>
      </c>
      <c r="H940" t="s">
        <v>81</v>
      </c>
      <c r="I940" t="s">
        <v>9</v>
      </c>
      <c r="L940" t="s">
        <v>161</v>
      </c>
      <c r="M940">
        <v>374992.08</v>
      </c>
    </row>
    <row r="941" spans="1:13" x14ac:dyDescent="0.3">
      <c r="A941" s="23">
        <v>45383</v>
      </c>
      <c r="B941" t="s">
        <v>13</v>
      </c>
      <c r="C941" t="s">
        <v>132</v>
      </c>
      <c r="D941" t="s">
        <v>16</v>
      </c>
      <c r="E941" t="s">
        <v>48</v>
      </c>
      <c r="F941">
        <v>390000</v>
      </c>
      <c r="G941" t="s">
        <v>29</v>
      </c>
      <c r="H941" t="s">
        <v>81</v>
      </c>
      <c r="I941" t="s">
        <v>9</v>
      </c>
      <c r="L941" t="s">
        <v>161</v>
      </c>
      <c r="M941">
        <v>390000</v>
      </c>
    </row>
    <row r="942" spans="1:13" x14ac:dyDescent="0.3">
      <c r="A942" s="23">
        <v>45343</v>
      </c>
      <c r="B942" t="s">
        <v>13</v>
      </c>
      <c r="C942" t="s">
        <v>132</v>
      </c>
      <c r="D942" t="s">
        <v>16</v>
      </c>
      <c r="E942" t="s">
        <v>136</v>
      </c>
      <c r="F942">
        <v>400000</v>
      </c>
      <c r="G942" t="s">
        <v>134</v>
      </c>
      <c r="H942" t="s">
        <v>81</v>
      </c>
      <c r="I942" t="s">
        <v>9</v>
      </c>
      <c r="L942" t="s">
        <v>161</v>
      </c>
      <c r="M942">
        <v>400000</v>
      </c>
    </row>
    <row r="943" spans="1:13" x14ac:dyDescent="0.3">
      <c r="A943" s="23">
        <v>44568</v>
      </c>
      <c r="B943" t="s">
        <v>13</v>
      </c>
      <c r="C943" t="s">
        <v>132</v>
      </c>
      <c r="D943" t="s">
        <v>16</v>
      </c>
      <c r="E943" t="s">
        <v>41</v>
      </c>
      <c r="F943">
        <v>400000</v>
      </c>
      <c r="G943" t="s">
        <v>26</v>
      </c>
      <c r="H943" t="s">
        <v>81</v>
      </c>
      <c r="I943" t="s">
        <v>9</v>
      </c>
      <c r="L943" t="s">
        <v>161</v>
      </c>
      <c r="M943">
        <v>400000</v>
      </c>
    </row>
    <row r="944" spans="1:13" x14ac:dyDescent="0.3">
      <c r="A944" s="23">
        <v>45055</v>
      </c>
      <c r="B944" t="s">
        <v>13</v>
      </c>
      <c r="C944" t="s">
        <v>132</v>
      </c>
      <c r="D944" t="s">
        <v>16</v>
      </c>
      <c r="E944" t="s">
        <v>136</v>
      </c>
      <c r="F944">
        <v>409489.36</v>
      </c>
      <c r="G944" t="s">
        <v>134</v>
      </c>
      <c r="H944" t="s">
        <v>81</v>
      </c>
      <c r="I944" t="s">
        <v>9</v>
      </c>
      <c r="L944" t="s">
        <v>161</v>
      </c>
      <c r="M944">
        <v>409489.36</v>
      </c>
    </row>
    <row r="945" spans="1:13" x14ac:dyDescent="0.3">
      <c r="A945" s="23">
        <v>44704</v>
      </c>
      <c r="B945" t="s">
        <v>13</v>
      </c>
      <c r="C945" t="s">
        <v>132</v>
      </c>
      <c r="D945" t="s">
        <v>16</v>
      </c>
      <c r="E945" t="s">
        <v>139</v>
      </c>
      <c r="F945">
        <v>450000</v>
      </c>
      <c r="G945" t="s">
        <v>140</v>
      </c>
      <c r="H945" t="s">
        <v>81</v>
      </c>
      <c r="I945" t="s">
        <v>9</v>
      </c>
      <c r="L945" t="s">
        <v>161</v>
      </c>
      <c r="M945">
        <v>450000</v>
      </c>
    </row>
    <row r="946" spans="1:13" x14ac:dyDescent="0.3">
      <c r="A946" s="23">
        <v>45170</v>
      </c>
      <c r="B946" t="s">
        <v>13</v>
      </c>
      <c r="C946" t="s">
        <v>132</v>
      </c>
      <c r="D946" t="s">
        <v>16</v>
      </c>
      <c r="E946" t="s">
        <v>162</v>
      </c>
      <c r="F946">
        <v>451800.44</v>
      </c>
      <c r="G946" t="s">
        <v>22</v>
      </c>
      <c r="H946" t="s">
        <v>81</v>
      </c>
      <c r="I946" t="s">
        <v>9</v>
      </c>
      <c r="L946" t="s">
        <v>161</v>
      </c>
      <c r="M946">
        <v>451800.44</v>
      </c>
    </row>
    <row r="947" spans="1:13" x14ac:dyDescent="0.3">
      <c r="A947" s="23">
        <v>45538</v>
      </c>
      <c r="B947" t="s">
        <v>13</v>
      </c>
      <c r="C947" t="s">
        <v>132</v>
      </c>
      <c r="D947" t="s">
        <v>16</v>
      </c>
      <c r="E947" t="s">
        <v>46</v>
      </c>
      <c r="F947">
        <v>453000</v>
      </c>
      <c r="G947" t="s">
        <v>28</v>
      </c>
      <c r="H947" t="s">
        <v>81</v>
      </c>
      <c r="I947" t="s">
        <v>9</v>
      </c>
      <c r="L947" t="s">
        <v>161</v>
      </c>
      <c r="M947">
        <v>453000</v>
      </c>
    </row>
    <row r="948" spans="1:13" x14ac:dyDescent="0.3">
      <c r="A948" s="23">
        <v>45293</v>
      </c>
      <c r="B948" t="s">
        <v>13</v>
      </c>
      <c r="C948" t="s">
        <v>132</v>
      </c>
      <c r="D948" t="s">
        <v>16</v>
      </c>
      <c r="E948" t="s">
        <v>136</v>
      </c>
      <c r="F948">
        <v>490000</v>
      </c>
      <c r="G948" t="s">
        <v>134</v>
      </c>
      <c r="H948" t="s">
        <v>81</v>
      </c>
      <c r="I948" t="s">
        <v>9</v>
      </c>
      <c r="L948" t="s">
        <v>161</v>
      </c>
      <c r="M948">
        <v>490000</v>
      </c>
    </row>
    <row r="949" spans="1:13" x14ac:dyDescent="0.3">
      <c r="A949" s="23">
        <v>44620</v>
      </c>
      <c r="B949" t="s">
        <v>13</v>
      </c>
      <c r="C949" t="s">
        <v>132</v>
      </c>
      <c r="D949" t="s">
        <v>16</v>
      </c>
      <c r="E949" t="s">
        <v>41</v>
      </c>
      <c r="F949">
        <v>490961.67</v>
      </c>
      <c r="G949" t="s">
        <v>26</v>
      </c>
      <c r="H949" t="s">
        <v>81</v>
      </c>
      <c r="I949" t="s">
        <v>9</v>
      </c>
      <c r="L949" t="s">
        <v>161</v>
      </c>
      <c r="M949">
        <v>490961.67</v>
      </c>
    </row>
    <row r="950" spans="1:13" x14ac:dyDescent="0.3">
      <c r="A950" s="23">
        <v>44664</v>
      </c>
      <c r="B950" t="s">
        <v>13</v>
      </c>
      <c r="C950" t="s">
        <v>132</v>
      </c>
      <c r="D950" t="s">
        <v>16</v>
      </c>
      <c r="E950" t="s">
        <v>41</v>
      </c>
      <c r="F950">
        <v>500000</v>
      </c>
      <c r="G950" t="s">
        <v>26</v>
      </c>
      <c r="H950" t="s">
        <v>81</v>
      </c>
      <c r="I950" t="s">
        <v>9</v>
      </c>
      <c r="L950" t="s">
        <v>161</v>
      </c>
      <c r="M950">
        <v>500000</v>
      </c>
    </row>
    <row r="951" spans="1:13" x14ac:dyDescent="0.3">
      <c r="A951" s="23">
        <v>45735</v>
      </c>
      <c r="B951" t="s">
        <v>13</v>
      </c>
      <c r="C951" t="s">
        <v>132</v>
      </c>
      <c r="D951" t="s">
        <v>16</v>
      </c>
      <c r="E951" t="s">
        <v>48</v>
      </c>
      <c r="F951">
        <v>500000</v>
      </c>
      <c r="G951" t="s">
        <v>29</v>
      </c>
      <c r="H951" t="s">
        <v>81</v>
      </c>
      <c r="I951" t="s">
        <v>9</v>
      </c>
      <c r="L951" t="s">
        <v>161</v>
      </c>
      <c r="M951">
        <v>500000</v>
      </c>
    </row>
    <row r="952" spans="1:13" x14ac:dyDescent="0.3">
      <c r="A952" s="23">
        <v>44811</v>
      </c>
      <c r="B952" t="s">
        <v>13</v>
      </c>
      <c r="C952" t="s">
        <v>132</v>
      </c>
      <c r="D952" t="s">
        <v>16</v>
      </c>
      <c r="E952" t="s">
        <v>48</v>
      </c>
      <c r="F952">
        <v>500000</v>
      </c>
      <c r="G952" t="s">
        <v>29</v>
      </c>
      <c r="H952" t="s">
        <v>81</v>
      </c>
      <c r="I952" t="s">
        <v>9</v>
      </c>
      <c r="L952" t="s">
        <v>161</v>
      </c>
      <c r="M952">
        <v>500000</v>
      </c>
    </row>
    <row r="953" spans="1:13" x14ac:dyDescent="0.3">
      <c r="A953" s="23">
        <v>45460</v>
      </c>
      <c r="B953" t="s">
        <v>13</v>
      </c>
      <c r="C953" t="s">
        <v>132</v>
      </c>
      <c r="D953" t="s">
        <v>16</v>
      </c>
      <c r="E953" t="s">
        <v>46</v>
      </c>
      <c r="F953">
        <v>530000</v>
      </c>
      <c r="G953" t="s">
        <v>28</v>
      </c>
      <c r="H953" t="s">
        <v>81</v>
      </c>
      <c r="I953" t="s">
        <v>9</v>
      </c>
      <c r="L953" t="s">
        <v>161</v>
      </c>
      <c r="M953">
        <v>530000</v>
      </c>
    </row>
    <row r="954" spans="1:13" x14ac:dyDescent="0.3">
      <c r="A954" s="23">
        <v>45337</v>
      </c>
      <c r="B954" t="s">
        <v>13</v>
      </c>
      <c r="C954" t="s">
        <v>132</v>
      </c>
      <c r="D954" t="s">
        <v>16</v>
      </c>
      <c r="E954" t="s">
        <v>169</v>
      </c>
      <c r="F954">
        <v>600000</v>
      </c>
      <c r="G954" t="s">
        <v>131</v>
      </c>
      <c r="H954" t="s">
        <v>81</v>
      </c>
      <c r="I954" t="s">
        <v>9</v>
      </c>
      <c r="L954" t="s">
        <v>161</v>
      </c>
      <c r="M954">
        <v>600000</v>
      </c>
    </row>
    <row r="955" spans="1:13" x14ac:dyDescent="0.3">
      <c r="A955" s="23">
        <v>45565</v>
      </c>
      <c r="B955" t="s">
        <v>13</v>
      </c>
      <c r="C955" t="s">
        <v>132</v>
      </c>
      <c r="D955" t="s">
        <v>16</v>
      </c>
      <c r="E955" t="s">
        <v>48</v>
      </c>
      <c r="F955">
        <v>617000</v>
      </c>
      <c r="G955" t="s">
        <v>29</v>
      </c>
      <c r="H955" t="s">
        <v>81</v>
      </c>
      <c r="I955" t="s">
        <v>9</v>
      </c>
      <c r="L955" t="s">
        <v>161</v>
      </c>
      <c r="M955">
        <v>617000</v>
      </c>
    </row>
    <row r="956" spans="1:13" x14ac:dyDescent="0.3">
      <c r="A956" s="23">
        <v>45743</v>
      </c>
      <c r="B956" t="s">
        <v>13</v>
      </c>
      <c r="C956" t="s">
        <v>132</v>
      </c>
      <c r="D956" t="s">
        <v>16</v>
      </c>
      <c r="E956" t="s">
        <v>41</v>
      </c>
      <c r="F956">
        <v>617369</v>
      </c>
      <c r="G956" t="s">
        <v>26</v>
      </c>
      <c r="H956" t="s">
        <v>81</v>
      </c>
      <c r="I956" t="s">
        <v>9</v>
      </c>
      <c r="L956" t="s">
        <v>161</v>
      </c>
      <c r="M956">
        <v>617369</v>
      </c>
    </row>
    <row r="957" spans="1:13" x14ac:dyDescent="0.3">
      <c r="A957" s="23">
        <v>44596</v>
      </c>
      <c r="B957" t="s">
        <v>13</v>
      </c>
      <c r="C957" t="s">
        <v>132</v>
      </c>
      <c r="D957" t="s">
        <v>16</v>
      </c>
      <c r="E957" t="s">
        <v>41</v>
      </c>
      <c r="F957">
        <v>700000</v>
      </c>
      <c r="G957" t="s">
        <v>26</v>
      </c>
      <c r="H957" t="s">
        <v>81</v>
      </c>
      <c r="I957" t="s">
        <v>9</v>
      </c>
      <c r="L957" t="s">
        <v>161</v>
      </c>
      <c r="M957">
        <v>700000</v>
      </c>
    </row>
    <row r="958" spans="1:13" x14ac:dyDescent="0.3">
      <c r="A958" s="23">
        <v>45068</v>
      </c>
      <c r="B958" t="s">
        <v>13</v>
      </c>
      <c r="C958" t="s">
        <v>132</v>
      </c>
      <c r="D958" t="s">
        <v>16</v>
      </c>
      <c r="E958" t="s">
        <v>41</v>
      </c>
      <c r="F958">
        <v>700000</v>
      </c>
      <c r="G958" t="s">
        <v>26</v>
      </c>
      <c r="H958" t="s">
        <v>81</v>
      </c>
      <c r="I958" t="s">
        <v>9</v>
      </c>
      <c r="L958" t="s">
        <v>161</v>
      </c>
      <c r="M958">
        <v>700000</v>
      </c>
    </row>
    <row r="959" spans="1:13" x14ac:dyDescent="0.3">
      <c r="A959" s="23">
        <v>45259</v>
      </c>
      <c r="B959" t="s">
        <v>13</v>
      </c>
      <c r="C959" t="s">
        <v>132</v>
      </c>
      <c r="D959" t="s">
        <v>16</v>
      </c>
      <c r="E959" t="s">
        <v>48</v>
      </c>
      <c r="F959">
        <v>700000</v>
      </c>
      <c r="G959" t="s">
        <v>29</v>
      </c>
      <c r="H959" t="s">
        <v>81</v>
      </c>
      <c r="I959" t="s">
        <v>9</v>
      </c>
      <c r="L959" t="s">
        <v>161</v>
      </c>
      <c r="M959">
        <v>700000</v>
      </c>
    </row>
    <row r="960" spans="1:13" x14ac:dyDescent="0.3">
      <c r="A960" s="23">
        <v>45695</v>
      </c>
      <c r="B960" t="s">
        <v>13</v>
      </c>
      <c r="C960" t="s">
        <v>132</v>
      </c>
      <c r="D960" t="s">
        <v>16</v>
      </c>
      <c r="E960" t="s">
        <v>48</v>
      </c>
      <c r="F960">
        <v>740000</v>
      </c>
      <c r="G960" t="s">
        <v>29</v>
      </c>
      <c r="H960" t="s">
        <v>81</v>
      </c>
      <c r="I960" t="s">
        <v>9</v>
      </c>
      <c r="L960" t="s">
        <v>161</v>
      </c>
      <c r="M960">
        <v>740000</v>
      </c>
    </row>
    <row r="961" spans="1:13" x14ac:dyDescent="0.3">
      <c r="A961" s="23">
        <v>45726</v>
      </c>
      <c r="B961" t="s">
        <v>13</v>
      </c>
      <c r="C961" t="s">
        <v>132</v>
      </c>
      <c r="D961" t="s">
        <v>16</v>
      </c>
      <c r="E961" t="s">
        <v>41</v>
      </c>
      <c r="F961">
        <v>741892</v>
      </c>
      <c r="G961" t="s">
        <v>26</v>
      </c>
      <c r="H961" t="s">
        <v>81</v>
      </c>
      <c r="I961" t="s">
        <v>9</v>
      </c>
      <c r="L961" t="s">
        <v>161</v>
      </c>
      <c r="M961">
        <v>741892</v>
      </c>
    </row>
    <row r="962" spans="1:13" x14ac:dyDescent="0.3">
      <c r="A962" s="23">
        <v>45695</v>
      </c>
      <c r="B962" t="s">
        <v>13</v>
      </c>
      <c r="C962" t="s">
        <v>132</v>
      </c>
      <c r="D962" t="s">
        <v>16</v>
      </c>
      <c r="E962" t="s">
        <v>46</v>
      </c>
      <c r="F962">
        <v>790000</v>
      </c>
      <c r="G962" t="s">
        <v>28</v>
      </c>
      <c r="H962" t="s">
        <v>81</v>
      </c>
      <c r="I962" t="s">
        <v>9</v>
      </c>
      <c r="L962" t="s">
        <v>161</v>
      </c>
      <c r="M962">
        <v>790000</v>
      </c>
    </row>
    <row r="963" spans="1:13" x14ac:dyDescent="0.3">
      <c r="A963" s="23">
        <v>44678</v>
      </c>
      <c r="B963" t="s">
        <v>13</v>
      </c>
      <c r="C963" t="s">
        <v>132</v>
      </c>
      <c r="D963" t="s">
        <v>16</v>
      </c>
      <c r="E963" t="s">
        <v>41</v>
      </c>
      <c r="F963">
        <v>800000</v>
      </c>
      <c r="G963" t="s">
        <v>26</v>
      </c>
      <c r="H963" t="s">
        <v>81</v>
      </c>
      <c r="I963" t="s">
        <v>9</v>
      </c>
      <c r="L963" t="s">
        <v>161</v>
      </c>
      <c r="M963">
        <v>800000</v>
      </c>
    </row>
    <row r="964" spans="1:13" x14ac:dyDescent="0.3">
      <c r="A964" s="23">
        <v>44679</v>
      </c>
      <c r="B964" t="s">
        <v>13</v>
      </c>
      <c r="C964" t="s">
        <v>132</v>
      </c>
      <c r="D964" t="s">
        <v>16</v>
      </c>
      <c r="E964" t="s">
        <v>41</v>
      </c>
      <c r="F964">
        <v>800000</v>
      </c>
      <c r="G964" t="s">
        <v>26</v>
      </c>
      <c r="H964" t="s">
        <v>81</v>
      </c>
      <c r="I964" t="s">
        <v>9</v>
      </c>
      <c r="L964" t="s">
        <v>161</v>
      </c>
      <c r="M964">
        <v>800000</v>
      </c>
    </row>
    <row r="965" spans="1:13" x14ac:dyDescent="0.3">
      <c r="A965" s="23">
        <v>45008</v>
      </c>
      <c r="B965" t="s">
        <v>13</v>
      </c>
      <c r="C965" t="s">
        <v>132</v>
      </c>
      <c r="D965" t="s">
        <v>16</v>
      </c>
      <c r="E965" t="s">
        <v>41</v>
      </c>
      <c r="F965">
        <v>800000</v>
      </c>
      <c r="G965" t="s">
        <v>26</v>
      </c>
      <c r="H965" t="s">
        <v>81</v>
      </c>
      <c r="I965" t="s">
        <v>9</v>
      </c>
      <c r="L965" t="s">
        <v>161</v>
      </c>
      <c r="M965">
        <v>800000</v>
      </c>
    </row>
    <row r="966" spans="1:13" x14ac:dyDescent="0.3">
      <c r="A966" s="23">
        <v>45426</v>
      </c>
      <c r="B966" t="s">
        <v>13</v>
      </c>
      <c r="C966" t="s">
        <v>132</v>
      </c>
      <c r="D966" t="s">
        <v>16</v>
      </c>
      <c r="E966" t="s">
        <v>48</v>
      </c>
      <c r="F966">
        <v>800000</v>
      </c>
      <c r="G966" t="s">
        <v>29</v>
      </c>
      <c r="H966" t="s">
        <v>81</v>
      </c>
      <c r="I966" t="s">
        <v>9</v>
      </c>
      <c r="L966" t="s">
        <v>161</v>
      </c>
      <c r="M966">
        <v>800000</v>
      </c>
    </row>
    <row r="967" spans="1:13" x14ac:dyDescent="0.3">
      <c r="A967" s="23">
        <v>45349</v>
      </c>
      <c r="B967" t="s">
        <v>13</v>
      </c>
      <c r="C967" t="s">
        <v>132</v>
      </c>
      <c r="D967" t="s">
        <v>16</v>
      </c>
      <c r="E967" t="s">
        <v>48</v>
      </c>
      <c r="F967">
        <v>800000</v>
      </c>
      <c r="G967" t="s">
        <v>29</v>
      </c>
      <c r="H967" t="s">
        <v>81</v>
      </c>
      <c r="I967" t="s">
        <v>9</v>
      </c>
      <c r="L967" t="s">
        <v>161</v>
      </c>
      <c r="M967">
        <v>800000</v>
      </c>
    </row>
    <row r="968" spans="1:13" x14ac:dyDescent="0.3">
      <c r="A968" s="23">
        <v>45425</v>
      </c>
      <c r="B968" t="s">
        <v>13</v>
      </c>
      <c r="C968" t="s">
        <v>132</v>
      </c>
      <c r="D968" t="s">
        <v>16</v>
      </c>
      <c r="E968" t="s">
        <v>41</v>
      </c>
      <c r="F968">
        <v>831000</v>
      </c>
      <c r="G968" t="s">
        <v>26</v>
      </c>
      <c r="H968" t="s">
        <v>81</v>
      </c>
      <c r="I968" t="s">
        <v>9</v>
      </c>
      <c r="L968" t="s">
        <v>161</v>
      </c>
      <c r="M968">
        <v>831000</v>
      </c>
    </row>
    <row r="969" spans="1:13" x14ac:dyDescent="0.3">
      <c r="A969" s="23">
        <v>45156</v>
      </c>
      <c r="B969" t="s">
        <v>13</v>
      </c>
      <c r="C969" t="s">
        <v>132</v>
      </c>
      <c r="D969" t="s">
        <v>16</v>
      </c>
      <c r="E969" t="s">
        <v>136</v>
      </c>
      <c r="F969">
        <v>841881.86</v>
      </c>
      <c r="G969" t="s">
        <v>134</v>
      </c>
      <c r="H969" t="s">
        <v>81</v>
      </c>
      <c r="I969" t="s">
        <v>9</v>
      </c>
      <c r="L969" t="s">
        <v>161</v>
      </c>
      <c r="M969">
        <v>841881.86</v>
      </c>
    </row>
    <row r="970" spans="1:13" x14ac:dyDescent="0.3">
      <c r="A970" s="23">
        <v>45156</v>
      </c>
      <c r="B970" t="s">
        <v>13</v>
      </c>
      <c r="C970" t="s">
        <v>132</v>
      </c>
      <c r="D970" t="s">
        <v>16</v>
      </c>
      <c r="E970" t="s">
        <v>46</v>
      </c>
      <c r="F970">
        <v>841898.89</v>
      </c>
      <c r="G970" t="s">
        <v>28</v>
      </c>
      <c r="H970" t="s">
        <v>81</v>
      </c>
      <c r="I970" t="s">
        <v>9</v>
      </c>
      <c r="L970" t="s">
        <v>161</v>
      </c>
      <c r="M970">
        <v>841898.89</v>
      </c>
    </row>
    <row r="971" spans="1:13" x14ac:dyDescent="0.3">
      <c r="A971" s="23">
        <v>45407</v>
      </c>
      <c r="B971" t="s">
        <v>13</v>
      </c>
      <c r="C971" t="s">
        <v>132</v>
      </c>
      <c r="D971" t="s">
        <v>16</v>
      </c>
      <c r="E971" t="s">
        <v>48</v>
      </c>
      <c r="F971">
        <v>850000</v>
      </c>
      <c r="G971" t="s">
        <v>29</v>
      </c>
      <c r="H971" t="s">
        <v>81</v>
      </c>
      <c r="I971" t="s">
        <v>9</v>
      </c>
      <c r="L971" t="s">
        <v>161</v>
      </c>
      <c r="M971">
        <v>850000</v>
      </c>
    </row>
    <row r="972" spans="1:13" x14ac:dyDescent="0.3">
      <c r="A972" s="23">
        <v>44760</v>
      </c>
      <c r="B972" t="s">
        <v>13</v>
      </c>
      <c r="C972" t="s">
        <v>132</v>
      </c>
      <c r="D972" t="s">
        <v>16</v>
      </c>
      <c r="E972" t="s">
        <v>46</v>
      </c>
      <c r="F972">
        <v>866144.44</v>
      </c>
      <c r="G972" t="s">
        <v>28</v>
      </c>
      <c r="H972" t="s">
        <v>81</v>
      </c>
      <c r="I972" t="s">
        <v>9</v>
      </c>
      <c r="J972" t="s">
        <v>155</v>
      </c>
      <c r="L972" t="s">
        <v>161</v>
      </c>
      <c r="M972">
        <v>866144.44</v>
      </c>
    </row>
    <row r="973" spans="1:13" x14ac:dyDescent="0.3">
      <c r="A973" s="23">
        <v>45002</v>
      </c>
      <c r="B973" t="s">
        <v>13</v>
      </c>
      <c r="C973" t="s">
        <v>132</v>
      </c>
      <c r="D973" t="s">
        <v>16</v>
      </c>
      <c r="E973" t="s">
        <v>41</v>
      </c>
      <c r="F973">
        <v>900000</v>
      </c>
      <c r="G973" t="s">
        <v>26</v>
      </c>
      <c r="H973" t="s">
        <v>81</v>
      </c>
      <c r="I973" t="s">
        <v>9</v>
      </c>
      <c r="L973" t="s">
        <v>161</v>
      </c>
      <c r="M973">
        <v>900000</v>
      </c>
    </row>
    <row r="974" spans="1:13" x14ac:dyDescent="0.3">
      <c r="A974" s="23">
        <v>45323</v>
      </c>
      <c r="B974" t="s">
        <v>13</v>
      </c>
      <c r="C974" t="s">
        <v>132</v>
      </c>
      <c r="D974" t="s">
        <v>16</v>
      </c>
      <c r="E974" t="s">
        <v>46</v>
      </c>
      <c r="F974">
        <v>900000</v>
      </c>
      <c r="G974" t="s">
        <v>28</v>
      </c>
      <c r="H974" t="s">
        <v>81</v>
      </c>
      <c r="I974" t="s">
        <v>9</v>
      </c>
      <c r="L974" t="s">
        <v>161</v>
      </c>
      <c r="M974">
        <v>900000</v>
      </c>
    </row>
    <row r="975" spans="1:13" x14ac:dyDescent="0.3">
      <c r="A975" s="23">
        <v>45246</v>
      </c>
      <c r="B975" t="s">
        <v>13</v>
      </c>
      <c r="C975" t="s">
        <v>132</v>
      </c>
      <c r="D975" t="s">
        <v>16</v>
      </c>
      <c r="E975" t="s">
        <v>46</v>
      </c>
      <c r="F975">
        <v>900031.55</v>
      </c>
      <c r="G975" t="s">
        <v>28</v>
      </c>
      <c r="H975" t="s">
        <v>81</v>
      </c>
      <c r="I975" t="s">
        <v>9</v>
      </c>
      <c r="L975" t="s">
        <v>161</v>
      </c>
      <c r="M975">
        <v>900031.55</v>
      </c>
    </row>
    <row r="976" spans="1:13" x14ac:dyDescent="0.3">
      <c r="A976" s="23">
        <v>45349</v>
      </c>
      <c r="B976" t="s">
        <v>13</v>
      </c>
      <c r="C976" t="s">
        <v>132</v>
      </c>
      <c r="D976" t="s">
        <v>16</v>
      </c>
      <c r="E976" t="s">
        <v>136</v>
      </c>
      <c r="F976">
        <v>1000000</v>
      </c>
      <c r="G976" t="s">
        <v>134</v>
      </c>
      <c r="H976" t="s">
        <v>81</v>
      </c>
      <c r="I976" t="s">
        <v>9</v>
      </c>
      <c r="L976" t="s">
        <v>161</v>
      </c>
      <c r="M976">
        <v>1000000</v>
      </c>
    </row>
    <row r="977" spans="1:13" x14ac:dyDescent="0.3">
      <c r="A977" s="23">
        <v>44761</v>
      </c>
      <c r="B977" t="s">
        <v>13</v>
      </c>
      <c r="C977" t="s">
        <v>132</v>
      </c>
      <c r="D977" t="s">
        <v>16</v>
      </c>
      <c r="E977" t="s">
        <v>41</v>
      </c>
      <c r="F977">
        <v>1000000</v>
      </c>
      <c r="G977" t="s">
        <v>26</v>
      </c>
      <c r="H977" t="s">
        <v>81</v>
      </c>
      <c r="I977" t="s">
        <v>9</v>
      </c>
      <c r="L977" t="s">
        <v>161</v>
      </c>
      <c r="M977">
        <v>1000000</v>
      </c>
    </row>
    <row r="978" spans="1:13" x14ac:dyDescent="0.3">
      <c r="A978" s="23">
        <v>44839</v>
      </c>
      <c r="B978" t="s">
        <v>13</v>
      </c>
      <c r="C978" t="s">
        <v>132</v>
      </c>
      <c r="D978" t="s">
        <v>16</v>
      </c>
      <c r="E978" t="s">
        <v>41</v>
      </c>
      <c r="F978">
        <v>1000000</v>
      </c>
      <c r="G978" t="s">
        <v>26</v>
      </c>
      <c r="H978" t="s">
        <v>81</v>
      </c>
      <c r="I978" t="s">
        <v>9</v>
      </c>
      <c r="L978" t="s">
        <v>161</v>
      </c>
      <c r="M978">
        <v>1000000</v>
      </c>
    </row>
    <row r="979" spans="1:13" x14ac:dyDescent="0.3">
      <c r="A979" s="23">
        <v>44965</v>
      </c>
      <c r="B979" t="s">
        <v>13</v>
      </c>
      <c r="C979" t="s">
        <v>132</v>
      </c>
      <c r="D979" t="s">
        <v>16</v>
      </c>
      <c r="E979" t="s">
        <v>46</v>
      </c>
      <c r="F979">
        <v>1000000</v>
      </c>
      <c r="G979" t="s">
        <v>28</v>
      </c>
      <c r="H979" t="s">
        <v>81</v>
      </c>
      <c r="I979" t="s">
        <v>9</v>
      </c>
      <c r="L979" t="s">
        <v>161</v>
      </c>
      <c r="M979">
        <v>1000000</v>
      </c>
    </row>
    <row r="980" spans="1:13" x14ac:dyDescent="0.3">
      <c r="A980" s="23">
        <v>44928</v>
      </c>
      <c r="B980" t="s">
        <v>13</v>
      </c>
      <c r="C980" t="s">
        <v>132</v>
      </c>
      <c r="D980" t="s">
        <v>16</v>
      </c>
      <c r="E980" t="s">
        <v>48</v>
      </c>
      <c r="F980">
        <v>1000000</v>
      </c>
      <c r="G980" t="s">
        <v>29</v>
      </c>
      <c r="H980" t="s">
        <v>81</v>
      </c>
      <c r="I980" t="s">
        <v>9</v>
      </c>
      <c r="L980" t="s">
        <v>161</v>
      </c>
      <c r="M980">
        <v>1000000</v>
      </c>
    </row>
    <row r="981" spans="1:13" x14ac:dyDescent="0.3">
      <c r="A981" s="23">
        <v>44932</v>
      </c>
      <c r="B981" t="s">
        <v>13</v>
      </c>
      <c r="C981" t="s">
        <v>132</v>
      </c>
      <c r="D981" t="s">
        <v>16</v>
      </c>
      <c r="E981" t="s">
        <v>48</v>
      </c>
      <c r="F981">
        <v>1000000</v>
      </c>
      <c r="G981" t="s">
        <v>29</v>
      </c>
      <c r="H981" t="s">
        <v>81</v>
      </c>
      <c r="I981" t="s">
        <v>9</v>
      </c>
      <c r="L981" t="s">
        <v>161</v>
      </c>
      <c r="M981">
        <v>1000000</v>
      </c>
    </row>
    <row r="982" spans="1:13" x14ac:dyDescent="0.3">
      <c r="A982" s="23">
        <v>45331</v>
      </c>
      <c r="B982" t="s">
        <v>13</v>
      </c>
      <c r="C982" t="s">
        <v>132</v>
      </c>
      <c r="D982" t="s">
        <v>16</v>
      </c>
      <c r="E982" t="s">
        <v>180</v>
      </c>
      <c r="F982">
        <v>1000000</v>
      </c>
      <c r="G982" t="s">
        <v>181</v>
      </c>
      <c r="H982" t="s">
        <v>81</v>
      </c>
      <c r="I982" t="s">
        <v>9</v>
      </c>
      <c r="L982" t="s">
        <v>161</v>
      </c>
      <c r="M982">
        <v>1000000</v>
      </c>
    </row>
    <row r="983" spans="1:13" x14ac:dyDescent="0.3">
      <c r="A983" s="23">
        <v>45743</v>
      </c>
      <c r="B983" t="s">
        <v>13</v>
      </c>
      <c r="C983" t="s">
        <v>132</v>
      </c>
      <c r="D983" t="s">
        <v>16</v>
      </c>
      <c r="E983" t="s">
        <v>195</v>
      </c>
      <c r="F983">
        <v>1022457</v>
      </c>
      <c r="G983" t="s">
        <v>134</v>
      </c>
      <c r="H983" t="s">
        <v>81</v>
      </c>
      <c r="I983" t="s">
        <v>9</v>
      </c>
      <c r="L983" t="s">
        <v>161</v>
      </c>
      <c r="M983">
        <v>1022457</v>
      </c>
    </row>
    <row r="984" spans="1:13" x14ac:dyDescent="0.3">
      <c r="A984" s="23">
        <v>45630</v>
      </c>
      <c r="B984" t="s">
        <v>13</v>
      </c>
      <c r="C984" t="s">
        <v>132</v>
      </c>
      <c r="D984" t="s">
        <v>16</v>
      </c>
      <c r="E984" t="s">
        <v>206</v>
      </c>
      <c r="F984">
        <v>1024878</v>
      </c>
      <c r="G984" t="s">
        <v>207</v>
      </c>
      <c r="H984" t="s">
        <v>81</v>
      </c>
      <c r="I984" t="s">
        <v>9</v>
      </c>
      <c r="L984" t="s">
        <v>161</v>
      </c>
      <c r="M984">
        <v>1024878</v>
      </c>
    </row>
    <row r="985" spans="1:13" x14ac:dyDescent="0.3">
      <c r="A985" s="23">
        <v>45327</v>
      </c>
      <c r="B985" t="s">
        <v>13</v>
      </c>
      <c r="C985" t="s">
        <v>143</v>
      </c>
      <c r="D985" t="s">
        <v>16</v>
      </c>
      <c r="E985" t="s">
        <v>149</v>
      </c>
      <c r="F985">
        <v>1028000</v>
      </c>
      <c r="G985" t="s">
        <v>140</v>
      </c>
      <c r="H985" t="s">
        <v>81</v>
      </c>
      <c r="I985" t="s">
        <v>9</v>
      </c>
      <c r="M985">
        <v>1028000</v>
      </c>
    </row>
    <row r="986" spans="1:13" x14ac:dyDescent="0.3">
      <c r="A986" s="23">
        <v>45184</v>
      </c>
      <c r="B986" t="s">
        <v>13</v>
      </c>
      <c r="C986" t="s">
        <v>132</v>
      </c>
      <c r="D986" t="s">
        <v>16</v>
      </c>
      <c r="E986" t="s">
        <v>46</v>
      </c>
      <c r="F986">
        <v>1036009.01</v>
      </c>
      <c r="G986" t="s">
        <v>28</v>
      </c>
      <c r="H986" t="s">
        <v>81</v>
      </c>
      <c r="I986" t="s">
        <v>9</v>
      </c>
      <c r="L986" t="s">
        <v>161</v>
      </c>
      <c r="M986">
        <v>1036009.01</v>
      </c>
    </row>
    <row r="987" spans="1:13" x14ac:dyDescent="0.3">
      <c r="A987" s="23">
        <v>45184</v>
      </c>
      <c r="B987" t="s">
        <v>13</v>
      </c>
      <c r="C987" t="s">
        <v>132</v>
      </c>
      <c r="D987" t="s">
        <v>16</v>
      </c>
      <c r="E987" t="s">
        <v>162</v>
      </c>
      <c r="F987">
        <v>1052348.3799999999</v>
      </c>
      <c r="G987" t="s">
        <v>22</v>
      </c>
      <c r="H987" t="s">
        <v>81</v>
      </c>
      <c r="I987" t="s">
        <v>9</v>
      </c>
      <c r="L987" t="s">
        <v>161</v>
      </c>
      <c r="M987">
        <v>1052348.3799999999</v>
      </c>
    </row>
    <row r="988" spans="1:13" x14ac:dyDescent="0.3">
      <c r="A988" s="23">
        <v>45425</v>
      </c>
      <c r="B988" t="s">
        <v>13</v>
      </c>
      <c r="C988" t="s">
        <v>132</v>
      </c>
      <c r="D988" t="s">
        <v>16</v>
      </c>
      <c r="E988" t="s">
        <v>180</v>
      </c>
      <c r="F988">
        <v>1064000</v>
      </c>
      <c r="G988" t="s">
        <v>181</v>
      </c>
      <c r="H988" t="s">
        <v>81</v>
      </c>
      <c r="I988" t="s">
        <v>9</v>
      </c>
      <c r="L988" t="s">
        <v>161</v>
      </c>
      <c r="M988">
        <v>1064000</v>
      </c>
    </row>
    <row r="989" spans="1:13" x14ac:dyDescent="0.3">
      <c r="A989" s="23">
        <v>45218</v>
      </c>
      <c r="B989" t="s">
        <v>13</v>
      </c>
      <c r="C989" t="s">
        <v>143</v>
      </c>
      <c r="D989" t="s">
        <v>16</v>
      </c>
      <c r="E989" t="s">
        <v>149</v>
      </c>
      <c r="F989">
        <v>1068110</v>
      </c>
      <c r="G989" t="s">
        <v>140</v>
      </c>
      <c r="H989" t="s">
        <v>81</v>
      </c>
      <c r="I989" t="s">
        <v>9</v>
      </c>
      <c r="M989">
        <v>1068110</v>
      </c>
    </row>
    <row r="990" spans="1:13" x14ac:dyDescent="0.3">
      <c r="A990" s="23">
        <v>45343</v>
      </c>
      <c r="B990" t="s">
        <v>13</v>
      </c>
      <c r="C990" t="s">
        <v>132</v>
      </c>
      <c r="D990" t="s">
        <v>16</v>
      </c>
      <c r="E990" t="s">
        <v>180</v>
      </c>
      <c r="F990">
        <v>1092357.22</v>
      </c>
      <c r="G990" t="s">
        <v>181</v>
      </c>
      <c r="H990" t="s">
        <v>81</v>
      </c>
      <c r="I990" t="s">
        <v>9</v>
      </c>
      <c r="L990" t="s">
        <v>161</v>
      </c>
      <c r="M990">
        <v>1092357.22</v>
      </c>
    </row>
    <row r="991" spans="1:13" x14ac:dyDescent="0.3">
      <c r="A991" s="23">
        <v>44588</v>
      </c>
      <c r="B991" t="s">
        <v>13</v>
      </c>
      <c r="C991" t="s">
        <v>132</v>
      </c>
      <c r="D991" t="s">
        <v>16</v>
      </c>
      <c r="E991" t="s">
        <v>41</v>
      </c>
      <c r="F991">
        <v>1100000</v>
      </c>
      <c r="G991" t="s">
        <v>26</v>
      </c>
      <c r="H991" t="s">
        <v>81</v>
      </c>
      <c r="I991" t="s">
        <v>9</v>
      </c>
      <c r="L991" t="s">
        <v>161</v>
      </c>
      <c r="M991">
        <v>1100000</v>
      </c>
    </row>
    <row r="992" spans="1:13" x14ac:dyDescent="0.3">
      <c r="A992" s="23">
        <v>44760</v>
      </c>
      <c r="B992" t="s">
        <v>13</v>
      </c>
      <c r="C992" t="s">
        <v>132</v>
      </c>
      <c r="D992" t="s">
        <v>16</v>
      </c>
      <c r="E992" t="s">
        <v>41</v>
      </c>
      <c r="F992">
        <v>1123432.8600000001</v>
      </c>
      <c r="G992" t="s">
        <v>26</v>
      </c>
      <c r="H992" t="s">
        <v>81</v>
      </c>
      <c r="I992" t="s">
        <v>9</v>
      </c>
      <c r="J992" t="s">
        <v>155</v>
      </c>
      <c r="L992" t="s">
        <v>161</v>
      </c>
      <c r="M992">
        <v>1123432.8600000001</v>
      </c>
    </row>
    <row r="993" spans="1:13" x14ac:dyDescent="0.3">
      <c r="A993" s="23">
        <v>45695</v>
      </c>
      <c r="B993" t="s">
        <v>13</v>
      </c>
      <c r="C993" t="s">
        <v>132</v>
      </c>
      <c r="D993" t="s">
        <v>16</v>
      </c>
      <c r="E993" t="s">
        <v>204</v>
      </c>
      <c r="F993">
        <v>1140000</v>
      </c>
      <c r="G993" t="s">
        <v>205</v>
      </c>
      <c r="H993" t="s">
        <v>81</v>
      </c>
      <c r="I993" t="s">
        <v>9</v>
      </c>
      <c r="L993" t="s">
        <v>161</v>
      </c>
      <c r="M993">
        <v>1140000</v>
      </c>
    </row>
    <row r="994" spans="1:13" x14ac:dyDescent="0.3">
      <c r="A994" s="23">
        <v>44921</v>
      </c>
      <c r="B994" t="s">
        <v>13</v>
      </c>
      <c r="C994" t="s">
        <v>132</v>
      </c>
      <c r="D994" t="s">
        <v>16</v>
      </c>
      <c r="E994" t="s">
        <v>48</v>
      </c>
      <c r="F994">
        <v>1161088</v>
      </c>
      <c r="G994" t="s">
        <v>29</v>
      </c>
      <c r="H994" t="s">
        <v>81</v>
      </c>
      <c r="I994" t="s">
        <v>9</v>
      </c>
      <c r="J994" t="s">
        <v>155</v>
      </c>
      <c r="L994" t="s">
        <v>161</v>
      </c>
      <c r="M994">
        <v>1161088</v>
      </c>
    </row>
    <row r="995" spans="1:13" x14ac:dyDescent="0.3">
      <c r="A995" s="23">
        <v>45140</v>
      </c>
      <c r="B995" t="s">
        <v>13</v>
      </c>
      <c r="C995" t="s">
        <v>132</v>
      </c>
      <c r="D995" t="s">
        <v>16</v>
      </c>
      <c r="E995" t="s">
        <v>41</v>
      </c>
      <c r="F995">
        <v>1200000</v>
      </c>
      <c r="G995" t="s">
        <v>26</v>
      </c>
      <c r="H995" t="s">
        <v>81</v>
      </c>
      <c r="I995" t="s">
        <v>9</v>
      </c>
      <c r="L995" t="s">
        <v>161</v>
      </c>
      <c r="M995">
        <v>1200000</v>
      </c>
    </row>
    <row r="996" spans="1:13" x14ac:dyDescent="0.3">
      <c r="A996" s="23">
        <v>45191</v>
      </c>
      <c r="B996" t="s">
        <v>13</v>
      </c>
      <c r="C996" t="s">
        <v>143</v>
      </c>
      <c r="D996" t="s">
        <v>16</v>
      </c>
      <c r="E996" t="s">
        <v>149</v>
      </c>
      <c r="F996">
        <v>1221369.27</v>
      </c>
      <c r="G996" t="s">
        <v>140</v>
      </c>
      <c r="H996" t="s">
        <v>81</v>
      </c>
      <c r="I996" t="s">
        <v>9</v>
      </c>
      <c r="M996">
        <v>1221369.27</v>
      </c>
    </row>
    <row r="997" spans="1:13" x14ac:dyDescent="0.3">
      <c r="A997" s="23">
        <v>45184</v>
      </c>
      <c r="B997" t="s">
        <v>13</v>
      </c>
      <c r="C997" t="s">
        <v>132</v>
      </c>
      <c r="D997" t="s">
        <v>16</v>
      </c>
      <c r="E997" t="s">
        <v>136</v>
      </c>
      <c r="F997">
        <v>1222003.67</v>
      </c>
      <c r="G997" t="s">
        <v>134</v>
      </c>
      <c r="H997" t="s">
        <v>81</v>
      </c>
      <c r="I997" t="s">
        <v>9</v>
      </c>
      <c r="L997" t="s">
        <v>161</v>
      </c>
      <c r="M997">
        <v>1222003.67</v>
      </c>
    </row>
    <row r="998" spans="1:13" x14ac:dyDescent="0.3">
      <c r="A998" s="23">
        <v>45173</v>
      </c>
      <c r="B998" t="s">
        <v>13</v>
      </c>
      <c r="C998" t="s">
        <v>143</v>
      </c>
      <c r="D998" t="s">
        <v>16</v>
      </c>
      <c r="E998" t="s">
        <v>149</v>
      </c>
      <c r="F998">
        <v>1249005.93</v>
      </c>
      <c r="G998" t="s">
        <v>140</v>
      </c>
      <c r="H998" t="s">
        <v>81</v>
      </c>
      <c r="I998" t="s">
        <v>9</v>
      </c>
      <c r="M998">
        <v>1249005.93</v>
      </c>
    </row>
    <row r="999" spans="1:13" x14ac:dyDescent="0.3">
      <c r="A999" s="23">
        <v>45177</v>
      </c>
      <c r="B999" t="s">
        <v>13</v>
      </c>
      <c r="C999" t="s">
        <v>132</v>
      </c>
      <c r="D999" t="s">
        <v>16</v>
      </c>
      <c r="E999" t="s">
        <v>162</v>
      </c>
      <c r="F999">
        <v>1264122.08</v>
      </c>
      <c r="G999" t="s">
        <v>22</v>
      </c>
      <c r="H999" t="s">
        <v>81</v>
      </c>
      <c r="I999" t="s">
        <v>9</v>
      </c>
      <c r="L999" t="s">
        <v>161</v>
      </c>
      <c r="M999">
        <v>1264122.08</v>
      </c>
    </row>
    <row r="1000" spans="1:13" x14ac:dyDescent="0.3">
      <c r="A1000" s="23">
        <v>44630</v>
      </c>
      <c r="B1000" t="s">
        <v>13</v>
      </c>
      <c r="C1000" t="s">
        <v>132</v>
      </c>
      <c r="D1000" t="s">
        <v>16</v>
      </c>
      <c r="E1000" t="s">
        <v>41</v>
      </c>
      <c r="F1000">
        <v>1300000</v>
      </c>
      <c r="G1000" t="s">
        <v>26</v>
      </c>
      <c r="H1000" t="s">
        <v>81</v>
      </c>
      <c r="I1000" t="s">
        <v>9</v>
      </c>
      <c r="L1000" t="s">
        <v>161</v>
      </c>
      <c r="M1000">
        <v>1300000</v>
      </c>
    </row>
    <row r="1001" spans="1:13" x14ac:dyDescent="0.3">
      <c r="A1001" s="23">
        <v>44670</v>
      </c>
      <c r="B1001" t="s">
        <v>13</v>
      </c>
      <c r="C1001" t="s">
        <v>132</v>
      </c>
      <c r="D1001" t="s">
        <v>16</v>
      </c>
      <c r="E1001" t="s">
        <v>41</v>
      </c>
      <c r="F1001">
        <v>1300000</v>
      </c>
      <c r="G1001" t="s">
        <v>26</v>
      </c>
      <c r="H1001" t="s">
        <v>81</v>
      </c>
      <c r="I1001" t="s">
        <v>9</v>
      </c>
      <c r="L1001" t="s">
        <v>161</v>
      </c>
      <c r="M1001">
        <v>1300000</v>
      </c>
    </row>
    <row r="1002" spans="1:13" x14ac:dyDescent="0.3">
      <c r="A1002" s="23">
        <v>45533</v>
      </c>
      <c r="B1002" t="s">
        <v>13</v>
      </c>
      <c r="C1002" t="s">
        <v>132</v>
      </c>
      <c r="D1002" t="s">
        <v>16</v>
      </c>
      <c r="E1002" t="s">
        <v>41</v>
      </c>
      <c r="F1002">
        <v>1300000</v>
      </c>
      <c r="G1002" t="s">
        <v>26</v>
      </c>
      <c r="H1002" t="s">
        <v>81</v>
      </c>
      <c r="I1002" t="s">
        <v>9</v>
      </c>
      <c r="L1002" t="s">
        <v>161</v>
      </c>
      <c r="M1002">
        <v>1300000</v>
      </c>
    </row>
    <row r="1003" spans="1:13" x14ac:dyDescent="0.3">
      <c r="A1003" s="23">
        <v>44922</v>
      </c>
      <c r="B1003" t="s">
        <v>13</v>
      </c>
      <c r="C1003" t="s">
        <v>132</v>
      </c>
      <c r="D1003" t="s">
        <v>16</v>
      </c>
      <c r="E1003" t="s">
        <v>41</v>
      </c>
      <c r="F1003">
        <v>1300000</v>
      </c>
      <c r="G1003" t="s">
        <v>26</v>
      </c>
      <c r="H1003" t="s">
        <v>81</v>
      </c>
      <c r="I1003" t="s">
        <v>9</v>
      </c>
      <c r="L1003" t="s">
        <v>161</v>
      </c>
      <c r="M1003">
        <v>1300000</v>
      </c>
    </row>
    <row r="1004" spans="1:13" x14ac:dyDescent="0.3">
      <c r="A1004" s="23">
        <v>45565</v>
      </c>
      <c r="B1004" t="s">
        <v>13</v>
      </c>
      <c r="C1004" t="s">
        <v>132</v>
      </c>
      <c r="D1004" t="s">
        <v>16</v>
      </c>
      <c r="E1004" t="s">
        <v>169</v>
      </c>
      <c r="F1004">
        <v>1330000</v>
      </c>
      <c r="G1004" t="s">
        <v>131</v>
      </c>
      <c r="H1004" t="s">
        <v>81</v>
      </c>
      <c r="I1004" t="s">
        <v>9</v>
      </c>
      <c r="L1004" t="s">
        <v>161</v>
      </c>
      <c r="M1004">
        <v>1330000</v>
      </c>
    </row>
    <row r="1005" spans="1:13" x14ac:dyDescent="0.3">
      <c r="A1005" s="23">
        <v>45407</v>
      </c>
      <c r="B1005" t="s">
        <v>13</v>
      </c>
      <c r="C1005" t="s">
        <v>132</v>
      </c>
      <c r="D1005" t="s">
        <v>16</v>
      </c>
      <c r="E1005" t="s">
        <v>46</v>
      </c>
      <c r="F1005">
        <v>1350000</v>
      </c>
      <c r="G1005" t="s">
        <v>28</v>
      </c>
      <c r="H1005" t="s">
        <v>81</v>
      </c>
      <c r="I1005" t="s">
        <v>9</v>
      </c>
      <c r="L1005" t="s">
        <v>161</v>
      </c>
      <c r="M1005">
        <v>1350000</v>
      </c>
    </row>
    <row r="1006" spans="1:13" x14ac:dyDescent="0.3">
      <c r="A1006" s="23">
        <v>45674</v>
      </c>
      <c r="B1006" t="s">
        <v>13</v>
      </c>
      <c r="C1006" t="s">
        <v>132</v>
      </c>
      <c r="D1006" t="s">
        <v>16</v>
      </c>
      <c r="E1006" t="s">
        <v>48</v>
      </c>
      <c r="F1006">
        <v>1360615</v>
      </c>
      <c r="G1006" t="s">
        <v>29</v>
      </c>
      <c r="H1006" t="s">
        <v>81</v>
      </c>
      <c r="I1006" t="s">
        <v>9</v>
      </c>
      <c r="L1006" t="s">
        <v>161</v>
      </c>
      <c r="M1006">
        <v>1360615</v>
      </c>
    </row>
    <row r="1007" spans="1:13" x14ac:dyDescent="0.3">
      <c r="A1007" s="23">
        <v>44803</v>
      </c>
      <c r="B1007" t="s">
        <v>13</v>
      </c>
      <c r="C1007" t="s">
        <v>132</v>
      </c>
      <c r="D1007" t="s">
        <v>16</v>
      </c>
      <c r="E1007" t="s">
        <v>48</v>
      </c>
      <c r="F1007">
        <v>1394691.43</v>
      </c>
      <c r="G1007" t="s">
        <v>29</v>
      </c>
      <c r="H1007" t="s">
        <v>81</v>
      </c>
      <c r="I1007" t="s">
        <v>9</v>
      </c>
      <c r="L1007" t="s">
        <v>161</v>
      </c>
      <c r="M1007">
        <v>1394691.43</v>
      </c>
    </row>
    <row r="1008" spans="1:13" x14ac:dyDescent="0.3">
      <c r="A1008" s="23">
        <v>44594</v>
      </c>
      <c r="B1008" t="s">
        <v>13</v>
      </c>
      <c r="C1008" t="s">
        <v>132</v>
      </c>
      <c r="D1008" t="s">
        <v>16</v>
      </c>
      <c r="E1008" t="s">
        <v>41</v>
      </c>
      <c r="F1008">
        <v>1400000</v>
      </c>
      <c r="G1008" t="s">
        <v>26</v>
      </c>
      <c r="H1008" t="s">
        <v>81</v>
      </c>
      <c r="I1008" t="s">
        <v>9</v>
      </c>
      <c r="L1008" t="s">
        <v>161</v>
      </c>
      <c r="M1008">
        <v>1400000</v>
      </c>
    </row>
    <row r="1009" spans="1:13" x14ac:dyDescent="0.3">
      <c r="A1009" s="23">
        <v>45055</v>
      </c>
      <c r="B1009" t="s">
        <v>13</v>
      </c>
      <c r="C1009" t="s">
        <v>132</v>
      </c>
      <c r="D1009" t="s">
        <v>16</v>
      </c>
      <c r="E1009" t="s">
        <v>41</v>
      </c>
      <c r="F1009">
        <v>1400000</v>
      </c>
      <c r="G1009" t="s">
        <v>26</v>
      </c>
      <c r="H1009" t="s">
        <v>81</v>
      </c>
      <c r="I1009" t="s">
        <v>9</v>
      </c>
      <c r="L1009" t="s">
        <v>161</v>
      </c>
      <c r="M1009">
        <v>1400000</v>
      </c>
    </row>
    <row r="1010" spans="1:13" x14ac:dyDescent="0.3">
      <c r="A1010" s="23">
        <v>44588</v>
      </c>
      <c r="B1010" t="s">
        <v>13</v>
      </c>
      <c r="C1010" t="s">
        <v>132</v>
      </c>
      <c r="D1010" t="s">
        <v>16</v>
      </c>
      <c r="E1010" t="s">
        <v>48</v>
      </c>
      <c r="F1010">
        <v>1400000</v>
      </c>
      <c r="G1010" t="s">
        <v>29</v>
      </c>
      <c r="H1010" t="s">
        <v>81</v>
      </c>
      <c r="I1010" t="s">
        <v>9</v>
      </c>
      <c r="L1010" t="s">
        <v>161</v>
      </c>
      <c r="M1010">
        <v>1400000</v>
      </c>
    </row>
    <row r="1011" spans="1:13" x14ac:dyDescent="0.3">
      <c r="A1011" s="23">
        <v>45534</v>
      </c>
      <c r="B1011" t="s">
        <v>13</v>
      </c>
      <c r="C1011" t="s">
        <v>132</v>
      </c>
      <c r="D1011" t="s">
        <v>16</v>
      </c>
      <c r="E1011" t="s">
        <v>48</v>
      </c>
      <c r="F1011">
        <v>1400000</v>
      </c>
      <c r="G1011" t="s">
        <v>29</v>
      </c>
      <c r="H1011" t="s">
        <v>81</v>
      </c>
      <c r="I1011" t="s">
        <v>9</v>
      </c>
      <c r="L1011" t="s">
        <v>161</v>
      </c>
      <c r="M1011">
        <v>1400000</v>
      </c>
    </row>
    <row r="1012" spans="1:13" x14ac:dyDescent="0.3">
      <c r="A1012" s="23">
        <v>45359</v>
      </c>
      <c r="B1012" t="s">
        <v>13</v>
      </c>
      <c r="C1012" t="s">
        <v>132</v>
      </c>
      <c r="D1012" t="s">
        <v>16</v>
      </c>
      <c r="E1012" t="s">
        <v>48</v>
      </c>
      <c r="F1012">
        <v>1430000</v>
      </c>
      <c r="G1012" t="s">
        <v>29</v>
      </c>
      <c r="H1012" t="s">
        <v>81</v>
      </c>
      <c r="I1012" t="s">
        <v>9</v>
      </c>
      <c r="L1012" t="s">
        <v>161</v>
      </c>
      <c r="M1012">
        <v>1430000</v>
      </c>
    </row>
    <row r="1013" spans="1:13" x14ac:dyDescent="0.3">
      <c r="A1013" s="23">
        <v>45156</v>
      </c>
      <c r="B1013" t="s">
        <v>13</v>
      </c>
      <c r="C1013" t="s">
        <v>132</v>
      </c>
      <c r="D1013" t="s">
        <v>16</v>
      </c>
      <c r="E1013" t="s">
        <v>48</v>
      </c>
      <c r="F1013">
        <v>1474013.62</v>
      </c>
      <c r="G1013" t="s">
        <v>29</v>
      </c>
      <c r="H1013" t="s">
        <v>81</v>
      </c>
      <c r="I1013" t="s">
        <v>9</v>
      </c>
      <c r="L1013" t="s">
        <v>161</v>
      </c>
      <c r="M1013">
        <v>1474013.62</v>
      </c>
    </row>
    <row r="1014" spans="1:13" x14ac:dyDescent="0.3">
      <c r="A1014" s="23">
        <v>45324</v>
      </c>
      <c r="B1014" t="s">
        <v>13</v>
      </c>
      <c r="C1014" t="s">
        <v>143</v>
      </c>
      <c r="D1014" t="s">
        <v>16</v>
      </c>
      <c r="E1014" t="s">
        <v>149</v>
      </c>
      <c r="F1014">
        <v>1489000</v>
      </c>
      <c r="G1014" t="s">
        <v>140</v>
      </c>
      <c r="H1014" t="s">
        <v>81</v>
      </c>
      <c r="I1014" t="s">
        <v>9</v>
      </c>
      <c r="M1014">
        <v>1489000</v>
      </c>
    </row>
    <row r="1015" spans="1:13" x14ac:dyDescent="0.3">
      <c r="A1015" s="23">
        <v>44629</v>
      </c>
      <c r="B1015" t="s">
        <v>13</v>
      </c>
      <c r="C1015" t="s">
        <v>132</v>
      </c>
      <c r="D1015" t="s">
        <v>16</v>
      </c>
      <c r="E1015" t="s">
        <v>41</v>
      </c>
      <c r="F1015">
        <v>1500000</v>
      </c>
      <c r="G1015" t="s">
        <v>26</v>
      </c>
      <c r="H1015" t="s">
        <v>81</v>
      </c>
      <c r="I1015" t="s">
        <v>9</v>
      </c>
      <c r="L1015" t="s">
        <v>161</v>
      </c>
      <c r="M1015">
        <v>1500000</v>
      </c>
    </row>
    <row r="1016" spans="1:13" x14ac:dyDescent="0.3">
      <c r="A1016" s="23">
        <v>45457</v>
      </c>
      <c r="B1016" t="s">
        <v>13</v>
      </c>
      <c r="C1016" t="s">
        <v>132</v>
      </c>
      <c r="D1016" t="s">
        <v>16</v>
      </c>
      <c r="E1016" t="s">
        <v>41</v>
      </c>
      <c r="F1016">
        <v>1500000</v>
      </c>
      <c r="G1016" t="s">
        <v>26</v>
      </c>
      <c r="H1016" t="s">
        <v>81</v>
      </c>
      <c r="I1016" t="s">
        <v>9</v>
      </c>
      <c r="L1016" t="s">
        <v>161</v>
      </c>
      <c r="M1016">
        <v>1500000</v>
      </c>
    </row>
    <row r="1017" spans="1:13" x14ac:dyDescent="0.3">
      <c r="A1017" s="23">
        <v>44845</v>
      </c>
      <c r="B1017" t="s">
        <v>13</v>
      </c>
      <c r="C1017" t="s">
        <v>132</v>
      </c>
      <c r="D1017" t="s">
        <v>16</v>
      </c>
      <c r="E1017" t="s">
        <v>41</v>
      </c>
      <c r="F1017">
        <v>1500000</v>
      </c>
      <c r="G1017" t="s">
        <v>26</v>
      </c>
      <c r="H1017" t="s">
        <v>81</v>
      </c>
      <c r="I1017" t="s">
        <v>9</v>
      </c>
      <c r="L1017" t="s">
        <v>161</v>
      </c>
      <c r="M1017">
        <v>1500000</v>
      </c>
    </row>
    <row r="1018" spans="1:13" x14ac:dyDescent="0.3">
      <c r="A1018" s="23">
        <v>45168</v>
      </c>
      <c r="B1018" t="s">
        <v>13</v>
      </c>
      <c r="C1018" t="s">
        <v>132</v>
      </c>
      <c r="D1018" t="s">
        <v>16</v>
      </c>
      <c r="E1018" t="s">
        <v>45</v>
      </c>
      <c r="F1018">
        <v>1500000</v>
      </c>
      <c r="G1018" t="s">
        <v>26</v>
      </c>
      <c r="H1018" t="s">
        <v>81</v>
      </c>
      <c r="I1018" t="s">
        <v>9</v>
      </c>
      <c r="L1018" t="s">
        <v>161</v>
      </c>
      <c r="M1018">
        <v>1500000</v>
      </c>
    </row>
    <row r="1019" spans="1:13" x14ac:dyDescent="0.3">
      <c r="A1019" s="23">
        <v>45195</v>
      </c>
      <c r="B1019" t="s">
        <v>13</v>
      </c>
      <c r="C1019" t="s">
        <v>143</v>
      </c>
      <c r="D1019" t="s">
        <v>16</v>
      </c>
      <c r="E1019" t="s">
        <v>149</v>
      </c>
      <c r="F1019">
        <v>1514215</v>
      </c>
      <c r="G1019" t="s">
        <v>140</v>
      </c>
      <c r="H1019" t="s">
        <v>81</v>
      </c>
      <c r="I1019" t="s">
        <v>9</v>
      </c>
      <c r="M1019">
        <v>1514215</v>
      </c>
    </row>
    <row r="1020" spans="1:13" x14ac:dyDescent="0.3">
      <c r="A1020" s="23">
        <v>45177</v>
      </c>
      <c r="B1020" t="s">
        <v>13</v>
      </c>
      <c r="C1020" t="s">
        <v>132</v>
      </c>
      <c r="D1020" t="s">
        <v>16</v>
      </c>
      <c r="E1020" t="s">
        <v>136</v>
      </c>
      <c r="F1020">
        <v>1516147.33</v>
      </c>
      <c r="G1020" t="s">
        <v>134</v>
      </c>
      <c r="H1020" t="s">
        <v>81</v>
      </c>
      <c r="I1020" t="s">
        <v>9</v>
      </c>
      <c r="L1020" t="s">
        <v>161</v>
      </c>
      <c r="M1020">
        <v>1516147.33</v>
      </c>
    </row>
    <row r="1021" spans="1:13" x14ac:dyDescent="0.3">
      <c r="A1021" s="23">
        <v>45538</v>
      </c>
      <c r="B1021" t="s">
        <v>13</v>
      </c>
      <c r="C1021" t="s">
        <v>132</v>
      </c>
      <c r="D1021" t="s">
        <v>16</v>
      </c>
      <c r="E1021" t="s">
        <v>180</v>
      </c>
      <c r="F1021">
        <v>1596000</v>
      </c>
      <c r="G1021" t="s">
        <v>181</v>
      </c>
      <c r="H1021" t="s">
        <v>81</v>
      </c>
      <c r="I1021" t="s">
        <v>9</v>
      </c>
      <c r="L1021" t="s">
        <v>161</v>
      </c>
      <c r="M1021">
        <v>1596000</v>
      </c>
    </row>
    <row r="1022" spans="1:13" x14ac:dyDescent="0.3">
      <c r="A1022" s="23">
        <v>44651</v>
      </c>
      <c r="B1022" t="s">
        <v>13</v>
      </c>
      <c r="C1022" t="s">
        <v>132</v>
      </c>
      <c r="D1022" t="s">
        <v>16</v>
      </c>
      <c r="E1022" t="s">
        <v>41</v>
      </c>
      <c r="F1022">
        <v>1600000</v>
      </c>
      <c r="G1022" t="s">
        <v>26</v>
      </c>
      <c r="H1022" t="s">
        <v>81</v>
      </c>
      <c r="I1022" t="s">
        <v>9</v>
      </c>
      <c r="L1022" t="s">
        <v>161</v>
      </c>
      <c r="M1022">
        <v>1600000</v>
      </c>
    </row>
    <row r="1023" spans="1:13" x14ac:dyDescent="0.3">
      <c r="A1023" s="23">
        <v>45560</v>
      </c>
      <c r="B1023" t="s">
        <v>13</v>
      </c>
      <c r="C1023" t="s">
        <v>132</v>
      </c>
      <c r="D1023" t="s">
        <v>16</v>
      </c>
      <c r="E1023" t="s">
        <v>41</v>
      </c>
      <c r="F1023">
        <v>1600000</v>
      </c>
      <c r="G1023" t="s">
        <v>26</v>
      </c>
      <c r="H1023" t="s">
        <v>81</v>
      </c>
      <c r="I1023" t="s">
        <v>9</v>
      </c>
      <c r="L1023" t="s">
        <v>161</v>
      </c>
      <c r="M1023">
        <v>1600000</v>
      </c>
    </row>
    <row r="1024" spans="1:13" x14ac:dyDescent="0.3">
      <c r="A1024" s="23">
        <v>45538</v>
      </c>
      <c r="B1024" t="s">
        <v>13</v>
      </c>
      <c r="C1024" t="s">
        <v>132</v>
      </c>
      <c r="D1024" t="s">
        <v>16</v>
      </c>
      <c r="E1024" t="s">
        <v>48</v>
      </c>
      <c r="F1024">
        <v>1616000</v>
      </c>
      <c r="G1024" t="s">
        <v>29</v>
      </c>
      <c r="H1024" t="s">
        <v>81</v>
      </c>
      <c r="I1024" t="s">
        <v>9</v>
      </c>
      <c r="L1024" t="s">
        <v>161</v>
      </c>
      <c r="M1024">
        <v>1616000</v>
      </c>
    </row>
    <row r="1025" spans="1:13" x14ac:dyDescent="0.3">
      <c r="A1025" s="23">
        <v>45565</v>
      </c>
      <c r="B1025" t="s">
        <v>13</v>
      </c>
      <c r="C1025" t="s">
        <v>132</v>
      </c>
      <c r="D1025" t="s">
        <v>16</v>
      </c>
      <c r="E1025" t="s">
        <v>46</v>
      </c>
      <c r="F1025">
        <v>1650000</v>
      </c>
      <c r="G1025" t="s">
        <v>28</v>
      </c>
      <c r="H1025" t="s">
        <v>81</v>
      </c>
      <c r="I1025" t="s">
        <v>9</v>
      </c>
      <c r="L1025" t="s">
        <v>161</v>
      </c>
      <c r="M1025">
        <v>1650000</v>
      </c>
    </row>
    <row r="1026" spans="1:13" x14ac:dyDescent="0.3">
      <c r="A1026" s="23">
        <v>45359</v>
      </c>
      <c r="B1026" t="s">
        <v>13</v>
      </c>
      <c r="C1026" t="s">
        <v>132</v>
      </c>
      <c r="D1026" t="s">
        <v>16</v>
      </c>
      <c r="E1026" t="s">
        <v>180</v>
      </c>
      <c r="F1026">
        <v>1680000</v>
      </c>
      <c r="G1026" t="s">
        <v>181</v>
      </c>
      <c r="H1026" t="s">
        <v>81</v>
      </c>
      <c r="I1026" t="s">
        <v>9</v>
      </c>
      <c r="L1026" t="s">
        <v>161</v>
      </c>
      <c r="M1026">
        <v>1680000</v>
      </c>
    </row>
    <row r="1027" spans="1:13" x14ac:dyDescent="0.3">
      <c r="A1027" s="23">
        <v>44995</v>
      </c>
      <c r="B1027" t="s">
        <v>13</v>
      </c>
      <c r="C1027" t="s">
        <v>132</v>
      </c>
      <c r="D1027" t="s">
        <v>16</v>
      </c>
      <c r="E1027" t="s">
        <v>41</v>
      </c>
      <c r="F1027">
        <v>1700000</v>
      </c>
      <c r="G1027" t="s">
        <v>26</v>
      </c>
      <c r="H1027" t="s">
        <v>81</v>
      </c>
      <c r="I1027" t="s">
        <v>9</v>
      </c>
      <c r="L1027" t="s">
        <v>161</v>
      </c>
      <c r="M1027">
        <v>1700000</v>
      </c>
    </row>
    <row r="1028" spans="1:13" x14ac:dyDescent="0.3">
      <c r="A1028" s="23">
        <v>45575</v>
      </c>
      <c r="B1028" t="s">
        <v>13</v>
      </c>
      <c r="C1028" t="s">
        <v>132</v>
      </c>
      <c r="D1028" t="s">
        <v>16</v>
      </c>
      <c r="E1028" t="s">
        <v>48</v>
      </c>
      <c r="F1028">
        <v>1700000</v>
      </c>
      <c r="G1028" t="s">
        <v>29</v>
      </c>
      <c r="H1028" t="s">
        <v>81</v>
      </c>
      <c r="I1028" t="s">
        <v>9</v>
      </c>
      <c r="L1028" t="s">
        <v>161</v>
      </c>
      <c r="M1028">
        <v>1700000</v>
      </c>
    </row>
    <row r="1029" spans="1:13" x14ac:dyDescent="0.3">
      <c r="A1029" s="23">
        <v>45440</v>
      </c>
      <c r="B1029" t="s">
        <v>13</v>
      </c>
      <c r="C1029" t="s">
        <v>132</v>
      </c>
      <c r="D1029" t="s">
        <v>16</v>
      </c>
      <c r="E1029" t="s">
        <v>48</v>
      </c>
      <c r="F1029">
        <v>1700000</v>
      </c>
      <c r="G1029" t="s">
        <v>29</v>
      </c>
      <c r="H1029" t="s">
        <v>81</v>
      </c>
      <c r="I1029" t="s">
        <v>9</v>
      </c>
      <c r="L1029" t="s">
        <v>161</v>
      </c>
      <c r="M1029">
        <v>1700000</v>
      </c>
    </row>
    <row r="1030" spans="1:13" x14ac:dyDescent="0.3">
      <c r="A1030" s="23">
        <v>45184</v>
      </c>
      <c r="B1030" t="s">
        <v>13</v>
      </c>
      <c r="C1030" t="s">
        <v>132</v>
      </c>
      <c r="D1030" t="s">
        <v>16</v>
      </c>
      <c r="E1030" t="s">
        <v>41</v>
      </c>
      <c r="F1030">
        <v>1713277.39</v>
      </c>
      <c r="G1030" t="s">
        <v>26</v>
      </c>
      <c r="H1030" t="s">
        <v>81</v>
      </c>
      <c r="I1030" t="s">
        <v>9</v>
      </c>
      <c r="L1030" t="s">
        <v>161</v>
      </c>
      <c r="M1030">
        <v>1713277.39</v>
      </c>
    </row>
    <row r="1031" spans="1:13" x14ac:dyDescent="0.3">
      <c r="A1031" s="23">
        <v>45565</v>
      </c>
      <c r="B1031" t="s">
        <v>13</v>
      </c>
      <c r="C1031" t="s">
        <v>132</v>
      </c>
      <c r="D1031" t="s">
        <v>16</v>
      </c>
      <c r="E1031" t="s">
        <v>41</v>
      </c>
      <c r="F1031">
        <v>1750000</v>
      </c>
      <c r="G1031" t="s">
        <v>26</v>
      </c>
      <c r="H1031" t="s">
        <v>81</v>
      </c>
      <c r="I1031" t="s">
        <v>9</v>
      </c>
      <c r="L1031" t="s">
        <v>161</v>
      </c>
      <c r="M1031">
        <v>1750000</v>
      </c>
    </row>
    <row r="1032" spans="1:13" x14ac:dyDescent="0.3">
      <c r="A1032" s="23">
        <v>45041</v>
      </c>
      <c r="B1032" t="s">
        <v>13</v>
      </c>
      <c r="C1032" t="s">
        <v>132</v>
      </c>
      <c r="D1032" t="s">
        <v>16</v>
      </c>
      <c r="E1032" t="s">
        <v>41</v>
      </c>
      <c r="F1032">
        <v>1800000</v>
      </c>
      <c r="G1032" t="s">
        <v>26</v>
      </c>
      <c r="H1032" t="s">
        <v>81</v>
      </c>
      <c r="I1032" t="s">
        <v>9</v>
      </c>
      <c r="L1032" t="s">
        <v>161</v>
      </c>
      <c r="M1032">
        <v>1800000</v>
      </c>
    </row>
    <row r="1033" spans="1:13" x14ac:dyDescent="0.3">
      <c r="A1033" s="23">
        <v>45041</v>
      </c>
      <c r="B1033" t="s">
        <v>13</v>
      </c>
      <c r="C1033" t="s">
        <v>132</v>
      </c>
      <c r="D1033" t="s">
        <v>16</v>
      </c>
      <c r="E1033" t="s">
        <v>41</v>
      </c>
      <c r="F1033">
        <v>1800000</v>
      </c>
      <c r="G1033" t="s">
        <v>26</v>
      </c>
      <c r="H1033" t="s">
        <v>81</v>
      </c>
      <c r="I1033" t="s">
        <v>9</v>
      </c>
      <c r="L1033" t="s">
        <v>161</v>
      </c>
      <c r="M1033">
        <v>1800000</v>
      </c>
    </row>
    <row r="1034" spans="1:13" x14ac:dyDescent="0.3">
      <c r="A1034" s="23">
        <v>44712</v>
      </c>
      <c r="B1034" t="s">
        <v>13</v>
      </c>
      <c r="C1034" t="s">
        <v>132</v>
      </c>
      <c r="D1034" t="s">
        <v>16</v>
      </c>
      <c r="E1034" t="s">
        <v>139</v>
      </c>
      <c r="F1034">
        <v>1870000</v>
      </c>
      <c r="G1034" t="s">
        <v>140</v>
      </c>
      <c r="H1034" t="s">
        <v>81</v>
      </c>
      <c r="I1034" t="s">
        <v>9</v>
      </c>
      <c r="L1034" t="s">
        <v>161</v>
      </c>
      <c r="M1034">
        <v>1870000</v>
      </c>
    </row>
    <row r="1035" spans="1:13" x14ac:dyDescent="0.3">
      <c r="A1035" s="23">
        <v>45565</v>
      </c>
      <c r="B1035" t="s">
        <v>13</v>
      </c>
      <c r="C1035" t="s">
        <v>132</v>
      </c>
      <c r="D1035" t="s">
        <v>16</v>
      </c>
      <c r="E1035" t="s">
        <v>193</v>
      </c>
      <c r="F1035">
        <v>1890000</v>
      </c>
      <c r="G1035" t="s">
        <v>131</v>
      </c>
      <c r="H1035" t="s">
        <v>81</v>
      </c>
      <c r="I1035" t="s">
        <v>9</v>
      </c>
      <c r="L1035" t="s">
        <v>161</v>
      </c>
      <c r="M1035">
        <v>1890000</v>
      </c>
    </row>
    <row r="1036" spans="1:13" x14ac:dyDescent="0.3">
      <c r="A1036" s="23">
        <v>45317</v>
      </c>
      <c r="B1036" t="s">
        <v>13</v>
      </c>
      <c r="C1036" t="s">
        <v>132</v>
      </c>
      <c r="D1036" t="s">
        <v>16</v>
      </c>
      <c r="E1036" t="s">
        <v>136</v>
      </c>
      <c r="F1036">
        <v>1894021</v>
      </c>
      <c r="G1036" t="s">
        <v>134</v>
      </c>
      <c r="H1036" t="s">
        <v>81</v>
      </c>
      <c r="I1036" t="s">
        <v>9</v>
      </c>
      <c r="L1036" t="s">
        <v>161</v>
      </c>
      <c r="M1036">
        <v>1894021</v>
      </c>
    </row>
    <row r="1037" spans="1:13" x14ac:dyDescent="0.3">
      <c r="A1037" s="23">
        <v>44610</v>
      </c>
      <c r="B1037" t="s">
        <v>13</v>
      </c>
      <c r="C1037" t="s">
        <v>132</v>
      </c>
      <c r="D1037" t="s">
        <v>16</v>
      </c>
      <c r="E1037" t="s">
        <v>41</v>
      </c>
      <c r="F1037">
        <v>1900000</v>
      </c>
      <c r="G1037" t="s">
        <v>26</v>
      </c>
      <c r="H1037" t="s">
        <v>81</v>
      </c>
      <c r="I1037" t="s">
        <v>9</v>
      </c>
      <c r="L1037" t="s">
        <v>161</v>
      </c>
      <c r="M1037">
        <v>1900000</v>
      </c>
    </row>
    <row r="1038" spans="1:13" x14ac:dyDescent="0.3">
      <c r="A1038" s="23">
        <v>44757</v>
      </c>
      <c r="B1038" t="s">
        <v>13</v>
      </c>
      <c r="C1038" t="s">
        <v>132</v>
      </c>
      <c r="D1038" t="s">
        <v>16</v>
      </c>
      <c r="E1038" t="s">
        <v>41</v>
      </c>
      <c r="F1038">
        <v>1900000</v>
      </c>
      <c r="G1038" t="s">
        <v>26</v>
      </c>
      <c r="H1038" t="s">
        <v>81</v>
      </c>
      <c r="I1038" t="s">
        <v>9</v>
      </c>
      <c r="L1038" t="s">
        <v>161</v>
      </c>
      <c r="M1038">
        <v>1900000</v>
      </c>
    </row>
    <row r="1039" spans="1:13" x14ac:dyDescent="0.3">
      <c r="A1039" s="23">
        <v>45042</v>
      </c>
      <c r="B1039" t="s">
        <v>13</v>
      </c>
      <c r="C1039" t="s">
        <v>132</v>
      </c>
      <c r="D1039" t="s">
        <v>16</v>
      </c>
      <c r="E1039" t="s">
        <v>41</v>
      </c>
      <c r="F1039">
        <v>1900000</v>
      </c>
      <c r="G1039" t="s">
        <v>26</v>
      </c>
      <c r="H1039" t="s">
        <v>81</v>
      </c>
      <c r="I1039" t="s">
        <v>9</v>
      </c>
      <c r="L1039" t="s">
        <v>161</v>
      </c>
      <c r="M1039">
        <v>1900000</v>
      </c>
    </row>
    <row r="1040" spans="1:13" x14ac:dyDescent="0.3">
      <c r="A1040" s="23">
        <v>45282</v>
      </c>
      <c r="B1040" t="s">
        <v>13</v>
      </c>
      <c r="C1040" t="s">
        <v>132</v>
      </c>
      <c r="D1040" t="s">
        <v>16</v>
      </c>
      <c r="E1040" t="s">
        <v>48</v>
      </c>
      <c r="F1040">
        <v>1915329.43</v>
      </c>
      <c r="G1040" t="s">
        <v>29</v>
      </c>
      <c r="H1040" t="s">
        <v>81</v>
      </c>
      <c r="I1040" t="s">
        <v>9</v>
      </c>
      <c r="L1040" t="s">
        <v>161</v>
      </c>
      <c r="M1040">
        <v>1915329.43</v>
      </c>
    </row>
    <row r="1041" spans="1:13" x14ac:dyDescent="0.3">
      <c r="A1041" s="23">
        <v>45636</v>
      </c>
      <c r="B1041" t="s">
        <v>13</v>
      </c>
      <c r="C1041" t="s">
        <v>132</v>
      </c>
      <c r="D1041" t="s">
        <v>16</v>
      </c>
      <c r="E1041" t="s">
        <v>41</v>
      </c>
      <c r="F1041">
        <v>2000000</v>
      </c>
      <c r="G1041" t="s">
        <v>26</v>
      </c>
      <c r="H1041" t="s">
        <v>81</v>
      </c>
      <c r="I1041" t="s">
        <v>9</v>
      </c>
      <c r="L1041" t="s">
        <v>161</v>
      </c>
      <c r="M1041">
        <v>2000000</v>
      </c>
    </row>
    <row r="1042" spans="1:13" x14ac:dyDescent="0.3">
      <c r="A1042" s="23">
        <v>44727</v>
      </c>
      <c r="B1042" t="s">
        <v>13</v>
      </c>
      <c r="C1042" t="s">
        <v>132</v>
      </c>
      <c r="D1042" t="s">
        <v>16</v>
      </c>
      <c r="E1042" t="s">
        <v>41</v>
      </c>
      <c r="F1042">
        <v>2000000</v>
      </c>
      <c r="G1042" t="s">
        <v>26</v>
      </c>
      <c r="H1042" t="s">
        <v>81</v>
      </c>
      <c r="I1042" t="s">
        <v>9</v>
      </c>
      <c r="L1042" t="s">
        <v>161</v>
      </c>
      <c r="M1042">
        <v>2000000</v>
      </c>
    </row>
    <row r="1043" spans="1:13" x14ac:dyDescent="0.3">
      <c r="A1043" s="23">
        <v>44879</v>
      </c>
      <c r="B1043" t="s">
        <v>13</v>
      </c>
      <c r="C1043" t="s">
        <v>132</v>
      </c>
      <c r="D1043" t="s">
        <v>16</v>
      </c>
      <c r="E1043" t="s">
        <v>41</v>
      </c>
      <c r="F1043">
        <v>2000000</v>
      </c>
      <c r="G1043" t="s">
        <v>26</v>
      </c>
      <c r="H1043" t="s">
        <v>81</v>
      </c>
      <c r="I1043" t="s">
        <v>9</v>
      </c>
      <c r="L1043" t="s">
        <v>161</v>
      </c>
      <c r="M1043">
        <v>2000000</v>
      </c>
    </row>
    <row r="1044" spans="1:13" x14ac:dyDescent="0.3">
      <c r="A1044" s="23">
        <v>45132</v>
      </c>
      <c r="B1044" t="s">
        <v>13</v>
      </c>
      <c r="C1044" t="s">
        <v>132</v>
      </c>
      <c r="D1044" t="s">
        <v>16</v>
      </c>
      <c r="E1044" t="s">
        <v>41</v>
      </c>
      <c r="F1044">
        <v>2076847.11</v>
      </c>
      <c r="G1044" t="s">
        <v>26</v>
      </c>
      <c r="H1044" t="s">
        <v>81</v>
      </c>
      <c r="I1044" t="s">
        <v>9</v>
      </c>
      <c r="J1044" t="s">
        <v>155</v>
      </c>
      <c r="L1044" t="s">
        <v>161</v>
      </c>
      <c r="M1044">
        <v>2076847.11</v>
      </c>
    </row>
    <row r="1045" spans="1:13" x14ac:dyDescent="0.3">
      <c r="A1045" s="23">
        <v>44764</v>
      </c>
      <c r="B1045" t="s">
        <v>13</v>
      </c>
      <c r="C1045" t="s">
        <v>132</v>
      </c>
      <c r="D1045" t="s">
        <v>16</v>
      </c>
      <c r="E1045" t="s">
        <v>139</v>
      </c>
      <c r="F1045">
        <v>2100000</v>
      </c>
      <c r="G1045" t="s">
        <v>140</v>
      </c>
      <c r="H1045" t="s">
        <v>81</v>
      </c>
      <c r="I1045" t="s">
        <v>9</v>
      </c>
      <c r="L1045" t="s">
        <v>161</v>
      </c>
      <c r="M1045">
        <v>2100000</v>
      </c>
    </row>
    <row r="1046" spans="1:13" x14ac:dyDescent="0.3">
      <c r="A1046" s="23">
        <v>45148</v>
      </c>
      <c r="B1046" t="s">
        <v>13</v>
      </c>
      <c r="C1046" t="s">
        <v>132</v>
      </c>
      <c r="D1046" t="s">
        <v>16</v>
      </c>
      <c r="E1046" t="s">
        <v>48</v>
      </c>
      <c r="F1046">
        <v>2108157.7000000002</v>
      </c>
      <c r="G1046" t="s">
        <v>29</v>
      </c>
      <c r="H1046" t="s">
        <v>81</v>
      </c>
      <c r="I1046" t="s">
        <v>9</v>
      </c>
      <c r="L1046" t="s">
        <v>161</v>
      </c>
      <c r="M1046">
        <v>2108157.7000000002</v>
      </c>
    </row>
    <row r="1047" spans="1:13" x14ac:dyDescent="0.3">
      <c r="A1047" s="23">
        <v>45201</v>
      </c>
      <c r="B1047" t="s">
        <v>13</v>
      </c>
      <c r="C1047" t="s">
        <v>132</v>
      </c>
      <c r="D1047" t="s">
        <v>16</v>
      </c>
      <c r="E1047" t="s">
        <v>41</v>
      </c>
      <c r="F1047">
        <v>2160570.4</v>
      </c>
      <c r="G1047" t="s">
        <v>26</v>
      </c>
      <c r="H1047" t="s">
        <v>81</v>
      </c>
      <c r="I1047" t="s">
        <v>9</v>
      </c>
      <c r="L1047" t="s">
        <v>161</v>
      </c>
      <c r="M1047">
        <v>2160570.4</v>
      </c>
    </row>
    <row r="1048" spans="1:13" x14ac:dyDescent="0.3">
      <c r="A1048" s="23">
        <v>45538</v>
      </c>
      <c r="B1048" t="s">
        <v>13</v>
      </c>
      <c r="C1048" t="s">
        <v>132</v>
      </c>
      <c r="D1048" t="s">
        <v>16</v>
      </c>
      <c r="E1048" t="s">
        <v>41</v>
      </c>
      <c r="F1048">
        <v>2223000</v>
      </c>
      <c r="G1048" t="s">
        <v>26</v>
      </c>
      <c r="H1048" t="s">
        <v>81</v>
      </c>
      <c r="I1048" t="s">
        <v>9</v>
      </c>
      <c r="L1048" t="s">
        <v>161</v>
      </c>
      <c r="M1048">
        <v>2223000</v>
      </c>
    </row>
    <row r="1049" spans="1:13" x14ac:dyDescent="0.3">
      <c r="A1049" s="23">
        <v>45582</v>
      </c>
      <c r="B1049" t="s">
        <v>13</v>
      </c>
      <c r="C1049" t="s">
        <v>132</v>
      </c>
      <c r="D1049" t="s">
        <v>16</v>
      </c>
      <c r="E1049" t="s">
        <v>48</v>
      </c>
      <c r="F1049">
        <v>2233160</v>
      </c>
      <c r="G1049" t="s">
        <v>29</v>
      </c>
      <c r="H1049" t="s">
        <v>81</v>
      </c>
      <c r="I1049" t="s">
        <v>9</v>
      </c>
      <c r="L1049" t="s">
        <v>161</v>
      </c>
      <c r="M1049">
        <v>2233160</v>
      </c>
    </row>
    <row r="1050" spans="1:13" x14ac:dyDescent="0.3">
      <c r="A1050" s="23">
        <v>44750</v>
      </c>
      <c r="B1050" t="s">
        <v>13</v>
      </c>
      <c r="C1050" t="s">
        <v>132</v>
      </c>
      <c r="D1050" t="s">
        <v>16</v>
      </c>
      <c r="E1050" t="s">
        <v>46</v>
      </c>
      <c r="F1050">
        <v>2245929.75</v>
      </c>
      <c r="G1050" t="s">
        <v>28</v>
      </c>
      <c r="H1050" t="s">
        <v>81</v>
      </c>
      <c r="I1050" t="s">
        <v>9</v>
      </c>
      <c r="J1050" t="s">
        <v>155</v>
      </c>
      <c r="L1050" t="s">
        <v>161</v>
      </c>
      <c r="M1050">
        <v>2245929.75</v>
      </c>
    </row>
    <row r="1051" spans="1:13" x14ac:dyDescent="0.3">
      <c r="A1051" s="23">
        <v>45565</v>
      </c>
      <c r="B1051" t="s">
        <v>13</v>
      </c>
      <c r="C1051" t="s">
        <v>132</v>
      </c>
      <c r="D1051" t="s">
        <v>16</v>
      </c>
      <c r="E1051" t="s">
        <v>180</v>
      </c>
      <c r="F1051">
        <v>2270000</v>
      </c>
      <c r="G1051" t="s">
        <v>181</v>
      </c>
      <c r="H1051" t="s">
        <v>81</v>
      </c>
      <c r="I1051" t="s">
        <v>9</v>
      </c>
      <c r="L1051" t="s">
        <v>161</v>
      </c>
      <c r="M1051">
        <v>2270000</v>
      </c>
    </row>
    <row r="1052" spans="1:13" x14ac:dyDescent="0.3">
      <c r="A1052" s="23">
        <v>45569</v>
      </c>
      <c r="B1052" t="s">
        <v>13</v>
      </c>
      <c r="C1052" t="s">
        <v>132</v>
      </c>
      <c r="D1052" t="s">
        <v>16</v>
      </c>
      <c r="E1052" t="s">
        <v>48</v>
      </c>
      <c r="F1052">
        <v>2300000</v>
      </c>
      <c r="G1052" t="s">
        <v>29</v>
      </c>
      <c r="H1052" t="s">
        <v>81</v>
      </c>
      <c r="I1052" t="s">
        <v>9</v>
      </c>
      <c r="L1052" t="s">
        <v>161</v>
      </c>
      <c r="M1052">
        <v>2300000</v>
      </c>
    </row>
    <row r="1053" spans="1:13" x14ac:dyDescent="0.3">
      <c r="A1053" s="23">
        <v>45260</v>
      </c>
      <c r="B1053" t="s">
        <v>13</v>
      </c>
      <c r="C1053" t="s">
        <v>132</v>
      </c>
      <c r="D1053" t="s">
        <v>16</v>
      </c>
      <c r="E1053" t="s">
        <v>48</v>
      </c>
      <c r="F1053">
        <v>2300000</v>
      </c>
      <c r="G1053" t="s">
        <v>29</v>
      </c>
      <c r="H1053" t="s">
        <v>81</v>
      </c>
      <c r="I1053" t="s">
        <v>9</v>
      </c>
      <c r="L1053" t="s">
        <v>161</v>
      </c>
      <c r="M1053">
        <v>2300000</v>
      </c>
    </row>
    <row r="1054" spans="1:13" x14ac:dyDescent="0.3">
      <c r="A1054" s="23">
        <v>45201</v>
      </c>
      <c r="B1054" t="s">
        <v>13</v>
      </c>
      <c r="C1054" t="s">
        <v>132</v>
      </c>
      <c r="D1054" t="s">
        <v>16</v>
      </c>
      <c r="E1054" t="s">
        <v>162</v>
      </c>
      <c r="F1054">
        <v>2304319.39</v>
      </c>
      <c r="G1054" t="s">
        <v>22</v>
      </c>
      <c r="H1054" t="s">
        <v>81</v>
      </c>
      <c r="I1054" t="s">
        <v>9</v>
      </c>
      <c r="L1054" t="s">
        <v>161</v>
      </c>
      <c r="M1054">
        <v>2304319.39</v>
      </c>
    </row>
    <row r="1055" spans="1:13" x14ac:dyDescent="0.3">
      <c r="A1055" s="23">
        <v>44671</v>
      </c>
      <c r="B1055" t="s">
        <v>13</v>
      </c>
      <c r="C1055" t="s">
        <v>132</v>
      </c>
      <c r="D1055" t="s">
        <v>16</v>
      </c>
      <c r="E1055" t="s">
        <v>41</v>
      </c>
      <c r="F1055">
        <v>2400000</v>
      </c>
      <c r="G1055" t="s">
        <v>26</v>
      </c>
      <c r="H1055" t="s">
        <v>81</v>
      </c>
      <c r="I1055" t="s">
        <v>9</v>
      </c>
      <c r="L1055" t="s">
        <v>161</v>
      </c>
      <c r="M1055">
        <v>2400000</v>
      </c>
    </row>
    <row r="1056" spans="1:13" x14ac:dyDescent="0.3">
      <c r="A1056" s="23">
        <v>44747</v>
      </c>
      <c r="B1056" t="s">
        <v>13</v>
      </c>
      <c r="C1056" t="s">
        <v>132</v>
      </c>
      <c r="D1056" t="s">
        <v>16</v>
      </c>
      <c r="E1056" t="s">
        <v>41</v>
      </c>
      <c r="F1056">
        <v>2400000</v>
      </c>
      <c r="G1056" t="s">
        <v>26</v>
      </c>
      <c r="H1056" t="s">
        <v>81</v>
      </c>
      <c r="I1056" t="s">
        <v>9</v>
      </c>
      <c r="L1056" t="s">
        <v>161</v>
      </c>
      <c r="M1056">
        <v>2400000</v>
      </c>
    </row>
    <row r="1057" spans="1:13" x14ac:dyDescent="0.3">
      <c r="A1057" s="23">
        <v>45432</v>
      </c>
      <c r="B1057" t="s">
        <v>13</v>
      </c>
      <c r="C1057" t="s">
        <v>132</v>
      </c>
      <c r="D1057" t="s">
        <v>16</v>
      </c>
      <c r="E1057" t="s">
        <v>41</v>
      </c>
      <c r="F1057">
        <v>2400000</v>
      </c>
      <c r="G1057" t="s">
        <v>26</v>
      </c>
      <c r="H1057" t="s">
        <v>81</v>
      </c>
      <c r="I1057" t="s">
        <v>9</v>
      </c>
      <c r="L1057" t="s">
        <v>161</v>
      </c>
      <c r="M1057">
        <v>2400000</v>
      </c>
    </row>
    <row r="1058" spans="1:13" x14ac:dyDescent="0.3">
      <c r="A1058" s="23">
        <v>45415</v>
      </c>
      <c r="B1058" t="s">
        <v>13</v>
      </c>
      <c r="C1058" t="s">
        <v>132</v>
      </c>
      <c r="D1058" t="s">
        <v>16</v>
      </c>
      <c r="E1058" t="s">
        <v>41</v>
      </c>
      <c r="F1058">
        <v>2400000</v>
      </c>
      <c r="G1058" t="s">
        <v>26</v>
      </c>
      <c r="H1058" t="s">
        <v>81</v>
      </c>
      <c r="I1058" t="s">
        <v>9</v>
      </c>
      <c r="L1058" t="s">
        <v>161</v>
      </c>
      <c r="M1058">
        <v>2400000</v>
      </c>
    </row>
    <row r="1059" spans="1:13" x14ac:dyDescent="0.3">
      <c r="A1059" s="23">
        <v>45089</v>
      </c>
      <c r="B1059" t="s">
        <v>13</v>
      </c>
      <c r="C1059" t="s">
        <v>132</v>
      </c>
      <c r="D1059" t="s">
        <v>16</v>
      </c>
      <c r="E1059" t="s">
        <v>41</v>
      </c>
      <c r="F1059">
        <v>2400000</v>
      </c>
      <c r="G1059" t="s">
        <v>26</v>
      </c>
      <c r="H1059" t="s">
        <v>81</v>
      </c>
      <c r="I1059" t="s">
        <v>9</v>
      </c>
      <c r="L1059" t="s">
        <v>161</v>
      </c>
      <c r="M1059">
        <v>2400000</v>
      </c>
    </row>
    <row r="1060" spans="1:13" x14ac:dyDescent="0.3">
      <c r="A1060" s="23">
        <v>44918</v>
      </c>
      <c r="B1060" t="s">
        <v>13</v>
      </c>
      <c r="C1060" t="s">
        <v>132</v>
      </c>
      <c r="D1060" t="s">
        <v>16</v>
      </c>
      <c r="E1060" t="s">
        <v>46</v>
      </c>
      <c r="F1060">
        <v>2400000</v>
      </c>
      <c r="G1060" t="s">
        <v>28</v>
      </c>
      <c r="H1060" t="s">
        <v>81</v>
      </c>
      <c r="I1060" t="s">
        <v>9</v>
      </c>
      <c r="L1060" t="s">
        <v>161</v>
      </c>
      <c r="M1060">
        <v>2400000</v>
      </c>
    </row>
    <row r="1061" spans="1:13" x14ac:dyDescent="0.3">
      <c r="A1061" s="23">
        <v>45504</v>
      </c>
      <c r="B1061" t="s">
        <v>13</v>
      </c>
      <c r="C1061" t="s">
        <v>132</v>
      </c>
      <c r="D1061" t="s">
        <v>16</v>
      </c>
      <c r="E1061" t="s">
        <v>46</v>
      </c>
      <c r="F1061">
        <v>2493000</v>
      </c>
      <c r="G1061" t="s">
        <v>28</v>
      </c>
      <c r="H1061" t="s">
        <v>81</v>
      </c>
      <c r="I1061" t="s">
        <v>9</v>
      </c>
      <c r="L1061" t="s">
        <v>161</v>
      </c>
      <c r="M1061">
        <v>2493000</v>
      </c>
    </row>
    <row r="1062" spans="1:13" x14ac:dyDescent="0.3">
      <c r="A1062" s="23">
        <v>44645</v>
      </c>
      <c r="B1062" t="s">
        <v>13</v>
      </c>
      <c r="C1062" t="s">
        <v>132</v>
      </c>
      <c r="D1062" t="s">
        <v>16</v>
      </c>
      <c r="E1062" t="s">
        <v>41</v>
      </c>
      <c r="F1062">
        <v>2500000</v>
      </c>
      <c r="G1062" t="s">
        <v>26</v>
      </c>
      <c r="H1062" t="s">
        <v>81</v>
      </c>
      <c r="I1062" t="s">
        <v>9</v>
      </c>
      <c r="L1062" t="s">
        <v>161</v>
      </c>
      <c r="M1062">
        <v>2500000</v>
      </c>
    </row>
    <row r="1063" spans="1:13" x14ac:dyDescent="0.3">
      <c r="A1063" s="23">
        <v>44657</v>
      </c>
      <c r="B1063" t="s">
        <v>13</v>
      </c>
      <c r="C1063" t="s">
        <v>132</v>
      </c>
      <c r="D1063" t="s">
        <v>16</v>
      </c>
      <c r="E1063" t="s">
        <v>41</v>
      </c>
      <c r="F1063">
        <v>2500000</v>
      </c>
      <c r="G1063" t="s">
        <v>26</v>
      </c>
      <c r="H1063" t="s">
        <v>81</v>
      </c>
      <c r="I1063" t="s">
        <v>9</v>
      </c>
      <c r="L1063" t="s">
        <v>161</v>
      </c>
      <c r="M1063">
        <v>2500000</v>
      </c>
    </row>
    <row r="1064" spans="1:13" x14ac:dyDescent="0.3">
      <c r="A1064" s="23">
        <v>45048</v>
      </c>
      <c r="B1064" t="s">
        <v>13</v>
      </c>
      <c r="C1064" t="s">
        <v>132</v>
      </c>
      <c r="D1064" t="s">
        <v>16</v>
      </c>
      <c r="E1064" t="s">
        <v>41</v>
      </c>
      <c r="F1064">
        <v>2500000</v>
      </c>
      <c r="G1064" t="s">
        <v>26</v>
      </c>
      <c r="H1064" t="s">
        <v>81</v>
      </c>
      <c r="I1064" t="s">
        <v>9</v>
      </c>
      <c r="L1064" t="s">
        <v>161</v>
      </c>
      <c r="M1064">
        <v>2500000</v>
      </c>
    </row>
    <row r="1065" spans="1:13" x14ac:dyDescent="0.3">
      <c r="A1065" s="23">
        <v>45016</v>
      </c>
      <c r="B1065" t="s">
        <v>13</v>
      </c>
      <c r="C1065" t="s">
        <v>132</v>
      </c>
      <c r="D1065" t="s">
        <v>16</v>
      </c>
      <c r="E1065" t="s">
        <v>41</v>
      </c>
      <c r="F1065">
        <v>2500000</v>
      </c>
      <c r="G1065" t="s">
        <v>26</v>
      </c>
      <c r="H1065" t="s">
        <v>81</v>
      </c>
      <c r="I1065" t="s">
        <v>9</v>
      </c>
      <c r="L1065" t="s">
        <v>161</v>
      </c>
      <c r="M1065">
        <v>2500000</v>
      </c>
    </row>
    <row r="1066" spans="1:13" x14ac:dyDescent="0.3">
      <c r="A1066" s="23">
        <v>45387</v>
      </c>
      <c r="B1066" t="s">
        <v>13</v>
      </c>
      <c r="C1066" t="s">
        <v>132</v>
      </c>
      <c r="D1066" t="s">
        <v>16</v>
      </c>
      <c r="E1066" t="s">
        <v>46</v>
      </c>
      <c r="F1066">
        <v>2500000</v>
      </c>
      <c r="G1066" t="s">
        <v>28</v>
      </c>
      <c r="H1066" t="s">
        <v>81</v>
      </c>
      <c r="I1066" t="s">
        <v>9</v>
      </c>
      <c r="L1066" t="s">
        <v>161</v>
      </c>
      <c r="M1066">
        <v>2500000</v>
      </c>
    </row>
    <row r="1067" spans="1:13" x14ac:dyDescent="0.3">
      <c r="A1067" s="23">
        <v>44753</v>
      </c>
      <c r="B1067" t="s">
        <v>13</v>
      </c>
      <c r="C1067" t="s">
        <v>132</v>
      </c>
      <c r="D1067" t="s">
        <v>16</v>
      </c>
      <c r="E1067" t="s">
        <v>48</v>
      </c>
      <c r="F1067">
        <v>2500000</v>
      </c>
      <c r="G1067" t="s">
        <v>29</v>
      </c>
      <c r="H1067" t="s">
        <v>81</v>
      </c>
      <c r="I1067" t="s">
        <v>9</v>
      </c>
      <c r="L1067" t="s">
        <v>161</v>
      </c>
      <c r="M1067">
        <v>2500000</v>
      </c>
    </row>
    <row r="1068" spans="1:13" x14ac:dyDescent="0.3">
      <c r="A1068" s="23">
        <v>44733</v>
      </c>
      <c r="B1068" t="s">
        <v>13</v>
      </c>
      <c r="C1068" t="s">
        <v>132</v>
      </c>
      <c r="D1068" t="s">
        <v>16</v>
      </c>
      <c r="E1068" t="s">
        <v>139</v>
      </c>
      <c r="F1068">
        <v>2510000</v>
      </c>
      <c r="G1068" t="s">
        <v>140</v>
      </c>
      <c r="H1068" t="s">
        <v>81</v>
      </c>
      <c r="I1068" t="s">
        <v>9</v>
      </c>
      <c r="L1068" t="s">
        <v>161</v>
      </c>
      <c r="M1068">
        <v>2510000</v>
      </c>
    </row>
    <row r="1069" spans="1:13" x14ac:dyDescent="0.3">
      <c r="A1069" s="23">
        <v>45412</v>
      </c>
      <c r="B1069" t="s">
        <v>13</v>
      </c>
      <c r="C1069" t="s">
        <v>132</v>
      </c>
      <c r="D1069" t="s">
        <v>16</v>
      </c>
      <c r="E1069" t="s">
        <v>41</v>
      </c>
      <c r="F1069">
        <v>2600000</v>
      </c>
      <c r="G1069" t="s">
        <v>26</v>
      </c>
      <c r="H1069" t="s">
        <v>81</v>
      </c>
      <c r="I1069" t="s">
        <v>9</v>
      </c>
      <c r="L1069" t="s">
        <v>161</v>
      </c>
      <c r="M1069">
        <v>2600000</v>
      </c>
    </row>
    <row r="1070" spans="1:13" x14ac:dyDescent="0.3">
      <c r="A1070" s="23">
        <v>45190</v>
      </c>
      <c r="B1070" t="s">
        <v>13</v>
      </c>
      <c r="C1070" t="s">
        <v>132</v>
      </c>
      <c r="D1070" t="s">
        <v>16</v>
      </c>
      <c r="E1070" t="s">
        <v>41</v>
      </c>
      <c r="F1070">
        <v>2700000</v>
      </c>
      <c r="G1070" t="s">
        <v>26</v>
      </c>
      <c r="H1070" t="s">
        <v>81</v>
      </c>
      <c r="I1070" t="s">
        <v>9</v>
      </c>
      <c r="L1070" t="s">
        <v>161</v>
      </c>
      <c r="M1070">
        <v>2700000</v>
      </c>
    </row>
    <row r="1071" spans="1:13" x14ac:dyDescent="0.3">
      <c r="A1071" s="23">
        <v>44999</v>
      </c>
      <c r="B1071" t="s">
        <v>13</v>
      </c>
      <c r="C1071" t="s">
        <v>132</v>
      </c>
      <c r="D1071" t="s">
        <v>16</v>
      </c>
      <c r="E1071" t="s">
        <v>41</v>
      </c>
      <c r="F1071">
        <v>2700000</v>
      </c>
      <c r="G1071" t="s">
        <v>26</v>
      </c>
      <c r="H1071" t="s">
        <v>81</v>
      </c>
      <c r="I1071" t="s">
        <v>9</v>
      </c>
      <c r="L1071" t="s">
        <v>161</v>
      </c>
      <c r="M1071">
        <v>2700000</v>
      </c>
    </row>
    <row r="1072" spans="1:13" x14ac:dyDescent="0.3">
      <c r="A1072" s="23">
        <v>45467</v>
      </c>
      <c r="B1072" t="s">
        <v>13</v>
      </c>
      <c r="C1072" t="s">
        <v>132</v>
      </c>
      <c r="D1072" t="s">
        <v>16</v>
      </c>
      <c r="E1072" t="s">
        <v>48</v>
      </c>
      <c r="F1072">
        <v>2700000</v>
      </c>
      <c r="G1072" t="s">
        <v>29</v>
      </c>
      <c r="H1072" t="s">
        <v>81</v>
      </c>
      <c r="I1072" t="s">
        <v>9</v>
      </c>
      <c r="L1072" t="s">
        <v>161</v>
      </c>
      <c r="M1072">
        <v>2700000</v>
      </c>
    </row>
    <row r="1073" spans="1:13" x14ac:dyDescent="0.3">
      <c r="A1073" s="23">
        <v>44690</v>
      </c>
      <c r="B1073" t="s">
        <v>13</v>
      </c>
      <c r="C1073" t="s">
        <v>132</v>
      </c>
      <c r="D1073" t="s">
        <v>16</v>
      </c>
      <c r="E1073" t="s">
        <v>41</v>
      </c>
      <c r="F1073">
        <v>2800000</v>
      </c>
      <c r="G1073" t="s">
        <v>26</v>
      </c>
      <c r="H1073" t="s">
        <v>81</v>
      </c>
      <c r="I1073" t="s">
        <v>9</v>
      </c>
      <c r="L1073" t="s">
        <v>161</v>
      </c>
      <c r="M1073">
        <v>2800000</v>
      </c>
    </row>
    <row r="1074" spans="1:13" x14ac:dyDescent="0.3">
      <c r="A1074" s="23">
        <v>45205</v>
      </c>
      <c r="B1074" t="s">
        <v>13</v>
      </c>
      <c r="C1074" t="s">
        <v>132</v>
      </c>
      <c r="D1074" t="s">
        <v>16</v>
      </c>
      <c r="E1074" t="s">
        <v>169</v>
      </c>
      <c r="F1074">
        <v>2856520.92</v>
      </c>
      <c r="G1074" t="s">
        <v>131</v>
      </c>
      <c r="H1074" t="s">
        <v>81</v>
      </c>
      <c r="I1074" t="s">
        <v>9</v>
      </c>
      <c r="J1074" t="s">
        <v>173</v>
      </c>
      <c r="L1074" t="s">
        <v>161</v>
      </c>
      <c r="M1074">
        <v>2856520.92</v>
      </c>
    </row>
    <row r="1075" spans="1:13" x14ac:dyDescent="0.3">
      <c r="A1075" s="23">
        <v>45504</v>
      </c>
      <c r="B1075" t="s">
        <v>13</v>
      </c>
      <c r="C1075" t="s">
        <v>143</v>
      </c>
      <c r="D1075" t="s">
        <v>16</v>
      </c>
      <c r="E1075" t="s">
        <v>149</v>
      </c>
      <c r="F1075">
        <v>2862527</v>
      </c>
      <c r="G1075" t="s">
        <v>140</v>
      </c>
      <c r="H1075" t="s">
        <v>81</v>
      </c>
      <c r="I1075" t="s">
        <v>9</v>
      </c>
      <c r="M1075">
        <v>2862527</v>
      </c>
    </row>
    <row r="1076" spans="1:13" x14ac:dyDescent="0.3">
      <c r="A1076" s="23">
        <v>44728</v>
      </c>
      <c r="B1076" t="s">
        <v>13</v>
      </c>
      <c r="C1076" t="s">
        <v>132</v>
      </c>
      <c r="D1076" t="s">
        <v>16</v>
      </c>
      <c r="E1076" t="s">
        <v>139</v>
      </c>
      <c r="F1076">
        <v>2874000</v>
      </c>
      <c r="G1076" t="s">
        <v>140</v>
      </c>
      <c r="H1076" t="s">
        <v>81</v>
      </c>
      <c r="I1076" t="s">
        <v>9</v>
      </c>
      <c r="L1076" t="s">
        <v>161</v>
      </c>
      <c r="M1076">
        <v>2874000</v>
      </c>
    </row>
    <row r="1077" spans="1:13" x14ac:dyDescent="0.3">
      <c r="A1077" s="23">
        <v>44921</v>
      </c>
      <c r="B1077" t="s">
        <v>13</v>
      </c>
      <c r="C1077" t="s">
        <v>132</v>
      </c>
      <c r="D1077" t="s">
        <v>16</v>
      </c>
      <c r="E1077" t="s">
        <v>46</v>
      </c>
      <c r="F1077">
        <v>2874941.3</v>
      </c>
      <c r="G1077" t="s">
        <v>28</v>
      </c>
      <c r="H1077" t="s">
        <v>81</v>
      </c>
      <c r="I1077" t="s">
        <v>9</v>
      </c>
      <c r="J1077" t="s">
        <v>155</v>
      </c>
      <c r="L1077" t="s">
        <v>161</v>
      </c>
      <c r="M1077">
        <v>2874941.3</v>
      </c>
    </row>
    <row r="1078" spans="1:13" x14ac:dyDescent="0.3">
      <c r="A1078" s="23">
        <v>44585</v>
      </c>
      <c r="B1078" t="s">
        <v>13</v>
      </c>
      <c r="C1078" t="s">
        <v>132</v>
      </c>
      <c r="D1078" t="s">
        <v>16</v>
      </c>
      <c r="E1078" t="s">
        <v>41</v>
      </c>
      <c r="F1078">
        <v>3000000</v>
      </c>
      <c r="G1078" t="s">
        <v>26</v>
      </c>
      <c r="H1078" t="s">
        <v>81</v>
      </c>
      <c r="I1078" t="s">
        <v>9</v>
      </c>
      <c r="L1078" t="s">
        <v>161</v>
      </c>
      <c r="M1078">
        <v>3000000</v>
      </c>
    </row>
    <row r="1079" spans="1:13" x14ac:dyDescent="0.3">
      <c r="A1079" s="23">
        <v>44690</v>
      </c>
      <c r="B1079" t="s">
        <v>13</v>
      </c>
      <c r="C1079" t="s">
        <v>132</v>
      </c>
      <c r="D1079" t="s">
        <v>16</v>
      </c>
      <c r="E1079" t="s">
        <v>41</v>
      </c>
      <c r="F1079">
        <v>3000000</v>
      </c>
      <c r="G1079" t="s">
        <v>26</v>
      </c>
      <c r="H1079" t="s">
        <v>81</v>
      </c>
      <c r="I1079" t="s">
        <v>9</v>
      </c>
      <c r="L1079" t="s">
        <v>161</v>
      </c>
      <c r="M1079">
        <v>3000000</v>
      </c>
    </row>
    <row r="1080" spans="1:13" x14ac:dyDescent="0.3">
      <c r="A1080" s="23">
        <v>44749</v>
      </c>
      <c r="B1080" t="s">
        <v>13</v>
      </c>
      <c r="C1080" t="s">
        <v>132</v>
      </c>
      <c r="D1080" t="s">
        <v>16</v>
      </c>
      <c r="E1080" t="s">
        <v>41</v>
      </c>
      <c r="F1080">
        <v>3000000</v>
      </c>
      <c r="G1080" t="s">
        <v>26</v>
      </c>
      <c r="H1080" t="s">
        <v>81</v>
      </c>
      <c r="I1080" t="s">
        <v>9</v>
      </c>
      <c r="L1080" t="s">
        <v>161</v>
      </c>
      <c r="M1080">
        <v>3000000</v>
      </c>
    </row>
    <row r="1081" spans="1:13" x14ac:dyDescent="0.3">
      <c r="A1081" s="23">
        <v>45750</v>
      </c>
      <c r="B1081" t="s">
        <v>13</v>
      </c>
      <c r="C1081" t="s">
        <v>132</v>
      </c>
      <c r="D1081" t="s">
        <v>16</v>
      </c>
      <c r="E1081" t="s">
        <v>48</v>
      </c>
      <c r="F1081">
        <v>3000000</v>
      </c>
      <c r="G1081" t="s">
        <v>29</v>
      </c>
      <c r="H1081" t="s">
        <v>81</v>
      </c>
      <c r="I1081" t="s">
        <v>9</v>
      </c>
      <c r="L1081" t="s">
        <v>161</v>
      </c>
      <c r="M1081">
        <v>3000000</v>
      </c>
    </row>
    <row r="1082" spans="1:13" x14ac:dyDescent="0.3">
      <c r="A1082" s="23">
        <v>45454</v>
      </c>
      <c r="B1082" t="s">
        <v>13</v>
      </c>
      <c r="C1082" t="s">
        <v>132</v>
      </c>
      <c r="D1082" t="s">
        <v>16</v>
      </c>
      <c r="E1082" t="s">
        <v>48</v>
      </c>
      <c r="F1082">
        <v>3000000</v>
      </c>
      <c r="G1082" t="s">
        <v>29</v>
      </c>
      <c r="H1082" t="s">
        <v>81</v>
      </c>
      <c r="I1082" t="s">
        <v>9</v>
      </c>
      <c r="L1082" t="s">
        <v>161</v>
      </c>
      <c r="M1082">
        <v>3000000</v>
      </c>
    </row>
    <row r="1083" spans="1:13" x14ac:dyDescent="0.3">
      <c r="A1083" s="23">
        <v>45359</v>
      </c>
      <c r="B1083" t="s">
        <v>13</v>
      </c>
      <c r="C1083" t="s">
        <v>132</v>
      </c>
      <c r="D1083" t="s">
        <v>16</v>
      </c>
      <c r="E1083" t="s">
        <v>41</v>
      </c>
      <c r="F1083">
        <v>3090000</v>
      </c>
      <c r="G1083" t="s">
        <v>26</v>
      </c>
      <c r="H1083" t="s">
        <v>81</v>
      </c>
      <c r="I1083" t="s">
        <v>9</v>
      </c>
      <c r="L1083" t="s">
        <v>161</v>
      </c>
      <c r="M1083">
        <v>3090000</v>
      </c>
    </row>
    <row r="1084" spans="1:13" x14ac:dyDescent="0.3">
      <c r="A1084" s="23">
        <v>45407</v>
      </c>
      <c r="B1084" t="s">
        <v>13</v>
      </c>
      <c r="C1084" t="s">
        <v>132</v>
      </c>
      <c r="D1084" t="s">
        <v>16</v>
      </c>
      <c r="E1084" t="s">
        <v>41</v>
      </c>
      <c r="F1084">
        <v>3100000</v>
      </c>
      <c r="G1084" t="s">
        <v>26</v>
      </c>
      <c r="H1084" t="s">
        <v>81</v>
      </c>
      <c r="I1084" t="s">
        <v>9</v>
      </c>
      <c r="L1084" t="s">
        <v>161</v>
      </c>
      <c r="M1084">
        <v>3100000</v>
      </c>
    </row>
    <row r="1085" spans="1:13" x14ac:dyDescent="0.3">
      <c r="A1085" s="23">
        <v>45337</v>
      </c>
      <c r="B1085" t="s">
        <v>13</v>
      </c>
      <c r="C1085" t="s">
        <v>132</v>
      </c>
      <c r="D1085" t="s">
        <v>16</v>
      </c>
      <c r="E1085" t="s">
        <v>46</v>
      </c>
      <c r="F1085">
        <v>3100000</v>
      </c>
      <c r="G1085" t="s">
        <v>28</v>
      </c>
      <c r="H1085" t="s">
        <v>81</v>
      </c>
      <c r="I1085" t="s">
        <v>9</v>
      </c>
      <c r="L1085" t="s">
        <v>161</v>
      </c>
      <c r="M1085">
        <v>3100000</v>
      </c>
    </row>
    <row r="1086" spans="1:13" x14ac:dyDescent="0.3">
      <c r="A1086" s="23">
        <v>44757</v>
      </c>
      <c r="B1086" t="s">
        <v>13</v>
      </c>
      <c r="C1086" t="s">
        <v>132</v>
      </c>
      <c r="D1086" t="s">
        <v>16</v>
      </c>
      <c r="E1086" t="s">
        <v>48</v>
      </c>
      <c r="F1086">
        <v>3100000</v>
      </c>
      <c r="G1086" t="s">
        <v>29</v>
      </c>
      <c r="H1086" t="s">
        <v>81</v>
      </c>
      <c r="I1086" t="s">
        <v>9</v>
      </c>
      <c r="L1086" t="s">
        <v>161</v>
      </c>
      <c r="M1086">
        <v>3100000</v>
      </c>
    </row>
    <row r="1087" spans="1:13" x14ac:dyDescent="0.3">
      <c r="A1087" s="23">
        <v>44918</v>
      </c>
      <c r="B1087" t="s">
        <v>13</v>
      </c>
      <c r="C1087" t="s">
        <v>132</v>
      </c>
      <c r="D1087" t="s">
        <v>16</v>
      </c>
      <c r="E1087" t="s">
        <v>48</v>
      </c>
      <c r="F1087">
        <v>3100000</v>
      </c>
      <c r="G1087" t="s">
        <v>29</v>
      </c>
      <c r="H1087" t="s">
        <v>81</v>
      </c>
      <c r="I1087" t="s">
        <v>9</v>
      </c>
      <c r="L1087" t="s">
        <v>161</v>
      </c>
      <c r="M1087">
        <v>3100000</v>
      </c>
    </row>
    <row r="1088" spans="1:13" x14ac:dyDescent="0.3">
      <c r="A1088" s="23">
        <v>45085</v>
      </c>
      <c r="B1088" t="s">
        <v>13</v>
      </c>
      <c r="C1088" t="s">
        <v>132</v>
      </c>
      <c r="D1088" t="s">
        <v>16</v>
      </c>
      <c r="E1088" t="s">
        <v>41</v>
      </c>
      <c r="F1088">
        <v>3200000</v>
      </c>
      <c r="G1088" t="s">
        <v>26</v>
      </c>
      <c r="H1088" t="s">
        <v>81</v>
      </c>
      <c r="I1088" t="s">
        <v>9</v>
      </c>
      <c r="L1088" t="s">
        <v>161</v>
      </c>
      <c r="M1088">
        <v>3200000</v>
      </c>
    </row>
    <row r="1089" spans="1:13" x14ac:dyDescent="0.3">
      <c r="A1089" s="23">
        <v>45674</v>
      </c>
      <c r="B1089" t="s">
        <v>13</v>
      </c>
      <c r="C1089" t="s">
        <v>132</v>
      </c>
      <c r="D1089" t="s">
        <v>16</v>
      </c>
      <c r="E1089" t="s">
        <v>193</v>
      </c>
      <c r="F1089">
        <v>3204516.01</v>
      </c>
      <c r="G1089" t="s">
        <v>131</v>
      </c>
      <c r="H1089" t="s">
        <v>81</v>
      </c>
      <c r="I1089" t="s">
        <v>9</v>
      </c>
      <c r="L1089" t="s">
        <v>161</v>
      </c>
      <c r="M1089">
        <v>3204516.01</v>
      </c>
    </row>
    <row r="1090" spans="1:13" x14ac:dyDescent="0.3">
      <c r="A1090" s="23">
        <v>45695</v>
      </c>
      <c r="B1090" t="s">
        <v>13</v>
      </c>
      <c r="C1090" t="s">
        <v>132</v>
      </c>
      <c r="D1090" t="s">
        <v>16</v>
      </c>
      <c r="E1090" t="s">
        <v>193</v>
      </c>
      <c r="F1090">
        <v>3240000</v>
      </c>
      <c r="G1090" t="s">
        <v>131</v>
      </c>
      <c r="H1090" t="s">
        <v>81</v>
      </c>
      <c r="I1090" t="s">
        <v>9</v>
      </c>
      <c r="L1090" t="s">
        <v>161</v>
      </c>
      <c r="M1090">
        <v>3240000</v>
      </c>
    </row>
    <row r="1091" spans="1:13" x14ac:dyDescent="0.3">
      <c r="A1091" s="23">
        <v>45344</v>
      </c>
      <c r="B1091" t="s">
        <v>13</v>
      </c>
      <c r="C1091" t="s">
        <v>132</v>
      </c>
      <c r="D1091" t="s">
        <v>16</v>
      </c>
      <c r="E1091" t="s">
        <v>180</v>
      </c>
      <c r="F1091">
        <v>3300000</v>
      </c>
      <c r="G1091" t="s">
        <v>181</v>
      </c>
      <c r="H1091" t="s">
        <v>81</v>
      </c>
      <c r="I1091" t="s">
        <v>9</v>
      </c>
      <c r="L1091" t="s">
        <v>161</v>
      </c>
      <c r="M1091">
        <v>3300000</v>
      </c>
    </row>
    <row r="1092" spans="1:13" x14ac:dyDescent="0.3">
      <c r="A1092" s="23">
        <v>45211</v>
      </c>
      <c r="B1092" t="s">
        <v>13</v>
      </c>
      <c r="C1092" t="s">
        <v>132</v>
      </c>
      <c r="D1092" t="s">
        <v>16</v>
      </c>
      <c r="E1092" t="s">
        <v>169</v>
      </c>
      <c r="F1092">
        <v>3417113.91</v>
      </c>
      <c r="G1092" t="s">
        <v>131</v>
      </c>
      <c r="H1092" t="s">
        <v>81</v>
      </c>
      <c r="I1092" t="s">
        <v>9</v>
      </c>
      <c r="L1092" t="s">
        <v>161</v>
      </c>
      <c r="M1092">
        <v>3417113.91</v>
      </c>
    </row>
    <row r="1093" spans="1:13" x14ac:dyDescent="0.3">
      <c r="A1093" s="23">
        <v>45237</v>
      </c>
      <c r="B1093" t="s">
        <v>13</v>
      </c>
      <c r="C1093" t="s">
        <v>143</v>
      </c>
      <c r="D1093" t="s">
        <v>16</v>
      </c>
      <c r="E1093" t="s">
        <v>149</v>
      </c>
      <c r="F1093">
        <v>3446627.63</v>
      </c>
      <c r="G1093" t="s">
        <v>140</v>
      </c>
      <c r="H1093" t="s">
        <v>81</v>
      </c>
      <c r="I1093" t="s">
        <v>9</v>
      </c>
      <c r="M1093">
        <v>3446627.63</v>
      </c>
    </row>
    <row r="1094" spans="1:13" x14ac:dyDescent="0.3">
      <c r="A1094" s="23">
        <v>44816</v>
      </c>
      <c r="B1094" t="s">
        <v>13</v>
      </c>
      <c r="C1094" t="s">
        <v>143</v>
      </c>
      <c r="D1094" t="s">
        <v>16</v>
      </c>
      <c r="E1094" t="s">
        <v>149</v>
      </c>
      <c r="F1094">
        <v>3480077.56</v>
      </c>
      <c r="G1094" t="s">
        <v>140</v>
      </c>
      <c r="H1094" t="s">
        <v>81</v>
      </c>
      <c r="I1094" t="s">
        <v>9</v>
      </c>
      <c r="J1094" s="23">
        <v>44816</v>
      </c>
      <c r="L1094" t="s">
        <v>237</v>
      </c>
      <c r="M1094">
        <v>3480077.56</v>
      </c>
    </row>
    <row r="1095" spans="1:13" x14ac:dyDescent="0.3">
      <c r="A1095" s="23">
        <v>45282</v>
      </c>
      <c r="B1095" t="s">
        <v>13</v>
      </c>
      <c r="C1095" t="s">
        <v>132</v>
      </c>
      <c r="D1095" t="s">
        <v>16</v>
      </c>
      <c r="E1095" t="s">
        <v>136</v>
      </c>
      <c r="F1095">
        <v>3481059.21</v>
      </c>
      <c r="G1095" t="s">
        <v>134</v>
      </c>
      <c r="H1095" t="s">
        <v>81</v>
      </c>
      <c r="I1095" t="s">
        <v>9</v>
      </c>
      <c r="L1095" t="s">
        <v>161</v>
      </c>
      <c r="M1095">
        <v>3481059.21</v>
      </c>
    </row>
    <row r="1096" spans="1:13" x14ac:dyDescent="0.3">
      <c r="A1096" s="23">
        <v>45582</v>
      </c>
      <c r="B1096" t="s">
        <v>13</v>
      </c>
      <c r="C1096" t="s">
        <v>132</v>
      </c>
      <c r="D1096" t="s">
        <v>16</v>
      </c>
      <c r="E1096" t="s">
        <v>46</v>
      </c>
      <c r="F1096">
        <v>3487008</v>
      </c>
      <c r="G1096" t="s">
        <v>28</v>
      </c>
      <c r="H1096" t="s">
        <v>81</v>
      </c>
      <c r="I1096" t="s">
        <v>9</v>
      </c>
      <c r="L1096" t="s">
        <v>161</v>
      </c>
      <c r="M1096">
        <v>3487008</v>
      </c>
    </row>
    <row r="1097" spans="1:13" x14ac:dyDescent="0.3">
      <c r="A1097" s="23">
        <v>45314</v>
      </c>
      <c r="B1097" t="s">
        <v>13</v>
      </c>
      <c r="C1097" t="s">
        <v>132</v>
      </c>
      <c r="D1097" t="s">
        <v>16</v>
      </c>
      <c r="E1097" t="s">
        <v>46</v>
      </c>
      <c r="F1097">
        <v>3500000</v>
      </c>
      <c r="G1097" t="s">
        <v>28</v>
      </c>
      <c r="H1097" t="s">
        <v>81</v>
      </c>
      <c r="I1097" t="s">
        <v>9</v>
      </c>
      <c r="L1097" t="s">
        <v>161</v>
      </c>
      <c r="M1097">
        <v>3500000</v>
      </c>
    </row>
    <row r="1098" spans="1:13" x14ac:dyDescent="0.3">
      <c r="A1098" s="23">
        <v>44701</v>
      </c>
      <c r="B1098" t="s">
        <v>13</v>
      </c>
      <c r="C1098" t="s">
        <v>132</v>
      </c>
      <c r="D1098" t="s">
        <v>16</v>
      </c>
      <c r="E1098" t="s">
        <v>139</v>
      </c>
      <c r="F1098">
        <v>3500000</v>
      </c>
      <c r="G1098" t="s">
        <v>140</v>
      </c>
      <c r="H1098" t="s">
        <v>81</v>
      </c>
      <c r="I1098" t="s">
        <v>9</v>
      </c>
      <c r="L1098" t="s">
        <v>161</v>
      </c>
      <c r="M1098">
        <v>3500000</v>
      </c>
    </row>
    <row r="1099" spans="1:13" x14ac:dyDescent="0.3">
      <c r="A1099" s="23">
        <v>45383</v>
      </c>
      <c r="B1099" t="s">
        <v>13</v>
      </c>
      <c r="C1099" t="s">
        <v>132</v>
      </c>
      <c r="D1099" t="s">
        <v>16</v>
      </c>
      <c r="E1099" t="s">
        <v>180</v>
      </c>
      <c r="F1099">
        <v>3550000</v>
      </c>
      <c r="G1099" t="s">
        <v>181</v>
      </c>
      <c r="H1099" t="s">
        <v>81</v>
      </c>
      <c r="I1099" t="s">
        <v>9</v>
      </c>
      <c r="L1099" t="s">
        <v>161</v>
      </c>
      <c r="M1099">
        <v>3550000</v>
      </c>
    </row>
    <row r="1100" spans="1:13" x14ac:dyDescent="0.3">
      <c r="A1100" s="23">
        <v>44713</v>
      </c>
      <c r="B1100" t="s">
        <v>13</v>
      </c>
      <c r="C1100" t="s">
        <v>132</v>
      </c>
      <c r="D1100" t="s">
        <v>16</v>
      </c>
      <c r="E1100" t="s">
        <v>139</v>
      </c>
      <c r="F1100">
        <v>3660000</v>
      </c>
      <c r="G1100" t="s">
        <v>140</v>
      </c>
      <c r="H1100" t="s">
        <v>81</v>
      </c>
      <c r="I1100" t="s">
        <v>9</v>
      </c>
      <c r="L1100" t="s">
        <v>161</v>
      </c>
      <c r="M1100">
        <v>3660000</v>
      </c>
    </row>
    <row r="1101" spans="1:13" x14ac:dyDescent="0.3">
      <c r="A1101" s="23">
        <v>44897</v>
      </c>
      <c r="B1101" t="s">
        <v>13</v>
      </c>
      <c r="C1101" t="s">
        <v>132</v>
      </c>
      <c r="D1101" t="s">
        <v>16</v>
      </c>
      <c r="E1101" t="s">
        <v>46</v>
      </c>
      <c r="F1101">
        <v>3700000</v>
      </c>
      <c r="G1101" t="s">
        <v>28</v>
      </c>
      <c r="H1101" t="s">
        <v>81</v>
      </c>
      <c r="I1101" t="s">
        <v>9</v>
      </c>
      <c r="L1101" t="s">
        <v>161</v>
      </c>
      <c r="M1101">
        <v>3700000</v>
      </c>
    </row>
    <row r="1102" spans="1:13" x14ac:dyDescent="0.3">
      <c r="A1102" s="23">
        <v>44810</v>
      </c>
      <c r="B1102" t="s">
        <v>13</v>
      </c>
      <c r="C1102" t="s">
        <v>132</v>
      </c>
      <c r="D1102" t="s">
        <v>16</v>
      </c>
      <c r="E1102" t="s">
        <v>41</v>
      </c>
      <c r="F1102">
        <v>3800000</v>
      </c>
      <c r="G1102" t="s">
        <v>26</v>
      </c>
      <c r="H1102" t="s">
        <v>81</v>
      </c>
      <c r="I1102" t="s">
        <v>9</v>
      </c>
      <c r="L1102" t="s">
        <v>161</v>
      </c>
      <c r="M1102">
        <v>3800000</v>
      </c>
    </row>
    <row r="1103" spans="1:13" x14ac:dyDescent="0.3">
      <c r="A1103" s="23">
        <v>44937</v>
      </c>
      <c r="B1103" t="s">
        <v>13</v>
      </c>
      <c r="C1103" t="s">
        <v>132</v>
      </c>
      <c r="D1103" t="s">
        <v>16</v>
      </c>
      <c r="E1103" t="s">
        <v>46</v>
      </c>
      <c r="F1103">
        <v>3800000</v>
      </c>
      <c r="G1103" t="s">
        <v>28</v>
      </c>
      <c r="H1103" t="s">
        <v>81</v>
      </c>
      <c r="I1103" t="s">
        <v>9</v>
      </c>
      <c r="L1103" t="s">
        <v>161</v>
      </c>
      <c r="M1103">
        <v>3800000</v>
      </c>
    </row>
    <row r="1104" spans="1:13" x14ac:dyDescent="0.3">
      <c r="A1104" s="23">
        <v>45083</v>
      </c>
      <c r="B1104" t="s">
        <v>13</v>
      </c>
      <c r="C1104" t="s">
        <v>132</v>
      </c>
      <c r="D1104" t="s">
        <v>16</v>
      </c>
      <c r="E1104" t="s">
        <v>41</v>
      </c>
      <c r="F1104">
        <v>3853000</v>
      </c>
      <c r="G1104" t="s">
        <v>26</v>
      </c>
      <c r="H1104" t="s">
        <v>81</v>
      </c>
      <c r="I1104" t="s">
        <v>9</v>
      </c>
      <c r="L1104" t="s">
        <v>161</v>
      </c>
      <c r="M1104">
        <v>3853000</v>
      </c>
    </row>
    <row r="1105" spans="1:13" x14ac:dyDescent="0.3">
      <c r="A1105" s="23">
        <v>45568</v>
      </c>
      <c r="B1105" t="s">
        <v>13</v>
      </c>
      <c r="C1105" t="s">
        <v>132</v>
      </c>
      <c r="D1105" t="s">
        <v>16</v>
      </c>
      <c r="E1105" t="s">
        <v>41</v>
      </c>
      <c r="F1105">
        <v>4000000</v>
      </c>
      <c r="G1105" t="s">
        <v>26</v>
      </c>
      <c r="H1105" t="s">
        <v>81</v>
      </c>
      <c r="I1105" t="s">
        <v>9</v>
      </c>
      <c r="L1105" t="s">
        <v>161</v>
      </c>
      <c r="M1105">
        <v>4000000</v>
      </c>
    </row>
    <row r="1106" spans="1:13" x14ac:dyDescent="0.3">
      <c r="A1106" s="23">
        <v>44915</v>
      </c>
      <c r="B1106" t="s">
        <v>13</v>
      </c>
      <c r="C1106" t="s">
        <v>132</v>
      </c>
      <c r="D1106" t="s">
        <v>16</v>
      </c>
      <c r="E1106" t="s">
        <v>48</v>
      </c>
      <c r="F1106">
        <v>4000000</v>
      </c>
      <c r="G1106" t="s">
        <v>29</v>
      </c>
      <c r="H1106" t="s">
        <v>81</v>
      </c>
      <c r="I1106" t="s">
        <v>9</v>
      </c>
      <c r="L1106" t="s">
        <v>161</v>
      </c>
      <c r="M1106">
        <v>4000000</v>
      </c>
    </row>
    <row r="1107" spans="1:13" x14ac:dyDescent="0.3">
      <c r="A1107" s="23">
        <v>45350</v>
      </c>
      <c r="B1107" t="s">
        <v>13</v>
      </c>
      <c r="C1107" t="s">
        <v>143</v>
      </c>
      <c r="D1107" t="s">
        <v>16</v>
      </c>
      <c r="E1107" t="s">
        <v>149</v>
      </c>
      <c r="F1107">
        <v>4000000</v>
      </c>
      <c r="G1107" t="s">
        <v>140</v>
      </c>
      <c r="H1107" t="s">
        <v>81</v>
      </c>
      <c r="I1107" t="s">
        <v>9</v>
      </c>
      <c r="M1107">
        <v>4000000</v>
      </c>
    </row>
    <row r="1108" spans="1:13" x14ac:dyDescent="0.3">
      <c r="A1108" s="23">
        <v>45317</v>
      </c>
      <c r="B1108" t="s">
        <v>13</v>
      </c>
      <c r="C1108" t="s">
        <v>132</v>
      </c>
      <c r="D1108" t="s">
        <v>16</v>
      </c>
      <c r="E1108" t="s">
        <v>169</v>
      </c>
      <c r="F1108">
        <v>4000000</v>
      </c>
      <c r="G1108" t="s">
        <v>131</v>
      </c>
      <c r="H1108" t="s">
        <v>81</v>
      </c>
      <c r="I1108" t="s">
        <v>9</v>
      </c>
      <c r="L1108" t="s">
        <v>161</v>
      </c>
      <c r="M1108">
        <v>4000000</v>
      </c>
    </row>
    <row r="1109" spans="1:13" x14ac:dyDescent="0.3">
      <c r="A1109" s="23">
        <v>45148</v>
      </c>
      <c r="B1109" t="s">
        <v>13</v>
      </c>
      <c r="C1109" t="s">
        <v>132</v>
      </c>
      <c r="D1109" t="s">
        <v>16</v>
      </c>
      <c r="E1109" t="s">
        <v>41</v>
      </c>
      <c r="F1109">
        <v>4003222.66</v>
      </c>
      <c r="G1109" t="s">
        <v>26</v>
      </c>
      <c r="H1109" t="s">
        <v>81</v>
      </c>
      <c r="I1109" t="s">
        <v>9</v>
      </c>
      <c r="L1109" t="s">
        <v>161</v>
      </c>
      <c r="M1109">
        <v>4003222.66</v>
      </c>
    </row>
    <row r="1110" spans="1:13" x14ac:dyDescent="0.3">
      <c r="A1110" s="23">
        <v>44614</v>
      </c>
      <c r="B1110" t="s">
        <v>13</v>
      </c>
      <c r="C1110" t="s">
        <v>132</v>
      </c>
      <c r="D1110" t="s">
        <v>16</v>
      </c>
      <c r="E1110" t="s">
        <v>41</v>
      </c>
      <c r="F1110">
        <v>4100000</v>
      </c>
      <c r="G1110" t="s">
        <v>26</v>
      </c>
      <c r="H1110" t="s">
        <v>81</v>
      </c>
      <c r="I1110" t="s">
        <v>9</v>
      </c>
      <c r="L1110" t="s">
        <v>161</v>
      </c>
      <c r="M1110">
        <v>4100000</v>
      </c>
    </row>
    <row r="1111" spans="1:13" x14ac:dyDescent="0.3">
      <c r="A1111" s="23">
        <v>45582</v>
      </c>
      <c r="B1111" t="s">
        <v>13</v>
      </c>
      <c r="C1111" t="s">
        <v>132</v>
      </c>
      <c r="D1111" t="s">
        <v>16</v>
      </c>
      <c r="E1111" t="s">
        <v>41</v>
      </c>
      <c r="F1111">
        <v>4115597</v>
      </c>
      <c r="G1111" t="s">
        <v>26</v>
      </c>
      <c r="H1111" t="s">
        <v>81</v>
      </c>
      <c r="I1111" t="s">
        <v>9</v>
      </c>
      <c r="L1111" t="s">
        <v>161</v>
      </c>
      <c r="M1111">
        <v>4115597</v>
      </c>
    </row>
    <row r="1112" spans="1:13" x14ac:dyDescent="0.3">
      <c r="A1112" s="23">
        <v>45331</v>
      </c>
      <c r="B1112" t="s">
        <v>13</v>
      </c>
      <c r="C1112" t="s">
        <v>132</v>
      </c>
      <c r="D1112" t="s">
        <v>16</v>
      </c>
      <c r="E1112" t="s">
        <v>136</v>
      </c>
      <c r="F1112">
        <v>4200000</v>
      </c>
      <c r="G1112" t="s">
        <v>134</v>
      </c>
      <c r="H1112" t="s">
        <v>81</v>
      </c>
      <c r="I1112" t="s">
        <v>9</v>
      </c>
      <c r="L1112" t="s">
        <v>161</v>
      </c>
      <c r="M1112">
        <v>4200000</v>
      </c>
    </row>
    <row r="1113" spans="1:13" x14ac:dyDescent="0.3">
      <c r="A1113" s="23">
        <v>45131</v>
      </c>
      <c r="B1113" t="s">
        <v>13</v>
      </c>
      <c r="C1113" t="s">
        <v>132</v>
      </c>
      <c r="D1113" t="s">
        <v>16</v>
      </c>
      <c r="E1113" t="s">
        <v>41</v>
      </c>
      <c r="F1113">
        <v>4200000</v>
      </c>
      <c r="G1113" t="s">
        <v>26</v>
      </c>
      <c r="H1113" t="s">
        <v>81</v>
      </c>
      <c r="I1113" t="s">
        <v>9</v>
      </c>
      <c r="L1113" t="s">
        <v>161</v>
      </c>
      <c r="M1113">
        <v>4200000</v>
      </c>
    </row>
    <row r="1114" spans="1:13" x14ac:dyDescent="0.3">
      <c r="A1114" s="23">
        <v>45194</v>
      </c>
      <c r="B1114" t="s">
        <v>13</v>
      </c>
      <c r="C1114" t="s">
        <v>143</v>
      </c>
      <c r="D1114" t="s">
        <v>16</v>
      </c>
      <c r="E1114" t="s">
        <v>149</v>
      </c>
      <c r="F1114">
        <v>4202416.18</v>
      </c>
      <c r="G1114" t="s">
        <v>140</v>
      </c>
      <c r="H1114" t="s">
        <v>81</v>
      </c>
      <c r="I1114" t="s">
        <v>9</v>
      </c>
      <c r="M1114">
        <v>4202416.18</v>
      </c>
    </row>
    <row r="1115" spans="1:13" x14ac:dyDescent="0.3">
      <c r="A1115" s="23">
        <v>45373</v>
      </c>
      <c r="B1115" t="s">
        <v>13</v>
      </c>
      <c r="C1115" t="s">
        <v>132</v>
      </c>
      <c r="D1115" t="s">
        <v>16</v>
      </c>
      <c r="E1115" t="s">
        <v>46</v>
      </c>
      <c r="F1115">
        <v>4205230.3499999996</v>
      </c>
      <c r="G1115" t="s">
        <v>28</v>
      </c>
      <c r="H1115" t="s">
        <v>81</v>
      </c>
      <c r="I1115" t="s">
        <v>9</v>
      </c>
      <c r="L1115" t="s">
        <v>161</v>
      </c>
      <c r="M1115">
        <v>4205230.3499999996</v>
      </c>
    </row>
    <row r="1116" spans="1:13" x14ac:dyDescent="0.3">
      <c r="A1116" s="23">
        <v>44873</v>
      </c>
      <c r="B1116" t="s">
        <v>13</v>
      </c>
      <c r="C1116" t="s">
        <v>132</v>
      </c>
      <c r="D1116" t="s">
        <v>16</v>
      </c>
      <c r="E1116" t="s">
        <v>48</v>
      </c>
      <c r="F1116">
        <v>4300000</v>
      </c>
      <c r="G1116" t="s">
        <v>29</v>
      </c>
      <c r="H1116" t="s">
        <v>81</v>
      </c>
      <c r="I1116" t="s">
        <v>9</v>
      </c>
      <c r="L1116" t="s">
        <v>161</v>
      </c>
      <c r="M1116">
        <v>4300000</v>
      </c>
    </row>
    <row r="1117" spans="1:13" x14ac:dyDescent="0.3">
      <c r="A1117" s="23">
        <v>44847</v>
      </c>
      <c r="B1117" t="s">
        <v>13</v>
      </c>
      <c r="C1117" t="s">
        <v>132</v>
      </c>
      <c r="D1117" t="s">
        <v>16</v>
      </c>
      <c r="E1117" t="s">
        <v>45</v>
      </c>
      <c r="F1117">
        <v>4300000</v>
      </c>
      <c r="G1117" t="s">
        <v>26</v>
      </c>
      <c r="H1117" t="s">
        <v>81</v>
      </c>
      <c r="I1117" t="s">
        <v>9</v>
      </c>
      <c r="L1117" t="s">
        <v>161</v>
      </c>
      <c r="M1117">
        <v>4300000</v>
      </c>
    </row>
    <row r="1118" spans="1:13" x14ac:dyDescent="0.3">
      <c r="A1118" s="23">
        <v>45645</v>
      </c>
      <c r="B1118" t="s">
        <v>13</v>
      </c>
      <c r="C1118" t="s">
        <v>132</v>
      </c>
      <c r="D1118" t="s">
        <v>16</v>
      </c>
      <c r="E1118" t="s">
        <v>193</v>
      </c>
      <c r="F1118">
        <v>4441332.04</v>
      </c>
      <c r="G1118" t="s">
        <v>131</v>
      </c>
      <c r="H1118" t="s">
        <v>81</v>
      </c>
      <c r="I1118" t="s">
        <v>9</v>
      </c>
      <c r="L1118" t="s">
        <v>161</v>
      </c>
      <c r="M1118">
        <v>4441332.04</v>
      </c>
    </row>
    <row r="1119" spans="1:13" x14ac:dyDescent="0.3">
      <c r="A1119" s="23">
        <v>44781</v>
      </c>
      <c r="B1119" t="s">
        <v>13</v>
      </c>
      <c r="C1119" t="s">
        <v>132</v>
      </c>
      <c r="D1119" t="s">
        <v>16</v>
      </c>
      <c r="E1119" t="s">
        <v>41</v>
      </c>
      <c r="F1119">
        <v>4500000</v>
      </c>
      <c r="G1119" t="s">
        <v>26</v>
      </c>
      <c r="H1119" t="s">
        <v>81</v>
      </c>
      <c r="I1119" t="s">
        <v>9</v>
      </c>
      <c r="L1119" t="s">
        <v>161</v>
      </c>
      <c r="M1119">
        <v>4500000</v>
      </c>
    </row>
    <row r="1120" spans="1:13" x14ac:dyDescent="0.3">
      <c r="A1120" s="23">
        <v>44917</v>
      </c>
      <c r="B1120" t="s">
        <v>13</v>
      </c>
      <c r="C1120" t="s">
        <v>132</v>
      </c>
      <c r="D1120" t="s">
        <v>16</v>
      </c>
      <c r="E1120" t="s">
        <v>41</v>
      </c>
      <c r="F1120">
        <v>4500000</v>
      </c>
      <c r="G1120" t="s">
        <v>26</v>
      </c>
      <c r="H1120" t="s">
        <v>81</v>
      </c>
      <c r="I1120" t="s">
        <v>9</v>
      </c>
      <c r="L1120" t="s">
        <v>161</v>
      </c>
      <c r="M1120">
        <v>4500000</v>
      </c>
    </row>
    <row r="1121" spans="1:13" x14ac:dyDescent="0.3">
      <c r="A1121" s="23">
        <v>45383</v>
      </c>
      <c r="B1121" t="s">
        <v>13</v>
      </c>
      <c r="C1121" t="s">
        <v>132</v>
      </c>
      <c r="D1121" t="s">
        <v>16</v>
      </c>
      <c r="E1121" t="s">
        <v>136</v>
      </c>
      <c r="F1121">
        <v>4520000</v>
      </c>
      <c r="G1121" t="s">
        <v>134</v>
      </c>
      <c r="H1121" t="s">
        <v>81</v>
      </c>
      <c r="I1121" t="s">
        <v>9</v>
      </c>
      <c r="L1121" t="s">
        <v>161</v>
      </c>
      <c r="M1121">
        <v>4520000</v>
      </c>
    </row>
    <row r="1122" spans="1:13" x14ac:dyDescent="0.3">
      <c r="A1122" s="23">
        <v>45170</v>
      </c>
      <c r="B1122" t="s">
        <v>13</v>
      </c>
      <c r="C1122" t="s">
        <v>143</v>
      </c>
      <c r="D1122" t="s">
        <v>16</v>
      </c>
      <c r="E1122" t="s">
        <v>149</v>
      </c>
      <c r="F1122">
        <v>4533261.25</v>
      </c>
      <c r="G1122" t="s">
        <v>140</v>
      </c>
      <c r="H1122" t="s">
        <v>81</v>
      </c>
      <c r="I1122" t="s">
        <v>9</v>
      </c>
      <c r="M1122">
        <v>4533261.25</v>
      </c>
    </row>
    <row r="1123" spans="1:13" x14ac:dyDescent="0.3">
      <c r="A1123" s="23">
        <v>45282</v>
      </c>
      <c r="B1123" t="s">
        <v>13</v>
      </c>
      <c r="C1123" t="s">
        <v>132</v>
      </c>
      <c r="D1123" t="s">
        <v>16</v>
      </c>
      <c r="E1123" t="s">
        <v>169</v>
      </c>
      <c r="F1123">
        <v>4673646.68</v>
      </c>
      <c r="G1123" t="s">
        <v>131</v>
      </c>
      <c r="H1123" t="s">
        <v>81</v>
      </c>
      <c r="I1123" t="s">
        <v>9</v>
      </c>
      <c r="L1123" t="s">
        <v>161</v>
      </c>
      <c r="M1123">
        <v>4673646.68</v>
      </c>
    </row>
    <row r="1124" spans="1:13" x14ac:dyDescent="0.3">
      <c r="A1124" s="23">
        <v>44603</v>
      </c>
      <c r="B1124" t="s">
        <v>13</v>
      </c>
      <c r="C1124" t="s">
        <v>132</v>
      </c>
      <c r="D1124" t="s">
        <v>16</v>
      </c>
      <c r="E1124" t="s">
        <v>41</v>
      </c>
      <c r="F1124">
        <v>4700000</v>
      </c>
      <c r="G1124" t="s">
        <v>26</v>
      </c>
      <c r="H1124" t="s">
        <v>81</v>
      </c>
      <c r="I1124" t="s">
        <v>9</v>
      </c>
      <c r="L1124" t="s">
        <v>161</v>
      </c>
      <c r="M1124">
        <v>4700000</v>
      </c>
    </row>
    <row r="1125" spans="1:13" x14ac:dyDescent="0.3">
      <c r="A1125" s="23">
        <v>45743</v>
      </c>
      <c r="B1125" t="s">
        <v>13</v>
      </c>
      <c r="C1125" t="s">
        <v>132</v>
      </c>
      <c r="D1125" t="s">
        <v>16</v>
      </c>
      <c r="E1125" t="s">
        <v>193</v>
      </c>
      <c r="F1125">
        <v>4887616.0599999996</v>
      </c>
      <c r="G1125" t="s">
        <v>131</v>
      </c>
      <c r="H1125" t="s">
        <v>81</v>
      </c>
      <c r="I1125" t="s">
        <v>9</v>
      </c>
      <c r="L1125" t="s">
        <v>161</v>
      </c>
      <c r="M1125">
        <v>4887616.0599999996</v>
      </c>
    </row>
    <row r="1126" spans="1:13" x14ac:dyDescent="0.3">
      <c r="A1126" s="23">
        <v>44656</v>
      </c>
      <c r="B1126" t="s">
        <v>13</v>
      </c>
      <c r="C1126" t="s">
        <v>132</v>
      </c>
      <c r="D1126" t="s">
        <v>16</v>
      </c>
      <c r="E1126" t="s">
        <v>41</v>
      </c>
      <c r="F1126">
        <v>5000000</v>
      </c>
      <c r="G1126" t="s">
        <v>26</v>
      </c>
      <c r="H1126" t="s">
        <v>81</v>
      </c>
      <c r="I1126" t="s">
        <v>9</v>
      </c>
      <c r="L1126" t="s">
        <v>161</v>
      </c>
      <c r="M1126">
        <v>5000000</v>
      </c>
    </row>
    <row r="1127" spans="1:13" x14ac:dyDescent="0.3">
      <c r="A1127" s="23">
        <v>45202</v>
      </c>
      <c r="B1127" t="s">
        <v>13</v>
      </c>
      <c r="C1127" t="s">
        <v>143</v>
      </c>
      <c r="D1127" t="s">
        <v>16</v>
      </c>
      <c r="E1127" t="s">
        <v>149</v>
      </c>
      <c r="F1127">
        <v>5004796.59</v>
      </c>
      <c r="G1127" t="s">
        <v>140</v>
      </c>
      <c r="H1127" t="s">
        <v>81</v>
      </c>
      <c r="I1127" t="s">
        <v>9</v>
      </c>
      <c r="M1127">
        <v>5004796.59</v>
      </c>
    </row>
    <row r="1128" spans="1:13" x14ac:dyDescent="0.3">
      <c r="A1128" s="23">
        <v>44958</v>
      </c>
      <c r="B1128" t="s">
        <v>13</v>
      </c>
      <c r="C1128" t="s">
        <v>132</v>
      </c>
      <c r="D1128" t="s">
        <v>16</v>
      </c>
      <c r="E1128" t="s">
        <v>41</v>
      </c>
      <c r="F1128">
        <v>5219999.9000000004</v>
      </c>
      <c r="G1128" t="s">
        <v>26</v>
      </c>
      <c r="H1128" t="s">
        <v>81</v>
      </c>
      <c r="I1128" t="s">
        <v>9</v>
      </c>
      <c r="L1128" t="s">
        <v>161</v>
      </c>
      <c r="M1128">
        <v>5219999.9000000004</v>
      </c>
    </row>
    <row r="1129" spans="1:13" x14ac:dyDescent="0.3">
      <c r="A1129" s="23">
        <v>45005</v>
      </c>
      <c r="B1129" t="s">
        <v>13</v>
      </c>
      <c r="C1129" t="s">
        <v>132</v>
      </c>
      <c r="D1129" t="s">
        <v>16</v>
      </c>
      <c r="E1129" t="s">
        <v>41</v>
      </c>
      <c r="F1129">
        <v>5300000</v>
      </c>
      <c r="G1129" t="s">
        <v>26</v>
      </c>
      <c r="H1129" t="s">
        <v>81</v>
      </c>
      <c r="I1129" t="s">
        <v>9</v>
      </c>
      <c r="L1129" t="s">
        <v>161</v>
      </c>
      <c r="M1129">
        <v>5300000</v>
      </c>
    </row>
    <row r="1130" spans="1:13" x14ac:dyDescent="0.3">
      <c r="A1130" s="23">
        <v>45015</v>
      </c>
      <c r="B1130" t="s">
        <v>13</v>
      </c>
      <c r="C1130" t="s">
        <v>132</v>
      </c>
      <c r="D1130" t="s">
        <v>16</v>
      </c>
      <c r="E1130" t="s">
        <v>41</v>
      </c>
      <c r="F1130">
        <v>5300000</v>
      </c>
      <c r="G1130" t="s">
        <v>26</v>
      </c>
      <c r="H1130" t="s">
        <v>81</v>
      </c>
      <c r="I1130" t="s">
        <v>9</v>
      </c>
      <c r="L1130" t="s">
        <v>161</v>
      </c>
      <c r="M1130">
        <v>5300000</v>
      </c>
    </row>
    <row r="1131" spans="1:13" x14ac:dyDescent="0.3">
      <c r="A1131" s="23">
        <v>45414</v>
      </c>
      <c r="B1131" t="s">
        <v>13</v>
      </c>
      <c r="C1131" t="s">
        <v>132</v>
      </c>
      <c r="D1131" t="s">
        <v>16</v>
      </c>
      <c r="E1131" t="s">
        <v>48</v>
      </c>
      <c r="F1131">
        <v>5300000</v>
      </c>
      <c r="G1131" t="s">
        <v>29</v>
      </c>
      <c r="H1131" t="s">
        <v>81</v>
      </c>
      <c r="I1131" t="s">
        <v>9</v>
      </c>
      <c r="L1131" t="s">
        <v>161</v>
      </c>
      <c r="M1131">
        <v>5300000</v>
      </c>
    </row>
    <row r="1132" spans="1:13" x14ac:dyDescent="0.3">
      <c r="A1132" s="23">
        <v>45216</v>
      </c>
      <c r="B1132" t="s">
        <v>13</v>
      </c>
      <c r="C1132" t="s">
        <v>143</v>
      </c>
      <c r="D1132" t="s">
        <v>16</v>
      </c>
      <c r="E1132" t="s">
        <v>149</v>
      </c>
      <c r="F1132">
        <v>5333465.01</v>
      </c>
      <c r="G1132" t="s">
        <v>140</v>
      </c>
      <c r="H1132" t="s">
        <v>81</v>
      </c>
      <c r="I1132" t="s">
        <v>9</v>
      </c>
      <c r="M1132">
        <v>5333465.01</v>
      </c>
    </row>
    <row r="1133" spans="1:13" x14ac:dyDescent="0.3">
      <c r="A1133" s="23">
        <v>44820</v>
      </c>
      <c r="B1133" t="s">
        <v>13</v>
      </c>
      <c r="C1133" t="s">
        <v>132</v>
      </c>
      <c r="D1133" t="s">
        <v>16</v>
      </c>
      <c r="E1133" t="s">
        <v>41</v>
      </c>
      <c r="F1133">
        <v>5400000</v>
      </c>
      <c r="G1133" t="s">
        <v>26</v>
      </c>
      <c r="H1133" t="s">
        <v>81</v>
      </c>
      <c r="I1133" t="s">
        <v>9</v>
      </c>
      <c r="L1133" t="s">
        <v>161</v>
      </c>
      <c r="M1133">
        <v>5400000</v>
      </c>
    </row>
    <row r="1134" spans="1:13" x14ac:dyDescent="0.3">
      <c r="A1134" s="23">
        <v>44782</v>
      </c>
      <c r="B1134" t="s">
        <v>13</v>
      </c>
      <c r="C1134" t="s">
        <v>143</v>
      </c>
      <c r="D1134" t="s">
        <v>16</v>
      </c>
      <c r="E1134" t="s">
        <v>149</v>
      </c>
      <c r="F1134">
        <v>5461877.5599999996</v>
      </c>
      <c r="G1134" t="s">
        <v>140</v>
      </c>
      <c r="H1134" t="s">
        <v>81</v>
      </c>
      <c r="I1134" t="s">
        <v>9</v>
      </c>
      <c r="J1134" s="23">
        <v>44783</v>
      </c>
      <c r="K1134" t="s">
        <v>152</v>
      </c>
      <c r="L1134" t="s">
        <v>225</v>
      </c>
      <c r="M1134">
        <v>5461877.5599999996</v>
      </c>
    </row>
    <row r="1135" spans="1:13" x14ac:dyDescent="0.3">
      <c r="A1135" s="23">
        <v>45671</v>
      </c>
      <c r="B1135" t="s">
        <v>13</v>
      </c>
      <c r="C1135" t="s">
        <v>132</v>
      </c>
      <c r="D1135" t="s">
        <v>16</v>
      </c>
      <c r="E1135" t="s">
        <v>48</v>
      </c>
      <c r="F1135">
        <v>5500000</v>
      </c>
      <c r="G1135" t="s">
        <v>29</v>
      </c>
      <c r="H1135" t="s">
        <v>81</v>
      </c>
      <c r="I1135" t="s">
        <v>9</v>
      </c>
      <c r="L1135" t="s">
        <v>161</v>
      </c>
      <c r="M1135">
        <v>5500000</v>
      </c>
    </row>
    <row r="1136" spans="1:13" x14ac:dyDescent="0.3">
      <c r="A1136" s="23">
        <v>44803</v>
      </c>
      <c r="B1136" t="s">
        <v>13</v>
      </c>
      <c r="C1136" t="s">
        <v>132</v>
      </c>
      <c r="D1136" t="s">
        <v>16</v>
      </c>
      <c r="E1136" t="s">
        <v>41</v>
      </c>
      <c r="F1136">
        <v>5502078.3700000001</v>
      </c>
      <c r="G1136" t="s">
        <v>26</v>
      </c>
      <c r="H1136" t="s">
        <v>81</v>
      </c>
      <c r="I1136" t="s">
        <v>9</v>
      </c>
      <c r="L1136" t="s">
        <v>161</v>
      </c>
      <c r="M1136">
        <v>5502078.3700000001</v>
      </c>
    </row>
    <row r="1137" spans="1:13" x14ac:dyDescent="0.3">
      <c r="A1137" s="23">
        <v>45049</v>
      </c>
      <c r="B1137" t="s">
        <v>13</v>
      </c>
      <c r="C1137" t="s">
        <v>132</v>
      </c>
      <c r="D1137" t="s">
        <v>16</v>
      </c>
      <c r="E1137" t="s">
        <v>41</v>
      </c>
      <c r="F1137">
        <v>5600000</v>
      </c>
      <c r="G1137" t="s">
        <v>26</v>
      </c>
      <c r="H1137" t="s">
        <v>81</v>
      </c>
      <c r="I1137" t="s">
        <v>9</v>
      </c>
      <c r="L1137" t="s">
        <v>161</v>
      </c>
      <c r="M1137">
        <v>5600000</v>
      </c>
    </row>
    <row r="1138" spans="1:13" x14ac:dyDescent="0.3">
      <c r="A1138" s="23">
        <v>44889</v>
      </c>
      <c r="B1138" t="s">
        <v>13</v>
      </c>
      <c r="C1138" t="s">
        <v>132</v>
      </c>
      <c r="D1138" t="s">
        <v>16</v>
      </c>
      <c r="E1138" t="s">
        <v>48</v>
      </c>
      <c r="F1138">
        <v>5600000</v>
      </c>
      <c r="G1138" t="s">
        <v>29</v>
      </c>
      <c r="H1138" t="s">
        <v>81</v>
      </c>
      <c r="I1138" t="s">
        <v>9</v>
      </c>
      <c r="L1138" t="s">
        <v>161</v>
      </c>
      <c r="M1138">
        <v>5600000</v>
      </c>
    </row>
    <row r="1139" spans="1:13" x14ac:dyDescent="0.3">
      <c r="A1139" s="23">
        <v>44573</v>
      </c>
      <c r="B1139" t="s">
        <v>13</v>
      </c>
      <c r="C1139" t="s">
        <v>132</v>
      </c>
      <c r="D1139" t="s">
        <v>16</v>
      </c>
      <c r="E1139" t="s">
        <v>41</v>
      </c>
      <c r="F1139">
        <v>5700000</v>
      </c>
      <c r="G1139" t="s">
        <v>26</v>
      </c>
      <c r="H1139" t="s">
        <v>81</v>
      </c>
      <c r="I1139" t="s">
        <v>9</v>
      </c>
      <c r="L1139" t="s">
        <v>161</v>
      </c>
      <c r="M1139">
        <v>5700000</v>
      </c>
    </row>
    <row r="1140" spans="1:13" x14ac:dyDescent="0.3">
      <c r="A1140" s="23">
        <v>44627</v>
      </c>
      <c r="B1140" t="s">
        <v>13</v>
      </c>
      <c r="C1140" t="s">
        <v>132</v>
      </c>
      <c r="D1140" t="s">
        <v>16</v>
      </c>
      <c r="E1140" t="s">
        <v>41</v>
      </c>
      <c r="F1140">
        <v>5700000</v>
      </c>
      <c r="G1140" t="s">
        <v>26</v>
      </c>
      <c r="H1140" t="s">
        <v>81</v>
      </c>
      <c r="I1140" t="s">
        <v>9</v>
      </c>
      <c r="L1140" t="s">
        <v>161</v>
      </c>
      <c r="M1140">
        <v>5700000</v>
      </c>
    </row>
    <row r="1141" spans="1:13" x14ac:dyDescent="0.3">
      <c r="A1141" s="23">
        <v>45356</v>
      </c>
      <c r="B1141" t="s">
        <v>13</v>
      </c>
      <c r="C1141" t="s">
        <v>132</v>
      </c>
      <c r="D1141" t="s">
        <v>16</v>
      </c>
      <c r="E1141" t="s">
        <v>41</v>
      </c>
      <c r="F1141">
        <v>5700000</v>
      </c>
      <c r="G1141" t="s">
        <v>26</v>
      </c>
      <c r="H1141" t="s">
        <v>81</v>
      </c>
      <c r="I1141" t="s">
        <v>9</v>
      </c>
      <c r="L1141" t="s">
        <v>161</v>
      </c>
      <c r="M1141">
        <v>5700000</v>
      </c>
    </row>
    <row r="1142" spans="1:13" x14ac:dyDescent="0.3">
      <c r="A1142" s="23">
        <v>45257</v>
      </c>
      <c r="B1142" t="s">
        <v>13</v>
      </c>
      <c r="C1142" t="s">
        <v>132</v>
      </c>
      <c r="D1142" t="s">
        <v>16</v>
      </c>
      <c r="E1142" t="s">
        <v>48</v>
      </c>
      <c r="F1142">
        <v>5700000</v>
      </c>
      <c r="G1142" t="s">
        <v>29</v>
      </c>
      <c r="H1142" t="s">
        <v>81</v>
      </c>
      <c r="I1142" t="s">
        <v>9</v>
      </c>
      <c r="L1142" t="s">
        <v>161</v>
      </c>
      <c r="M1142">
        <v>5700000</v>
      </c>
    </row>
    <row r="1143" spans="1:13" x14ac:dyDescent="0.3">
      <c r="A1143" s="23">
        <v>45453</v>
      </c>
      <c r="B1143" t="s">
        <v>13</v>
      </c>
      <c r="C1143" t="s">
        <v>132</v>
      </c>
      <c r="D1143" t="s">
        <v>16</v>
      </c>
      <c r="E1143" t="s">
        <v>48</v>
      </c>
      <c r="F1143">
        <v>5800000</v>
      </c>
      <c r="G1143" t="s">
        <v>29</v>
      </c>
      <c r="H1143" t="s">
        <v>81</v>
      </c>
      <c r="I1143" t="s">
        <v>9</v>
      </c>
      <c r="L1143" t="s">
        <v>161</v>
      </c>
      <c r="M1143">
        <v>5800000</v>
      </c>
    </row>
    <row r="1144" spans="1:13" x14ac:dyDescent="0.3">
      <c r="A1144" s="23">
        <v>44809</v>
      </c>
      <c r="B1144" t="s">
        <v>13</v>
      </c>
      <c r="C1144" t="s">
        <v>132</v>
      </c>
      <c r="D1144" t="s">
        <v>16</v>
      </c>
      <c r="E1144" t="s">
        <v>48</v>
      </c>
      <c r="F1144">
        <v>5800000</v>
      </c>
      <c r="G1144" t="s">
        <v>29</v>
      </c>
      <c r="H1144" t="s">
        <v>81</v>
      </c>
      <c r="I1144" t="s">
        <v>9</v>
      </c>
      <c r="L1144" t="s">
        <v>161</v>
      </c>
      <c r="M1144">
        <v>5800000</v>
      </c>
    </row>
    <row r="1145" spans="1:13" x14ac:dyDescent="0.3">
      <c r="A1145" s="23">
        <v>44921</v>
      </c>
      <c r="B1145" t="s">
        <v>13</v>
      </c>
      <c r="C1145" t="s">
        <v>132</v>
      </c>
      <c r="D1145" t="s">
        <v>16</v>
      </c>
      <c r="E1145" t="s">
        <v>41</v>
      </c>
      <c r="F1145">
        <v>5879529.9800000004</v>
      </c>
      <c r="G1145" t="s">
        <v>26</v>
      </c>
      <c r="H1145" t="s">
        <v>81</v>
      </c>
      <c r="I1145" t="s">
        <v>9</v>
      </c>
      <c r="J1145" t="s">
        <v>155</v>
      </c>
      <c r="L1145" t="s">
        <v>161</v>
      </c>
      <c r="M1145">
        <v>5879529.9800000004</v>
      </c>
    </row>
    <row r="1146" spans="1:13" x14ac:dyDescent="0.3">
      <c r="A1146" s="23">
        <v>44809</v>
      </c>
      <c r="B1146" t="s">
        <v>13</v>
      </c>
      <c r="C1146" t="s">
        <v>132</v>
      </c>
      <c r="D1146" t="s">
        <v>16</v>
      </c>
      <c r="E1146" t="s">
        <v>41</v>
      </c>
      <c r="F1146">
        <v>5900000</v>
      </c>
      <c r="G1146" t="s">
        <v>26</v>
      </c>
      <c r="H1146" t="s">
        <v>81</v>
      </c>
      <c r="I1146" t="s">
        <v>9</v>
      </c>
      <c r="L1146" t="s">
        <v>161</v>
      </c>
      <c r="M1146">
        <v>5900000</v>
      </c>
    </row>
    <row r="1147" spans="1:13" x14ac:dyDescent="0.3">
      <c r="A1147" s="23">
        <v>45203</v>
      </c>
      <c r="B1147" t="s">
        <v>13</v>
      </c>
      <c r="C1147" t="s">
        <v>132</v>
      </c>
      <c r="D1147" t="s">
        <v>16</v>
      </c>
      <c r="E1147" t="s">
        <v>48</v>
      </c>
      <c r="F1147">
        <v>5900000</v>
      </c>
      <c r="G1147" t="s">
        <v>29</v>
      </c>
      <c r="H1147" t="s">
        <v>81</v>
      </c>
      <c r="I1147" t="s">
        <v>9</v>
      </c>
      <c r="L1147" t="s">
        <v>161</v>
      </c>
      <c r="M1147">
        <v>5900000</v>
      </c>
    </row>
    <row r="1148" spans="1:13" x14ac:dyDescent="0.3">
      <c r="A1148" s="23">
        <v>45233</v>
      </c>
      <c r="B1148" t="s">
        <v>13</v>
      </c>
      <c r="C1148" t="s">
        <v>143</v>
      </c>
      <c r="D1148" t="s">
        <v>16</v>
      </c>
      <c r="E1148" t="s">
        <v>149</v>
      </c>
      <c r="F1148">
        <v>5919143.8099999996</v>
      </c>
      <c r="G1148" t="s">
        <v>140</v>
      </c>
      <c r="H1148" t="s">
        <v>81</v>
      </c>
      <c r="I1148" t="s">
        <v>9</v>
      </c>
      <c r="M1148">
        <v>5919143.8099999996</v>
      </c>
    </row>
    <row r="1149" spans="1:13" x14ac:dyDescent="0.3">
      <c r="A1149" s="23">
        <v>45134</v>
      </c>
      <c r="B1149" t="s">
        <v>13</v>
      </c>
      <c r="C1149" t="s">
        <v>143</v>
      </c>
      <c r="D1149" t="s">
        <v>16</v>
      </c>
      <c r="E1149" t="s">
        <v>149</v>
      </c>
      <c r="F1149">
        <v>5989245.8600000003</v>
      </c>
      <c r="G1149" t="s">
        <v>140</v>
      </c>
      <c r="H1149" t="s">
        <v>81</v>
      </c>
      <c r="I1149" t="s">
        <v>9</v>
      </c>
      <c r="M1149">
        <v>5989245.8600000003</v>
      </c>
    </row>
    <row r="1150" spans="1:13" x14ac:dyDescent="0.3">
      <c r="A1150" s="23">
        <v>45383</v>
      </c>
      <c r="B1150" t="s">
        <v>13</v>
      </c>
      <c r="C1150" t="s">
        <v>132</v>
      </c>
      <c r="D1150" t="s">
        <v>16</v>
      </c>
      <c r="E1150" t="s">
        <v>169</v>
      </c>
      <c r="F1150">
        <v>6050000</v>
      </c>
      <c r="G1150" t="s">
        <v>131</v>
      </c>
      <c r="H1150" t="s">
        <v>81</v>
      </c>
      <c r="I1150" t="s">
        <v>9</v>
      </c>
      <c r="L1150" t="s">
        <v>161</v>
      </c>
      <c r="M1150">
        <v>6050000</v>
      </c>
    </row>
    <row r="1151" spans="1:13" x14ac:dyDescent="0.3">
      <c r="A1151" s="23">
        <v>44812</v>
      </c>
      <c r="B1151" t="s">
        <v>13</v>
      </c>
      <c r="C1151" t="s">
        <v>143</v>
      </c>
      <c r="D1151" t="s">
        <v>16</v>
      </c>
      <c r="E1151" t="s">
        <v>149</v>
      </c>
      <c r="F1151">
        <v>6059520.3099999996</v>
      </c>
      <c r="G1151" t="s">
        <v>140</v>
      </c>
      <c r="H1151" t="s">
        <v>81</v>
      </c>
      <c r="I1151" t="s">
        <v>9</v>
      </c>
      <c r="J1151" s="23">
        <v>44813</v>
      </c>
      <c r="L1151" t="s">
        <v>236</v>
      </c>
      <c r="M1151">
        <v>6059520.3099999996</v>
      </c>
    </row>
    <row r="1152" spans="1:13" x14ac:dyDescent="0.3">
      <c r="A1152" s="23">
        <v>44725</v>
      </c>
      <c r="B1152" t="s">
        <v>13</v>
      </c>
      <c r="C1152" t="s">
        <v>132</v>
      </c>
      <c r="D1152" t="s">
        <v>16</v>
      </c>
      <c r="E1152" t="s">
        <v>139</v>
      </c>
      <c r="F1152">
        <v>6070000</v>
      </c>
      <c r="G1152" t="s">
        <v>140</v>
      </c>
      <c r="H1152" t="s">
        <v>81</v>
      </c>
      <c r="I1152" t="s">
        <v>9</v>
      </c>
      <c r="L1152" t="s">
        <v>161</v>
      </c>
      <c r="M1152">
        <v>6070000</v>
      </c>
    </row>
    <row r="1153" spans="1:13" x14ac:dyDescent="0.3">
      <c r="A1153" s="23">
        <v>45681</v>
      </c>
      <c r="B1153" t="s">
        <v>13</v>
      </c>
      <c r="C1153" t="s">
        <v>132</v>
      </c>
      <c r="D1153" t="s">
        <v>16</v>
      </c>
      <c r="E1153" t="s">
        <v>41</v>
      </c>
      <c r="F1153">
        <v>6100000</v>
      </c>
      <c r="G1153" t="s">
        <v>26</v>
      </c>
      <c r="H1153" t="s">
        <v>81</v>
      </c>
      <c r="I1153" t="s">
        <v>9</v>
      </c>
      <c r="L1153" t="s">
        <v>161</v>
      </c>
      <c r="M1153">
        <v>6100000</v>
      </c>
    </row>
    <row r="1154" spans="1:13" x14ac:dyDescent="0.3">
      <c r="A1154" s="23">
        <v>45170</v>
      </c>
      <c r="B1154" t="s">
        <v>13</v>
      </c>
      <c r="C1154" t="s">
        <v>132</v>
      </c>
      <c r="D1154" t="s">
        <v>16</v>
      </c>
      <c r="E1154" t="s">
        <v>136</v>
      </c>
      <c r="F1154">
        <v>6146596.25</v>
      </c>
      <c r="G1154" t="s">
        <v>134</v>
      </c>
      <c r="H1154" t="s">
        <v>81</v>
      </c>
      <c r="I1154" t="s">
        <v>9</v>
      </c>
      <c r="L1154" t="s">
        <v>161</v>
      </c>
      <c r="M1154">
        <v>6146596.25</v>
      </c>
    </row>
    <row r="1155" spans="1:13" x14ac:dyDescent="0.3">
      <c r="A1155" s="23">
        <v>45295</v>
      </c>
      <c r="B1155" t="s">
        <v>13</v>
      </c>
      <c r="C1155" t="s">
        <v>132</v>
      </c>
      <c r="D1155" t="s">
        <v>16</v>
      </c>
      <c r="E1155" t="s">
        <v>41</v>
      </c>
      <c r="F1155">
        <v>6158189.9000000004</v>
      </c>
      <c r="G1155" t="s">
        <v>26</v>
      </c>
      <c r="H1155" t="s">
        <v>81</v>
      </c>
      <c r="I1155" t="s">
        <v>9</v>
      </c>
      <c r="L1155" t="s">
        <v>161</v>
      </c>
      <c r="M1155">
        <v>6158189.9000000004</v>
      </c>
    </row>
    <row r="1156" spans="1:13" x14ac:dyDescent="0.3">
      <c r="A1156" s="23">
        <v>44914</v>
      </c>
      <c r="B1156" t="s">
        <v>13</v>
      </c>
      <c r="C1156" t="s">
        <v>132</v>
      </c>
      <c r="D1156" t="s">
        <v>16</v>
      </c>
      <c r="E1156" t="s">
        <v>41</v>
      </c>
      <c r="F1156">
        <v>6200000</v>
      </c>
      <c r="G1156" t="s">
        <v>26</v>
      </c>
      <c r="H1156" t="s">
        <v>81</v>
      </c>
      <c r="I1156" t="s">
        <v>9</v>
      </c>
      <c r="L1156" t="s">
        <v>161</v>
      </c>
      <c r="M1156">
        <v>6200000</v>
      </c>
    </row>
    <row r="1157" spans="1:13" x14ac:dyDescent="0.3">
      <c r="A1157" s="23">
        <v>44914</v>
      </c>
      <c r="B1157" t="s">
        <v>13</v>
      </c>
      <c r="C1157" t="s">
        <v>132</v>
      </c>
      <c r="D1157" t="s">
        <v>16</v>
      </c>
      <c r="E1157" t="s">
        <v>46</v>
      </c>
      <c r="F1157">
        <v>6200000</v>
      </c>
      <c r="G1157" t="s">
        <v>28</v>
      </c>
      <c r="H1157" t="s">
        <v>81</v>
      </c>
      <c r="I1157" t="s">
        <v>9</v>
      </c>
      <c r="L1157" t="s">
        <v>161</v>
      </c>
      <c r="M1157">
        <v>6200000</v>
      </c>
    </row>
    <row r="1158" spans="1:13" x14ac:dyDescent="0.3">
      <c r="A1158" s="23">
        <v>44616</v>
      </c>
      <c r="B1158" t="s">
        <v>13</v>
      </c>
      <c r="C1158" t="s">
        <v>132</v>
      </c>
      <c r="D1158" t="s">
        <v>16</v>
      </c>
      <c r="E1158" t="s">
        <v>41</v>
      </c>
      <c r="F1158">
        <v>6300000</v>
      </c>
      <c r="G1158" t="s">
        <v>26</v>
      </c>
      <c r="H1158" t="s">
        <v>81</v>
      </c>
      <c r="I1158" t="s">
        <v>9</v>
      </c>
      <c r="L1158" t="s">
        <v>161</v>
      </c>
      <c r="M1158">
        <v>6300000</v>
      </c>
    </row>
    <row r="1159" spans="1:13" x14ac:dyDescent="0.3">
      <c r="A1159" s="23">
        <v>44790</v>
      </c>
      <c r="B1159" t="s">
        <v>13</v>
      </c>
      <c r="C1159" t="s">
        <v>132</v>
      </c>
      <c r="D1159" t="s">
        <v>16</v>
      </c>
      <c r="E1159" t="s">
        <v>41</v>
      </c>
      <c r="F1159">
        <v>6300000</v>
      </c>
      <c r="G1159" t="s">
        <v>26</v>
      </c>
      <c r="H1159" t="s">
        <v>81</v>
      </c>
      <c r="I1159" t="s">
        <v>9</v>
      </c>
      <c r="L1159" t="s">
        <v>161</v>
      </c>
      <c r="M1159">
        <v>6300000</v>
      </c>
    </row>
    <row r="1160" spans="1:13" x14ac:dyDescent="0.3">
      <c r="A1160" s="23">
        <v>44760</v>
      </c>
      <c r="B1160" t="s">
        <v>13</v>
      </c>
      <c r="C1160" t="s">
        <v>132</v>
      </c>
      <c r="D1160" t="s">
        <v>16</v>
      </c>
      <c r="E1160" t="s">
        <v>139</v>
      </c>
      <c r="F1160">
        <v>6303387.7200000007</v>
      </c>
      <c r="G1160" t="s">
        <v>140</v>
      </c>
      <c r="H1160" t="s">
        <v>81</v>
      </c>
      <c r="I1160" t="s">
        <v>9</v>
      </c>
      <c r="J1160" t="s">
        <v>155</v>
      </c>
      <c r="L1160" t="s">
        <v>161</v>
      </c>
      <c r="M1160">
        <v>6303387.7199999997</v>
      </c>
    </row>
    <row r="1161" spans="1:13" x14ac:dyDescent="0.3">
      <c r="A1161" s="23">
        <v>45140</v>
      </c>
      <c r="B1161" t="s">
        <v>13</v>
      </c>
      <c r="C1161" t="s">
        <v>143</v>
      </c>
      <c r="D1161" t="s">
        <v>16</v>
      </c>
      <c r="E1161" t="s">
        <v>149</v>
      </c>
      <c r="F1161">
        <v>6346304.6600000001</v>
      </c>
      <c r="G1161" t="s">
        <v>140</v>
      </c>
      <c r="H1161" t="s">
        <v>81</v>
      </c>
      <c r="I1161" t="s">
        <v>9</v>
      </c>
      <c r="M1161">
        <v>6346304.6600000001</v>
      </c>
    </row>
    <row r="1162" spans="1:13" x14ac:dyDescent="0.3">
      <c r="A1162" s="23">
        <v>45359</v>
      </c>
      <c r="B1162" t="s">
        <v>13</v>
      </c>
      <c r="C1162" t="s">
        <v>132</v>
      </c>
      <c r="D1162" t="s">
        <v>16</v>
      </c>
      <c r="E1162" t="s">
        <v>136</v>
      </c>
      <c r="F1162">
        <v>6400000</v>
      </c>
      <c r="G1162" t="s">
        <v>134</v>
      </c>
      <c r="H1162" t="s">
        <v>81</v>
      </c>
      <c r="I1162" t="s">
        <v>9</v>
      </c>
      <c r="L1162" t="s">
        <v>161</v>
      </c>
      <c r="M1162">
        <v>6400000</v>
      </c>
    </row>
    <row r="1163" spans="1:13" x14ac:dyDescent="0.3">
      <c r="A1163" s="23">
        <v>44733</v>
      </c>
      <c r="B1163" t="s">
        <v>13</v>
      </c>
      <c r="C1163" t="s">
        <v>132</v>
      </c>
      <c r="D1163" t="s">
        <v>16</v>
      </c>
      <c r="E1163" t="s">
        <v>41</v>
      </c>
      <c r="F1163">
        <v>6400000</v>
      </c>
      <c r="G1163" t="s">
        <v>26</v>
      </c>
      <c r="H1163" t="s">
        <v>81</v>
      </c>
      <c r="I1163" t="s">
        <v>9</v>
      </c>
      <c r="L1163" t="s">
        <v>161</v>
      </c>
      <c r="M1163">
        <v>6400000</v>
      </c>
    </row>
    <row r="1164" spans="1:13" x14ac:dyDescent="0.3">
      <c r="A1164" s="23">
        <v>45462</v>
      </c>
      <c r="B1164" t="s">
        <v>13</v>
      </c>
      <c r="C1164" t="s">
        <v>132</v>
      </c>
      <c r="D1164" t="s">
        <v>16</v>
      </c>
      <c r="E1164" t="s">
        <v>48</v>
      </c>
      <c r="F1164">
        <v>6400000</v>
      </c>
      <c r="G1164" t="s">
        <v>29</v>
      </c>
      <c r="H1164" t="s">
        <v>81</v>
      </c>
      <c r="I1164" t="s">
        <v>9</v>
      </c>
      <c r="L1164" t="s">
        <v>161</v>
      </c>
      <c r="M1164">
        <v>6400000</v>
      </c>
    </row>
    <row r="1165" spans="1:13" x14ac:dyDescent="0.3">
      <c r="A1165" s="23">
        <v>45504</v>
      </c>
      <c r="B1165" t="s">
        <v>13</v>
      </c>
      <c r="C1165" t="s">
        <v>132</v>
      </c>
      <c r="D1165" t="s">
        <v>16</v>
      </c>
      <c r="E1165" t="s">
        <v>180</v>
      </c>
      <c r="F1165">
        <v>6405000</v>
      </c>
      <c r="G1165" t="s">
        <v>181</v>
      </c>
      <c r="H1165" t="s">
        <v>81</v>
      </c>
      <c r="I1165" t="s">
        <v>9</v>
      </c>
      <c r="L1165" t="s">
        <v>161</v>
      </c>
      <c r="M1165">
        <v>6405000</v>
      </c>
    </row>
    <row r="1166" spans="1:13" x14ac:dyDescent="0.3">
      <c r="A1166" s="23">
        <v>45359</v>
      </c>
      <c r="B1166" t="s">
        <v>13</v>
      </c>
      <c r="C1166" t="s">
        <v>132</v>
      </c>
      <c r="D1166" t="s">
        <v>16</v>
      </c>
      <c r="E1166" t="s">
        <v>169</v>
      </c>
      <c r="F1166">
        <v>6430000</v>
      </c>
      <c r="G1166" t="s">
        <v>131</v>
      </c>
      <c r="H1166" t="s">
        <v>81</v>
      </c>
      <c r="I1166" t="s">
        <v>9</v>
      </c>
      <c r="L1166" t="s">
        <v>161</v>
      </c>
      <c r="M1166">
        <v>6430000</v>
      </c>
    </row>
    <row r="1167" spans="1:13" x14ac:dyDescent="0.3">
      <c r="A1167" s="23">
        <v>45407</v>
      </c>
      <c r="B1167" t="s">
        <v>13</v>
      </c>
      <c r="C1167" t="s">
        <v>132</v>
      </c>
      <c r="D1167" t="s">
        <v>16</v>
      </c>
      <c r="E1167" t="s">
        <v>136</v>
      </c>
      <c r="F1167">
        <v>6500000</v>
      </c>
      <c r="G1167" t="s">
        <v>134</v>
      </c>
      <c r="H1167" t="s">
        <v>81</v>
      </c>
      <c r="I1167" t="s">
        <v>9</v>
      </c>
      <c r="L1167" t="s">
        <v>161</v>
      </c>
      <c r="M1167">
        <v>6500000</v>
      </c>
    </row>
    <row r="1168" spans="1:13" x14ac:dyDescent="0.3">
      <c r="A1168" s="23">
        <v>44715</v>
      </c>
      <c r="B1168" t="s">
        <v>13</v>
      </c>
      <c r="C1168" t="s">
        <v>132</v>
      </c>
      <c r="D1168" t="s">
        <v>16</v>
      </c>
      <c r="E1168" t="s">
        <v>139</v>
      </c>
      <c r="F1168">
        <v>6650000</v>
      </c>
      <c r="G1168" t="s">
        <v>140</v>
      </c>
      <c r="H1168" t="s">
        <v>81</v>
      </c>
      <c r="I1168" t="s">
        <v>9</v>
      </c>
      <c r="L1168" t="s">
        <v>161</v>
      </c>
      <c r="M1168">
        <v>6650000</v>
      </c>
    </row>
    <row r="1169" spans="1:13" x14ac:dyDescent="0.3">
      <c r="A1169" s="23">
        <v>45695</v>
      </c>
      <c r="B1169" t="s">
        <v>13</v>
      </c>
      <c r="C1169" t="s">
        <v>132</v>
      </c>
      <c r="D1169" t="s">
        <v>16</v>
      </c>
      <c r="E1169" t="s">
        <v>40</v>
      </c>
      <c r="F1169">
        <v>6690000</v>
      </c>
      <c r="G1169" t="s">
        <v>25</v>
      </c>
      <c r="H1169" t="s">
        <v>81</v>
      </c>
      <c r="I1169" t="s">
        <v>9</v>
      </c>
      <c r="L1169" t="s">
        <v>161</v>
      </c>
      <c r="M1169">
        <v>6690000</v>
      </c>
    </row>
    <row r="1170" spans="1:13" x14ac:dyDescent="0.3">
      <c r="A1170" s="23">
        <v>45153</v>
      </c>
      <c r="B1170" t="s">
        <v>13</v>
      </c>
      <c r="C1170" t="s">
        <v>143</v>
      </c>
      <c r="D1170" t="s">
        <v>16</v>
      </c>
      <c r="E1170" t="s">
        <v>149</v>
      </c>
      <c r="F1170">
        <v>6696846.9400000004</v>
      </c>
      <c r="G1170" t="s">
        <v>140</v>
      </c>
      <c r="H1170" t="s">
        <v>81</v>
      </c>
      <c r="I1170" t="s">
        <v>9</v>
      </c>
      <c r="M1170">
        <v>6696846.9400000004</v>
      </c>
    </row>
    <row r="1171" spans="1:13" x14ac:dyDescent="0.3">
      <c r="A1171" s="23">
        <v>45187</v>
      </c>
      <c r="B1171" t="s">
        <v>13</v>
      </c>
      <c r="C1171" t="s">
        <v>143</v>
      </c>
      <c r="D1171" t="s">
        <v>16</v>
      </c>
      <c r="E1171" t="s">
        <v>149</v>
      </c>
      <c r="F1171">
        <v>6777217.9000000004</v>
      </c>
      <c r="G1171" t="s">
        <v>140</v>
      </c>
      <c r="H1171" t="s">
        <v>81</v>
      </c>
      <c r="I1171" t="s">
        <v>9</v>
      </c>
      <c r="M1171">
        <v>6777217.9000000004</v>
      </c>
    </row>
    <row r="1172" spans="1:13" x14ac:dyDescent="0.3">
      <c r="A1172" s="23">
        <v>44623</v>
      </c>
      <c r="B1172" t="s">
        <v>13</v>
      </c>
      <c r="C1172" t="s">
        <v>132</v>
      </c>
      <c r="D1172" t="s">
        <v>16</v>
      </c>
      <c r="E1172" t="s">
        <v>41</v>
      </c>
      <c r="F1172">
        <v>6800000</v>
      </c>
      <c r="G1172" t="s">
        <v>26</v>
      </c>
      <c r="H1172" t="s">
        <v>81</v>
      </c>
      <c r="I1172" t="s">
        <v>9</v>
      </c>
      <c r="L1172" t="s">
        <v>161</v>
      </c>
      <c r="M1172">
        <v>6800000</v>
      </c>
    </row>
    <row r="1173" spans="1:13" x14ac:dyDescent="0.3">
      <c r="A1173" s="23">
        <v>44655</v>
      </c>
      <c r="B1173" t="s">
        <v>13</v>
      </c>
      <c r="C1173" t="s">
        <v>132</v>
      </c>
      <c r="D1173" t="s">
        <v>16</v>
      </c>
      <c r="E1173" t="s">
        <v>41</v>
      </c>
      <c r="F1173">
        <v>6800000</v>
      </c>
      <c r="G1173" t="s">
        <v>26</v>
      </c>
      <c r="H1173" t="s">
        <v>81</v>
      </c>
      <c r="I1173" t="s">
        <v>9</v>
      </c>
      <c r="L1173" t="s">
        <v>161</v>
      </c>
      <c r="M1173">
        <v>6800000</v>
      </c>
    </row>
    <row r="1174" spans="1:13" x14ac:dyDescent="0.3">
      <c r="A1174" s="23">
        <v>44826</v>
      </c>
      <c r="B1174" t="s">
        <v>13</v>
      </c>
      <c r="C1174" t="s">
        <v>132</v>
      </c>
      <c r="D1174" t="s">
        <v>16</v>
      </c>
      <c r="E1174" t="s">
        <v>41</v>
      </c>
      <c r="F1174">
        <v>6900000</v>
      </c>
      <c r="G1174" t="s">
        <v>26</v>
      </c>
      <c r="H1174" t="s">
        <v>81</v>
      </c>
      <c r="I1174" t="s">
        <v>9</v>
      </c>
      <c r="L1174" t="s">
        <v>161</v>
      </c>
      <c r="M1174">
        <v>6900000</v>
      </c>
    </row>
    <row r="1175" spans="1:13" x14ac:dyDescent="0.3">
      <c r="A1175" s="23">
        <v>45070</v>
      </c>
      <c r="B1175" t="s">
        <v>13</v>
      </c>
      <c r="C1175" t="s">
        <v>132</v>
      </c>
      <c r="D1175" t="s">
        <v>16</v>
      </c>
      <c r="E1175" t="s">
        <v>41</v>
      </c>
      <c r="F1175">
        <v>6900000</v>
      </c>
      <c r="G1175" t="s">
        <v>26</v>
      </c>
      <c r="H1175" t="s">
        <v>81</v>
      </c>
      <c r="I1175" t="s">
        <v>9</v>
      </c>
      <c r="L1175" t="s">
        <v>161</v>
      </c>
      <c r="M1175">
        <v>6900000</v>
      </c>
    </row>
    <row r="1176" spans="1:13" x14ac:dyDescent="0.3">
      <c r="A1176" s="23">
        <v>45063</v>
      </c>
      <c r="B1176" t="s">
        <v>13</v>
      </c>
      <c r="C1176" t="s">
        <v>132</v>
      </c>
      <c r="D1176" t="s">
        <v>16</v>
      </c>
      <c r="E1176" t="s">
        <v>41</v>
      </c>
      <c r="F1176">
        <v>6900000</v>
      </c>
      <c r="G1176" t="s">
        <v>26</v>
      </c>
      <c r="H1176" t="s">
        <v>81</v>
      </c>
      <c r="I1176" t="s">
        <v>9</v>
      </c>
      <c r="L1176" t="s">
        <v>161</v>
      </c>
      <c r="M1176">
        <v>6900000</v>
      </c>
    </row>
    <row r="1177" spans="1:13" x14ac:dyDescent="0.3">
      <c r="A1177" s="23">
        <v>45433</v>
      </c>
      <c r="B1177" t="s">
        <v>13</v>
      </c>
      <c r="C1177" t="s">
        <v>143</v>
      </c>
      <c r="D1177" t="s">
        <v>16</v>
      </c>
      <c r="E1177" t="s">
        <v>149</v>
      </c>
      <c r="F1177">
        <v>6988316</v>
      </c>
      <c r="G1177" t="s">
        <v>140</v>
      </c>
      <c r="H1177" t="s">
        <v>81</v>
      </c>
      <c r="I1177" t="s">
        <v>9</v>
      </c>
      <c r="M1177">
        <v>6988316</v>
      </c>
    </row>
    <row r="1178" spans="1:13" x14ac:dyDescent="0.3">
      <c r="A1178" s="23">
        <v>45755</v>
      </c>
      <c r="B1178" t="s">
        <v>13</v>
      </c>
      <c r="C1178" t="s">
        <v>132</v>
      </c>
      <c r="D1178" t="s">
        <v>16</v>
      </c>
      <c r="E1178" t="s">
        <v>48</v>
      </c>
      <c r="F1178">
        <v>7000000</v>
      </c>
      <c r="G1178" t="s">
        <v>29</v>
      </c>
      <c r="H1178" t="s">
        <v>81</v>
      </c>
      <c r="I1178" t="s">
        <v>9</v>
      </c>
      <c r="L1178" t="s">
        <v>161</v>
      </c>
      <c r="M1178">
        <v>7000000</v>
      </c>
    </row>
    <row r="1179" spans="1:13" x14ac:dyDescent="0.3">
      <c r="A1179" s="23">
        <v>44957</v>
      </c>
      <c r="B1179" t="s">
        <v>13</v>
      </c>
      <c r="C1179" t="s">
        <v>132</v>
      </c>
      <c r="D1179" t="s">
        <v>16</v>
      </c>
      <c r="E1179" t="s">
        <v>48</v>
      </c>
      <c r="F1179">
        <v>7000000</v>
      </c>
      <c r="G1179" t="s">
        <v>29</v>
      </c>
      <c r="H1179" t="s">
        <v>81</v>
      </c>
      <c r="I1179" t="s">
        <v>9</v>
      </c>
      <c r="L1179" t="s">
        <v>161</v>
      </c>
      <c r="M1179">
        <v>7000000</v>
      </c>
    </row>
    <row r="1180" spans="1:13" x14ac:dyDescent="0.3">
      <c r="A1180" s="23">
        <v>45468</v>
      </c>
      <c r="B1180" t="s">
        <v>13</v>
      </c>
      <c r="C1180" t="s">
        <v>132</v>
      </c>
      <c r="D1180" t="s">
        <v>16</v>
      </c>
      <c r="E1180" t="s">
        <v>48</v>
      </c>
      <c r="F1180">
        <v>7100000</v>
      </c>
      <c r="G1180" t="s">
        <v>29</v>
      </c>
      <c r="H1180" t="s">
        <v>81</v>
      </c>
      <c r="I1180" t="s">
        <v>9</v>
      </c>
      <c r="L1180" t="s">
        <v>161</v>
      </c>
      <c r="M1180">
        <v>7100000</v>
      </c>
    </row>
    <row r="1181" spans="1:13" x14ac:dyDescent="0.3">
      <c r="A1181" s="23">
        <v>45701</v>
      </c>
      <c r="B1181" t="s">
        <v>13</v>
      </c>
      <c r="C1181" t="s">
        <v>132</v>
      </c>
      <c r="D1181" t="s">
        <v>16</v>
      </c>
      <c r="E1181" t="s">
        <v>41</v>
      </c>
      <c r="F1181">
        <v>7200000</v>
      </c>
      <c r="G1181" t="s">
        <v>26</v>
      </c>
      <c r="H1181" t="s">
        <v>81</v>
      </c>
      <c r="I1181" t="s">
        <v>9</v>
      </c>
      <c r="L1181" t="s">
        <v>161</v>
      </c>
      <c r="M1181">
        <v>7200000</v>
      </c>
    </row>
    <row r="1182" spans="1:13" x14ac:dyDescent="0.3">
      <c r="A1182" s="23">
        <v>44783</v>
      </c>
      <c r="B1182" t="s">
        <v>13</v>
      </c>
      <c r="C1182" t="s">
        <v>132</v>
      </c>
      <c r="D1182" t="s">
        <v>16</v>
      </c>
      <c r="E1182" t="s">
        <v>41</v>
      </c>
      <c r="F1182">
        <v>7300000</v>
      </c>
      <c r="G1182" t="s">
        <v>26</v>
      </c>
      <c r="H1182" t="s">
        <v>81</v>
      </c>
      <c r="I1182" t="s">
        <v>9</v>
      </c>
      <c r="L1182" t="s">
        <v>161</v>
      </c>
      <c r="M1182">
        <v>7300000</v>
      </c>
    </row>
    <row r="1183" spans="1:13" x14ac:dyDescent="0.3">
      <c r="A1183" s="23">
        <v>45216</v>
      </c>
      <c r="B1183" t="s">
        <v>13</v>
      </c>
      <c r="C1183" t="s">
        <v>132</v>
      </c>
      <c r="D1183" t="s">
        <v>16</v>
      </c>
      <c r="E1183" t="s">
        <v>41</v>
      </c>
      <c r="F1183">
        <v>7300000</v>
      </c>
      <c r="G1183" t="s">
        <v>26</v>
      </c>
      <c r="H1183" t="s">
        <v>81</v>
      </c>
      <c r="I1183" t="s">
        <v>9</v>
      </c>
      <c r="L1183" t="s">
        <v>161</v>
      </c>
      <c r="M1183">
        <v>7300000</v>
      </c>
    </row>
    <row r="1184" spans="1:13" x14ac:dyDescent="0.3">
      <c r="A1184" s="23">
        <v>44750</v>
      </c>
      <c r="B1184" t="s">
        <v>13</v>
      </c>
      <c r="C1184" t="s">
        <v>132</v>
      </c>
      <c r="D1184" t="s">
        <v>16</v>
      </c>
      <c r="E1184" t="s">
        <v>41</v>
      </c>
      <c r="F1184">
        <v>7314325.4299999997</v>
      </c>
      <c r="G1184" t="s">
        <v>26</v>
      </c>
      <c r="H1184" t="s">
        <v>81</v>
      </c>
      <c r="I1184" t="s">
        <v>9</v>
      </c>
      <c r="J1184" t="s">
        <v>155</v>
      </c>
      <c r="L1184" t="s">
        <v>161</v>
      </c>
      <c r="M1184">
        <v>7314325.4299999997</v>
      </c>
    </row>
    <row r="1185" spans="1:13" x14ac:dyDescent="0.3">
      <c r="A1185" s="23">
        <v>45538</v>
      </c>
      <c r="B1185" t="s">
        <v>13</v>
      </c>
      <c r="C1185" t="s">
        <v>132</v>
      </c>
      <c r="D1185" t="s">
        <v>16</v>
      </c>
      <c r="E1185" t="s">
        <v>193</v>
      </c>
      <c r="F1185">
        <v>7335000</v>
      </c>
      <c r="G1185" t="s">
        <v>131</v>
      </c>
      <c r="H1185" t="s">
        <v>81</v>
      </c>
      <c r="I1185" t="s">
        <v>9</v>
      </c>
      <c r="L1185" t="s">
        <v>161</v>
      </c>
      <c r="M1185">
        <v>7335000</v>
      </c>
    </row>
    <row r="1186" spans="1:13" x14ac:dyDescent="0.3">
      <c r="A1186" s="23">
        <v>45565</v>
      </c>
      <c r="B1186" t="s">
        <v>13</v>
      </c>
      <c r="C1186" t="s">
        <v>132</v>
      </c>
      <c r="D1186" t="s">
        <v>16</v>
      </c>
      <c r="E1186" t="s">
        <v>136</v>
      </c>
      <c r="F1186">
        <v>7440000</v>
      </c>
      <c r="G1186" t="s">
        <v>134</v>
      </c>
      <c r="H1186" t="s">
        <v>81</v>
      </c>
      <c r="I1186" t="s">
        <v>9</v>
      </c>
      <c r="L1186" t="s">
        <v>161</v>
      </c>
      <c r="M1186">
        <v>7440000</v>
      </c>
    </row>
    <row r="1187" spans="1:13" x14ac:dyDescent="0.3">
      <c r="A1187" s="23">
        <v>44785</v>
      </c>
      <c r="B1187" t="s">
        <v>13</v>
      </c>
      <c r="C1187" t="s">
        <v>132</v>
      </c>
      <c r="D1187" t="s">
        <v>16</v>
      </c>
      <c r="E1187" t="s">
        <v>41</v>
      </c>
      <c r="F1187">
        <v>7600000</v>
      </c>
      <c r="G1187" t="s">
        <v>26</v>
      </c>
      <c r="H1187" t="s">
        <v>81</v>
      </c>
      <c r="I1187" t="s">
        <v>9</v>
      </c>
      <c r="L1187" t="s">
        <v>161</v>
      </c>
      <c r="M1187">
        <v>7600000</v>
      </c>
    </row>
    <row r="1188" spans="1:13" x14ac:dyDescent="0.3">
      <c r="A1188" s="23">
        <v>45187</v>
      </c>
      <c r="B1188" t="s">
        <v>13</v>
      </c>
      <c r="C1188" t="s">
        <v>132</v>
      </c>
      <c r="D1188" t="s">
        <v>16</v>
      </c>
      <c r="E1188" t="s">
        <v>46</v>
      </c>
      <c r="F1188">
        <v>7600000</v>
      </c>
      <c r="G1188" t="s">
        <v>28</v>
      </c>
      <c r="H1188" t="s">
        <v>81</v>
      </c>
      <c r="I1188" t="s">
        <v>9</v>
      </c>
      <c r="L1188" t="s">
        <v>161</v>
      </c>
      <c r="M1188">
        <v>7600000</v>
      </c>
    </row>
    <row r="1189" spans="1:13" x14ac:dyDescent="0.3">
      <c r="A1189" s="23">
        <v>45478</v>
      </c>
      <c r="B1189" t="s">
        <v>13</v>
      </c>
      <c r="C1189" t="s">
        <v>132</v>
      </c>
      <c r="D1189" t="s">
        <v>16</v>
      </c>
      <c r="E1189" t="s">
        <v>48</v>
      </c>
      <c r="F1189">
        <v>7700000</v>
      </c>
      <c r="G1189" t="s">
        <v>29</v>
      </c>
      <c r="H1189" t="s">
        <v>81</v>
      </c>
      <c r="I1189" t="s">
        <v>9</v>
      </c>
      <c r="L1189" t="s">
        <v>161</v>
      </c>
      <c r="M1189">
        <v>7700000</v>
      </c>
    </row>
    <row r="1190" spans="1:13" x14ac:dyDescent="0.3">
      <c r="A1190" s="23">
        <v>45133</v>
      </c>
      <c r="B1190" t="s">
        <v>13</v>
      </c>
      <c r="C1190" t="s">
        <v>132</v>
      </c>
      <c r="D1190" t="s">
        <v>16</v>
      </c>
      <c r="E1190" t="s">
        <v>48</v>
      </c>
      <c r="F1190">
        <v>7700000</v>
      </c>
      <c r="G1190" t="s">
        <v>29</v>
      </c>
      <c r="H1190" t="s">
        <v>81</v>
      </c>
      <c r="I1190" t="s">
        <v>9</v>
      </c>
      <c r="L1190" t="s">
        <v>161</v>
      </c>
      <c r="M1190">
        <v>7700000</v>
      </c>
    </row>
    <row r="1191" spans="1:13" x14ac:dyDescent="0.3">
      <c r="A1191" s="23">
        <v>45299</v>
      </c>
      <c r="B1191" t="s">
        <v>13</v>
      </c>
      <c r="C1191" t="s">
        <v>132</v>
      </c>
      <c r="D1191" t="s">
        <v>16</v>
      </c>
      <c r="E1191" t="s">
        <v>136</v>
      </c>
      <c r="F1191">
        <v>7800000</v>
      </c>
      <c r="G1191" t="s">
        <v>134</v>
      </c>
      <c r="H1191" t="s">
        <v>81</v>
      </c>
      <c r="I1191" t="s">
        <v>9</v>
      </c>
      <c r="L1191" t="s">
        <v>161</v>
      </c>
      <c r="M1191">
        <v>7800000</v>
      </c>
    </row>
    <row r="1192" spans="1:13" x14ac:dyDescent="0.3">
      <c r="A1192" s="23">
        <v>44574</v>
      </c>
      <c r="B1192" t="s">
        <v>13</v>
      </c>
      <c r="C1192" t="s">
        <v>132</v>
      </c>
      <c r="D1192" t="s">
        <v>16</v>
      </c>
      <c r="E1192" t="s">
        <v>41</v>
      </c>
      <c r="F1192">
        <v>7800000</v>
      </c>
      <c r="G1192" t="s">
        <v>26</v>
      </c>
      <c r="H1192" t="s">
        <v>81</v>
      </c>
      <c r="I1192" t="s">
        <v>9</v>
      </c>
      <c r="L1192" t="s">
        <v>161</v>
      </c>
      <c r="M1192">
        <v>7800000</v>
      </c>
    </row>
    <row r="1193" spans="1:13" x14ac:dyDescent="0.3">
      <c r="A1193" s="23">
        <v>45001</v>
      </c>
      <c r="B1193" t="s">
        <v>13</v>
      </c>
      <c r="C1193" t="s">
        <v>132</v>
      </c>
      <c r="D1193" t="s">
        <v>16</v>
      </c>
      <c r="E1193" t="s">
        <v>41</v>
      </c>
      <c r="F1193">
        <v>7800000</v>
      </c>
      <c r="G1193" t="s">
        <v>26</v>
      </c>
      <c r="H1193" t="s">
        <v>81</v>
      </c>
      <c r="I1193" t="s">
        <v>9</v>
      </c>
      <c r="L1193" t="s">
        <v>161</v>
      </c>
      <c r="M1193">
        <v>7800000</v>
      </c>
    </row>
    <row r="1194" spans="1:13" x14ac:dyDescent="0.3">
      <c r="A1194" s="23">
        <v>45377</v>
      </c>
      <c r="B1194" t="s">
        <v>13</v>
      </c>
      <c r="C1194" t="s">
        <v>132</v>
      </c>
      <c r="D1194" t="s">
        <v>16</v>
      </c>
      <c r="E1194" t="s">
        <v>41</v>
      </c>
      <c r="F1194">
        <v>7900000</v>
      </c>
      <c r="G1194" t="s">
        <v>26</v>
      </c>
      <c r="H1194" t="s">
        <v>81</v>
      </c>
      <c r="I1194" t="s">
        <v>9</v>
      </c>
      <c r="L1194" t="s">
        <v>161</v>
      </c>
      <c r="M1194">
        <v>7900000</v>
      </c>
    </row>
    <row r="1195" spans="1:13" x14ac:dyDescent="0.3">
      <c r="A1195" s="23">
        <v>45211</v>
      </c>
      <c r="B1195" t="s">
        <v>13</v>
      </c>
      <c r="C1195" t="s">
        <v>132</v>
      </c>
      <c r="D1195" t="s">
        <v>16</v>
      </c>
      <c r="E1195" t="s">
        <v>136</v>
      </c>
      <c r="F1195">
        <v>7958860.0700000003</v>
      </c>
      <c r="G1195" t="s">
        <v>134</v>
      </c>
      <c r="H1195" t="s">
        <v>81</v>
      </c>
      <c r="I1195" t="s">
        <v>9</v>
      </c>
      <c r="L1195" t="s">
        <v>161</v>
      </c>
      <c r="M1195">
        <v>7958860.0700000003</v>
      </c>
    </row>
    <row r="1196" spans="1:13" x14ac:dyDescent="0.3">
      <c r="A1196" s="23">
        <v>44756</v>
      </c>
      <c r="B1196" t="s">
        <v>13</v>
      </c>
      <c r="C1196" t="s">
        <v>132</v>
      </c>
      <c r="D1196" t="s">
        <v>16</v>
      </c>
      <c r="E1196" t="s">
        <v>41</v>
      </c>
      <c r="F1196">
        <v>8000000</v>
      </c>
      <c r="G1196" t="s">
        <v>26</v>
      </c>
      <c r="H1196" t="s">
        <v>81</v>
      </c>
      <c r="I1196" t="s">
        <v>9</v>
      </c>
      <c r="L1196" t="s">
        <v>161</v>
      </c>
      <c r="M1196">
        <v>8000000</v>
      </c>
    </row>
    <row r="1197" spans="1:13" x14ac:dyDescent="0.3">
      <c r="A1197" s="23">
        <v>45154</v>
      </c>
      <c r="B1197" t="s">
        <v>13</v>
      </c>
      <c r="C1197" t="s">
        <v>132</v>
      </c>
      <c r="D1197" t="s">
        <v>16</v>
      </c>
      <c r="E1197" t="s">
        <v>46</v>
      </c>
      <c r="F1197">
        <v>8000000</v>
      </c>
      <c r="G1197" t="s">
        <v>28</v>
      </c>
      <c r="H1197" t="s">
        <v>81</v>
      </c>
      <c r="I1197" t="s">
        <v>9</v>
      </c>
      <c r="L1197" t="s">
        <v>161</v>
      </c>
      <c r="M1197">
        <v>8000000</v>
      </c>
    </row>
    <row r="1198" spans="1:13" x14ac:dyDescent="0.3">
      <c r="A1198" s="23">
        <v>44698</v>
      </c>
      <c r="B1198" t="s">
        <v>13</v>
      </c>
      <c r="C1198" t="s">
        <v>132</v>
      </c>
      <c r="D1198" t="s">
        <v>16</v>
      </c>
      <c r="E1198" t="s">
        <v>139</v>
      </c>
      <c r="F1198">
        <v>8000000</v>
      </c>
      <c r="G1198" t="s">
        <v>140</v>
      </c>
      <c r="H1198" t="s">
        <v>81</v>
      </c>
      <c r="I1198" t="s">
        <v>9</v>
      </c>
      <c r="L1198" t="s">
        <v>161</v>
      </c>
      <c r="M1198">
        <v>8000000</v>
      </c>
    </row>
    <row r="1199" spans="1:13" x14ac:dyDescent="0.3">
      <c r="A1199" s="23">
        <v>45028</v>
      </c>
      <c r="B1199" t="s">
        <v>13</v>
      </c>
      <c r="C1199" t="s">
        <v>132</v>
      </c>
      <c r="D1199" t="s">
        <v>16</v>
      </c>
      <c r="E1199" t="s">
        <v>41</v>
      </c>
      <c r="F1199">
        <v>8100000</v>
      </c>
      <c r="G1199" t="s">
        <v>26</v>
      </c>
      <c r="H1199" t="s">
        <v>81</v>
      </c>
      <c r="I1199" t="s">
        <v>9</v>
      </c>
      <c r="L1199" t="s">
        <v>161</v>
      </c>
      <c r="M1199">
        <v>8100000</v>
      </c>
    </row>
    <row r="1200" spans="1:13" x14ac:dyDescent="0.3">
      <c r="A1200" s="23">
        <v>44720</v>
      </c>
      <c r="B1200" t="s">
        <v>13</v>
      </c>
      <c r="C1200" t="s">
        <v>132</v>
      </c>
      <c r="D1200" t="s">
        <v>16</v>
      </c>
      <c r="E1200" t="s">
        <v>139</v>
      </c>
      <c r="F1200">
        <v>8140000</v>
      </c>
      <c r="G1200" t="s">
        <v>140</v>
      </c>
      <c r="H1200" t="s">
        <v>81</v>
      </c>
      <c r="I1200" t="s">
        <v>9</v>
      </c>
      <c r="L1200" t="s">
        <v>161</v>
      </c>
      <c r="M1200">
        <v>8140000</v>
      </c>
    </row>
    <row r="1201" spans="1:13" x14ac:dyDescent="0.3">
      <c r="A1201" s="23">
        <v>45210</v>
      </c>
      <c r="B1201" t="s">
        <v>13</v>
      </c>
      <c r="C1201" t="s">
        <v>143</v>
      </c>
      <c r="D1201" t="s">
        <v>16</v>
      </c>
      <c r="E1201" t="s">
        <v>149</v>
      </c>
      <c r="F1201">
        <v>8261605.0999999996</v>
      </c>
      <c r="G1201" t="s">
        <v>140</v>
      </c>
      <c r="H1201" t="s">
        <v>81</v>
      </c>
      <c r="I1201" t="s">
        <v>9</v>
      </c>
      <c r="M1201">
        <v>8261605.0999999996</v>
      </c>
    </row>
    <row r="1202" spans="1:13" x14ac:dyDescent="0.3">
      <c r="A1202" s="23">
        <v>44775</v>
      </c>
      <c r="B1202" t="s">
        <v>13</v>
      </c>
      <c r="C1202" t="s">
        <v>132</v>
      </c>
      <c r="D1202" t="s">
        <v>16</v>
      </c>
      <c r="E1202" t="s">
        <v>41</v>
      </c>
      <c r="F1202">
        <v>8300000</v>
      </c>
      <c r="G1202" t="s">
        <v>26</v>
      </c>
      <c r="H1202" t="s">
        <v>81</v>
      </c>
      <c r="I1202" t="s">
        <v>9</v>
      </c>
      <c r="L1202" t="s">
        <v>161</v>
      </c>
      <c r="M1202">
        <v>8300000</v>
      </c>
    </row>
    <row r="1203" spans="1:13" x14ac:dyDescent="0.3">
      <c r="A1203" s="23">
        <v>45756</v>
      </c>
      <c r="B1203" t="s">
        <v>13</v>
      </c>
      <c r="C1203" t="s">
        <v>132</v>
      </c>
      <c r="D1203" t="s">
        <v>16</v>
      </c>
      <c r="E1203" t="s">
        <v>41</v>
      </c>
      <c r="F1203">
        <v>8500000</v>
      </c>
      <c r="G1203" t="s">
        <v>26</v>
      </c>
      <c r="H1203" t="s">
        <v>81</v>
      </c>
      <c r="I1203" t="s">
        <v>9</v>
      </c>
      <c r="L1203" t="s">
        <v>161</v>
      </c>
      <c r="M1203">
        <v>8500000</v>
      </c>
    </row>
    <row r="1204" spans="1:13" x14ac:dyDescent="0.3">
      <c r="A1204" s="23">
        <v>45656</v>
      </c>
      <c r="B1204" t="s">
        <v>13</v>
      </c>
      <c r="C1204" t="s">
        <v>132</v>
      </c>
      <c r="D1204" t="s">
        <v>16</v>
      </c>
      <c r="E1204" t="s">
        <v>48</v>
      </c>
      <c r="F1204">
        <v>8500000</v>
      </c>
      <c r="G1204" t="s">
        <v>29</v>
      </c>
      <c r="H1204" t="s">
        <v>81</v>
      </c>
      <c r="I1204" t="s">
        <v>9</v>
      </c>
      <c r="L1204" t="s">
        <v>161</v>
      </c>
      <c r="M1204">
        <v>8500000</v>
      </c>
    </row>
    <row r="1205" spans="1:13" x14ac:dyDescent="0.3">
      <c r="A1205" s="23">
        <v>45407</v>
      </c>
      <c r="B1205" t="s">
        <v>13</v>
      </c>
      <c r="C1205" t="s">
        <v>132</v>
      </c>
      <c r="D1205" t="s">
        <v>16</v>
      </c>
      <c r="E1205" t="s">
        <v>169</v>
      </c>
      <c r="F1205">
        <v>8600000</v>
      </c>
      <c r="G1205" t="s">
        <v>131</v>
      </c>
      <c r="H1205" t="s">
        <v>81</v>
      </c>
      <c r="I1205" t="s">
        <v>9</v>
      </c>
      <c r="L1205" t="s">
        <v>161</v>
      </c>
      <c r="M1205">
        <v>8600000</v>
      </c>
    </row>
    <row r="1206" spans="1:13" x14ac:dyDescent="0.3">
      <c r="A1206" s="23">
        <v>45645</v>
      </c>
      <c r="B1206" t="s">
        <v>13</v>
      </c>
      <c r="C1206" t="s">
        <v>132</v>
      </c>
      <c r="D1206" t="s">
        <v>16</v>
      </c>
      <c r="E1206" t="s">
        <v>136</v>
      </c>
      <c r="F1206">
        <v>8653559.9299999997</v>
      </c>
      <c r="G1206" t="s">
        <v>134</v>
      </c>
      <c r="H1206" t="s">
        <v>81</v>
      </c>
      <c r="I1206" t="s">
        <v>9</v>
      </c>
      <c r="L1206" t="s">
        <v>161</v>
      </c>
      <c r="M1206">
        <v>8653559.9299999997</v>
      </c>
    </row>
    <row r="1207" spans="1:13" x14ac:dyDescent="0.3">
      <c r="A1207" s="23">
        <v>44735</v>
      </c>
      <c r="B1207" t="s">
        <v>13</v>
      </c>
      <c r="C1207" t="s">
        <v>143</v>
      </c>
      <c r="D1207" t="s">
        <v>16</v>
      </c>
      <c r="E1207" t="s">
        <v>149</v>
      </c>
      <c r="F1207">
        <v>8683398</v>
      </c>
      <c r="G1207" t="s">
        <v>140</v>
      </c>
      <c r="H1207" t="s">
        <v>81</v>
      </c>
      <c r="I1207" t="s">
        <v>9</v>
      </c>
      <c r="J1207" t="s">
        <v>153</v>
      </c>
      <c r="K1207" t="s">
        <v>152</v>
      </c>
      <c r="L1207" t="s">
        <v>220</v>
      </c>
      <c r="M1207">
        <v>8683398</v>
      </c>
    </row>
    <row r="1208" spans="1:13" x14ac:dyDescent="0.3">
      <c r="A1208" s="23">
        <v>44587</v>
      </c>
      <c r="B1208" t="s">
        <v>13</v>
      </c>
      <c r="C1208" t="s">
        <v>132</v>
      </c>
      <c r="D1208" t="s">
        <v>16</v>
      </c>
      <c r="E1208" t="s">
        <v>41</v>
      </c>
      <c r="F1208">
        <v>8700000</v>
      </c>
      <c r="G1208" t="s">
        <v>26</v>
      </c>
      <c r="H1208" t="s">
        <v>81</v>
      </c>
      <c r="I1208" t="s">
        <v>9</v>
      </c>
      <c r="L1208" t="s">
        <v>161</v>
      </c>
      <c r="M1208">
        <v>8700000</v>
      </c>
    </row>
    <row r="1209" spans="1:13" x14ac:dyDescent="0.3">
      <c r="A1209" s="23">
        <v>45527</v>
      </c>
      <c r="B1209" t="s">
        <v>13</v>
      </c>
      <c r="C1209" t="s">
        <v>132</v>
      </c>
      <c r="D1209" t="s">
        <v>16</v>
      </c>
      <c r="E1209" t="s">
        <v>41</v>
      </c>
      <c r="F1209">
        <v>8700000</v>
      </c>
      <c r="G1209" t="s">
        <v>26</v>
      </c>
      <c r="H1209" t="s">
        <v>81</v>
      </c>
      <c r="I1209" t="s">
        <v>9</v>
      </c>
      <c r="L1209" t="s">
        <v>161</v>
      </c>
      <c r="M1209">
        <v>8700000</v>
      </c>
    </row>
    <row r="1210" spans="1:13" x14ac:dyDescent="0.3">
      <c r="A1210" s="23">
        <v>45630</v>
      </c>
      <c r="B1210" t="s">
        <v>13</v>
      </c>
      <c r="C1210" t="s">
        <v>132</v>
      </c>
      <c r="D1210" t="s">
        <v>16</v>
      </c>
      <c r="E1210" t="s">
        <v>46</v>
      </c>
      <c r="F1210">
        <v>8784594</v>
      </c>
      <c r="G1210" t="s">
        <v>28</v>
      </c>
      <c r="H1210" t="s">
        <v>81</v>
      </c>
      <c r="I1210" t="s">
        <v>9</v>
      </c>
      <c r="L1210" t="s">
        <v>161</v>
      </c>
      <c r="M1210">
        <v>8784594</v>
      </c>
    </row>
    <row r="1211" spans="1:13" x14ac:dyDescent="0.3">
      <c r="A1211" s="23">
        <v>45155</v>
      </c>
      <c r="B1211" t="s">
        <v>13</v>
      </c>
      <c r="C1211" t="s">
        <v>143</v>
      </c>
      <c r="D1211" t="s">
        <v>16</v>
      </c>
      <c r="E1211" t="s">
        <v>149</v>
      </c>
      <c r="F1211">
        <v>8792006</v>
      </c>
      <c r="G1211" t="s">
        <v>140</v>
      </c>
      <c r="H1211" t="s">
        <v>81</v>
      </c>
      <c r="I1211" t="s">
        <v>9</v>
      </c>
      <c r="M1211">
        <v>8792006</v>
      </c>
    </row>
    <row r="1212" spans="1:13" x14ac:dyDescent="0.3">
      <c r="A1212" s="23">
        <v>45506</v>
      </c>
      <c r="B1212" t="s">
        <v>13</v>
      </c>
      <c r="C1212" t="s">
        <v>132</v>
      </c>
      <c r="D1212" t="s">
        <v>16</v>
      </c>
      <c r="E1212" t="s">
        <v>41</v>
      </c>
      <c r="F1212">
        <v>8800000</v>
      </c>
      <c r="G1212" t="s">
        <v>26</v>
      </c>
      <c r="H1212" t="s">
        <v>81</v>
      </c>
      <c r="I1212" t="s">
        <v>9</v>
      </c>
      <c r="L1212" t="s">
        <v>161</v>
      </c>
      <c r="M1212">
        <v>8800000</v>
      </c>
    </row>
    <row r="1213" spans="1:13" x14ac:dyDescent="0.3">
      <c r="A1213" s="23">
        <v>44916</v>
      </c>
      <c r="B1213" t="s">
        <v>13</v>
      </c>
      <c r="C1213" t="s">
        <v>132</v>
      </c>
      <c r="D1213" t="s">
        <v>16</v>
      </c>
      <c r="E1213" t="s">
        <v>46</v>
      </c>
      <c r="F1213">
        <v>8800000</v>
      </c>
      <c r="G1213" t="s">
        <v>28</v>
      </c>
      <c r="H1213" t="s">
        <v>81</v>
      </c>
      <c r="I1213" t="s">
        <v>9</v>
      </c>
      <c r="L1213" t="s">
        <v>161</v>
      </c>
      <c r="M1213">
        <v>8800000</v>
      </c>
    </row>
    <row r="1214" spans="1:13" x14ac:dyDescent="0.3">
      <c r="A1214" s="23">
        <v>45460</v>
      </c>
      <c r="B1214" t="s">
        <v>13</v>
      </c>
      <c r="C1214" t="s">
        <v>132</v>
      </c>
      <c r="D1214" t="s">
        <v>16</v>
      </c>
      <c r="E1214" t="s">
        <v>169</v>
      </c>
      <c r="F1214">
        <v>8830000</v>
      </c>
      <c r="G1214" t="s">
        <v>131</v>
      </c>
      <c r="H1214" t="s">
        <v>81</v>
      </c>
      <c r="I1214" t="s">
        <v>9</v>
      </c>
      <c r="L1214" t="s">
        <v>161</v>
      </c>
      <c r="M1214">
        <v>8830000</v>
      </c>
    </row>
    <row r="1215" spans="1:13" x14ac:dyDescent="0.3">
      <c r="A1215" s="23">
        <v>44939</v>
      </c>
      <c r="B1215" t="s">
        <v>13</v>
      </c>
      <c r="C1215" t="s">
        <v>143</v>
      </c>
      <c r="D1215" t="s">
        <v>16</v>
      </c>
      <c r="E1215" t="s">
        <v>149</v>
      </c>
      <c r="F1215">
        <v>8977134.8900000006</v>
      </c>
      <c r="G1215" t="s">
        <v>140</v>
      </c>
      <c r="H1215" t="s">
        <v>81</v>
      </c>
      <c r="I1215" t="s">
        <v>9</v>
      </c>
      <c r="J1215" s="23">
        <v>44942</v>
      </c>
      <c r="L1215" t="s">
        <v>238</v>
      </c>
      <c r="M1215">
        <v>8977134.8900000006</v>
      </c>
    </row>
    <row r="1216" spans="1:13" x14ac:dyDescent="0.3">
      <c r="A1216" s="23">
        <v>45538</v>
      </c>
      <c r="B1216" t="s">
        <v>13</v>
      </c>
      <c r="C1216" t="s">
        <v>132</v>
      </c>
      <c r="D1216" t="s">
        <v>16</v>
      </c>
      <c r="E1216" t="s">
        <v>136</v>
      </c>
      <c r="F1216">
        <v>9080000</v>
      </c>
      <c r="G1216" t="s">
        <v>134</v>
      </c>
      <c r="H1216" t="s">
        <v>81</v>
      </c>
      <c r="I1216" t="s">
        <v>9</v>
      </c>
      <c r="L1216" t="s">
        <v>161</v>
      </c>
      <c r="M1216">
        <v>9080000</v>
      </c>
    </row>
    <row r="1217" spans="1:13" x14ac:dyDescent="0.3">
      <c r="A1217" s="23">
        <v>45509</v>
      </c>
      <c r="B1217" t="s">
        <v>13</v>
      </c>
      <c r="C1217" t="s">
        <v>132</v>
      </c>
      <c r="D1217" t="s">
        <v>16</v>
      </c>
      <c r="E1217" t="s">
        <v>41</v>
      </c>
      <c r="F1217">
        <v>9100000</v>
      </c>
      <c r="G1217" t="s">
        <v>26</v>
      </c>
      <c r="H1217" t="s">
        <v>81</v>
      </c>
      <c r="I1217" t="s">
        <v>9</v>
      </c>
      <c r="L1217" t="s">
        <v>161</v>
      </c>
      <c r="M1217">
        <v>9100000</v>
      </c>
    </row>
    <row r="1218" spans="1:13" x14ac:dyDescent="0.3">
      <c r="A1218" s="23">
        <v>45407</v>
      </c>
      <c r="B1218" t="s">
        <v>13</v>
      </c>
      <c r="C1218" t="s">
        <v>132</v>
      </c>
      <c r="D1218" t="s">
        <v>16</v>
      </c>
      <c r="E1218" t="s">
        <v>180</v>
      </c>
      <c r="F1218">
        <v>9250000</v>
      </c>
      <c r="G1218" t="s">
        <v>181</v>
      </c>
      <c r="H1218" t="s">
        <v>81</v>
      </c>
      <c r="I1218" t="s">
        <v>9</v>
      </c>
      <c r="L1218" t="s">
        <v>161</v>
      </c>
      <c r="M1218">
        <v>9250000</v>
      </c>
    </row>
    <row r="1219" spans="1:13" x14ac:dyDescent="0.3">
      <c r="A1219" s="23">
        <v>45042</v>
      </c>
      <c r="B1219" t="s">
        <v>13</v>
      </c>
      <c r="C1219" t="s">
        <v>132</v>
      </c>
      <c r="D1219" t="s">
        <v>16</v>
      </c>
      <c r="E1219" t="s">
        <v>41</v>
      </c>
      <c r="F1219">
        <v>9400000</v>
      </c>
      <c r="G1219" t="s">
        <v>26</v>
      </c>
      <c r="H1219" t="s">
        <v>81</v>
      </c>
      <c r="I1219" t="s">
        <v>9</v>
      </c>
      <c r="L1219" t="s">
        <v>161</v>
      </c>
      <c r="M1219">
        <v>9400000</v>
      </c>
    </row>
    <row r="1220" spans="1:13" x14ac:dyDescent="0.3">
      <c r="A1220" s="23">
        <v>44803</v>
      </c>
      <c r="B1220" t="s">
        <v>13</v>
      </c>
      <c r="C1220" t="s">
        <v>143</v>
      </c>
      <c r="D1220" t="s">
        <v>16</v>
      </c>
      <c r="E1220" t="s">
        <v>149</v>
      </c>
      <c r="F1220">
        <v>9492822.3300000001</v>
      </c>
      <c r="G1220" t="s">
        <v>140</v>
      </c>
      <c r="H1220" t="s">
        <v>81</v>
      </c>
      <c r="I1220" t="s">
        <v>9</v>
      </c>
      <c r="J1220" s="23">
        <v>44804</v>
      </c>
      <c r="L1220" t="s">
        <v>231</v>
      </c>
      <c r="M1220">
        <v>9492822.3300000001</v>
      </c>
    </row>
    <row r="1221" spans="1:13" x14ac:dyDescent="0.3">
      <c r="A1221" s="23">
        <v>45131</v>
      </c>
      <c r="B1221" t="s">
        <v>13</v>
      </c>
      <c r="C1221" t="s">
        <v>132</v>
      </c>
      <c r="D1221" t="s">
        <v>16</v>
      </c>
      <c r="E1221" t="s">
        <v>48</v>
      </c>
      <c r="F1221">
        <v>9500000</v>
      </c>
      <c r="G1221" t="s">
        <v>29</v>
      </c>
      <c r="H1221" t="s">
        <v>81</v>
      </c>
      <c r="I1221" t="s">
        <v>9</v>
      </c>
      <c r="L1221" t="s">
        <v>161</v>
      </c>
      <c r="M1221">
        <v>9500000</v>
      </c>
    </row>
    <row r="1222" spans="1:13" x14ac:dyDescent="0.3">
      <c r="A1222" s="23">
        <v>45629</v>
      </c>
      <c r="B1222" t="s">
        <v>13</v>
      </c>
      <c r="C1222" t="s">
        <v>132</v>
      </c>
      <c r="D1222" t="s">
        <v>16</v>
      </c>
      <c r="E1222" t="s">
        <v>48</v>
      </c>
      <c r="F1222">
        <v>9600000</v>
      </c>
      <c r="G1222" t="s">
        <v>29</v>
      </c>
      <c r="H1222" t="s">
        <v>81</v>
      </c>
      <c r="I1222" t="s">
        <v>9</v>
      </c>
      <c r="L1222" t="s">
        <v>161</v>
      </c>
      <c r="M1222">
        <v>9600000</v>
      </c>
    </row>
    <row r="1223" spans="1:13" x14ac:dyDescent="0.3">
      <c r="A1223" s="23">
        <v>45460</v>
      </c>
      <c r="B1223" t="s">
        <v>13</v>
      </c>
      <c r="C1223" t="s">
        <v>132</v>
      </c>
      <c r="D1223" t="s">
        <v>16</v>
      </c>
      <c r="E1223" t="s">
        <v>136</v>
      </c>
      <c r="F1223">
        <v>9770000</v>
      </c>
      <c r="G1223" t="s">
        <v>134</v>
      </c>
      <c r="H1223" t="s">
        <v>81</v>
      </c>
      <c r="I1223" t="s">
        <v>9</v>
      </c>
      <c r="L1223" t="s">
        <v>161</v>
      </c>
      <c r="M1223">
        <v>9770000</v>
      </c>
    </row>
    <row r="1224" spans="1:13" x14ac:dyDescent="0.3">
      <c r="A1224" s="23">
        <v>44907</v>
      </c>
      <c r="B1224" t="s">
        <v>13</v>
      </c>
      <c r="C1224" t="s">
        <v>132</v>
      </c>
      <c r="D1224" t="s">
        <v>16</v>
      </c>
      <c r="E1224" t="s">
        <v>48</v>
      </c>
      <c r="F1224">
        <v>9800000</v>
      </c>
      <c r="G1224" t="s">
        <v>29</v>
      </c>
      <c r="H1224" t="s">
        <v>81</v>
      </c>
      <c r="I1224" t="s">
        <v>9</v>
      </c>
      <c r="L1224" t="s">
        <v>161</v>
      </c>
      <c r="M1224">
        <v>9800000</v>
      </c>
    </row>
    <row r="1225" spans="1:13" x14ac:dyDescent="0.3">
      <c r="A1225" s="23">
        <v>45328</v>
      </c>
      <c r="B1225" t="s">
        <v>13</v>
      </c>
      <c r="C1225" t="s">
        <v>132</v>
      </c>
      <c r="D1225" t="s">
        <v>16</v>
      </c>
      <c r="E1225" t="s">
        <v>136</v>
      </c>
      <c r="F1225">
        <v>9900000</v>
      </c>
      <c r="G1225" t="s">
        <v>134</v>
      </c>
      <c r="H1225" t="s">
        <v>81</v>
      </c>
      <c r="I1225" t="s">
        <v>9</v>
      </c>
      <c r="L1225" t="s">
        <v>161</v>
      </c>
      <c r="M1225">
        <v>9900000</v>
      </c>
    </row>
    <row r="1226" spans="1:13" x14ac:dyDescent="0.3">
      <c r="A1226" s="23">
        <v>45264</v>
      </c>
      <c r="B1226" t="s">
        <v>13</v>
      </c>
      <c r="C1226" t="s">
        <v>132</v>
      </c>
      <c r="D1226" t="s">
        <v>16</v>
      </c>
      <c r="E1226" t="s">
        <v>136</v>
      </c>
      <c r="F1226">
        <v>10000000</v>
      </c>
      <c r="G1226" t="s">
        <v>134</v>
      </c>
      <c r="H1226" t="s">
        <v>81</v>
      </c>
      <c r="I1226" t="s">
        <v>9</v>
      </c>
      <c r="L1226" t="s">
        <v>161</v>
      </c>
      <c r="M1226">
        <v>10000000</v>
      </c>
    </row>
    <row r="1227" spans="1:13" x14ac:dyDescent="0.3">
      <c r="A1227" s="23">
        <v>45240</v>
      </c>
      <c r="B1227" t="s">
        <v>13</v>
      </c>
      <c r="C1227" t="s">
        <v>132</v>
      </c>
      <c r="D1227" t="s">
        <v>16</v>
      </c>
      <c r="E1227" t="s">
        <v>136</v>
      </c>
      <c r="F1227">
        <v>10000000</v>
      </c>
      <c r="G1227" t="s">
        <v>134</v>
      </c>
      <c r="H1227" t="s">
        <v>81</v>
      </c>
      <c r="I1227" t="s">
        <v>9</v>
      </c>
      <c r="L1227" t="s">
        <v>161</v>
      </c>
      <c r="M1227">
        <v>10000000</v>
      </c>
    </row>
    <row r="1228" spans="1:13" x14ac:dyDescent="0.3">
      <c r="A1228" s="23">
        <v>44881</v>
      </c>
      <c r="B1228" t="s">
        <v>13</v>
      </c>
      <c r="C1228" t="s">
        <v>132</v>
      </c>
      <c r="D1228" t="s">
        <v>16</v>
      </c>
      <c r="E1228" t="s">
        <v>41</v>
      </c>
      <c r="F1228">
        <v>10000000</v>
      </c>
      <c r="G1228" t="s">
        <v>26</v>
      </c>
      <c r="H1228" t="s">
        <v>81</v>
      </c>
      <c r="I1228" t="s">
        <v>9</v>
      </c>
      <c r="L1228" t="s">
        <v>161</v>
      </c>
      <c r="M1228">
        <v>10000000</v>
      </c>
    </row>
    <row r="1229" spans="1:13" x14ac:dyDescent="0.3">
      <c r="A1229" s="23">
        <v>44937</v>
      </c>
      <c r="B1229" t="s">
        <v>13</v>
      </c>
      <c r="C1229" t="s">
        <v>132</v>
      </c>
      <c r="D1229" t="s">
        <v>16</v>
      </c>
      <c r="E1229" t="s">
        <v>41</v>
      </c>
      <c r="F1229">
        <v>10000000</v>
      </c>
      <c r="G1229" t="s">
        <v>26</v>
      </c>
      <c r="H1229" t="s">
        <v>81</v>
      </c>
      <c r="I1229" t="s">
        <v>9</v>
      </c>
      <c r="L1229" t="s">
        <v>161</v>
      </c>
      <c r="M1229">
        <v>10000000</v>
      </c>
    </row>
    <row r="1230" spans="1:13" x14ac:dyDescent="0.3">
      <c r="A1230" s="23">
        <v>45146</v>
      </c>
      <c r="B1230" t="s">
        <v>13</v>
      </c>
      <c r="C1230" t="s">
        <v>132</v>
      </c>
      <c r="D1230" t="s">
        <v>16</v>
      </c>
      <c r="E1230" t="s">
        <v>41</v>
      </c>
      <c r="F1230">
        <v>10000000</v>
      </c>
      <c r="G1230" t="s">
        <v>26</v>
      </c>
      <c r="H1230" t="s">
        <v>81</v>
      </c>
      <c r="I1230" t="s">
        <v>9</v>
      </c>
      <c r="L1230" t="s">
        <v>161</v>
      </c>
      <c r="M1230">
        <v>10000000</v>
      </c>
    </row>
    <row r="1231" spans="1:13" x14ac:dyDescent="0.3">
      <c r="A1231" s="23">
        <v>45377</v>
      </c>
      <c r="B1231" t="s">
        <v>13</v>
      </c>
      <c r="C1231" t="s">
        <v>132</v>
      </c>
      <c r="D1231" t="s">
        <v>16</v>
      </c>
      <c r="E1231" t="s">
        <v>46</v>
      </c>
      <c r="F1231">
        <v>10000000</v>
      </c>
      <c r="G1231" t="s">
        <v>28</v>
      </c>
      <c r="H1231" t="s">
        <v>81</v>
      </c>
      <c r="I1231" t="s">
        <v>9</v>
      </c>
      <c r="L1231" t="s">
        <v>161</v>
      </c>
      <c r="M1231">
        <v>10000000</v>
      </c>
    </row>
    <row r="1232" spans="1:13" x14ac:dyDescent="0.3">
      <c r="A1232" s="23">
        <v>45373</v>
      </c>
      <c r="B1232" t="s">
        <v>13</v>
      </c>
      <c r="C1232" t="s">
        <v>132</v>
      </c>
      <c r="D1232" t="s">
        <v>16</v>
      </c>
      <c r="E1232" t="s">
        <v>48</v>
      </c>
      <c r="F1232">
        <v>10000000</v>
      </c>
      <c r="G1232" t="s">
        <v>29</v>
      </c>
      <c r="H1232" t="s">
        <v>81</v>
      </c>
      <c r="I1232" t="s">
        <v>9</v>
      </c>
      <c r="L1232" t="s">
        <v>161</v>
      </c>
      <c r="M1232">
        <v>10000000</v>
      </c>
    </row>
    <row r="1233" spans="1:13" x14ac:dyDescent="0.3">
      <c r="A1233" s="23">
        <v>44742</v>
      </c>
      <c r="B1233" t="s">
        <v>13</v>
      </c>
      <c r="C1233" t="s">
        <v>143</v>
      </c>
      <c r="D1233" t="s">
        <v>16</v>
      </c>
      <c r="E1233" t="s">
        <v>149</v>
      </c>
      <c r="F1233">
        <v>10000000</v>
      </c>
      <c r="G1233" t="s">
        <v>140</v>
      </c>
      <c r="H1233" t="s">
        <v>81</v>
      </c>
      <c r="I1233" t="s">
        <v>9</v>
      </c>
      <c r="J1233" s="23">
        <v>44749</v>
      </c>
      <c r="K1233" t="s">
        <v>152</v>
      </c>
      <c r="L1233" t="s">
        <v>222</v>
      </c>
      <c r="M1233">
        <v>10000000</v>
      </c>
    </row>
    <row r="1234" spans="1:13" x14ac:dyDescent="0.3">
      <c r="A1234" s="23">
        <v>45264</v>
      </c>
      <c r="B1234" t="s">
        <v>13</v>
      </c>
      <c r="C1234" t="s">
        <v>132</v>
      </c>
      <c r="D1234" t="s">
        <v>16</v>
      </c>
      <c r="E1234" t="s">
        <v>169</v>
      </c>
      <c r="F1234">
        <v>10000000</v>
      </c>
      <c r="G1234" t="s">
        <v>131</v>
      </c>
      <c r="H1234" t="s">
        <v>81</v>
      </c>
      <c r="I1234" t="s">
        <v>9</v>
      </c>
      <c r="L1234" t="s">
        <v>161</v>
      </c>
      <c r="M1234">
        <v>10000000</v>
      </c>
    </row>
    <row r="1235" spans="1:13" x14ac:dyDescent="0.3">
      <c r="A1235" s="23">
        <v>45197</v>
      </c>
      <c r="B1235" t="s">
        <v>13</v>
      </c>
      <c r="C1235" t="s">
        <v>143</v>
      </c>
      <c r="D1235" t="s">
        <v>16</v>
      </c>
      <c r="E1235" t="s">
        <v>149</v>
      </c>
      <c r="F1235">
        <v>10034943.529999999</v>
      </c>
      <c r="G1235" t="s">
        <v>140</v>
      </c>
      <c r="H1235" t="s">
        <v>81</v>
      </c>
      <c r="I1235" t="s">
        <v>9</v>
      </c>
      <c r="M1235">
        <v>10034943.529999999</v>
      </c>
    </row>
    <row r="1236" spans="1:13" x14ac:dyDescent="0.3">
      <c r="A1236" s="23">
        <v>44637</v>
      </c>
      <c r="B1236" t="s">
        <v>13</v>
      </c>
      <c r="C1236" t="s">
        <v>132</v>
      </c>
      <c r="D1236" t="s">
        <v>16</v>
      </c>
      <c r="E1236" t="s">
        <v>41</v>
      </c>
      <c r="F1236">
        <v>10100000</v>
      </c>
      <c r="G1236" t="s">
        <v>26</v>
      </c>
      <c r="H1236" t="s">
        <v>81</v>
      </c>
      <c r="I1236" t="s">
        <v>9</v>
      </c>
      <c r="L1236" t="s">
        <v>161</v>
      </c>
      <c r="M1236">
        <v>10100000</v>
      </c>
    </row>
    <row r="1237" spans="1:13" x14ac:dyDescent="0.3">
      <c r="A1237" s="23">
        <v>45302</v>
      </c>
      <c r="B1237" t="s">
        <v>13</v>
      </c>
      <c r="C1237" t="s">
        <v>143</v>
      </c>
      <c r="D1237" t="s">
        <v>16</v>
      </c>
      <c r="E1237" t="s">
        <v>149</v>
      </c>
      <c r="F1237">
        <v>10201179.1</v>
      </c>
      <c r="G1237" t="s">
        <v>140</v>
      </c>
      <c r="H1237" t="s">
        <v>81</v>
      </c>
      <c r="I1237" t="s">
        <v>9</v>
      </c>
      <c r="M1237">
        <v>10201179.1</v>
      </c>
    </row>
    <row r="1238" spans="1:13" x14ac:dyDescent="0.3">
      <c r="A1238" s="23">
        <v>44727</v>
      </c>
      <c r="B1238" t="s">
        <v>13</v>
      </c>
      <c r="C1238" t="s">
        <v>132</v>
      </c>
      <c r="D1238" t="s">
        <v>16</v>
      </c>
      <c r="E1238" t="s">
        <v>139</v>
      </c>
      <c r="F1238">
        <v>10290000</v>
      </c>
      <c r="G1238" t="s">
        <v>140</v>
      </c>
      <c r="H1238" t="s">
        <v>81</v>
      </c>
      <c r="I1238" t="s">
        <v>9</v>
      </c>
      <c r="L1238" t="s">
        <v>161</v>
      </c>
      <c r="M1238">
        <v>10290000</v>
      </c>
    </row>
    <row r="1239" spans="1:13" x14ac:dyDescent="0.3">
      <c r="A1239" s="23">
        <v>44741</v>
      </c>
      <c r="B1239" t="s">
        <v>13</v>
      </c>
      <c r="C1239" t="s">
        <v>132</v>
      </c>
      <c r="D1239" t="s">
        <v>16</v>
      </c>
      <c r="E1239" t="s">
        <v>46</v>
      </c>
      <c r="F1239">
        <v>10500000</v>
      </c>
      <c r="G1239" t="s">
        <v>28</v>
      </c>
      <c r="H1239" t="s">
        <v>81</v>
      </c>
      <c r="I1239" t="s">
        <v>9</v>
      </c>
      <c r="L1239" t="s">
        <v>161</v>
      </c>
      <c r="M1239">
        <v>10500000</v>
      </c>
    </row>
    <row r="1240" spans="1:13" x14ac:dyDescent="0.3">
      <c r="A1240" s="23">
        <v>44777</v>
      </c>
      <c r="B1240" t="s">
        <v>13</v>
      </c>
      <c r="C1240" t="s">
        <v>132</v>
      </c>
      <c r="D1240" t="s">
        <v>16</v>
      </c>
      <c r="E1240" t="s">
        <v>41</v>
      </c>
      <c r="F1240">
        <v>10600000</v>
      </c>
      <c r="G1240" t="s">
        <v>26</v>
      </c>
      <c r="H1240" t="s">
        <v>81</v>
      </c>
      <c r="I1240" t="s">
        <v>9</v>
      </c>
      <c r="L1240" t="s">
        <v>161</v>
      </c>
      <c r="M1240">
        <v>10600000</v>
      </c>
    </row>
    <row r="1241" spans="1:13" x14ac:dyDescent="0.3">
      <c r="A1241" s="23">
        <v>45135</v>
      </c>
      <c r="B1241" t="s">
        <v>13</v>
      </c>
      <c r="C1241" t="s">
        <v>132</v>
      </c>
      <c r="D1241" t="s">
        <v>16</v>
      </c>
      <c r="E1241" t="s">
        <v>48</v>
      </c>
      <c r="F1241">
        <v>10700000</v>
      </c>
      <c r="G1241" t="s">
        <v>29</v>
      </c>
      <c r="H1241" t="s">
        <v>81</v>
      </c>
      <c r="I1241" t="s">
        <v>9</v>
      </c>
      <c r="L1241" t="s">
        <v>161</v>
      </c>
      <c r="M1241">
        <v>10700000</v>
      </c>
    </row>
    <row r="1242" spans="1:13" x14ac:dyDescent="0.3">
      <c r="A1242" s="23">
        <v>44768</v>
      </c>
      <c r="B1242" t="s">
        <v>13</v>
      </c>
      <c r="C1242" t="s">
        <v>132</v>
      </c>
      <c r="D1242" t="s">
        <v>16</v>
      </c>
      <c r="E1242" t="s">
        <v>41</v>
      </c>
      <c r="F1242">
        <v>10800000</v>
      </c>
      <c r="G1242" t="s">
        <v>26</v>
      </c>
      <c r="H1242" t="s">
        <v>81</v>
      </c>
      <c r="I1242" t="s">
        <v>9</v>
      </c>
      <c r="L1242" t="s">
        <v>161</v>
      </c>
      <c r="M1242">
        <v>10800000</v>
      </c>
    </row>
    <row r="1243" spans="1:13" x14ac:dyDescent="0.3">
      <c r="A1243" s="23">
        <v>45518</v>
      </c>
      <c r="B1243" t="s">
        <v>13</v>
      </c>
      <c r="C1243" t="s">
        <v>132</v>
      </c>
      <c r="D1243" t="s">
        <v>16</v>
      </c>
      <c r="E1243" t="s">
        <v>48</v>
      </c>
      <c r="F1243">
        <v>10800000</v>
      </c>
      <c r="G1243" t="s">
        <v>29</v>
      </c>
      <c r="H1243" t="s">
        <v>81</v>
      </c>
      <c r="I1243" t="s">
        <v>9</v>
      </c>
      <c r="L1243" t="s">
        <v>161</v>
      </c>
      <c r="M1243">
        <v>10800000</v>
      </c>
    </row>
    <row r="1244" spans="1:13" x14ac:dyDescent="0.3">
      <c r="A1244" s="23">
        <v>45208</v>
      </c>
      <c r="B1244" t="s">
        <v>13</v>
      </c>
      <c r="C1244" t="s">
        <v>143</v>
      </c>
      <c r="D1244" t="s">
        <v>16</v>
      </c>
      <c r="E1244" t="s">
        <v>149</v>
      </c>
      <c r="F1244">
        <v>10897184.390000001</v>
      </c>
      <c r="G1244" t="s">
        <v>140</v>
      </c>
      <c r="H1244" t="s">
        <v>81</v>
      </c>
      <c r="I1244" t="s">
        <v>9</v>
      </c>
      <c r="M1244">
        <v>10897184.390000001</v>
      </c>
    </row>
    <row r="1245" spans="1:13" x14ac:dyDescent="0.3">
      <c r="A1245" s="23">
        <v>45329</v>
      </c>
      <c r="B1245" t="s">
        <v>13</v>
      </c>
      <c r="C1245" t="s">
        <v>143</v>
      </c>
      <c r="D1245" t="s">
        <v>16</v>
      </c>
      <c r="E1245" t="s">
        <v>149</v>
      </c>
      <c r="F1245">
        <v>10930000</v>
      </c>
      <c r="G1245" t="s">
        <v>140</v>
      </c>
      <c r="H1245" t="s">
        <v>81</v>
      </c>
      <c r="I1245" t="s">
        <v>9</v>
      </c>
      <c r="M1245">
        <v>10930000</v>
      </c>
    </row>
    <row r="1246" spans="1:13" x14ac:dyDescent="0.3">
      <c r="A1246" s="23">
        <v>45210</v>
      </c>
      <c r="B1246" t="s">
        <v>13</v>
      </c>
      <c r="C1246" t="s">
        <v>132</v>
      </c>
      <c r="D1246" t="s">
        <v>16</v>
      </c>
      <c r="E1246" t="s">
        <v>46</v>
      </c>
      <c r="F1246">
        <v>11000000</v>
      </c>
      <c r="G1246" t="s">
        <v>28</v>
      </c>
      <c r="H1246" t="s">
        <v>81</v>
      </c>
      <c r="I1246" t="s">
        <v>9</v>
      </c>
      <c r="L1246" t="s">
        <v>161</v>
      </c>
      <c r="M1246">
        <v>11000000</v>
      </c>
    </row>
    <row r="1247" spans="1:13" x14ac:dyDescent="0.3">
      <c r="A1247" s="23">
        <v>45630</v>
      </c>
      <c r="B1247" t="s">
        <v>13</v>
      </c>
      <c r="C1247" t="s">
        <v>132</v>
      </c>
      <c r="D1247" t="s">
        <v>16</v>
      </c>
      <c r="E1247" t="s">
        <v>180</v>
      </c>
      <c r="F1247">
        <v>11101662</v>
      </c>
      <c r="G1247" t="s">
        <v>181</v>
      </c>
      <c r="H1247" t="s">
        <v>81</v>
      </c>
      <c r="I1247" t="s">
        <v>9</v>
      </c>
      <c r="L1247" t="s">
        <v>161</v>
      </c>
      <c r="M1247">
        <v>11101662</v>
      </c>
    </row>
    <row r="1248" spans="1:13" x14ac:dyDescent="0.3">
      <c r="A1248" s="23">
        <v>44631</v>
      </c>
      <c r="B1248" t="s">
        <v>13</v>
      </c>
      <c r="C1248" t="s">
        <v>132</v>
      </c>
      <c r="D1248" t="s">
        <v>16</v>
      </c>
      <c r="E1248" t="s">
        <v>41</v>
      </c>
      <c r="F1248">
        <v>11200000</v>
      </c>
      <c r="G1248" t="s">
        <v>26</v>
      </c>
      <c r="H1248" t="s">
        <v>81</v>
      </c>
      <c r="I1248" t="s">
        <v>9</v>
      </c>
      <c r="L1248" t="s">
        <v>161</v>
      </c>
      <c r="M1248">
        <v>11200000</v>
      </c>
    </row>
    <row r="1249" spans="1:13" x14ac:dyDescent="0.3">
      <c r="A1249" s="23">
        <v>44852</v>
      </c>
      <c r="B1249" t="s">
        <v>13</v>
      </c>
      <c r="C1249" t="s">
        <v>132</v>
      </c>
      <c r="D1249" t="s">
        <v>16</v>
      </c>
      <c r="E1249" t="s">
        <v>41</v>
      </c>
      <c r="F1249">
        <v>11200000</v>
      </c>
      <c r="G1249" t="s">
        <v>26</v>
      </c>
      <c r="H1249" t="s">
        <v>81</v>
      </c>
      <c r="I1249" t="s">
        <v>9</v>
      </c>
      <c r="L1249" t="s">
        <v>161</v>
      </c>
      <c r="M1249">
        <v>11200000</v>
      </c>
    </row>
    <row r="1250" spans="1:13" x14ac:dyDescent="0.3">
      <c r="A1250" s="23">
        <v>45008</v>
      </c>
      <c r="B1250" t="s">
        <v>13</v>
      </c>
      <c r="C1250" t="s">
        <v>132</v>
      </c>
      <c r="D1250" t="s">
        <v>16</v>
      </c>
      <c r="E1250" t="s">
        <v>41</v>
      </c>
      <c r="F1250">
        <v>11200000</v>
      </c>
      <c r="G1250" t="s">
        <v>26</v>
      </c>
      <c r="H1250" t="s">
        <v>81</v>
      </c>
      <c r="I1250" t="s">
        <v>9</v>
      </c>
      <c r="L1250" t="s">
        <v>161</v>
      </c>
      <c r="M1250">
        <v>11200000</v>
      </c>
    </row>
    <row r="1251" spans="1:13" x14ac:dyDescent="0.3">
      <c r="A1251" s="23">
        <v>45656</v>
      </c>
      <c r="B1251" t="s">
        <v>13</v>
      </c>
      <c r="C1251" t="s">
        <v>132</v>
      </c>
      <c r="D1251" t="s">
        <v>16</v>
      </c>
      <c r="E1251" t="s">
        <v>136</v>
      </c>
      <c r="F1251">
        <v>11244655.98</v>
      </c>
      <c r="G1251" t="s">
        <v>134</v>
      </c>
      <c r="H1251" t="s">
        <v>81</v>
      </c>
      <c r="I1251" t="s">
        <v>9</v>
      </c>
      <c r="L1251" t="s">
        <v>161</v>
      </c>
      <c r="M1251">
        <v>11244655.98</v>
      </c>
    </row>
    <row r="1252" spans="1:13" x14ac:dyDescent="0.3">
      <c r="A1252" s="23">
        <v>45317</v>
      </c>
      <c r="B1252" t="s">
        <v>13</v>
      </c>
      <c r="C1252" t="s">
        <v>143</v>
      </c>
      <c r="D1252" t="s">
        <v>16</v>
      </c>
      <c r="E1252" t="s">
        <v>149</v>
      </c>
      <c r="F1252">
        <v>11298674</v>
      </c>
      <c r="G1252" t="s">
        <v>140</v>
      </c>
      <c r="H1252" t="s">
        <v>81</v>
      </c>
      <c r="I1252" t="s">
        <v>9</v>
      </c>
      <c r="M1252">
        <v>11298674</v>
      </c>
    </row>
    <row r="1253" spans="1:13" x14ac:dyDescent="0.3">
      <c r="A1253" s="23">
        <v>44643</v>
      </c>
      <c r="B1253" t="s">
        <v>13</v>
      </c>
      <c r="C1253" t="s">
        <v>132</v>
      </c>
      <c r="D1253" t="s">
        <v>16</v>
      </c>
      <c r="E1253" t="s">
        <v>41</v>
      </c>
      <c r="F1253">
        <v>11500000</v>
      </c>
      <c r="G1253" t="s">
        <v>26</v>
      </c>
      <c r="H1253" t="s">
        <v>81</v>
      </c>
      <c r="I1253" t="s">
        <v>9</v>
      </c>
      <c r="L1253" t="s">
        <v>161</v>
      </c>
      <c r="M1253">
        <v>11500000</v>
      </c>
    </row>
    <row r="1254" spans="1:13" x14ac:dyDescent="0.3">
      <c r="A1254" s="23">
        <v>45134</v>
      </c>
      <c r="B1254" t="s">
        <v>13</v>
      </c>
      <c r="C1254" t="s">
        <v>132</v>
      </c>
      <c r="D1254" t="s">
        <v>16</v>
      </c>
      <c r="E1254" t="s">
        <v>41</v>
      </c>
      <c r="F1254">
        <v>11600000</v>
      </c>
      <c r="G1254" t="s">
        <v>26</v>
      </c>
      <c r="H1254" t="s">
        <v>81</v>
      </c>
      <c r="I1254" t="s">
        <v>9</v>
      </c>
      <c r="L1254" t="s">
        <v>161</v>
      </c>
      <c r="M1254">
        <v>11600000</v>
      </c>
    </row>
    <row r="1255" spans="1:13" x14ac:dyDescent="0.3">
      <c r="A1255" s="23">
        <v>45630</v>
      </c>
      <c r="B1255" t="s">
        <v>13</v>
      </c>
      <c r="C1255" t="s">
        <v>132</v>
      </c>
      <c r="D1255" t="s">
        <v>16</v>
      </c>
      <c r="E1255" t="s">
        <v>208</v>
      </c>
      <c r="F1255">
        <v>11721908</v>
      </c>
      <c r="G1255" t="s">
        <v>209</v>
      </c>
      <c r="H1255" t="s">
        <v>81</v>
      </c>
      <c r="I1255" t="s">
        <v>9</v>
      </c>
      <c r="L1255" t="s">
        <v>161</v>
      </c>
      <c r="M1255">
        <v>11721908</v>
      </c>
    </row>
    <row r="1256" spans="1:13" x14ac:dyDescent="0.3">
      <c r="A1256" s="23">
        <v>45520</v>
      </c>
      <c r="B1256" t="s">
        <v>13</v>
      </c>
      <c r="C1256" t="s">
        <v>132</v>
      </c>
      <c r="D1256" t="s">
        <v>16</v>
      </c>
      <c r="E1256" t="s">
        <v>41</v>
      </c>
      <c r="F1256">
        <v>11800000</v>
      </c>
      <c r="G1256" t="s">
        <v>26</v>
      </c>
      <c r="H1256" t="s">
        <v>81</v>
      </c>
      <c r="I1256" t="s">
        <v>9</v>
      </c>
      <c r="L1256" t="s">
        <v>161</v>
      </c>
      <c r="M1256">
        <v>11800000</v>
      </c>
    </row>
    <row r="1257" spans="1:13" x14ac:dyDescent="0.3">
      <c r="A1257" s="23">
        <v>45184</v>
      </c>
      <c r="B1257" t="s">
        <v>13</v>
      </c>
      <c r="C1257" t="s">
        <v>132</v>
      </c>
      <c r="D1257" t="s">
        <v>16</v>
      </c>
      <c r="E1257" t="s">
        <v>41</v>
      </c>
      <c r="F1257">
        <v>11800000</v>
      </c>
      <c r="G1257" t="s">
        <v>26</v>
      </c>
      <c r="H1257" t="s">
        <v>81</v>
      </c>
      <c r="I1257" t="s">
        <v>9</v>
      </c>
      <c r="L1257" t="s">
        <v>161</v>
      </c>
      <c r="M1257">
        <v>11800000</v>
      </c>
    </row>
    <row r="1258" spans="1:13" x14ac:dyDescent="0.3">
      <c r="A1258" s="23">
        <v>44648</v>
      </c>
      <c r="B1258" t="s">
        <v>13</v>
      </c>
      <c r="C1258" t="s">
        <v>132</v>
      </c>
      <c r="D1258" t="s">
        <v>16</v>
      </c>
      <c r="E1258" t="s">
        <v>41</v>
      </c>
      <c r="F1258">
        <v>12000000</v>
      </c>
      <c r="G1258" t="s">
        <v>26</v>
      </c>
      <c r="H1258" t="s">
        <v>81</v>
      </c>
      <c r="I1258" t="s">
        <v>9</v>
      </c>
      <c r="L1258" t="s">
        <v>161</v>
      </c>
      <c r="M1258">
        <v>12000000</v>
      </c>
    </row>
    <row r="1259" spans="1:13" x14ac:dyDescent="0.3">
      <c r="A1259" s="23">
        <v>44771</v>
      </c>
      <c r="B1259" t="s">
        <v>13</v>
      </c>
      <c r="C1259" t="s">
        <v>132</v>
      </c>
      <c r="D1259" t="s">
        <v>16</v>
      </c>
      <c r="E1259" t="s">
        <v>41</v>
      </c>
      <c r="F1259">
        <v>12000000</v>
      </c>
      <c r="G1259" t="s">
        <v>26</v>
      </c>
      <c r="H1259" t="s">
        <v>81</v>
      </c>
      <c r="I1259" t="s">
        <v>9</v>
      </c>
      <c r="L1259" t="s">
        <v>161</v>
      </c>
      <c r="M1259">
        <v>12000000</v>
      </c>
    </row>
    <row r="1260" spans="1:13" x14ac:dyDescent="0.3">
      <c r="A1260" s="23">
        <v>44813</v>
      </c>
      <c r="B1260" t="s">
        <v>13</v>
      </c>
      <c r="C1260" t="s">
        <v>132</v>
      </c>
      <c r="D1260" t="s">
        <v>16</v>
      </c>
      <c r="E1260" t="s">
        <v>46</v>
      </c>
      <c r="F1260">
        <v>12000000</v>
      </c>
      <c r="G1260" t="s">
        <v>28</v>
      </c>
      <c r="H1260" t="s">
        <v>81</v>
      </c>
      <c r="I1260" t="s">
        <v>9</v>
      </c>
      <c r="L1260" t="s">
        <v>161</v>
      </c>
      <c r="M1260">
        <v>12000000</v>
      </c>
    </row>
    <row r="1261" spans="1:13" x14ac:dyDescent="0.3">
      <c r="A1261" s="23">
        <v>45357</v>
      </c>
      <c r="B1261" t="s">
        <v>13</v>
      </c>
      <c r="C1261" t="s">
        <v>132</v>
      </c>
      <c r="D1261" t="s">
        <v>16</v>
      </c>
      <c r="E1261" t="s">
        <v>48</v>
      </c>
      <c r="F1261">
        <v>12000000</v>
      </c>
      <c r="G1261" t="s">
        <v>29</v>
      </c>
      <c r="H1261" t="s">
        <v>81</v>
      </c>
      <c r="I1261" t="s">
        <v>9</v>
      </c>
      <c r="L1261" t="s">
        <v>161</v>
      </c>
      <c r="M1261">
        <v>12000000</v>
      </c>
    </row>
    <row r="1262" spans="1:13" x14ac:dyDescent="0.3">
      <c r="A1262" s="23">
        <v>44595</v>
      </c>
      <c r="B1262" t="s">
        <v>13</v>
      </c>
      <c r="C1262" t="s">
        <v>132</v>
      </c>
      <c r="D1262" t="s">
        <v>16</v>
      </c>
      <c r="E1262" t="s">
        <v>41</v>
      </c>
      <c r="F1262">
        <v>12100000</v>
      </c>
      <c r="G1262" t="s">
        <v>26</v>
      </c>
      <c r="H1262" t="s">
        <v>81</v>
      </c>
      <c r="I1262" t="s">
        <v>9</v>
      </c>
      <c r="L1262" t="s">
        <v>161</v>
      </c>
      <c r="M1262">
        <v>12100000</v>
      </c>
    </row>
    <row r="1263" spans="1:13" x14ac:dyDescent="0.3">
      <c r="A1263" s="23">
        <v>44986</v>
      </c>
      <c r="B1263" t="s">
        <v>13</v>
      </c>
      <c r="C1263" t="s">
        <v>132</v>
      </c>
      <c r="D1263" t="s">
        <v>16</v>
      </c>
      <c r="E1263" t="s">
        <v>41</v>
      </c>
      <c r="F1263">
        <v>12100000</v>
      </c>
      <c r="G1263" t="s">
        <v>26</v>
      </c>
      <c r="H1263" t="s">
        <v>81</v>
      </c>
      <c r="I1263" t="s">
        <v>9</v>
      </c>
      <c r="L1263" t="s">
        <v>161</v>
      </c>
      <c r="M1263">
        <v>12100000</v>
      </c>
    </row>
    <row r="1264" spans="1:13" x14ac:dyDescent="0.3">
      <c r="A1264" s="23">
        <v>45513</v>
      </c>
      <c r="B1264" t="s">
        <v>13</v>
      </c>
      <c r="C1264" t="s">
        <v>143</v>
      </c>
      <c r="D1264" t="s">
        <v>16</v>
      </c>
      <c r="E1264" t="s">
        <v>149</v>
      </c>
      <c r="F1264">
        <v>12137914.640000001</v>
      </c>
      <c r="G1264" t="s">
        <v>140</v>
      </c>
      <c r="H1264" t="s">
        <v>81</v>
      </c>
      <c r="I1264" t="s">
        <v>9</v>
      </c>
      <c r="M1264">
        <v>12137914.640000001</v>
      </c>
    </row>
    <row r="1265" spans="1:13" x14ac:dyDescent="0.3">
      <c r="A1265" s="23">
        <v>45625</v>
      </c>
      <c r="B1265" t="s">
        <v>13</v>
      </c>
      <c r="C1265" t="s">
        <v>132</v>
      </c>
      <c r="D1265" t="s">
        <v>16</v>
      </c>
      <c r="E1265" t="s">
        <v>136</v>
      </c>
      <c r="F1265">
        <v>12176826.83</v>
      </c>
      <c r="G1265" t="s">
        <v>134</v>
      </c>
      <c r="H1265" t="s">
        <v>81</v>
      </c>
      <c r="I1265" t="s">
        <v>9</v>
      </c>
      <c r="L1265" t="s">
        <v>161</v>
      </c>
      <c r="M1265">
        <v>12176826.83</v>
      </c>
    </row>
    <row r="1266" spans="1:13" x14ac:dyDescent="0.3">
      <c r="A1266" s="23">
        <v>44760</v>
      </c>
      <c r="B1266" t="s">
        <v>13</v>
      </c>
      <c r="C1266" t="s">
        <v>132</v>
      </c>
      <c r="D1266" t="s">
        <v>16</v>
      </c>
      <c r="E1266" t="s">
        <v>41</v>
      </c>
      <c r="F1266">
        <v>12300000</v>
      </c>
      <c r="G1266" t="s">
        <v>26</v>
      </c>
      <c r="H1266" t="s">
        <v>81</v>
      </c>
      <c r="I1266" t="s">
        <v>9</v>
      </c>
      <c r="L1266" t="s">
        <v>161</v>
      </c>
      <c r="M1266">
        <v>12300000</v>
      </c>
    </row>
    <row r="1267" spans="1:13" x14ac:dyDescent="0.3">
      <c r="A1267" s="23">
        <v>45449</v>
      </c>
      <c r="B1267" t="s">
        <v>13</v>
      </c>
      <c r="C1267" t="s">
        <v>132</v>
      </c>
      <c r="D1267" t="s">
        <v>16</v>
      </c>
      <c r="E1267" t="s">
        <v>41</v>
      </c>
      <c r="F1267">
        <v>12400000</v>
      </c>
      <c r="G1267" t="s">
        <v>26</v>
      </c>
      <c r="H1267" t="s">
        <v>81</v>
      </c>
      <c r="I1267" t="s">
        <v>9</v>
      </c>
      <c r="L1267" t="s">
        <v>161</v>
      </c>
      <c r="M1267">
        <v>12400000</v>
      </c>
    </row>
    <row r="1268" spans="1:13" x14ac:dyDescent="0.3">
      <c r="A1268" s="23">
        <v>44897</v>
      </c>
      <c r="B1268" t="s">
        <v>13</v>
      </c>
      <c r="C1268" t="s">
        <v>132</v>
      </c>
      <c r="D1268" t="s">
        <v>16</v>
      </c>
      <c r="E1268" t="s">
        <v>48</v>
      </c>
      <c r="F1268">
        <v>12400000</v>
      </c>
      <c r="G1268" t="s">
        <v>29</v>
      </c>
      <c r="H1268" t="s">
        <v>81</v>
      </c>
      <c r="I1268" t="s">
        <v>9</v>
      </c>
      <c r="L1268" t="s">
        <v>161</v>
      </c>
      <c r="M1268">
        <v>12400000</v>
      </c>
    </row>
    <row r="1269" spans="1:13" x14ac:dyDescent="0.3">
      <c r="A1269" s="23">
        <v>45058</v>
      </c>
      <c r="B1269" t="s">
        <v>13</v>
      </c>
      <c r="C1269" t="s">
        <v>132</v>
      </c>
      <c r="D1269" t="s">
        <v>16</v>
      </c>
      <c r="E1269" t="s">
        <v>41</v>
      </c>
      <c r="F1269">
        <v>12500000</v>
      </c>
      <c r="G1269" t="s">
        <v>26</v>
      </c>
      <c r="H1269" t="s">
        <v>81</v>
      </c>
      <c r="I1269" t="s">
        <v>9</v>
      </c>
      <c r="L1269" t="s">
        <v>161</v>
      </c>
      <c r="M1269">
        <v>12500000</v>
      </c>
    </row>
    <row r="1270" spans="1:13" x14ac:dyDescent="0.3">
      <c r="A1270" s="23">
        <v>44714</v>
      </c>
      <c r="B1270" t="s">
        <v>13</v>
      </c>
      <c r="C1270" t="s">
        <v>132</v>
      </c>
      <c r="D1270" t="s">
        <v>16</v>
      </c>
      <c r="E1270" t="s">
        <v>139</v>
      </c>
      <c r="F1270">
        <v>12500000</v>
      </c>
      <c r="G1270" t="s">
        <v>140</v>
      </c>
      <c r="H1270" t="s">
        <v>81</v>
      </c>
      <c r="I1270" t="s">
        <v>9</v>
      </c>
      <c r="L1270" t="s">
        <v>161</v>
      </c>
      <c r="M1270">
        <v>12500000</v>
      </c>
    </row>
    <row r="1271" spans="1:13" x14ac:dyDescent="0.3">
      <c r="A1271" s="23">
        <v>45609</v>
      </c>
      <c r="B1271" t="s">
        <v>13</v>
      </c>
      <c r="C1271" t="s">
        <v>132</v>
      </c>
      <c r="D1271" t="s">
        <v>16</v>
      </c>
      <c r="E1271" t="s">
        <v>48</v>
      </c>
      <c r="F1271">
        <v>12600000</v>
      </c>
      <c r="G1271" t="s">
        <v>29</v>
      </c>
      <c r="H1271" t="s">
        <v>81</v>
      </c>
      <c r="I1271" t="s">
        <v>9</v>
      </c>
      <c r="L1271" t="s">
        <v>161</v>
      </c>
      <c r="M1271">
        <v>12600000</v>
      </c>
    </row>
    <row r="1272" spans="1:13" x14ac:dyDescent="0.3">
      <c r="A1272" s="23">
        <v>45476</v>
      </c>
      <c r="B1272" t="s">
        <v>13</v>
      </c>
      <c r="C1272" t="s">
        <v>132</v>
      </c>
      <c r="D1272" t="s">
        <v>16</v>
      </c>
      <c r="E1272" t="s">
        <v>41</v>
      </c>
      <c r="F1272">
        <v>12700000</v>
      </c>
      <c r="G1272" t="s">
        <v>26</v>
      </c>
      <c r="H1272" t="s">
        <v>81</v>
      </c>
      <c r="I1272" t="s">
        <v>9</v>
      </c>
      <c r="L1272" t="s">
        <v>161</v>
      </c>
      <c r="M1272">
        <v>12700000</v>
      </c>
    </row>
    <row r="1273" spans="1:13" x14ac:dyDescent="0.3">
      <c r="A1273" s="23">
        <v>44865</v>
      </c>
      <c r="B1273" t="s">
        <v>13</v>
      </c>
      <c r="C1273" t="s">
        <v>132</v>
      </c>
      <c r="D1273" t="s">
        <v>16</v>
      </c>
      <c r="E1273" t="s">
        <v>48</v>
      </c>
      <c r="F1273">
        <v>12700000</v>
      </c>
      <c r="G1273" t="s">
        <v>29</v>
      </c>
      <c r="H1273" t="s">
        <v>81</v>
      </c>
      <c r="I1273" t="s">
        <v>9</v>
      </c>
      <c r="L1273" t="s">
        <v>161</v>
      </c>
      <c r="M1273">
        <v>12700000</v>
      </c>
    </row>
    <row r="1274" spans="1:13" x14ac:dyDescent="0.3">
      <c r="A1274" s="23">
        <v>44562</v>
      </c>
      <c r="B1274" t="s">
        <v>13</v>
      </c>
      <c r="C1274" t="s">
        <v>132</v>
      </c>
      <c r="D1274" t="s">
        <v>16</v>
      </c>
      <c r="E1274" t="s">
        <v>48</v>
      </c>
      <c r="F1274">
        <v>12743349.640000001</v>
      </c>
      <c r="G1274" t="s">
        <v>29</v>
      </c>
      <c r="H1274" t="s">
        <v>81</v>
      </c>
      <c r="I1274" t="s">
        <v>9</v>
      </c>
      <c r="L1274" t="s">
        <v>161</v>
      </c>
      <c r="M1274">
        <v>12743349.640000001</v>
      </c>
    </row>
    <row r="1275" spans="1:13" x14ac:dyDescent="0.3">
      <c r="A1275" s="23">
        <v>45421</v>
      </c>
      <c r="B1275" t="s">
        <v>13</v>
      </c>
      <c r="C1275" t="s">
        <v>132</v>
      </c>
      <c r="D1275" t="s">
        <v>16</v>
      </c>
      <c r="E1275" t="s">
        <v>46</v>
      </c>
      <c r="F1275">
        <v>12800000</v>
      </c>
      <c r="G1275" t="s">
        <v>28</v>
      </c>
      <c r="H1275" t="s">
        <v>81</v>
      </c>
      <c r="I1275" t="s">
        <v>9</v>
      </c>
      <c r="L1275" t="s">
        <v>161</v>
      </c>
      <c r="M1275">
        <v>12800000</v>
      </c>
    </row>
    <row r="1276" spans="1:13" x14ac:dyDescent="0.3">
      <c r="A1276" s="23">
        <v>45142</v>
      </c>
      <c r="B1276" t="s">
        <v>13</v>
      </c>
      <c r="C1276" t="s">
        <v>143</v>
      </c>
      <c r="D1276" t="s">
        <v>16</v>
      </c>
      <c r="E1276" t="s">
        <v>149</v>
      </c>
      <c r="F1276">
        <v>12867717.029999999</v>
      </c>
      <c r="G1276" t="s">
        <v>140</v>
      </c>
      <c r="H1276" t="s">
        <v>81</v>
      </c>
      <c r="I1276" t="s">
        <v>9</v>
      </c>
      <c r="M1276">
        <v>12867717.029999999</v>
      </c>
    </row>
    <row r="1277" spans="1:13" x14ac:dyDescent="0.3">
      <c r="A1277" s="23">
        <v>45474</v>
      </c>
      <c r="B1277" t="s">
        <v>13</v>
      </c>
      <c r="C1277" t="s">
        <v>132</v>
      </c>
      <c r="D1277" t="s">
        <v>16</v>
      </c>
      <c r="E1277" t="s">
        <v>41</v>
      </c>
      <c r="F1277">
        <v>12900000</v>
      </c>
      <c r="G1277" t="s">
        <v>26</v>
      </c>
      <c r="H1277" t="s">
        <v>81</v>
      </c>
      <c r="I1277" t="s">
        <v>9</v>
      </c>
      <c r="L1277" t="s">
        <v>161</v>
      </c>
      <c r="M1277">
        <v>12900000</v>
      </c>
    </row>
    <row r="1278" spans="1:13" x14ac:dyDescent="0.3">
      <c r="A1278" s="23">
        <v>44854</v>
      </c>
      <c r="B1278" t="s">
        <v>13</v>
      </c>
      <c r="C1278" t="s">
        <v>132</v>
      </c>
      <c r="D1278" t="s">
        <v>16</v>
      </c>
      <c r="E1278" t="s">
        <v>41</v>
      </c>
      <c r="F1278">
        <v>12900000</v>
      </c>
      <c r="G1278" t="s">
        <v>26</v>
      </c>
      <c r="H1278" t="s">
        <v>81</v>
      </c>
      <c r="I1278" t="s">
        <v>9</v>
      </c>
      <c r="L1278" t="s">
        <v>161</v>
      </c>
      <c r="M1278">
        <v>12900000</v>
      </c>
    </row>
    <row r="1279" spans="1:13" x14ac:dyDescent="0.3">
      <c r="A1279" s="23">
        <v>44880</v>
      </c>
      <c r="B1279" t="s">
        <v>13</v>
      </c>
      <c r="C1279" t="s">
        <v>132</v>
      </c>
      <c r="D1279" t="s">
        <v>16</v>
      </c>
      <c r="E1279" t="s">
        <v>48</v>
      </c>
      <c r="F1279">
        <v>13000000</v>
      </c>
      <c r="G1279" t="s">
        <v>29</v>
      </c>
      <c r="H1279" t="s">
        <v>81</v>
      </c>
      <c r="I1279" t="s">
        <v>9</v>
      </c>
      <c r="L1279" t="s">
        <v>161</v>
      </c>
      <c r="M1279">
        <v>13000000</v>
      </c>
    </row>
    <row r="1280" spans="1:13" x14ac:dyDescent="0.3">
      <c r="A1280" s="23">
        <v>45198</v>
      </c>
      <c r="B1280" t="s">
        <v>13</v>
      </c>
      <c r="C1280" t="s">
        <v>143</v>
      </c>
      <c r="D1280" t="s">
        <v>16</v>
      </c>
      <c r="E1280" t="s">
        <v>149</v>
      </c>
      <c r="F1280">
        <v>13146525.380000001</v>
      </c>
      <c r="G1280" t="s">
        <v>140</v>
      </c>
      <c r="H1280" t="s">
        <v>81</v>
      </c>
      <c r="I1280" t="s">
        <v>9</v>
      </c>
      <c r="M1280">
        <v>13146525.380000001</v>
      </c>
    </row>
    <row r="1281" spans="1:13" x14ac:dyDescent="0.3">
      <c r="A1281" s="23">
        <v>44832</v>
      </c>
      <c r="B1281" t="s">
        <v>13</v>
      </c>
      <c r="C1281" t="s">
        <v>132</v>
      </c>
      <c r="D1281" t="s">
        <v>16</v>
      </c>
      <c r="E1281" t="s">
        <v>41</v>
      </c>
      <c r="F1281">
        <v>13300000</v>
      </c>
      <c r="G1281" t="s">
        <v>26</v>
      </c>
      <c r="H1281" t="s">
        <v>81</v>
      </c>
      <c r="I1281" t="s">
        <v>9</v>
      </c>
      <c r="L1281" t="s">
        <v>161</v>
      </c>
      <c r="M1281">
        <v>13300000</v>
      </c>
    </row>
    <row r="1282" spans="1:13" x14ac:dyDescent="0.3">
      <c r="A1282" s="23">
        <v>44951</v>
      </c>
      <c r="B1282" t="s">
        <v>13</v>
      </c>
      <c r="C1282" t="s">
        <v>132</v>
      </c>
      <c r="D1282" t="s">
        <v>16</v>
      </c>
      <c r="E1282" t="s">
        <v>48</v>
      </c>
      <c r="F1282">
        <v>13300000</v>
      </c>
      <c r="G1282" t="s">
        <v>29</v>
      </c>
      <c r="H1282" t="s">
        <v>81</v>
      </c>
      <c r="I1282" t="s">
        <v>9</v>
      </c>
      <c r="L1282" t="s">
        <v>161</v>
      </c>
      <c r="M1282">
        <v>13300000</v>
      </c>
    </row>
    <row r="1283" spans="1:13" x14ac:dyDescent="0.3">
      <c r="A1283" s="23">
        <v>45630</v>
      </c>
      <c r="B1283" t="s">
        <v>13</v>
      </c>
      <c r="C1283" t="s">
        <v>132</v>
      </c>
      <c r="D1283" t="s">
        <v>16</v>
      </c>
      <c r="E1283" t="s">
        <v>41</v>
      </c>
      <c r="F1283">
        <v>13520319</v>
      </c>
      <c r="G1283" t="s">
        <v>26</v>
      </c>
      <c r="H1283" t="s">
        <v>81</v>
      </c>
      <c r="I1283" t="s">
        <v>9</v>
      </c>
      <c r="L1283" t="s">
        <v>161</v>
      </c>
      <c r="M1283">
        <v>13520319</v>
      </c>
    </row>
    <row r="1284" spans="1:13" x14ac:dyDescent="0.3">
      <c r="A1284" s="23">
        <v>44911</v>
      </c>
      <c r="B1284" t="s">
        <v>13</v>
      </c>
      <c r="C1284" t="s">
        <v>132</v>
      </c>
      <c r="D1284" t="s">
        <v>16</v>
      </c>
      <c r="E1284" t="s">
        <v>48</v>
      </c>
      <c r="F1284">
        <v>13800000</v>
      </c>
      <c r="G1284" t="s">
        <v>29</v>
      </c>
      <c r="H1284" t="s">
        <v>81</v>
      </c>
      <c r="I1284" t="s">
        <v>9</v>
      </c>
      <c r="L1284" t="s">
        <v>161</v>
      </c>
      <c r="M1284">
        <v>13800000</v>
      </c>
    </row>
    <row r="1285" spans="1:13" x14ac:dyDescent="0.3">
      <c r="A1285" s="23">
        <v>44811</v>
      </c>
      <c r="B1285" t="s">
        <v>13</v>
      </c>
      <c r="C1285" t="s">
        <v>143</v>
      </c>
      <c r="D1285" t="s">
        <v>16</v>
      </c>
      <c r="E1285" t="s">
        <v>149</v>
      </c>
      <c r="F1285">
        <v>13893360.85</v>
      </c>
      <c r="G1285" t="s">
        <v>140</v>
      </c>
      <c r="H1285" t="s">
        <v>81</v>
      </c>
      <c r="I1285" t="s">
        <v>9</v>
      </c>
      <c r="J1285" s="23">
        <v>44812</v>
      </c>
      <c r="L1285" t="s">
        <v>235</v>
      </c>
      <c r="M1285">
        <v>13893360.85</v>
      </c>
    </row>
    <row r="1286" spans="1:13" x14ac:dyDescent="0.3">
      <c r="A1286" s="23">
        <v>45170</v>
      </c>
      <c r="B1286" t="s">
        <v>13</v>
      </c>
      <c r="C1286" t="s">
        <v>132</v>
      </c>
      <c r="D1286" t="s">
        <v>16</v>
      </c>
      <c r="E1286" t="s">
        <v>46</v>
      </c>
      <c r="F1286">
        <v>14000000</v>
      </c>
      <c r="G1286" t="s">
        <v>28</v>
      </c>
      <c r="H1286" t="s">
        <v>81</v>
      </c>
      <c r="I1286" t="s">
        <v>9</v>
      </c>
      <c r="L1286" t="s">
        <v>161</v>
      </c>
      <c r="M1286">
        <v>14000000</v>
      </c>
    </row>
    <row r="1287" spans="1:13" x14ac:dyDescent="0.3">
      <c r="A1287" s="23">
        <v>45188</v>
      </c>
      <c r="B1287" t="s">
        <v>13</v>
      </c>
      <c r="C1287" t="s">
        <v>143</v>
      </c>
      <c r="D1287" t="s">
        <v>16</v>
      </c>
      <c r="E1287" t="s">
        <v>149</v>
      </c>
      <c r="F1287">
        <v>14060880.6</v>
      </c>
      <c r="G1287" t="s">
        <v>140</v>
      </c>
      <c r="H1287" t="s">
        <v>81</v>
      </c>
      <c r="I1287" t="s">
        <v>9</v>
      </c>
      <c r="M1287">
        <v>14060880.6</v>
      </c>
    </row>
    <row r="1288" spans="1:13" x14ac:dyDescent="0.3">
      <c r="A1288" s="23">
        <v>44811</v>
      </c>
      <c r="B1288" t="s">
        <v>13</v>
      </c>
      <c r="C1288" t="s">
        <v>132</v>
      </c>
      <c r="D1288" t="s">
        <v>16</v>
      </c>
      <c r="E1288" t="s">
        <v>41</v>
      </c>
      <c r="F1288">
        <v>14100000</v>
      </c>
      <c r="G1288" t="s">
        <v>26</v>
      </c>
      <c r="H1288" t="s">
        <v>81</v>
      </c>
      <c r="I1288" t="s">
        <v>9</v>
      </c>
      <c r="L1288" t="s">
        <v>161</v>
      </c>
      <c r="M1288">
        <v>14100000</v>
      </c>
    </row>
    <row r="1289" spans="1:13" x14ac:dyDescent="0.3">
      <c r="A1289" s="23">
        <v>45201</v>
      </c>
      <c r="B1289" t="s">
        <v>13</v>
      </c>
      <c r="C1289" t="s">
        <v>132</v>
      </c>
      <c r="D1289" t="s">
        <v>16</v>
      </c>
      <c r="E1289" t="s">
        <v>136</v>
      </c>
      <c r="F1289">
        <v>14333742.5</v>
      </c>
      <c r="G1289" t="s">
        <v>134</v>
      </c>
      <c r="H1289" t="s">
        <v>81</v>
      </c>
      <c r="I1289" t="s">
        <v>9</v>
      </c>
      <c r="L1289" t="s">
        <v>161</v>
      </c>
      <c r="M1289">
        <v>14333742.5</v>
      </c>
    </row>
    <row r="1290" spans="1:13" x14ac:dyDescent="0.3">
      <c r="A1290" s="23">
        <v>44739</v>
      </c>
      <c r="B1290" t="s">
        <v>13</v>
      </c>
      <c r="C1290" t="s">
        <v>143</v>
      </c>
      <c r="D1290" t="s">
        <v>16</v>
      </c>
      <c r="E1290" t="s">
        <v>149</v>
      </c>
      <c r="F1290">
        <v>14369000</v>
      </c>
      <c r="G1290" t="s">
        <v>140</v>
      </c>
      <c r="H1290" t="s">
        <v>81</v>
      </c>
      <c r="I1290" t="s">
        <v>9</v>
      </c>
      <c r="J1290" s="23">
        <v>44740</v>
      </c>
      <c r="K1290" t="s">
        <v>152</v>
      </c>
      <c r="L1290" t="s">
        <v>221</v>
      </c>
      <c r="M1290">
        <v>14369000</v>
      </c>
    </row>
    <row r="1291" spans="1:13" x14ac:dyDescent="0.3">
      <c r="A1291" s="23">
        <v>44882</v>
      </c>
      <c r="B1291" t="s">
        <v>13</v>
      </c>
      <c r="C1291" t="s">
        <v>132</v>
      </c>
      <c r="D1291" t="s">
        <v>16</v>
      </c>
      <c r="E1291" t="s">
        <v>48</v>
      </c>
      <c r="F1291">
        <v>14400000</v>
      </c>
      <c r="G1291" t="s">
        <v>29</v>
      </c>
      <c r="H1291" t="s">
        <v>81</v>
      </c>
      <c r="I1291" t="s">
        <v>9</v>
      </c>
      <c r="L1291" t="s">
        <v>161</v>
      </c>
      <c r="M1291">
        <v>14400000</v>
      </c>
    </row>
    <row r="1292" spans="1:13" x14ac:dyDescent="0.3">
      <c r="A1292" s="23">
        <v>44707</v>
      </c>
      <c r="B1292" t="s">
        <v>13</v>
      </c>
      <c r="C1292" t="s">
        <v>132</v>
      </c>
      <c r="D1292" t="s">
        <v>16</v>
      </c>
      <c r="E1292" t="s">
        <v>139</v>
      </c>
      <c r="F1292">
        <v>14460000</v>
      </c>
      <c r="G1292" t="s">
        <v>140</v>
      </c>
      <c r="H1292" t="s">
        <v>81</v>
      </c>
      <c r="I1292" t="s">
        <v>9</v>
      </c>
      <c r="L1292" t="s">
        <v>161</v>
      </c>
      <c r="M1292">
        <v>14460000</v>
      </c>
    </row>
    <row r="1293" spans="1:13" x14ac:dyDescent="0.3">
      <c r="A1293" s="23">
        <v>44707</v>
      </c>
      <c r="B1293" t="s">
        <v>13</v>
      </c>
      <c r="C1293" t="s">
        <v>132</v>
      </c>
      <c r="D1293" t="s">
        <v>16</v>
      </c>
      <c r="E1293" t="s">
        <v>41</v>
      </c>
      <c r="F1293">
        <v>14500000</v>
      </c>
      <c r="G1293" t="s">
        <v>26</v>
      </c>
      <c r="H1293" t="s">
        <v>81</v>
      </c>
      <c r="I1293" t="s">
        <v>9</v>
      </c>
      <c r="L1293" t="s">
        <v>161</v>
      </c>
      <c r="M1293">
        <v>14500000</v>
      </c>
    </row>
    <row r="1294" spans="1:13" x14ac:dyDescent="0.3">
      <c r="A1294" s="23">
        <v>44890</v>
      </c>
      <c r="B1294" t="s">
        <v>13</v>
      </c>
      <c r="C1294" t="s">
        <v>132</v>
      </c>
      <c r="D1294" t="s">
        <v>16</v>
      </c>
      <c r="E1294" t="s">
        <v>48</v>
      </c>
      <c r="F1294">
        <v>14500000</v>
      </c>
      <c r="G1294" t="s">
        <v>29</v>
      </c>
      <c r="H1294" t="s">
        <v>81</v>
      </c>
      <c r="I1294" t="s">
        <v>9</v>
      </c>
      <c r="L1294" t="s">
        <v>161</v>
      </c>
      <c r="M1294">
        <v>14500000</v>
      </c>
    </row>
    <row r="1295" spans="1:13" x14ac:dyDescent="0.3">
      <c r="A1295" s="23">
        <v>45296</v>
      </c>
      <c r="B1295" t="s">
        <v>13</v>
      </c>
      <c r="C1295" t="s">
        <v>132</v>
      </c>
      <c r="D1295" t="s">
        <v>16</v>
      </c>
      <c r="E1295" t="s">
        <v>46</v>
      </c>
      <c r="F1295">
        <v>14600000</v>
      </c>
      <c r="G1295" t="s">
        <v>28</v>
      </c>
      <c r="H1295" t="s">
        <v>81</v>
      </c>
      <c r="I1295" t="s">
        <v>9</v>
      </c>
      <c r="L1295" t="s">
        <v>161</v>
      </c>
      <c r="M1295">
        <v>14600000</v>
      </c>
    </row>
    <row r="1296" spans="1:13" x14ac:dyDescent="0.3">
      <c r="A1296" s="23">
        <v>45167</v>
      </c>
      <c r="B1296" t="s">
        <v>13</v>
      </c>
      <c r="C1296" t="s">
        <v>132</v>
      </c>
      <c r="D1296" t="s">
        <v>16</v>
      </c>
      <c r="E1296" t="s">
        <v>46</v>
      </c>
      <c r="F1296">
        <v>14600000</v>
      </c>
      <c r="G1296" t="s">
        <v>28</v>
      </c>
      <c r="H1296" t="s">
        <v>81</v>
      </c>
      <c r="I1296" t="s">
        <v>9</v>
      </c>
      <c r="L1296" t="s">
        <v>161</v>
      </c>
      <c r="M1296">
        <v>14600000</v>
      </c>
    </row>
    <row r="1297" spans="1:13" x14ac:dyDescent="0.3">
      <c r="A1297" s="23">
        <v>45006</v>
      </c>
      <c r="B1297" t="s">
        <v>13</v>
      </c>
      <c r="C1297" t="s">
        <v>132</v>
      </c>
      <c r="D1297" t="s">
        <v>16</v>
      </c>
      <c r="E1297" t="s">
        <v>41</v>
      </c>
      <c r="F1297">
        <v>14700000</v>
      </c>
      <c r="G1297" t="s">
        <v>26</v>
      </c>
      <c r="H1297" t="s">
        <v>81</v>
      </c>
      <c r="I1297" t="s">
        <v>9</v>
      </c>
      <c r="L1297" t="s">
        <v>161</v>
      </c>
      <c r="M1297">
        <v>14700000</v>
      </c>
    </row>
    <row r="1298" spans="1:13" x14ac:dyDescent="0.3">
      <c r="A1298" s="23">
        <v>45548</v>
      </c>
      <c r="B1298" t="s">
        <v>13</v>
      </c>
      <c r="C1298" t="s">
        <v>143</v>
      </c>
      <c r="D1298" t="s">
        <v>16</v>
      </c>
      <c r="E1298" t="s">
        <v>149</v>
      </c>
      <c r="F1298">
        <v>14735658</v>
      </c>
      <c r="G1298" t="s">
        <v>140</v>
      </c>
      <c r="H1298" t="s">
        <v>81</v>
      </c>
      <c r="I1298" t="s">
        <v>9</v>
      </c>
      <c r="M1298">
        <v>14735658</v>
      </c>
    </row>
    <row r="1299" spans="1:13" x14ac:dyDescent="0.3">
      <c r="A1299" s="23">
        <v>45148</v>
      </c>
      <c r="B1299" t="s">
        <v>13</v>
      </c>
      <c r="C1299" t="s">
        <v>132</v>
      </c>
      <c r="D1299" t="s">
        <v>16</v>
      </c>
      <c r="E1299" t="s">
        <v>41</v>
      </c>
      <c r="F1299">
        <v>14800000</v>
      </c>
      <c r="G1299" t="s">
        <v>26</v>
      </c>
      <c r="H1299" t="s">
        <v>81</v>
      </c>
      <c r="I1299" t="s">
        <v>9</v>
      </c>
      <c r="L1299" t="s">
        <v>161</v>
      </c>
      <c r="M1299">
        <v>14800000</v>
      </c>
    </row>
    <row r="1300" spans="1:13" x14ac:dyDescent="0.3">
      <c r="A1300" s="23">
        <v>45100</v>
      </c>
      <c r="B1300" t="s">
        <v>13</v>
      </c>
      <c r="C1300" t="s">
        <v>132</v>
      </c>
      <c r="D1300" t="s">
        <v>16</v>
      </c>
      <c r="E1300" t="s">
        <v>162</v>
      </c>
      <c r="F1300">
        <v>15100000</v>
      </c>
      <c r="G1300" t="s">
        <v>22</v>
      </c>
      <c r="H1300" t="s">
        <v>81</v>
      </c>
      <c r="I1300" t="s">
        <v>9</v>
      </c>
      <c r="L1300" t="s">
        <v>161</v>
      </c>
      <c r="M1300">
        <v>15100000</v>
      </c>
    </row>
    <row r="1301" spans="1:13" x14ac:dyDescent="0.3">
      <c r="A1301" s="23">
        <v>44910</v>
      </c>
      <c r="B1301" t="s">
        <v>13</v>
      </c>
      <c r="C1301" t="s">
        <v>132</v>
      </c>
      <c r="D1301" t="s">
        <v>16</v>
      </c>
      <c r="E1301" t="s">
        <v>48</v>
      </c>
      <c r="F1301">
        <v>15300000</v>
      </c>
      <c r="G1301" t="s">
        <v>29</v>
      </c>
      <c r="H1301" t="s">
        <v>81</v>
      </c>
      <c r="I1301" t="s">
        <v>9</v>
      </c>
      <c r="L1301" t="s">
        <v>161</v>
      </c>
      <c r="M1301">
        <v>15300000</v>
      </c>
    </row>
    <row r="1302" spans="1:13" x14ac:dyDescent="0.3">
      <c r="A1302" s="23">
        <v>45138</v>
      </c>
      <c r="B1302" t="s">
        <v>13</v>
      </c>
      <c r="C1302" t="s">
        <v>143</v>
      </c>
      <c r="D1302" t="s">
        <v>16</v>
      </c>
      <c r="E1302" t="s">
        <v>149</v>
      </c>
      <c r="F1302">
        <v>15369089.060000001</v>
      </c>
      <c r="G1302" t="s">
        <v>140</v>
      </c>
      <c r="H1302" t="s">
        <v>81</v>
      </c>
      <c r="I1302" t="s">
        <v>9</v>
      </c>
      <c r="M1302">
        <v>15369089.060000001</v>
      </c>
    </row>
    <row r="1303" spans="1:13" x14ac:dyDescent="0.3">
      <c r="A1303" s="23">
        <v>44736</v>
      </c>
      <c r="B1303" t="s">
        <v>13</v>
      </c>
      <c r="C1303" t="s">
        <v>132</v>
      </c>
      <c r="D1303" t="s">
        <v>16</v>
      </c>
      <c r="E1303" t="s">
        <v>46</v>
      </c>
      <c r="F1303">
        <v>15500000</v>
      </c>
      <c r="G1303" t="s">
        <v>28</v>
      </c>
      <c r="H1303" t="s">
        <v>81</v>
      </c>
      <c r="I1303" t="s">
        <v>9</v>
      </c>
      <c r="L1303" t="s">
        <v>161</v>
      </c>
      <c r="M1303">
        <v>15500000</v>
      </c>
    </row>
    <row r="1304" spans="1:13" x14ac:dyDescent="0.3">
      <c r="A1304" s="23">
        <v>44896</v>
      </c>
      <c r="B1304" t="s">
        <v>13</v>
      </c>
      <c r="C1304" t="s">
        <v>132</v>
      </c>
      <c r="D1304" t="s">
        <v>16</v>
      </c>
      <c r="E1304" t="s">
        <v>46</v>
      </c>
      <c r="F1304">
        <v>15500000</v>
      </c>
      <c r="G1304" t="s">
        <v>28</v>
      </c>
      <c r="H1304" t="s">
        <v>81</v>
      </c>
      <c r="I1304" t="s">
        <v>9</v>
      </c>
      <c r="L1304" t="s">
        <v>161</v>
      </c>
      <c r="M1304">
        <v>15500000</v>
      </c>
    </row>
    <row r="1305" spans="1:13" x14ac:dyDescent="0.3">
      <c r="A1305" s="23">
        <v>44987</v>
      </c>
      <c r="B1305" t="s">
        <v>13</v>
      </c>
      <c r="C1305" t="s">
        <v>132</v>
      </c>
      <c r="D1305" t="s">
        <v>16</v>
      </c>
      <c r="E1305" t="s">
        <v>41</v>
      </c>
      <c r="F1305">
        <v>15700000</v>
      </c>
      <c r="G1305" t="s">
        <v>26</v>
      </c>
      <c r="H1305" t="s">
        <v>81</v>
      </c>
      <c r="I1305" t="s">
        <v>9</v>
      </c>
      <c r="L1305" t="s">
        <v>161</v>
      </c>
      <c r="M1305">
        <v>15700000</v>
      </c>
    </row>
    <row r="1306" spans="1:13" x14ac:dyDescent="0.3">
      <c r="A1306" s="23">
        <v>45551</v>
      </c>
      <c r="B1306" t="s">
        <v>13</v>
      </c>
      <c r="C1306" t="s">
        <v>132</v>
      </c>
      <c r="D1306" t="s">
        <v>16</v>
      </c>
      <c r="E1306" t="s">
        <v>41</v>
      </c>
      <c r="F1306">
        <v>15800000</v>
      </c>
      <c r="G1306" t="s">
        <v>26</v>
      </c>
      <c r="H1306" t="s">
        <v>81</v>
      </c>
      <c r="I1306" t="s">
        <v>9</v>
      </c>
      <c r="L1306" t="s">
        <v>161</v>
      </c>
      <c r="M1306">
        <v>15800000</v>
      </c>
    </row>
    <row r="1307" spans="1:13" x14ac:dyDescent="0.3">
      <c r="A1307" s="23">
        <v>45035</v>
      </c>
      <c r="B1307" t="s">
        <v>13</v>
      </c>
      <c r="C1307" t="s">
        <v>132</v>
      </c>
      <c r="D1307" t="s">
        <v>16</v>
      </c>
      <c r="E1307" t="s">
        <v>41</v>
      </c>
      <c r="F1307">
        <v>15800000</v>
      </c>
      <c r="G1307" t="s">
        <v>26</v>
      </c>
      <c r="H1307" t="s">
        <v>81</v>
      </c>
      <c r="I1307" t="s">
        <v>9</v>
      </c>
      <c r="L1307" t="s">
        <v>161</v>
      </c>
      <c r="M1307">
        <v>15800000</v>
      </c>
    </row>
    <row r="1308" spans="1:13" x14ac:dyDescent="0.3">
      <c r="A1308" s="23">
        <v>44582</v>
      </c>
      <c r="B1308" t="s">
        <v>13</v>
      </c>
      <c r="C1308" t="s">
        <v>132</v>
      </c>
      <c r="D1308" t="s">
        <v>16</v>
      </c>
      <c r="E1308" t="s">
        <v>41</v>
      </c>
      <c r="F1308">
        <v>15900000</v>
      </c>
      <c r="G1308" t="s">
        <v>26</v>
      </c>
      <c r="H1308" t="s">
        <v>81</v>
      </c>
      <c r="I1308" t="s">
        <v>9</v>
      </c>
      <c r="L1308" t="s">
        <v>161</v>
      </c>
      <c r="M1308">
        <v>15900000</v>
      </c>
    </row>
    <row r="1309" spans="1:13" x14ac:dyDescent="0.3">
      <c r="A1309" s="23">
        <v>45391</v>
      </c>
      <c r="B1309" t="s">
        <v>13</v>
      </c>
      <c r="C1309" t="s">
        <v>132</v>
      </c>
      <c r="D1309" t="s">
        <v>16</v>
      </c>
      <c r="E1309" t="s">
        <v>41</v>
      </c>
      <c r="F1309">
        <v>15900000</v>
      </c>
      <c r="G1309" t="s">
        <v>26</v>
      </c>
      <c r="H1309" t="s">
        <v>81</v>
      </c>
      <c r="I1309" t="s">
        <v>9</v>
      </c>
      <c r="L1309" t="s">
        <v>161</v>
      </c>
      <c r="M1309">
        <v>15900000</v>
      </c>
    </row>
    <row r="1310" spans="1:13" x14ac:dyDescent="0.3">
      <c r="A1310" s="23">
        <v>45289</v>
      </c>
      <c r="B1310" t="s">
        <v>13</v>
      </c>
      <c r="C1310" t="s">
        <v>132</v>
      </c>
      <c r="D1310" t="s">
        <v>16</v>
      </c>
      <c r="E1310" t="s">
        <v>46</v>
      </c>
      <c r="F1310">
        <v>15900000</v>
      </c>
      <c r="G1310" t="s">
        <v>28</v>
      </c>
      <c r="H1310" t="s">
        <v>81</v>
      </c>
      <c r="I1310" t="s">
        <v>9</v>
      </c>
      <c r="L1310" t="s">
        <v>161</v>
      </c>
      <c r="M1310">
        <v>15900000</v>
      </c>
    </row>
    <row r="1311" spans="1:13" x14ac:dyDescent="0.3">
      <c r="A1311" s="23">
        <v>45092</v>
      </c>
      <c r="B1311" t="s">
        <v>13</v>
      </c>
      <c r="C1311" t="s">
        <v>143</v>
      </c>
      <c r="D1311" t="s">
        <v>16</v>
      </c>
      <c r="E1311" t="s">
        <v>149</v>
      </c>
      <c r="F1311">
        <v>15914732.529999999</v>
      </c>
      <c r="G1311" t="s">
        <v>140</v>
      </c>
      <c r="H1311" t="s">
        <v>81</v>
      </c>
      <c r="I1311" t="s">
        <v>9</v>
      </c>
      <c r="J1311" t="s">
        <v>155</v>
      </c>
      <c r="M1311">
        <v>15914732.529999999</v>
      </c>
    </row>
    <row r="1312" spans="1:13" x14ac:dyDescent="0.3">
      <c r="A1312" s="23">
        <v>44778</v>
      </c>
      <c r="B1312" t="s">
        <v>13</v>
      </c>
      <c r="C1312" t="s">
        <v>132</v>
      </c>
      <c r="D1312" t="s">
        <v>16</v>
      </c>
      <c r="E1312" t="s">
        <v>41</v>
      </c>
      <c r="F1312">
        <v>16200000</v>
      </c>
      <c r="G1312" t="s">
        <v>26</v>
      </c>
      <c r="H1312" t="s">
        <v>81</v>
      </c>
      <c r="I1312" t="s">
        <v>9</v>
      </c>
      <c r="L1312" t="s">
        <v>161</v>
      </c>
      <c r="M1312">
        <v>16200000</v>
      </c>
    </row>
    <row r="1313" spans="1:13" x14ac:dyDescent="0.3">
      <c r="A1313" s="23">
        <v>44810</v>
      </c>
      <c r="B1313" t="s">
        <v>13</v>
      </c>
      <c r="C1313" t="s">
        <v>143</v>
      </c>
      <c r="D1313" t="s">
        <v>16</v>
      </c>
      <c r="E1313" t="s">
        <v>149</v>
      </c>
      <c r="F1313">
        <v>16248930.57</v>
      </c>
      <c r="G1313" t="s">
        <v>140</v>
      </c>
      <c r="H1313" t="s">
        <v>81</v>
      </c>
      <c r="I1313" t="s">
        <v>9</v>
      </c>
      <c r="J1313" s="23">
        <v>44811</v>
      </c>
      <c r="L1313" t="s">
        <v>234</v>
      </c>
      <c r="M1313">
        <v>16248930.57</v>
      </c>
    </row>
    <row r="1314" spans="1:13" x14ac:dyDescent="0.3">
      <c r="A1314" s="23">
        <v>44636</v>
      </c>
      <c r="B1314" t="s">
        <v>13</v>
      </c>
      <c r="C1314" t="s">
        <v>132</v>
      </c>
      <c r="D1314" t="s">
        <v>16</v>
      </c>
      <c r="E1314" t="s">
        <v>41</v>
      </c>
      <c r="F1314">
        <v>16300000</v>
      </c>
      <c r="G1314" t="s">
        <v>26</v>
      </c>
      <c r="H1314" t="s">
        <v>81</v>
      </c>
      <c r="I1314" t="s">
        <v>9</v>
      </c>
      <c r="L1314" t="s">
        <v>161</v>
      </c>
      <c r="M1314">
        <v>16300000</v>
      </c>
    </row>
    <row r="1315" spans="1:13" x14ac:dyDescent="0.3">
      <c r="A1315" s="23">
        <v>45168</v>
      </c>
      <c r="B1315" t="s">
        <v>13</v>
      </c>
      <c r="C1315" t="s">
        <v>143</v>
      </c>
      <c r="D1315" t="s">
        <v>16</v>
      </c>
      <c r="E1315" t="s">
        <v>149</v>
      </c>
      <c r="F1315">
        <v>16591634.810000001</v>
      </c>
      <c r="G1315" t="s">
        <v>140</v>
      </c>
      <c r="H1315" t="s">
        <v>81</v>
      </c>
      <c r="I1315" t="s">
        <v>9</v>
      </c>
      <c r="M1315">
        <v>16591634.810000001</v>
      </c>
    </row>
    <row r="1316" spans="1:13" x14ac:dyDescent="0.3">
      <c r="A1316" s="23">
        <v>44581</v>
      </c>
      <c r="B1316" t="s">
        <v>13</v>
      </c>
      <c r="C1316" t="s">
        <v>132</v>
      </c>
      <c r="D1316" t="s">
        <v>16</v>
      </c>
      <c r="E1316" t="s">
        <v>41</v>
      </c>
      <c r="F1316">
        <v>16600000</v>
      </c>
      <c r="G1316" t="s">
        <v>26</v>
      </c>
      <c r="H1316" t="s">
        <v>81</v>
      </c>
      <c r="I1316" t="s">
        <v>9</v>
      </c>
      <c r="L1316" t="s">
        <v>161</v>
      </c>
      <c r="M1316">
        <v>16600000</v>
      </c>
    </row>
    <row r="1317" spans="1:13" x14ac:dyDescent="0.3">
      <c r="A1317" s="23">
        <v>45161</v>
      </c>
      <c r="B1317" t="s">
        <v>13</v>
      </c>
      <c r="C1317" t="s">
        <v>143</v>
      </c>
      <c r="D1317" t="s">
        <v>16</v>
      </c>
      <c r="E1317" t="s">
        <v>149</v>
      </c>
      <c r="F1317">
        <v>16640294.539999999</v>
      </c>
      <c r="G1317" t="s">
        <v>140</v>
      </c>
      <c r="H1317" t="s">
        <v>81</v>
      </c>
      <c r="I1317" t="s">
        <v>9</v>
      </c>
      <c r="M1317">
        <v>16640294.539999999</v>
      </c>
    </row>
    <row r="1318" spans="1:13" x14ac:dyDescent="0.3">
      <c r="A1318" s="23">
        <v>45278</v>
      </c>
      <c r="B1318" t="s">
        <v>13</v>
      </c>
      <c r="C1318" t="s">
        <v>132</v>
      </c>
      <c r="D1318" t="s">
        <v>16</v>
      </c>
      <c r="E1318" t="s">
        <v>48</v>
      </c>
      <c r="F1318">
        <v>16700000</v>
      </c>
      <c r="G1318" t="s">
        <v>29</v>
      </c>
      <c r="H1318" t="s">
        <v>81</v>
      </c>
      <c r="I1318" t="s">
        <v>9</v>
      </c>
      <c r="L1318" t="s">
        <v>161</v>
      </c>
      <c r="M1318">
        <v>16700000</v>
      </c>
    </row>
    <row r="1319" spans="1:13" x14ac:dyDescent="0.3">
      <c r="A1319" s="23">
        <v>44805</v>
      </c>
      <c r="B1319" t="s">
        <v>13</v>
      </c>
      <c r="C1319" t="s">
        <v>132</v>
      </c>
      <c r="D1319" t="s">
        <v>16</v>
      </c>
      <c r="E1319" t="s">
        <v>41</v>
      </c>
      <c r="F1319">
        <v>17000000</v>
      </c>
      <c r="G1319" t="s">
        <v>26</v>
      </c>
      <c r="H1319" t="s">
        <v>81</v>
      </c>
      <c r="I1319" t="s">
        <v>9</v>
      </c>
      <c r="L1319" t="s">
        <v>161</v>
      </c>
      <c r="M1319">
        <v>17000000</v>
      </c>
    </row>
    <row r="1320" spans="1:13" x14ac:dyDescent="0.3">
      <c r="A1320" s="23">
        <v>44952</v>
      </c>
      <c r="B1320" t="s">
        <v>13</v>
      </c>
      <c r="C1320" t="s">
        <v>132</v>
      </c>
      <c r="D1320" t="s">
        <v>16</v>
      </c>
      <c r="E1320" t="s">
        <v>41</v>
      </c>
      <c r="F1320">
        <v>17000000</v>
      </c>
      <c r="G1320" t="s">
        <v>26</v>
      </c>
      <c r="H1320" t="s">
        <v>81</v>
      </c>
      <c r="I1320" t="s">
        <v>9</v>
      </c>
      <c r="L1320" t="s">
        <v>161</v>
      </c>
      <c r="M1320">
        <v>17000000</v>
      </c>
    </row>
    <row r="1321" spans="1:13" x14ac:dyDescent="0.3">
      <c r="A1321" s="23">
        <v>44925</v>
      </c>
      <c r="B1321" t="s">
        <v>13</v>
      </c>
      <c r="C1321" t="s">
        <v>132</v>
      </c>
      <c r="D1321" t="s">
        <v>16</v>
      </c>
      <c r="E1321" t="s">
        <v>48</v>
      </c>
      <c r="F1321">
        <v>17000000</v>
      </c>
      <c r="G1321" t="s">
        <v>29</v>
      </c>
      <c r="H1321" t="s">
        <v>81</v>
      </c>
      <c r="I1321" t="s">
        <v>9</v>
      </c>
      <c r="L1321" t="s">
        <v>161</v>
      </c>
      <c r="M1321">
        <v>17000000</v>
      </c>
    </row>
    <row r="1322" spans="1:13" x14ac:dyDescent="0.3">
      <c r="A1322" s="23">
        <v>44854</v>
      </c>
      <c r="B1322" t="s">
        <v>13</v>
      </c>
      <c r="C1322" t="s">
        <v>132</v>
      </c>
      <c r="D1322" t="s">
        <v>16</v>
      </c>
      <c r="E1322" t="s">
        <v>48</v>
      </c>
      <c r="F1322">
        <v>17200000</v>
      </c>
      <c r="G1322" t="s">
        <v>29</v>
      </c>
      <c r="H1322" t="s">
        <v>81</v>
      </c>
      <c r="I1322" t="s">
        <v>9</v>
      </c>
      <c r="L1322" t="s">
        <v>161</v>
      </c>
      <c r="M1322">
        <v>17200000</v>
      </c>
    </row>
    <row r="1323" spans="1:13" x14ac:dyDescent="0.3">
      <c r="A1323" s="23">
        <v>45373</v>
      </c>
      <c r="B1323" t="s">
        <v>13</v>
      </c>
      <c r="C1323" t="s">
        <v>132</v>
      </c>
      <c r="D1323" t="s">
        <v>16</v>
      </c>
      <c r="E1323" t="s">
        <v>41</v>
      </c>
      <c r="F1323">
        <v>17600000</v>
      </c>
      <c r="G1323" t="s">
        <v>26</v>
      </c>
      <c r="H1323" t="s">
        <v>81</v>
      </c>
      <c r="I1323" t="s">
        <v>9</v>
      </c>
      <c r="L1323" t="s">
        <v>161</v>
      </c>
      <c r="M1323">
        <v>17600000</v>
      </c>
    </row>
    <row r="1324" spans="1:13" x14ac:dyDescent="0.3">
      <c r="A1324" s="23">
        <v>44862</v>
      </c>
      <c r="B1324" t="s">
        <v>13</v>
      </c>
      <c r="C1324" t="s">
        <v>132</v>
      </c>
      <c r="D1324" t="s">
        <v>16</v>
      </c>
      <c r="E1324" t="s">
        <v>48</v>
      </c>
      <c r="F1324">
        <v>17600000</v>
      </c>
      <c r="G1324" t="s">
        <v>29</v>
      </c>
      <c r="H1324" t="s">
        <v>81</v>
      </c>
      <c r="I1324" t="s">
        <v>9</v>
      </c>
      <c r="L1324" t="s">
        <v>161</v>
      </c>
      <c r="M1324">
        <v>17600000</v>
      </c>
    </row>
    <row r="1325" spans="1:13" x14ac:dyDescent="0.3">
      <c r="A1325" s="23">
        <v>44734</v>
      </c>
      <c r="B1325" t="s">
        <v>13</v>
      </c>
      <c r="C1325" t="s">
        <v>143</v>
      </c>
      <c r="D1325" t="s">
        <v>16</v>
      </c>
      <c r="E1325" t="s">
        <v>149</v>
      </c>
      <c r="F1325">
        <v>17622678.859999999</v>
      </c>
      <c r="G1325" t="s">
        <v>140</v>
      </c>
      <c r="H1325" t="s">
        <v>81</v>
      </c>
      <c r="I1325" t="s">
        <v>9</v>
      </c>
      <c r="J1325" t="s">
        <v>151</v>
      </c>
      <c r="K1325" t="s">
        <v>152</v>
      </c>
      <c r="L1325" t="s">
        <v>219</v>
      </c>
      <c r="M1325">
        <v>17622678.859999999</v>
      </c>
    </row>
    <row r="1326" spans="1:13" x14ac:dyDescent="0.3">
      <c r="A1326" s="23">
        <v>45504</v>
      </c>
      <c r="B1326" t="s">
        <v>13</v>
      </c>
      <c r="C1326" t="s">
        <v>132</v>
      </c>
      <c r="D1326" t="s">
        <v>16</v>
      </c>
      <c r="E1326" t="s">
        <v>136</v>
      </c>
      <c r="F1326">
        <v>18300000</v>
      </c>
      <c r="G1326" t="s">
        <v>134</v>
      </c>
      <c r="H1326" t="s">
        <v>81</v>
      </c>
      <c r="I1326" t="s">
        <v>9</v>
      </c>
      <c r="L1326" t="s">
        <v>161</v>
      </c>
      <c r="M1326">
        <v>18300000</v>
      </c>
    </row>
    <row r="1327" spans="1:13" x14ac:dyDescent="0.3">
      <c r="A1327" s="23">
        <v>45547</v>
      </c>
      <c r="B1327" t="s">
        <v>13</v>
      </c>
      <c r="C1327" t="s">
        <v>132</v>
      </c>
      <c r="D1327" t="s">
        <v>16</v>
      </c>
      <c r="E1327" t="s">
        <v>41</v>
      </c>
      <c r="F1327">
        <v>18300000</v>
      </c>
      <c r="G1327" t="s">
        <v>26</v>
      </c>
      <c r="H1327" t="s">
        <v>81</v>
      </c>
      <c r="I1327" t="s">
        <v>9</v>
      </c>
      <c r="L1327" t="s">
        <v>161</v>
      </c>
      <c r="M1327">
        <v>18300000</v>
      </c>
    </row>
    <row r="1328" spans="1:13" x14ac:dyDescent="0.3">
      <c r="A1328" s="23">
        <v>45166</v>
      </c>
      <c r="B1328" t="s">
        <v>13</v>
      </c>
      <c r="C1328" t="s">
        <v>143</v>
      </c>
      <c r="D1328" t="s">
        <v>16</v>
      </c>
      <c r="E1328" t="s">
        <v>149</v>
      </c>
      <c r="F1328">
        <v>18315419.41</v>
      </c>
      <c r="G1328" t="s">
        <v>140</v>
      </c>
      <c r="H1328" t="s">
        <v>81</v>
      </c>
      <c r="I1328" t="s">
        <v>9</v>
      </c>
      <c r="M1328">
        <v>18315419.41</v>
      </c>
    </row>
    <row r="1329" spans="1:13" x14ac:dyDescent="0.3">
      <c r="A1329" s="23">
        <v>45341</v>
      </c>
      <c r="B1329" t="s">
        <v>13</v>
      </c>
      <c r="C1329" t="s">
        <v>132</v>
      </c>
      <c r="D1329" t="s">
        <v>16</v>
      </c>
      <c r="E1329" t="s">
        <v>41</v>
      </c>
      <c r="F1329">
        <v>18600000</v>
      </c>
      <c r="G1329" t="s">
        <v>26</v>
      </c>
      <c r="H1329" t="s">
        <v>81</v>
      </c>
      <c r="I1329" t="s">
        <v>9</v>
      </c>
      <c r="L1329" t="s">
        <v>161</v>
      </c>
      <c r="M1329">
        <v>18600000</v>
      </c>
    </row>
    <row r="1330" spans="1:13" x14ac:dyDescent="0.3">
      <c r="A1330" s="23">
        <v>45337</v>
      </c>
      <c r="B1330" t="s">
        <v>13</v>
      </c>
      <c r="C1330" t="s">
        <v>132</v>
      </c>
      <c r="D1330" t="s">
        <v>16</v>
      </c>
      <c r="E1330" t="s">
        <v>48</v>
      </c>
      <c r="F1330">
        <v>19000000</v>
      </c>
      <c r="G1330" t="s">
        <v>29</v>
      </c>
      <c r="H1330" t="s">
        <v>81</v>
      </c>
      <c r="I1330" t="s">
        <v>9</v>
      </c>
      <c r="L1330" t="s">
        <v>161</v>
      </c>
      <c r="M1330">
        <v>19000000</v>
      </c>
    </row>
    <row r="1331" spans="1:13" x14ac:dyDescent="0.3">
      <c r="A1331" s="23">
        <v>45622</v>
      </c>
      <c r="B1331" t="s">
        <v>13</v>
      </c>
      <c r="C1331" t="s">
        <v>132</v>
      </c>
      <c r="D1331" t="s">
        <v>16</v>
      </c>
      <c r="E1331" t="s">
        <v>41</v>
      </c>
      <c r="F1331">
        <v>19300000</v>
      </c>
      <c r="G1331" t="s">
        <v>26</v>
      </c>
      <c r="H1331" t="s">
        <v>81</v>
      </c>
      <c r="I1331" t="s">
        <v>9</v>
      </c>
      <c r="L1331" t="s">
        <v>161</v>
      </c>
      <c r="M1331">
        <v>19300000</v>
      </c>
    </row>
    <row r="1332" spans="1:13" x14ac:dyDescent="0.3">
      <c r="A1332" s="23">
        <v>45146</v>
      </c>
      <c r="B1332" t="s">
        <v>13</v>
      </c>
      <c r="C1332" t="s">
        <v>143</v>
      </c>
      <c r="D1332" t="s">
        <v>16</v>
      </c>
      <c r="E1332" t="s">
        <v>149</v>
      </c>
      <c r="F1332">
        <v>19327424.219999999</v>
      </c>
      <c r="G1332" t="s">
        <v>140</v>
      </c>
      <c r="H1332" t="s">
        <v>81</v>
      </c>
      <c r="I1332" t="s">
        <v>9</v>
      </c>
      <c r="M1332">
        <v>19327424.219999999</v>
      </c>
    </row>
    <row r="1333" spans="1:13" x14ac:dyDescent="0.3">
      <c r="A1333" s="23">
        <v>45147</v>
      </c>
      <c r="B1333" t="s">
        <v>13</v>
      </c>
      <c r="C1333" t="s">
        <v>132</v>
      </c>
      <c r="D1333" t="s">
        <v>16</v>
      </c>
      <c r="E1333" t="s">
        <v>41</v>
      </c>
      <c r="F1333">
        <v>19900000</v>
      </c>
      <c r="G1333" t="s">
        <v>26</v>
      </c>
      <c r="H1333" t="s">
        <v>81</v>
      </c>
      <c r="I1333" t="s">
        <v>9</v>
      </c>
      <c r="L1333" t="s">
        <v>161</v>
      </c>
      <c r="M1333">
        <v>19900000</v>
      </c>
    </row>
    <row r="1334" spans="1:13" x14ac:dyDescent="0.3">
      <c r="A1334" s="23">
        <v>45385</v>
      </c>
      <c r="B1334" t="s">
        <v>13</v>
      </c>
      <c r="C1334" t="s">
        <v>132</v>
      </c>
      <c r="D1334" t="s">
        <v>16</v>
      </c>
      <c r="E1334" t="s">
        <v>46</v>
      </c>
      <c r="F1334">
        <v>20000000</v>
      </c>
      <c r="G1334" t="s">
        <v>28</v>
      </c>
      <c r="H1334" t="s">
        <v>81</v>
      </c>
      <c r="I1334" t="s">
        <v>9</v>
      </c>
      <c r="L1334" t="s">
        <v>161</v>
      </c>
      <c r="M1334">
        <v>20000000</v>
      </c>
    </row>
    <row r="1335" spans="1:13" x14ac:dyDescent="0.3">
      <c r="A1335" s="23">
        <v>45524</v>
      </c>
      <c r="B1335" t="s">
        <v>13</v>
      </c>
      <c r="C1335" t="s">
        <v>132</v>
      </c>
      <c r="D1335" t="s">
        <v>16</v>
      </c>
      <c r="E1335" t="s">
        <v>48</v>
      </c>
      <c r="F1335">
        <v>20000000</v>
      </c>
      <c r="G1335" t="s">
        <v>29</v>
      </c>
      <c r="H1335" t="s">
        <v>81</v>
      </c>
      <c r="I1335" t="s">
        <v>9</v>
      </c>
      <c r="L1335" t="s">
        <v>161</v>
      </c>
      <c r="M1335">
        <v>20000000</v>
      </c>
    </row>
    <row r="1336" spans="1:13" x14ac:dyDescent="0.3">
      <c r="A1336" s="23">
        <v>44740</v>
      </c>
      <c r="B1336" t="s">
        <v>13</v>
      </c>
      <c r="C1336" t="s">
        <v>143</v>
      </c>
      <c r="D1336" t="s">
        <v>16</v>
      </c>
      <c r="E1336" t="s">
        <v>149</v>
      </c>
      <c r="F1336">
        <v>20011928.870000001</v>
      </c>
      <c r="G1336" t="s">
        <v>140</v>
      </c>
      <c r="H1336" t="s">
        <v>81</v>
      </c>
      <c r="I1336" t="s">
        <v>9</v>
      </c>
      <c r="J1336" s="23">
        <v>44741</v>
      </c>
      <c r="K1336" t="s">
        <v>152</v>
      </c>
      <c r="L1336" t="s">
        <v>219</v>
      </c>
      <c r="M1336">
        <v>20011928.870000001</v>
      </c>
    </row>
    <row r="1337" spans="1:13" x14ac:dyDescent="0.3">
      <c r="A1337" s="23">
        <v>45100</v>
      </c>
      <c r="B1337" t="s">
        <v>13</v>
      </c>
      <c r="C1337" t="s">
        <v>143</v>
      </c>
      <c r="D1337" t="s">
        <v>16</v>
      </c>
      <c r="E1337" t="s">
        <v>149</v>
      </c>
      <c r="F1337">
        <v>20179009.789999999</v>
      </c>
      <c r="G1337" t="s">
        <v>140</v>
      </c>
      <c r="H1337" t="s">
        <v>81</v>
      </c>
      <c r="I1337" t="s">
        <v>9</v>
      </c>
      <c r="M1337">
        <v>20179009.789999999</v>
      </c>
    </row>
    <row r="1338" spans="1:13" x14ac:dyDescent="0.3">
      <c r="A1338" s="23">
        <v>45274</v>
      </c>
      <c r="B1338" t="s">
        <v>13</v>
      </c>
      <c r="C1338" t="s">
        <v>132</v>
      </c>
      <c r="D1338" t="s">
        <v>16</v>
      </c>
      <c r="E1338" t="s">
        <v>46</v>
      </c>
      <c r="F1338">
        <v>20200000</v>
      </c>
      <c r="G1338" t="s">
        <v>28</v>
      </c>
      <c r="H1338" t="s">
        <v>81</v>
      </c>
      <c r="I1338" t="s">
        <v>9</v>
      </c>
      <c r="L1338" t="s">
        <v>161</v>
      </c>
      <c r="M1338">
        <v>20200000</v>
      </c>
    </row>
    <row r="1339" spans="1:13" x14ac:dyDescent="0.3">
      <c r="A1339" s="23">
        <v>44806</v>
      </c>
      <c r="B1339" t="s">
        <v>13</v>
      </c>
      <c r="C1339" t="s">
        <v>143</v>
      </c>
      <c r="D1339" t="s">
        <v>16</v>
      </c>
      <c r="E1339" t="s">
        <v>149</v>
      </c>
      <c r="F1339">
        <v>20200000</v>
      </c>
      <c r="G1339" t="s">
        <v>140</v>
      </c>
      <c r="H1339" t="s">
        <v>81</v>
      </c>
      <c r="I1339" t="s">
        <v>9</v>
      </c>
      <c r="J1339" s="23">
        <v>44806</v>
      </c>
      <c r="L1339" t="s">
        <v>232</v>
      </c>
      <c r="M1339">
        <v>20200000</v>
      </c>
    </row>
    <row r="1340" spans="1:13" x14ac:dyDescent="0.3">
      <c r="A1340" s="23">
        <v>45183</v>
      </c>
      <c r="B1340" t="s">
        <v>13</v>
      </c>
      <c r="C1340" t="s">
        <v>132</v>
      </c>
      <c r="D1340" t="s">
        <v>16</v>
      </c>
      <c r="E1340" t="s">
        <v>41</v>
      </c>
      <c r="F1340">
        <v>20300000</v>
      </c>
      <c r="G1340" t="s">
        <v>26</v>
      </c>
      <c r="H1340" t="s">
        <v>81</v>
      </c>
      <c r="I1340" t="s">
        <v>9</v>
      </c>
      <c r="L1340" t="s">
        <v>161</v>
      </c>
      <c r="M1340">
        <v>20300000</v>
      </c>
    </row>
    <row r="1341" spans="1:13" x14ac:dyDescent="0.3">
      <c r="A1341" s="23">
        <v>45758</v>
      </c>
      <c r="B1341" t="s">
        <v>13</v>
      </c>
      <c r="C1341" t="s">
        <v>132</v>
      </c>
      <c r="D1341" t="s">
        <v>16</v>
      </c>
      <c r="E1341" t="s">
        <v>48</v>
      </c>
      <c r="F1341">
        <v>20500000</v>
      </c>
      <c r="G1341" t="s">
        <v>29</v>
      </c>
      <c r="H1341" t="s">
        <v>81</v>
      </c>
      <c r="I1341" t="s">
        <v>9</v>
      </c>
      <c r="L1341" t="s">
        <v>161</v>
      </c>
      <c r="M1341">
        <v>20500000</v>
      </c>
    </row>
    <row r="1342" spans="1:13" x14ac:dyDescent="0.3">
      <c r="A1342" s="23">
        <v>44791</v>
      </c>
      <c r="B1342" t="s">
        <v>13</v>
      </c>
      <c r="C1342" t="s">
        <v>143</v>
      </c>
      <c r="D1342" t="s">
        <v>16</v>
      </c>
      <c r="E1342" t="s">
        <v>149</v>
      </c>
      <c r="F1342">
        <v>20641127.09</v>
      </c>
      <c r="G1342" t="s">
        <v>140</v>
      </c>
      <c r="H1342" t="s">
        <v>81</v>
      </c>
      <c r="I1342" t="s">
        <v>9</v>
      </c>
      <c r="J1342" s="23">
        <v>44792</v>
      </c>
      <c r="L1342" t="s">
        <v>227</v>
      </c>
      <c r="M1342">
        <v>20641127.09</v>
      </c>
    </row>
    <row r="1343" spans="1:13" x14ac:dyDescent="0.3">
      <c r="A1343" s="23">
        <v>45527</v>
      </c>
      <c r="B1343" t="s">
        <v>13</v>
      </c>
      <c r="C1343" t="s">
        <v>143</v>
      </c>
      <c r="D1343" t="s">
        <v>16</v>
      </c>
      <c r="E1343" t="s">
        <v>149</v>
      </c>
      <c r="F1343">
        <v>20643570.030000001</v>
      </c>
      <c r="G1343" t="s">
        <v>140</v>
      </c>
      <c r="H1343" t="s">
        <v>81</v>
      </c>
      <c r="I1343" t="s">
        <v>9</v>
      </c>
      <c r="M1343">
        <v>20643570.030000001</v>
      </c>
    </row>
    <row r="1344" spans="1:13" x14ac:dyDescent="0.3">
      <c r="A1344" s="23">
        <v>45404</v>
      </c>
      <c r="B1344" t="s">
        <v>13</v>
      </c>
      <c r="C1344" t="s">
        <v>143</v>
      </c>
      <c r="D1344" t="s">
        <v>16</v>
      </c>
      <c r="E1344" t="s">
        <v>149</v>
      </c>
      <c r="F1344">
        <v>20870178</v>
      </c>
      <c r="G1344" t="s">
        <v>140</v>
      </c>
      <c r="H1344" t="s">
        <v>81</v>
      </c>
      <c r="I1344" t="s">
        <v>9</v>
      </c>
      <c r="M1344">
        <v>20870178</v>
      </c>
    </row>
    <row r="1345" spans="1:13" x14ac:dyDescent="0.3">
      <c r="A1345" s="23">
        <v>44929</v>
      </c>
      <c r="B1345" t="s">
        <v>13</v>
      </c>
      <c r="C1345" t="s">
        <v>132</v>
      </c>
      <c r="D1345" t="s">
        <v>16</v>
      </c>
      <c r="E1345" t="s">
        <v>41</v>
      </c>
      <c r="F1345">
        <v>21000000</v>
      </c>
      <c r="G1345" t="s">
        <v>26</v>
      </c>
      <c r="H1345" t="s">
        <v>81</v>
      </c>
      <c r="I1345" t="s">
        <v>9</v>
      </c>
      <c r="L1345" t="s">
        <v>161</v>
      </c>
      <c r="M1345">
        <v>21000000</v>
      </c>
    </row>
    <row r="1346" spans="1:13" x14ac:dyDescent="0.3">
      <c r="A1346" s="23">
        <v>45630</v>
      </c>
      <c r="B1346" t="s">
        <v>13</v>
      </c>
      <c r="C1346" t="s">
        <v>132</v>
      </c>
      <c r="D1346" t="s">
        <v>16</v>
      </c>
      <c r="E1346" t="s">
        <v>193</v>
      </c>
      <c r="F1346">
        <v>21025294</v>
      </c>
      <c r="G1346" t="s">
        <v>131</v>
      </c>
      <c r="H1346" t="s">
        <v>81</v>
      </c>
      <c r="I1346" t="s">
        <v>9</v>
      </c>
      <c r="L1346" t="s">
        <v>161</v>
      </c>
      <c r="M1346">
        <v>21025294</v>
      </c>
    </row>
    <row r="1347" spans="1:13" x14ac:dyDescent="0.3">
      <c r="A1347" s="23">
        <v>44817</v>
      </c>
      <c r="B1347" t="s">
        <v>13</v>
      </c>
      <c r="C1347" t="s">
        <v>132</v>
      </c>
      <c r="D1347" t="s">
        <v>16</v>
      </c>
      <c r="E1347" t="s">
        <v>41</v>
      </c>
      <c r="F1347">
        <v>21200000</v>
      </c>
      <c r="G1347" t="s">
        <v>26</v>
      </c>
      <c r="H1347" t="s">
        <v>81</v>
      </c>
      <c r="I1347" t="s">
        <v>9</v>
      </c>
      <c r="L1347" t="s">
        <v>161</v>
      </c>
      <c r="M1347">
        <v>21200000</v>
      </c>
    </row>
    <row r="1348" spans="1:13" x14ac:dyDescent="0.3">
      <c r="A1348" s="23">
        <v>45327</v>
      </c>
      <c r="B1348" t="s">
        <v>13</v>
      </c>
      <c r="C1348" t="s">
        <v>132</v>
      </c>
      <c r="D1348" t="s">
        <v>16</v>
      </c>
      <c r="E1348" t="s">
        <v>46</v>
      </c>
      <c r="F1348">
        <v>21200000</v>
      </c>
      <c r="G1348" t="s">
        <v>28</v>
      </c>
      <c r="H1348" t="s">
        <v>81</v>
      </c>
      <c r="I1348" t="s">
        <v>9</v>
      </c>
      <c r="L1348" t="s">
        <v>161</v>
      </c>
      <c r="M1348">
        <v>21200000</v>
      </c>
    </row>
    <row r="1349" spans="1:13" x14ac:dyDescent="0.3">
      <c r="A1349" s="23">
        <v>44929</v>
      </c>
      <c r="B1349" t="s">
        <v>13</v>
      </c>
      <c r="C1349" t="s">
        <v>132</v>
      </c>
      <c r="D1349" t="s">
        <v>16</v>
      </c>
      <c r="E1349" t="s">
        <v>48</v>
      </c>
      <c r="F1349">
        <v>21300000</v>
      </c>
      <c r="G1349" t="s">
        <v>29</v>
      </c>
      <c r="H1349" t="s">
        <v>81</v>
      </c>
      <c r="I1349" t="s">
        <v>9</v>
      </c>
      <c r="L1349" t="s">
        <v>161</v>
      </c>
      <c r="M1349">
        <v>21300000</v>
      </c>
    </row>
    <row r="1350" spans="1:13" x14ac:dyDescent="0.3">
      <c r="A1350" s="23">
        <v>44834</v>
      </c>
      <c r="B1350" t="s">
        <v>13</v>
      </c>
      <c r="C1350" t="s">
        <v>132</v>
      </c>
      <c r="D1350" t="s">
        <v>16</v>
      </c>
      <c r="E1350" t="s">
        <v>48</v>
      </c>
      <c r="F1350">
        <v>21400000</v>
      </c>
      <c r="G1350" t="s">
        <v>29</v>
      </c>
      <c r="H1350" t="s">
        <v>81</v>
      </c>
      <c r="I1350" t="s">
        <v>9</v>
      </c>
      <c r="L1350" t="s">
        <v>161</v>
      </c>
      <c r="M1350">
        <v>21400000</v>
      </c>
    </row>
    <row r="1351" spans="1:13" x14ac:dyDescent="0.3">
      <c r="A1351" s="23">
        <v>44685</v>
      </c>
      <c r="B1351" t="s">
        <v>13</v>
      </c>
      <c r="C1351" t="s">
        <v>132</v>
      </c>
      <c r="D1351" t="s">
        <v>16</v>
      </c>
      <c r="E1351" t="s">
        <v>41</v>
      </c>
      <c r="F1351">
        <v>21500000</v>
      </c>
      <c r="G1351" t="s">
        <v>26</v>
      </c>
      <c r="H1351" t="s">
        <v>81</v>
      </c>
      <c r="I1351" t="s">
        <v>9</v>
      </c>
      <c r="L1351" t="s">
        <v>161</v>
      </c>
      <c r="M1351">
        <v>21500000</v>
      </c>
    </row>
    <row r="1352" spans="1:13" x14ac:dyDescent="0.3">
      <c r="A1352" s="23">
        <v>45160</v>
      </c>
      <c r="B1352" t="s">
        <v>13</v>
      </c>
      <c r="C1352" t="s">
        <v>132</v>
      </c>
      <c r="D1352" t="s">
        <v>16</v>
      </c>
      <c r="E1352" t="s">
        <v>41</v>
      </c>
      <c r="F1352">
        <v>21500000</v>
      </c>
      <c r="G1352" t="s">
        <v>26</v>
      </c>
      <c r="H1352" t="s">
        <v>81</v>
      </c>
      <c r="I1352" t="s">
        <v>9</v>
      </c>
      <c r="L1352" t="s">
        <v>161</v>
      </c>
      <c r="M1352">
        <v>21500000</v>
      </c>
    </row>
    <row r="1353" spans="1:13" x14ac:dyDescent="0.3">
      <c r="A1353" s="23">
        <v>44741</v>
      </c>
      <c r="B1353" t="s">
        <v>13</v>
      </c>
      <c r="C1353" t="s">
        <v>143</v>
      </c>
      <c r="D1353" t="s">
        <v>16</v>
      </c>
      <c r="E1353" t="s">
        <v>149</v>
      </c>
      <c r="F1353">
        <v>21693150.93</v>
      </c>
      <c r="G1353" t="s">
        <v>140</v>
      </c>
      <c r="H1353" t="s">
        <v>81</v>
      </c>
      <c r="I1353" t="s">
        <v>9</v>
      </c>
      <c r="J1353" t="s">
        <v>153</v>
      </c>
      <c r="K1353" t="s">
        <v>152</v>
      </c>
      <c r="L1353" t="s">
        <v>220</v>
      </c>
      <c r="M1353">
        <v>21693150.93</v>
      </c>
    </row>
    <row r="1354" spans="1:13" x14ac:dyDescent="0.3">
      <c r="A1354" s="23">
        <v>45296</v>
      </c>
      <c r="B1354" t="s">
        <v>13</v>
      </c>
      <c r="C1354" t="s">
        <v>143</v>
      </c>
      <c r="D1354" t="s">
        <v>16</v>
      </c>
      <c r="E1354" t="s">
        <v>149</v>
      </c>
      <c r="F1354">
        <v>22038750.010000002</v>
      </c>
      <c r="G1354" t="s">
        <v>140</v>
      </c>
      <c r="H1354" t="s">
        <v>81</v>
      </c>
      <c r="I1354" t="s">
        <v>9</v>
      </c>
      <c r="M1354">
        <v>22038750.010000002</v>
      </c>
    </row>
    <row r="1355" spans="1:13" x14ac:dyDescent="0.3">
      <c r="A1355" s="23">
        <v>44848</v>
      </c>
      <c r="B1355" t="s">
        <v>13</v>
      </c>
      <c r="C1355" t="s">
        <v>132</v>
      </c>
      <c r="D1355" t="s">
        <v>16</v>
      </c>
      <c r="E1355" t="s">
        <v>41</v>
      </c>
      <c r="F1355">
        <v>22300000</v>
      </c>
      <c r="G1355" t="s">
        <v>26</v>
      </c>
      <c r="H1355" t="s">
        <v>81</v>
      </c>
      <c r="I1355" t="s">
        <v>9</v>
      </c>
      <c r="L1355" t="s">
        <v>161</v>
      </c>
      <c r="M1355">
        <v>22300000</v>
      </c>
    </row>
    <row r="1356" spans="1:13" x14ac:dyDescent="0.3">
      <c r="A1356" s="23">
        <v>44799</v>
      </c>
      <c r="B1356" t="s">
        <v>13</v>
      </c>
      <c r="C1356" t="s">
        <v>143</v>
      </c>
      <c r="D1356" t="s">
        <v>16</v>
      </c>
      <c r="E1356" t="s">
        <v>149</v>
      </c>
      <c r="F1356">
        <v>22454670.75</v>
      </c>
      <c r="G1356" t="s">
        <v>140</v>
      </c>
      <c r="H1356" t="s">
        <v>81</v>
      </c>
      <c r="I1356" t="s">
        <v>9</v>
      </c>
      <c r="J1356" t="s">
        <v>160</v>
      </c>
      <c r="L1356" t="s">
        <v>230</v>
      </c>
      <c r="M1356">
        <v>22454670.75</v>
      </c>
    </row>
    <row r="1357" spans="1:13" x14ac:dyDescent="0.3">
      <c r="A1357" s="23">
        <v>45181</v>
      </c>
      <c r="B1357" t="s">
        <v>13</v>
      </c>
      <c r="C1357" t="s">
        <v>143</v>
      </c>
      <c r="D1357" t="s">
        <v>16</v>
      </c>
      <c r="E1357" t="s">
        <v>149</v>
      </c>
      <c r="F1357">
        <v>22647782.539999999</v>
      </c>
      <c r="G1357" t="s">
        <v>140</v>
      </c>
      <c r="H1357" t="s">
        <v>81</v>
      </c>
      <c r="I1357" t="s">
        <v>9</v>
      </c>
      <c r="M1357">
        <v>22647782.539999999</v>
      </c>
    </row>
    <row r="1358" spans="1:13" x14ac:dyDescent="0.3">
      <c r="A1358" s="23">
        <v>45152</v>
      </c>
      <c r="B1358" t="s">
        <v>13</v>
      </c>
      <c r="C1358" t="s">
        <v>143</v>
      </c>
      <c r="D1358" t="s">
        <v>16</v>
      </c>
      <c r="E1358" t="s">
        <v>149</v>
      </c>
      <c r="F1358">
        <v>22673012.91</v>
      </c>
      <c r="G1358" t="s">
        <v>140</v>
      </c>
      <c r="H1358" t="s">
        <v>81</v>
      </c>
      <c r="I1358" t="s">
        <v>9</v>
      </c>
      <c r="M1358">
        <v>22673012.91</v>
      </c>
    </row>
    <row r="1359" spans="1:13" x14ac:dyDescent="0.3">
      <c r="A1359" s="23">
        <v>45763</v>
      </c>
      <c r="B1359" t="s">
        <v>13</v>
      </c>
      <c r="C1359" t="s">
        <v>132</v>
      </c>
      <c r="D1359" t="s">
        <v>16</v>
      </c>
      <c r="E1359" t="s">
        <v>41</v>
      </c>
      <c r="F1359">
        <v>22700000</v>
      </c>
      <c r="G1359" t="s">
        <v>26</v>
      </c>
      <c r="H1359" t="s">
        <v>81</v>
      </c>
      <c r="I1359" t="s">
        <v>9</v>
      </c>
      <c r="L1359" t="s">
        <v>161</v>
      </c>
      <c r="M1359">
        <v>22700000</v>
      </c>
    </row>
    <row r="1360" spans="1:13" x14ac:dyDescent="0.3">
      <c r="A1360" s="23">
        <v>44774</v>
      </c>
      <c r="B1360" t="s">
        <v>13</v>
      </c>
      <c r="C1360" t="s">
        <v>132</v>
      </c>
      <c r="D1360" t="s">
        <v>16</v>
      </c>
      <c r="E1360" t="s">
        <v>41</v>
      </c>
      <c r="F1360">
        <v>22700000</v>
      </c>
      <c r="G1360" t="s">
        <v>26</v>
      </c>
      <c r="H1360" t="s">
        <v>81</v>
      </c>
      <c r="I1360" t="s">
        <v>9</v>
      </c>
      <c r="L1360" t="s">
        <v>161</v>
      </c>
      <c r="M1360">
        <v>22700000</v>
      </c>
    </row>
    <row r="1361" spans="1:13" x14ac:dyDescent="0.3">
      <c r="A1361" s="23">
        <v>44792</v>
      </c>
      <c r="B1361" t="s">
        <v>13</v>
      </c>
      <c r="C1361" t="s">
        <v>143</v>
      </c>
      <c r="D1361" t="s">
        <v>16</v>
      </c>
      <c r="E1361" t="s">
        <v>149</v>
      </c>
      <c r="F1361">
        <v>23309410.609999999</v>
      </c>
      <c r="G1361" t="s">
        <v>140</v>
      </c>
      <c r="H1361" t="s">
        <v>81</v>
      </c>
      <c r="I1361" t="s">
        <v>9</v>
      </c>
      <c r="J1361" s="23">
        <v>44795</v>
      </c>
      <c r="L1361" t="s">
        <v>228</v>
      </c>
      <c r="M1361">
        <v>23309410.609999999</v>
      </c>
    </row>
    <row r="1362" spans="1:13" x14ac:dyDescent="0.3">
      <c r="A1362" s="23">
        <v>44715</v>
      </c>
      <c r="B1362" t="s">
        <v>13</v>
      </c>
      <c r="C1362" t="s">
        <v>132</v>
      </c>
      <c r="D1362" t="s">
        <v>16</v>
      </c>
      <c r="E1362" t="s">
        <v>41</v>
      </c>
      <c r="F1362">
        <v>23400000</v>
      </c>
      <c r="G1362" t="s">
        <v>26</v>
      </c>
      <c r="H1362" t="s">
        <v>81</v>
      </c>
      <c r="I1362" t="s">
        <v>9</v>
      </c>
      <c r="L1362" t="s">
        <v>161</v>
      </c>
      <c r="M1362">
        <v>23400000</v>
      </c>
    </row>
    <row r="1363" spans="1:13" x14ac:dyDescent="0.3">
      <c r="A1363" s="23">
        <v>44650</v>
      </c>
      <c r="B1363" t="s">
        <v>13</v>
      </c>
      <c r="C1363" t="s">
        <v>132</v>
      </c>
      <c r="D1363" t="s">
        <v>16</v>
      </c>
      <c r="E1363" t="s">
        <v>41</v>
      </c>
      <c r="F1363">
        <v>23600000</v>
      </c>
      <c r="G1363" t="s">
        <v>26</v>
      </c>
      <c r="H1363" t="s">
        <v>81</v>
      </c>
      <c r="I1363" t="s">
        <v>9</v>
      </c>
      <c r="L1363" t="s">
        <v>161</v>
      </c>
      <c r="M1363">
        <v>23600000</v>
      </c>
    </row>
    <row r="1364" spans="1:13" x14ac:dyDescent="0.3">
      <c r="A1364" s="23">
        <v>45000</v>
      </c>
      <c r="B1364" t="s">
        <v>13</v>
      </c>
      <c r="C1364" t="s">
        <v>132</v>
      </c>
      <c r="D1364" t="s">
        <v>16</v>
      </c>
      <c r="E1364" t="s">
        <v>41</v>
      </c>
      <c r="F1364">
        <v>23700000</v>
      </c>
      <c r="G1364" t="s">
        <v>26</v>
      </c>
      <c r="H1364" t="s">
        <v>81</v>
      </c>
      <c r="I1364" t="s">
        <v>9</v>
      </c>
      <c r="L1364" t="s">
        <v>161</v>
      </c>
      <c r="M1364">
        <v>23700000</v>
      </c>
    </row>
    <row r="1365" spans="1:13" x14ac:dyDescent="0.3">
      <c r="A1365" s="23">
        <v>45343</v>
      </c>
      <c r="B1365" t="s">
        <v>13</v>
      </c>
      <c r="C1365" t="s">
        <v>143</v>
      </c>
      <c r="D1365" t="s">
        <v>16</v>
      </c>
      <c r="E1365" t="s">
        <v>149</v>
      </c>
      <c r="F1365">
        <v>23702993.010000002</v>
      </c>
      <c r="G1365" t="s">
        <v>140</v>
      </c>
      <c r="H1365" t="s">
        <v>81</v>
      </c>
      <c r="I1365" t="s">
        <v>9</v>
      </c>
      <c r="M1365">
        <v>23702993.010000002</v>
      </c>
    </row>
    <row r="1366" spans="1:13" x14ac:dyDescent="0.3">
      <c r="A1366" s="23">
        <v>45273</v>
      </c>
      <c r="B1366" t="s">
        <v>13</v>
      </c>
      <c r="C1366" t="s">
        <v>132</v>
      </c>
      <c r="D1366" t="s">
        <v>16</v>
      </c>
      <c r="E1366" t="s">
        <v>46</v>
      </c>
      <c r="F1366">
        <v>23900000</v>
      </c>
      <c r="G1366" t="s">
        <v>28</v>
      </c>
      <c r="H1366" t="s">
        <v>81</v>
      </c>
      <c r="I1366" t="s">
        <v>9</v>
      </c>
      <c r="L1366" t="s">
        <v>161</v>
      </c>
      <c r="M1366">
        <v>23900000</v>
      </c>
    </row>
    <row r="1367" spans="1:13" x14ac:dyDescent="0.3">
      <c r="A1367" s="23">
        <v>45202</v>
      </c>
      <c r="B1367" t="s">
        <v>13</v>
      </c>
      <c r="C1367" t="s">
        <v>132</v>
      </c>
      <c r="D1367" t="s">
        <v>16</v>
      </c>
      <c r="E1367" t="s">
        <v>48</v>
      </c>
      <c r="F1367">
        <v>24300000</v>
      </c>
      <c r="G1367" t="s">
        <v>29</v>
      </c>
      <c r="H1367" t="s">
        <v>81</v>
      </c>
      <c r="I1367" t="s">
        <v>9</v>
      </c>
      <c r="L1367" t="s">
        <v>161</v>
      </c>
      <c r="M1367">
        <v>24300000</v>
      </c>
    </row>
    <row r="1368" spans="1:13" x14ac:dyDescent="0.3">
      <c r="A1368" s="23">
        <v>44725</v>
      </c>
      <c r="B1368" t="s">
        <v>13</v>
      </c>
      <c r="C1368" t="s">
        <v>132</v>
      </c>
      <c r="D1368" t="s">
        <v>16</v>
      </c>
      <c r="E1368" t="s">
        <v>41</v>
      </c>
      <c r="F1368">
        <v>24400000</v>
      </c>
      <c r="G1368" t="s">
        <v>26</v>
      </c>
      <c r="H1368" t="s">
        <v>81</v>
      </c>
      <c r="I1368" t="s">
        <v>9</v>
      </c>
      <c r="L1368" t="s">
        <v>161</v>
      </c>
      <c r="M1368">
        <v>24400000</v>
      </c>
    </row>
    <row r="1369" spans="1:13" x14ac:dyDescent="0.3">
      <c r="A1369" s="23">
        <v>45013</v>
      </c>
      <c r="B1369" t="s">
        <v>13</v>
      </c>
      <c r="C1369" t="s">
        <v>132</v>
      </c>
      <c r="D1369" t="s">
        <v>16</v>
      </c>
      <c r="E1369" t="s">
        <v>41</v>
      </c>
      <c r="F1369">
        <v>24800000</v>
      </c>
      <c r="G1369" t="s">
        <v>26</v>
      </c>
      <c r="H1369" t="s">
        <v>81</v>
      </c>
      <c r="I1369" t="s">
        <v>9</v>
      </c>
      <c r="L1369" t="s">
        <v>161</v>
      </c>
      <c r="M1369">
        <v>24800000</v>
      </c>
    </row>
    <row r="1370" spans="1:13" x14ac:dyDescent="0.3">
      <c r="A1370" s="23">
        <v>45341</v>
      </c>
      <c r="B1370" t="s">
        <v>13</v>
      </c>
      <c r="C1370" t="s">
        <v>132</v>
      </c>
      <c r="D1370" t="s">
        <v>16</v>
      </c>
      <c r="E1370" t="s">
        <v>136</v>
      </c>
      <c r="F1370">
        <v>25000000</v>
      </c>
      <c r="G1370" t="s">
        <v>134</v>
      </c>
      <c r="H1370" t="s">
        <v>81</v>
      </c>
      <c r="I1370" t="s">
        <v>9</v>
      </c>
      <c r="L1370" t="s">
        <v>161</v>
      </c>
      <c r="M1370">
        <v>25000000</v>
      </c>
    </row>
    <row r="1371" spans="1:13" x14ac:dyDescent="0.3">
      <c r="A1371" s="23">
        <v>45295</v>
      </c>
      <c r="B1371" t="s">
        <v>13</v>
      </c>
      <c r="C1371" t="s">
        <v>132</v>
      </c>
      <c r="D1371" t="s">
        <v>16</v>
      </c>
      <c r="E1371" t="s">
        <v>136</v>
      </c>
      <c r="F1371">
        <v>25000000</v>
      </c>
      <c r="G1371" t="s">
        <v>134</v>
      </c>
      <c r="H1371" t="s">
        <v>81</v>
      </c>
      <c r="I1371" t="s">
        <v>9</v>
      </c>
      <c r="L1371" t="s">
        <v>161</v>
      </c>
      <c r="M1371">
        <v>25000000</v>
      </c>
    </row>
    <row r="1372" spans="1:13" x14ac:dyDescent="0.3">
      <c r="A1372" s="23">
        <v>45317</v>
      </c>
      <c r="B1372" t="s">
        <v>13</v>
      </c>
      <c r="C1372" t="s">
        <v>132</v>
      </c>
      <c r="D1372" t="s">
        <v>16</v>
      </c>
      <c r="E1372" t="s">
        <v>46</v>
      </c>
      <c r="F1372">
        <v>25000000</v>
      </c>
      <c r="G1372" t="s">
        <v>28</v>
      </c>
      <c r="H1372" t="s">
        <v>81</v>
      </c>
      <c r="I1372" t="s">
        <v>9</v>
      </c>
      <c r="L1372" t="s">
        <v>161</v>
      </c>
      <c r="M1372">
        <v>25000000</v>
      </c>
    </row>
    <row r="1373" spans="1:13" x14ac:dyDescent="0.3">
      <c r="A1373" s="23">
        <v>45422</v>
      </c>
      <c r="B1373" t="s">
        <v>13</v>
      </c>
      <c r="C1373" t="s">
        <v>132</v>
      </c>
      <c r="D1373" t="s">
        <v>16</v>
      </c>
      <c r="E1373" t="s">
        <v>46</v>
      </c>
      <c r="F1373">
        <v>25300000</v>
      </c>
      <c r="G1373" t="s">
        <v>28</v>
      </c>
      <c r="H1373" t="s">
        <v>81</v>
      </c>
      <c r="I1373" t="s">
        <v>9</v>
      </c>
      <c r="L1373" t="s">
        <v>161</v>
      </c>
      <c r="M1373">
        <v>25300000</v>
      </c>
    </row>
    <row r="1374" spans="1:13" x14ac:dyDescent="0.3">
      <c r="A1374" s="23">
        <v>44778</v>
      </c>
      <c r="B1374" t="s">
        <v>13</v>
      </c>
      <c r="C1374" t="s">
        <v>132</v>
      </c>
      <c r="D1374" t="s">
        <v>16</v>
      </c>
      <c r="E1374" t="s">
        <v>48</v>
      </c>
      <c r="F1374">
        <v>25500000</v>
      </c>
      <c r="G1374" t="s">
        <v>29</v>
      </c>
      <c r="H1374" t="s">
        <v>81</v>
      </c>
      <c r="I1374" t="s">
        <v>9</v>
      </c>
      <c r="L1374" t="s">
        <v>161</v>
      </c>
      <c r="M1374">
        <v>25500000</v>
      </c>
    </row>
    <row r="1375" spans="1:13" x14ac:dyDescent="0.3">
      <c r="A1375" s="23">
        <v>45369</v>
      </c>
      <c r="B1375" t="s">
        <v>13</v>
      </c>
      <c r="C1375" t="s">
        <v>132</v>
      </c>
      <c r="D1375" t="s">
        <v>16</v>
      </c>
      <c r="E1375" t="s">
        <v>46</v>
      </c>
      <c r="F1375">
        <v>25600000</v>
      </c>
      <c r="G1375" t="s">
        <v>28</v>
      </c>
      <c r="H1375" t="s">
        <v>81</v>
      </c>
      <c r="I1375" t="s">
        <v>9</v>
      </c>
      <c r="L1375" t="s">
        <v>161</v>
      </c>
      <c r="M1375">
        <v>25600000</v>
      </c>
    </row>
    <row r="1376" spans="1:13" x14ac:dyDescent="0.3">
      <c r="A1376" s="23">
        <v>45761</v>
      </c>
      <c r="B1376" t="s">
        <v>13</v>
      </c>
      <c r="C1376" t="s">
        <v>132</v>
      </c>
      <c r="D1376" t="s">
        <v>16</v>
      </c>
      <c r="E1376" t="s">
        <v>48</v>
      </c>
      <c r="F1376">
        <v>25700000</v>
      </c>
      <c r="G1376" t="s">
        <v>29</v>
      </c>
      <c r="H1376" t="s">
        <v>81</v>
      </c>
      <c r="I1376" t="s">
        <v>9</v>
      </c>
      <c r="L1376" t="s">
        <v>161</v>
      </c>
      <c r="M1376">
        <v>25700000</v>
      </c>
    </row>
    <row r="1377" spans="1:13" x14ac:dyDescent="0.3">
      <c r="A1377" s="23">
        <v>45623</v>
      </c>
      <c r="B1377" t="s">
        <v>13</v>
      </c>
      <c r="C1377" t="s">
        <v>132</v>
      </c>
      <c r="D1377" t="s">
        <v>16</v>
      </c>
      <c r="E1377" t="s">
        <v>48</v>
      </c>
      <c r="F1377">
        <v>26000000</v>
      </c>
      <c r="G1377" t="s">
        <v>29</v>
      </c>
      <c r="H1377" t="s">
        <v>81</v>
      </c>
      <c r="I1377" t="s">
        <v>9</v>
      </c>
      <c r="L1377" t="s">
        <v>161</v>
      </c>
      <c r="M1377">
        <v>26000000</v>
      </c>
    </row>
    <row r="1378" spans="1:13" x14ac:dyDescent="0.3">
      <c r="A1378" s="23">
        <v>45306</v>
      </c>
      <c r="B1378" t="s">
        <v>13</v>
      </c>
      <c r="C1378" t="s">
        <v>132</v>
      </c>
      <c r="D1378" t="s">
        <v>16</v>
      </c>
      <c r="E1378" t="s">
        <v>46</v>
      </c>
      <c r="F1378">
        <v>26200000</v>
      </c>
      <c r="G1378" t="s">
        <v>28</v>
      </c>
      <c r="H1378" t="s">
        <v>81</v>
      </c>
      <c r="I1378" t="s">
        <v>9</v>
      </c>
      <c r="L1378" t="s">
        <v>161</v>
      </c>
      <c r="M1378">
        <v>26200000</v>
      </c>
    </row>
    <row r="1379" spans="1:13" x14ac:dyDescent="0.3">
      <c r="A1379" s="23">
        <v>44736</v>
      </c>
      <c r="B1379" t="s">
        <v>13</v>
      </c>
      <c r="C1379" t="s">
        <v>143</v>
      </c>
      <c r="D1379" t="s">
        <v>16</v>
      </c>
      <c r="E1379" t="s">
        <v>149</v>
      </c>
      <c r="F1379">
        <v>26381556.359999999</v>
      </c>
      <c r="G1379" t="s">
        <v>140</v>
      </c>
      <c r="H1379" t="s">
        <v>81</v>
      </c>
      <c r="I1379" t="s">
        <v>9</v>
      </c>
      <c r="J1379" s="23">
        <v>44739</v>
      </c>
      <c r="K1379" t="s">
        <v>152</v>
      </c>
      <c r="L1379" t="s">
        <v>218</v>
      </c>
      <c r="M1379">
        <v>26381556.359999999</v>
      </c>
    </row>
    <row r="1380" spans="1:13" x14ac:dyDescent="0.3">
      <c r="A1380" s="23">
        <v>44725</v>
      </c>
      <c r="B1380" t="s">
        <v>13</v>
      </c>
      <c r="C1380" t="s">
        <v>132</v>
      </c>
      <c r="D1380" t="s">
        <v>16</v>
      </c>
      <c r="E1380" t="s">
        <v>46</v>
      </c>
      <c r="F1380">
        <v>26400000</v>
      </c>
      <c r="G1380" t="s">
        <v>28</v>
      </c>
      <c r="H1380" t="s">
        <v>81</v>
      </c>
      <c r="I1380" t="s">
        <v>9</v>
      </c>
      <c r="L1380" t="s">
        <v>161</v>
      </c>
      <c r="M1380">
        <v>26400000</v>
      </c>
    </row>
    <row r="1381" spans="1:13" x14ac:dyDescent="0.3">
      <c r="A1381" s="23">
        <v>44851</v>
      </c>
      <c r="B1381" t="s">
        <v>13</v>
      </c>
      <c r="C1381" t="s">
        <v>132</v>
      </c>
      <c r="D1381" t="s">
        <v>16</v>
      </c>
      <c r="E1381" t="s">
        <v>41</v>
      </c>
      <c r="F1381">
        <v>26500000</v>
      </c>
      <c r="G1381" t="s">
        <v>26</v>
      </c>
      <c r="H1381" t="s">
        <v>81</v>
      </c>
      <c r="I1381" t="s">
        <v>9</v>
      </c>
      <c r="L1381" t="s">
        <v>161</v>
      </c>
      <c r="M1381">
        <v>26500000</v>
      </c>
    </row>
    <row r="1382" spans="1:13" x14ac:dyDescent="0.3">
      <c r="A1382" s="23">
        <v>44736</v>
      </c>
      <c r="B1382" t="s">
        <v>13</v>
      </c>
      <c r="C1382" t="s">
        <v>132</v>
      </c>
      <c r="D1382" t="s">
        <v>16</v>
      </c>
      <c r="E1382" t="s">
        <v>41</v>
      </c>
      <c r="F1382">
        <v>26800000</v>
      </c>
      <c r="G1382" t="s">
        <v>26</v>
      </c>
      <c r="H1382" t="s">
        <v>81</v>
      </c>
      <c r="I1382" t="s">
        <v>9</v>
      </c>
      <c r="L1382" t="s">
        <v>161</v>
      </c>
      <c r="M1382">
        <v>26800000</v>
      </c>
    </row>
    <row r="1383" spans="1:13" x14ac:dyDescent="0.3">
      <c r="A1383" s="23">
        <v>45188</v>
      </c>
      <c r="B1383" t="s">
        <v>13</v>
      </c>
      <c r="C1383" t="s">
        <v>132</v>
      </c>
      <c r="D1383" t="s">
        <v>16</v>
      </c>
      <c r="E1383" t="s">
        <v>41</v>
      </c>
      <c r="F1383">
        <v>27300000</v>
      </c>
      <c r="G1383" t="s">
        <v>26</v>
      </c>
      <c r="H1383" t="s">
        <v>81</v>
      </c>
      <c r="I1383" t="s">
        <v>9</v>
      </c>
      <c r="L1383" t="s">
        <v>161</v>
      </c>
      <c r="M1383">
        <v>27300000</v>
      </c>
    </row>
    <row r="1384" spans="1:13" x14ac:dyDescent="0.3">
      <c r="A1384" s="23">
        <v>45639</v>
      </c>
      <c r="B1384" t="s">
        <v>13</v>
      </c>
      <c r="C1384" t="s">
        <v>132</v>
      </c>
      <c r="D1384" t="s">
        <v>16</v>
      </c>
      <c r="E1384" t="s">
        <v>41</v>
      </c>
      <c r="F1384">
        <v>27700000</v>
      </c>
      <c r="G1384" t="s">
        <v>26</v>
      </c>
      <c r="H1384" t="s">
        <v>81</v>
      </c>
      <c r="I1384" t="s">
        <v>9</v>
      </c>
      <c r="L1384" t="s">
        <v>161</v>
      </c>
      <c r="M1384">
        <v>27700000</v>
      </c>
    </row>
    <row r="1385" spans="1:13" x14ac:dyDescent="0.3">
      <c r="A1385" s="23">
        <v>44578</v>
      </c>
      <c r="B1385" t="s">
        <v>13</v>
      </c>
      <c r="C1385" t="s">
        <v>132</v>
      </c>
      <c r="D1385" t="s">
        <v>16</v>
      </c>
      <c r="E1385" t="s">
        <v>41</v>
      </c>
      <c r="F1385">
        <v>27900000</v>
      </c>
      <c r="G1385" t="s">
        <v>26</v>
      </c>
      <c r="H1385" t="s">
        <v>81</v>
      </c>
      <c r="I1385" t="s">
        <v>9</v>
      </c>
      <c r="L1385" t="s">
        <v>161</v>
      </c>
      <c r="M1385">
        <v>27900000</v>
      </c>
    </row>
    <row r="1386" spans="1:13" x14ac:dyDescent="0.3">
      <c r="A1386" s="23">
        <v>45253</v>
      </c>
      <c r="B1386" t="s">
        <v>13</v>
      </c>
      <c r="C1386" t="s">
        <v>132</v>
      </c>
      <c r="D1386" t="s">
        <v>16</v>
      </c>
      <c r="E1386" t="s">
        <v>41</v>
      </c>
      <c r="F1386">
        <v>27900000</v>
      </c>
      <c r="G1386" t="s">
        <v>26</v>
      </c>
      <c r="H1386" t="s">
        <v>81</v>
      </c>
      <c r="I1386" t="s">
        <v>9</v>
      </c>
      <c r="L1386" t="s">
        <v>161</v>
      </c>
      <c r="M1386">
        <v>27900000</v>
      </c>
    </row>
    <row r="1387" spans="1:13" x14ac:dyDescent="0.3">
      <c r="A1387" s="23">
        <v>45699</v>
      </c>
      <c r="B1387" t="s">
        <v>13</v>
      </c>
      <c r="C1387" t="s">
        <v>132</v>
      </c>
      <c r="D1387" t="s">
        <v>16</v>
      </c>
      <c r="E1387" t="s">
        <v>48</v>
      </c>
      <c r="F1387">
        <v>28300000</v>
      </c>
      <c r="G1387" t="s">
        <v>29</v>
      </c>
      <c r="H1387" t="s">
        <v>81</v>
      </c>
      <c r="I1387" t="s">
        <v>9</v>
      </c>
      <c r="L1387" t="s">
        <v>161</v>
      </c>
      <c r="M1387">
        <v>28300000</v>
      </c>
    </row>
    <row r="1388" spans="1:13" x14ac:dyDescent="0.3">
      <c r="A1388" s="23">
        <v>44809</v>
      </c>
      <c r="B1388" t="s">
        <v>13</v>
      </c>
      <c r="C1388" t="s">
        <v>143</v>
      </c>
      <c r="D1388" t="s">
        <v>16</v>
      </c>
      <c r="E1388" t="s">
        <v>149</v>
      </c>
      <c r="F1388">
        <v>28549572.039999999</v>
      </c>
      <c r="G1388" t="s">
        <v>140</v>
      </c>
      <c r="H1388" t="s">
        <v>81</v>
      </c>
      <c r="I1388" t="s">
        <v>9</v>
      </c>
      <c r="J1388" s="23">
        <v>44810</v>
      </c>
      <c r="L1388" t="s">
        <v>233</v>
      </c>
      <c r="M1388">
        <v>28549572.039999999</v>
      </c>
    </row>
    <row r="1389" spans="1:13" x14ac:dyDescent="0.3">
      <c r="A1389" s="23">
        <v>45477</v>
      </c>
      <c r="B1389" t="s">
        <v>13</v>
      </c>
      <c r="C1389" t="s">
        <v>132</v>
      </c>
      <c r="D1389" t="s">
        <v>16</v>
      </c>
      <c r="E1389" t="s">
        <v>41</v>
      </c>
      <c r="F1389">
        <v>29000000</v>
      </c>
      <c r="G1389" t="s">
        <v>26</v>
      </c>
      <c r="H1389" t="s">
        <v>81</v>
      </c>
      <c r="I1389" t="s">
        <v>9</v>
      </c>
      <c r="L1389" t="s">
        <v>161</v>
      </c>
      <c r="M1389">
        <v>29000000</v>
      </c>
    </row>
    <row r="1390" spans="1:13" x14ac:dyDescent="0.3">
      <c r="A1390" s="23">
        <v>45344</v>
      </c>
      <c r="B1390" t="s">
        <v>13</v>
      </c>
      <c r="C1390" t="s">
        <v>132</v>
      </c>
      <c r="D1390" t="s">
        <v>16</v>
      </c>
      <c r="E1390" t="s">
        <v>48</v>
      </c>
      <c r="F1390">
        <v>29100000</v>
      </c>
      <c r="G1390" t="s">
        <v>29</v>
      </c>
      <c r="H1390" t="s">
        <v>81</v>
      </c>
      <c r="I1390" t="s">
        <v>9</v>
      </c>
      <c r="L1390" t="s">
        <v>161</v>
      </c>
      <c r="M1390">
        <v>29100000</v>
      </c>
    </row>
    <row r="1391" spans="1:13" x14ac:dyDescent="0.3">
      <c r="A1391" s="23">
        <v>45561</v>
      </c>
      <c r="B1391" t="s">
        <v>13</v>
      </c>
      <c r="C1391" t="s">
        <v>132</v>
      </c>
      <c r="D1391" t="s">
        <v>16</v>
      </c>
      <c r="E1391" t="s">
        <v>41</v>
      </c>
      <c r="F1391">
        <v>29500000</v>
      </c>
      <c r="G1391" t="s">
        <v>26</v>
      </c>
      <c r="H1391" t="s">
        <v>81</v>
      </c>
      <c r="I1391" t="s">
        <v>9</v>
      </c>
      <c r="L1391" t="s">
        <v>161</v>
      </c>
      <c r="M1391">
        <v>29500000</v>
      </c>
    </row>
    <row r="1392" spans="1:13" x14ac:dyDescent="0.3">
      <c r="A1392" s="23">
        <v>44970</v>
      </c>
      <c r="B1392" t="s">
        <v>13</v>
      </c>
      <c r="C1392" t="s">
        <v>143</v>
      </c>
      <c r="D1392" t="s">
        <v>16</v>
      </c>
      <c r="E1392" t="s">
        <v>149</v>
      </c>
      <c r="F1392">
        <v>29550014.699999999</v>
      </c>
      <c r="G1392" t="s">
        <v>140</v>
      </c>
      <c r="H1392" t="s">
        <v>81</v>
      </c>
      <c r="I1392" t="s">
        <v>9</v>
      </c>
      <c r="J1392" s="23">
        <v>44965</v>
      </c>
      <c r="L1392" t="s">
        <v>240</v>
      </c>
      <c r="M1392">
        <v>29550014.699999999</v>
      </c>
    </row>
    <row r="1393" spans="1:13" x14ac:dyDescent="0.3">
      <c r="A1393" s="23">
        <v>44795</v>
      </c>
      <c r="B1393" t="s">
        <v>13</v>
      </c>
      <c r="C1393" t="s">
        <v>143</v>
      </c>
      <c r="D1393" t="s">
        <v>16</v>
      </c>
      <c r="E1393" t="s">
        <v>149</v>
      </c>
      <c r="F1393">
        <v>29574560.120000001</v>
      </c>
      <c r="G1393" t="s">
        <v>140</v>
      </c>
      <c r="H1393" t="s">
        <v>81</v>
      </c>
      <c r="I1393" t="s">
        <v>9</v>
      </c>
      <c r="J1393" t="s">
        <v>158</v>
      </c>
      <c r="L1393" t="s">
        <v>229</v>
      </c>
      <c r="M1393">
        <v>29574560.120000001</v>
      </c>
    </row>
    <row r="1394" spans="1:13" x14ac:dyDescent="0.3">
      <c r="A1394" s="23">
        <v>45373</v>
      </c>
      <c r="B1394" t="s">
        <v>13</v>
      </c>
      <c r="C1394" t="s">
        <v>132</v>
      </c>
      <c r="D1394" t="s">
        <v>16</v>
      </c>
      <c r="E1394" t="s">
        <v>46</v>
      </c>
      <c r="F1394">
        <v>30000000</v>
      </c>
      <c r="G1394" t="s">
        <v>28</v>
      </c>
      <c r="H1394" t="s">
        <v>81</v>
      </c>
      <c r="I1394" t="s">
        <v>9</v>
      </c>
      <c r="L1394" t="s">
        <v>161</v>
      </c>
      <c r="M1394">
        <v>30000000</v>
      </c>
    </row>
    <row r="1395" spans="1:13" x14ac:dyDescent="0.3">
      <c r="A1395" s="23">
        <v>45363</v>
      </c>
      <c r="B1395" t="s">
        <v>13</v>
      </c>
      <c r="C1395" t="s">
        <v>132</v>
      </c>
      <c r="D1395" t="s">
        <v>16</v>
      </c>
      <c r="E1395" t="s">
        <v>169</v>
      </c>
      <c r="F1395">
        <v>30000000</v>
      </c>
      <c r="G1395" t="s">
        <v>131</v>
      </c>
      <c r="H1395" t="s">
        <v>81</v>
      </c>
      <c r="I1395" t="s">
        <v>9</v>
      </c>
      <c r="L1395" t="s">
        <v>161</v>
      </c>
      <c r="M1395">
        <v>30000000</v>
      </c>
    </row>
    <row r="1396" spans="1:13" x14ac:dyDescent="0.3">
      <c r="A1396" s="23">
        <v>44916</v>
      </c>
      <c r="B1396" t="s">
        <v>13</v>
      </c>
      <c r="C1396" t="s">
        <v>132</v>
      </c>
      <c r="D1396" t="s">
        <v>16</v>
      </c>
      <c r="E1396" t="s">
        <v>41</v>
      </c>
      <c r="F1396">
        <v>30300000</v>
      </c>
      <c r="G1396" t="s">
        <v>26</v>
      </c>
      <c r="H1396" t="s">
        <v>81</v>
      </c>
      <c r="I1396" t="s">
        <v>9</v>
      </c>
      <c r="L1396" t="s">
        <v>161</v>
      </c>
      <c r="M1396">
        <v>30300000</v>
      </c>
    </row>
    <row r="1397" spans="1:13" x14ac:dyDescent="0.3">
      <c r="A1397" s="23">
        <v>44937</v>
      </c>
      <c r="B1397" t="s">
        <v>13</v>
      </c>
      <c r="C1397" t="s">
        <v>132</v>
      </c>
      <c r="D1397" t="s">
        <v>16</v>
      </c>
      <c r="E1397" t="s">
        <v>48</v>
      </c>
      <c r="F1397">
        <v>30300000</v>
      </c>
      <c r="G1397" t="s">
        <v>29</v>
      </c>
      <c r="H1397" t="s">
        <v>81</v>
      </c>
      <c r="I1397" t="s">
        <v>9</v>
      </c>
      <c r="L1397" t="s">
        <v>161</v>
      </c>
      <c r="M1397">
        <v>30300000</v>
      </c>
    </row>
    <row r="1398" spans="1:13" x14ac:dyDescent="0.3">
      <c r="A1398" s="23">
        <v>45595</v>
      </c>
      <c r="B1398" t="s">
        <v>13</v>
      </c>
      <c r="C1398" t="s">
        <v>132</v>
      </c>
      <c r="D1398" t="s">
        <v>16</v>
      </c>
      <c r="E1398" t="s">
        <v>41</v>
      </c>
      <c r="F1398">
        <v>30400000</v>
      </c>
      <c r="G1398" t="s">
        <v>26</v>
      </c>
      <c r="H1398" t="s">
        <v>81</v>
      </c>
      <c r="I1398" t="s">
        <v>9</v>
      </c>
      <c r="L1398" t="s">
        <v>161</v>
      </c>
      <c r="M1398">
        <v>30400000</v>
      </c>
    </row>
    <row r="1399" spans="1:13" x14ac:dyDescent="0.3">
      <c r="A1399" s="23">
        <v>45142</v>
      </c>
      <c r="B1399" t="s">
        <v>13</v>
      </c>
      <c r="C1399" t="s">
        <v>132</v>
      </c>
      <c r="D1399" t="s">
        <v>16</v>
      </c>
      <c r="E1399" t="s">
        <v>41</v>
      </c>
      <c r="F1399">
        <v>30900000</v>
      </c>
      <c r="G1399" t="s">
        <v>26</v>
      </c>
      <c r="H1399" t="s">
        <v>81</v>
      </c>
      <c r="I1399" t="s">
        <v>9</v>
      </c>
      <c r="L1399" t="s">
        <v>161</v>
      </c>
      <c r="M1399">
        <v>30900000</v>
      </c>
    </row>
    <row r="1400" spans="1:13" x14ac:dyDescent="0.3">
      <c r="A1400" s="23">
        <v>45427</v>
      </c>
      <c r="B1400" t="s">
        <v>13</v>
      </c>
      <c r="C1400" t="s">
        <v>132</v>
      </c>
      <c r="D1400" t="s">
        <v>16</v>
      </c>
      <c r="E1400" t="s">
        <v>48</v>
      </c>
      <c r="F1400">
        <v>31000000</v>
      </c>
      <c r="G1400" t="s">
        <v>29</v>
      </c>
      <c r="H1400" t="s">
        <v>81</v>
      </c>
      <c r="I1400" t="s">
        <v>9</v>
      </c>
      <c r="L1400" t="s">
        <v>161</v>
      </c>
      <c r="M1400">
        <v>31000000</v>
      </c>
    </row>
    <row r="1401" spans="1:13" x14ac:dyDescent="0.3">
      <c r="A1401" s="23">
        <v>44824</v>
      </c>
      <c r="B1401" t="s">
        <v>13</v>
      </c>
      <c r="C1401" t="s">
        <v>132</v>
      </c>
      <c r="D1401" t="s">
        <v>16</v>
      </c>
      <c r="E1401" t="s">
        <v>48</v>
      </c>
      <c r="F1401">
        <v>31000000</v>
      </c>
      <c r="G1401" t="s">
        <v>29</v>
      </c>
      <c r="H1401" t="s">
        <v>81</v>
      </c>
      <c r="I1401" t="s">
        <v>9</v>
      </c>
      <c r="L1401" t="s">
        <v>161</v>
      </c>
      <c r="M1401">
        <v>31000000</v>
      </c>
    </row>
    <row r="1402" spans="1:13" x14ac:dyDescent="0.3">
      <c r="A1402" s="23">
        <v>45572</v>
      </c>
      <c r="B1402" t="s">
        <v>13</v>
      </c>
      <c r="C1402" t="s">
        <v>132</v>
      </c>
      <c r="D1402" t="s">
        <v>16</v>
      </c>
      <c r="E1402" t="s">
        <v>41</v>
      </c>
      <c r="F1402">
        <v>31100000</v>
      </c>
      <c r="G1402" t="s">
        <v>26</v>
      </c>
      <c r="H1402" t="s">
        <v>81</v>
      </c>
      <c r="I1402" t="s">
        <v>9</v>
      </c>
      <c r="L1402" t="s">
        <v>161</v>
      </c>
      <c r="M1402">
        <v>31100000</v>
      </c>
    </row>
    <row r="1403" spans="1:13" x14ac:dyDescent="0.3">
      <c r="A1403" s="23">
        <v>44790</v>
      </c>
      <c r="B1403" t="s">
        <v>13</v>
      </c>
      <c r="C1403" t="s">
        <v>143</v>
      </c>
      <c r="D1403" t="s">
        <v>16</v>
      </c>
      <c r="E1403" t="s">
        <v>149</v>
      </c>
      <c r="F1403">
        <v>31171455.52</v>
      </c>
      <c r="G1403" t="s">
        <v>140</v>
      </c>
      <c r="H1403" t="s">
        <v>81</v>
      </c>
      <c r="I1403" t="s">
        <v>9</v>
      </c>
      <c r="J1403" t="s">
        <v>156</v>
      </c>
      <c r="L1403" t="s">
        <v>226</v>
      </c>
      <c r="M1403">
        <v>31171455.52</v>
      </c>
    </row>
    <row r="1404" spans="1:13" x14ac:dyDescent="0.3">
      <c r="A1404" s="23">
        <v>44691</v>
      </c>
      <c r="B1404" t="s">
        <v>13</v>
      </c>
      <c r="C1404" t="s">
        <v>132</v>
      </c>
      <c r="D1404" t="s">
        <v>16</v>
      </c>
      <c r="E1404" t="s">
        <v>139</v>
      </c>
      <c r="F1404">
        <v>31250000</v>
      </c>
      <c r="G1404" t="s">
        <v>140</v>
      </c>
      <c r="H1404" t="s">
        <v>81</v>
      </c>
      <c r="I1404" t="s">
        <v>9</v>
      </c>
      <c r="L1404" t="s">
        <v>161</v>
      </c>
      <c r="M1404">
        <v>31250000</v>
      </c>
    </row>
    <row r="1405" spans="1:13" x14ac:dyDescent="0.3">
      <c r="A1405" s="23">
        <v>45328</v>
      </c>
      <c r="B1405" t="s">
        <v>13</v>
      </c>
      <c r="C1405" t="s">
        <v>143</v>
      </c>
      <c r="D1405" t="s">
        <v>16</v>
      </c>
      <c r="E1405" t="s">
        <v>149</v>
      </c>
      <c r="F1405">
        <v>31533000</v>
      </c>
      <c r="G1405" t="s">
        <v>140</v>
      </c>
      <c r="H1405" t="s">
        <v>81</v>
      </c>
      <c r="I1405" t="s">
        <v>9</v>
      </c>
      <c r="M1405">
        <v>31533000</v>
      </c>
    </row>
    <row r="1406" spans="1:13" x14ac:dyDescent="0.3">
      <c r="A1406" s="23">
        <v>45169</v>
      </c>
      <c r="B1406" t="s">
        <v>13</v>
      </c>
      <c r="C1406" t="s">
        <v>132</v>
      </c>
      <c r="D1406" t="s">
        <v>16</v>
      </c>
      <c r="E1406" t="s">
        <v>45</v>
      </c>
      <c r="F1406">
        <v>31800000</v>
      </c>
      <c r="G1406" t="s">
        <v>26</v>
      </c>
      <c r="H1406" t="s">
        <v>81</v>
      </c>
      <c r="I1406" t="s">
        <v>9</v>
      </c>
      <c r="L1406" t="s">
        <v>161</v>
      </c>
      <c r="M1406">
        <v>31800000</v>
      </c>
    </row>
    <row r="1407" spans="1:13" x14ac:dyDescent="0.3">
      <c r="A1407" s="23">
        <v>44789</v>
      </c>
      <c r="B1407" t="s">
        <v>13</v>
      </c>
      <c r="C1407" t="s">
        <v>132</v>
      </c>
      <c r="D1407" t="s">
        <v>16</v>
      </c>
      <c r="E1407" t="s">
        <v>48</v>
      </c>
      <c r="F1407">
        <v>32200000</v>
      </c>
      <c r="G1407" t="s">
        <v>29</v>
      </c>
      <c r="H1407" t="s">
        <v>81</v>
      </c>
      <c r="I1407" t="s">
        <v>9</v>
      </c>
      <c r="L1407" t="s">
        <v>161</v>
      </c>
      <c r="M1407">
        <v>32200000</v>
      </c>
    </row>
    <row r="1408" spans="1:13" x14ac:dyDescent="0.3">
      <c r="A1408" s="23">
        <v>44943</v>
      </c>
      <c r="B1408" t="s">
        <v>13</v>
      </c>
      <c r="C1408" t="s">
        <v>132</v>
      </c>
      <c r="D1408" t="s">
        <v>16</v>
      </c>
      <c r="E1408" t="s">
        <v>41</v>
      </c>
      <c r="F1408">
        <v>32300000</v>
      </c>
      <c r="G1408" t="s">
        <v>26</v>
      </c>
      <c r="H1408" t="s">
        <v>81</v>
      </c>
      <c r="I1408" t="s">
        <v>9</v>
      </c>
      <c r="L1408" t="s">
        <v>161</v>
      </c>
      <c r="M1408">
        <v>32300000</v>
      </c>
    </row>
    <row r="1409" spans="1:13" x14ac:dyDescent="0.3">
      <c r="A1409" s="23">
        <v>44720</v>
      </c>
      <c r="B1409" t="s">
        <v>13</v>
      </c>
      <c r="C1409" t="s">
        <v>132</v>
      </c>
      <c r="D1409" t="s">
        <v>16</v>
      </c>
      <c r="E1409" t="s">
        <v>41</v>
      </c>
      <c r="F1409">
        <v>32500000</v>
      </c>
      <c r="G1409" t="s">
        <v>26</v>
      </c>
      <c r="H1409" t="s">
        <v>81</v>
      </c>
      <c r="I1409" t="s">
        <v>9</v>
      </c>
      <c r="L1409" t="s">
        <v>161</v>
      </c>
      <c r="M1409">
        <v>32500000</v>
      </c>
    </row>
    <row r="1410" spans="1:13" x14ac:dyDescent="0.3">
      <c r="A1410" s="23">
        <v>44767</v>
      </c>
      <c r="B1410" t="s">
        <v>13</v>
      </c>
      <c r="C1410" t="s">
        <v>132</v>
      </c>
      <c r="D1410" t="s">
        <v>16</v>
      </c>
      <c r="E1410" t="s">
        <v>41</v>
      </c>
      <c r="F1410">
        <v>33600000</v>
      </c>
      <c r="G1410" t="s">
        <v>26</v>
      </c>
      <c r="H1410" t="s">
        <v>81</v>
      </c>
      <c r="I1410" t="s">
        <v>9</v>
      </c>
      <c r="L1410" t="s">
        <v>161</v>
      </c>
      <c r="M1410">
        <v>33600000</v>
      </c>
    </row>
    <row r="1411" spans="1:13" x14ac:dyDescent="0.3">
      <c r="A1411" s="23">
        <v>45631</v>
      </c>
      <c r="B1411" t="s">
        <v>13</v>
      </c>
      <c r="C1411" t="s">
        <v>132</v>
      </c>
      <c r="D1411" t="s">
        <v>16</v>
      </c>
      <c r="E1411" t="s">
        <v>41</v>
      </c>
      <c r="F1411">
        <v>33700000</v>
      </c>
      <c r="G1411" t="s">
        <v>26</v>
      </c>
      <c r="H1411" t="s">
        <v>81</v>
      </c>
      <c r="I1411" t="s">
        <v>9</v>
      </c>
      <c r="L1411" t="s">
        <v>161</v>
      </c>
      <c r="M1411">
        <v>33700000</v>
      </c>
    </row>
    <row r="1412" spans="1:13" x14ac:dyDescent="0.3">
      <c r="A1412" s="23">
        <v>45303</v>
      </c>
      <c r="B1412" t="s">
        <v>13</v>
      </c>
      <c r="C1412" t="s">
        <v>143</v>
      </c>
      <c r="D1412" t="s">
        <v>16</v>
      </c>
      <c r="E1412" t="s">
        <v>149</v>
      </c>
      <c r="F1412">
        <v>33700843.509999998</v>
      </c>
      <c r="G1412" t="s">
        <v>140</v>
      </c>
      <c r="H1412" t="s">
        <v>81</v>
      </c>
      <c r="I1412" t="s">
        <v>9</v>
      </c>
      <c r="M1412">
        <v>33700843.509999998</v>
      </c>
    </row>
    <row r="1413" spans="1:13" x14ac:dyDescent="0.3">
      <c r="A1413" s="23">
        <v>45524</v>
      </c>
      <c r="B1413" t="s">
        <v>13</v>
      </c>
      <c r="C1413" t="s">
        <v>132</v>
      </c>
      <c r="D1413" t="s">
        <v>16</v>
      </c>
      <c r="E1413" t="s">
        <v>41</v>
      </c>
      <c r="F1413">
        <v>34000000</v>
      </c>
      <c r="G1413" t="s">
        <v>26</v>
      </c>
      <c r="H1413" t="s">
        <v>81</v>
      </c>
      <c r="I1413" t="s">
        <v>9</v>
      </c>
      <c r="L1413" t="s">
        <v>161</v>
      </c>
      <c r="M1413">
        <v>34000000</v>
      </c>
    </row>
    <row r="1414" spans="1:13" x14ac:dyDescent="0.3">
      <c r="A1414" s="23">
        <v>45132</v>
      </c>
      <c r="B1414" t="s">
        <v>13</v>
      </c>
      <c r="C1414" t="s">
        <v>132</v>
      </c>
      <c r="D1414" t="s">
        <v>16</v>
      </c>
      <c r="E1414" t="s">
        <v>48</v>
      </c>
      <c r="F1414">
        <v>34200000</v>
      </c>
      <c r="G1414" t="s">
        <v>29</v>
      </c>
      <c r="H1414" t="s">
        <v>81</v>
      </c>
      <c r="I1414" t="s">
        <v>9</v>
      </c>
      <c r="L1414" t="s">
        <v>161</v>
      </c>
      <c r="M1414">
        <v>34200000</v>
      </c>
    </row>
    <row r="1415" spans="1:13" x14ac:dyDescent="0.3">
      <c r="A1415" s="23">
        <v>45146</v>
      </c>
      <c r="B1415" t="s">
        <v>13</v>
      </c>
      <c r="C1415" t="s">
        <v>132</v>
      </c>
      <c r="D1415" t="s">
        <v>16</v>
      </c>
      <c r="E1415" t="s">
        <v>48</v>
      </c>
      <c r="F1415">
        <v>34500000</v>
      </c>
      <c r="G1415" t="s">
        <v>29</v>
      </c>
      <c r="H1415" t="s">
        <v>81</v>
      </c>
      <c r="I1415" t="s">
        <v>9</v>
      </c>
      <c r="L1415" t="s">
        <v>161</v>
      </c>
      <c r="M1415">
        <v>34500000</v>
      </c>
    </row>
    <row r="1416" spans="1:13" x14ac:dyDescent="0.3">
      <c r="A1416" s="23">
        <v>44824</v>
      </c>
      <c r="B1416" t="s">
        <v>13</v>
      </c>
      <c r="C1416" t="s">
        <v>132</v>
      </c>
      <c r="D1416" t="s">
        <v>16</v>
      </c>
      <c r="E1416" t="s">
        <v>41</v>
      </c>
      <c r="F1416">
        <v>34700000</v>
      </c>
      <c r="G1416" t="s">
        <v>26</v>
      </c>
      <c r="H1416" t="s">
        <v>81</v>
      </c>
      <c r="I1416" t="s">
        <v>9</v>
      </c>
      <c r="L1416" t="s">
        <v>161</v>
      </c>
      <c r="M1416">
        <v>34700000</v>
      </c>
    </row>
    <row r="1417" spans="1:13" x14ac:dyDescent="0.3">
      <c r="A1417" s="23">
        <v>44993</v>
      </c>
      <c r="B1417" t="s">
        <v>13</v>
      </c>
      <c r="C1417" t="s">
        <v>143</v>
      </c>
      <c r="D1417" t="s">
        <v>16</v>
      </c>
      <c r="E1417" t="s">
        <v>149</v>
      </c>
      <c r="F1417">
        <v>34721047.170000002</v>
      </c>
      <c r="G1417" t="s">
        <v>140</v>
      </c>
      <c r="H1417" t="s">
        <v>81</v>
      </c>
      <c r="I1417" t="s">
        <v>9</v>
      </c>
      <c r="J1417" s="23">
        <v>44993</v>
      </c>
      <c r="L1417" t="s">
        <v>241</v>
      </c>
      <c r="M1417">
        <v>34721047.170000002</v>
      </c>
    </row>
    <row r="1418" spans="1:13" x14ac:dyDescent="0.3">
      <c r="A1418" s="23">
        <v>44823</v>
      </c>
      <c r="B1418" t="s">
        <v>13</v>
      </c>
      <c r="C1418" t="s">
        <v>132</v>
      </c>
      <c r="D1418" t="s">
        <v>16</v>
      </c>
      <c r="E1418" t="s">
        <v>41</v>
      </c>
      <c r="F1418">
        <v>35000000</v>
      </c>
      <c r="G1418" t="s">
        <v>26</v>
      </c>
      <c r="H1418" t="s">
        <v>81</v>
      </c>
      <c r="I1418" t="s">
        <v>9</v>
      </c>
      <c r="L1418" t="s">
        <v>161</v>
      </c>
      <c r="M1418">
        <v>35000000</v>
      </c>
    </row>
    <row r="1419" spans="1:13" x14ac:dyDescent="0.3">
      <c r="A1419" s="23">
        <v>45233</v>
      </c>
      <c r="B1419" t="s">
        <v>13</v>
      </c>
      <c r="C1419" t="s">
        <v>132</v>
      </c>
      <c r="D1419" t="s">
        <v>16</v>
      </c>
      <c r="E1419" t="s">
        <v>41</v>
      </c>
      <c r="F1419">
        <v>35100000</v>
      </c>
      <c r="G1419" t="s">
        <v>26</v>
      </c>
      <c r="H1419" t="s">
        <v>81</v>
      </c>
      <c r="I1419" t="s">
        <v>9</v>
      </c>
      <c r="L1419" t="s">
        <v>161</v>
      </c>
      <c r="M1419">
        <v>35100000</v>
      </c>
    </row>
    <row r="1420" spans="1:13" x14ac:dyDescent="0.3">
      <c r="A1420" s="23">
        <v>44683</v>
      </c>
      <c r="B1420" t="s">
        <v>13</v>
      </c>
      <c r="C1420" t="s">
        <v>132</v>
      </c>
      <c r="D1420" t="s">
        <v>16</v>
      </c>
      <c r="E1420" t="s">
        <v>41</v>
      </c>
      <c r="F1420">
        <v>35300000</v>
      </c>
      <c r="G1420" t="s">
        <v>26</v>
      </c>
      <c r="H1420" t="s">
        <v>81</v>
      </c>
      <c r="I1420" t="s">
        <v>9</v>
      </c>
      <c r="L1420" t="s">
        <v>161</v>
      </c>
      <c r="M1420">
        <v>35300000</v>
      </c>
    </row>
    <row r="1421" spans="1:13" x14ac:dyDescent="0.3">
      <c r="A1421" s="23">
        <v>45260</v>
      </c>
      <c r="B1421" t="s">
        <v>13</v>
      </c>
      <c r="C1421" t="s">
        <v>132</v>
      </c>
      <c r="D1421" t="s">
        <v>16</v>
      </c>
      <c r="E1421" t="s">
        <v>169</v>
      </c>
      <c r="F1421">
        <v>35318800.729999997</v>
      </c>
      <c r="G1421" t="s">
        <v>131</v>
      </c>
      <c r="H1421" t="s">
        <v>81</v>
      </c>
      <c r="I1421" t="s">
        <v>9</v>
      </c>
      <c r="L1421" t="s">
        <v>161</v>
      </c>
      <c r="M1421">
        <v>35318800.729999997</v>
      </c>
    </row>
    <row r="1422" spans="1:13" x14ac:dyDescent="0.3">
      <c r="A1422" s="23">
        <v>45154</v>
      </c>
      <c r="B1422" t="s">
        <v>13</v>
      </c>
      <c r="C1422" t="s">
        <v>143</v>
      </c>
      <c r="D1422" t="s">
        <v>16</v>
      </c>
      <c r="E1422" t="s">
        <v>149</v>
      </c>
      <c r="F1422">
        <v>35591932.479999997</v>
      </c>
      <c r="G1422" t="s">
        <v>140</v>
      </c>
      <c r="H1422" t="s">
        <v>81</v>
      </c>
      <c r="I1422" t="s">
        <v>9</v>
      </c>
      <c r="M1422">
        <v>35591932.479999997</v>
      </c>
    </row>
    <row r="1423" spans="1:13" x14ac:dyDescent="0.3">
      <c r="A1423" s="23">
        <v>45252</v>
      </c>
      <c r="B1423" t="s">
        <v>13</v>
      </c>
      <c r="C1423" t="s">
        <v>143</v>
      </c>
      <c r="D1423" t="s">
        <v>16</v>
      </c>
      <c r="E1423" t="s">
        <v>149</v>
      </c>
      <c r="F1423">
        <v>35688633.359999999</v>
      </c>
      <c r="G1423" t="s">
        <v>140</v>
      </c>
      <c r="H1423" t="s">
        <v>81</v>
      </c>
      <c r="I1423" t="s">
        <v>9</v>
      </c>
      <c r="M1423">
        <v>35688633.359999999</v>
      </c>
    </row>
    <row r="1424" spans="1:13" x14ac:dyDescent="0.3">
      <c r="A1424" s="23">
        <v>44756</v>
      </c>
      <c r="B1424" t="s">
        <v>13</v>
      </c>
      <c r="C1424" t="s">
        <v>132</v>
      </c>
      <c r="D1424" t="s">
        <v>16</v>
      </c>
      <c r="E1424" t="s">
        <v>48</v>
      </c>
      <c r="F1424">
        <v>35800000</v>
      </c>
      <c r="G1424" t="s">
        <v>29</v>
      </c>
      <c r="H1424" t="s">
        <v>81</v>
      </c>
      <c r="I1424" t="s">
        <v>9</v>
      </c>
      <c r="L1424" t="s">
        <v>161</v>
      </c>
      <c r="M1424">
        <v>35800000</v>
      </c>
    </row>
    <row r="1425" spans="1:13" x14ac:dyDescent="0.3">
      <c r="A1425" s="23">
        <v>44823</v>
      </c>
      <c r="B1425" t="s">
        <v>13</v>
      </c>
      <c r="C1425" t="s">
        <v>132</v>
      </c>
      <c r="D1425" t="s">
        <v>16</v>
      </c>
      <c r="E1425" t="s">
        <v>48</v>
      </c>
      <c r="F1425">
        <v>36400000</v>
      </c>
      <c r="G1425" t="s">
        <v>29</v>
      </c>
      <c r="H1425" t="s">
        <v>81</v>
      </c>
      <c r="I1425" t="s">
        <v>9</v>
      </c>
      <c r="L1425" t="s">
        <v>161</v>
      </c>
      <c r="M1425">
        <v>36400000</v>
      </c>
    </row>
    <row r="1426" spans="1:13" x14ac:dyDescent="0.3">
      <c r="A1426" s="23">
        <v>45666</v>
      </c>
      <c r="B1426" t="s">
        <v>13</v>
      </c>
      <c r="C1426" t="s">
        <v>132</v>
      </c>
      <c r="D1426" t="s">
        <v>16</v>
      </c>
      <c r="E1426" t="s">
        <v>48</v>
      </c>
      <c r="F1426">
        <v>37100000</v>
      </c>
      <c r="G1426" t="s">
        <v>29</v>
      </c>
      <c r="H1426" t="s">
        <v>81</v>
      </c>
      <c r="I1426" t="s">
        <v>9</v>
      </c>
      <c r="L1426" t="s">
        <v>161</v>
      </c>
      <c r="M1426">
        <v>37100000</v>
      </c>
    </row>
    <row r="1427" spans="1:13" x14ac:dyDescent="0.3">
      <c r="A1427" s="23">
        <v>44762</v>
      </c>
      <c r="B1427" t="s">
        <v>13</v>
      </c>
      <c r="C1427" t="s">
        <v>132</v>
      </c>
      <c r="D1427" t="s">
        <v>16</v>
      </c>
      <c r="E1427" t="s">
        <v>41</v>
      </c>
      <c r="F1427">
        <v>37200000</v>
      </c>
      <c r="G1427" t="s">
        <v>26</v>
      </c>
      <c r="H1427" t="s">
        <v>81</v>
      </c>
      <c r="I1427" t="s">
        <v>9</v>
      </c>
      <c r="L1427" t="s">
        <v>161</v>
      </c>
      <c r="M1427">
        <v>37200000</v>
      </c>
    </row>
    <row r="1428" spans="1:13" x14ac:dyDescent="0.3">
      <c r="A1428" s="23">
        <v>45329</v>
      </c>
      <c r="B1428" t="s">
        <v>13</v>
      </c>
      <c r="C1428" t="s">
        <v>132</v>
      </c>
      <c r="D1428" t="s">
        <v>16</v>
      </c>
      <c r="E1428" t="s">
        <v>46</v>
      </c>
      <c r="F1428">
        <v>37700000</v>
      </c>
      <c r="G1428" t="s">
        <v>28</v>
      </c>
      <c r="H1428" t="s">
        <v>81</v>
      </c>
      <c r="I1428" t="s">
        <v>9</v>
      </c>
      <c r="L1428" t="s">
        <v>161</v>
      </c>
      <c r="M1428">
        <v>37700000</v>
      </c>
    </row>
    <row r="1429" spans="1:13" x14ac:dyDescent="0.3">
      <c r="A1429" s="23">
        <v>45469</v>
      </c>
      <c r="B1429" t="s">
        <v>13</v>
      </c>
      <c r="C1429" t="s">
        <v>132</v>
      </c>
      <c r="D1429" t="s">
        <v>16</v>
      </c>
      <c r="E1429" t="s">
        <v>48</v>
      </c>
      <c r="F1429">
        <v>38000000</v>
      </c>
      <c r="G1429" t="s">
        <v>29</v>
      </c>
      <c r="H1429" t="s">
        <v>81</v>
      </c>
      <c r="I1429" t="s">
        <v>9</v>
      </c>
      <c r="L1429" t="s">
        <v>161</v>
      </c>
      <c r="M1429">
        <v>38000000</v>
      </c>
    </row>
    <row r="1430" spans="1:13" x14ac:dyDescent="0.3">
      <c r="A1430" s="23">
        <v>44819</v>
      </c>
      <c r="B1430" t="s">
        <v>13</v>
      </c>
      <c r="C1430" t="s">
        <v>132</v>
      </c>
      <c r="D1430" t="s">
        <v>16</v>
      </c>
      <c r="E1430" t="s">
        <v>48</v>
      </c>
      <c r="F1430">
        <v>38300000</v>
      </c>
      <c r="G1430" t="s">
        <v>29</v>
      </c>
      <c r="H1430" t="s">
        <v>81</v>
      </c>
      <c r="I1430" t="s">
        <v>9</v>
      </c>
      <c r="L1430" t="s">
        <v>161</v>
      </c>
      <c r="M1430">
        <v>38300000</v>
      </c>
    </row>
    <row r="1431" spans="1:13" x14ac:dyDescent="0.3">
      <c r="A1431" s="23">
        <v>45181</v>
      </c>
      <c r="B1431" t="s">
        <v>13</v>
      </c>
      <c r="C1431" t="s">
        <v>132</v>
      </c>
      <c r="D1431" t="s">
        <v>16</v>
      </c>
      <c r="E1431" t="s">
        <v>41</v>
      </c>
      <c r="F1431">
        <v>39100000</v>
      </c>
      <c r="G1431" t="s">
        <v>26</v>
      </c>
      <c r="H1431" t="s">
        <v>81</v>
      </c>
      <c r="I1431" t="s">
        <v>9</v>
      </c>
      <c r="L1431" t="s">
        <v>161</v>
      </c>
      <c r="M1431">
        <v>39100000</v>
      </c>
    </row>
    <row r="1432" spans="1:13" x14ac:dyDescent="0.3">
      <c r="A1432" s="23">
        <v>45461</v>
      </c>
      <c r="B1432" t="s">
        <v>13</v>
      </c>
      <c r="C1432" t="s">
        <v>143</v>
      </c>
      <c r="D1432" t="s">
        <v>16</v>
      </c>
      <c r="E1432" t="s">
        <v>149</v>
      </c>
      <c r="F1432">
        <v>39180485</v>
      </c>
      <c r="G1432" t="s">
        <v>140</v>
      </c>
      <c r="H1432" t="s">
        <v>81</v>
      </c>
      <c r="I1432" t="s">
        <v>9</v>
      </c>
      <c r="M1432">
        <v>39180485</v>
      </c>
    </row>
    <row r="1433" spans="1:13" x14ac:dyDescent="0.3">
      <c r="A1433" s="23">
        <v>45240</v>
      </c>
      <c r="B1433" t="s">
        <v>13</v>
      </c>
      <c r="C1433" t="s">
        <v>143</v>
      </c>
      <c r="D1433" t="s">
        <v>16</v>
      </c>
      <c r="E1433" t="s">
        <v>149</v>
      </c>
      <c r="F1433">
        <v>39680385.859999999</v>
      </c>
      <c r="G1433" t="s">
        <v>140</v>
      </c>
      <c r="H1433" t="s">
        <v>81</v>
      </c>
      <c r="I1433" t="s">
        <v>9</v>
      </c>
      <c r="M1433">
        <v>39680385.859999999</v>
      </c>
    </row>
    <row r="1434" spans="1:13" x14ac:dyDescent="0.3">
      <c r="A1434" s="23">
        <v>45321</v>
      </c>
      <c r="B1434" t="s">
        <v>13</v>
      </c>
      <c r="C1434" t="s">
        <v>132</v>
      </c>
      <c r="D1434" t="s">
        <v>16</v>
      </c>
      <c r="E1434" t="s">
        <v>46</v>
      </c>
      <c r="F1434">
        <v>39900000</v>
      </c>
      <c r="G1434" t="s">
        <v>28</v>
      </c>
      <c r="H1434" t="s">
        <v>81</v>
      </c>
      <c r="I1434" t="s">
        <v>9</v>
      </c>
      <c r="L1434" t="s">
        <v>161</v>
      </c>
      <c r="M1434">
        <v>39900000</v>
      </c>
    </row>
    <row r="1435" spans="1:13" x14ac:dyDescent="0.3">
      <c r="A1435" s="23">
        <v>45218</v>
      </c>
      <c r="B1435" t="s">
        <v>13</v>
      </c>
      <c r="C1435" t="s">
        <v>132</v>
      </c>
      <c r="D1435" t="s">
        <v>16</v>
      </c>
      <c r="E1435" t="s">
        <v>41</v>
      </c>
      <c r="F1435">
        <v>40000000</v>
      </c>
      <c r="G1435" t="s">
        <v>26</v>
      </c>
      <c r="H1435" t="s">
        <v>81</v>
      </c>
      <c r="I1435" t="s">
        <v>9</v>
      </c>
      <c r="L1435" t="s">
        <v>161</v>
      </c>
      <c r="M1435">
        <v>40000000</v>
      </c>
    </row>
    <row r="1436" spans="1:13" x14ac:dyDescent="0.3">
      <c r="A1436" s="23">
        <v>45343</v>
      </c>
      <c r="B1436" t="s">
        <v>13</v>
      </c>
      <c r="C1436" t="s">
        <v>132</v>
      </c>
      <c r="D1436" t="s">
        <v>16</v>
      </c>
      <c r="E1436" t="s">
        <v>136</v>
      </c>
      <c r="F1436">
        <v>40200000</v>
      </c>
      <c r="G1436" t="s">
        <v>134</v>
      </c>
      <c r="H1436" t="s">
        <v>81</v>
      </c>
      <c r="I1436" t="s">
        <v>9</v>
      </c>
      <c r="L1436" t="s">
        <v>161</v>
      </c>
      <c r="M1436">
        <v>40200000</v>
      </c>
    </row>
    <row r="1437" spans="1:13" x14ac:dyDescent="0.3">
      <c r="A1437" s="23">
        <v>45139</v>
      </c>
      <c r="B1437" t="s">
        <v>13</v>
      </c>
      <c r="C1437" t="s">
        <v>143</v>
      </c>
      <c r="D1437" t="s">
        <v>16</v>
      </c>
      <c r="E1437" t="s">
        <v>149</v>
      </c>
      <c r="F1437">
        <v>40669332.939999998</v>
      </c>
      <c r="G1437" t="s">
        <v>140</v>
      </c>
      <c r="H1437" t="s">
        <v>81</v>
      </c>
      <c r="I1437" t="s">
        <v>9</v>
      </c>
      <c r="M1437">
        <v>40669332.939999998</v>
      </c>
    </row>
    <row r="1438" spans="1:13" x14ac:dyDescent="0.3">
      <c r="A1438" s="23">
        <v>45722</v>
      </c>
      <c r="B1438" t="s">
        <v>13</v>
      </c>
      <c r="C1438" t="s">
        <v>132</v>
      </c>
      <c r="D1438" t="s">
        <v>16</v>
      </c>
      <c r="E1438" t="s">
        <v>41</v>
      </c>
      <c r="F1438">
        <v>41200000</v>
      </c>
      <c r="G1438" t="s">
        <v>26</v>
      </c>
      <c r="H1438" t="s">
        <v>81</v>
      </c>
      <c r="I1438" t="s">
        <v>9</v>
      </c>
      <c r="L1438" t="s">
        <v>161</v>
      </c>
      <c r="M1438">
        <v>41200000</v>
      </c>
    </row>
    <row r="1439" spans="1:13" x14ac:dyDescent="0.3">
      <c r="A1439" s="23">
        <v>45684</v>
      </c>
      <c r="B1439" t="s">
        <v>13</v>
      </c>
      <c r="C1439" t="s">
        <v>132</v>
      </c>
      <c r="D1439" t="s">
        <v>16</v>
      </c>
      <c r="E1439" t="s">
        <v>48</v>
      </c>
      <c r="F1439">
        <v>41600000</v>
      </c>
      <c r="G1439" t="s">
        <v>29</v>
      </c>
      <c r="H1439" t="s">
        <v>81</v>
      </c>
      <c r="I1439" t="s">
        <v>9</v>
      </c>
      <c r="L1439" t="s">
        <v>161</v>
      </c>
      <c r="M1439">
        <v>41600000</v>
      </c>
    </row>
    <row r="1440" spans="1:13" x14ac:dyDescent="0.3">
      <c r="A1440" s="23">
        <v>44796</v>
      </c>
      <c r="B1440" t="s">
        <v>13</v>
      </c>
      <c r="C1440" t="s">
        <v>132</v>
      </c>
      <c r="D1440" t="s">
        <v>16</v>
      </c>
      <c r="E1440" t="s">
        <v>41</v>
      </c>
      <c r="F1440">
        <v>42300000</v>
      </c>
      <c r="G1440" t="s">
        <v>26</v>
      </c>
      <c r="H1440" t="s">
        <v>81</v>
      </c>
      <c r="I1440" t="s">
        <v>9</v>
      </c>
      <c r="L1440" t="s">
        <v>161</v>
      </c>
      <c r="M1440">
        <v>42300000</v>
      </c>
    </row>
    <row r="1441" spans="1:13" x14ac:dyDescent="0.3">
      <c r="A1441" s="23">
        <v>45408</v>
      </c>
      <c r="B1441" t="s">
        <v>13</v>
      </c>
      <c r="C1441" t="s">
        <v>132</v>
      </c>
      <c r="D1441" t="s">
        <v>16</v>
      </c>
      <c r="E1441" t="s">
        <v>180</v>
      </c>
      <c r="F1441">
        <v>43330662</v>
      </c>
      <c r="G1441" t="s">
        <v>181</v>
      </c>
      <c r="H1441" t="s">
        <v>81</v>
      </c>
      <c r="I1441" t="s">
        <v>9</v>
      </c>
      <c r="L1441" t="s">
        <v>161</v>
      </c>
      <c r="M1441">
        <v>43330662</v>
      </c>
    </row>
    <row r="1442" spans="1:13" x14ac:dyDescent="0.3">
      <c r="A1442" s="23">
        <v>45716</v>
      </c>
      <c r="B1442" t="s">
        <v>13</v>
      </c>
      <c r="C1442" t="s">
        <v>132</v>
      </c>
      <c r="D1442" t="s">
        <v>16</v>
      </c>
      <c r="E1442" t="s">
        <v>193</v>
      </c>
      <c r="F1442">
        <v>44000000</v>
      </c>
      <c r="G1442" t="s">
        <v>131</v>
      </c>
      <c r="H1442" t="s">
        <v>81</v>
      </c>
      <c r="I1442" t="s">
        <v>9</v>
      </c>
      <c r="L1442" t="s">
        <v>161</v>
      </c>
      <c r="M1442">
        <v>44000000</v>
      </c>
    </row>
    <row r="1443" spans="1:13" x14ac:dyDescent="0.3">
      <c r="A1443" s="23">
        <v>45090</v>
      </c>
      <c r="B1443" t="s">
        <v>13</v>
      </c>
      <c r="C1443" t="s">
        <v>132</v>
      </c>
      <c r="D1443" t="s">
        <v>16</v>
      </c>
      <c r="E1443" t="s">
        <v>41</v>
      </c>
      <c r="F1443">
        <v>44100000</v>
      </c>
      <c r="G1443" t="s">
        <v>26</v>
      </c>
      <c r="H1443" t="s">
        <v>81</v>
      </c>
      <c r="I1443" t="s">
        <v>9</v>
      </c>
      <c r="L1443" t="s">
        <v>161</v>
      </c>
      <c r="M1443">
        <v>44100000</v>
      </c>
    </row>
    <row r="1444" spans="1:13" x14ac:dyDescent="0.3">
      <c r="A1444" s="23">
        <v>45295</v>
      </c>
      <c r="B1444" t="s">
        <v>13</v>
      </c>
      <c r="C1444" t="s">
        <v>143</v>
      </c>
      <c r="D1444" t="s">
        <v>16</v>
      </c>
      <c r="E1444" t="s">
        <v>149</v>
      </c>
      <c r="F1444">
        <v>44522642.82</v>
      </c>
      <c r="G1444" t="s">
        <v>140</v>
      </c>
      <c r="H1444" t="s">
        <v>81</v>
      </c>
      <c r="I1444" t="s">
        <v>9</v>
      </c>
      <c r="M1444">
        <v>44522642.82</v>
      </c>
    </row>
    <row r="1445" spans="1:13" x14ac:dyDescent="0.3">
      <c r="A1445" s="23">
        <v>44916</v>
      </c>
      <c r="B1445" t="s">
        <v>13</v>
      </c>
      <c r="C1445" t="s">
        <v>132</v>
      </c>
      <c r="D1445" t="s">
        <v>16</v>
      </c>
      <c r="E1445" t="s">
        <v>48</v>
      </c>
      <c r="F1445">
        <v>44600000</v>
      </c>
      <c r="G1445" t="s">
        <v>29</v>
      </c>
      <c r="H1445" t="s">
        <v>81</v>
      </c>
      <c r="I1445" t="s">
        <v>9</v>
      </c>
      <c r="L1445" t="s">
        <v>161</v>
      </c>
      <c r="M1445">
        <v>44600000</v>
      </c>
    </row>
    <row r="1446" spans="1:13" x14ac:dyDescent="0.3">
      <c r="A1446" s="23">
        <v>45034</v>
      </c>
      <c r="B1446" t="s">
        <v>13</v>
      </c>
      <c r="C1446" t="s">
        <v>132</v>
      </c>
      <c r="D1446" t="s">
        <v>16</v>
      </c>
      <c r="E1446" t="s">
        <v>41</v>
      </c>
      <c r="F1446">
        <v>44700000</v>
      </c>
      <c r="G1446" t="s">
        <v>26</v>
      </c>
      <c r="H1446" t="s">
        <v>81</v>
      </c>
      <c r="I1446" t="s">
        <v>9</v>
      </c>
      <c r="L1446" t="s">
        <v>161</v>
      </c>
      <c r="M1446">
        <v>44700000</v>
      </c>
    </row>
    <row r="1447" spans="1:13" x14ac:dyDescent="0.3">
      <c r="A1447" s="23">
        <v>44923</v>
      </c>
      <c r="B1447" t="s">
        <v>13</v>
      </c>
      <c r="C1447" t="s">
        <v>132</v>
      </c>
      <c r="D1447" t="s">
        <v>16</v>
      </c>
      <c r="E1447" t="s">
        <v>48</v>
      </c>
      <c r="F1447">
        <v>44800000</v>
      </c>
      <c r="G1447" t="s">
        <v>29</v>
      </c>
      <c r="H1447" t="s">
        <v>81</v>
      </c>
      <c r="I1447" t="s">
        <v>9</v>
      </c>
      <c r="L1447" t="s">
        <v>161</v>
      </c>
      <c r="M1447">
        <v>44800000</v>
      </c>
    </row>
    <row r="1448" spans="1:13" x14ac:dyDescent="0.3">
      <c r="A1448" s="23">
        <v>45638</v>
      </c>
      <c r="B1448" t="s">
        <v>13</v>
      </c>
      <c r="C1448" t="s">
        <v>132</v>
      </c>
      <c r="D1448" t="s">
        <v>16</v>
      </c>
      <c r="E1448" t="s">
        <v>41</v>
      </c>
      <c r="F1448">
        <v>45500000</v>
      </c>
      <c r="G1448" t="s">
        <v>26</v>
      </c>
      <c r="H1448" t="s">
        <v>81</v>
      </c>
      <c r="I1448" t="s">
        <v>9</v>
      </c>
      <c r="L1448" t="s">
        <v>161</v>
      </c>
      <c r="M1448">
        <v>45500000</v>
      </c>
    </row>
    <row r="1449" spans="1:13" x14ac:dyDescent="0.3">
      <c r="A1449" s="23">
        <v>45287</v>
      </c>
      <c r="B1449" t="s">
        <v>13</v>
      </c>
      <c r="C1449" t="s">
        <v>132</v>
      </c>
      <c r="D1449" t="s">
        <v>16</v>
      </c>
      <c r="E1449" t="s">
        <v>41</v>
      </c>
      <c r="F1449">
        <v>45500000</v>
      </c>
      <c r="G1449" t="s">
        <v>26</v>
      </c>
      <c r="H1449" t="s">
        <v>81</v>
      </c>
      <c r="I1449" t="s">
        <v>9</v>
      </c>
      <c r="L1449" t="s">
        <v>161</v>
      </c>
      <c r="M1449">
        <v>45500000</v>
      </c>
    </row>
    <row r="1450" spans="1:13" x14ac:dyDescent="0.3">
      <c r="A1450" s="23">
        <v>45007</v>
      </c>
      <c r="B1450" t="s">
        <v>13</v>
      </c>
      <c r="C1450" t="s">
        <v>132</v>
      </c>
      <c r="D1450" t="s">
        <v>16</v>
      </c>
      <c r="E1450" t="s">
        <v>48</v>
      </c>
      <c r="F1450">
        <v>47000000</v>
      </c>
      <c r="G1450" t="s">
        <v>29</v>
      </c>
      <c r="H1450" t="s">
        <v>81</v>
      </c>
      <c r="I1450" t="s">
        <v>9</v>
      </c>
      <c r="L1450" t="s">
        <v>161</v>
      </c>
      <c r="M1450">
        <v>47000000</v>
      </c>
    </row>
    <row r="1451" spans="1:13" x14ac:dyDescent="0.3">
      <c r="A1451" s="23">
        <v>44985</v>
      </c>
      <c r="B1451" t="s">
        <v>13</v>
      </c>
      <c r="C1451" t="s">
        <v>132</v>
      </c>
      <c r="D1451" t="s">
        <v>16</v>
      </c>
      <c r="E1451" t="s">
        <v>41</v>
      </c>
      <c r="F1451">
        <v>47300000</v>
      </c>
      <c r="G1451" t="s">
        <v>26</v>
      </c>
      <c r="H1451" t="s">
        <v>81</v>
      </c>
      <c r="I1451" t="s">
        <v>9</v>
      </c>
      <c r="L1451" t="s">
        <v>161</v>
      </c>
      <c r="M1451">
        <v>47300000</v>
      </c>
    </row>
    <row r="1452" spans="1:13" x14ac:dyDescent="0.3">
      <c r="A1452" s="23">
        <v>45033</v>
      </c>
      <c r="B1452" t="s">
        <v>13</v>
      </c>
      <c r="C1452" t="s">
        <v>132</v>
      </c>
      <c r="D1452" t="s">
        <v>16</v>
      </c>
      <c r="E1452" t="s">
        <v>41</v>
      </c>
      <c r="F1452">
        <v>47300000</v>
      </c>
      <c r="G1452" t="s">
        <v>26</v>
      </c>
      <c r="H1452" t="s">
        <v>81</v>
      </c>
      <c r="I1452" t="s">
        <v>9</v>
      </c>
      <c r="L1452" t="s">
        <v>161</v>
      </c>
      <c r="M1452">
        <v>47300000</v>
      </c>
    </row>
    <row r="1453" spans="1:13" x14ac:dyDescent="0.3">
      <c r="A1453" s="23">
        <v>45093</v>
      </c>
      <c r="B1453" t="s">
        <v>13</v>
      </c>
      <c r="C1453" t="s">
        <v>132</v>
      </c>
      <c r="D1453" t="s">
        <v>16</v>
      </c>
      <c r="E1453" t="s">
        <v>136</v>
      </c>
      <c r="F1453">
        <v>47421233.240000002</v>
      </c>
      <c r="G1453" t="s">
        <v>134</v>
      </c>
      <c r="H1453" t="s">
        <v>81</v>
      </c>
      <c r="I1453" t="s">
        <v>9</v>
      </c>
      <c r="L1453" t="s">
        <v>161</v>
      </c>
      <c r="M1453">
        <v>47421233.240000002</v>
      </c>
    </row>
    <row r="1454" spans="1:13" x14ac:dyDescent="0.3">
      <c r="A1454" s="23">
        <v>44799</v>
      </c>
      <c r="B1454" t="s">
        <v>13</v>
      </c>
      <c r="C1454" t="s">
        <v>132</v>
      </c>
      <c r="D1454" t="s">
        <v>16</v>
      </c>
      <c r="E1454" t="s">
        <v>41</v>
      </c>
      <c r="F1454">
        <v>47700000</v>
      </c>
      <c r="G1454" t="s">
        <v>26</v>
      </c>
      <c r="H1454" t="s">
        <v>81</v>
      </c>
      <c r="I1454" t="s">
        <v>9</v>
      </c>
      <c r="L1454" t="s">
        <v>161</v>
      </c>
      <c r="M1454">
        <v>47700000</v>
      </c>
    </row>
    <row r="1455" spans="1:13" x14ac:dyDescent="0.3">
      <c r="A1455" s="23">
        <v>45272</v>
      </c>
      <c r="B1455" t="s">
        <v>13</v>
      </c>
      <c r="C1455" t="s">
        <v>132</v>
      </c>
      <c r="D1455" t="s">
        <v>16</v>
      </c>
      <c r="E1455" t="s">
        <v>48</v>
      </c>
      <c r="F1455">
        <v>47900000</v>
      </c>
      <c r="G1455" t="s">
        <v>29</v>
      </c>
      <c r="H1455" t="s">
        <v>81</v>
      </c>
      <c r="I1455" t="s">
        <v>9</v>
      </c>
      <c r="L1455" t="s">
        <v>161</v>
      </c>
      <c r="M1455">
        <v>47900000</v>
      </c>
    </row>
    <row r="1456" spans="1:13" x14ac:dyDescent="0.3">
      <c r="A1456" s="23">
        <v>45734</v>
      </c>
      <c r="B1456" t="s">
        <v>13</v>
      </c>
      <c r="C1456" t="s">
        <v>132</v>
      </c>
      <c r="D1456" t="s">
        <v>16</v>
      </c>
      <c r="E1456" t="s">
        <v>41</v>
      </c>
      <c r="F1456">
        <v>48200000</v>
      </c>
      <c r="G1456" t="s">
        <v>26</v>
      </c>
      <c r="H1456" t="s">
        <v>81</v>
      </c>
      <c r="I1456" t="s">
        <v>9</v>
      </c>
      <c r="L1456" t="s">
        <v>161</v>
      </c>
      <c r="M1456">
        <v>48200000</v>
      </c>
    </row>
    <row r="1457" spans="1:13" x14ac:dyDescent="0.3">
      <c r="A1457" s="23">
        <v>45552</v>
      </c>
      <c r="B1457" t="s">
        <v>13</v>
      </c>
      <c r="C1457" t="s">
        <v>132</v>
      </c>
      <c r="D1457" t="s">
        <v>16</v>
      </c>
      <c r="E1457" t="s">
        <v>46</v>
      </c>
      <c r="F1457">
        <v>48200000</v>
      </c>
      <c r="G1457" t="s">
        <v>28</v>
      </c>
      <c r="H1457" t="s">
        <v>81</v>
      </c>
      <c r="I1457" t="s">
        <v>9</v>
      </c>
      <c r="L1457" t="s">
        <v>161</v>
      </c>
      <c r="M1457">
        <v>48200000</v>
      </c>
    </row>
    <row r="1458" spans="1:13" x14ac:dyDescent="0.3">
      <c r="A1458" s="23">
        <v>45728</v>
      </c>
      <c r="B1458" t="s">
        <v>13</v>
      </c>
      <c r="C1458" t="s">
        <v>132</v>
      </c>
      <c r="D1458" t="s">
        <v>16</v>
      </c>
      <c r="E1458" t="s">
        <v>41</v>
      </c>
      <c r="F1458">
        <v>48800000</v>
      </c>
      <c r="G1458" t="s">
        <v>26</v>
      </c>
      <c r="H1458" t="s">
        <v>81</v>
      </c>
      <c r="I1458" t="s">
        <v>9</v>
      </c>
      <c r="L1458" t="s">
        <v>161</v>
      </c>
      <c r="M1458">
        <v>48800000</v>
      </c>
    </row>
    <row r="1459" spans="1:13" x14ac:dyDescent="0.3">
      <c r="A1459" s="23">
        <v>45553</v>
      </c>
      <c r="B1459" t="s">
        <v>13</v>
      </c>
      <c r="C1459" t="s">
        <v>132</v>
      </c>
      <c r="D1459" t="s">
        <v>16</v>
      </c>
      <c r="E1459" t="s">
        <v>48</v>
      </c>
      <c r="F1459">
        <v>49200000</v>
      </c>
      <c r="G1459" t="s">
        <v>29</v>
      </c>
      <c r="H1459" t="s">
        <v>81</v>
      </c>
      <c r="I1459" t="s">
        <v>9</v>
      </c>
      <c r="L1459" t="s">
        <v>161</v>
      </c>
      <c r="M1459">
        <v>49200000</v>
      </c>
    </row>
    <row r="1460" spans="1:13" x14ac:dyDescent="0.3">
      <c r="A1460" s="23">
        <v>44951</v>
      </c>
      <c r="B1460" t="s">
        <v>13</v>
      </c>
      <c r="C1460" t="s">
        <v>143</v>
      </c>
      <c r="D1460" t="s">
        <v>16</v>
      </c>
      <c r="E1460" t="s">
        <v>149</v>
      </c>
      <c r="F1460">
        <v>49969941.689999998</v>
      </c>
      <c r="G1460" t="s">
        <v>140</v>
      </c>
      <c r="H1460" t="s">
        <v>81</v>
      </c>
      <c r="I1460" t="s">
        <v>9</v>
      </c>
      <c r="J1460" s="23">
        <v>44952</v>
      </c>
      <c r="L1460" t="s">
        <v>239</v>
      </c>
      <c r="M1460">
        <v>49969941.689999998</v>
      </c>
    </row>
    <row r="1461" spans="1:13" x14ac:dyDescent="0.3">
      <c r="A1461" s="23">
        <v>45202</v>
      </c>
      <c r="B1461" t="s">
        <v>13</v>
      </c>
      <c r="C1461" t="s">
        <v>132</v>
      </c>
      <c r="D1461" t="s">
        <v>16</v>
      </c>
      <c r="E1461" t="s">
        <v>41</v>
      </c>
      <c r="F1461">
        <v>50000000</v>
      </c>
      <c r="G1461" t="s">
        <v>26</v>
      </c>
      <c r="H1461" t="s">
        <v>81</v>
      </c>
      <c r="I1461" t="s">
        <v>9</v>
      </c>
      <c r="L1461" t="s">
        <v>161</v>
      </c>
      <c r="M1461">
        <v>50000000</v>
      </c>
    </row>
    <row r="1462" spans="1:13" x14ac:dyDescent="0.3">
      <c r="A1462" s="23">
        <v>45399</v>
      </c>
      <c r="B1462" t="s">
        <v>13</v>
      </c>
      <c r="C1462" t="s">
        <v>132</v>
      </c>
      <c r="D1462" t="s">
        <v>16</v>
      </c>
      <c r="E1462" t="s">
        <v>46</v>
      </c>
      <c r="F1462">
        <v>50000000</v>
      </c>
      <c r="G1462" t="s">
        <v>28</v>
      </c>
      <c r="H1462" t="s">
        <v>81</v>
      </c>
      <c r="I1462" t="s">
        <v>9</v>
      </c>
      <c r="L1462" t="s">
        <v>161</v>
      </c>
      <c r="M1462">
        <v>50000000</v>
      </c>
    </row>
    <row r="1463" spans="1:13" x14ac:dyDescent="0.3">
      <c r="A1463" s="23">
        <v>45202</v>
      </c>
      <c r="B1463" t="s">
        <v>13</v>
      </c>
      <c r="C1463" t="s">
        <v>132</v>
      </c>
      <c r="D1463" t="s">
        <v>16</v>
      </c>
      <c r="E1463" t="s">
        <v>46</v>
      </c>
      <c r="F1463">
        <v>50000000</v>
      </c>
      <c r="G1463" t="s">
        <v>28</v>
      </c>
      <c r="H1463" t="s">
        <v>81</v>
      </c>
      <c r="I1463" t="s">
        <v>9</v>
      </c>
      <c r="L1463" t="s">
        <v>161</v>
      </c>
      <c r="M1463">
        <v>50000000</v>
      </c>
    </row>
    <row r="1464" spans="1:13" x14ac:dyDescent="0.3">
      <c r="A1464" s="23">
        <v>45600</v>
      </c>
      <c r="B1464" t="s">
        <v>13</v>
      </c>
      <c r="C1464" t="s">
        <v>132</v>
      </c>
      <c r="D1464" t="s">
        <v>16</v>
      </c>
      <c r="E1464" t="s">
        <v>48</v>
      </c>
      <c r="F1464">
        <v>50000000</v>
      </c>
      <c r="G1464" t="s">
        <v>29</v>
      </c>
      <c r="H1464" t="s">
        <v>81</v>
      </c>
      <c r="I1464" t="s">
        <v>9</v>
      </c>
      <c r="L1464" t="s">
        <v>161</v>
      </c>
      <c r="M1464">
        <v>50000000</v>
      </c>
    </row>
    <row r="1465" spans="1:13" x14ac:dyDescent="0.3">
      <c r="A1465" s="23">
        <v>45587</v>
      </c>
      <c r="B1465" t="s">
        <v>13</v>
      </c>
      <c r="C1465" t="s">
        <v>132</v>
      </c>
      <c r="D1465" t="s">
        <v>16</v>
      </c>
      <c r="E1465" t="s">
        <v>48</v>
      </c>
      <c r="F1465">
        <v>50000000</v>
      </c>
      <c r="G1465" t="s">
        <v>29</v>
      </c>
      <c r="H1465" t="s">
        <v>81</v>
      </c>
      <c r="I1465" t="s">
        <v>9</v>
      </c>
      <c r="L1465" t="s">
        <v>161</v>
      </c>
      <c r="M1465">
        <v>50000000</v>
      </c>
    </row>
    <row r="1466" spans="1:13" x14ac:dyDescent="0.3">
      <c r="A1466" s="23">
        <v>45523</v>
      </c>
      <c r="B1466" t="s">
        <v>13</v>
      </c>
      <c r="C1466" t="s">
        <v>132</v>
      </c>
      <c r="D1466" t="s">
        <v>16</v>
      </c>
      <c r="E1466" t="s">
        <v>48</v>
      </c>
      <c r="F1466">
        <v>50000000</v>
      </c>
      <c r="G1466" t="s">
        <v>29</v>
      </c>
      <c r="H1466" t="s">
        <v>81</v>
      </c>
      <c r="I1466" t="s">
        <v>9</v>
      </c>
      <c r="L1466" t="s">
        <v>161</v>
      </c>
      <c r="M1466">
        <v>50000000</v>
      </c>
    </row>
    <row r="1467" spans="1:13" x14ac:dyDescent="0.3">
      <c r="A1467" s="23">
        <v>45512</v>
      </c>
      <c r="B1467" t="s">
        <v>13</v>
      </c>
      <c r="C1467" t="s">
        <v>132</v>
      </c>
      <c r="D1467" t="s">
        <v>16</v>
      </c>
      <c r="E1467" t="s">
        <v>48</v>
      </c>
      <c r="F1467">
        <v>50000000</v>
      </c>
      <c r="G1467" t="s">
        <v>29</v>
      </c>
      <c r="H1467" t="s">
        <v>81</v>
      </c>
      <c r="I1467" t="s">
        <v>9</v>
      </c>
      <c r="L1467" t="s">
        <v>161</v>
      </c>
      <c r="M1467">
        <v>50000000</v>
      </c>
    </row>
    <row r="1468" spans="1:13" x14ac:dyDescent="0.3">
      <c r="A1468" s="23">
        <v>45511</v>
      </c>
      <c r="B1468" t="s">
        <v>13</v>
      </c>
      <c r="C1468" t="s">
        <v>132</v>
      </c>
      <c r="D1468" t="s">
        <v>16</v>
      </c>
      <c r="E1468" t="s">
        <v>48</v>
      </c>
      <c r="F1468">
        <v>50000000</v>
      </c>
      <c r="G1468" t="s">
        <v>29</v>
      </c>
      <c r="H1468" t="s">
        <v>81</v>
      </c>
      <c r="I1468" t="s">
        <v>9</v>
      </c>
      <c r="L1468" t="s">
        <v>161</v>
      </c>
      <c r="M1468">
        <v>50000000</v>
      </c>
    </row>
    <row r="1469" spans="1:13" x14ac:dyDescent="0.3">
      <c r="A1469" s="23">
        <v>45386</v>
      </c>
      <c r="B1469" t="s">
        <v>13</v>
      </c>
      <c r="C1469" t="s">
        <v>132</v>
      </c>
      <c r="D1469" t="s">
        <v>16</v>
      </c>
      <c r="E1469" t="s">
        <v>48</v>
      </c>
      <c r="F1469">
        <v>50000000</v>
      </c>
      <c r="G1469" t="s">
        <v>29</v>
      </c>
      <c r="H1469" t="s">
        <v>81</v>
      </c>
      <c r="I1469" t="s">
        <v>9</v>
      </c>
      <c r="L1469" t="s">
        <v>161</v>
      </c>
      <c r="M1469">
        <v>50000000</v>
      </c>
    </row>
    <row r="1470" spans="1:13" x14ac:dyDescent="0.3">
      <c r="A1470" s="23">
        <v>45348</v>
      </c>
      <c r="B1470" t="s">
        <v>13</v>
      </c>
      <c r="C1470" t="s">
        <v>132</v>
      </c>
      <c r="D1470" t="s">
        <v>16</v>
      </c>
      <c r="E1470" t="s">
        <v>180</v>
      </c>
      <c r="F1470">
        <v>50000000</v>
      </c>
      <c r="G1470" t="s">
        <v>181</v>
      </c>
      <c r="H1470" t="s">
        <v>81</v>
      </c>
      <c r="I1470" t="s">
        <v>9</v>
      </c>
      <c r="L1470" t="s">
        <v>161</v>
      </c>
      <c r="M1470">
        <v>50000000</v>
      </c>
    </row>
    <row r="1471" spans="1:13" x14ac:dyDescent="0.3">
      <c r="A1471" s="23">
        <v>45656</v>
      </c>
      <c r="B1471" t="s">
        <v>13</v>
      </c>
      <c r="C1471" t="s">
        <v>132</v>
      </c>
      <c r="D1471" t="s">
        <v>16</v>
      </c>
      <c r="E1471" t="s">
        <v>136</v>
      </c>
      <c r="F1471">
        <v>50546342.829999998</v>
      </c>
      <c r="G1471" t="s">
        <v>134</v>
      </c>
      <c r="H1471" t="s">
        <v>81</v>
      </c>
      <c r="I1471" t="s">
        <v>9</v>
      </c>
      <c r="L1471" t="s">
        <v>161</v>
      </c>
      <c r="M1471">
        <v>50546342.829999998</v>
      </c>
    </row>
    <row r="1472" spans="1:13" x14ac:dyDescent="0.3">
      <c r="A1472" s="23">
        <v>44606</v>
      </c>
      <c r="B1472" t="s">
        <v>13</v>
      </c>
      <c r="C1472" t="s">
        <v>132</v>
      </c>
      <c r="D1472" t="s">
        <v>16</v>
      </c>
      <c r="E1472" t="s">
        <v>41</v>
      </c>
      <c r="F1472">
        <v>50600000</v>
      </c>
      <c r="G1472" t="s">
        <v>26</v>
      </c>
      <c r="H1472" t="s">
        <v>81</v>
      </c>
      <c r="I1472" t="s">
        <v>9</v>
      </c>
      <c r="L1472" t="s">
        <v>161</v>
      </c>
      <c r="M1472">
        <v>50600000</v>
      </c>
    </row>
    <row r="1473" spans="1:13" x14ac:dyDescent="0.3">
      <c r="A1473" s="23">
        <v>45386</v>
      </c>
      <c r="B1473" t="s">
        <v>13</v>
      </c>
      <c r="C1473" t="s">
        <v>132</v>
      </c>
      <c r="D1473" t="s">
        <v>16</v>
      </c>
      <c r="E1473" t="s">
        <v>41</v>
      </c>
      <c r="F1473">
        <v>50600000</v>
      </c>
      <c r="G1473" t="s">
        <v>26</v>
      </c>
      <c r="H1473" t="s">
        <v>81</v>
      </c>
      <c r="I1473" t="s">
        <v>9</v>
      </c>
      <c r="L1473" t="s">
        <v>161</v>
      </c>
      <c r="M1473">
        <v>50600000</v>
      </c>
    </row>
    <row r="1474" spans="1:13" x14ac:dyDescent="0.3">
      <c r="A1474" s="23">
        <v>45310</v>
      </c>
      <c r="B1474" t="s">
        <v>13</v>
      </c>
      <c r="C1474" t="s">
        <v>143</v>
      </c>
      <c r="D1474" t="s">
        <v>16</v>
      </c>
      <c r="E1474" t="s">
        <v>149</v>
      </c>
      <c r="F1474">
        <v>50733166.340000004</v>
      </c>
      <c r="G1474" t="s">
        <v>140</v>
      </c>
      <c r="H1474" t="s">
        <v>81</v>
      </c>
      <c r="I1474" t="s">
        <v>9</v>
      </c>
      <c r="M1474">
        <v>50733166.340000004</v>
      </c>
    </row>
    <row r="1475" spans="1:13" x14ac:dyDescent="0.3">
      <c r="A1475" s="23">
        <v>45089</v>
      </c>
      <c r="B1475" t="s">
        <v>13</v>
      </c>
      <c r="C1475" t="s">
        <v>143</v>
      </c>
      <c r="D1475" t="s">
        <v>16</v>
      </c>
      <c r="E1475" t="s">
        <v>149</v>
      </c>
      <c r="F1475">
        <v>50853141</v>
      </c>
      <c r="G1475" t="s">
        <v>140</v>
      </c>
      <c r="H1475" t="s">
        <v>81</v>
      </c>
      <c r="I1475" t="s">
        <v>9</v>
      </c>
      <c r="J1475" s="23">
        <v>45090</v>
      </c>
      <c r="M1475">
        <v>50853141</v>
      </c>
    </row>
    <row r="1476" spans="1:13" x14ac:dyDescent="0.3">
      <c r="A1476" s="23">
        <v>44726</v>
      </c>
      <c r="B1476" t="s">
        <v>13</v>
      </c>
      <c r="C1476" t="s">
        <v>132</v>
      </c>
      <c r="D1476" t="s">
        <v>16</v>
      </c>
      <c r="E1476" t="s">
        <v>46</v>
      </c>
      <c r="F1476">
        <v>50900000</v>
      </c>
      <c r="G1476" t="s">
        <v>28</v>
      </c>
      <c r="H1476" t="s">
        <v>81</v>
      </c>
      <c r="I1476" t="s">
        <v>9</v>
      </c>
      <c r="L1476" t="s">
        <v>161</v>
      </c>
      <c r="M1476">
        <v>50900000</v>
      </c>
    </row>
    <row r="1477" spans="1:13" x14ac:dyDescent="0.3">
      <c r="A1477" s="23">
        <v>44999</v>
      </c>
      <c r="B1477" t="s">
        <v>13</v>
      </c>
      <c r="C1477" t="s">
        <v>143</v>
      </c>
      <c r="D1477" t="s">
        <v>16</v>
      </c>
      <c r="E1477" t="s">
        <v>149</v>
      </c>
      <c r="F1477">
        <v>50986049.659999996</v>
      </c>
      <c r="G1477" t="s">
        <v>140</v>
      </c>
      <c r="H1477" t="s">
        <v>81</v>
      </c>
      <c r="I1477" t="s">
        <v>9</v>
      </c>
      <c r="J1477" s="23">
        <v>45000</v>
      </c>
      <c r="L1477" t="s">
        <v>242</v>
      </c>
      <c r="M1477">
        <v>50986049.659999996</v>
      </c>
    </row>
    <row r="1478" spans="1:13" x14ac:dyDescent="0.3">
      <c r="A1478" s="23">
        <v>45483</v>
      </c>
      <c r="B1478" t="s">
        <v>13</v>
      </c>
      <c r="C1478" t="s">
        <v>132</v>
      </c>
      <c r="D1478" t="s">
        <v>16</v>
      </c>
      <c r="E1478" t="s">
        <v>41</v>
      </c>
      <c r="F1478">
        <v>51000000</v>
      </c>
      <c r="G1478" t="s">
        <v>26</v>
      </c>
      <c r="H1478" t="s">
        <v>81</v>
      </c>
      <c r="I1478" t="s">
        <v>9</v>
      </c>
      <c r="L1478" t="s">
        <v>161</v>
      </c>
      <c r="M1478">
        <v>51000000</v>
      </c>
    </row>
    <row r="1479" spans="1:13" x14ac:dyDescent="0.3">
      <c r="A1479" s="23">
        <v>45450</v>
      </c>
      <c r="B1479" t="s">
        <v>13</v>
      </c>
      <c r="C1479" t="s">
        <v>132</v>
      </c>
      <c r="D1479" t="s">
        <v>16</v>
      </c>
      <c r="E1479" t="s">
        <v>180</v>
      </c>
      <c r="F1479">
        <v>51614517</v>
      </c>
      <c r="G1479" t="s">
        <v>181</v>
      </c>
      <c r="H1479" t="s">
        <v>81</v>
      </c>
      <c r="I1479" t="s">
        <v>9</v>
      </c>
      <c r="L1479" t="s">
        <v>161</v>
      </c>
      <c r="M1479">
        <v>51614517</v>
      </c>
    </row>
    <row r="1480" spans="1:13" x14ac:dyDescent="0.3">
      <c r="A1480" s="23">
        <v>45399</v>
      </c>
      <c r="B1480" t="s">
        <v>13</v>
      </c>
      <c r="C1480" t="s">
        <v>132</v>
      </c>
      <c r="D1480" t="s">
        <v>16</v>
      </c>
      <c r="E1480" t="s">
        <v>41</v>
      </c>
      <c r="F1480">
        <v>51700000</v>
      </c>
      <c r="G1480" t="s">
        <v>26</v>
      </c>
      <c r="H1480" t="s">
        <v>81</v>
      </c>
      <c r="I1480" t="s">
        <v>9</v>
      </c>
      <c r="L1480" t="s">
        <v>161</v>
      </c>
      <c r="M1480">
        <v>51700000</v>
      </c>
    </row>
    <row r="1481" spans="1:13" x14ac:dyDescent="0.3">
      <c r="A1481" s="23">
        <v>45552</v>
      </c>
      <c r="B1481" t="s">
        <v>13</v>
      </c>
      <c r="C1481" t="s">
        <v>132</v>
      </c>
      <c r="D1481" t="s">
        <v>16</v>
      </c>
      <c r="E1481" t="s">
        <v>41</v>
      </c>
      <c r="F1481">
        <v>52100000</v>
      </c>
      <c r="G1481" t="s">
        <v>26</v>
      </c>
      <c r="H1481" t="s">
        <v>81</v>
      </c>
      <c r="I1481" t="s">
        <v>9</v>
      </c>
      <c r="L1481" t="s">
        <v>161</v>
      </c>
      <c r="M1481">
        <v>52100000</v>
      </c>
    </row>
    <row r="1482" spans="1:13" x14ac:dyDescent="0.3">
      <c r="A1482" s="23">
        <v>45345</v>
      </c>
      <c r="B1482" t="s">
        <v>13</v>
      </c>
      <c r="C1482" t="s">
        <v>132</v>
      </c>
      <c r="D1482" t="s">
        <v>16</v>
      </c>
      <c r="E1482" t="s">
        <v>46</v>
      </c>
      <c r="F1482">
        <v>52300000</v>
      </c>
      <c r="G1482" t="s">
        <v>28</v>
      </c>
      <c r="H1482" t="s">
        <v>81</v>
      </c>
      <c r="I1482" t="s">
        <v>9</v>
      </c>
      <c r="L1482" t="s">
        <v>161</v>
      </c>
      <c r="M1482">
        <v>52300000</v>
      </c>
    </row>
    <row r="1483" spans="1:13" x14ac:dyDescent="0.3">
      <c r="A1483" s="23">
        <v>45470</v>
      </c>
      <c r="B1483" t="s">
        <v>13</v>
      </c>
      <c r="C1483" t="s">
        <v>132</v>
      </c>
      <c r="D1483" t="s">
        <v>16</v>
      </c>
      <c r="E1483" t="s">
        <v>41</v>
      </c>
      <c r="F1483">
        <v>53200000</v>
      </c>
      <c r="G1483" t="s">
        <v>26</v>
      </c>
      <c r="H1483" t="s">
        <v>81</v>
      </c>
      <c r="I1483" t="s">
        <v>9</v>
      </c>
      <c r="L1483" t="s">
        <v>161</v>
      </c>
      <c r="M1483">
        <v>53200000</v>
      </c>
    </row>
    <row r="1484" spans="1:13" x14ac:dyDescent="0.3">
      <c r="A1484" s="23">
        <v>45401</v>
      </c>
      <c r="B1484" t="s">
        <v>13</v>
      </c>
      <c r="C1484" t="s">
        <v>132</v>
      </c>
      <c r="D1484" t="s">
        <v>16</v>
      </c>
      <c r="E1484" t="s">
        <v>169</v>
      </c>
      <c r="F1484">
        <v>53495460</v>
      </c>
      <c r="G1484" t="s">
        <v>131</v>
      </c>
      <c r="H1484" t="s">
        <v>81</v>
      </c>
      <c r="I1484" t="s">
        <v>9</v>
      </c>
      <c r="L1484" t="s">
        <v>161</v>
      </c>
      <c r="M1484">
        <v>53495460</v>
      </c>
    </row>
    <row r="1485" spans="1:13" x14ac:dyDescent="0.3">
      <c r="A1485" s="23">
        <v>45055</v>
      </c>
      <c r="B1485" t="s">
        <v>13</v>
      </c>
      <c r="C1485" t="s">
        <v>132</v>
      </c>
      <c r="D1485" t="s">
        <v>16</v>
      </c>
      <c r="E1485" t="s">
        <v>41</v>
      </c>
      <c r="F1485">
        <v>54047804.840000004</v>
      </c>
      <c r="G1485" t="s">
        <v>26</v>
      </c>
      <c r="H1485" t="s">
        <v>81</v>
      </c>
      <c r="I1485" t="s">
        <v>9</v>
      </c>
      <c r="L1485" t="s">
        <v>161</v>
      </c>
      <c r="M1485">
        <v>54047804.840000004</v>
      </c>
    </row>
    <row r="1486" spans="1:13" x14ac:dyDescent="0.3">
      <c r="A1486" s="23">
        <v>44964</v>
      </c>
      <c r="B1486" t="s">
        <v>13</v>
      </c>
      <c r="C1486" t="s">
        <v>143</v>
      </c>
      <c r="D1486" t="s">
        <v>16</v>
      </c>
      <c r="E1486" t="s">
        <v>149</v>
      </c>
      <c r="F1486">
        <v>54600885.729999997</v>
      </c>
      <c r="G1486" t="s">
        <v>140</v>
      </c>
      <c r="H1486" t="s">
        <v>81</v>
      </c>
      <c r="I1486" t="s">
        <v>9</v>
      </c>
      <c r="J1486" s="23">
        <v>44965</v>
      </c>
      <c r="L1486" t="s">
        <v>240</v>
      </c>
      <c r="M1486">
        <v>54600885.729999997</v>
      </c>
    </row>
    <row r="1487" spans="1:13" x14ac:dyDescent="0.3">
      <c r="A1487" s="23">
        <v>45600</v>
      </c>
      <c r="B1487" t="s">
        <v>13</v>
      </c>
      <c r="C1487" t="s">
        <v>132</v>
      </c>
      <c r="D1487" t="s">
        <v>16</v>
      </c>
      <c r="E1487" t="s">
        <v>212</v>
      </c>
      <c r="F1487">
        <v>55186366.82</v>
      </c>
      <c r="G1487" t="s">
        <v>140</v>
      </c>
      <c r="H1487" t="s">
        <v>81</v>
      </c>
      <c r="I1487" t="s">
        <v>9</v>
      </c>
      <c r="L1487" t="s">
        <v>161</v>
      </c>
      <c r="M1487">
        <v>55186366.82</v>
      </c>
    </row>
    <row r="1488" spans="1:13" x14ac:dyDescent="0.3">
      <c r="A1488" s="23">
        <v>45288</v>
      </c>
      <c r="B1488" t="s">
        <v>13</v>
      </c>
      <c r="C1488" t="s">
        <v>132</v>
      </c>
      <c r="D1488" t="s">
        <v>16</v>
      </c>
      <c r="E1488" t="s">
        <v>48</v>
      </c>
      <c r="F1488">
        <v>56500000</v>
      </c>
      <c r="G1488" t="s">
        <v>29</v>
      </c>
      <c r="H1488" t="s">
        <v>81</v>
      </c>
      <c r="I1488" t="s">
        <v>9</v>
      </c>
      <c r="L1488" t="s">
        <v>161</v>
      </c>
      <c r="M1488">
        <v>56500000</v>
      </c>
    </row>
    <row r="1489" spans="1:13" x14ac:dyDescent="0.3">
      <c r="A1489" s="23">
        <v>45281</v>
      </c>
      <c r="B1489" t="s">
        <v>13</v>
      </c>
      <c r="C1489" t="s">
        <v>132</v>
      </c>
      <c r="D1489" t="s">
        <v>16</v>
      </c>
      <c r="E1489" t="s">
        <v>41</v>
      </c>
      <c r="F1489">
        <v>57300000</v>
      </c>
      <c r="G1489" t="s">
        <v>26</v>
      </c>
      <c r="H1489" t="s">
        <v>81</v>
      </c>
      <c r="I1489" t="s">
        <v>9</v>
      </c>
      <c r="L1489" t="s">
        <v>161</v>
      </c>
      <c r="M1489">
        <v>57300000</v>
      </c>
    </row>
    <row r="1490" spans="1:13" x14ac:dyDescent="0.3">
      <c r="A1490" s="23">
        <v>44643</v>
      </c>
      <c r="B1490" t="s">
        <v>13</v>
      </c>
      <c r="C1490" t="s">
        <v>132</v>
      </c>
      <c r="D1490" t="s">
        <v>16</v>
      </c>
      <c r="E1490" t="s">
        <v>136</v>
      </c>
      <c r="F1490">
        <v>57535395</v>
      </c>
      <c r="G1490" t="s">
        <v>134</v>
      </c>
      <c r="H1490" t="s">
        <v>81</v>
      </c>
      <c r="I1490" t="s">
        <v>9</v>
      </c>
      <c r="L1490" t="s">
        <v>161</v>
      </c>
      <c r="M1490">
        <v>57535395</v>
      </c>
    </row>
    <row r="1491" spans="1:13" x14ac:dyDescent="0.3">
      <c r="A1491" s="23">
        <v>45523</v>
      </c>
      <c r="B1491" t="s">
        <v>13</v>
      </c>
      <c r="C1491" t="s">
        <v>132</v>
      </c>
      <c r="D1491" t="s">
        <v>16</v>
      </c>
      <c r="E1491" t="s">
        <v>41</v>
      </c>
      <c r="F1491">
        <v>58500000</v>
      </c>
      <c r="G1491" t="s">
        <v>26</v>
      </c>
      <c r="H1491" t="s">
        <v>81</v>
      </c>
      <c r="I1491" t="s">
        <v>9</v>
      </c>
      <c r="L1491" t="s">
        <v>161</v>
      </c>
      <c r="M1491">
        <v>58500000</v>
      </c>
    </row>
    <row r="1492" spans="1:13" x14ac:dyDescent="0.3">
      <c r="A1492" s="23">
        <v>45294</v>
      </c>
      <c r="B1492" t="s">
        <v>13</v>
      </c>
      <c r="C1492" t="s">
        <v>132</v>
      </c>
      <c r="D1492" t="s">
        <v>16</v>
      </c>
      <c r="E1492" t="s">
        <v>169</v>
      </c>
      <c r="F1492">
        <v>60000000</v>
      </c>
      <c r="G1492" t="s">
        <v>131</v>
      </c>
      <c r="H1492" t="s">
        <v>81</v>
      </c>
      <c r="I1492" t="s">
        <v>9</v>
      </c>
      <c r="L1492" t="s">
        <v>161</v>
      </c>
      <c r="M1492">
        <v>60000000</v>
      </c>
    </row>
    <row r="1493" spans="1:13" x14ac:dyDescent="0.3">
      <c r="A1493" s="23">
        <v>45490</v>
      </c>
      <c r="B1493" t="s">
        <v>13</v>
      </c>
      <c r="C1493" t="s">
        <v>132</v>
      </c>
      <c r="D1493" t="s">
        <v>16</v>
      </c>
      <c r="E1493" t="s">
        <v>48</v>
      </c>
      <c r="F1493">
        <v>60700000</v>
      </c>
      <c r="G1493" t="s">
        <v>29</v>
      </c>
      <c r="H1493" t="s">
        <v>81</v>
      </c>
      <c r="I1493" t="s">
        <v>9</v>
      </c>
      <c r="L1493" t="s">
        <v>161</v>
      </c>
      <c r="M1493">
        <v>60700000</v>
      </c>
    </row>
    <row r="1494" spans="1:13" x14ac:dyDescent="0.3">
      <c r="A1494" s="23">
        <v>45478</v>
      </c>
      <c r="B1494" t="s">
        <v>13</v>
      </c>
      <c r="C1494" t="s">
        <v>143</v>
      </c>
      <c r="D1494" t="s">
        <v>16</v>
      </c>
      <c r="E1494" t="s">
        <v>149</v>
      </c>
      <c r="F1494">
        <v>61730000</v>
      </c>
      <c r="G1494" t="s">
        <v>140</v>
      </c>
      <c r="H1494" t="s">
        <v>81</v>
      </c>
      <c r="I1494" t="s">
        <v>9</v>
      </c>
      <c r="M1494">
        <v>61730000</v>
      </c>
    </row>
    <row r="1495" spans="1:13" x14ac:dyDescent="0.3">
      <c r="A1495" s="23">
        <v>45253</v>
      </c>
      <c r="B1495" t="s">
        <v>13</v>
      </c>
      <c r="C1495" t="s">
        <v>132</v>
      </c>
      <c r="D1495" t="s">
        <v>16</v>
      </c>
      <c r="E1495" t="s">
        <v>136</v>
      </c>
      <c r="F1495">
        <v>62240056.060000002</v>
      </c>
      <c r="G1495" t="s">
        <v>134</v>
      </c>
      <c r="H1495" t="s">
        <v>81</v>
      </c>
      <c r="I1495" t="s">
        <v>9</v>
      </c>
      <c r="L1495" t="s">
        <v>161</v>
      </c>
      <c r="M1495">
        <v>62240056.060000002</v>
      </c>
    </row>
    <row r="1496" spans="1:13" x14ac:dyDescent="0.3">
      <c r="A1496" s="23">
        <v>44902</v>
      </c>
      <c r="B1496" t="s">
        <v>13</v>
      </c>
      <c r="C1496" t="s">
        <v>132</v>
      </c>
      <c r="D1496" t="s">
        <v>16</v>
      </c>
      <c r="E1496" t="s">
        <v>41</v>
      </c>
      <c r="F1496">
        <v>62400000</v>
      </c>
      <c r="G1496" t="s">
        <v>26</v>
      </c>
      <c r="H1496" t="s">
        <v>81</v>
      </c>
      <c r="I1496" t="s">
        <v>9</v>
      </c>
      <c r="L1496" t="s">
        <v>161</v>
      </c>
      <c r="M1496">
        <v>62400000</v>
      </c>
    </row>
    <row r="1497" spans="1:13" x14ac:dyDescent="0.3">
      <c r="A1497" s="23">
        <v>45146</v>
      </c>
      <c r="B1497" t="s">
        <v>13</v>
      </c>
      <c r="C1497" t="s">
        <v>132</v>
      </c>
      <c r="D1497" t="s">
        <v>16</v>
      </c>
      <c r="E1497" t="s">
        <v>46</v>
      </c>
      <c r="F1497">
        <v>62800000</v>
      </c>
      <c r="G1497" t="s">
        <v>28</v>
      </c>
      <c r="H1497" t="s">
        <v>81</v>
      </c>
      <c r="I1497" t="s">
        <v>9</v>
      </c>
      <c r="L1497" t="s">
        <v>161</v>
      </c>
      <c r="M1497">
        <v>62800000</v>
      </c>
    </row>
    <row r="1498" spans="1:13" x14ac:dyDescent="0.3">
      <c r="A1498" s="23">
        <v>45342</v>
      </c>
      <c r="B1498" t="s">
        <v>13</v>
      </c>
      <c r="C1498" t="s">
        <v>132</v>
      </c>
      <c r="D1498" t="s">
        <v>16</v>
      </c>
      <c r="E1498" t="s">
        <v>41</v>
      </c>
      <c r="F1498">
        <v>64200000</v>
      </c>
      <c r="G1498" t="s">
        <v>26</v>
      </c>
      <c r="H1498" t="s">
        <v>81</v>
      </c>
      <c r="I1498" t="s">
        <v>9</v>
      </c>
      <c r="L1498" t="s">
        <v>161</v>
      </c>
      <c r="M1498">
        <v>64200000</v>
      </c>
    </row>
    <row r="1499" spans="1:13" x14ac:dyDescent="0.3">
      <c r="A1499" s="23">
        <v>44818</v>
      </c>
      <c r="B1499" t="s">
        <v>13</v>
      </c>
      <c r="C1499" t="s">
        <v>132</v>
      </c>
      <c r="D1499" t="s">
        <v>16</v>
      </c>
      <c r="E1499" t="s">
        <v>41</v>
      </c>
      <c r="F1499">
        <v>64800000</v>
      </c>
      <c r="G1499" t="s">
        <v>26</v>
      </c>
      <c r="H1499" t="s">
        <v>81</v>
      </c>
      <c r="I1499" t="s">
        <v>9</v>
      </c>
      <c r="L1499" t="s">
        <v>161</v>
      </c>
      <c r="M1499">
        <v>64800000</v>
      </c>
    </row>
    <row r="1500" spans="1:13" x14ac:dyDescent="0.3">
      <c r="A1500" s="23">
        <v>44831</v>
      </c>
      <c r="B1500" t="s">
        <v>13</v>
      </c>
      <c r="C1500" t="s">
        <v>132</v>
      </c>
      <c r="D1500" t="s">
        <v>16</v>
      </c>
      <c r="E1500" t="s">
        <v>41</v>
      </c>
      <c r="F1500">
        <v>64900000</v>
      </c>
      <c r="G1500" t="s">
        <v>26</v>
      </c>
      <c r="H1500" t="s">
        <v>81</v>
      </c>
      <c r="I1500" t="s">
        <v>9</v>
      </c>
      <c r="L1500" t="s">
        <v>161</v>
      </c>
      <c r="M1500">
        <v>64900000</v>
      </c>
    </row>
    <row r="1501" spans="1:13" x14ac:dyDescent="0.3">
      <c r="A1501" s="23">
        <v>45455</v>
      </c>
      <c r="B1501" t="s">
        <v>13</v>
      </c>
      <c r="C1501" t="s">
        <v>132</v>
      </c>
      <c r="D1501" t="s">
        <v>16</v>
      </c>
      <c r="E1501" t="s">
        <v>180</v>
      </c>
      <c r="F1501">
        <v>64999513</v>
      </c>
      <c r="G1501" t="s">
        <v>181</v>
      </c>
      <c r="H1501" t="s">
        <v>81</v>
      </c>
      <c r="I1501" t="s">
        <v>9</v>
      </c>
      <c r="L1501" t="s">
        <v>161</v>
      </c>
      <c r="M1501">
        <v>64999513</v>
      </c>
    </row>
    <row r="1502" spans="1:13" x14ac:dyDescent="0.3">
      <c r="A1502" s="23">
        <v>45681</v>
      </c>
      <c r="B1502" t="s">
        <v>13</v>
      </c>
      <c r="C1502" t="s">
        <v>132</v>
      </c>
      <c r="D1502" t="s">
        <v>16</v>
      </c>
      <c r="E1502" t="s">
        <v>48</v>
      </c>
      <c r="F1502">
        <v>65000000</v>
      </c>
      <c r="G1502" t="s">
        <v>29</v>
      </c>
      <c r="H1502" t="s">
        <v>81</v>
      </c>
      <c r="I1502" t="s">
        <v>9</v>
      </c>
      <c r="L1502" t="s">
        <v>161</v>
      </c>
      <c r="M1502">
        <v>65000000</v>
      </c>
    </row>
    <row r="1503" spans="1:13" x14ac:dyDescent="0.3">
      <c r="A1503" s="23">
        <v>44562</v>
      </c>
      <c r="B1503" t="s">
        <v>13</v>
      </c>
      <c r="C1503" t="s">
        <v>132</v>
      </c>
      <c r="D1503" t="s">
        <v>16</v>
      </c>
      <c r="E1503" t="s">
        <v>41</v>
      </c>
      <c r="F1503">
        <v>65003102.409999996</v>
      </c>
      <c r="G1503" t="s">
        <v>26</v>
      </c>
      <c r="H1503" t="s">
        <v>81</v>
      </c>
      <c r="I1503" t="s">
        <v>9</v>
      </c>
      <c r="L1503" t="s">
        <v>161</v>
      </c>
      <c r="M1503">
        <v>65003102.409999996</v>
      </c>
    </row>
    <row r="1504" spans="1:13" x14ac:dyDescent="0.3">
      <c r="A1504" s="23">
        <v>45610</v>
      </c>
      <c r="B1504" t="s">
        <v>13</v>
      </c>
      <c r="C1504" t="s">
        <v>132</v>
      </c>
      <c r="D1504" t="s">
        <v>16</v>
      </c>
      <c r="E1504" t="s">
        <v>41</v>
      </c>
      <c r="F1504">
        <v>65500000</v>
      </c>
      <c r="G1504" t="s">
        <v>26</v>
      </c>
      <c r="H1504" t="s">
        <v>81</v>
      </c>
      <c r="I1504" t="s">
        <v>9</v>
      </c>
      <c r="L1504" t="s">
        <v>161</v>
      </c>
      <c r="M1504">
        <v>65500000</v>
      </c>
    </row>
    <row r="1505" spans="1:13" x14ac:dyDescent="0.3">
      <c r="A1505" s="23">
        <v>45587</v>
      </c>
      <c r="B1505" t="s">
        <v>13</v>
      </c>
      <c r="C1505" t="s">
        <v>132</v>
      </c>
      <c r="D1505" t="s">
        <v>16</v>
      </c>
      <c r="E1505" t="s">
        <v>41</v>
      </c>
      <c r="F1505">
        <v>65500000</v>
      </c>
      <c r="G1505" t="s">
        <v>26</v>
      </c>
      <c r="H1505" t="s">
        <v>81</v>
      </c>
      <c r="I1505" t="s">
        <v>9</v>
      </c>
      <c r="L1505" t="s">
        <v>161</v>
      </c>
      <c r="M1505">
        <v>65500000</v>
      </c>
    </row>
    <row r="1506" spans="1:13" x14ac:dyDescent="0.3">
      <c r="A1506" s="23">
        <v>45583</v>
      </c>
      <c r="B1506" t="s">
        <v>13</v>
      </c>
      <c r="C1506" t="s">
        <v>132</v>
      </c>
      <c r="D1506" t="s">
        <v>16</v>
      </c>
      <c r="E1506" t="s">
        <v>48</v>
      </c>
      <c r="F1506">
        <v>66300000</v>
      </c>
      <c r="G1506" t="s">
        <v>29</v>
      </c>
      <c r="H1506" t="s">
        <v>81</v>
      </c>
      <c r="I1506" t="s">
        <v>9</v>
      </c>
      <c r="L1506" t="s">
        <v>161</v>
      </c>
      <c r="M1506">
        <v>66300000</v>
      </c>
    </row>
    <row r="1507" spans="1:13" x14ac:dyDescent="0.3">
      <c r="A1507" s="23">
        <v>45282</v>
      </c>
      <c r="B1507" t="s">
        <v>13</v>
      </c>
      <c r="C1507" t="s">
        <v>143</v>
      </c>
      <c r="D1507" t="s">
        <v>16</v>
      </c>
      <c r="E1507" t="s">
        <v>149</v>
      </c>
      <c r="F1507">
        <v>67384987.939999998</v>
      </c>
      <c r="G1507" t="s">
        <v>140</v>
      </c>
      <c r="H1507" t="s">
        <v>81</v>
      </c>
      <c r="I1507" t="s">
        <v>9</v>
      </c>
      <c r="M1507">
        <v>67384987.939999998</v>
      </c>
    </row>
    <row r="1508" spans="1:13" x14ac:dyDescent="0.3">
      <c r="A1508" s="23">
        <v>45345</v>
      </c>
      <c r="B1508" t="s">
        <v>13</v>
      </c>
      <c r="C1508" t="s">
        <v>132</v>
      </c>
      <c r="D1508" t="s">
        <v>16</v>
      </c>
      <c r="E1508" t="s">
        <v>48</v>
      </c>
      <c r="F1508">
        <v>67400000</v>
      </c>
      <c r="G1508" t="s">
        <v>29</v>
      </c>
      <c r="H1508" t="s">
        <v>81</v>
      </c>
      <c r="I1508" t="s">
        <v>9</v>
      </c>
      <c r="L1508" t="s">
        <v>161</v>
      </c>
      <c r="M1508">
        <v>67400000</v>
      </c>
    </row>
    <row r="1509" spans="1:13" x14ac:dyDescent="0.3">
      <c r="A1509" s="23">
        <v>45280</v>
      </c>
      <c r="B1509" t="s">
        <v>13</v>
      </c>
      <c r="C1509" t="s">
        <v>132</v>
      </c>
      <c r="D1509" t="s">
        <v>16</v>
      </c>
      <c r="E1509" t="s">
        <v>48</v>
      </c>
      <c r="F1509">
        <v>67700000</v>
      </c>
      <c r="G1509" t="s">
        <v>29</v>
      </c>
      <c r="H1509" t="s">
        <v>81</v>
      </c>
      <c r="I1509" t="s">
        <v>9</v>
      </c>
      <c r="L1509" t="s">
        <v>161</v>
      </c>
      <c r="M1509">
        <v>67700000</v>
      </c>
    </row>
    <row r="1510" spans="1:13" x14ac:dyDescent="0.3">
      <c r="A1510" s="23">
        <v>45425</v>
      </c>
      <c r="B1510" t="s">
        <v>13</v>
      </c>
      <c r="C1510" t="s">
        <v>132</v>
      </c>
      <c r="D1510" t="s">
        <v>16</v>
      </c>
      <c r="E1510" t="s">
        <v>136</v>
      </c>
      <c r="F1510">
        <v>69936000</v>
      </c>
      <c r="G1510" t="s">
        <v>134</v>
      </c>
      <c r="H1510" t="s">
        <v>81</v>
      </c>
      <c r="I1510" t="s">
        <v>9</v>
      </c>
      <c r="L1510" t="s">
        <v>161</v>
      </c>
      <c r="M1510">
        <v>69936000</v>
      </c>
    </row>
    <row r="1511" spans="1:13" x14ac:dyDescent="0.3">
      <c r="A1511" s="23">
        <v>45128</v>
      </c>
      <c r="B1511" t="s">
        <v>13</v>
      </c>
      <c r="C1511" t="s">
        <v>143</v>
      </c>
      <c r="D1511" t="s">
        <v>16</v>
      </c>
      <c r="E1511" t="s">
        <v>149</v>
      </c>
      <c r="F1511">
        <v>70678239.5</v>
      </c>
      <c r="G1511" t="s">
        <v>140</v>
      </c>
      <c r="H1511" t="s">
        <v>81</v>
      </c>
      <c r="I1511" t="s">
        <v>9</v>
      </c>
      <c r="M1511">
        <v>70678239.5</v>
      </c>
    </row>
    <row r="1512" spans="1:13" x14ac:dyDescent="0.3">
      <c r="A1512" s="23">
        <v>45537</v>
      </c>
      <c r="B1512" t="s">
        <v>13</v>
      </c>
      <c r="C1512" t="s">
        <v>132</v>
      </c>
      <c r="D1512" t="s">
        <v>16</v>
      </c>
      <c r="E1512" t="s">
        <v>41</v>
      </c>
      <c r="F1512">
        <v>70900000</v>
      </c>
      <c r="G1512" t="s">
        <v>26</v>
      </c>
      <c r="H1512" t="s">
        <v>81</v>
      </c>
      <c r="I1512" t="s">
        <v>9</v>
      </c>
      <c r="L1512" t="s">
        <v>161</v>
      </c>
      <c r="M1512">
        <v>70900000</v>
      </c>
    </row>
    <row r="1513" spans="1:13" x14ac:dyDescent="0.3">
      <c r="A1513" s="23">
        <v>45271</v>
      </c>
      <c r="B1513" t="s">
        <v>13</v>
      </c>
      <c r="C1513" t="s">
        <v>132</v>
      </c>
      <c r="D1513" t="s">
        <v>16</v>
      </c>
      <c r="E1513" t="s">
        <v>41</v>
      </c>
      <c r="F1513">
        <v>72100000</v>
      </c>
      <c r="G1513" t="s">
        <v>26</v>
      </c>
      <c r="H1513" t="s">
        <v>81</v>
      </c>
      <c r="I1513" t="s">
        <v>9</v>
      </c>
      <c r="L1513" t="s">
        <v>161</v>
      </c>
      <c r="M1513">
        <v>72100000</v>
      </c>
    </row>
    <row r="1514" spans="1:13" x14ac:dyDescent="0.3">
      <c r="A1514" s="23">
        <v>45512</v>
      </c>
      <c r="B1514" t="s">
        <v>13</v>
      </c>
      <c r="C1514" t="s">
        <v>132</v>
      </c>
      <c r="D1514" t="s">
        <v>16</v>
      </c>
      <c r="E1514" t="s">
        <v>41</v>
      </c>
      <c r="F1514">
        <v>72800000</v>
      </c>
      <c r="G1514" t="s">
        <v>26</v>
      </c>
      <c r="H1514" t="s">
        <v>81</v>
      </c>
      <c r="I1514" t="s">
        <v>9</v>
      </c>
      <c r="L1514" t="s">
        <v>161</v>
      </c>
      <c r="M1514">
        <v>72800000</v>
      </c>
    </row>
    <row r="1515" spans="1:13" x14ac:dyDescent="0.3">
      <c r="A1515" s="23">
        <v>45338</v>
      </c>
      <c r="B1515" t="s">
        <v>13</v>
      </c>
      <c r="C1515" t="s">
        <v>143</v>
      </c>
      <c r="D1515" t="s">
        <v>16</v>
      </c>
      <c r="E1515" t="s">
        <v>149</v>
      </c>
      <c r="F1515">
        <v>73239791.310000002</v>
      </c>
      <c r="G1515" t="s">
        <v>140</v>
      </c>
      <c r="H1515" t="s">
        <v>81</v>
      </c>
      <c r="I1515" t="s">
        <v>9</v>
      </c>
      <c r="M1515">
        <v>73239791.310000002</v>
      </c>
    </row>
    <row r="1516" spans="1:13" x14ac:dyDescent="0.3">
      <c r="A1516" s="23">
        <v>44742</v>
      </c>
      <c r="B1516" t="s">
        <v>13</v>
      </c>
      <c r="C1516" t="s">
        <v>143</v>
      </c>
      <c r="D1516" t="s">
        <v>16</v>
      </c>
      <c r="E1516" t="s">
        <v>149</v>
      </c>
      <c r="F1516">
        <v>73865755.409999996</v>
      </c>
      <c r="G1516" t="s">
        <v>140</v>
      </c>
      <c r="H1516" t="s">
        <v>81</v>
      </c>
      <c r="I1516" t="s">
        <v>9</v>
      </c>
      <c r="J1516" s="23">
        <v>44742</v>
      </c>
      <c r="K1516" t="s">
        <v>152</v>
      </c>
      <c r="L1516" t="s">
        <v>220</v>
      </c>
      <c r="M1516">
        <v>73865755.409999996</v>
      </c>
    </row>
    <row r="1517" spans="1:13" x14ac:dyDescent="0.3">
      <c r="A1517" s="23">
        <v>45007</v>
      </c>
      <c r="B1517" t="s">
        <v>13</v>
      </c>
      <c r="C1517" t="s">
        <v>143</v>
      </c>
      <c r="D1517" t="s">
        <v>16</v>
      </c>
      <c r="E1517" t="s">
        <v>149</v>
      </c>
      <c r="F1517">
        <v>75390054.010000005</v>
      </c>
      <c r="G1517" t="s">
        <v>140</v>
      </c>
      <c r="H1517" t="s">
        <v>81</v>
      </c>
      <c r="I1517" t="s">
        <v>9</v>
      </c>
      <c r="J1517" s="23">
        <v>45008</v>
      </c>
      <c r="L1517" t="s">
        <v>243</v>
      </c>
      <c r="M1517">
        <v>75390054.010000005</v>
      </c>
    </row>
    <row r="1518" spans="1:13" x14ac:dyDescent="0.3">
      <c r="A1518" s="23">
        <v>45419</v>
      </c>
      <c r="B1518" t="s">
        <v>13</v>
      </c>
      <c r="C1518" t="s">
        <v>132</v>
      </c>
      <c r="D1518" t="s">
        <v>16</v>
      </c>
      <c r="E1518" t="s">
        <v>41</v>
      </c>
      <c r="F1518">
        <v>78500000</v>
      </c>
      <c r="G1518" t="s">
        <v>26</v>
      </c>
      <c r="H1518" t="s">
        <v>81</v>
      </c>
      <c r="I1518" t="s">
        <v>9</v>
      </c>
      <c r="L1518" t="s">
        <v>161</v>
      </c>
      <c r="M1518">
        <v>78500000</v>
      </c>
    </row>
    <row r="1519" spans="1:13" x14ac:dyDescent="0.3">
      <c r="A1519" s="23">
        <v>45456</v>
      </c>
      <c r="B1519" t="s">
        <v>13</v>
      </c>
      <c r="C1519" t="s">
        <v>132</v>
      </c>
      <c r="D1519" t="s">
        <v>16</v>
      </c>
      <c r="E1519" t="s">
        <v>41</v>
      </c>
      <c r="F1519">
        <v>78800000</v>
      </c>
      <c r="G1519" t="s">
        <v>26</v>
      </c>
      <c r="H1519" t="s">
        <v>81</v>
      </c>
      <c r="I1519" t="s">
        <v>9</v>
      </c>
      <c r="L1519" t="s">
        <v>161</v>
      </c>
      <c r="M1519">
        <v>78800000</v>
      </c>
    </row>
    <row r="1520" spans="1:13" x14ac:dyDescent="0.3">
      <c r="A1520" s="23">
        <v>44825</v>
      </c>
      <c r="B1520" t="s">
        <v>13</v>
      </c>
      <c r="C1520" t="s">
        <v>132</v>
      </c>
      <c r="D1520" t="s">
        <v>16</v>
      </c>
      <c r="E1520" t="s">
        <v>41</v>
      </c>
      <c r="F1520">
        <v>80000000</v>
      </c>
      <c r="G1520" t="s">
        <v>26</v>
      </c>
      <c r="H1520" t="s">
        <v>81</v>
      </c>
      <c r="I1520" t="s">
        <v>9</v>
      </c>
      <c r="L1520" t="s">
        <v>161</v>
      </c>
      <c r="M1520">
        <v>80000000</v>
      </c>
    </row>
    <row r="1521" spans="1:13" x14ac:dyDescent="0.3">
      <c r="A1521" s="23">
        <v>45684</v>
      </c>
      <c r="B1521" t="s">
        <v>13</v>
      </c>
      <c r="C1521" t="s">
        <v>132</v>
      </c>
      <c r="D1521" t="s">
        <v>16</v>
      </c>
      <c r="E1521" t="s">
        <v>46</v>
      </c>
      <c r="F1521">
        <v>80000000</v>
      </c>
      <c r="G1521" t="s">
        <v>28</v>
      </c>
      <c r="H1521" t="s">
        <v>81</v>
      </c>
      <c r="I1521" t="s">
        <v>9</v>
      </c>
      <c r="L1521" t="s">
        <v>161</v>
      </c>
      <c r="M1521">
        <v>80000000</v>
      </c>
    </row>
    <row r="1522" spans="1:13" x14ac:dyDescent="0.3">
      <c r="A1522" s="23">
        <v>44907</v>
      </c>
      <c r="B1522" t="s">
        <v>13</v>
      </c>
      <c r="C1522" t="s">
        <v>132</v>
      </c>
      <c r="D1522" t="s">
        <v>16</v>
      </c>
      <c r="E1522" t="s">
        <v>46</v>
      </c>
      <c r="F1522">
        <v>80200000</v>
      </c>
      <c r="G1522" t="s">
        <v>28</v>
      </c>
      <c r="H1522" t="s">
        <v>81</v>
      </c>
      <c r="I1522" t="s">
        <v>9</v>
      </c>
      <c r="L1522" t="s">
        <v>161</v>
      </c>
      <c r="M1522">
        <v>80200000</v>
      </c>
    </row>
    <row r="1523" spans="1:13" x14ac:dyDescent="0.3">
      <c r="A1523" s="23">
        <v>45173</v>
      </c>
      <c r="B1523" t="s">
        <v>13</v>
      </c>
      <c r="C1523" t="s">
        <v>132</v>
      </c>
      <c r="D1523" t="s">
        <v>16</v>
      </c>
      <c r="E1523" t="s">
        <v>41</v>
      </c>
      <c r="F1523">
        <v>80600000</v>
      </c>
      <c r="G1523" t="s">
        <v>26</v>
      </c>
      <c r="H1523" t="s">
        <v>81</v>
      </c>
      <c r="I1523" t="s">
        <v>9</v>
      </c>
      <c r="L1523" t="s">
        <v>161</v>
      </c>
      <c r="M1523">
        <v>80600000</v>
      </c>
    </row>
    <row r="1524" spans="1:13" x14ac:dyDescent="0.3">
      <c r="A1524" s="23">
        <v>45345</v>
      </c>
      <c r="B1524" t="s">
        <v>13</v>
      </c>
      <c r="C1524" t="s">
        <v>143</v>
      </c>
      <c r="D1524" t="s">
        <v>16</v>
      </c>
      <c r="E1524" t="s">
        <v>149</v>
      </c>
      <c r="F1524">
        <v>81540680.900000006</v>
      </c>
      <c r="G1524" t="s">
        <v>140</v>
      </c>
      <c r="H1524" t="s">
        <v>81</v>
      </c>
      <c r="I1524" t="s">
        <v>9</v>
      </c>
      <c r="M1524">
        <v>81540680.900000006</v>
      </c>
    </row>
    <row r="1525" spans="1:13" x14ac:dyDescent="0.3">
      <c r="A1525" s="23">
        <v>44825</v>
      </c>
      <c r="B1525" t="s">
        <v>13</v>
      </c>
      <c r="C1525" t="s">
        <v>132</v>
      </c>
      <c r="D1525" t="s">
        <v>16</v>
      </c>
      <c r="E1525" t="s">
        <v>48</v>
      </c>
      <c r="F1525">
        <v>81800000</v>
      </c>
      <c r="G1525" t="s">
        <v>29</v>
      </c>
      <c r="H1525" t="s">
        <v>81</v>
      </c>
      <c r="I1525" t="s">
        <v>9</v>
      </c>
      <c r="L1525" t="s">
        <v>161</v>
      </c>
      <c r="M1525">
        <v>81800000</v>
      </c>
    </row>
    <row r="1526" spans="1:13" x14ac:dyDescent="0.3">
      <c r="A1526" s="23">
        <v>45492</v>
      </c>
      <c r="B1526" t="s">
        <v>13</v>
      </c>
      <c r="C1526" t="s">
        <v>132</v>
      </c>
      <c r="D1526" t="s">
        <v>16</v>
      </c>
      <c r="E1526" t="s">
        <v>48</v>
      </c>
      <c r="F1526">
        <v>82600000</v>
      </c>
      <c r="G1526" t="s">
        <v>29</v>
      </c>
      <c r="H1526" t="s">
        <v>81</v>
      </c>
      <c r="I1526" t="s">
        <v>9</v>
      </c>
      <c r="L1526" t="s">
        <v>161</v>
      </c>
      <c r="M1526">
        <v>82600000</v>
      </c>
    </row>
    <row r="1527" spans="1:13" x14ac:dyDescent="0.3">
      <c r="A1527" s="23">
        <v>45247</v>
      </c>
      <c r="B1527" t="s">
        <v>13</v>
      </c>
      <c r="C1527" t="s">
        <v>132</v>
      </c>
      <c r="D1527" t="s">
        <v>16</v>
      </c>
      <c r="E1527" t="s">
        <v>41</v>
      </c>
      <c r="F1527">
        <v>83900000</v>
      </c>
      <c r="G1527" t="s">
        <v>26</v>
      </c>
      <c r="H1527" t="s">
        <v>81</v>
      </c>
      <c r="I1527" t="s">
        <v>9</v>
      </c>
      <c r="L1527" t="s">
        <v>161</v>
      </c>
      <c r="M1527">
        <v>83900000</v>
      </c>
    </row>
    <row r="1528" spans="1:13" x14ac:dyDescent="0.3">
      <c r="A1528" s="23">
        <v>45712</v>
      </c>
      <c r="B1528" t="s">
        <v>13</v>
      </c>
      <c r="C1528" t="s">
        <v>132</v>
      </c>
      <c r="D1528" t="s">
        <v>16</v>
      </c>
      <c r="E1528" t="s">
        <v>193</v>
      </c>
      <c r="F1528">
        <v>83921297.329999998</v>
      </c>
      <c r="G1528" t="s">
        <v>131</v>
      </c>
      <c r="H1528" t="s">
        <v>81</v>
      </c>
      <c r="I1528" t="s">
        <v>9</v>
      </c>
      <c r="L1528" t="s">
        <v>161</v>
      </c>
      <c r="M1528">
        <v>83921297.329999998</v>
      </c>
    </row>
    <row r="1529" spans="1:13" x14ac:dyDescent="0.3">
      <c r="A1529" s="23">
        <v>45590</v>
      </c>
      <c r="B1529" t="s">
        <v>13</v>
      </c>
      <c r="C1529" t="s">
        <v>132</v>
      </c>
      <c r="D1529" t="s">
        <v>16</v>
      </c>
      <c r="E1529" t="s">
        <v>41</v>
      </c>
      <c r="F1529">
        <v>85000000</v>
      </c>
      <c r="G1529" t="s">
        <v>26</v>
      </c>
      <c r="H1529" t="s">
        <v>81</v>
      </c>
      <c r="I1529" t="s">
        <v>9</v>
      </c>
      <c r="L1529" t="s">
        <v>161</v>
      </c>
      <c r="M1529">
        <v>85000000</v>
      </c>
    </row>
    <row r="1530" spans="1:13" x14ac:dyDescent="0.3">
      <c r="A1530" s="23">
        <v>45258</v>
      </c>
      <c r="B1530" t="s">
        <v>13</v>
      </c>
      <c r="C1530" t="s">
        <v>143</v>
      </c>
      <c r="D1530" t="s">
        <v>16</v>
      </c>
      <c r="E1530" t="s">
        <v>149</v>
      </c>
      <c r="F1530">
        <v>86322626.189999998</v>
      </c>
      <c r="G1530" t="s">
        <v>140</v>
      </c>
      <c r="H1530" t="s">
        <v>81</v>
      </c>
      <c r="I1530" t="s">
        <v>9</v>
      </c>
      <c r="M1530">
        <v>86322626.189999998</v>
      </c>
    </row>
    <row r="1531" spans="1:13" x14ac:dyDescent="0.3">
      <c r="A1531" s="23">
        <v>45408</v>
      </c>
      <c r="B1531" t="s">
        <v>13</v>
      </c>
      <c r="C1531" t="s">
        <v>132</v>
      </c>
      <c r="D1531" t="s">
        <v>16</v>
      </c>
      <c r="E1531" t="s">
        <v>136</v>
      </c>
      <c r="F1531">
        <v>86661324</v>
      </c>
      <c r="G1531" t="s">
        <v>134</v>
      </c>
      <c r="H1531" t="s">
        <v>81</v>
      </c>
      <c r="I1531" t="s">
        <v>9</v>
      </c>
      <c r="L1531" t="s">
        <v>161</v>
      </c>
      <c r="M1531">
        <v>86661324</v>
      </c>
    </row>
    <row r="1532" spans="1:13" x14ac:dyDescent="0.3">
      <c r="A1532" s="23">
        <v>44743</v>
      </c>
      <c r="B1532" t="s">
        <v>13</v>
      </c>
      <c r="C1532" t="s">
        <v>143</v>
      </c>
      <c r="D1532" t="s">
        <v>16</v>
      </c>
      <c r="E1532" t="s">
        <v>149</v>
      </c>
      <c r="F1532">
        <v>88071875.170000002</v>
      </c>
      <c r="G1532" t="s">
        <v>140</v>
      </c>
      <c r="H1532" t="s">
        <v>81</v>
      </c>
      <c r="I1532" t="s">
        <v>9</v>
      </c>
      <c r="J1532" s="23">
        <v>44746</v>
      </c>
      <c r="K1532" t="s">
        <v>152</v>
      </c>
      <c r="L1532" t="s">
        <v>217</v>
      </c>
      <c r="M1532">
        <v>88071875.170000002</v>
      </c>
    </row>
    <row r="1533" spans="1:13" x14ac:dyDescent="0.3">
      <c r="A1533" s="23">
        <v>45016</v>
      </c>
      <c r="B1533" t="s">
        <v>13</v>
      </c>
      <c r="C1533" t="s">
        <v>143</v>
      </c>
      <c r="D1533" t="s">
        <v>16</v>
      </c>
      <c r="E1533" t="s">
        <v>149</v>
      </c>
      <c r="F1533">
        <v>89086293.099999994</v>
      </c>
      <c r="G1533" t="s">
        <v>140</v>
      </c>
      <c r="H1533" t="s">
        <v>81</v>
      </c>
      <c r="I1533" t="s">
        <v>9</v>
      </c>
      <c r="J1533" s="23">
        <v>45019</v>
      </c>
      <c r="L1533" t="s">
        <v>245</v>
      </c>
      <c r="M1533">
        <v>89086293.099999994</v>
      </c>
    </row>
    <row r="1534" spans="1:13" x14ac:dyDescent="0.3">
      <c r="A1534" s="23">
        <v>45511</v>
      </c>
      <c r="B1534" t="s">
        <v>13</v>
      </c>
      <c r="C1534" t="s">
        <v>132</v>
      </c>
      <c r="D1534" t="s">
        <v>16</v>
      </c>
      <c r="E1534" t="s">
        <v>41</v>
      </c>
      <c r="F1534">
        <v>89300000</v>
      </c>
      <c r="G1534" t="s">
        <v>26</v>
      </c>
      <c r="H1534" t="s">
        <v>81</v>
      </c>
      <c r="I1534" t="s">
        <v>9</v>
      </c>
      <c r="L1534" t="s">
        <v>161</v>
      </c>
      <c r="M1534">
        <v>89300000</v>
      </c>
    </row>
    <row r="1535" spans="1:13" x14ac:dyDescent="0.3">
      <c r="A1535" s="23">
        <v>45307</v>
      </c>
      <c r="B1535" t="s">
        <v>13</v>
      </c>
      <c r="C1535" t="s">
        <v>143</v>
      </c>
      <c r="D1535" t="s">
        <v>16</v>
      </c>
      <c r="E1535" t="s">
        <v>149</v>
      </c>
      <c r="F1535">
        <v>89415474.349999994</v>
      </c>
      <c r="G1535" t="s">
        <v>140</v>
      </c>
      <c r="H1535" t="s">
        <v>81</v>
      </c>
      <c r="I1535" t="s">
        <v>9</v>
      </c>
      <c r="M1535">
        <v>89415474.349999994</v>
      </c>
    </row>
    <row r="1536" spans="1:13" x14ac:dyDescent="0.3">
      <c r="A1536" s="23">
        <v>45338</v>
      </c>
      <c r="B1536" t="s">
        <v>13</v>
      </c>
      <c r="C1536" t="s">
        <v>132</v>
      </c>
      <c r="D1536" t="s">
        <v>16</v>
      </c>
      <c r="E1536" t="s">
        <v>180</v>
      </c>
      <c r="F1536">
        <v>90000000</v>
      </c>
      <c r="G1536" t="s">
        <v>181</v>
      </c>
      <c r="H1536" t="s">
        <v>81</v>
      </c>
      <c r="I1536" t="s">
        <v>9</v>
      </c>
      <c r="L1536" t="s">
        <v>161</v>
      </c>
      <c r="M1536">
        <v>90000000</v>
      </c>
    </row>
    <row r="1537" spans="1:13" x14ac:dyDescent="0.3">
      <c r="A1537" s="23">
        <v>45237</v>
      </c>
      <c r="B1537" t="s">
        <v>13</v>
      </c>
      <c r="C1537" t="s">
        <v>132</v>
      </c>
      <c r="D1537" t="s">
        <v>16</v>
      </c>
      <c r="E1537" t="s">
        <v>46</v>
      </c>
      <c r="F1537">
        <v>91800000</v>
      </c>
      <c r="G1537" t="s">
        <v>28</v>
      </c>
      <c r="H1537" t="s">
        <v>81</v>
      </c>
      <c r="I1537" t="s">
        <v>9</v>
      </c>
      <c r="L1537" t="s">
        <v>161</v>
      </c>
      <c r="M1537">
        <v>91800000</v>
      </c>
    </row>
    <row r="1538" spans="1:13" x14ac:dyDescent="0.3">
      <c r="A1538" s="23">
        <v>45275</v>
      </c>
      <c r="B1538" t="s">
        <v>13</v>
      </c>
      <c r="C1538" t="s">
        <v>143</v>
      </c>
      <c r="D1538" t="s">
        <v>16</v>
      </c>
      <c r="E1538" t="s">
        <v>149</v>
      </c>
      <c r="F1538">
        <v>92751741.989999995</v>
      </c>
      <c r="G1538" t="s">
        <v>140</v>
      </c>
      <c r="H1538" t="s">
        <v>81</v>
      </c>
      <c r="I1538" t="s">
        <v>9</v>
      </c>
      <c r="M1538">
        <v>92751741.989999995</v>
      </c>
    </row>
    <row r="1539" spans="1:13" x14ac:dyDescent="0.3">
      <c r="A1539" s="23">
        <v>45349</v>
      </c>
      <c r="B1539" t="s">
        <v>13</v>
      </c>
      <c r="C1539" t="s">
        <v>132</v>
      </c>
      <c r="D1539" t="s">
        <v>16</v>
      </c>
      <c r="E1539" t="s">
        <v>41</v>
      </c>
      <c r="F1539">
        <v>95000000</v>
      </c>
      <c r="G1539" t="s">
        <v>26</v>
      </c>
      <c r="H1539" t="s">
        <v>81</v>
      </c>
      <c r="I1539" t="s">
        <v>9</v>
      </c>
      <c r="L1539" t="s">
        <v>161</v>
      </c>
      <c r="M1539">
        <v>95000000</v>
      </c>
    </row>
    <row r="1540" spans="1:13" x14ac:dyDescent="0.3">
      <c r="A1540" s="23">
        <v>45008</v>
      </c>
      <c r="B1540" t="s">
        <v>13</v>
      </c>
      <c r="C1540" t="s">
        <v>143</v>
      </c>
      <c r="D1540" t="s">
        <v>16</v>
      </c>
      <c r="E1540" t="s">
        <v>149</v>
      </c>
      <c r="F1540">
        <v>96083847.5</v>
      </c>
      <c r="G1540" t="s">
        <v>140</v>
      </c>
      <c r="H1540" t="s">
        <v>81</v>
      </c>
      <c r="I1540" t="s">
        <v>9</v>
      </c>
      <c r="J1540" s="23">
        <v>45012</v>
      </c>
      <c r="L1540" t="s">
        <v>244</v>
      </c>
      <c r="M1540">
        <v>96083847.5</v>
      </c>
    </row>
    <row r="1541" spans="1:13" x14ac:dyDescent="0.3">
      <c r="A1541" s="23">
        <v>45600</v>
      </c>
      <c r="B1541" t="s">
        <v>13</v>
      </c>
      <c r="C1541" t="s">
        <v>132</v>
      </c>
      <c r="D1541" t="s">
        <v>16</v>
      </c>
      <c r="E1541" t="s">
        <v>41</v>
      </c>
      <c r="F1541">
        <v>97300000</v>
      </c>
      <c r="G1541" t="s">
        <v>26</v>
      </c>
      <c r="H1541" t="s">
        <v>81</v>
      </c>
      <c r="I1541" t="s">
        <v>9</v>
      </c>
      <c r="L1541" t="s">
        <v>161</v>
      </c>
      <c r="M1541">
        <v>97300000</v>
      </c>
    </row>
    <row r="1542" spans="1:13" x14ac:dyDescent="0.3">
      <c r="A1542" s="23">
        <v>45128</v>
      </c>
      <c r="B1542" t="s">
        <v>13</v>
      </c>
      <c r="C1542" t="s">
        <v>132</v>
      </c>
      <c r="D1542" t="s">
        <v>16</v>
      </c>
      <c r="E1542" t="s">
        <v>41</v>
      </c>
      <c r="F1542">
        <v>99600000</v>
      </c>
      <c r="G1542" t="s">
        <v>26</v>
      </c>
      <c r="H1542" t="s">
        <v>81</v>
      </c>
      <c r="I1542" t="s">
        <v>9</v>
      </c>
      <c r="L1542" t="s">
        <v>161</v>
      </c>
      <c r="M1542">
        <v>99600000</v>
      </c>
    </row>
    <row r="1543" spans="1:13" x14ac:dyDescent="0.3">
      <c r="A1543" s="23">
        <v>45443</v>
      </c>
      <c r="B1543" t="s">
        <v>13</v>
      </c>
      <c r="C1543" t="s">
        <v>132</v>
      </c>
      <c r="D1543" t="s">
        <v>16</v>
      </c>
      <c r="E1543" t="s">
        <v>136</v>
      </c>
      <c r="F1543">
        <v>100000000</v>
      </c>
      <c r="G1543" t="s">
        <v>134</v>
      </c>
      <c r="H1543" t="s">
        <v>81</v>
      </c>
      <c r="I1543" t="s">
        <v>9</v>
      </c>
      <c r="L1543" t="s">
        <v>161</v>
      </c>
      <c r="M1543">
        <v>100000000</v>
      </c>
    </row>
    <row r="1544" spans="1:13" x14ac:dyDescent="0.3">
      <c r="A1544" s="23">
        <v>45079</v>
      </c>
      <c r="B1544" t="s">
        <v>13</v>
      </c>
      <c r="C1544" t="s">
        <v>132</v>
      </c>
      <c r="D1544" t="s">
        <v>16</v>
      </c>
      <c r="E1544" t="s">
        <v>136</v>
      </c>
      <c r="F1544">
        <v>100000000</v>
      </c>
      <c r="G1544" t="s">
        <v>134</v>
      </c>
      <c r="H1544" t="s">
        <v>81</v>
      </c>
      <c r="I1544" t="s">
        <v>9</v>
      </c>
      <c r="L1544" t="s">
        <v>161</v>
      </c>
      <c r="M1544">
        <v>100000000</v>
      </c>
    </row>
    <row r="1545" spans="1:13" x14ac:dyDescent="0.3">
      <c r="A1545" s="23">
        <v>45583</v>
      </c>
      <c r="B1545" t="s">
        <v>13</v>
      </c>
      <c r="C1545" t="s">
        <v>132</v>
      </c>
      <c r="D1545" t="s">
        <v>16</v>
      </c>
      <c r="E1545" t="s">
        <v>41</v>
      </c>
      <c r="F1545">
        <v>100000000</v>
      </c>
      <c r="G1545" t="s">
        <v>26</v>
      </c>
      <c r="H1545" t="s">
        <v>81</v>
      </c>
      <c r="I1545" t="s">
        <v>9</v>
      </c>
      <c r="L1545" t="s">
        <v>161</v>
      </c>
      <c r="M1545">
        <v>100000000</v>
      </c>
    </row>
    <row r="1546" spans="1:13" x14ac:dyDescent="0.3">
      <c r="A1546" s="23">
        <v>45590</v>
      </c>
      <c r="B1546" t="s">
        <v>13</v>
      </c>
      <c r="C1546" t="s">
        <v>132</v>
      </c>
      <c r="D1546" t="s">
        <v>16</v>
      </c>
      <c r="E1546" t="s">
        <v>46</v>
      </c>
      <c r="F1546">
        <v>100000000</v>
      </c>
      <c r="G1546" t="s">
        <v>28</v>
      </c>
      <c r="H1546" t="s">
        <v>81</v>
      </c>
      <c r="I1546" t="s">
        <v>9</v>
      </c>
      <c r="L1546" t="s">
        <v>161</v>
      </c>
      <c r="M1546">
        <v>100000000</v>
      </c>
    </row>
    <row r="1547" spans="1:13" x14ac:dyDescent="0.3">
      <c r="A1547" s="23">
        <v>45342</v>
      </c>
      <c r="B1547" t="s">
        <v>13</v>
      </c>
      <c r="C1547" t="s">
        <v>132</v>
      </c>
      <c r="D1547" t="s">
        <v>16</v>
      </c>
      <c r="E1547" t="s">
        <v>46</v>
      </c>
      <c r="F1547">
        <v>100000000</v>
      </c>
      <c r="G1547" t="s">
        <v>28</v>
      </c>
      <c r="H1547" t="s">
        <v>81</v>
      </c>
      <c r="I1547" t="s">
        <v>9</v>
      </c>
      <c r="L1547" t="s">
        <v>161</v>
      </c>
      <c r="M1547">
        <v>100000000</v>
      </c>
    </row>
    <row r="1548" spans="1:13" x14ac:dyDescent="0.3">
      <c r="A1548" s="23">
        <v>45580</v>
      </c>
      <c r="B1548" t="s">
        <v>13</v>
      </c>
      <c r="C1548" t="s">
        <v>132</v>
      </c>
      <c r="D1548" t="s">
        <v>16</v>
      </c>
      <c r="E1548" t="s">
        <v>48</v>
      </c>
      <c r="F1548">
        <v>100000000</v>
      </c>
      <c r="G1548" t="s">
        <v>29</v>
      </c>
      <c r="H1548" t="s">
        <v>81</v>
      </c>
      <c r="I1548" t="s">
        <v>9</v>
      </c>
      <c r="L1548" t="s">
        <v>161</v>
      </c>
      <c r="M1548">
        <v>100000000</v>
      </c>
    </row>
    <row r="1549" spans="1:13" x14ac:dyDescent="0.3">
      <c r="A1549" s="23">
        <v>45337</v>
      </c>
      <c r="B1549" t="s">
        <v>13</v>
      </c>
      <c r="C1549" t="s">
        <v>132</v>
      </c>
      <c r="D1549" t="s">
        <v>16</v>
      </c>
      <c r="E1549" t="s">
        <v>169</v>
      </c>
      <c r="F1549">
        <v>100000000</v>
      </c>
      <c r="G1549" t="s">
        <v>131</v>
      </c>
      <c r="H1549" t="s">
        <v>81</v>
      </c>
      <c r="I1549" t="s">
        <v>9</v>
      </c>
      <c r="L1549" t="s">
        <v>161</v>
      </c>
      <c r="M1549">
        <v>100000000</v>
      </c>
    </row>
    <row r="1550" spans="1:13" x14ac:dyDescent="0.3">
      <c r="A1550" s="23">
        <v>45328</v>
      </c>
      <c r="B1550" t="s">
        <v>13</v>
      </c>
      <c r="C1550" t="s">
        <v>132</v>
      </c>
      <c r="D1550" t="s">
        <v>16</v>
      </c>
      <c r="E1550" t="s">
        <v>180</v>
      </c>
      <c r="F1550">
        <v>100000000</v>
      </c>
      <c r="G1550" t="s">
        <v>181</v>
      </c>
      <c r="H1550" t="s">
        <v>81</v>
      </c>
      <c r="I1550" t="s">
        <v>9</v>
      </c>
      <c r="L1550" t="s">
        <v>161</v>
      </c>
      <c r="M1550">
        <v>100000000</v>
      </c>
    </row>
    <row r="1551" spans="1:13" x14ac:dyDescent="0.3">
      <c r="A1551" s="23">
        <v>45069</v>
      </c>
      <c r="B1551" t="s">
        <v>13</v>
      </c>
      <c r="C1551" t="s">
        <v>132</v>
      </c>
      <c r="D1551" t="s">
        <v>16</v>
      </c>
      <c r="E1551" t="s">
        <v>136</v>
      </c>
      <c r="F1551">
        <v>100225741.30999999</v>
      </c>
      <c r="G1551" t="s">
        <v>134</v>
      </c>
      <c r="H1551" t="s">
        <v>81</v>
      </c>
      <c r="I1551" t="s">
        <v>9</v>
      </c>
      <c r="L1551" t="s">
        <v>161</v>
      </c>
      <c r="M1551">
        <v>100225741.31</v>
      </c>
    </row>
    <row r="1552" spans="1:13" x14ac:dyDescent="0.3">
      <c r="A1552" s="23">
        <v>45099</v>
      </c>
      <c r="B1552" t="s">
        <v>13</v>
      </c>
      <c r="C1552" t="s">
        <v>132</v>
      </c>
      <c r="D1552" t="s">
        <v>16</v>
      </c>
      <c r="E1552" t="s">
        <v>136</v>
      </c>
      <c r="F1552">
        <v>100700000</v>
      </c>
      <c r="G1552" t="s">
        <v>134</v>
      </c>
      <c r="H1552" t="s">
        <v>81</v>
      </c>
      <c r="I1552" t="s">
        <v>9</v>
      </c>
      <c r="L1552" t="s">
        <v>161</v>
      </c>
      <c r="M1552">
        <v>100700000</v>
      </c>
    </row>
    <row r="1553" spans="1:13" x14ac:dyDescent="0.3">
      <c r="A1553" s="23">
        <v>44831</v>
      </c>
      <c r="B1553" t="s">
        <v>13</v>
      </c>
      <c r="C1553" t="s">
        <v>132</v>
      </c>
      <c r="D1553" t="s">
        <v>16</v>
      </c>
      <c r="E1553" t="s">
        <v>48</v>
      </c>
      <c r="F1553">
        <v>102000000</v>
      </c>
      <c r="G1553" t="s">
        <v>29</v>
      </c>
      <c r="H1553" t="s">
        <v>81</v>
      </c>
      <c r="I1553" t="s">
        <v>9</v>
      </c>
      <c r="L1553" t="s">
        <v>161</v>
      </c>
      <c r="M1553">
        <v>102000000</v>
      </c>
    </row>
    <row r="1554" spans="1:13" x14ac:dyDescent="0.3">
      <c r="A1554" s="23">
        <v>45103</v>
      </c>
      <c r="B1554" t="s">
        <v>13</v>
      </c>
      <c r="C1554" t="s">
        <v>132</v>
      </c>
      <c r="D1554" t="s">
        <v>16</v>
      </c>
      <c r="E1554" t="s">
        <v>162</v>
      </c>
      <c r="F1554">
        <v>104900000</v>
      </c>
      <c r="G1554" t="s">
        <v>22</v>
      </c>
      <c r="H1554" t="s">
        <v>81</v>
      </c>
      <c r="I1554" t="s">
        <v>9</v>
      </c>
      <c r="L1554" t="s">
        <v>161</v>
      </c>
      <c r="M1554">
        <v>104900000</v>
      </c>
    </row>
    <row r="1555" spans="1:13" x14ac:dyDescent="0.3">
      <c r="A1555" s="23">
        <v>45586</v>
      </c>
      <c r="B1555" t="s">
        <v>13</v>
      </c>
      <c r="C1555" t="s">
        <v>143</v>
      </c>
      <c r="D1555" t="s">
        <v>16</v>
      </c>
      <c r="E1555" t="s">
        <v>149</v>
      </c>
      <c r="F1555">
        <v>105209393</v>
      </c>
      <c r="G1555" t="s">
        <v>140</v>
      </c>
      <c r="H1555" t="s">
        <v>81</v>
      </c>
      <c r="I1555" t="s">
        <v>9</v>
      </c>
      <c r="M1555">
        <v>105209393</v>
      </c>
    </row>
    <row r="1556" spans="1:13" x14ac:dyDescent="0.3">
      <c r="A1556" s="23">
        <v>45730</v>
      </c>
      <c r="B1556" t="s">
        <v>13</v>
      </c>
      <c r="C1556" t="s">
        <v>132</v>
      </c>
      <c r="D1556" t="s">
        <v>16</v>
      </c>
      <c r="E1556" t="s">
        <v>48</v>
      </c>
      <c r="F1556">
        <v>107000000</v>
      </c>
      <c r="G1556" t="s">
        <v>29</v>
      </c>
      <c r="H1556" t="s">
        <v>81</v>
      </c>
      <c r="I1556" t="s">
        <v>9</v>
      </c>
      <c r="L1556" t="s">
        <v>161</v>
      </c>
      <c r="M1556">
        <v>107000000</v>
      </c>
    </row>
    <row r="1557" spans="1:13" x14ac:dyDescent="0.3">
      <c r="A1557" s="23">
        <v>44750</v>
      </c>
      <c r="B1557" t="s">
        <v>13</v>
      </c>
      <c r="C1557" t="s">
        <v>132</v>
      </c>
      <c r="D1557" t="s">
        <v>16</v>
      </c>
      <c r="E1557" t="s">
        <v>139</v>
      </c>
      <c r="F1557">
        <v>108554427.54000001</v>
      </c>
      <c r="G1557" t="s">
        <v>140</v>
      </c>
      <c r="H1557" t="s">
        <v>81</v>
      </c>
      <c r="I1557" t="s">
        <v>9</v>
      </c>
      <c r="J1557" t="s">
        <v>155</v>
      </c>
      <c r="L1557" t="s">
        <v>161</v>
      </c>
      <c r="M1557">
        <v>108554427.54000001</v>
      </c>
    </row>
    <row r="1558" spans="1:13" x14ac:dyDescent="0.3">
      <c r="A1558" s="23">
        <v>45400</v>
      </c>
      <c r="B1558" t="s">
        <v>13</v>
      </c>
      <c r="C1558" t="s">
        <v>132</v>
      </c>
      <c r="D1558" t="s">
        <v>16</v>
      </c>
      <c r="E1558" t="s">
        <v>169</v>
      </c>
      <c r="F1558">
        <v>109963578</v>
      </c>
      <c r="G1558" t="s">
        <v>131</v>
      </c>
      <c r="H1558" t="s">
        <v>81</v>
      </c>
      <c r="I1558" t="s">
        <v>9</v>
      </c>
      <c r="L1558" t="s">
        <v>161</v>
      </c>
      <c r="M1558">
        <v>109963578</v>
      </c>
    </row>
    <row r="1559" spans="1:13" x14ac:dyDescent="0.3">
      <c r="A1559" s="23">
        <v>44746</v>
      </c>
      <c r="B1559" t="s">
        <v>13</v>
      </c>
      <c r="C1559" t="s">
        <v>143</v>
      </c>
      <c r="D1559" t="s">
        <v>16</v>
      </c>
      <c r="E1559" t="s">
        <v>149</v>
      </c>
      <c r="F1559">
        <v>110037168.01000001</v>
      </c>
      <c r="G1559" t="s">
        <v>140</v>
      </c>
      <c r="H1559" t="s">
        <v>81</v>
      </c>
      <c r="I1559" t="s">
        <v>9</v>
      </c>
      <c r="J1559" s="23">
        <v>44747</v>
      </c>
      <c r="K1559" t="s">
        <v>152</v>
      </c>
      <c r="L1559" t="s">
        <v>223</v>
      </c>
      <c r="M1559">
        <v>110037168.01000001</v>
      </c>
    </row>
    <row r="1560" spans="1:13" x14ac:dyDescent="0.3">
      <c r="A1560" s="23">
        <v>45581</v>
      </c>
      <c r="B1560" t="s">
        <v>13</v>
      </c>
      <c r="C1560" t="s">
        <v>132</v>
      </c>
      <c r="D1560" t="s">
        <v>16</v>
      </c>
      <c r="E1560" t="s">
        <v>48</v>
      </c>
      <c r="F1560">
        <v>110800000</v>
      </c>
      <c r="G1560" t="s">
        <v>29</v>
      </c>
      <c r="H1560" t="s">
        <v>81</v>
      </c>
      <c r="I1560" t="s">
        <v>9</v>
      </c>
      <c r="L1560" t="s">
        <v>161</v>
      </c>
      <c r="M1560">
        <v>110800000</v>
      </c>
    </row>
    <row r="1561" spans="1:13" x14ac:dyDescent="0.3">
      <c r="A1561" s="23">
        <v>45660</v>
      </c>
      <c r="B1561" t="s">
        <v>13</v>
      </c>
      <c r="C1561" t="s">
        <v>132</v>
      </c>
      <c r="D1561" t="s">
        <v>16</v>
      </c>
      <c r="E1561" t="s">
        <v>193</v>
      </c>
      <c r="F1561">
        <v>112273036.48999999</v>
      </c>
      <c r="G1561" t="s">
        <v>131</v>
      </c>
      <c r="H1561" t="s">
        <v>81</v>
      </c>
      <c r="I1561" t="s">
        <v>9</v>
      </c>
      <c r="L1561" t="s">
        <v>161</v>
      </c>
      <c r="M1561">
        <v>112273036.48999999</v>
      </c>
    </row>
    <row r="1562" spans="1:13" x14ac:dyDescent="0.3">
      <c r="A1562" s="23">
        <v>44747</v>
      </c>
      <c r="B1562" t="s">
        <v>13</v>
      </c>
      <c r="C1562" t="s">
        <v>143</v>
      </c>
      <c r="D1562" t="s">
        <v>16</v>
      </c>
      <c r="E1562" t="s">
        <v>149</v>
      </c>
      <c r="F1562">
        <v>113746222.33</v>
      </c>
      <c r="G1562" t="s">
        <v>140</v>
      </c>
      <c r="H1562" t="s">
        <v>81</v>
      </c>
      <c r="I1562" t="s">
        <v>9</v>
      </c>
      <c r="J1562" s="23">
        <v>44748</v>
      </c>
      <c r="K1562" t="s">
        <v>152</v>
      </c>
      <c r="L1562" t="s">
        <v>224</v>
      </c>
      <c r="M1562">
        <v>113746222.33</v>
      </c>
    </row>
    <row r="1563" spans="1:13" x14ac:dyDescent="0.3">
      <c r="A1563" s="23">
        <v>45695</v>
      </c>
      <c r="B1563" t="s">
        <v>13</v>
      </c>
      <c r="C1563" t="s">
        <v>132</v>
      </c>
      <c r="D1563" t="s">
        <v>16</v>
      </c>
      <c r="E1563" t="s">
        <v>195</v>
      </c>
      <c r="F1563">
        <v>116550000</v>
      </c>
      <c r="G1563" t="s">
        <v>134</v>
      </c>
      <c r="H1563" t="s">
        <v>81</v>
      </c>
      <c r="I1563" t="s">
        <v>9</v>
      </c>
      <c r="L1563" t="s">
        <v>161</v>
      </c>
      <c r="M1563">
        <v>116550000</v>
      </c>
    </row>
    <row r="1564" spans="1:13" x14ac:dyDescent="0.3">
      <c r="A1564" s="23">
        <v>44866</v>
      </c>
      <c r="B1564" t="s">
        <v>13</v>
      </c>
      <c r="C1564" t="s">
        <v>132</v>
      </c>
      <c r="D1564" t="s">
        <v>16</v>
      </c>
      <c r="E1564" t="s">
        <v>46</v>
      </c>
      <c r="F1564">
        <v>117000000</v>
      </c>
      <c r="G1564" t="s">
        <v>28</v>
      </c>
      <c r="H1564" t="s">
        <v>81</v>
      </c>
      <c r="I1564" t="s">
        <v>9</v>
      </c>
      <c r="L1564" t="s">
        <v>161</v>
      </c>
      <c r="M1564">
        <v>117000000</v>
      </c>
    </row>
    <row r="1565" spans="1:13" x14ac:dyDescent="0.3">
      <c r="A1565" s="23">
        <v>45572</v>
      </c>
      <c r="B1565" t="s">
        <v>13</v>
      </c>
      <c r="C1565" t="s">
        <v>132</v>
      </c>
      <c r="D1565" t="s">
        <v>16</v>
      </c>
      <c r="E1565" t="s">
        <v>180</v>
      </c>
      <c r="F1565">
        <v>118585005.79000001</v>
      </c>
      <c r="G1565" t="s">
        <v>181</v>
      </c>
      <c r="H1565" t="s">
        <v>81</v>
      </c>
      <c r="I1565" t="s">
        <v>9</v>
      </c>
      <c r="L1565" t="s">
        <v>161</v>
      </c>
      <c r="M1565">
        <v>118585005.79000001</v>
      </c>
    </row>
    <row r="1566" spans="1:13" x14ac:dyDescent="0.3">
      <c r="A1566" s="23">
        <v>45681</v>
      </c>
      <c r="B1566" t="s">
        <v>13</v>
      </c>
      <c r="C1566" t="s">
        <v>132</v>
      </c>
      <c r="D1566" t="s">
        <v>16</v>
      </c>
      <c r="E1566" t="s">
        <v>193</v>
      </c>
      <c r="F1566">
        <v>120000000</v>
      </c>
      <c r="G1566" t="s">
        <v>131</v>
      </c>
      <c r="H1566" t="s">
        <v>81</v>
      </c>
      <c r="I1566" t="s">
        <v>9</v>
      </c>
      <c r="L1566" t="s">
        <v>161</v>
      </c>
      <c r="M1566">
        <v>120000000</v>
      </c>
    </row>
    <row r="1567" spans="1:13" x14ac:dyDescent="0.3">
      <c r="A1567" s="23">
        <v>45587</v>
      </c>
      <c r="B1567" t="s">
        <v>13</v>
      </c>
      <c r="C1567" t="s">
        <v>132</v>
      </c>
      <c r="D1567" t="s">
        <v>16</v>
      </c>
      <c r="E1567" t="s">
        <v>136</v>
      </c>
      <c r="F1567">
        <v>120059479</v>
      </c>
      <c r="G1567" t="s">
        <v>134</v>
      </c>
      <c r="H1567" t="s">
        <v>81</v>
      </c>
      <c r="I1567" t="s">
        <v>9</v>
      </c>
      <c r="L1567" t="s">
        <v>161</v>
      </c>
      <c r="M1567">
        <v>120059479</v>
      </c>
    </row>
    <row r="1568" spans="1:13" x14ac:dyDescent="0.3">
      <c r="A1568" s="23">
        <v>45733</v>
      </c>
      <c r="B1568" t="s">
        <v>13</v>
      </c>
      <c r="C1568" t="s">
        <v>132</v>
      </c>
      <c r="D1568" t="s">
        <v>16</v>
      </c>
      <c r="E1568" t="s">
        <v>41</v>
      </c>
      <c r="F1568">
        <v>121800000</v>
      </c>
      <c r="G1568" t="s">
        <v>26</v>
      </c>
      <c r="H1568" t="s">
        <v>81</v>
      </c>
      <c r="I1568" t="s">
        <v>9</v>
      </c>
      <c r="L1568" t="s">
        <v>161</v>
      </c>
      <c r="M1568">
        <v>121800000</v>
      </c>
    </row>
    <row r="1569" spans="1:13" x14ac:dyDescent="0.3">
      <c r="A1569" s="23">
        <v>45099</v>
      </c>
      <c r="B1569" t="s">
        <v>13</v>
      </c>
      <c r="C1569" t="s">
        <v>132</v>
      </c>
      <c r="D1569" t="s">
        <v>16</v>
      </c>
      <c r="E1569" t="s">
        <v>162</v>
      </c>
      <c r="F1569">
        <v>126058429.08</v>
      </c>
      <c r="G1569" t="s">
        <v>22</v>
      </c>
      <c r="H1569" t="s">
        <v>81</v>
      </c>
      <c r="I1569" t="s">
        <v>9</v>
      </c>
      <c r="L1569" t="s">
        <v>161</v>
      </c>
      <c r="M1569">
        <v>126058429.08</v>
      </c>
    </row>
    <row r="1570" spans="1:13" x14ac:dyDescent="0.3">
      <c r="A1570" s="23">
        <v>45540</v>
      </c>
      <c r="B1570" t="s">
        <v>13</v>
      </c>
      <c r="C1570" t="s">
        <v>132</v>
      </c>
      <c r="D1570" t="s">
        <v>16</v>
      </c>
      <c r="E1570" t="s">
        <v>180</v>
      </c>
      <c r="F1570">
        <v>127126169.98</v>
      </c>
      <c r="G1570" t="s">
        <v>181</v>
      </c>
      <c r="H1570" t="s">
        <v>81</v>
      </c>
      <c r="I1570" t="s">
        <v>9</v>
      </c>
      <c r="L1570" t="s">
        <v>161</v>
      </c>
      <c r="M1570">
        <v>127126169.98</v>
      </c>
    </row>
    <row r="1571" spans="1:13" x14ac:dyDescent="0.3">
      <c r="A1571" s="23">
        <v>45623</v>
      </c>
      <c r="B1571" t="s">
        <v>13</v>
      </c>
      <c r="C1571" t="s">
        <v>132</v>
      </c>
      <c r="D1571" t="s">
        <v>16</v>
      </c>
      <c r="E1571" t="s">
        <v>206</v>
      </c>
      <c r="F1571">
        <v>133683493</v>
      </c>
      <c r="G1571" t="s">
        <v>207</v>
      </c>
      <c r="H1571" t="s">
        <v>81</v>
      </c>
      <c r="I1571" t="s">
        <v>9</v>
      </c>
      <c r="L1571" t="s">
        <v>161</v>
      </c>
      <c r="M1571">
        <v>133683493</v>
      </c>
    </row>
    <row r="1572" spans="1:13" x14ac:dyDescent="0.3">
      <c r="A1572" s="23">
        <v>44866</v>
      </c>
      <c r="B1572" t="s">
        <v>13</v>
      </c>
      <c r="C1572" t="s">
        <v>132</v>
      </c>
      <c r="D1572" t="s">
        <v>16</v>
      </c>
      <c r="E1572" t="s">
        <v>48</v>
      </c>
      <c r="F1572">
        <v>136300000</v>
      </c>
      <c r="G1572" t="s">
        <v>29</v>
      </c>
      <c r="H1572" t="s">
        <v>81</v>
      </c>
      <c r="I1572" t="s">
        <v>9</v>
      </c>
      <c r="L1572" t="s">
        <v>161</v>
      </c>
      <c r="M1572">
        <v>136300000</v>
      </c>
    </row>
    <row r="1573" spans="1:13" x14ac:dyDescent="0.3">
      <c r="A1573" s="23">
        <v>44866</v>
      </c>
      <c r="B1573" t="s">
        <v>13</v>
      </c>
      <c r="C1573" t="s">
        <v>132</v>
      </c>
      <c r="D1573" t="s">
        <v>16</v>
      </c>
      <c r="E1573" t="s">
        <v>41</v>
      </c>
      <c r="F1573">
        <v>140100000</v>
      </c>
      <c r="G1573" t="s">
        <v>26</v>
      </c>
      <c r="H1573" t="s">
        <v>81</v>
      </c>
      <c r="I1573" t="s">
        <v>9</v>
      </c>
      <c r="L1573" t="s">
        <v>161</v>
      </c>
      <c r="M1573">
        <v>140100000</v>
      </c>
    </row>
    <row r="1574" spans="1:13" x14ac:dyDescent="0.3">
      <c r="A1574" s="23">
        <v>45330</v>
      </c>
      <c r="B1574" t="s">
        <v>13</v>
      </c>
      <c r="C1574" t="s">
        <v>132</v>
      </c>
      <c r="D1574" t="s">
        <v>16</v>
      </c>
      <c r="E1574" t="s">
        <v>46</v>
      </c>
      <c r="F1574">
        <v>140600000</v>
      </c>
      <c r="G1574" t="s">
        <v>28</v>
      </c>
      <c r="H1574" t="s">
        <v>81</v>
      </c>
      <c r="I1574" t="s">
        <v>9</v>
      </c>
      <c r="L1574" t="s">
        <v>161</v>
      </c>
      <c r="M1574">
        <v>140600000</v>
      </c>
    </row>
    <row r="1575" spans="1:13" x14ac:dyDescent="0.3">
      <c r="A1575" s="23">
        <v>45624</v>
      </c>
      <c r="B1575" t="s">
        <v>13</v>
      </c>
      <c r="C1575" t="s">
        <v>132</v>
      </c>
      <c r="D1575" t="s">
        <v>16</v>
      </c>
      <c r="E1575" t="s">
        <v>212</v>
      </c>
      <c r="F1575">
        <v>142613700.91999999</v>
      </c>
      <c r="G1575" t="s">
        <v>140</v>
      </c>
      <c r="H1575" t="s">
        <v>81</v>
      </c>
      <c r="I1575" t="s">
        <v>9</v>
      </c>
      <c r="L1575" t="s">
        <v>161</v>
      </c>
      <c r="M1575">
        <v>142613700.91999999</v>
      </c>
    </row>
    <row r="1576" spans="1:13" x14ac:dyDescent="0.3">
      <c r="A1576" s="23">
        <v>45167</v>
      </c>
      <c r="B1576" t="s">
        <v>13</v>
      </c>
      <c r="C1576" t="s">
        <v>132</v>
      </c>
      <c r="D1576" t="s">
        <v>16</v>
      </c>
      <c r="E1576" t="s">
        <v>162</v>
      </c>
      <c r="F1576">
        <v>145238735.37</v>
      </c>
      <c r="G1576" t="s">
        <v>22</v>
      </c>
      <c r="H1576" t="s">
        <v>81</v>
      </c>
      <c r="I1576" t="s">
        <v>9</v>
      </c>
      <c r="L1576" t="s">
        <v>161</v>
      </c>
      <c r="M1576">
        <v>145238735.37</v>
      </c>
    </row>
    <row r="1577" spans="1:13" x14ac:dyDescent="0.3">
      <c r="A1577" s="23">
        <v>45538</v>
      </c>
      <c r="B1577" t="s">
        <v>13</v>
      </c>
      <c r="C1577" t="s">
        <v>132</v>
      </c>
      <c r="D1577" t="s">
        <v>16</v>
      </c>
      <c r="E1577" t="s">
        <v>169</v>
      </c>
      <c r="F1577">
        <v>148464000</v>
      </c>
      <c r="G1577" t="s">
        <v>131</v>
      </c>
      <c r="H1577" t="s">
        <v>81</v>
      </c>
      <c r="I1577" t="s">
        <v>9</v>
      </c>
      <c r="L1577" t="s">
        <v>161</v>
      </c>
      <c r="M1577">
        <v>148464000</v>
      </c>
    </row>
    <row r="1578" spans="1:13" x14ac:dyDescent="0.3">
      <c r="A1578" s="23">
        <v>44827</v>
      </c>
      <c r="B1578" t="s">
        <v>13</v>
      </c>
      <c r="C1578" t="s">
        <v>132</v>
      </c>
      <c r="D1578" t="s">
        <v>16</v>
      </c>
      <c r="E1578" t="s">
        <v>136</v>
      </c>
      <c r="F1578">
        <v>150000000</v>
      </c>
      <c r="G1578" t="s">
        <v>134</v>
      </c>
      <c r="H1578" t="s">
        <v>81</v>
      </c>
      <c r="I1578" t="s">
        <v>9</v>
      </c>
      <c r="L1578" t="s">
        <v>161</v>
      </c>
      <c r="M1578">
        <v>150000000</v>
      </c>
    </row>
    <row r="1579" spans="1:13" x14ac:dyDescent="0.3">
      <c r="A1579" s="23">
        <v>45723</v>
      </c>
      <c r="B1579" t="s">
        <v>13</v>
      </c>
      <c r="C1579" t="s">
        <v>132</v>
      </c>
      <c r="D1579" t="s">
        <v>16</v>
      </c>
      <c r="E1579" t="s">
        <v>193</v>
      </c>
      <c r="F1579">
        <v>153238958.41999999</v>
      </c>
      <c r="G1579" t="s">
        <v>131</v>
      </c>
      <c r="H1579" t="s">
        <v>81</v>
      </c>
      <c r="I1579" t="s">
        <v>9</v>
      </c>
      <c r="L1579" t="s">
        <v>161</v>
      </c>
      <c r="M1579">
        <v>153238958.41999999</v>
      </c>
    </row>
    <row r="1580" spans="1:13" x14ac:dyDescent="0.3">
      <c r="A1580" s="23">
        <v>45190</v>
      </c>
      <c r="B1580" t="s">
        <v>13</v>
      </c>
      <c r="C1580" t="s">
        <v>132</v>
      </c>
      <c r="D1580" t="s">
        <v>16</v>
      </c>
      <c r="E1580" t="s">
        <v>136</v>
      </c>
      <c r="F1580">
        <v>155220000</v>
      </c>
      <c r="G1580" t="s">
        <v>134</v>
      </c>
      <c r="H1580" t="s">
        <v>81</v>
      </c>
      <c r="I1580" t="s">
        <v>9</v>
      </c>
      <c r="L1580" t="s">
        <v>161</v>
      </c>
      <c r="M1580">
        <v>155220000</v>
      </c>
    </row>
    <row r="1581" spans="1:13" x14ac:dyDescent="0.3">
      <c r="A1581" s="23">
        <v>45609</v>
      </c>
      <c r="B1581" t="s">
        <v>13</v>
      </c>
      <c r="C1581" t="s">
        <v>132</v>
      </c>
      <c r="D1581" t="s">
        <v>16</v>
      </c>
      <c r="E1581" t="s">
        <v>41</v>
      </c>
      <c r="F1581">
        <v>156700000</v>
      </c>
      <c r="G1581" t="s">
        <v>26</v>
      </c>
      <c r="H1581" t="s">
        <v>81</v>
      </c>
      <c r="I1581" t="s">
        <v>9</v>
      </c>
      <c r="L1581" t="s">
        <v>161</v>
      </c>
      <c r="M1581">
        <v>156700000</v>
      </c>
    </row>
    <row r="1582" spans="1:13" x14ac:dyDescent="0.3">
      <c r="A1582" s="23">
        <v>44712</v>
      </c>
      <c r="B1582" t="s">
        <v>13</v>
      </c>
      <c r="C1582" t="s">
        <v>132</v>
      </c>
      <c r="D1582" t="s">
        <v>16</v>
      </c>
      <c r="E1582" t="s">
        <v>41</v>
      </c>
      <c r="F1582">
        <v>160000000</v>
      </c>
      <c r="G1582" t="s">
        <v>26</v>
      </c>
      <c r="H1582" t="s">
        <v>81</v>
      </c>
      <c r="I1582" t="s">
        <v>9</v>
      </c>
      <c r="L1582" t="s">
        <v>161</v>
      </c>
      <c r="M1582">
        <v>160000000</v>
      </c>
    </row>
    <row r="1583" spans="1:13" x14ac:dyDescent="0.3">
      <c r="A1583" s="23">
        <v>45362</v>
      </c>
      <c r="B1583" t="s">
        <v>13</v>
      </c>
      <c r="C1583" t="s">
        <v>132</v>
      </c>
      <c r="D1583" t="s">
        <v>16</v>
      </c>
      <c r="E1583" t="s">
        <v>169</v>
      </c>
      <c r="F1583">
        <v>160000000</v>
      </c>
      <c r="G1583" t="s">
        <v>131</v>
      </c>
      <c r="H1583" t="s">
        <v>81</v>
      </c>
      <c r="I1583" t="s">
        <v>9</v>
      </c>
      <c r="L1583" t="s">
        <v>161</v>
      </c>
      <c r="M1583">
        <v>160000000</v>
      </c>
    </row>
    <row r="1584" spans="1:13" x14ac:dyDescent="0.3">
      <c r="A1584" s="23">
        <v>45243</v>
      </c>
      <c r="B1584" t="s">
        <v>13</v>
      </c>
      <c r="C1584" t="s">
        <v>132</v>
      </c>
      <c r="D1584" t="s">
        <v>16</v>
      </c>
      <c r="E1584" t="s">
        <v>41</v>
      </c>
      <c r="F1584">
        <v>163700000</v>
      </c>
      <c r="G1584" t="s">
        <v>26</v>
      </c>
      <c r="H1584" t="s">
        <v>81</v>
      </c>
      <c r="I1584" t="s">
        <v>9</v>
      </c>
      <c r="L1584" t="s">
        <v>161</v>
      </c>
      <c r="M1584">
        <v>163700000</v>
      </c>
    </row>
    <row r="1585" spans="1:13" x14ac:dyDescent="0.3">
      <c r="A1585" s="23">
        <v>45266</v>
      </c>
      <c r="B1585" t="s">
        <v>13</v>
      </c>
      <c r="C1585" t="s">
        <v>132</v>
      </c>
      <c r="D1585" t="s">
        <v>16</v>
      </c>
      <c r="E1585" t="s">
        <v>136</v>
      </c>
      <c r="F1585">
        <v>164000000</v>
      </c>
      <c r="G1585" t="s">
        <v>134</v>
      </c>
      <c r="H1585" t="s">
        <v>81</v>
      </c>
      <c r="I1585" t="s">
        <v>9</v>
      </c>
      <c r="L1585" t="s">
        <v>161</v>
      </c>
      <c r="M1585">
        <v>164000000</v>
      </c>
    </row>
    <row r="1586" spans="1:13" x14ac:dyDescent="0.3">
      <c r="A1586" s="23">
        <v>45266</v>
      </c>
      <c r="B1586" t="s">
        <v>13</v>
      </c>
      <c r="C1586" t="s">
        <v>132</v>
      </c>
      <c r="D1586" t="s">
        <v>16</v>
      </c>
      <c r="E1586" t="s">
        <v>169</v>
      </c>
      <c r="F1586">
        <v>164000000</v>
      </c>
      <c r="G1586" t="s">
        <v>131</v>
      </c>
      <c r="H1586" t="s">
        <v>81</v>
      </c>
      <c r="I1586" t="s">
        <v>9</v>
      </c>
      <c r="L1586" t="s">
        <v>161</v>
      </c>
      <c r="M1586">
        <v>164000000</v>
      </c>
    </row>
    <row r="1587" spans="1:13" x14ac:dyDescent="0.3">
      <c r="A1587" s="23">
        <v>45315</v>
      </c>
      <c r="B1587" t="s">
        <v>13</v>
      </c>
      <c r="C1587" t="s">
        <v>132</v>
      </c>
      <c r="D1587" t="s">
        <v>16</v>
      </c>
      <c r="E1587" t="s">
        <v>41</v>
      </c>
      <c r="F1587">
        <v>166700000</v>
      </c>
      <c r="G1587" t="s">
        <v>26</v>
      </c>
      <c r="H1587" t="s">
        <v>81</v>
      </c>
      <c r="I1587" t="s">
        <v>9</v>
      </c>
      <c r="L1587" t="s">
        <v>161</v>
      </c>
      <c r="M1587">
        <v>166700000</v>
      </c>
    </row>
    <row r="1588" spans="1:13" x14ac:dyDescent="0.3">
      <c r="A1588" s="23">
        <v>45155</v>
      </c>
      <c r="B1588" t="s">
        <v>13</v>
      </c>
      <c r="C1588" t="s">
        <v>132</v>
      </c>
      <c r="D1588" t="s">
        <v>16</v>
      </c>
      <c r="E1588" t="s">
        <v>136</v>
      </c>
      <c r="F1588">
        <v>170000000</v>
      </c>
      <c r="G1588" t="s">
        <v>134</v>
      </c>
      <c r="H1588" t="s">
        <v>81</v>
      </c>
      <c r="I1588" t="s">
        <v>9</v>
      </c>
      <c r="L1588" t="s">
        <v>161</v>
      </c>
      <c r="M1588">
        <v>170000000</v>
      </c>
    </row>
    <row r="1589" spans="1:13" x14ac:dyDescent="0.3">
      <c r="A1589" s="23">
        <v>45153</v>
      </c>
      <c r="B1589" t="s">
        <v>13</v>
      </c>
      <c r="C1589" t="s">
        <v>132</v>
      </c>
      <c r="D1589" t="s">
        <v>16</v>
      </c>
      <c r="E1589" t="s">
        <v>136</v>
      </c>
      <c r="F1589">
        <v>170000000</v>
      </c>
      <c r="G1589" t="s">
        <v>134</v>
      </c>
      <c r="H1589" t="s">
        <v>81</v>
      </c>
      <c r="I1589" t="s">
        <v>9</v>
      </c>
      <c r="L1589" t="s">
        <v>161</v>
      </c>
      <c r="M1589">
        <v>170000000</v>
      </c>
    </row>
    <row r="1590" spans="1:13" x14ac:dyDescent="0.3">
      <c r="A1590" s="23">
        <v>45580</v>
      </c>
      <c r="B1590" t="s">
        <v>13</v>
      </c>
      <c r="C1590" t="s">
        <v>132</v>
      </c>
      <c r="D1590" t="s">
        <v>16</v>
      </c>
      <c r="E1590" t="s">
        <v>41</v>
      </c>
      <c r="F1590">
        <v>179200000</v>
      </c>
      <c r="G1590" t="s">
        <v>26</v>
      </c>
      <c r="H1590" t="s">
        <v>81</v>
      </c>
      <c r="I1590" t="s">
        <v>9</v>
      </c>
      <c r="L1590" t="s">
        <v>161</v>
      </c>
      <c r="M1590">
        <v>179200000</v>
      </c>
    </row>
    <row r="1591" spans="1:13" x14ac:dyDescent="0.3">
      <c r="A1591" s="23">
        <v>45608</v>
      </c>
      <c r="B1591" t="s">
        <v>13</v>
      </c>
      <c r="C1591" t="s">
        <v>132</v>
      </c>
      <c r="D1591" t="s">
        <v>16</v>
      </c>
      <c r="E1591" t="s">
        <v>193</v>
      </c>
      <c r="F1591">
        <v>179879154</v>
      </c>
      <c r="G1591" t="s">
        <v>131</v>
      </c>
      <c r="H1591" t="s">
        <v>81</v>
      </c>
      <c r="I1591" t="s">
        <v>9</v>
      </c>
      <c r="L1591" t="s">
        <v>161</v>
      </c>
      <c r="M1591">
        <v>179879154</v>
      </c>
    </row>
    <row r="1592" spans="1:13" x14ac:dyDescent="0.3">
      <c r="A1592" s="23">
        <v>45580</v>
      </c>
      <c r="B1592" t="s">
        <v>13</v>
      </c>
      <c r="C1592" t="s">
        <v>132</v>
      </c>
      <c r="D1592" t="s">
        <v>16</v>
      </c>
      <c r="E1592" t="s">
        <v>193</v>
      </c>
      <c r="F1592">
        <v>180112241.5</v>
      </c>
      <c r="G1592" t="s">
        <v>131</v>
      </c>
      <c r="H1592" t="s">
        <v>81</v>
      </c>
      <c r="I1592" t="s">
        <v>9</v>
      </c>
      <c r="L1592" t="s">
        <v>161</v>
      </c>
      <c r="M1592">
        <v>180112241.5</v>
      </c>
    </row>
    <row r="1593" spans="1:13" x14ac:dyDescent="0.3">
      <c r="A1593" s="23">
        <v>45674</v>
      </c>
      <c r="B1593" t="s">
        <v>13</v>
      </c>
      <c r="C1593" t="s">
        <v>132</v>
      </c>
      <c r="D1593" t="s">
        <v>16</v>
      </c>
      <c r="E1593" t="s">
        <v>136</v>
      </c>
      <c r="F1593">
        <v>180826933.00999999</v>
      </c>
      <c r="G1593" t="s">
        <v>134</v>
      </c>
      <c r="H1593" t="s">
        <v>81</v>
      </c>
      <c r="I1593" t="s">
        <v>9</v>
      </c>
      <c r="L1593" t="s">
        <v>161</v>
      </c>
      <c r="M1593">
        <v>180826933.00999999</v>
      </c>
    </row>
    <row r="1594" spans="1:13" x14ac:dyDescent="0.3">
      <c r="A1594" s="23">
        <v>45371</v>
      </c>
      <c r="B1594" t="s">
        <v>13</v>
      </c>
      <c r="C1594" t="s">
        <v>132</v>
      </c>
      <c r="D1594" t="s">
        <v>16</v>
      </c>
      <c r="E1594" t="s">
        <v>169</v>
      </c>
      <c r="F1594">
        <v>189515863</v>
      </c>
      <c r="G1594" t="s">
        <v>131</v>
      </c>
      <c r="H1594" t="s">
        <v>81</v>
      </c>
      <c r="I1594" t="s">
        <v>9</v>
      </c>
      <c r="L1594" t="s">
        <v>161</v>
      </c>
      <c r="M1594">
        <v>189515863</v>
      </c>
    </row>
    <row r="1595" spans="1:13" x14ac:dyDescent="0.3">
      <c r="A1595" s="23">
        <v>45573</v>
      </c>
      <c r="B1595" t="s">
        <v>13</v>
      </c>
      <c r="C1595" t="s">
        <v>132</v>
      </c>
      <c r="D1595" t="s">
        <v>16</v>
      </c>
      <c r="E1595" t="s">
        <v>48</v>
      </c>
      <c r="F1595">
        <v>190700000</v>
      </c>
      <c r="G1595" t="s">
        <v>29</v>
      </c>
      <c r="H1595" t="s">
        <v>81</v>
      </c>
      <c r="I1595" t="s">
        <v>9</v>
      </c>
      <c r="L1595" t="s">
        <v>161</v>
      </c>
      <c r="M1595">
        <v>190700000</v>
      </c>
    </row>
    <row r="1596" spans="1:13" x14ac:dyDescent="0.3">
      <c r="A1596" s="23">
        <v>45205</v>
      </c>
      <c r="B1596" t="s">
        <v>13</v>
      </c>
      <c r="C1596" t="s">
        <v>132</v>
      </c>
      <c r="D1596" t="s">
        <v>16</v>
      </c>
      <c r="E1596" t="s">
        <v>136</v>
      </c>
      <c r="F1596">
        <v>200000000</v>
      </c>
      <c r="G1596" t="s">
        <v>134</v>
      </c>
      <c r="H1596" t="s">
        <v>81</v>
      </c>
      <c r="I1596" t="s">
        <v>9</v>
      </c>
      <c r="L1596" t="s">
        <v>161</v>
      </c>
      <c r="M1596">
        <v>200000000</v>
      </c>
    </row>
    <row r="1597" spans="1:13" x14ac:dyDescent="0.3">
      <c r="A1597" s="23">
        <v>45538</v>
      </c>
      <c r="B1597" t="s">
        <v>13</v>
      </c>
      <c r="C1597" t="s">
        <v>132</v>
      </c>
      <c r="D1597" t="s">
        <v>16</v>
      </c>
      <c r="E1597" t="s">
        <v>46</v>
      </c>
      <c r="F1597">
        <v>200000000</v>
      </c>
      <c r="G1597" t="s">
        <v>28</v>
      </c>
      <c r="H1597" t="s">
        <v>81</v>
      </c>
      <c r="I1597" t="s">
        <v>9</v>
      </c>
      <c r="L1597" t="s">
        <v>161</v>
      </c>
      <c r="M1597">
        <v>200000000</v>
      </c>
    </row>
    <row r="1598" spans="1:13" x14ac:dyDescent="0.3">
      <c r="A1598" s="23">
        <v>45649</v>
      </c>
      <c r="B1598" t="s">
        <v>13</v>
      </c>
      <c r="C1598" t="s">
        <v>132</v>
      </c>
      <c r="D1598" t="s">
        <v>16</v>
      </c>
      <c r="E1598" t="s">
        <v>48</v>
      </c>
      <c r="F1598">
        <v>200000000</v>
      </c>
      <c r="G1598" t="s">
        <v>29</v>
      </c>
      <c r="H1598" t="s">
        <v>81</v>
      </c>
      <c r="I1598" t="s">
        <v>9</v>
      </c>
      <c r="L1598" t="s">
        <v>161</v>
      </c>
      <c r="M1598">
        <v>200000000</v>
      </c>
    </row>
    <row r="1599" spans="1:13" x14ac:dyDescent="0.3">
      <c r="A1599" s="23">
        <v>45425</v>
      </c>
      <c r="B1599" t="s">
        <v>13</v>
      </c>
      <c r="C1599" t="s">
        <v>132</v>
      </c>
      <c r="D1599" t="s">
        <v>16</v>
      </c>
      <c r="E1599" t="s">
        <v>169</v>
      </c>
      <c r="F1599">
        <v>200000000</v>
      </c>
      <c r="G1599" t="s">
        <v>131</v>
      </c>
      <c r="H1599" t="s">
        <v>81</v>
      </c>
      <c r="I1599" t="s">
        <v>9</v>
      </c>
      <c r="L1599" t="s">
        <v>161</v>
      </c>
      <c r="M1599">
        <v>200000000</v>
      </c>
    </row>
    <row r="1600" spans="1:13" x14ac:dyDescent="0.3">
      <c r="A1600" s="23">
        <v>45330</v>
      </c>
      <c r="B1600" t="s">
        <v>13</v>
      </c>
      <c r="C1600" t="s">
        <v>132</v>
      </c>
      <c r="D1600" t="s">
        <v>16</v>
      </c>
      <c r="E1600" t="s">
        <v>169</v>
      </c>
      <c r="F1600">
        <v>200000000</v>
      </c>
      <c r="G1600" t="s">
        <v>131</v>
      </c>
      <c r="H1600" t="s">
        <v>81</v>
      </c>
      <c r="I1600" t="s">
        <v>9</v>
      </c>
      <c r="L1600" t="s">
        <v>161</v>
      </c>
      <c r="M1600">
        <v>200000000</v>
      </c>
    </row>
    <row r="1601" spans="1:13" x14ac:dyDescent="0.3">
      <c r="A1601" s="23">
        <v>45329</v>
      </c>
      <c r="B1601" t="s">
        <v>13</v>
      </c>
      <c r="C1601" t="s">
        <v>132</v>
      </c>
      <c r="D1601" t="s">
        <v>16</v>
      </c>
      <c r="E1601" t="s">
        <v>169</v>
      </c>
      <c r="F1601">
        <v>200000000</v>
      </c>
      <c r="G1601" t="s">
        <v>131</v>
      </c>
      <c r="H1601" t="s">
        <v>81</v>
      </c>
      <c r="I1601" t="s">
        <v>9</v>
      </c>
      <c r="L1601" t="s">
        <v>161</v>
      </c>
      <c r="M1601">
        <v>200000000</v>
      </c>
    </row>
    <row r="1602" spans="1:13" x14ac:dyDescent="0.3">
      <c r="A1602" s="23">
        <v>45328</v>
      </c>
      <c r="B1602" t="s">
        <v>13</v>
      </c>
      <c r="C1602" t="s">
        <v>132</v>
      </c>
      <c r="D1602" t="s">
        <v>16</v>
      </c>
      <c r="E1602" t="s">
        <v>169</v>
      </c>
      <c r="F1602">
        <v>200000000</v>
      </c>
      <c r="G1602" t="s">
        <v>131</v>
      </c>
      <c r="H1602" t="s">
        <v>81</v>
      </c>
      <c r="I1602" t="s">
        <v>9</v>
      </c>
      <c r="L1602" t="s">
        <v>161</v>
      </c>
      <c r="M1602">
        <v>200000000</v>
      </c>
    </row>
    <row r="1603" spans="1:13" x14ac:dyDescent="0.3">
      <c r="A1603" s="23">
        <v>45322</v>
      </c>
      <c r="B1603" t="s">
        <v>13</v>
      </c>
      <c r="C1603" t="s">
        <v>132</v>
      </c>
      <c r="D1603" t="s">
        <v>16</v>
      </c>
      <c r="E1603" t="s">
        <v>169</v>
      </c>
      <c r="F1603">
        <v>200000000</v>
      </c>
      <c r="G1603" t="s">
        <v>131</v>
      </c>
      <c r="H1603" t="s">
        <v>81</v>
      </c>
      <c r="I1603" t="s">
        <v>9</v>
      </c>
      <c r="L1603" t="s">
        <v>161</v>
      </c>
      <c r="M1603">
        <v>200000000</v>
      </c>
    </row>
    <row r="1604" spans="1:13" x14ac:dyDescent="0.3">
      <c r="A1604" s="23">
        <v>45211</v>
      </c>
      <c r="B1604" t="s">
        <v>13</v>
      </c>
      <c r="C1604" t="s">
        <v>132</v>
      </c>
      <c r="D1604" t="s">
        <v>16</v>
      </c>
      <c r="E1604" t="s">
        <v>169</v>
      </c>
      <c r="F1604">
        <v>200000000</v>
      </c>
      <c r="G1604" t="s">
        <v>131</v>
      </c>
      <c r="H1604" t="s">
        <v>81</v>
      </c>
      <c r="I1604" t="s">
        <v>9</v>
      </c>
      <c r="L1604" t="s">
        <v>161</v>
      </c>
      <c r="M1604">
        <v>200000000</v>
      </c>
    </row>
    <row r="1605" spans="1:13" x14ac:dyDescent="0.3">
      <c r="A1605" s="23">
        <v>45356</v>
      </c>
      <c r="B1605" t="s">
        <v>13</v>
      </c>
      <c r="C1605" t="s">
        <v>132</v>
      </c>
      <c r="D1605" t="s">
        <v>16</v>
      </c>
      <c r="E1605" t="s">
        <v>180</v>
      </c>
      <c r="F1605">
        <v>200000000</v>
      </c>
      <c r="G1605" t="s">
        <v>181</v>
      </c>
      <c r="H1605" t="s">
        <v>81</v>
      </c>
      <c r="I1605" t="s">
        <v>9</v>
      </c>
      <c r="L1605" t="s">
        <v>161</v>
      </c>
      <c r="M1605">
        <v>200000000</v>
      </c>
    </row>
    <row r="1606" spans="1:13" x14ac:dyDescent="0.3">
      <c r="A1606" s="23">
        <v>45343</v>
      </c>
      <c r="B1606" t="s">
        <v>13</v>
      </c>
      <c r="C1606" t="s">
        <v>132</v>
      </c>
      <c r="D1606" t="s">
        <v>16</v>
      </c>
      <c r="E1606" t="s">
        <v>180</v>
      </c>
      <c r="F1606">
        <v>200000000</v>
      </c>
      <c r="G1606" t="s">
        <v>181</v>
      </c>
      <c r="H1606" t="s">
        <v>81</v>
      </c>
      <c r="I1606" t="s">
        <v>9</v>
      </c>
      <c r="L1606" t="s">
        <v>161</v>
      </c>
      <c r="M1606">
        <v>200000000</v>
      </c>
    </row>
    <row r="1607" spans="1:13" x14ac:dyDescent="0.3">
      <c r="A1607" s="23">
        <v>45330</v>
      </c>
      <c r="B1607" t="s">
        <v>13</v>
      </c>
      <c r="C1607" t="s">
        <v>132</v>
      </c>
      <c r="D1607" t="s">
        <v>16</v>
      </c>
      <c r="E1607" t="s">
        <v>180</v>
      </c>
      <c r="F1607">
        <v>200000000</v>
      </c>
      <c r="G1607" t="s">
        <v>181</v>
      </c>
      <c r="H1607" t="s">
        <v>81</v>
      </c>
      <c r="I1607" t="s">
        <v>9</v>
      </c>
      <c r="L1607" t="s">
        <v>161</v>
      </c>
      <c r="M1607">
        <v>200000000</v>
      </c>
    </row>
    <row r="1608" spans="1:13" x14ac:dyDescent="0.3">
      <c r="A1608" s="23">
        <v>45538</v>
      </c>
      <c r="B1608" t="s">
        <v>13</v>
      </c>
      <c r="C1608" t="s">
        <v>132</v>
      </c>
      <c r="D1608" t="s">
        <v>16</v>
      </c>
      <c r="E1608" t="s">
        <v>41</v>
      </c>
      <c r="F1608">
        <v>206000000</v>
      </c>
      <c r="G1608" t="s">
        <v>26</v>
      </c>
      <c r="H1608" t="s">
        <v>81</v>
      </c>
      <c r="I1608" t="s">
        <v>9</v>
      </c>
      <c r="L1608" t="s">
        <v>161</v>
      </c>
      <c r="M1608">
        <v>206000000</v>
      </c>
    </row>
    <row r="1609" spans="1:13" x14ac:dyDescent="0.3">
      <c r="A1609" s="23">
        <v>45040</v>
      </c>
      <c r="B1609" t="s">
        <v>13</v>
      </c>
      <c r="C1609" t="s">
        <v>143</v>
      </c>
      <c r="D1609" t="s">
        <v>16</v>
      </c>
      <c r="E1609" t="s">
        <v>149</v>
      </c>
      <c r="F1609">
        <v>206006671.88</v>
      </c>
      <c r="G1609" t="s">
        <v>140</v>
      </c>
      <c r="H1609" t="s">
        <v>81</v>
      </c>
      <c r="I1609" t="s">
        <v>9</v>
      </c>
      <c r="J1609" s="23">
        <v>45041</v>
      </c>
      <c r="M1609">
        <v>206006671.88</v>
      </c>
    </row>
    <row r="1610" spans="1:13" x14ac:dyDescent="0.3">
      <c r="A1610" s="23">
        <v>45712</v>
      </c>
      <c r="B1610" t="s">
        <v>13</v>
      </c>
      <c r="C1610" t="s">
        <v>132</v>
      </c>
      <c r="D1610" t="s">
        <v>16</v>
      </c>
      <c r="E1610" t="s">
        <v>41</v>
      </c>
      <c r="F1610">
        <v>207000000</v>
      </c>
      <c r="G1610" t="s">
        <v>26</v>
      </c>
      <c r="H1610" t="s">
        <v>81</v>
      </c>
      <c r="I1610" t="s">
        <v>9</v>
      </c>
      <c r="L1610" t="s">
        <v>161</v>
      </c>
      <c r="M1610">
        <v>207000000</v>
      </c>
    </row>
    <row r="1611" spans="1:13" x14ac:dyDescent="0.3">
      <c r="A1611" s="23">
        <v>45587</v>
      </c>
      <c r="B1611" t="s">
        <v>13</v>
      </c>
      <c r="C1611" t="s">
        <v>132</v>
      </c>
      <c r="D1611" t="s">
        <v>16</v>
      </c>
      <c r="E1611" t="s">
        <v>169</v>
      </c>
      <c r="F1611">
        <v>236814975</v>
      </c>
      <c r="G1611" t="s">
        <v>131</v>
      </c>
      <c r="H1611" t="s">
        <v>81</v>
      </c>
      <c r="I1611" t="s">
        <v>9</v>
      </c>
      <c r="L1611" t="s">
        <v>161</v>
      </c>
      <c r="M1611">
        <v>236814975</v>
      </c>
    </row>
    <row r="1612" spans="1:13" x14ac:dyDescent="0.3">
      <c r="A1612" s="23">
        <v>45686</v>
      </c>
      <c r="B1612" t="s">
        <v>13</v>
      </c>
      <c r="C1612" t="s">
        <v>132</v>
      </c>
      <c r="D1612" t="s">
        <v>16</v>
      </c>
      <c r="E1612" t="s">
        <v>204</v>
      </c>
      <c r="F1612">
        <v>237000000</v>
      </c>
      <c r="G1612" t="s">
        <v>205</v>
      </c>
      <c r="H1612" t="s">
        <v>81</v>
      </c>
      <c r="I1612" t="s">
        <v>9</v>
      </c>
      <c r="L1612" t="s">
        <v>161</v>
      </c>
      <c r="M1612">
        <v>237000000</v>
      </c>
    </row>
    <row r="1613" spans="1:13" x14ac:dyDescent="0.3">
      <c r="A1613" s="23">
        <v>45572</v>
      </c>
      <c r="B1613" t="s">
        <v>13</v>
      </c>
      <c r="C1613" t="s">
        <v>132</v>
      </c>
      <c r="D1613" t="s">
        <v>16</v>
      </c>
      <c r="E1613" t="s">
        <v>136</v>
      </c>
      <c r="F1613">
        <v>237170011.56</v>
      </c>
      <c r="G1613" t="s">
        <v>134</v>
      </c>
      <c r="H1613" t="s">
        <v>81</v>
      </c>
      <c r="I1613" t="s">
        <v>9</v>
      </c>
      <c r="L1613" t="s">
        <v>161</v>
      </c>
      <c r="M1613">
        <v>237170011.56</v>
      </c>
    </row>
    <row r="1614" spans="1:13" x14ac:dyDescent="0.3">
      <c r="A1614" s="23">
        <v>45572</v>
      </c>
      <c r="B1614" t="s">
        <v>13</v>
      </c>
      <c r="C1614" t="s">
        <v>132</v>
      </c>
      <c r="D1614" t="s">
        <v>16</v>
      </c>
      <c r="E1614" t="s">
        <v>169</v>
      </c>
      <c r="F1614">
        <v>237170011.58000001</v>
      </c>
      <c r="G1614" t="s">
        <v>131</v>
      </c>
      <c r="H1614" t="s">
        <v>81</v>
      </c>
      <c r="I1614" t="s">
        <v>9</v>
      </c>
      <c r="L1614" t="s">
        <v>161</v>
      </c>
      <c r="M1614">
        <v>237170011.58000001</v>
      </c>
    </row>
    <row r="1615" spans="1:13" x14ac:dyDescent="0.3">
      <c r="A1615" s="23">
        <v>45596</v>
      </c>
      <c r="B1615" t="s">
        <v>13</v>
      </c>
      <c r="C1615" t="s">
        <v>132</v>
      </c>
      <c r="D1615" t="s">
        <v>16</v>
      </c>
      <c r="E1615" t="s">
        <v>180</v>
      </c>
      <c r="F1615">
        <v>252365118.91</v>
      </c>
      <c r="G1615" t="s">
        <v>181</v>
      </c>
      <c r="H1615" t="s">
        <v>81</v>
      </c>
      <c r="I1615" t="s">
        <v>9</v>
      </c>
      <c r="L1615" t="s">
        <v>161</v>
      </c>
      <c r="M1615">
        <v>252365118.91</v>
      </c>
    </row>
    <row r="1616" spans="1:13" x14ac:dyDescent="0.3">
      <c r="A1616" s="23">
        <v>45679</v>
      </c>
      <c r="B1616" t="s">
        <v>13</v>
      </c>
      <c r="C1616" t="s">
        <v>132</v>
      </c>
      <c r="D1616" t="s">
        <v>16</v>
      </c>
      <c r="E1616" t="s">
        <v>136</v>
      </c>
      <c r="F1616">
        <v>256180692.19999999</v>
      </c>
      <c r="G1616" t="s">
        <v>134</v>
      </c>
      <c r="H1616" t="s">
        <v>81</v>
      </c>
      <c r="I1616" t="s">
        <v>9</v>
      </c>
      <c r="L1616" t="s">
        <v>161</v>
      </c>
      <c r="M1616">
        <v>256180692.19999999</v>
      </c>
    </row>
    <row r="1617" spans="1:13" x14ac:dyDescent="0.3">
      <c r="A1617" s="23">
        <v>45680</v>
      </c>
      <c r="B1617" t="s">
        <v>13</v>
      </c>
      <c r="C1617" t="s">
        <v>132</v>
      </c>
      <c r="D1617" t="s">
        <v>16</v>
      </c>
      <c r="E1617" t="s">
        <v>136</v>
      </c>
      <c r="F1617">
        <v>256189400</v>
      </c>
      <c r="G1617" t="s">
        <v>134</v>
      </c>
      <c r="H1617" t="s">
        <v>81</v>
      </c>
      <c r="I1617" t="s">
        <v>9</v>
      </c>
      <c r="L1617" t="s">
        <v>161</v>
      </c>
      <c r="M1617">
        <v>256189400</v>
      </c>
    </row>
    <row r="1618" spans="1:13" x14ac:dyDescent="0.3">
      <c r="A1618" s="23">
        <v>45649</v>
      </c>
      <c r="B1618" t="s">
        <v>13</v>
      </c>
      <c r="C1618" t="s">
        <v>132</v>
      </c>
      <c r="D1618" t="s">
        <v>16</v>
      </c>
      <c r="E1618" t="s">
        <v>41</v>
      </c>
      <c r="F1618">
        <v>276800000</v>
      </c>
      <c r="G1618" t="s">
        <v>26</v>
      </c>
      <c r="H1618" t="s">
        <v>81</v>
      </c>
      <c r="I1618" t="s">
        <v>9</v>
      </c>
      <c r="L1618" t="s">
        <v>161</v>
      </c>
      <c r="M1618">
        <v>276800000</v>
      </c>
    </row>
    <row r="1619" spans="1:13" x14ac:dyDescent="0.3">
      <c r="A1619" s="23">
        <v>45575</v>
      </c>
      <c r="B1619" t="s">
        <v>13</v>
      </c>
      <c r="C1619" t="s">
        <v>132</v>
      </c>
      <c r="D1619" t="s">
        <v>16</v>
      </c>
      <c r="E1619" t="s">
        <v>180</v>
      </c>
      <c r="F1619">
        <v>289046271.01999998</v>
      </c>
      <c r="G1619" t="s">
        <v>181</v>
      </c>
      <c r="H1619" t="s">
        <v>81</v>
      </c>
      <c r="I1619" t="s">
        <v>9</v>
      </c>
      <c r="L1619" t="s">
        <v>161</v>
      </c>
      <c r="M1619">
        <v>289046271.01999998</v>
      </c>
    </row>
    <row r="1620" spans="1:13" x14ac:dyDescent="0.3">
      <c r="A1620" s="23">
        <v>45575</v>
      </c>
      <c r="B1620" t="s">
        <v>13</v>
      </c>
      <c r="C1620" t="s">
        <v>132</v>
      </c>
      <c r="D1620" t="s">
        <v>16</v>
      </c>
      <c r="E1620" t="s">
        <v>208</v>
      </c>
      <c r="F1620">
        <v>289046271.01999998</v>
      </c>
      <c r="G1620" t="s">
        <v>209</v>
      </c>
      <c r="H1620" t="s">
        <v>81</v>
      </c>
      <c r="I1620" t="s">
        <v>9</v>
      </c>
      <c r="L1620" t="s">
        <v>161</v>
      </c>
      <c r="M1620">
        <v>289046271.01999998</v>
      </c>
    </row>
    <row r="1621" spans="1:13" x14ac:dyDescent="0.3">
      <c r="A1621" s="23">
        <v>45183</v>
      </c>
      <c r="B1621" t="s">
        <v>13</v>
      </c>
      <c r="C1621" t="s">
        <v>132</v>
      </c>
      <c r="D1621" t="s">
        <v>16</v>
      </c>
      <c r="E1621" t="s">
        <v>136</v>
      </c>
      <c r="F1621">
        <v>295092646.87</v>
      </c>
      <c r="G1621" t="s">
        <v>134</v>
      </c>
      <c r="H1621" t="s">
        <v>81</v>
      </c>
      <c r="I1621" t="s">
        <v>9</v>
      </c>
      <c r="L1621" t="s">
        <v>161</v>
      </c>
      <c r="M1621">
        <v>295092646.87</v>
      </c>
    </row>
    <row r="1622" spans="1:13" x14ac:dyDescent="0.3">
      <c r="A1622" s="23">
        <v>45638</v>
      </c>
      <c r="B1622" t="s">
        <v>13</v>
      </c>
      <c r="C1622" t="s">
        <v>132</v>
      </c>
      <c r="D1622" t="s">
        <v>16</v>
      </c>
      <c r="E1622" t="s">
        <v>136</v>
      </c>
      <c r="F1622">
        <v>298186353</v>
      </c>
      <c r="G1622" t="s">
        <v>134</v>
      </c>
      <c r="H1622" t="s">
        <v>81</v>
      </c>
      <c r="I1622" t="s">
        <v>9</v>
      </c>
      <c r="L1622" t="s">
        <v>161</v>
      </c>
      <c r="M1622">
        <v>298186353</v>
      </c>
    </row>
    <row r="1623" spans="1:13" x14ac:dyDescent="0.3">
      <c r="A1623" s="23">
        <v>45078</v>
      </c>
      <c r="B1623" t="s">
        <v>13</v>
      </c>
      <c r="C1623" t="s">
        <v>132</v>
      </c>
      <c r="D1623" t="s">
        <v>16</v>
      </c>
      <c r="E1623" t="s">
        <v>162</v>
      </c>
      <c r="F1623">
        <v>300000000</v>
      </c>
      <c r="G1623" t="s">
        <v>22</v>
      </c>
      <c r="H1623" t="s">
        <v>81</v>
      </c>
      <c r="I1623" t="s">
        <v>9</v>
      </c>
      <c r="L1623" t="s">
        <v>161</v>
      </c>
      <c r="M1623">
        <v>300000000</v>
      </c>
    </row>
    <row r="1624" spans="1:13" x14ac:dyDescent="0.3">
      <c r="A1624" s="23">
        <v>45692</v>
      </c>
      <c r="B1624" t="s">
        <v>13</v>
      </c>
      <c r="C1624" t="s">
        <v>132</v>
      </c>
      <c r="D1624" t="s">
        <v>16</v>
      </c>
      <c r="E1624" t="s">
        <v>193</v>
      </c>
      <c r="F1624">
        <v>300000000</v>
      </c>
      <c r="G1624" t="s">
        <v>131</v>
      </c>
      <c r="H1624" t="s">
        <v>81</v>
      </c>
      <c r="I1624" t="s">
        <v>9</v>
      </c>
      <c r="L1624" t="s">
        <v>161</v>
      </c>
      <c r="M1624">
        <v>300000000</v>
      </c>
    </row>
    <row r="1625" spans="1:13" x14ac:dyDescent="0.3">
      <c r="A1625" s="23">
        <v>45604</v>
      </c>
      <c r="B1625" t="s">
        <v>13</v>
      </c>
      <c r="C1625" t="s">
        <v>132</v>
      </c>
      <c r="D1625" t="s">
        <v>16</v>
      </c>
      <c r="E1625" t="s">
        <v>193</v>
      </c>
      <c r="F1625">
        <v>300000000</v>
      </c>
      <c r="G1625" t="s">
        <v>131</v>
      </c>
      <c r="H1625" t="s">
        <v>81</v>
      </c>
      <c r="I1625" t="s">
        <v>9</v>
      </c>
      <c r="L1625" t="s">
        <v>161</v>
      </c>
      <c r="M1625">
        <v>300000000</v>
      </c>
    </row>
    <row r="1626" spans="1:13" x14ac:dyDescent="0.3">
      <c r="A1626" s="23">
        <v>45692</v>
      </c>
      <c r="B1626" t="s">
        <v>13</v>
      </c>
      <c r="C1626" t="s">
        <v>132</v>
      </c>
      <c r="D1626" t="s">
        <v>16</v>
      </c>
      <c r="E1626" t="s">
        <v>195</v>
      </c>
      <c r="F1626">
        <v>300000000</v>
      </c>
      <c r="G1626" t="s">
        <v>134</v>
      </c>
      <c r="H1626" t="s">
        <v>81</v>
      </c>
      <c r="I1626" t="s">
        <v>9</v>
      </c>
      <c r="L1626" t="s">
        <v>161</v>
      </c>
      <c r="M1626">
        <v>300000000</v>
      </c>
    </row>
    <row r="1627" spans="1:13" x14ac:dyDescent="0.3">
      <c r="A1627" s="23">
        <v>45371</v>
      </c>
      <c r="B1627" t="s">
        <v>13</v>
      </c>
      <c r="C1627" t="s">
        <v>132</v>
      </c>
      <c r="D1627" t="s">
        <v>16</v>
      </c>
      <c r="E1627" t="s">
        <v>136</v>
      </c>
      <c r="F1627">
        <v>310000000</v>
      </c>
      <c r="G1627" t="s">
        <v>134</v>
      </c>
      <c r="H1627" t="s">
        <v>81</v>
      </c>
      <c r="I1627" t="s">
        <v>9</v>
      </c>
      <c r="L1627" t="s">
        <v>161</v>
      </c>
      <c r="M1627">
        <v>310000000</v>
      </c>
    </row>
    <row r="1628" spans="1:13" x14ac:dyDescent="0.3">
      <c r="A1628" s="23">
        <v>45371</v>
      </c>
      <c r="B1628" t="s">
        <v>13</v>
      </c>
      <c r="C1628" t="s">
        <v>132</v>
      </c>
      <c r="D1628" t="s">
        <v>16</v>
      </c>
      <c r="E1628" t="s">
        <v>180</v>
      </c>
      <c r="F1628">
        <v>313600696</v>
      </c>
      <c r="G1628" t="s">
        <v>181</v>
      </c>
      <c r="H1628" t="s">
        <v>81</v>
      </c>
      <c r="I1628" t="s">
        <v>9</v>
      </c>
      <c r="L1628" t="s">
        <v>161</v>
      </c>
      <c r="M1628">
        <v>313600696</v>
      </c>
    </row>
    <row r="1629" spans="1:13" x14ac:dyDescent="0.3">
      <c r="A1629" s="23">
        <v>45313</v>
      </c>
      <c r="B1629" t="s">
        <v>13</v>
      </c>
      <c r="C1629" t="s">
        <v>132</v>
      </c>
      <c r="D1629" t="s">
        <v>16</v>
      </c>
      <c r="E1629" t="s">
        <v>41</v>
      </c>
      <c r="F1629">
        <v>325500000</v>
      </c>
      <c r="G1629" t="s">
        <v>26</v>
      </c>
      <c r="H1629" t="s">
        <v>81</v>
      </c>
      <c r="I1629" t="s">
        <v>9</v>
      </c>
      <c r="L1629" t="s">
        <v>161</v>
      </c>
      <c r="M1629">
        <v>325500000</v>
      </c>
    </row>
    <row r="1630" spans="1:13" x14ac:dyDescent="0.3">
      <c r="A1630" s="23">
        <v>45202</v>
      </c>
      <c r="B1630" t="s">
        <v>13</v>
      </c>
      <c r="C1630" t="s">
        <v>132</v>
      </c>
      <c r="D1630" t="s">
        <v>16</v>
      </c>
      <c r="E1630" t="s">
        <v>136</v>
      </c>
      <c r="F1630">
        <v>332000000</v>
      </c>
      <c r="G1630" t="s">
        <v>134</v>
      </c>
      <c r="H1630" t="s">
        <v>81</v>
      </c>
      <c r="I1630" t="s">
        <v>9</v>
      </c>
      <c r="L1630" t="s">
        <v>161</v>
      </c>
      <c r="M1630">
        <v>332000000</v>
      </c>
    </row>
    <row r="1631" spans="1:13" x14ac:dyDescent="0.3">
      <c r="A1631" s="23">
        <v>45510</v>
      </c>
      <c r="B1631" t="s">
        <v>13</v>
      </c>
      <c r="C1631" t="s">
        <v>132</v>
      </c>
      <c r="D1631" t="s">
        <v>16</v>
      </c>
      <c r="E1631" t="s">
        <v>136</v>
      </c>
      <c r="F1631">
        <v>349184888</v>
      </c>
      <c r="G1631" t="s">
        <v>134</v>
      </c>
      <c r="H1631" t="s">
        <v>81</v>
      </c>
      <c r="I1631" t="s">
        <v>9</v>
      </c>
      <c r="L1631" t="s">
        <v>161</v>
      </c>
      <c r="M1631">
        <v>349184888</v>
      </c>
    </row>
    <row r="1632" spans="1:13" x14ac:dyDescent="0.3">
      <c r="A1632" s="23">
        <v>45489</v>
      </c>
      <c r="B1632" t="s">
        <v>13</v>
      </c>
      <c r="C1632" t="s">
        <v>132</v>
      </c>
      <c r="D1632" t="s">
        <v>16</v>
      </c>
      <c r="E1632" t="s">
        <v>46</v>
      </c>
      <c r="F1632">
        <v>352000000</v>
      </c>
      <c r="G1632" t="s">
        <v>28</v>
      </c>
      <c r="H1632" t="s">
        <v>81</v>
      </c>
      <c r="I1632" t="s">
        <v>9</v>
      </c>
      <c r="L1632" t="s">
        <v>161</v>
      </c>
      <c r="M1632">
        <v>352000000</v>
      </c>
    </row>
    <row r="1633" spans="1:13" x14ac:dyDescent="0.3">
      <c r="A1633" s="23">
        <v>45246</v>
      </c>
      <c r="B1633" t="s">
        <v>13</v>
      </c>
      <c r="C1633" t="s">
        <v>132</v>
      </c>
      <c r="D1633" t="s">
        <v>16</v>
      </c>
      <c r="E1633" t="s">
        <v>136</v>
      </c>
      <c r="F1633">
        <v>355006154.37</v>
      </c>
      <c r="G1633" t="s">
        <v>134</v>
      </c>
      <c r="H1633" t="s">
        <v>81</v>
      </c>
      <c r="I1633" t="s">
        <v>9</v>
      </c>
      <c r="L1633" t="s">
        <v>161</v>
      </c>
      <c r="M1633">
        <v>355006154.37</v>
      </c>
    </row>
    <row r="1634" spans="1:13" x14ac:dyDescent="0.3">
      <c r="A1634" s="23">
        <v>45483</v>
      </c>
      <c r="B1634" t="s">
        <v>13</v>
      </c>
      <c r="C1634" t="s">
        <v>132</v>
      </c>
      <c r="D1634" t="s">
        <v>16</v>
      </c>
      <c r="E1634" t="s">
        <v>193</v>
      </c>
      <c r="F1634">
        <v>364395420</v>
      </c>
      <c r="G1634" t="s">
        <v>131</v>
      </c>
      <c r="H1634" t="s">
        <v>81</v>
      </c>
      <c r="I1634" t="s">
        <v>9</v>
      </c>
      <c r="L1634" t="s">
        <v>161</v>
      </c>
      <c r="M1634">
        <v>364395420</v>
      </c>
    </row>
    <row r="1635" spans="1:13" x14ac:dyDescent="0.3">
      <c r="A1635" s="23">
        <v>45286</v>
      </c>
      <c r="B1635" t="s">
        <v>13</v>
      </c>
      <c r="C1635" t="s">
        <v>132</v>
      </c>
      <c r="D1635" t="s">
        <v>16</v>
      </c>
      <c r="E1635" t="s">
        <v>136</v>
      </c>
      <c r="F1635">
        <v>374000000</v>
      </c>
      <c r="G1635" t="s">
        <v>134</v>
      </c>
      <c r="H1635" t="s">
        <v>81</v>
      </c>
      <c r="I1635" t="s">
        <v>9</v>
      </c>
      <c r="L1635" t="s">
        <v>161</v>
      </c>
      <c r="M1635">
        <v>374000000</v>
      </c>
    </row>
    <row r="1636" spans="1:13" x14ac:dyDescent="0.3">
      <c r="A1636" s="23">
        <v>45301</v>
      </c>
      <c r="B1636" t="s">
        <v>13</v>
      </c>
      <c r="C1636" t="s">
        <v>132</v>
      </c>
      <c r="D1636" t="s">
        <v>16</v>
      </c>
      <c r="E1636" t="s">
        <v>169</v>
      </c>
      <c r="F1636">
        <v>378600000</v>
      </c>
      <c r="G1636" t="s">
        <v>131</v>
      </c>
      <c r="H1636" t="s">
        <v>81</v>
      </c>
      <c r="I1636" t="s">
        <v>9</v>
      </c>
      <c r="L1636" t="s">
        <v>161</v>
      </c>
      <c r="M1636">
        <v>378600000</v>
      </c>
    </row>
    <row r="1637" spans="1:13" x14ac:dyDescent="0.3">
      <c r="A1637" s="23">
        <v>45573</v>
      </c>
      <c r="B1637" t="s">
        <v>13</v>
      </c>
      <c r="C1637" t="s">
        <v>132</v>
      </c>
      <c r="D1637" t="s">
        <v>16</v>
      </c>
      <c r="E1637" t="s">
        <v>41</v>
      </c>
      <c r="F1637">
        <v>399800000</v>
      </c>
      <c r="G1637" t="s">
        <v>26</v>
      </c>
      <c r="H1637" t="s">
        <v>81</v>
      </c>
      <c r="I1637" t="s">
        <v>9</v>
      </c>
      <c r="L1637" t="s">
        <v>161</v>
      </c>
      <c r="M1637">
        <v>399800000</v>
      </c>
    </row>
    <row r="1638" spans="1:13" x14ac:dyDescent="0.3">
      <c r="A1638" s="23">
        <v>45202</v>
      </c>
      <c r="B1638" t="s">
        <v>13</v>
      </c>
      <c r="C1638" t="s">
        <v>132</v>
      </c>
      <c r="D1638" t="s">
        <v>16</v>
      </c>
      <c r="E1638" t="s">
        <v>136</v>
      </c>
      <c r="F1638">
        <v>400000000</v>
      </c>
      <c r="G1638" t="s">
        <v>134</v>
      </c>
      <c r="H1638" t="s">
        <v>81</v>
      </c>
      <c r="I1638" t="s">
        <v>9</v>
      </c>
      <c r="L1638" t="s">
        <v>161</v>
      </c>
      <c r="M1638">
        <v>400000000</v>
      </c>
    </row>
    <row r="1639" spans="1:13" x14ac:dyDescent="0.3">
      <c r="A1639" s="23">
        <v>45573</v>
      </c>
      <c r="B1639" t="s">
        <v>13</v>
      </c>
      <c r="C1639" t="s">
        <v>132</v>
      </c>
      <c r="D1639" t="s">
        <v>16</v>
      </c>
      <c r="E1639" t="s">
        <v>46</v>
      </c>
      <c r="F1639">
        <v>400000000</v>
      </c>
      <c r="G1639" t="s">
        <v>28</v>
      </c>
      <c r="H1639" t="s">
        <v>81</v>
      </c>
      <c r="I1639" t="s">
        <v>9</v>
      </c>
      <c r="L1639" t="s">
        <v>161</v>
      </c>
      <c r="M1639">
        <v>400000000</v>
      </c>
    </row>
    <row r="1640" spans="1:13" x14ac:dyDescent="0.3">
      <c r="A1640" s="23">
        <v>45428</v>
      </c>
      <c r="B1640" t="s">
        <v>13</v>
      </c>
      <c r="C1640" t="s">
        <v>132</v>
      </c>
      <c r="D1640" t="s">
        <v>16</v>
      </c>
      <c r="E1640" t="s">
        <v>169</v>
      </c>
      <c r="F1640">
        <v>400000000</v>
      </c>
      <c r="G1640" t="s">
        <v>131</v>
      </c>
      <c r="H1640" t="s">
        <v>81</v>
      </c>
      <c r="I1640" t="s">
        <v>9</v>
      </c>
      <c r="L1640" t="s">
        <v>161</v>
      </c>
      <c r="M1640">
        <v>400000000</v>
      </c>
    </row>
    <row r="1641" spans="1:13" x14ac:dyDescent="0.3">
      <c r="A1641" s="23">
        <v>45351</v>
      </c>
      <c r="B1641" t="s">
        <v>13</v>
      </c>
      <c r="C1641" t="s">
        <v>132</v>
      </c>
      <c r="D1641" t="s">
        <v>16</v>
      </c>
      <c r="E1641" t="s">
        <v>169</v>
      </c>
      <c r="F1641">
        <v>400000000</v>
      </c>
      <c r="G1641" t="s">
        <v>131</v>
      </c>
      <c r="H1641" t="s">
        <v>81</v>
      </c>
      <c r="I1641" t="s">
        <v>9</v>
      </c>
      <c r="L1641" t="s">
        <v>161</v>
      </c>
      <c r="M1641">
        <v>400000000</v>
      </c>
    </row>
    <row r="1642" spans="1:13" x14ac:dyDescent="0.3">
      <c r="A1642" s="23">
        <v>45316</v>
      </c>
      <c r="B1642" t="s">
        <v>13</v>
      </c>
      <c r="C1642" t="s">
        <v>132</v>
      </c>
      <c r="D1642" t="s">
        <v>16</v>
      </c>
      <c r="E1642" t="s">
        <v>169</v>
      </c>
      <c r="F1642">
        <v>400000000</v>
      </c>
      <c r="G1642" t="s">
        <v>131</v>
      </c>
      <c r="H1642" t="s">
        <v>81</v>
      </c>
      <c r="I1642" t="s">
        <v>9</v>
      </c>
      <c r="L1642" t="s">
        <v>161</v>
      </c>
      <c r="M1642">
        <v>400000000</v>
      </c>
    </row>
    <row r="1643" spans="1:13" x14ac:dyDescent="0.3">
      <c r="A1643" s="23">
        <v>45313</v>
      </c>
      <c r="B1643" t="s">
        <v>13</v>
      </c>
      <c r="C1643" t="s">
        <v>132</v>
      </c>
      <c r="D1643" t="s">
        <v>16</v>
      </c>
      <c r="E1643" t="s">
        <v>169</v>
      </c>
      <c r="F1643">
        <v>400000000</v>
      </c>
      <c r="G1643" t="s">
        <v>131</v>
      </c>
      <c r="H1643" t="s">
        <v>81</v>
      </c>
      <c r="I1643" t="s">
        <v>9</v>
      </c>
      <c r="L1643" t="s">
        <v>161</v>
      </c>
      <c r="M1643">
        <v>400000000</v>
      </c>
    </row>
    <row r="1644" spans="1:13" x14ac:dyDescent="0.3">
      <c r="A1644" s="23">
        <v>45202</v>
      </c>
      <c r="B1644" t="s">
        <v>13</v>
      </c>
      <c r="C1644" t="s">
        <v>132</v>
      </c>
      <c r="D1644" t="s">
        <v>16</v>
      </c>
      <c r="E1644" t="s">
        <v>169</v>
      </c>
      <c r="F1644">
        <v>400000000</v>
      </c>
      <c r="G1644" t="s">
        <v>131</v>
      </c>
      <c r="H1644" t="s">
        <v>81</v>
      </c>
      <c r="I1644" t="s">
        <v>9</v>
      </c>
      <c r="L1644" t="s">
        <v>161</v>
      </c>
      <c r="M1644">
        <v>400000000</v>
      </c>
    </row>
    <row r="1645" spans="1:13" x14ac:dyDescent="0.3">
      <c r="A1645" s="23">
        <v>45428</v>
      </c>
      <c r="B1645" t="s">
        <v>13</v>
      </c>
      <c r="C1645" t="s">
        <v>132</v>
      </c>
      <c r="D1645" t="s">
        <v>16</v>
      </c>
      <c r="E1645" t="s">
        <v>180</v>
      </c>
      <c r="F1645">
        <v>400000000</v>
      </c>
      <c r="G1645" t="s">
        <v>181</v>
      </c>
      <c r="H1645" t="s">
        <v>81</v>
      </c>
      <c r="I1645" t="s">
        <v>9</v>
      </c>
      <c r="L1645" t="s">
        <v>161</v>
      </c>
      <c r="M1645">
        <v>400000000</v>
      </c>
    </row>
    <row r="1646" spans="1:13" x14ac:dyDescent="0.3">
      <c r="A1646" s="23">
        <v>45686</v>
      </c>
      <c r="B1646" t="s">
        <v>13</v>
      </c>
      <c r="C1646" t="s">
        <v>132</v>
      </c>
      <c r="D1646" t="s">
        <v>16</v>
      </c>
      <c r="E1646" t="s">
        <v>193</v>
      </c>
      <c r="F1646">
        <v>400000000</v>
      </c>
      <c r="G1646" t="s">
        <v>131</v>
      </c>
      <c r="H1646" t="s">
        <v>81</v>
      </c>
      <c r="I1646" t="s">
        <v>9</v>
      </c>
      <c r="L1646" t="s">
        <v>161</v>
      </c>
      <c r="M1646">
        <v>400000000</v>
      </c>
    </row>
    <row r="1647" spans="1:13" x14ac:dyDescent="0.3">
      <c r="A1647" s="23">
        <v>45686</v>
      </c>
      <c r="B1647" t="s">
        <v>13</v>
      </c>
      <c r="C1647" t="s">
        <v>132</v>
      </c>
      <c r="D1647" t="s">
        <v>16</v>
      </c>
      <c r="E1647" t="s">
        <v>40</v>
      </c>
      <c r="F1647">
        <v>400000000</v>
      </c>
      <c r="G1647" t="s">
        <v>25</v>
      </c>
      <c r="H1647" t="s">
        <v>81</v>
      </c>
      <c r="I1647" t="s">
        <v>9</v>
      </c>
      <c r="L1647" t="s">
        <v>161</v>
      </c>
      <c r="M1647">
        <v>400000000</v>
      </c>
    </row>
    <row r="1648" spans="1:13" x14ac:dyDescent="0.3">
      <c r="A1648" s="23">
        <v>45183</v>
      </c>
      <c r="B1648" t="s">
        <v>13</v>
      </c>
      <c r="C1648" t="s">
        <v>132</v>
      </c>
      <c r="D1648" t="s">
        <v>16</v>
      </c>
      <c r="E1648" t="s">
        <v>169</v>
      </c>
      <c r="F1648">
        <v>466440000</v>
      </c>
      <c r="G1648" t="s">
        <v>131</v>
      </c>
      <c r="H1648" t="s">
        <v>81</v>
      </c>
      <c r="I1648" t="s">
        <v>9</v>
      </c>
      <c r="L1648" t="s">
        <v>161</v>
      </c>
      <c r="M1648">
        <v>466440000</v>
      </c>
    </row>
    <row r="1649" spans="1:13" x14ac:dyDescent="0.3">
      <c r="A1649" s="23">
        <v>45442</v>
      </c>
      <c r="B1649" t="s">
        <v>13</v>
      </c>
      <c r="C1649" t="s">
        <v>132</v>
      </c>
      <c r="D1649" t="s">
        <v>16</v>
      </c>
      <c r="E1649" t="s">
        <v>41</v>
      </c>
      <c r="F1649">
        <v>467000000</v>
      </c>
      <c r="G1649" t="s">
        <v>26</v>
      </c>
      <c r="H1649" t="s">
        <v>81</v>
      </c>
      <c r="I1649" t="s">
        <v>9</v>
      </c>
      <c r="L1649" t="s">
        <v>161</v>
      </c>
      <c r="M1649">
        <v>467000000</v>
      </c>
    </row>
    <row r="1650" spans="1:13" x14ac:dyDescent="0.3">
      <c r="A1650" s="23">
        <v>45490</v>
      </c>
      <c r="B1650" t="s">
        <v>13</v>
      </c>
      <c r="C1650" t="s">
        <v>132</v>
      </c>
      <c r="D1650" t="s">
        <v>16</v>
      </c>
      <c r="E1650" t="s">
        <v>180</v>
      </c>
      <c r="F1650">
        <v>471576924</v>
      </c>
      <c r="G1650" t="s">
        <v>181</v>
      </c>
      <c r="H1650" t="s">
        <v>81</v>
      </c>
      <c r="I1650" t="s">
        <v>9</v>
      </c>
      <c r="L1650" t="s">
        <v>161</v>
      </c>
      <c r="M1650">
        <v>471576924</v>
      </c>
    </row>
    <row r="1651" spans="1:13" x14ac:dyDescent="0.3">
      <c r="A1651" s="23">
        <v>45421</v>
      </c>
      <c r="B1651" t="s">
        <v>13</v>
      </c>
      <c r="C1651" t="s">
        <v>132</v>
      </c>
      <c r="D1651" t="s">
        <v>16</v>
      </c>
      <c r="E1651" t="s">
        <v>169</v>
      </c>
      <c r="F1651">
        <v>500000000</v>
      </c>
      <c r="G1651" t="s">
        <v>131</v>
      </c>
      <c r="H1651" t="s">
        <v>81</v>
      </c>
      <c r="I1651" t="s">
        <v>9</v>
      </c>
      <c r="L1651" t="s">
        <v>161</v>
      </c>
      <c r="M1651">
        <v>500000000</v>
      </c>
    </row>
    <row r="1652" spans="1:13" x14ac:dyDescent="0.3">
      <c r="A1652" s="23">
        <v>45643</v>
      </c>
      <c r="B1652" t="s">
        <v>13</v>
      </c>
      <c r="C1652" t="s">
        <v>132</v>
      </c>
      <c r="D1652" t="s">
        <v>16</v>
      </c>
      <c r="E1652" t="s">
        <v>193</v>
      </c>
      <c r="F1652">
        <v>500000000</v>
      </c>
      <c r="G1652" t="s">
        <v>131</v>
      </c>
      <c r="H1652" t="s">
        <v>81</v>
      </c>
      <c r="I1652" t="s">
        <v>9</v>
      </c>
      <c r="L1652" t="s">
        <v>161</v>
      </c>
      <c r="M1652">
        <v>500000000</v>
      </c>
    </row>
    <row r="1653" spans="1:13" x14ac:dyDescent="0.3">
      <c r="A1653" s="23">
        <v>45077</v>
      </c>
      <c r="B1653" t="s">
        <v>13</v>
      </c>
      <c r="C1653" t="s">
        <v>132</v>
      </c>
      <c r="D1653" t="s">
        <v>16</v>
      </c>
      <c r="E1653" t="s">
        <v>46</v>
      </c>
      <c r="F1653">
        <v>507700000</v>
      </c>
      <c r="G1653" t="s">
        <v>28</v>
      </c>
      <c r="H1653" t="s">
        <v>81</v>
      </c>
      <c r="I1653" t="s">
        <v>9</v>
      </c>
      <c r="L1653" t="s">
        <v>161</v>
      </c>
      <c r="M1653">
        <v>507700000</v>
      </c>
    </row>
    <row r="1654" spans="1:13" x14ac:dyDescent="0.3">
      <c r="A1654" s="23">
        <v>45261</v>
      </c>
      <c r="B1654" t="s">
        <v>13</v>
      </c>
      <c r="C1654" t="s">
        <v>132</v>
      </c>
      <c r="D1654" t="s">
        <v>16</v>
      </c>
      <c r="E1654" t="s">
        <v>46</v>
      </c>
      <c r="F1654">
        <v>510500000</v>
      </c>
      <c r="G1654" t="s">
        <v>28</v>
      </c>
      <c r="H1654" t="s">
        <v>81</v>
      </c>
      <c r="I1654" t="s">
        <v>9</v>
      </c>
      <c r="L1654" t="s">
        <v>161</v>
      </c>
      <c r="M1654">
        <v>510500000</v>
      </c>
    </row>
    <row r="1655" spans="1:13" x14ac:dyDescent="0.3">
      <c r="A1655" s="23">
        <v>45672</v>
      </c>
      <c r="B1655" t="s">
        <v>13</v>
      </c>
      <c r="C1655" t="s">
        <v>132</v>
      </c>
      <c r="D1655" t="s">
        <v>16</v>
      </c>
      <c r="E1655" t="s">
        <v>195</v>
      </c>
      <c r="F1655">
        <v>512794849.97000003</v>
      </c>
      <c r="G1655" t="s">
        <v>134</v>
      </c>
      <c r="H1655" t="s">
        <v>81</v>
      </c>
      <c r="I1655" t="s">
        <v>9</v>
      </c>
      <c r="L1655" t="s">
        <v>161</v>
      </c>
      <c r="M1655">
        <v>512794849.97000003</v>
      </c>
    </row>
    <row r="1656" spans="1:13" x14ac:dyDescent="0.3">
      <c r="A1656" s="23">
        <v>45422</v>
      </c>
      <c r="B1656" t="s">
        <v>13</v>
      </c>
      <c r="C1656" t="s">
        <v>132</v>
      </c>
      <c r="D1656" t="s">
        <v>16</v>
      </c>
      <c r="E1656" t="s">
        <v>169</v>
      </c>
      <c r="F1656">
        <v>600000000</v>
      </c>
      <c r="G1656" t="s">
        <v>131</v>
      </c>
      <c r="H1656" t="s">
        <v>81</v>
      </c>
      <c r="I1656" t="s">
        <v>9</v>
      </c>
      <c r="L1656" t="s">
        <v>161</v>
      </c>
      <c r="M1656">
        <v>600000000</v>
      </c>
    </row>
    <row r="1657" spans="1:13" x14ac:dyDescent="0.3">
      <c r="A1657" s="23">
        <v>45714</v>
      </c>
      <c r="B1657" t="s">
        <v>13</v>
      </c>
      <c r="C1657" t="s">
        <v>132</v>
      </c>
      <c r="D1657" t="s">
        <v>16</v>
      </c>
      <c r="E1657" t="s">
        <v>136</v>
      </c>
      <c r="F1657">
        <v>717854274</v>
      </c>
      <c r="G1657" t="s">
        <v>134</v>
      </c>
      <c r="H1657" t="s">
        <v>81</v>
      </c>
      <c r="I1657" t="s">
        <v>9</v>
      </c>
      <c r="L1657" t="s">
        <v>161</v>
      </c>
      <c r="M1657">
        <v>717854274</v>
      </c>
    </row>
    <row r="1658" spans="1:13" x14ac:dyDescent="0.3">
      <c r="A1658" s="23">
        <v>45448</v>
      </c>
      <c r="B1658" t="s">
        <v>13</v>
      </c>
      <c r="C1658" t="s">
        <v>132</v>
      </c>
      <c r="D1658" t="s">
        <v>16</v>
      </c>
      <c r="E1658" t="s">
        <v>136</v>
      </c>
      <c r="F1658">
        <v>786630171</v>
      </c>
      <c r="G1658" t="s">
        <v>134</v>
      </c>
      <c r="H1658" t="s">
        <v>81</v>
      </c>
      <c r="I1658" t="s">
        <v>9</v>
      </c>
      <c r="L1658" t="s">
        <v>161</v>
      </c>
      <c r="M1658">
        <v>786630171</v>
      </c>
    </row>
    <row r="1659" spans="1:13" x14ac:dyDescent="0.3">
      <c r="A1659" s="23">
        <v>45426</v>
      </c>
      <c r="B1659" t="s">
        <v>13</v>
      </c>
      <c r="C1659" t="s">
        <v>132</v>
      </c>
      <c r="D1659" t="s">
        <v>16</v>
      </c>
      <c r="E1659" t="s">
        <v>169</v>
      </c>
      <c r="F1659">
        <v>800000000</v>
      </c>
      <c r="G1659" t="s">
        <v>131</v>
      </c>
      <c r="H1659" t="s">
        <v>81</v>
      </c>
      <c r="I1659" t="s">
        <v>9</v>
      </c>
      <c r="L1659" t="s">
        <v>161</v>
      </c>
      <c r="M1659">
        <v>800000000</v>
      </c>
    </row>
    <row r="1660" spans="1:13" x14ac:dyDescent="0.3">
      <c r="A1660" s="23">
        <v>45309</v>
      </c>
      <c r="B1660" t="s">
        <v>13</v>
      </c>
      <c r="C1660" t="s">
        <v>132</v>
      </c>
      <c r="D1660" t="s">
        <v>16</v>
      </c>
      <c r="E1660" t="s">
        <v>136</v>
      </c>
      <c r="F1660">
        <v>818950944.78999996</v>
      </c>
      <c r="G1660" t="s">
        <v>134</v>
      </c>
      <c r="H1660" t="s">
        <v>81</v>
      </c>
      <c r="I1660" t="s">
        <v>9</v>
      </c>
      <c r="L1660" t="s">
        <v>161</v>
      </c>
      <c r="M1660">
        <v>818950944.78999996</v>
      </c>
    </row>
    <row r="1661" spans="1:13" x14ac:dyDescent="0.3">
      <c r="A1661" s="23">
        <v>45315</v>
      </c>
      <c r="B1661" t="s">
        <v>13</v>
      </c>
      <c r="C1661" t="s">
        <v>132</v>
      </c>
      <c r="D1661" t="s">
        <v>16</v>
      </c>
      <c r="E1661" t="s">
        <v>136</v>
      </c>
      <c r="F1661">
        <v>820355979</v>
      </c>
      <c r="G1661" t="s">
        <v>134</v>
      </c>
      <c r="H1661" t="s">
        <v>81</v>
      </c>
      <c r="I1661" t="s">
        <v>9</v>
      </c>
      <c r="L1661" t="s">
        <v>161</v>
      </c>
      <c r="M1661">
        <v>820355979</v>
      </c>
    </row>
    <row r="1662" spans="1:13" x14ac:dyDescent="0.3">
      <c r="A1662" s="23">
        <v>45323</v>
      </c>
      <c r="B1662" t="s">
        <v>13</v>
      </c>
      <c r="C1662" t="s">
        <v>132</v>
      </c>
      <c r="D1662" t="s">
        <v>16</v>
      </c>
      <c r="E1662" t="s">
        <v>136</v>
      </c>
      <c r="F1662">
        <v>824600000</v>
      </c>
      <c r="G1662" t="s">
        <v>134</v>
      </c>
      <c r="H1662" t="s">
        <v>81</v>
      </c>
      <c r="I1662" t="s">
        <v>9</v>
      </c>
      <c r="L1662" t="s">
        <v>161</v>
      </c>
      <c r="M1662">
        <v>824600000</v>
      </c>
    </row>
    <row r="1663" spans="1:13" x14ac:dyDescent="0.3">
      <c r="A1663" s="23">
        <v>45327</v>
      </c>
      <c r="B1663" t="s">
        <v>13</v>
      </c>
      <c r="C1663" t="s">
        <v>132</v>
      </c>
      <c r="D1663" t="s">
        <v>16</v>
      </c>
      <c r="E1663" t="s">
        <v>136</v>
      </c>
      <c r="F1663">
        <v>825700000</v>
      </c>
      <c r="G1663" t="s">
        <v>134</v>
      </c>
      <c r="H1663" t="s">
        <v>81</v>
      </c>
      <c r="I1663" t="s">
        <v>9</v>
      </c>
      <c r="L1663" t="s">
        <v>161</v>
      </c>
      <c r="M1663">
        <v>825700000</v>
      </c>
    </row>
    <row r="1664" spans="1:13" x14ac:dyDescent="0.3">
      <c r="A1664" s="23">
        <v>45350</v>
      </c>
      <c r="B1664" t="s">
        <v>13</v>
      </c>
      <c r="C1664" t="s">
        <v>132</v>
      </c>
      <c r="D1664" t="s">
        <v>16</v>
      </c>
      <c r="E1664" t="s">
        <v>136</v>
      </c>
      <c r="F1664">
        <v>843000000</v>
      </c>
      <c r="G1664" t="s">
        <v>134</v>
      </c>
      <c r="H1664" t="s">
        <v>81</v>
      </c>
      <c r="I1664" t="s">
        <v>9</v>
      </c>
      <c r="L1664" t="s">
        <v>161</v>
      </c>
      <c r="M1664">
        <v>843000000</v>
      </c>
    </row>
    <row r="1665" spans="1:13" x14ac:dyDescent="0.3">
      <c r="A1665" s="23">
        <v>45418</v>
      </c>
      <c r="B1665" t="s">
        <v>13</v>
      </c>
      <c r="C1665" t="s">
        <v>132</v>
      </c>
      <c r="D1665" t="s">
        <v>16</v>
      </c>
      <c r="E1665" t="s">
        <v>136</v>
      </c>
      <c r="F1665">
        <v>877121568</v>
      </c>
      <c r="G1665" t="s">
        <v>134</v>
      </c>
      <c r="H1665" t="s">
        <v>81</v>
      </c>
      <c r="I1665" t="s">
        <v>9</v>
      </c>
      <c r="L1665" t="s">
        <v>161</v>
      </c>
      <c r="M1665">
        <v>877121568</v>
      </c>
    </row>
    <row r="1666" spans="1:13" x14ac:dyDescent="0.3">
      <c r="A1666" s="23">
        <v>45420</v>
      </c>
      <c r="B1666" t="s">
        <v>13</v>
      </c>
      <c r="C1666" t="s">
        <v>132</v>
      </c>
      <c r="D1666" t="s">
        <v>16</v>
      </c>
      <c r="E1666" t="s">
        <v>136</v>
      </c>
      <c r="F1666">
        <v>880083854</v>
      </c>
      <c r="G1666" t="s">
        <v>134</v>
      </c>
      <c r="H1666" t="s">
        <v>81</v>
      </c>
      <c r="I1666" t="s">
        <v>9</v>
      </c>
      <c r="L1666" t="s">
        <v>161</v>
      </c>
      <c r="M1666">
        <v>880083854</v>
      </c>
    </row>
    <row r="1667" spans="1:13" x14ac:dyDescent="0.3">
      <c r="A1667" s="23">
        <v>45425</v>
      </c>
      <c r="B1667" t="s">
        <v>13</v>
      </c>
      <c r="C1667" t="s">
        <v>132</v>
      </c>
      <c r="D1667" t="s">
        <v>16</v>
      </c>
      <c r="E1667" t="s">
        <v>136</v>
      </c>
      <c r="F1667">
        <v>881052701</v>
      </c>
      <c r="G1667" t="s">
        <v>134</v>
      </c>
      <c r="H1667" t="s">
        <v>81</v>
      </c>
      <c r="I1667" t="s">
        <v>9</v>
      </c>
      <c r="L1667" t="s">
        <v>161</v>
      </c>
      <c r="M1667">
        <v>881052701</v>
      </c>
    </row>
    <row r="1668" spans="1:13" x14ac:dyDescent="0.3">
      <c r="A1668" s="23">
        <v>45593</v>
      </c>
      <c r="B1668" t="s">
        <v>13</v>
      </c>
      <c r="C1668" t="s">
        <v>132</v>
      </c>
      <c r="D1668" t="s">
        <v>16</v>
      </c>
      <c r="E1668" t="s">
        <v>136</v>
      </c>
      <c r="F1668">
        <v>900000000</v>
      </c>
      <c r="G1668" t="s">
        <v>134</v>
      </c>
      <c r="H1668" t="s">
        <v>81</v>
      </c>
      <c r="I1668" t="s">
        <v>9</v>
      </c>
      <c r="L1668" t="s">
        <v>161</v>
      </c>
      <c r="M1668">
        <v>900000000</v>
      </c>
    </row>
    <row r="1669" spans="1:13" x14ac:dyDescent="0.3">
      <c r="A1669" s="23">
        <v>45534</v>
      </c>
      <c r="B1669" t="s">
        <v>13</v>
      </c>
      <c r="C1669" t="s">
        <v>132</v>
      </c>
      <c r="D1669" t="s">
        <v>16</v>
      </c>
      <c r="E1669" t="s">
        <v>136</v>
      </c>
      <c r="F1669">
        <v>929451212</v>
      </c>
      <c r="G1669" t="s">
        <v>134</v>
      </c>
      <c r="H1669" t="s">
        <v>81</v>
      </c>
      <c r="I1669" t="s">
        <v>9</v>
      </c>
      <c r="L1669" t="s">
        <v>161</v>
      </c>
      <c r="M1669">
        <v>929451212</v>
      </c>
    </row>
    <row r="1670" spans="1:13" x14ac:dyDescent="0.3">
      <c r="A1670" s="23">
        <v>45628</v>
      </c>
      <c r="B1670" t="s">
        <v>13</v>
      </c>
      <c r="C1670" t="s">
        <v>132</v>
      </c>
      <c r="D1670" t="s">
        <v>16</v>
      </c>
      <c r="E1670" t="s">
        <v>193</v>
      </c>
      <c r="F1670">
        <v>935641627</v>
      </c>
      <c r="G1670" t="s">
        <v>131</v>
      </c>
      <c r="H1670" t="s">
        <v>81</v>
      </c>
      <c r="I1670" t="s">
        <v>9</v>
      </c>
      <c r="L1670" t="s">
        <v>161</v>
      </c>
      <c r="M1670">
        <v>935641627</v>
      </c>
    </row>
    <row r="1671" spans="1:13" x14ac:dyDescent="0.3">
      <c r="A1671" s="23">
        <v>45426</v>
      </c>
      <c r="B1671" t="s">
        <v>13</v>
      </c>
      <c r="C1671" t="s">
        <v>132</v>
      </c>
      <c r="D1671" t="s">
        <v>16</v>
      </c>
      <c r="E1671" t="s">
        <v>136</v>
      </c>
      <c r="F1671">
        <v>973687357</v>
      </c>
      <c r="G1671" t="s">
        <v>134</v>
      </c>
      <c r="H1671" t="s">
        <v>81</v>
      </c>
      <c r="I1671" t="s">
        <v>9</v>
      </c>
      <c r="L1671" t="s">
        <v>161</v>
      </c>
      <c r="M1671">
        <v>973687357</v>
      </c>
    </row>
    <row r="1672" spans="1:13" x14ac:dyDescent="0.3">
      <c r="A1672" s="23">
        <v>45471</v>
      </c>
      <c r="B1672" t="s">
        <v>13</v>
      </c>
      <c r="C1672" t="s">
        <v>132</v>
      </c>
      <c r="D1672" t="s">
        <v>16</v>
      </c>
      <c r="E1672" t="s">
        <v>136</v>
      </c>
      <c r="F1672">
        <v>994500000</v>
      </c>
      <c r="G1672" t="s">
        <v>134</v>
      </c>
      <c r="H1672" t="s">
        <v>81</v>
      </c>
      <c r="I1672" t="s">
        <v>9</v>
      </c>
      <c r="L1672" t="s">
        <v>161</v>
      </c>
      <c r="M1672">
        <v>994500000</v>
      </c>
    </row>
    <row r="1673" spans="1:13" x14ac:dyDescent="0.3">
      <c r="A1673" s="23">
        <v>45750</v>
      </c>
      <c r="B1673" t="s">
        <v>13</v>
      </c>
      <c r="C1673" t="s">
        <v>132</v>
      </c>
      <c r="D1673" t="s">
        <v>16</v>
      </c>
      <c r="E1673" t="s">
        <v>193</v>
      </c>
      <c r="F1673">
        <v>1012441301.0599999</v>
      </c>
      <c r="G1673" t="s">
        <v>131</v>
      </c>
      <c r="H1673" t="s">
        <v>81</v>
      </c>
      <c r="I1673" t="s">
        <v>9</v>
      </c>
      <c r="L1673" t="s">
        <v>161</v>
      </c>
      <c r="M1673">
        <v>1012441301.0599999</v>
      </c>
    </row>
    <row r="1674" spans="1:13" x14ac:dyDescent="0.3">
      <c r="A1674" s="23">
        <v>45688</v>
      </c>
      <c r="B1674" t="s">
        <v>13</v>
      </c>
      <c r="C1674" t="s">
        <v>132</v>
      </c>
      <c r="D1674" t="s">
        <v>16</v>
      </c>
      <c r="E1674" t="s">
        <v>40</v>
      </c>
      <c r="F1674">
        <v>1049800000</v>
      </c>
      <c r="G1674" t="s">
        <v>25</v>
      </c>
      <c r="H1674" t="s">
        <v>81</v>
      </c>
      <c r="I1674" t="s">
        <v>9</v>
      </c>
      <c r="L1674" t="s">
        <v>161</v>
      </c>
      <c r="M1674">
        <v>1049800000</v>
      </c>
    </row>
    <row r="1675" spans="1:13" x14ac:dyDescent="0.3">
      <c r="A1675" s="23">
        <v>45450</v>
      </c>
      <c r="B1675" t="s">
        <v>13</v>
      </c>
      <c r="C1675" t="s">
        <v>132</v>
      </c>
      <c r="D1675" t="s">
        <v>16</v>
      </c>
      <c r="E1675" t="s">
        <v>169</v>
      </c>
      <c r="F1675">
        <v>1612614687</v>
      </c>
      <c r="G1675" t="s">
        <v>131</v>
      </c>
      <c r="H1675" t="s">
        <v>81</v>
      </c>
      <c r="I1675" t="s">
        <v>9</v>
      </c>
      <c r="L1675" t="s">
        <v>161</v>
      </c>
      <c r="M1675">
        <v>1612614687</v>
      </c>
    </row>
    <row r="1676" spans="1:13" x14ac:dyDescent="0.3">
      <c r="A1676" s="23">
        <v>45632</v>
      </c>
      <c r="B1676" t="s">
        <v>13</v>
      </c>
      <c r="C1676" t="s">
        <v>132</v>
      </c>
      <c r="D1676" t="s">
        <v>16</v>
      </c>
      <c r="E1676" t="s">
        <v>136</v>
      </c>
      <c r="F1676">
        <v>1896284073</v>
      </c>
      <c r="G1676" t="s">
        <v>134</v>
      </c>
      <c r="H1676" t="s">
        <v>81</v>
      </c>
      <c r="I1676" t="s">
        <v>9</v>
      </c>
      <c r="L1676" t="s">
        <v>161</v>
      </c>
      <c r="M1676">
        <v>1896284073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6F294-BFC0-4BED-AC2A-0CDDD0F2E1B4}">
  <sheetPr codeName="Hoja17"/>
  <dimension ref="A1:M4"/>
  <sheetViews>
    <sheetView workbookViewId="0">
      <selection activeCell="A3" sqref="A3:M4"/>
    </sheetView>
  </sheetViews>
  <sheetFormatPr baseColWidth="10" defaultRowHeight="14.4" x14ac:dyDescent="0.3"/>
  <cols>
    <col min="1" max="1" width="11.5546875" bestFit="1" customWidth="1"/>
    <col min="2" max="2" width="11.6640625" bestFit="1" customWidth="1"/>
    <col min="3" max="3" width="13.33203125" bestFit="1" customWidth="1"/>
    <col min="4" max="4" width="13.6640625" bestFit="1" customWidth="1"/>
    <col min="5" max="5" width="19.6640625" bestFit="1" customWidth="1"/>
    <col min="6" max="6" width="11.5546875" bestFit="1" customWidth="1"/>
    <col min="7" max="7" width="19.6640625" bestFit="1" customWidth="1"/>
    <col min="8" max="8" width="11.5546875" bestFit="1" customWidth="1"/>
    <col min="9" max="9" width="15.6640625" bestFit="1" customWidth="1"/>
    <col min="10" max="10" width="16" bestFit="1" customWidth="1"/>
    <col min="11" max="13" width="11.5546875" bestFit="1" customWidth="1"/>
  </cols>
  <sheetData>
    <row r="1" spans="1:13" x14ac:dyDescent="0.3">
      <c r="A1" s="32" t="s">
        <v>249</v>
      </c>
    </row>
    <row r="3" spans="1:13" x14ac:dyDescent="0.3">
      <c r="A3" t="s">
        <v>0</v>
      </c>
      <c r="B3" t="s">
        <v>11</v>
      </c>
      <c r="C3" t="s">
        <v>104</v>
      </c>
      <c r="D3" t="s">
        <v>21</v>
      </c>
      <c r="E3" t="s">
        <v>19</v>
      </c>
      <c r="F3" t="s">
        <v>20</v>
      </c>
      <c r="G3" t="s">
        <v>4</v>
      </c>
      <c r="H3" t="s">
        <v>1</v>
      </c>
      <c r="I3" t="s">
        <v>10</v>
      </c>
      <c r="J3" t="s">
        <v>145</v>
      </c>
      <c r="K3" t="s">
        <v>146</v>
      </c>
      <c r="L3" t="s">
        <v>148</v>
      </c>
      <c r="M3" t="s">
        <v>85</v>
      </c>
    </row>
    <row r="4" spans="1:13" x14ac:dyDescent="0.3">
      <c r="A4" s="23">
        <v>45763</v>
      </c>
      <c r="B4" t="s">
        <v>13</v>
      </c>
      <c r="C4" t="s">
        <v>132</v>
      </c>
      <c r="D4" t="s">
        <v>16</v>
      </c>
      <c r="E4" t="s">
        <v>216</v>
      </c>
      <c r="F4">
        <v>101500</v>
      </c>
      <c r="G4" t="s">
        <v>216</v>
      </c>
      <c r="H4" t="s">
        <v>81</v>
      </c>
      <c r="I4" t="s">
        <v>7</v>
      </c>
      <c r="L4" t="s">
        <v>161</v>
      </c>
      <c r="M4">
        <v>101500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AF876-9052-440F-840D-E41E946C3DAB}">
  <sheetPr codeName="Hoja18"/>
  <dimension ref="A1:M4"/>
  <sheetViews>
    <sheetView workbookViewId="0">
      <selection activeCell="J21" sqref="J21"/>
    </sheetView>
  </sheetViews>
  <sheetFormatPr baseColWidth="10" defaultRowHeight="14.4" x14ac:dyDescent="0.3"/>
  <cols>
    <col min="1" max="1" width="11.5546875" bestFit="1" customWidth="1"/>
    <col min="2" max="2" width="13.6640625" bestFit="1" customWidth="1"/>
    <col min="3" max="3" width="13.33203125" bestFit="1" customWidth="1"/>
    <col min="4" max="4" width="13.6640625" bestFit="1" customWidth="1"/>
    <col min="5" max="5" width="17.33203125" bestFit="1" customWidth="1"/>
    <col min="6" max="8" width="11.5546875" bestFit="1" customWidth="1"/>
    <col min="9" max="9" width="15.6640625" bestFit="1" customWidth="1"/>
    <col min="10" max="10" width="16" bestFit="1" customWidth="1"/>
    <col min="11" max="11" width="11.5546875" bestFit="1" customWidth="1"/>
    <col min="12" max="12" width="19.33203125" bestFit="1" customWidth="1"/>
    <col min="13" max="13" width="11.5546875" bestFit="1" customWidth="1"/>
  </cols>
  <sheetData>
    <row r="1" spans="1:13" x14ac:dyDescent="0.3">
      <c r="A1" s="32" t="s">
        <v>252</v>
      </c>
    </row>
    <row r="3" spans="1:13" x14ac:dyDescent="0.3">
      <c r="A3" t="s">
        <v>0</v>
      </c>
      <c r="B3" t="s">
        <v>11</v>
      </c>
      <c r="C3" t="s">
        <v>104</v>
      </c>
      <c r="D3" t="s">
        <v>21</v>
      </c>
      <c r="E3" t="s">
        <v>19</v>
      </c>
      <c r="F3" t="s">
        <v>20</v>
      </c>
      <c r="G3" t="s">
        <v>4</v>
      </c>
      <c r="H3" t="s">
        <v>1</v>
      </c>
      <c r="I3" t="s">
        <v>10</v>
      </c>
      <c r="J3" t="s">
        <v>145</v>
      </c>
      <c r="K3" t="s">
        <v>146</v>
      </c>
      <c r="L3" t="s">
        <v>148</v>
      </c>
      <c r="M3" t="s">
        <v>85</v>
      </c>
    </row>
    <row r="4" spans="1:13" x14ac:dyDescent="0.3">
      <c r="A4" s="23">
        <v>45750</v>
      </c>
      <c r="B4" t="s">
        <v>12</v>
      </c>
      <c r="C4" t="s">
        <v>172</v>
      </c>
      <c r="D4" t="s">
        <v>16</v>
      </c>
      <c r="E4" t="s">
        <v>247</v>
      </c>
      <c r="F4">
        <v>1074540000.01</v>
      </c>
      <c r="G4" t="s">
        <v>131</v>
      </c>
      <c r="H4" t="s">
        <v>141</v>
      </c>
      <c r="I4" t="s">
        <v>9</v>
      </c>
      <c r="J4" t="s">
        <v>215</v>
      </c>
      <c r="K4">
        <v>37</v>
      </c>
      <c r="L4" t="s">
        <v>250</v>
      </c>
      <c r="M4">
        <v>1074540000.01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04E93-E97F-4024-9F0B-806609A8EABD}">
  <sheetPr codeName="Hoja19"/>
  <dimension ref="A1:M4"/>
  <sheetViews>
    <sheetView workbookViewId="0">
      <selection activeCell="A3" sqref="A3:M4"/>
    </sheetView>
  </sheetViews>
  <sheetFormatPr baseColWidth="10" defaultRowHeight="14.4" x14ac:dyDescent="0.3"/>
  <cols>
    <col min="1" max="1" width="11.5546875" bestFit="1" customWidth="1"/>
    <col min="2" max="2" width="13.6640625" bestFit="1" customWidth="1"/>
    <col min="3" max="3" width="13.33203125" bestFit="1" customWidth="1"/>
    <col min="4" max="4" width="13.6640625" bestFit="1" customWidth="1"/>
    <col min="5" max="5" width="19.33203125" bestFit="1" customWidth="1"/>
    <col min="6" max="8" width="11.5546875" bestFit="1" customWidth="1"/>
    <col min="9" max="9" width="15.6640625" bestFit="1" customWidth="1"/>
    <col min="10" max="10" width="16" bestFit="1" customWidth="1"/>
    <col min="11" max="11" width="11.5546875" bestFit="1" customWidth="1"/>
    <col min="12" max="12" width="19.33203125" bestFit="1" customWidth="1"/>
    <col min="13" max="13" width="11.5546875" bestFit="1" customWidth="1"/>
  </cols>
  <sheetData>
    <row r="1" spans="1:13" x14ac:dyDescent="0.3">
      <c r="A1" s="32" t="s">
        <v>253</v>
      </c>
    </row>
    <row r="3" spans="1:13" x14ac:dyDescent="0.3">
      <c r="A3" t="s">
        <v>0</v>
      </c>
      <c r="B3" t="s">
        <v>11</v>
      </c>
      <c r="C3" t="s">
        <v>104</v>
      </c>
      <c r="D3" t="s">
        <v>21</v>
      </c>
      <c r="E3" t="s">
        <v>19</v>
      </c>
      <c r="F3" t="s">
        <v>20</v>
      </c>
      <c r="G3" t="s">
        <v>4</v>
      </c>
      <c r="H3" t="s">
        <v>1</v>
      </c>
      <c r="I3" t="s">
        <v>10</v>
      </c>
      <c r="J3" t="s">
        <v>145</v>
      </c>
      <c r="K3" t="s">
        <v>146</v>
      </c>
      <c r="L3" t="s">
        <v>148</v>
      </c>
      <c r="M3" t="s">
        <v>85</v>
      </c>
    </row>
    <row r="4" spans="1:13" x14ac:dyDescent="0.3">
      <c r="A4" s="23">
        <v>45643</v>
      </c>
      <c r="B4" t="s">
        <v>12</v>
      </c>
      <c r="C4" t="s">
        <v>172</v>
      </c>
      <c r="D4" t="s">
        <v>16</v>
      </c>
      <c r="E4" t="s">
        <v>213</v>
      </c>
      <c r="F4">
        <v>500000</v>
      </c>
      <c r="G4" t="s">
        <v>131</v>
      </c>
      <c r="H4" t="s">
        <v>178</v>
      </c>
      <c r="I4" t="s">
        <v>7</v>
      </c>
      <c r="J4" s="23">
        <v>45854</v>
      </c>
      <c r="K4">
        <v>4.5</v>
      </c>
      <c r="L4" t="s">
        <v>251</v>
      </c>
      <c r="M4">
        <v>500000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DEB7D-4C86-4BD4-9663-039146763176}">
  <sheetPr codeName="Hoja20"/>
  <dimension ref="A1:M2607"/>
  <sheetViews>
    <sheetView workbookViewId="0">
      <selection activeCell="A3" sqref="A3:M2607"/>
    </sheetView>
  </sheetViews>
  <sheetFormatPr baseColWidth="10" defaultRowHeight="14.4" x14ac:dyDescent="0.3"/>
  <cols>
    <col min="1" max="1" width="11.5546875" bestFit="1" customWidth="1"/>
    <col min="2" max="2" width="13.6640625" bestFit="1" customWidth="1"/>
    <col min="3" max="3" width="13.33203125" bestFit="1" customWidth="1"/>
    <col min="4" max="4" width="13.6640625" bestFit="1" customWidth="1"/>
    <col min="5" max="5" width="28.6640625" bestFit="1" customWidth="1"/>
    <col min="6" max="6" width="12" bestFit="1" customWidth="1"/>
    <col min="7" max="7" width="32" bestFit="1" customWidth="1"/>
    <col min="8" max="8" width="11.5546875" bestFit="1" customWidth="1"/>
    <col min="9" max="9" width="15.6640625" bestFit="1" customWidth="1"/>
    <col min="10" max="10" width="16" bestFit="1" customWidth="1"/>
    <col min="11" max="12" width="11.5546875" bestFit="1" customWidth="1"/>
    <col min="13" max="13" width="12.6640625" bestFit="1" customWidth="1"/>
  </cols>
  <sheetData>
    <row r="1" spans="1:13" x14ac:dyDescent="0.3">
      <c r="A1" s="32" t="s">
        <v>257</v>
      </c>
    </row>
    <row r="3" spans="1:13" x14ac:dyDescent="0.3">
      <c r="A3" t="s">
        <v>0</v>
      </c>
      <c r="B3" t="s">
        <v>11</v>
      </c>
      <c r="C3" t="s">
        <v>104</v>
      </c>
      <c r="D3" t="s">
        <v>21</v>
      </c>
      <c r="E3" t="s">
        <v>19</v>
      </c>
      <c r="F3" t="s">
        <v>20</v>
      </c>
      <c r="G3" t="s">
        <v>4</v>
      </c>
      <c r="H3" t="s">
        <v>1</v>
      </c>
      <c r="I3" t="s">
        <v>10</v>
      </c>
      <c r="J3" t="s">
        <v>145</v>
      </c>
      <c r="K3" t="s">
        <v>146</v>
      </c>
      <c r="L3" t="s">
        <v>148</v>
      </c>
      <c r="M3" t="s">
        <v>85</v>
      </c>
    </row>
    <row r="4" spans="1:13" x14ac:dyDescent="0.3">
      <c r="A4" s="23">
        <v>45877</v>
      </c>
      <c r="B4" t="s">
        <v>12</v>
      </c>
      <c r="C4" t="s">
        <v>132</v>
      </c>
      <c r="D4" t="s">
        <v>17</v>
      </c>
      <c r="E4" t="s">
        <v>136</v>
      </c>
      <c r="F4">
        <v>1262374704.8499999</v>
      </c>
      <c r="G4" t="s">
        <v>134</v>
      </c>
      <c r="H4" t="s">
        <v>81</v>
      </c>
      <c r="I4" t="s">
        <v>9</v>
      </c>
      <c r="L4" t="s">
        <v>161</v>
      </c>
      <c r="M4">
        <v>-1262374704.8499999</v>
      </c>
    </row>
    <row r="5" spans="1:13" x14ac:dyDescent="0.3">
      <c r="A5" s="23">
        <v>45877</v>
      </c>
      <c r="B5" t="s">
        <v>12</v>
      </c>
      <c r="C5" t="s">
        <v>132</v>
      </c>
      <c r="D5" t="s">
        <v>17</v>
      </c>
      <c r="E5" t="s">
        <v>136</v>
      </c>
      <c r="F5">
        <v>435174624.88999999</v>
      </c>
      <c r="G5" t="s">
        <v>134</v>
      </c>
      <c r="H5" t="s">
        <v>81</v>
      </c>
      <c r="I5" t="s">
        <v>9</v>
      </c>
      <c r="L5" t="s">
        <v>161</v>
      </c>
      <c r="M5">
        <v>-435174624.88999999</v>
      </c>
    </row>
    <row r="6" spans="1:13" x14ac:dyDescent="0.3">
      <c r="A6" s="23">
        <v>45876</v>
      </c>
      <c r="B6" t="s">
        <v>12</v>
      </c>
      <c r="C6" t="s">
        <v>132</v>
      </c>
      <c r="D6" t="s">
        <v>16</v>
      </c>
      <c r="E6" t="s">
        <v>136</v>
      </c>
      <c r="F6">
        <v>38369398.32</v>
      </c>
      <c r="G6" t="s">
        <v>134</v>
      </c>
      <c r="H6" t="s">
        <v>81</v>
      </c>
      <c r="I6" t="s">
        <v>9</v>
      </c>
      <c r="L6" t="s">
        <v>161</v>
      </c>
      <c r="M6">
        <v>38369398.32</v>
      </c>
    </row>
    <row r="7" spans="1:13" x14ac:dyDescent="0.3">
      <c r="A7" s="23">
        <v>45874</v>
      </c>
      <c r="B7" t="s">
        <v>12</v>
      </c>
      <c r="C7" t="s">
        <v>132</v>
      </c>
      <c r="D7" t="s">
        <v>17</v>
      </c>
      <c r="E7" t="s">
        <v>136</v>
      </c>
      <c r="F7">
        <v>137610239.81999999</v>
      </c>
      <c r="G7" t="s">
        <v>134</v>
      </c>
      <c r="H7" t="s">
        <v>81</v>
      </c>
      <c r="I7" t="s">
        <v>9</v>
      </c>
      <c r="L7" t="s">
        <v>161</v>
      </c>
      <c r="M7">
        <v>-137610239.81999999</v>
      </c>
    </row>
    <row r="8" spans="1:13" x14ac:dyDescent="0.3">
      <c r="A8" s="23">
        <v>45874</v>
      </c>
      <c r="B8" t="s">
        <v>12</v>
      </c>
      <c r="C8" t="s">
        <v>132</v>
      </c>
      <c r="D8" t="s">
        <v>17</v>
      </c>
      <c r="E8" t="s">
        <v>136</v>
      </c>
      <c r="F8">
        <v>248003561.75999999</v>
      </c>
      <c r="G8" t="s">
        <v>134</v>
      </c>
      <c r="H8" t="s">
        <v>81</v>
      </c>
      <c r="I8" t="s">
        <v>9</v>
      </c>
      <c r="L8" t="s">
        <v>161</v>
      </c>
      <c r="M8">
        <v>-248003561.75999999</v>
      </c>
    </row>
    <row r="9" spans="1:13" x14ac:dyDescent="0.3">
      <c r="A9" s="23">
        <v>45868</v>
      </c>
      <c r="B9" t="s">
        <v>12</v>
      </c>
      <c r="C9" t="s">
        <v>132</v>
      </c>
      <c r="D9" t="s">
        <v>17</v>
      </c>
      <c r="E9" t="s">
        <v>136</v>
      </c>
      <c r="F9">
        <v>462611272.85000002</v>
      </c>
      <c r="G9" t="s">
        <v>134</v>
      </c>
      <c r="H9" t="s">
        <v>81</v>
      </c>
      <c r="I9" t="s">
        <v>9</v>
      </c>
      <c r="L9" t="s">
        <v>161</v>
      </c>
      <c r="M9">
        <v>-462611272.85000002</v>
      </c>
    </row>
    <row r="10" spans="1:13" x14ac:dyDescent="0.3">
      <c r="A10" s="23">
        <v>45868</v>
      </c>
      <c r="B10" t="s">
        <v>12</v>
      </c>
      <c r="C10" t="s">
        <v>132</v>
      </c>
      <c r="D10" t="s">
        <v>17</v>
      </c>
      <c r="E10" t="s">
        <v>136</v>
      </c>
      <c r="F10">
        <v>55559585</v>
      </c>
      <c r="G10" t="s">
        <v>134</v>
      </c>
      <c r="H10" t="s">
        <v>81</v>
      </c>
      <c r="I10" t="s">
        <v>9</v>
      </c>
      <c r="L10" t="s">
        <v>161</v>
      </c>
      <c r="M10">
        <v>-55559585</v>
      </c>
    </row>
    <row r="11" spans="1:13" x14ac:dyDescent="0.3">
      <c r="A11" s="23">
        <v>45867</v>
      </c>
      <c r="B11" t="s">
        <v>12</v>
      </c>
      <c r="C11" t="s">
        <v>132</v>
      </c>
      <c r="D11" t="s">
        <v>17</v>
      </c>
      <c r="E11" t="s">
        <v>136</v>
      </c>
      <c r="F11">
        <v>300000000</v>
      </c>
      <c r="G11" t="s">
        <v>134</v>
      </c>
      <c r="H11" t="s">
        <v>81</v>
      </c>
      <c r="I11" t="s">
        <v>9</v>
      </c>
      <c r="L11" t="s">
        <v>161</v>
      </c>
      <c r="M11">
        <v>-300000000</v>
      </c>
    </row>
    <row r="12" spans="1:13" x14ac:dyDescent="0.3">
      <c r="A12" s="23">
        <v>45866</v>
      </c>
      <c r="B12" t="s">
        <v>12</v>
      </c>
      <c r="C12" t="s">
        <v>132</v>
      </c>
      <c r="D12" t="s">
        <v>17</v>
      </c>
      <c r="E12" t="s">
        <v>136</v>
      </c>
      <c r="F12">
        <v>253169664</v>
      </c>
      <c r="G12" t="s">
        <v>134</v>
      </c>
      <c r="H12" t="s">
        <v>81</v>
      </c>
      <c r="I12" t="s">
        <v>9</v>
      </c>
      <c r="L12" t="s">
        <v>161</v>
      </c>
      <c r="M12">
        <v>-253169664</v>
      </c>
    </row>
    <row r="13" spans="1:13" x14ac:dyDescent="0.3">
      <c r="A13" s="23">
        <v>45863</v>
      </c>
      <c r="B13" t="s">
        <v>12</v>
      </c>
      <c r="C13" t="s">
        <v>132</v>
      </c>
      <c r="D13" t="s">
        <v>17</v>
      </c>
      <c r="E13" t="s">
        <v>136</v>
      </c>
      <c r="F13">
        <v>166782531</v>
      </c>
      <c r="G13" t="s">
        <v>134</v>
      </c>
      <c r="H13" t="s">
        <v>81</v>
      </c>
      <c r="I13" t="s">
        <v>9</v>
      </c>
      <c r="L13" t="s">
        <v>161</v>
      </c>
      <c r="M13">
        <v>-166782531</v>
      </c>
    </row>
    <row r="14" spans="1:13" x14ac:dyDescent="0.3">
      <c r="A14" s="23">
        <v>45862</v>
      </c>
      <c r="B14" t="s">
        <v>12</v>
      </c>
      <c r="C14" t="s">
        <v>132</v>
      </c>
      <c r="D14" t="s">
        <v>17</v>
      </c>
      <c r="E14" t="s">
        <v>136</v>
      </c>
      <c r="F14">
        <v>117117575</v>
      </c>
      <c r="G14" t="s">
        <v>134</v>
      </c>
      <c r="H14" t="s">
        <v>81</v>
      </c>
      <c r="I14" t="s">
        <v>9</v>
      </c>
      <c r="L14" t="s">
        <v>161</v>
      </c>
      <c r="M14">
        <v>-117117575</v>
      </c>
    </row>
    <row r="15" spans="1:13" x14ac:dyDescent="0.3">
      <c r="A15" s="23">
        <v>45861</v>
      </c>
      <c r="B15" t="s">
        <v>12</v>
      </c>
      <c r="C15" t="s">
        <v>132</v>
      </c>
      <c r="D15" t="s">
        <v>16</v>
      </c>
      <c r="E15" t="s">
        <v>136</v>
      </c>
      <c r="F15">
        <v>1873762000</v>
      </c>
      <c r="G15" t="s">
        <v>134</v>
      </c>
      <c r="H15" t="s">
        <v>81</v>
      </c>
      <c r="I15" t="s">
        <v>9</v>
      </c>
      <c r="L15" t="s">
        <v>161</v>
      </c>
      <c r="M15">
        <v>1873762000</v>
      </c>
    </row>
    <row r="16" spans="1:13" x14ac:dyDescent="0.3">
      <c r="A16" s="23">
        <v>45861</v>
      </c>
      <c r="B16" t="s">
        <v>12</v>
      </c>
      <c r="C16" t="s">
        <v>132</v>
      </c>
      <c r="D16" t="s">
        <v>17</v>
      </c>
      <c r="E16" t="s">
        <v>136</v>
      </c>
      <c r="F16">
        <v>132284278.34999999</v>
      </c>
      <c r="G16" t="s">
        <v>134</v>
      </c>
      <c r="H16" t="s">
        <v>81</v>
      </c>
      <c r="I16" t="s">
        <v>9</v>
      </c>
      <c r="L16" t="s">
        <v>161</v>
      </c>
      <c r="M16">
        <v>-132284278.34999999</v>
      </c>
    </row>
    <row r="17" spans="1:13" x14ac:dyDescent="0.3">
      <c r="A17" s="23">
        <v>45861</v>
      </c>
      <c r="B17" t="s">
        <v>12</v>
      </c>
      <c r="C17" t="s">
        <v>132</v>
      </c>
      <c r="D17" t="s">
        <v>17</v>
      </c>
      <c r="E17" t="s">
        <v>136</v>
      </c>
      <c r="F17">
        <v>188009300.22</v>
      </c>
      <c r="G17" t="s">
        <v>134</v>
      </c>
      <c r="H17" t="s">
        <v>81</v>
      </c>
      <c r="I17" t="s">
        <v>9</v>
      </c>
      <c r="L17" t="s">
        <v>161</v>
      </c>
      <c r="M17">
        <v>-188009300.22</v>
      </c>
    </row>
    <row r="18" spans="1:13" x14ac:dyDescent="0.3">
      <c r="A18" s="23">
        <v>45855</v>
      </c>
      <c r="B18" t="s">
        <v>12</v>
      </c>
      <c r="C18" t="s">
        <v>132</v>
      </c>
      <c r="D18" t="s">
        <v>16</v>
      </c>
      <c r="E18" t="s">
        <v>136</v>
      </c>
      <c r="F18">
        <v>1083100000</v>
      </c>
      <c r="G18" t="s">
        <v>134</v>
      </c>
      <c r="H18" t="s">
        <v>81</v>
      </c>
      <c r="I18" t="s">
        <v>9</v>
      </c>
      <c r="L18" t="s">
        <v>161</v>
      </c>
      <c r="M18">
        <v>1083100000</v>
      </c>
    </row>
    <row r="19" spans="1:13" x14ac:dyDescent="0.3">
      <c r="A19" s="23">
        <v>45854</v>
      </c>
      <c r="B19" t="s">
        <v>12</v>
      </c>
      <c r="C19" t="s">
        <v>132</v>
      </c>
      <c r="D19" t="s">
        <v>17</v>
      </c>
      <c r="E19" t="s">
        <v>136</v>
      </c>
      <c r="F19">
        <v>68579700</v>
      </c>
      <c r="G19" t="s">
        <v>134</v>
      </c>
      <c r="H19" t="s">
        <v>81</v>
      </c>
      <c r="I19" t="s">
        <v>9</v>
      </c>
      <c r="L19" t="s">
        <v>161</v>
      </c>
      <c r="M19">
        <v>-68579700</v>
      </c>
    </row>
    <row r="20" spans="1:13" x14ac:dyDescent="0.3">
      <c r="A20" s="23">
        <v>45854</v>
      </c>
      <c r="B20" t="s">
        <v>12</v>
      </c>
      <c r="C20" t="s">
        <v>132</v>
      </c>
      <c r="D20" t="s">
        <v>17</v>
      </c>
      <c r="E20" t="s">
        <v>136</v>
      </c>
      <c r="F20">
        <v>253247540.63999999</v>
      </c>
      <c r="G20" t="s">
        <v>134</v>
      </c>
      <c r="H20" t="s">
        <v>81</v>
      </c>
      <c r="I20" t="s">
        <v>9</v>
      </c>
      <c r="L20" t="s">
        <v>161</v>
      </c>
      <c r="M20">
        <v>-253247540.63999999</v>
      </c>
    </row>
    <row r="21" spans="1:13" x14ac:dyDescent="0.3">
      <c r="A21" s="23">
        <v>45853</v>
      </c>
      <c r="B21" t="s">
        <v>12</v>
      </c>
      <c r="C21" t="s">
        <v>132</v>
      </c>
      <c r="D21" t="s">
        <v>17</v>
      </c>
      <c r="E21" t="s">
        <v>136</v>
      </c>
      <c r="F21">
        <v>237488808.96000001</v>
      </c>
      <c r="G21" t="s">
        <v>134</v>
      </c>
      <c r="H21" t="s">
        <v>81</v>
      </c>
      <c r="I21" t="s">
        <v>9</v>
      </c>
      <c r="L21" t="s">
        <v>161</v>
      </c>
      <c r="M21">
        <v>-237488808.96000001</v>
      </c>
    </row>
    <row r="22" spans="1:13" x14ac:dyDescent="0.3">
      <c r="A22" s="23">
        <v>45852</v>
      </c>
      <c r="B22" t="s">
        <v>12</v>
      </c>
      <c r="C22" t="s">
        <v>132</v>
      </c>
      <c r="D22" t="s">
        <v>16</v>
      </c>
      <c r="E22" t="s">
        <v>136</v>
      </c>
      <c r="F22">
        <v>1166130903.2</v>
      </c>
      <c r="G22" t="s">
        <v>134</v>
      </c>
      <c r="H22" t="s">
        <v>81</v>
      </c>
      <c r="I22" t="s">
        <v>9</v>
      </c>
      <c r="L22" t="s">
        <v>161</v>
      </c>
      <c r="M22">
        <v>1166130903.2</v>
      </c>
    </row>
    <row r="23" spans="1:13" x14ac:dyDescent="0.3">
      <c r="A23" s="23">
        <v>45852</v>
      </c>
      <c r="B23" t="s">
        <v>12</v>
      </c>
      <c r="C23" t="s">
        <v>132</v>
      </c>
      <c r="D23" t="s">
        <v>17</v>
      </c>
      <c r="E23" t="s">
        <v>136</v>
      </c>
      <c r="F23">
        <v>315507795.87</v>
      </c>
      <c r="G23" t="s">
        <v>134</v>
      </c>
      <c r="H23" t="s">
        <v>81</v>
      </c>
      <c r="I23" t="s">
        <v>9</v>
      </c>
      <c r="L23" t="s">
        <v>161</v>
      </c>
      <c r="M23">
        <v>-315507795.87</v>
      </c>
    </row>
    <row r="24" spans="1:13" x14ac:dyDescent="0.3">
      <c r="A24" s="23">
        <v>45849</v>
      </c>
      <c r="B24" t="s">
        <v>12</v>
      </c>
      <c r="C24" t="s">
        <v>132</v>
      </c>
      <c r="D24" t="s">
        <v>16</v>
      </c>
      <c r="E24" t="s">
        <v>136</v>
      </c>
      <c r="F24">
        <v>393460000</v>
      </c>
      <c r="G24" t="s">
        <v>134</v>
      </c>
      <c r="H24" t="s">
        <v>81</v>
      </c>
      <c r="I24" t="s">
        <v>9</v>
      </c>
      <c r="L24" t="s">
        <v>161</v>
      </c>
      <c r="M24">
        <v>393460000</v>
      </c>
    </row>
    <row r="25" spans="1:13" x14ac:dyDescent="0.3">
      <c r="A25" s="23">
        <v>45849</v>
      </c>
      <c r="B25" t="s">
        <v>12</v>
      </c>
      <c r="C25" t="s">
        <v>132</v>
      </c>
      <c r="D25" t="s">
        <v>16</v>
      </c>
      <c r="E25" t="s">
        <v>136</v>
      </c>
      <c r="F25">
        <v>1000000000</v>
      </c>
      <c r="G25" t="s">
        <v>134</v>
      </c>
      <c r="H25" t="s">
        <v>81</v>
      </c>
      <c r="I25" t="s">
        <v>9</v>
      </c>
      <c r="L25" t="s">
        <v>161</v>
      </c>
      <c r="M25">
        <v>1000000000</v>
      </c>
    </row>
    <row r="26" spans="1:13" x14ac:dyDescent="0.3">
      <c r="A26" s="23">
        <v>45848</v>
      </c>
      <c r="B26" t="s">
        <v>12</v>
      </c>
      <c r="C26" t="s">
        <v>132</v>
      </c>
      <c r="D26" t="s">
        <v>17</v>
      </c>
      <c r="E26" t="s">
        <v>136</v>
      </c>
      <c r="F26">
        <v>71713404.890000001</v>
      </c>
      <c r="G26" t="s">
        <v>134</v>
      </c>
      <c r="H26" t="s">
        <v>81</v>
      </c>
      <c r="I26" t="s">
        <v>9</v>
      </c>
      <c r="L26" t="s">
        <v>161</v>
      </c>
      <c r="M26">
        <v>-71713404.890000001</v>
      </c>
    </row>
    <row r="27" spans="1:13" x14ac:dyDescent="0.3">
      <c r="A27" s="23">
        <v>45848</v>
      </c>
      <c r="B27" t="s">
        <v>12</v>
      </c>
      <c r="C27" t="s">
        <v>132</v>
      </c>
      <c r="D27" t="s">
        <v>17</v>
      </c>
      <c r="E27" t="s">
        <v>136</v>
      </c>
      <c r="F27">
        <v>76876842.049999997</v>
      </c>
      <c r="G27" t="s">
        <v>134</v>
      </c>
      <c r="H27" t="s">
        <v>81</v>
      </c>
      <c r="I27" t="s">
        <v>9</v>
      </c>
      <c r="L27" t="s">
        <v>161</v>
      </c>
      <c r="M27">
        <v>-76876842.049999997</v>
      </c>
    </row>
    <row r="28" spans="1:13" x14ac:dyDescent="0.3">
      <c r="A28" s="23">
        <v>45846</v>
      </c>
      <c r="B28" t="s">
        <v>12</v>
      </c>
      <c r="C28" t="s">
        <v>132</v>
      </c>
      <c r="D28" t="s">
        <v>17</v>
      </c>
      <c r="E28" t="s">
        <v>136</v>
      </c>
      <c r="F28">
        <v>254439256.31999999</v>
      </c>
      <c r="G28" t="s">
        <v>134</v>
      </c>
      <c r="H28" t="s">
        <v>81</v>
      </c>
      <c r="I28" t="s">
        <v>9</v>
      </c>
      <c r="L28" t="s">
        <v>161</v>
      </c>
      <c r="M28">
        <v>-254439256.31999999</v>
      </c>
    </row>
    <row r="29" spans="1:13" x14ac:dyDescent="0.3">
      <c r="A29" s="23">
        <v>45846</v>
      </c>
      <c r="B29" t="s">
        <v>12</v>
      </c>
      <c r="C29" t="s">
        <v>132</v>
      </c>
      <c r="D29" t="s">
        <v>17</v>
      </c>
      <c r="E29" t="s">
        <v>136</v>
      </c>
      <c r="F29">
        <v>86996101.920000002</v>
      </c>
      <c r="G29" t="s">
        <v>134</v>
      </c>
      <c r="H29" t="s">
        <v>81</v>
      </c>
      <c r="I29" t="s">
        <v>9</v>
      </c>
      <c r="L29" t="s">
        <v>161</v>
      </c>
      <c r="M29">
        <v>-86996101.920000002</v>
      </c>
    </row>
    <row r="30" spans="1:13" x14ac:dyDescent="0.3">
      <c r="A30" s="23">
        <v>45846</v>
      </c>
      <c r="B30" t="s">
        <v>12</v>
      </c>
      <c r="C30" t="s">
        <v>132</v>
      </c>
      <c r="D30" t="s">
        <v>16</v>
      </c>
      <c r="E30" t="s">
        <v>136</v>
      </c>
      <c r="F30">
        <v>46547701.390000001</v>
      </c>
      <c r="G30" t="s">
        <v>134</v>
      </c>
      <c r="H30" t="s">
        <v>81</v>
      </c>
      <c r="I30" t="s">
        <v>9</v>
      </c>
      <c r="L30" t="s">
        <v>161</v>
      </c>
      <c r="M30">
        <v>46547701.390000001</v>
      </c>
    </row>
    <row r="31" spans="1:13" x14ac:dyDescent="0.3">
      <c r="A31" s="23">
        <v>45845</v>
      </c>
      <c r="B31" t="s">
        <v>12</v>
      </c>
      <c r="C31" t="s">
        <v>132</v>
      </c>
      <c r="D31" t="s">
        <v>17</v>
      </c>
      <c r="E31" t="s">
        <v>136</v>
      </c>
      <c r="F31">
        <v>1851613343.6900001</v>
      </c>
      <c r="G31" t="s">
        <v>134</v>
      </c>
      <c r="H31" t="s">
        <v>81</v>
      </c>
      <c r="I31" t="s">
        <v>9</v>
      </c>
      <c r="L31" t="s">
        <v>161</v>
      </c>
      <c r="M31">
        <v>-1851613343.6900001</v>
      </c>
    </row>
    <row r="32" spans="1:13" x14ac:dyDescent="0.3">
      <c r="A32" s="23">
        <v>45845</v>
      </c>
      <c r="B32" t="s">
        <v>12</v>
      </c>
      <c r="C32" t="s">
        <v>132</v>
      </c>
      <c r="D32" t="s">
        <v>17</v>
      </c>
      <c r="E32" t="s">
        <v>136</v>
      </c>
      <c r="F32">
        <v>5895722822.3800001</v>
      </c>
      <c r="G32" t="s">
        <v>134</v>
      </c>
      <c r="H32" t="s">
        <v>81</v>
      </c>
      <c r="I32" t="s">
        <v>9</v>
      </c>
      <c r="L32" t="s">
        <v>161</v>
      </c>
      <c r="M32">
        <v>-5895722822.3800001</v>
      </c>
    </row>
    <row r="33" spans="1:13" x14ac:dyDescent="0.3">
      <c r="A33" s="23">
        <v>45841</v>
      </c>
      <c r="B33" t="s">
        <v>12</v>
      </c>
      <c r="C33" t="s">
        <v>132</v>
      </c>
      <c r="D33" t="s">
        <v>17</v>
      </c>
      <c r="E33" t="s">
        <v>136</v>
      </c>
      <c r="F33">
        <v>99632412.400000006</v>
      </c>
      <c r="G33" t="s">
        <v>134</v>
      </c>
      <c r="H33" t="s">
        <v>81</v>
      </c>
      <c r="I33" t="s">
        <v>9</v>
      </c>
      <c r="L33" t="s">
        <v>161</v>
      </c>
      <c r="M33">
        <v>-99632412.400000006</v>
      </c>
    </row>
    <row r="34" spans="1:13" x14ac:dyDescent="0.3">
      <c r="A34" s="23">
        <v>45841</v>
      </c>
      <c r="B34" t="s">
        <v>12</v>
      </c>
      <c r="C34" t="s">
        <v>132</v>
      </c>
      <c r="D34" t="s">
        <v>17</v>
      </c>
      <c r="E34" t="s">
        <v>136</v>
      </c>
      <c r="F34">
        <v>65415509.649999999</v>
      </c>
      <c r="G34" t="s">
        <v>134</v>
      </c>
      <c r="H34" t="s">
        <v>81</v>
      </c>
      <c r="I34" t="s">
        <v>9</v>
      </c>
      <c r="L34" t="s">
        <v>161</v>
      </c>
      <c r="M34">
        <v>-65415509.649999999</v>
      </c>
    </row>
    <row r="35" spans="1:13" x14ac:dyDescent="0.3">
      <c r="A35" s="23">
        <v>45840</v>
      </c>
      <c r="B35" t="s">
        <v>12</v>
      </c>
      <c r="C35" t="s">
        <v>132</v>
      </c>
      <c r="D35" t="s">
        <v>16</v>
      </c>
      <c r="E35" t="s">
        <v>136</v>
      </c>
      <c r="F35">
        <v>800000000</v>
      </c>
      <c r="G35" t="s">
        <v>134</v>
      </c>
      <c r="H35" t="s">
        <v>81</v>
      </c>
      <c r="I35" t="s">
        <v>9</v>
      </c>
      <c r="L35" t="s">
        <v>161</v>
      </c>
      <c r="M35">
        <v>800000000</v>
      </c>
    </row>
    <row r="36" spans="1:13" x14ac:dyDescent="0.3">
      <c r="A36" s="23">
        <v>45839</v>
      </c>
      <c r="B36" t="s">
        <v>12</v>
      </c>
      <c r="C36" t="s">
        <v>132</v>
      </c>
      <c r="D36" t="s">
        <v>16</v>
      </c>
      <c r="E36" t="s">
        <v>136</v>
      </c>
      <c r="F36">
        <v>6900000000</v>
      </c>
      <c r="G36" t="s">
        <v>134</v>
      </c>
      <c r="H36" t="s">
        <v>81</v>
      </c>
      <c r="I36" t="s">
        <v>9</v>
      </c>
      <c r="L36" t="s">
        <v>161</v>
      </c>
      <c r="M36">
        <v>6900000000</v>
      </c>
    </row>
    <row r="37" spans="1:13" x14ac:dyDescent="0.3">
      <c r="A37" s="23">
        <v>45833</v>
      </c>
      <c r="B37" t="s">
        <v>12</v>
      </c>
      <c r="C37" t="s">
        <v>132</v>
      </c>
      <c r="D37" t="s">
        <v>17</v>
      </c>
      <c r="E37" t="s">
        <v>136</v>
      </c>
      <c r="F37">
        <v>60272490.490000002</v>
      </c>
      <c r="G37" t="s">
        <v>134</v>
      </c>
      <c r="H37" t="s">
        <v>81</v>
      </c>
      <c r="I37" t="s">
        <v>9</v>
      </c>
      <c r="L37" t="s">
        <v>161</v>
      </c>
      <c r="M37">
        <v>-60272490.490000002</v>
      </c>
    </row>
    <row r="38" spans="1:13" x14ac:dyDescent="0.3">
      <c r="A38" s="23">
        <v>45833</v>
      </c>
      <c r="B38" t="s">
        <v>12</v>
      </c>
      <c r="C38" t="s">
        <v>132</v>
      </c>
      <c r="D38" t="s">
        <v>17</v>
      </c>
      <c r="E38" t="s">
        <v>136</v>
      </c>
      <c r="F38">
        <v>60923752.649999999</v>
      </c>
      <c r="G38" t="s">
        <v>134</v>
      </c>
      <c r="H38" t="s">
        <v>81</v>
      </c>
      <c r="I38" t="s">
        <v>9</v>
      </c>
      <c r="L38" t="s">
        <v>161</v>
      </c>
      <c r="M38">
        <v>-60923752.649999999</v>
      </c>
    </row>
    <row r="39" spans="1:13" x14ac:dyDescent="0.3">
      <c r="A39" s="23">
        <v>45827</v>
      </c>
      <c r="B39" t="s">
        <v>12</v>
      </c>
      <c r="C39" t="s">
        <v>132</v>
      </c>
      <c r="D39" t="s">
        <v>16</v>
      </c>
      <c r="E39" t="s">
        <v>136</v>
      </c>
      <c r="F39">
        <v>6976107.6500000004</v>
      </c>
      <c r="G39" t="s">
        <v>134</v>
      </c>
      <c r="H39" t="s">
        <v>81</v>
      </c>
      <c r="I39" t="s">
        <v>9</v>
      </c>
      <c r="L39" t="s">
        <v>161</v>
      </c>
      <c r="M39">
        <v>6976107.6500000004</v>
      </c>
    </row>
    <row r="40" spans="1:13" x14ac:dyDescent="0.3">
      <c r="A40" s="23">
        <v>45825</v>
      </c>
      <c r="B40" t="s">
        <v>12</v>
      </c>
      <c r="C40" t="s">
        <v>132</v>
      </c>
      <c r="D40" t="s">
        <v>17</v>
      </c>
      <c r="E40" t="s">
        <v>136</v>
      </c>
      <c r="F40">
        <v>24792192.690000001</v>
      </c>
      <c r="G40" t="s">
        <v>134</v>
      </c>
      <c r="H40" t="s">
        <v>81</v>
      </c>
      <c r="I40" t="s">
        <v>9</v>
      </c>
      <c r="L40" t="s">
        <v>161</v>
      </c>
      <c r="M40">
        <v>-24792192.690000001</v>
      </c>
    </row>
    <row r="41" spans="1:13" x14ac:dyDescent="0.3">
      <c r="A41" s="23">
        <v>45821</v>
      </c>
      <c r="B41" t="s">
        <v>12</v>
      </c>
      <c r="C41" t="s">
        <v>132</v>
      </c>
      <c r="D41" t="s">
        <v>17</v>
      </c>
      <c r="E41" t="s">
        <v>136</v>
      </c>
      <c r="F41">
        <v>50142314.229999997</v>
      </c>
      <c r="G41" t="s">
        <v>134</v>
      </c>
      <c r="H41" t="s">
        <v>81</v>
      </c>
      <c r="I41" t="s">
        <v>9</v>
      </c>
      <c r="L41" t="s">
        <v>161</v>
      </c>
      <c r="M41">
        <v>-50142314.229999997</v>
      </c>
    </row>
    <row r="42" spans="1:13" x14ac:dyDescent="0.3">
      <c r="A42" s="23">
        <v>45819</v>
      </c>
      <c r="B42" t="s">
        <v>12</v>
      </c>
      <c r="C42" t="s">
        <v>132</v>
      </c>
      <c r="D42" t="s">
        <v>16</v>
      </c>
      <c r="E42" t="s">
        <v>136</v>
      </c>
      <c r="F42">
        <v>5570875</v>
      </c>
      <c r="G42" t="s">
        <v>134</v>
      </c>
      <c r="H42" t="s">
        <v>81</v>
      </c>
      <c r="I42" t="s">
        <v>9</v>
      </c>
      <c r="L42" t="s">
        <v>161</v>
      </c>
      <c r="M42">
        <v>5570875</v>
      </c>
    </row>
    <row r="43" spans="1:13" x14ac:dyDescent="0.3">
      <c r="A43" s="23">
        <v>45818</v>
      </c>
      <c r="B43" t="s">
        <v>12</v>
      </c>
      <c r="C43" t="s">
        <v>132</v>
      </c>
      <c r="D43" t="s">
        <v>17</v>
      </c>
      <c r="E43" t="s">
        <v>136</v>
      </c>
      <c r="F43">
        <v>76016631.549999997</v>
      </c>
      <c r="G43" t="s">
        <v>134</v>
      </c>
      <c r="H43" t="s">
        <v>81</v>
      </c>
      <c r="I43" t="s">
        <v>9</v>
      </c>
      <c r="L43" t="s">
        <v>161</v>
      </c>
      <c r="M43">
        <v>-76016631.549999997</v>
      </c>
    </row>
    <row r="44" spans="1:13" x14ac:dyDescent="0.3">
      <c r="A44" s="23">
        <v>45818</v>
      </c>
      <c r="B44" t="s">
        <v>12</v>
      </c>
      <c r="C44" t="s">
        <v>132</v>
      </c>
      <c r="D44" t="s">
        <v>17</v>
      </c>
      <c r="E44" t="s">
        <v>136</v>
      </c>
      <c r="F44">
        <v>508694792</v>
      </c>
      <c r="G44" t="s">
        <v>134</v>
      </c>
      <c r="H44" t="s">
        <v>81</v>
      </c>
      <c r="I44" t="s">
        <v>9</v>
      </c>
      <c r="L44" t="s">
        <v>161</v>
      </c>
      <c r="M44">
        <v>-508694792</v>
      </c>
    </row>
    <row r="45" spans="1:13" x14ac:dyDescent="0.3">
      <c r="A45" s="23">
        <v>45817</v>
      </c>
      <c r="B45" t="s">
        <v>12</v>
      </c>
      <c r="C45" t="s">
        <v>132</v>
      </c>
      <c r="D45" t="s">
        <v>16</v>
      </c>
      <c r="E45" t="s">
        <v>136</v>
      </c>
      <c r="F45">
        <v>18680684.140000001</v>
      </c>
      <c r="G45" t="s">
        <v>134</v>
      </c>
      <c r="H45" t="s">
        <v>81</v>
      </c>
      <c r="I45" t="s">
        <v>9</v>
      </c>
      <c r="L45" t="s">
        <v>161</v>
      </c>
      <c r="M45">
        <v>18680684.140000001</v>
      </c>
    </row>
    <row r="46" spans="1:13" x14ac:dyDescent="0.3">
      <c r="A46" s="23">
        <v>45813</v>
      </c>
      <c r="B46" t="s">
        <v>12</v>
      </c>
      <c r="C46" t="s">
        <v>132</v>
      </c>
      <c r="D46" t="s">
        <v>17</v>
      </c>
      <c r="E46" t="s">
        <v>136</v>
      </c>
      <c r="F46">
        <v>668516745.05999994</v>
      </c>
      <c r="G46" t="s">
        <v>134</v>
      </c>
      <c r="H46" t="s">
        <v>81</v>
      </c>
      <c r="I46" t="s">
        <v>9</v>
      </c>
      <c r="L46" t="s">
        <v>161</v>
      </c>
      <c r="M46">
        <v>-668516745.05999994</v>
      </c>
    </row>
    <row r="47" spans="1:13" x14ac:dyDescent="0.3">
      <c r="A47" s="23">
        <v>45812</v>
      </c>
      <c r="B47" t="s">
        <v>12</v>
      </c>
      <c r="C47" t="s">
        <v>132</v>
      </c>
      <c r="D47" t="s">
        <v>16</v>
      </c>
      <c r="E47" t="s">
        <v>136</v>
      </c>
      <c r="F47">
        <v>1000000000</v>
      </c>
      <c r="G47" t="s">
        <v>134</v>
      </c>
      <c r="H47" t="s">
        <v>81</v>
      </c>
      <c r="I47" t="s">
        <v>9</v>
      </c>
      <c r="L47" t="s">
        <v>161</v>
      </c>
      <c r="M47">
        <v>1000000000</v>
      </c>
    </row>
    <row r="48" spans="1:13" x14ac:dyDescent="0.3">
      <c r="A48" s="23">
        <v>45805</v>
      </c>
      <c r="B48" t="s">
        <v>12</v>
      </c>
      <c r="C48" t="s">
        <v>132</v>
      </c>
      <c r="D48" t="s">
        <v>17</v>
      </c>
      <c r="E48" t="s">
        <v>136</v>
      </c>
      <c r="F48">
        <v>51723041.439999998</v>
      </c>
      <c r="G48" t="s">
        <v>134</v>
      </c>
      <c r="H48" t="s">
        <v>81</v>
      </c>
      <c r="I48" t="s">
        <v>9</v>
      </c>
      <c r="L48" t="s">
        <v>161</v>
      </c>
      <c r="M48">
        <v>-51723041.439999998</v>
      </c>
    </row>
    <row r="49" spans="1:13" x14ac:dyDescent="0.3">
      <c r="A49" s="23">
        <v>45805</v>
      </c>
      <c r="B49" t="s">
        <v>12</v>
      </c>
      <c r="C49" t="s">
        <v>132</v>
      </c>
      <c r="D49" t="s">
        <v>17</v>
      </c>
      <c r="E49" t="s">
        <v>136</v>
      </c>
      <c r="F49">
        <v>70587475.799999997</v>
      </c>
      <c r="G49" t="s">
        <v>134</v>
      </c>
      <c r="H49" t="s">
        <v>81</v>
      </c>
      <c r="I49" t="s">
        <v>9</v>
      </c>
      <c r="L49" t="s">
        <v>161</v>
      </c>
      <c r="M49">
        <v>-70587475.799999997</v>
      </c>
    </row>
    <row r="50" spans="1:13" x14ac:dyDescent="0.3">
      <c r="A50" s="23">
        <v>45804</v>
      </c>
      <c r="B50" t="s">
        <v>12</v>
      </c>
      <c r="C50" t="s">
        <v>132</v>
      </c>
      <c r="D50" t="s">
        <v>16</v>
      </c>
      <c r="E50" t="s">
        <v>136</v>
      </c>
      <c r="F50">
        <v>7856000</v>
      </c>
      <c r="G50" t="s">
        <v>134</v>
      </c>
      <c r="H50" t="s">
        <v>81</v>
      </c>
      <c r="I50" t="s">
        <v>9</v>
      </c>
      <c r="L50" t="s">
        <v>161</v>
      </c>
      <c r="M50">
        <v>7856000</v>
      </c>
    </row>
    <row r="51" spans="1:13" x14ac:dyDescent="0.3">
      <c r="A51" s="23">
        <v>45803</v>
      </c>
      <c r="B51" t="s">
        <v>12</v>
      </c>
      <c r="C51" t="s">
        <v>132</v>
      </c>
      <c r="D51" t="s">
        <v>17</v>
      </c>
      <c r="E51" t="s">
        <v>136</v>
      </c>
      <c r="F51">
        <v>1605426715</v>
      </c>
      <c r="G51" t="s">
        <v>134</v>
      </c>
      <c r="H51" t="s">
        <v>81</v>
      </c>
      <c r="I51" t="s">
        <v>9</v>
      </c>
      <c r="L51" t="s">
        <v>161</v>
      </c>
      <c r="M51">
        <v>-1605426715</v>
      </c>
    </row>
    <row r="52" spans="1:13" x14ac:dyDescent="0.3">
      <c r="A52" s="23">
        <v>45803</v>
      </c>
      <c r="B52" t="s">
        <v>12</v>
      </c>
      <c r="C52" t="s">
        <v>132</v>
      </c>
      <c r="D52" t="s">
        <v>16</v>
      </c>
      <c r="E52" t="s">
        <v>136</v>
      </c>
      <c r="F52">
        <v>1500000000</v>
      </c>
      <c r="G52" t="s">
        <v>134</v>
      </c>
      <c r="H52" t="s">
        <v>81</v>
      </c>
      <c r="I52" t="s">
        <v>9</v>
      </c>
      <c r="L52" t="s">
        <v>161</v>
      </c>
      <c r="M52">
        <v>1500000000</v>
      </c>
    </row>
    <row r="53" spans="1:13" x14ac:dyDescent="0.3">
      <c r="A53" s="23">
        <v>45799</v>
      </c>
      <c r="B53" t="s">
        <v>12</v>
      </c>
      <c r="C53" t="s">
        <v>132</v>
      </c>
      <c r="D53" t="s">
        <v>17</v>
      </c>
      <c r="E53" t="s">
        <v>136</v>
      </c>
      <c r="F53">
        <v>193470461.66999999</v>
      </c>
      <c r="G53" t="s">
        <v>134</v>
      </c>
      <c r="H53" t="s">
        <v>81</v>
      </c>
      <c r="I53" t="s">
        <v>9</v>
      </c>
      <c r="L53" t="s">
        <v>161</v>
      </c>
      <c r="M53">
        <v>-193470461.66999999</v>
      </c>
    </row>
    <row r="54" spans="1:13" x14ac:dyDescent="0.3">
      <c r="A54" s="23">
        <v>45799</v>
      </c>
      <c r="B54" t="s">
        <v>12</v>
      </c>
      <c r="C54" t="s">
        <v>132</v>
      </c>
      <c r="D54" t="s">
        <v>17</v>
      </c>
      <c r="E54" t="s">
        <v>136</v>
      </c>
      <c r="F54">
        <v>200000000</v>
      </c>
      <c r="G54" t="s">
        <v>134</v>
      </c>
      <c r="H54" t="s">
        <v>81</v>
      </c>
      <c r="I54" t="s">
        <v>9</v>
      </c>
      <c r="L54" t="s">
        <v>161</v>
      </c>
      <c r="M54">
        <v>-200000000</v>
      </c>
    </row>
    <row r="55" spans="1:13" x14ac:dyDescent="0.3">
      <c r="A55" s="23">
        <v>45797</v>
      </c>
      <c r="B55" t="s">
        <v>12</v>
      </c>
      <c r="C55" t="s">
        <v>132</v>
      </c>
      <c r="D55" t="s">
        <v>16</v>
      </c>
      <c r="E55" t="s">
        <v>136</v>
      </c>
      <c r="F55">
        <v>76043491</v>
      </c>
      <c r="G55" t="s">
        <v>134</v>
      </c>
      <c r="H55" t="s">
        <v>81</v>
      </c>
      <c r="I55" t="s">
        <v>9</v>
      </c>
      <c r="L55" t="s">
        <v>161</v>
      </c>
      <c r="M55">
        <v>76043491</v>
      </c>
    </row>
    <row r="56" spans="1:13" x14ac:dyDescent="0.3">
      <c r="A56" s="23">
        <v>45791</v>
      </c>
      <c r="B56" t="s">
        <v>12</v>
      </c>
      <c r="C56" t="s">
        <v>132</v>
      </c>
      <c r="D56" t="s">
        <v>16</v>
      </c>
      <c r="E56" t="s">
        <v>136</v>
      </c>
      <c r="F56">
        <v>763193122</v>
      </c>
      <c r="G56" t="s">
        <v>134</v>
      </c>
      <c r="H56" t="s">
        <v>81</v>
      </c>
      <c r="I56" t="s">
        <v>9</v>
      </c>
      <c r="L56" t="s">
        <v>161</v>
      </c>
      <c r="M56">
        <v>763193122</v>
      </c>
    </row>
    <row r="57" spans="1:13" x14ac:dyDescent="0.3">
      <c r="A57" s="23">
        <v>45792</v>
      </c>
      <c r="B57" t="s">
        <v>12</v>
      </c>
      <c r="C57" t="s">
        <v>132</v>
      </c>
      <c r="D57" t="s">
        <v>17</v>
      </c>
      <c r="E57" t="s">
        <v>136</v>
      </c>
      <c r="F57">
        <v>282143766.51999998</v>
      </c>
      <c r="G57" t="s">
        <v>134</v>
      </c>
      <c r="H57" t="s">
        <v>81</v>
      </c>
      <c r="I57" t="s">
        <v>9</v>
      </c>
      <c r="L57" t="s">
        <v>161</v>
      </c>
      <c r="M57">
        <v>-282143766.51999998</v>
      </c>
    </row>
    <row r="58" spans="1:13" x14ac:dyDescent="0.3">
      <c r="A58" s="23">
        <v>45790</v>
      </c>
      <c r="B58" t="s">
        <v>12</v>
      </c>
      <c r="C58" t="s">
        <v>132</v>
      </c>
      <c r="D58" t="s">
        <v>17</v>
      </c>
      <c r="E58" t="s">
        <v>136</v>
      </c>
      <c r="F58">
        <v>1487627081.6400001</v>
      </c>
      <c r="G58" t="s">
        <v>134</v>
      </c>
      <c r="H58" t="s">
        <v>81</v>
      </c>
      <c r="I58" t="s">
        <v>9</v>
      </c>
      <c r="L58" t="s">
        <v>161</v>
      </c>
      <c r="M58">
        <v>-1487627081.6400001</v>
      </c>
    </row>
    <row r="59" spans="1:13" x14ac:dyDescent="0.3">
      <c r="A59" s="23">
        <v>45790</v>
      </c>
      <c r="B59" t="s">
        <v>12</v>
      </c>
      <c r="C59" t="s">
        <v>132</v>
      </c>
      <c r="D59" t="s">
        <v>17</v>
      </c>
      <c r="E59" t="s">
        <v>136</v>
      </c>
      <c r="F59">
        <v>263761290.81</v>
      </c>
      <c r="G59" t="s">
        <v>134</v>
      </c>
      <c r="H59" t="s">
        <v>81</v>
      </c>
      <c r="I59" t="s">
        <v>9</v>
      </c>
      <c r="L59" t="s">
        <v>161</v>
      </c>
      <c r="M59">
        <v>-263761290.81</v>
      </c>
    </row>
    <row r="60" spans="1:13" x14ac:dyDescent="0.3">
      <c r="A60" s="23">
        <v>45790</v>
      </c>
      <c r="B60" t="s">
        <v>12</v>
      </c>
      <c r="C60" t="s">
        <v>132</v>
      </c>
      <c r="D60" t="s">
        <v>17</v>
      </c>
      <c r="E60" t="s">
        <v>136</v>
      </c>
      <c r="F60">
        <v>132171444.66</v>
      </c>
      <c r="G60" t="s">
        <v>134</v>
      </c>
      <c r="H60" t="s">
        <v>81</v>
      </c>
      <c r="I60" t="s">
        <v>9</v>
      </c>
      <c r="L60" t="s">
        <v>161</v>
      </c>
      <c r="M60">
        <v>-132171444.66</v>
      </c>
    </row>
    <row r="61" spans="1:13" x14ac:dyDescent="0.3">
      <c r="A61" s="23">
        <v>45785</v>
      </c>
      <c r="B61" t="s">
        <v>12</v>
      </c>
      <c r="C61" t="s">
        <v>132</v>
      </c>
      <c r="D61" t="s">
        <v>17</v>
      </c>
      <c r="E61" t="s">
        <v>136</v>
      </c>
      <c r="F61">
        <v>572000000</v>
      </c>
      <c r="G61" t="s">
        <v>134</v>
      </c>
      <c r="H61" t="s">
        <v>81</v>
      </c>
      <c r="I61" t="s">
        <v>9</v>
      </c>
      <c r="L61" t="s">
        <v>161</v>
      </c>
      <c r="M61">
        <v>-572000000</v>
      </c>
    </row>
    <row r="62" spans="1:13" x14ac:dyDescent="0.3">
      <c r="A62" s="23">
        <v>45785</v>
      </c>
      <c r="B62" t="s">
        <v>12</v>
      </c>
      <c r="C62" t="s">
        <v>132</v>
      </c>
      <c r="D62" t="s">
        <v>17</v>
      </c>
      <c r="E62" t="s">
        <v>136</v>
      </c>
      <c r="F62">
        <v>233492639.69999999</v>
      </c>
      <c r="G62" t="s">
        <v>134</v>
      </c>
      <c r="H62" t="s">
        <v>81</v>
      </c>
      <c r="I62" t="s">
        <v>9</v>
      </c>
      <c r="L62" t="s">
        <v>161</v>
      </c>
      <c r="M62">
        <v>-233492639.69999999</v>
      </c>
    </row>
    <row r="63" spans="1:13" x14ac:dyDescent="0.3">
      <c r="A63" s="23">
        <v>45785</v>
      </c>
      <c r="B63" t="s">
        <v>12</v>
      </c>
      <c r="C63" t="s">
        <v>132</v>
      </c>
      <c r="D63" t="s">
        <v>17</v>
      </c>
      <c r="E63" t="s">
        <v>136</v>
      </c>
      <c r="F63">
        <v>50280541.990000002</v>
      </c>
      <c r="G63" t="s">
        <v>134</v>
      </c>
      <c r="H63" t="s">
        <v>81</v>
      </c>
      <c r="I63" t="s">
        <v>9</v>
      </c>
      <c r="L63" t="s">
        <v>161</v>
      </c>
      <c r="M63">
        <v>-50280541.990000002</v>
      </c>
    </row>
    <row r="64" spans="1:13" x14ac:dyDescent="0.3">
      <c r="A64" s="23">
        <v>45782</v>
      </c>
      <c r="B64" t="s">
        <v>12</v>
      </c>
      <c r="C64" t="s">
        <v>132</v>
      </c>
      <c r="D64" t="s">
        <v>17</v>
      </c>
      <c r="E64" t="s">
        <v>136</v>
      </c>
      <c r="F64">
        <v>665802130.5</v>
      </c>
      <c r="G64" t="s">
        <v>134</v>
      </c>
      <c r="H64" t="s">
        <v>81</v>
      </c>
      <c r="I64" t="s">
        <v>9</v>
      </c>
      <c r="L64" t="s">
        <v>161</v>
      </c>
      <c r="M64">
        <v>-665802130.5</v>
      </c>
    </row>
    <row r="65" spans="1:13" x14ac:dyDescent="0.3">
      <c r="A65" s="23">
        <v>45776</v>
      </c>
      <c r="B65" t="s">
        <v>12</v>
      </c>
      <c r="C65" t="s">
        <v>132</v>
      </c>
      <c r="D65" t="s">
        <v>17</v>
      </c>
      <c r="E65" t="s">
        <v>136</v>
      </c>
      <c r="F65">
        <v>137973989.09</v>
      </c>
      <c r="G65" t="s">
        <v>134</v>
      </c>
      <c r="H65" t="s">
        <v>81</v>
      </c>
      <c r="I65" t="s">
        <v>9</v>
      </c>
      <c r="L65" t="s">
        <v>161</v>
      </c>
      <c r="M65">
        <v>-137973989.09</v>
      </c>
    </row>
    <row r="66" spans="1:13" x14ac:dyDescent="0.3">
      <c r="A66" s="23">
        <v>45770</v>
      </c>
      <c r="B66" t="s">
        <v>12</v>
      </c>
      <c r="C66" t="s">
        <v>132</v>
      </c>
      <c r="D66" t="s">
        <v>16</v>
      </c>
      <c r="E66" t="s">
        <v>136</v>
      </c>
      <c r="F66">
        <v>827589477.87</v>
      </c>
      <c r="G66" t="s">
        <v>134</v>
      </c>
      <c r="H66" t="s">
        <v>81</v>
      </c>
      <c r="I66" t="s">
        <v>9</v>
      </c>
      <c r="L66" t="s">
        <v>161</v>
      </c>
      <c r="M66">
        <v>827589477.87</v>
      </c>
    </row>
    <row r="67" spans="1:13" x14ac:dyDescent="0.3">
      <c r="A67" s="23">
        <v>45769</v>
      </c>
      <c r="B67" t="s">
        <v>12</v>
      </c>
      <c r="C67" t="s">
        <v>132</v>
      </c>
      <c r="D67" t="s">
        <v>17</v>
      </c>
      <c r="E67" t="s">
        <v>136</v>
      </c>
      <c r="F67">
        <v>72559389.25</v>
      </c>
      <c r="G67" t="s">
        <v>134</v>
      </c>
      <c r="H67" t="s">
        <v>81</v>
      </c>
      <c r="I67" t="s">
        <v>9</v>
      </c>
      <c r="L67" t="s">
        <v>161</v>
      </c>
      <c r="M67">
        <v>-72559389.25</v>
      </c>
    </row>
    <row r="68" spans="1:13" x14ac:dyDescent="0.3">
      <c r="A68" s="23">
        <v>45769</v>
      </c>
      <c r="B68" t="s">
        <v>12</v>
      </c>
      <c r="C68" t="s">
        <v>132</v>
      </c>
      <c r="D68" t="s">
        <v>17</v>
      </c>
      <c r="E68" t="s">
        <v>136</v>
      </c>
      <c r="F68">
        <v>47465937.75</v>
      </c>
      <c r="G68" t="s">
        <v>134</v>
      </c>
      <c r="H68" t="s">
        <v>81</v>
      </c>
      <c r="I68" t="s">
        <v>9</v>
      </c>
      <c r="L68" t="s">
        <v>161</v>
      </c>
      <c r="M68">
        <v>-47465937.75</v>
      </c>
    </row>
    <row r="69" spans="1:13" x14ac:dyDescent="0.3">
      <c r="A69" s="23">
        <v>45768</v>
      </c>
      <c r="B69" t="s">
        <v>12</v>
      </c>
      <c r="C69" t="s">
        <v>132</v>
      </c>
      <c r="D69" t="s">
        <v>17</v>
      </c>
      <c r="E69" t="s">
        <v>136</v>
      </c>
      <c r="F69">
        <v>72000000</v>
      </c>
      <c r="G69" t="s">
        <v>134</v>
      </c>
      <c r="H69" t="s">
        <v>81</v>
      </c>
      <c r="I69" t="s">
        <v>9</v>
      </c>
      <c r="L69" t="s">
        <v>161</v>
      </c>
      <c r="M69">
        <v>-72000000</v>
      </c>
    </row>
    <row r="70" spans="1:13" x14ac:dyDescent="0.3">
      <c r="A70" s="23">
        <v>45757</v>
      </c>
      <c r="B70" t="s">
        <v>12</v>
      </c>
      <c r="C70" t="s">
        <v>132</v>
      </c>
      <c r="D70" t="s">
        <v>16</v>
      </c>
      <c r="E70" t="s">
        <v>136</v>
      </c>
      <c r="F70">
        <v>4000000000</v>
      </c>
      <c r="G70" t="s">
        <v>134</v>
      </c>
      <c r="H70" t="s">
        <v>81</v>
      </c>
      <c r="I70" t="s">
        <v>9</v>
      </c>
      <c r="L70" t="s">
        <v>161</v>
      </c>
      <c r="M70">
        <v>4000000000</v>
      </c>
    </row>
    <row r="71" spans="1:13" x14ac:dyDescent="0.3">
      <c r="A71" s="23">
        <v>45756</v>
      </c>
      <c r="B71" t="s">
        <v>12</v>
      </c>
      <c r="C71" t="s">
        <v>132</v>
      </c>
      <c r="D71" t="s">
        <v>17</v>
      </c>
      <c r="E71" t="s">
        <v>136</v>
      </c>
      <c r="F71">
        <v>92279755.359999999</v>
      </c>
      <c r="G71" t="s">
        <v>134</v>
      </c>
      <c r="H71" t="s">
        <v>81</v>
      </c>
      <c r="I71" t="s">
        <v>9</v>
      </c>
      <c r="L71" t="s">
        <v>161</v>
      </c>
      <c r="M71">
        <v>-92279755.359999999</v>
      </c>
    </row>
    <row r="72" spans="1:13" x14ac:dyDescent="0.3">
      <c r="A72" s="23">
        <v>45756</v>
      </c>
      <c r="B72" t="s">
        <v>12</v>
      </c>
      <c r="C72" t="s">
        <v>132</v>
      </c>
      <c r="D72" t="s">
        <v>17</v>
      </c>
      <c r="E72" t="s">
        <v>136</v>
      </c>
      <c r="F72">
        <v>29962793.489999998</v>
      </c>
      <c r="G72" t="s">
        <v>134</v>
      </c>
      <c r="H72" t="s">
        <v>81</v>
      </c>
      <c r="I72" t="s">
        <v>9</v>
      </c>
      <c r="L72" t="s">
        <v>161</v>
      </c>
      <c r="M72">
        <v>-29962793.489999998</v>
      </c>
    </row>
    <row r="73" spans="1:13" x14ac:dyDescent="0.3">
      <c r="A73" s="23">
        <v>45756</v>
      </c>
      <c r="B73" t="s">
        <v>12</v>
      </c>
      <c r="C73" t="s">
        <v>132</v>
      </c>
      <c r="D73" t="s">
        <v>17</v>
      </c>
      <c r="E73" t="s">
        <v>136</v>
      </c>
      <c r="F73">
        <v>115504767.59999999</v>
      </c>
      <c r="G73" t="s">
        <v>134</v>
      </c>
      <c r="H73" t="s">
        <v>81</v>
      </c>
      <c r="I73" t="s">
        <v>9</v>
      </c>
      <c r="L73" t="s">
        <v>161</v>
      </c>
      <c r="M73">
        <v>-115504767.59999999</v>
      </c>
    </row>
    <row r="74" spans="1:13" x14ac:dyDescent="0.3">
      <c r="A74" s="23">
        <v>45756</v>
      </c>
      <c r="B74" t="s">
        <v>12</v>
      </c>
      <c r="C74" t="s">
        <v>132</v>
      </c>
      <c r="D74" t="s">
        <v>16</v>
      </c>
      <c r="E74" t="s">
        <v>136</v>
      </c>
      <c r="F74">
        <v>188825517</v>
      </c>
      <c r="G74" t="s">
        <v>134</v>
      </c>
      <c r="H74" t="s">
        <v>81</v>
      </c>
      <c r="I74" t="s">
        <v>9</v>
      </c>
      <c r="L74" t="s">
        <v>161</v>
      </c>
      <c r="M74">
        <v>188825517</v>
      </c>
    </row>
    <row r="75" spans="1:13" x14ac:dyDescent="0.3">
      <c r="A75" s="23">
        <v>45755</v>
      </c>
      <c r="B75" t="s">
        <v>12</v>
      </c>
      <c r="C75" t="s">
        <v>132</v>
      </c>
      <c r="D75" t="s">
        <v>17</v>
      </c>
      <c r="E75" t="s">
        <v>136</v>
      </c>
      <c r="F75">
        <v>100916135.64</v>
      </c>
      <c r="G75" t="s">
        <v>134</v>
      </c>
      <c r="H75" t="s">
        <v>81</v>
      </c>
      <c r="I75" t="s">
        <v>9</v>
      </c>
      <c r="L75" t="s">
        <v>161</v>
      </c>
      <c r="M75">
        <v>-100916135.64</v>
      </c>
    </row>
    <row r="76" spans="1:13" x14ac:dyDescent="0.3">
      <c r="A76" s="23">
        <v>45755</v>
      </c>
      <c r="B76" t="s">
        <v>12</v>
      </c>
      <c r="C76" t="s">
        <v>132</v>
      </c>
      <c r="D76" t="s">
        <v>17</v>
      </c>
      <c r="E76" t="s">
        <v>136</v>
      </c>
      <c r="F76">
        <v>230483680</v>
      </c>
      <c r="G76" t="s">
        <v>134</v>
      </c>
      <c r="H76" t="s">
        <v>81</v>
      </c>
      <c r="I76" t="s">
        <v>9</v>
      </c>
      <c r="L76" t="s">
        <v>161</v>
      </c>
      <c r="M76">
        <v>-230483680</v>
      </c>
    </row>
    <row r="77" spans="1:13" x14ac:dyDescent="0.3">
      <c r="A77" s="23">
        <v>45751</v>
      </c>
      <c r="B77" t="s">
        <v>12</v>
      </c>
      <c r="C77" t="s">
        <v>132</v>
      </c>
      <c r="D77" t="s">
        <v>17</v>
      </c>
      <c r="E77" t="s">
        <v>136</v>
      </c>
      <c r="F77">
        <v>73710316.129999995</v>
      </c>
      <c r="G77" t="s">
        <v>134</v>
      </c>
      <c r="H77" t="s">
        <v>81</v>
      </c>
      <c r="I77" t="s">
        <v>9</v>
      </c>
      <c r="L77" t="s">
        <v>161</v>
      </c>
      <c r="M77">
        <v>-73710316.129999995</v>
      </c>
    </row>
    <row r="78" spans="1:13" x14ac:dyDescent="0.3">
      <c r="A78" s="23">
        <v>45747</v>
      </c>
      <c r="B78" t="s">
        <v>12</v>
      </c>
      <c r="C78" t="s">
        <v>132</v>
      </c>
      <c r="D78" t="s">
        <v>17</v>
      </c>
      <c r="E78" t="s">
        <v>136</v>
      </c>
      <c r="F78">
        <v>123148074.95999999</v>
      </c>
      <c r="G78" t="s">
        <v>134</v>
      </c>
      <c r="H78" t="s">
        <v>81</v>
      </c>
      <c r="I78" t="s">
        <v>9</v>
      </c>
      <c r="L78" t="s">
        <v>161</v>
      </c>
      <c r="M78">
        <v>-123148074.95999999</v>
      </c>
    </row>
    <row r="79" spans="1:13" x14ac:dyDescent="0.3">
      <c r="A79" s="23">
        <v>45743</v>
      </c>
      <c r="B79" t="s">
        <v>12</v>
      </c>
      <c r="C79" t="s">
        <v>132</v>
      </c>
      <c r="D79" t="s">
        <v>16</v>
      </c>
      <c r="E79" t="s">
        <v>136</v>
      </c>
      <c r="F79">
        <v>3838633.61</v>
      </c>
      <c r="G79" t="s">
        <v>134</v>
      </c>
      <c r="H79" t="s">
        <v>81</v>
      </c>
      <c r="I79" t="s">
        <v>9</v>
      </c>
      <c r="L79" t="s">
        <v>161</v>
      </c>
      <c r="M79">
        <v>3838633.61</v>
      </c>
    </row>
    <row r="80" spans="1:13" x14ac:dyDescent="0.3">
      <c r="A80" s="23">
        <v>45729</v>
      </c>
      <c r="B80" t="s">
        <v>12</v>
      </c>
      <c r="C80" t="s">
        <v>132</v>
      </c>
      <c r="D80" t="s">
        <v>17</v>
      </c>
      <c r="E80" t="s">
        <v>136</v>
      </c>
      <c r="F80">
        <v>148148656.59999999</v>
      </c>
      <c r="G80" t="s">
        <v>134</v>
      </c>
      <c r="H80" t="s">
        <v>81</v>
      </c>
      <c r="I80" t="s">
        <v>9</v>
      </c>
      <c r="L80" t="s">
        <v>161</v>
      </c>
      <c r="M80">
        <v>-148148656.59999999</v>
      </c>
    </row>
    <row r="81" spans="1:13" x14ac:dyDescent="0.3">
      <c r="A81" s="23">
        <v>45728</v>
      </c>
      <c r="B81" t="s">
        <v>12</v>
      </c>
      <c r="C81" t="s">
        <v>132</v>
      </c>
      <c r="D81" t="s">
        <v>17</v>
      </c>
      <c r="E81" t="s">
        <v>136</v>
      </c>
      <c r="F81">
        <v>43291656.439999998</v>
      </c>
      <c r="G81" t="s">
        <v>134</v>
      </c>
      <c r="H81" t="s">
        <v>81</v>
      </c>
      <c r="I81" t="s">
        <v>9</v>
      </c>
      <c r="L81" t="s">
        <v>161</v>
      </c>
      <c r="M81">
        <v>-43291656.439999998</v>
      </c>
    </row>
    <row r="82" spans="1:13" x14ac:dyDescent="0.3">
      <c r="A82" s="23">
        <v>45728</v>
      </c>
      <c r="B82" t="s">
        <v>12</v>
      </c>
      <c r="C82" t="s">
        <v>132</v>
      </c>
      <c r="D82" t="s">
        <v>17</v>
      </c>
      <c r="E82" t="s">
        <v>136</v>
      </c>
      <c r="F82">
        <v>196543072.94999999</v>
      </c>
      <c r="G82" t="s">
        <v>134</v>
      </c>
      <c r="H82" t="s">
        <v>81</v>
      </c>
      <c r="I82" t="s">
        <v>9</v>
      </c>
      <c r="L82" t="s">
        <v>161</v>
      </c>
      <c r="M82">
        <v>-196543072.94999999</v>
      </c>
    </row>
    <row r="83" spans="1:13" x14ac:dyDescent="0.3">
      <c r="A83" s="23">
        <v>45722</v>
      </c>
      <c r="B83" t="s">
        <v>12</v>
      </c>
      <c r="C83" t="s">
        <v>132</v>
      </c>
      <c r="D83" t="s">
        <v>17</v>
      </c>
      <c r="E83" t="s">
        <v>136</v>
      </c>
      <c r="F83">
        <v>29216530.579999998</v>
      </c>
      <c r="G83" t="s">
        <v>134</v>
      </c>
      <c r="H83" t="s">
        <v>81</v>
      </c>
      <c r="I83" t="s">
        <v>9</v>
      </c>
      <c r="L83" t="s">
        <v>161</v>
      </c>
      <c r="M83">
        <v>-29216530.579999998</v>
      </c>
    </row>
    <row r="84" spans="1:13" x14ac:dyDescent="0.3">
      <c r="A84" s="23">
        <v>45722</v>
      </c>
      <c r="B84" t="s">
        <v>12</v>
      </c>
      <c r="C84" t="s">
        <v>132</v>
      </c>
      <c r="D84" t="s">
        <v>17</v>
      </c>
      <c r="E84" t="s">
        <v>136</v>
      </c>
      <c r="F84">
        <v>74444257.519999996</v>
      </c>
      <c r="G84" t="s">
        <v>134</v>
      </c>
      <c r="H84" t="s">
        <v>81</v>
      </c>
      <c r="I84" t="s">
        <v>9</v>
      </c>
      <c r="L84" t="s">
        <v>161</v>
      </c>
      <c r="M84">
        <v>-74444257.519999996</v>
      </c>
    </row>
    <row r="85" spans="1:13" x14ac:dyDescent="0.3">
      <c r="A85" s="23">
        <v>45716</v>
      </c>
      <c r="B85" t="s">
        <v>12</v>
      </c>
      <c r="C85" t="s">
        <v>132</v>
      </c>
      <c r="D85" t="s">
        <v>17</v>
      </c>
      <c r="E85" t="s">
        <v>136</v>
      </c>
      <c r="F85">
        <v>50870708.920000002</v>
      </c>
      <c r="G85" t="s">
        <v>134</v>
      </c>
      <c r="H85" t="s">
        <v>81</v>
      </c>
      <c r="I85" t="s">
        <v>9</v>
      </c>
      <c r="L85" t="s">
        <v>161</v>
      </c>
      <c r="M85">
        <v>-50870708.920000002</v>
      </c>
    </row>
    <row r="86" spans="1:13" x14ac:dyDescent="0.3">
      <c r="A86" s="23">
        <v>45716</v>
      </c>
      <c r="B86" t="s">
        <v>12</v>
      </c>
      <c r="C86" t="s">
        <v>132</v>
      </c>
      <c r="D86" t="s">
        <v>17</v>
      </c>
      <c r="E86" t="s">
        <v>136</v>
      </c>
      <c r="F86">
        <v>46825523.509999998</v>
      </c>
      <c r="G86" t="s">
        <v>134</v>
      </c>
      <c r="H86" t="s">
        <v>81</v>
      </c>
      <c r="I86" t="s">
        <v>9</v>
      </c>
      <c r="L86" t="s">
        <v>161</v>
      </c>
      <c r="M86">
        <v>-46825523.509999998</v>
      </c>
    </row>
    <row r="87" spans="1:13" x14ac:dyDescent="0.3">
      <c r="A87" s="23">
        <v>45714</v>
      </c>
      <c r="B87" t="s">
        <v>12</v>
      </c>
      <c r="C87" t="s">
        <v>132</v>
      </c>
      <c r="D87" t="s">
        <v>16</v>
      </c>
      <c r="E87" t="s">
        <v>136</v>
      </c>
      <c r="F87">
        <v>4054297.67</v>
      </c>
      <c r="G87" t="s">
        <v>134</v>
      </c>
      <c r="H87" t="s">
        <v>81</v>
      </c>
      <c r="I87" t="s">
        <v>9</v>
      </c>
      <c r="L87" t="s">
        <v>161</v>
      </c>
      <c r="M87">
        <v>4054297.67</v>
      </c>
    </row>
    <row r="88" spans="1:13" x14ac:dyDescent="0.3">
      <c r="A88" s="23">
        <v>45714</v>
      </c>
      <c r="B88" t="s">
        <v>12</v>
      </c>
      <c r="C88" t="s">
        <v>132</v>
      </c>
      <c r="D88" t="s">
        <v>16</v>
      </c>
      <c r="E88" t="s">
        <v>136</v>
      </c>
      <c r="F88">
        <v>846434909</v>
      </c>
      <c r="G88" t="s">
        <v>134</v>
      </c>
      <c r="H88" t="s">
        <v>81</v>
      </c>
      <c r="I88" t="s">
        <v>9</v>
      </c>
      <c r="L88" t="s">
        <v>161</v>
      </c>
      <c r="M88">
        <v>846434909</v>
      </c>
    </row>
    <row r="89" spans="1:13" x14ac:dyDescent="0.3">
      <c r="A89" s="23">
        <v>45713</v>
      </c>
      <c r="B89" t="s">
        <v>12</v>
      </c>
      <c r="C89" t="s">
        <v>132</v>
      </c>
      <c r="D89" t="s">
        <v>17</v>
      </c>
      <c r="E89" t="s">
        <v>136</v>
      </c>
      <c r="F89">
        <v>215609209.08000001</v>
      </c>
      <c r="G89" t="s">
        <v>134</v>
      </c>
      <c r="H89" t="s">
        <v>81</v>
      </c>
      <c r="I89" t="s">
        <v>9</v>
      </c>
      <c r="L89" t="s">
        <v>161</v>
      </c>
      <c r="M89">
        <v>-215609209.08000001</v>
      </c>
    </row>
    <row r="90" spans="1:13" x14ac:dyDescent="0.3">
      <c r="A90" s="23">
        <v>45712</v>
      </c>
      <c r="B90" t="s">
        <v>12</v>
      </c>
      <c r="C90" t="s">
        <v>132</v>
      </c>
      <c r="D90" t="s">
        <v>16</v>
      </c>
      <c r="E90" t="s">
        <v>136</v>
      </c>
      <c r="F90">
        <v>209304661</v>
      </c>
      <c r="G90" t="s">
        <v>134</v>
      </c>
      <c r="H90" t="s">
        <v>81</v>
      </c>
      <c r="I90" t="s">
        <v>9</v>
      </c>
      <c r="L90" t="s">
        <v>161</v>
      </c>
      <c r="M90">
        <v>209304661</v>
      </c>
    </row>
    <row r="91" spans="1:13" x14ac:dyDescent="0.3">
      <c r="A91" s="23">
        <v>45707</v>
      </c>
      <c r="B91" t="s">
        <v>12</v>
      </c>
      <c r="C91" t="s">
        <v>132</v>
      </c>
      <c r="D91" t="s">
        <v>17</v>
      </c>
      <c r="E91" t="s">
        <v>136</v>
      </c>
      <c r="F91">
        <v>105056582</v>
      </c>
      <c r="G91" t="s">
        <v>134</v>
      </c>
      <c r="H91" t="s">
        <v>81</v>
      </c>
      <c r="I91" t="s">
        <v>9</v>
      </c>
      <c r="L91" t="s">
        <v>161</v>
      </c>
      <c r="M91">
        <v>-105056582</v>
      </c>
    </row>
    <row r="92" spans="1:13" x14ac:dyDescent="0.3">
      <c r="A92" s="23">
        <v>45700</v>
      </c>
      <c r="B92" t="s">
        <v>12</v>
      </c>
      <c r="C92" t="s">
        <v>132</v>
      </c>
      <c r="D92" t="s">
        <v>16</v>
      </c>
      <c r="E92" t="s">
        <v>136</v>
      </c>
      <c r="F92">
        <v>438760124.44</v>
      </c>
      <c r="G92" t="s">
        <v>134</v>
      </c>
      <c r="H92" t="s">
        <v>81</v>
      </c>
      <c r="I92" t="s">
        <v>9</v>
      </c>
      <c r="L92" t="s">
        <v>161</v>
      </c>
      <c r="M92">
        <v>438760124.44</v>
      </c>
    </row>
    <row r="93" spans="1:13" x14ac:dyDescent="0.3">
      <c r="A93" s="23">
        <v>45695</v>
      </c>
      <c r="B93" t="s">
        <v>12</v>
      </c>
      <c r="C93" t="s">
        <v>132</v>
      </c>
      <c r="D93" t="s">
        <v>16</v>
      </c>
      <c r="E93" t="s">
        <v>136</v>
      </c>
      <c r="F93">
        <v>232740000</v>
      </c>
      <c r="G93" t="s">
        <v>134</v>
      </c>
      <c r="H93" t="s">
        <v>81</v>
      </c>
      <c r="I93" t="s">
        <v>9</v>
      </c>
      <c r="L93" t="s">
        <v>161</v>
      </c>
      <c r="M93">
        <v>232740000</v>
      </c>
    </row>
    <row r="94" spans="1:13" x14ac:dyDescent="0.3">
      <c r="A94" s="23">
        <v>44756</v>
      </c>
      <c r="B94" t="s">
        <v>12</v>
      </c>
      <c r="C94" t="s">
        <v>132</v>
      </c>
      <c r="D94" t="s">
        <v>16</v>
      </c>
      <c r="E94" t="s">
        <v>136</v>
      </c>
      <c r="F94">
        <v>100000000</v>
      </c>
      <c r="G94" t="s">
        <v>134</v>
      </c>
      <c r="H94" t="s">
        <v>81</v>
      </c>
      <c r="I94" t="s">
        <v>9</v>
      </c>
      <c r="L94" t="s">
        <v>161</v>
      </c>
      <c r="M94">
        <v>100000000</v>
      </c>
    </row>
    <row r="95" spans="1:13" x14ac:dyDescent="0.3">
      <c r="A95" s="23">
        <v>44757</v>
      </c>
      <c r="B95" t="s">
        <v>12</v>
      </c>
      <c r="C95" t="s">
        <v>132</v>
      </c>
      <c r="D95" t="s">
        <v>17</v>
      </c>
      <c r="E95" t="s">
        <v>136</v>
      </c>
      <c r="F95">
        <v>32575270.359999999</v>
      </c>
      <c r="G95" t="s">
        <v>134</v>
      </c>
      <c r="H95" t="s">
        <v>81</v>
      </c>
      <c r="I95" t="s">
        <v>9</v>
      </c>
      <c r="L95" t="s">
        <v>161</v>
      </c>
      <c r="M95">
        <v>-32575270.359999999</v>
      </c>
    </row>
    <row r="96" spans="1:13" x14ac:dyDescent="0.3">
      <c r="A96" s="23">
        <v>44760</v>
      </c>
      <c r="B96" t="s">
        <v>12</v>
      </c>
      <c r="C96" t="s">
        <v>132</v>
      </c>
      <c r="D96" t="s">
        <v>16</v>
      </c>
      <c r="E96" t="s">
        <v>136</v>
      </c>
      <c r="F96">
        <v>104569.83</v>
      </c>
      <c r="G96" t="s">
        <v>134</v>
      </c>
      <c r="H96" t="s">
        <v>81</v>
      </c>
      <c r="I96" t="s">
        <v>9</v>
      </c>
      <c r="J96" t="s">
        <v>155</v>
      </c>
      <c r="L96" t="s">
        <v>161</v>
      </c>
      <c r="M96">
        <v>104569.83</v>
      </c>
    </row>
    <row r="97" spans="1:13" x14ac:dyDescent="0.3">
      <c r="A97" s="23">
        <v>44764</v>
      </c>
      <c r="B97" t="s">
        <v>12</v>
      </c>
      <c r="C97" t="s">
        <v>132</v>
      </c>
      <c r="D97" t="s">
        <v>16</v>
      </c>
      <c r="E97" t="s">
        <v>136</v>
      </c>
      <c r="F97">
        <v>512469.88</v>
      </c>
      <c r="G97" t="s">
        <v>134</v>
      </c>
      <c r="H97" t="s">
        <v>81</v>
      </c>
      <c r="I97" t="s">
        <v>9</v>
      </c>
      <c r="J97" t="s">
        <v>155</v>
      </c>
      <c r="L97" t="s">
        <v>161</v>
      </c>
      <c r="M97">
        <v>512469.88</v>
      </c>
    </row>
    <row r="98" spans="1:13" x14ac:dyDescent="0.3">
      <c r="A98" s="23">
        <v>45680</v>
      </c>
      <c r="B98" t="s">
        <v>12</v>
      </c>
      <c r="C98" t="s">
        <v>132</v>
      </c>
      <c r="D98" t="s">
        <v>16</v>
      </c>
      <c r="E98" t="s">
        <v>136</v>
      </c>
      <c r="F98">
        <v>29350859</v>
      </c>
      <c r="G98" t="s">
        <v>134</v>
      </c>
      <c r="H98" t="s">
        <v>81</v>
      </c>
      <c r="I98" t="s">
        <v>9</v>
      </c>
      <c r="L98" t="s">
        <v>161</v>
      </c>
      <c r="M98">
        <v>29350859</v>
      </c>
    </row>
    <row r="99" spans="1:13" x14ac:dyDescent="0.3">
      <c r="A99" s="23">
        <v>45680</v>
      </c>
      <c r="B99" t="s">
        <v>12</v>
      </c>
      <c r="C99" t="s">
        <v>132</v>
      </c>
      <c r="D99" t="s">
        <v>17</v>
      </c>
      <c r="E99" t="s">
        <v>136</v>
      </c>
      <c r="F99">
        <v>257009600</v>
      </c>
      <c r="G99" t="s">
        <v>134</v>
      </c>
      <c r="H99" t="s">
        <v>81</v>
      </c>
      <c r="I99" t="s">
        <v>9</v>
      </c>
      <c r="L99" t="s">
        <v>161</v>
      </c>
      <c r="M99">
        <v>-257009600</v>
      </c>
    </row>
    <row r="100" spans="1:13" x14ac:dyDescent="0.3">
      <c r="A100" s="23">
        <v>45680</v>
      </c>
      <c r="B100" t="s">
        <v>12</v>
      </c>
      <c r="C100" t="s">
        <v>132</v>
      </c>
      <c r="D100" t="s">
        <v>17</v>
      </c>
      <c r="E100" t="s">
        <v>136</v>
      </c>
      <c r="F100">
        <v>474344940.25</v>
      </c>
      <c r="G100" t="s">
        <v>134</v>
      </c>
      <c r="H100" t="s">
        <v>81</v>
      </c>
      <c r="I100" t="s">
        <v>9</v>
      </c>
      <c r="L100" t="s">
        <v>161</v>
      </c>
      <c r="M100">
        <v>-474344940.25</v>
      </c>
    </row>
    <row r="101" spans="1:13" x14ac:dyDescent="0.3">
      <c r="A101" s="23">
        <v>45679</v>
      </c>
      <c r="B101" t="s">
        <v>12</v>
      </c>
      <c r="C101" t="s">
        <v>132</v>
      </c>
      <c r="D101" t="s">
        <v>17</v>
      </c>
      <c r="E101" t="s">
        <v>136</v>
      </c>
      <c r="F101">
        <v>91050944</v>
      </c>
      <c r="G101" t="s">
        <v>134</v>
      </c>
      <c r="H101" t="s">
        <v>81</v>
      </c>
      <c r="I101" t="s">
        <v>9</v>
      </c>
      <c r="L101" t="s">
        <v>161</v>
      </c>
      <c r="M101">
        <v>-91050944</v>
      </c>
    </row>
    <row r="102" spans="1:13" x14ac:dyDescent="0.3">
      <c r="A102" s="23">
        <v>44770</v>
      </c>
      <c r="B102" t="s">
        <v>12</v>
      </c>
      <c r="C102" t="s">
        <v>132</v>
      </c>
      <c r="D102" t="s">
        <v>17</v>
      </c>
      <c r="E102" t="s">
        <v>136</v>
      </c>
      <c r="F102">
        <v>68041769.349999994</v>
      </c>
      <c r="G102" t="s">
        <v>134</v>
      </c>
      <c r="H102" t="s">
        <v>81</v>
      </c>
      <c r="I102" t="s">
        <v>9</v>
      </c>
      <c r="L102" t="s">
        <v>161</v>
      </c>
      <c r="M102">
        <v>-68041769.349999994</v>
      </c>
    </row>
    <row r="103" spans="1:13" x14ac:dyDescent="0.3">
      <c r="A103" s="23">
        <v>45679</v>
      </c>
      <c r="B103" t="s">
        <v>12</v>
      </c>
      <c r="C103" t="s">
        <v>132</v>
      </c>
      <c r="D103" t="s">
        <v>16</v>
      </c>
      <c r="E103" t="s">
        <v>136</v>
      </c>
      <c r="F103">
        <v>800000000</v>
      </c>
      <c r="G103" t="s">
        <v>134</v>
      </c>
      <c r="H103" t="s">
        <v>81</v>
      </c>
      <c r="I103" t="s">
        <v>9</v>
      </c>
      <c r="L103" t="s">
        <v>161</v>
      </c>
      <c r="M103">
        <v>800000000</v>
      </c>
    </row>
    <row r="104" spans="1:13" x14ac:dyDescent="0.3">
      <c r="A104" s="23">
        <v>45678</v>
      </c>
      <c r="B104" t="s">
        <v>12</v>
      </c>
      <c r="C104" t="s">
        <v>132</v>
      </c>
      <c r="D104" t="s">
        <v>17</v>
      </c>
      <c r="E104" t="s">
        <v>136</v>
      </c>
      <c r="F104">
        <v>336058232</v>
      </c>
      <c r="G104" t="s">
        <v>134</v>
      </c>
      <c r="H104" t="s">
        <v>81</v>
      </c>
      <c r="I104" t="s">
        <v>9</v>
      </c>
      <c r="L104" t="s">
        <v>161</v>
      </c>
      <c r="M104">
        <v>-336058232</v>
      </c>
    </row>
    <row r="105" spans="1:13" x14ac:dyDescent="0.3">
      <c r="A105" s="23">
        <v>45674</v>
      </c>
      <c r="B105" t="s">
        <v>12</v>
      </c>
      <c r="C105" t="s">
        <v>132</v>
      </c>
      <c r="D105" t="s">
        <v>16</v>
      </c>
      <c r="E105" t="s">
        <v>136</v>
      </c>
      <c r="F105">
        <v>270251000</v>
      </c>
      <c r="G105" t="s">
        <v>134</v>
      </c>
      <c r="H105" t="s">
        <v>81</v>
      </c>
      <c r="I105" t="s">
        <v>9</v>
      </c>
      <c r="L105" t="s">
        <v>161</v>
      </c>
      <c r="M105">
        <v>270251000</v>
      </c>
    </row>
    <row r="106" spans="1:13" x14ac:dyDescent="0.3">
      <c r="A106" s="23">
        <v>44783</v>
      </c>
      <c r="B106" t="s">
        <v>12</v>
      </c>
      <c r="C106" t="s">
        <v>132</v>
      </c>
      <c r="D106" t="s">
        <v>16</v>
      </c>
      <c r="E106" t="s">
        <v>136</v>
      </c>
      <c r="F106">
        <v>200000000</v>
      </c>
      <c r="G106" t="s">
        <v>134</v>
      </c>
      <c r="H106" t="s">
        <v>81</v>
      </c>
      <c r="I106" t="s">
        <v>9</v>
      </c>
      <c r="L106" t="s">
        <v>161</v>
      </c>
      <c r="M106">
        <v>200000000</v>
      </c>
    </row>
    <row r="107" spans="1:13" x14ac:dyDescent="0.3">
      <c r="A107" s="23">
        <v>44784</v>
      </c>
      <c r="B107" t="s">
        <v>12</v>
      </c>
      <c r="C107" t="s">
        <v>132</v>
      </c>
      <c r="D107" t="s">
        <v>17</v>
      </c>
      <c r="E107" t="s">
        <v>136</v>
      </c>
      <c r="F107">
        <v>170085321</v>
      </c>
      <c r="G107" t="s">
        <v>134</v>
      </c>
      <c r="H107" t="s">
        <v>81</v>
      </c>
      <c r="I107" t="s">
        <v>9</v>
      </c>
      <c r="L107" t="s">
        <v>161</v>
      </c>
      <c r="M107">
        <v>-170085321</v>
      </c>
    </row>
    <row r="108" spans="1:13" x14ac:dyDescent="0.3">
      <c r="A108" s="23">
        <v>44791</v>
      </c>
      <c r="B108" t="s">
        <v>12</v>
      </c>
      <c r="C108" t="s">
        <v>132</v>
      </c>
      <c r="D108" t="s">
        <v>17</v>
      </c>
      <c r="E108" t="s">
        <v>136</v>
      </c>
      <c r="F108">
        <v>24724289.899999999</v>
      </c>
      <c r="G108" t="s">
        <v>134</v>
      </c>
      <c r="H108" t="s">
        <v>81</v>
      </c>
      <c r="I108" t="s">
        <v>9</v>
      </c>
      <c r="L108" t="s">
        <v>161</v>
      </c>
      <c r="M108">
        <v>-24724289.899999999</v>
      </c>
    </row>
    <row r="109" spans="1:13" x14ac:dyDescent="0.3">
      <c r="A109" s="23">
        <v>44792</v>
      </c>
      <c r="B109" t="s">
        <v>12</v>
      </c>
      <c r="C109" t="s">
        <v>132</v>
      </c>
      <c r="D109" t="s">
        <v>17</v>
      </c>
      <c r="E109" t="s">
        <v>136</v>
      </c>
      <c r="F109">
        <v>2500000</v>
      </c>
      <c r="G109" t="s">
        <v>134</v>
      </c>
      <c r="H109" t="s">
        <v>81</v>
      </c>
      <c r="I109" t="s">
        <v>9</v>
      </c>
      <c r="L109" t="s">
        <v>161</v>
      </c>
      <c r="M109">
        <v>-2500000</v>
      </c>
    </row>
    <row r="110" spans="1:13" x14ac:dyDescent="0.3">
      <c r="A110" s="23">
        <v>45665</v>
      </c>
      <c r="B110" t="s">
        <v>12</v>
      </c>
      <c r="C110" t="s">
        <v>132</v>
      </c>
      <c r="D110" t="s">
        <v>16</v>
      </c>
      <c r="E110" t="s">
        <v>136</v>
      </c>
      <c r="F110">
        <v>156858176</v>
      </c>
      <c r="G110" t="s">
        <v>134</v>
      </c>
      <c r="H110" t="s">
        <v>81</v>
      </c>
      <c r="I110" t="s">
        <v>9</v>
      </c>
      <c r="L110" t="s">
        <v>161</v>
      </c>
      <c r="M110">
        <v>156858176</v>
      </c>
    </row>
    <row r="111" spans="1:13" x14ac:dyDescent="0.3">
      <c r="A111" s="23">
        <v>44795</v>
      </c>
      <c r="B111" t="s">
        <v>12</v>
      </c>
      <c r="C111" t="s">
        <v>132</v>
      </c>
      <c r="D111" t="s">
        <v>17</v>
      </c>
      <c r="E111" t="s">
        <v>136</v>
      </c>
      <c r="F111">
        <v>2690389.1</v>
      </c>
      <c r="G111" t="s">
        <v>134</v>
      </c>
      <c r="H111" t="s">
        <v>81</v>
      </c>
      <c r="I111" t="s">
        <v>9</v>
      </c>
      <c r="L111" t="s">
        <v>161</v>
      </c>
      <c r="M111">
        <v>-2690389.1</v>
      </c>
    </row>
    <row r="112" spans="1:13" x14ac:dyDescent="0.3">
      <c r="A112" s="23">
        <v>45600</v>
      </c>
      <c r="B112" t="s">
        <v>12</v>
      </c>
      <c r="C112" t="s">
        <v>132</v>
      </c>
      <c r="D112" t="s">
        <v>17</v>
      </c>
      <c r="E112" t="s">
        <v>136</v>
      </c>
      <c r="F112">
        <v>78284712.730000004</v>
      </c>
      <c r="G112" t="s">
        <v>134</v>
      </c>
      <c r="H112" t="s">
        <v>81</v>
      </c>
      <c r="I112" t="s">
        <v>9</v>
      </c>
      <c r="L112" t="s">
        <v>161</v>
      </c>
      <c r="M112">
        <v>-78284712.730000004</v>
      </c>
    </row>
    <row r="113" spans="1:13" x14ac:dyDescent="0.3">
      <c r="A113" s="23">
        <v>45600</v>
      </c>
      <c r="B113" t="s">
        <v>12</v>
      </c>
      <c r="C113" t="s">
        <v>132</v>
      </c>
      <c r="D113" t="s">
        <v>17</v>
      </c>
      <c r="E113" t="s">
        <v>136</v>
      </c>
      <c r="F113">
        <v>300000000</v>
      </c>
      <c r="G113" t="s">
        <v>134</v>
      </c>
      <c r="H113" t="s">
        <v>81</v>
      </c>
      <c r="I113" t="s">
        <v>9</v>
      </c>
      <c r="L113" t="s">
        <v>161</v>
      </c>
      <c r="M113">
        <v>-300000000</v>
      </c>
    </row>
    <row r="114" spans="1:13" x14ac:dyDescent="0.3">
      <c r="A114" s="23">
        <v>45597</v>
      </c>
      <c r="B114" t="s">
        <v>12</v>
      </c>
      <c r="C114" t="s">
        <v>132</v>
      </c>
      <c r="D114" t="s">
        <v>17</v>
      </c>
      <c r="E114" t="s">
        <v>136</v>
      </c>
      <c r="F114">
        <v>60418687.270000003</v>
      </c>
      <c r="G114" t="s">
        <v>134</v>
      </c>
      <c r="H114" t="s">
        <v>81</v>
      </c>
      <c r="I114" t="s">
        <v>9</v>
      </c>
      <c r="L114" t="s">
        <v>161</v>
      </c>
      <c r="M114">
        <v>-60418687.270000003</v>
      </c>
    </row>
    <row r="115" spans="1:13" x14ac:dyDescent="0.3">
      <c r="A115" s="23">
        <v>45597</v>
      </c>
      <c r="B115" t="s">
        <v>12</v>
      </c>
      <c r="C115" t="s">
        <v>132</v>
      </c>
      <c r="D115" t="s">
        <v>17</v>
      </c>
      <c r="E115" t="s">
        <v>136</v>
      </c>
      <c r="F115">
        <v>50000000</v>
      </c>
      <c r="G115" t="s">
        <v>134</v>
      </c>
      <c r="H115" t="s">
        <v>81</v>
      </c>
      <c r="I115" t="s">
        <v>9</v>
      </c>
      <c r="L115" t="s">
        <v>161</v>
      </c>
      <c r="M115">
        <v>-50000000</v>
      </c>
    </row>
    <row r="116" spans="1:13" x14ac:dyDescent="0.3">
      <c r="A116" s="23">
        <v>45595</v>
      </c>
      <c r="B116" t="s">
        <v>12</v>
      </c>
      <c r="C116" t="s">
        <v>132</v>
      </c>
      <c r="D116" t="s">
        <v>16</v>
      </c>
      <c r="E116" t="s">
        <v>136</v>
      </c>
      <c r="F116">
        <v>155440000</v>
      </c>
      <c r="G116" t="s">
        <v>134</v>
      </c>
      <c r="H116" t="s">
        <v>81</v>
      </c>
      <c r="I116" t="s">
        <v>9</v>
      </c>
      <c r="L116" t="s">
        <v>161</v>
      </c>
      <c r="M116">
        <v>155440000</v>
      </c>
    </row>
    <row r="117" spans="1:13" x14ac:dyDescent="0.3">
      <c r="A117" s="23">
        <v>45586</v>
      </c>
      <c r="B117" t="s">
        <v>12</v>
      </c>
      <c r="C117" t="s">
        <v>132</v>
      </c>
      <c r="D117" t="s">
        <v>16</v>
      </c>
      <c r="E117" t="s">
        <v>136</v>
      </c>
      <c r="F117">
        <v>333263400</v>
      </c>
      <c r="G117" t="s">
        <v>134</v>
      </c>
      <c r="H117" t="s">
        <v>81</v>
      </c>
      <c r="I117" t="s">
        <v>9</v>
      </c>
      <c r="L117" t="s">
        <v>161</v>
      </c>
      <c r="M117">
        <v>333263400</v>
      </c>
    </row>
    <row r="118" spans="1:13" x14ac:dyDescent="0.3">
      <c r="A118" s="23">
        <v>45583</v>
      </c>
      <c r="B118" t="s">
        <v>12</v>
      </c>
      <c r="C118" t="s">
        <v>132</v>
      </c>
      <c r="D118" t="s">
        <v>17</v>
      </c>
      <c r="E118" t="s">
        <v>136</v>
      </c>
      <c r="F118">
        <v>82893815.180000007</v>
      </c>
      <c r="G118" t="s">
        <v>134</v>
      </c>
      <c r="H118" t="s">
        <v>81</v>
      </c>
      <c r="I118" t="s">
        <v>9</v>
      </c>
      <c r="L118" t="s">
        <v>161</v>
      </c>
      <c r="M118">
        <v>-82893815.180000007</v>
      </c>
    </row>
    <row r="119" spans="1:13" x14ac:dyDescent="0.3">
      <c r="A119" s="23">
        <v>45583</v>
      </c>
      <c r="B119" t="s">
        <v>12</v>
      </c>
      <c r="C119" t="s">
        <v>132</v>
      </c>
      <c r="D119" t="s">
        <v>17</v>
      </c>
      <c r="E119" t="s">
        <v>136</v>
      </c>
      <c r="F119">
        <v>215467465.94999999</v>
      </c>
      <c r="G119" t="s">
        <v>134</v>
      </c>
      <c r="H119" t="s">
        <v>81</v>
      </c>
      <c r="I119" t="s">
        <v>9</v>
      </c>
      <c r="L119" t="s">
        <v>161</v>
      </c>
      <c r="M119">
        <v>-215467465.94999999</v>
      </c>
    </row>
    <row r="120" spans="1:13" x14ac:dyDescent="0.3">
      <c r="A120" s="23">
        <v>45582</v>
      </c>
      <c r="B120" t="s">
        <v>12</v>
      </c>
      <c r="C120" t="s">
        <v>132</v>
      </c>
      <c r="D120" t="s">
        <v>16</v>
      </c>
      <c r="E120" t="s">
        <v>136</v>
      </c>
      <c r="F120">
        <v>226237612</v>
      </c>
      <c r="G120" t="s">
        <v>134</v>
      </c>
      <c r="H120" t="s">
        <v>81</v>
      </c>
      <c r="I120" t="s">
        <v>9</v>
      </c>
      <c r="L120" t="s">
        <v>161</v>
      </c>
      <c r="M120">
        <v>226237612</v>
      </c>
    </row>
    <row r="121" spans="1:13" x14ac:dyDescent="0.3">
      <c r="A121" s="23">
        <v>45582</v>
      </c>
      <c r="B121" t="s">
        <v>12</v>
      </c>
      <c r="C121" t="s">
        <v>132</v>
      </c>
      <c r="D121" t="s">
        <v>17</v>
      </c>
      <c r="E121" t="s">
        <v>136</v>
      </c>
      <c r="F121">
        <v>130000000</v>
      </c>
      <c r="G121" t="s">
        <v>134</v>
      </c>
      <c r="H121" t="s">
        <v>81</v>
      </c>
      <c r="I121" t="s">
        <v>9</v>
      </c>
      <c r="L121" t="s">
        <v>161</v>
      </c>
      <c r="M121">
        <v>-130000000</v>
      </c>
    </row>
    <row r="122" spans="1:13" x14ac:dyDescent="0.3">
      <c r="A122" s="23">
        <v>45579</v>
      </c>
      <c r="B122" t="s">
        <v>12</v>
      </c>
      <c r="C122" t="s">
        <v>132</v>
      </c>
      <c r="D122" t="s">
        <v>17</v>
      </c>
      <c r="E122" t="s">
        <v>136</v>
      </c>
      <c r="F122">
        <v>150000000</v>
      </c>
      <c r="G122" t="s">
        <v>134</v>
      </c>
      <c r="H122" t="s">
        <v>81</v>
      </c>
      <c r="I122" t="s">
        <v>9</v>
      </c>
      <c r="L122" t="s">
        <v>161</v>
      </c>
      <c r="M122">
        <v>-150000000</v>
      </c>
    </row>
    <row r="123" spans="1:13" x14ac:dyDescent="0.3">
      <c r="A123" s="23">
        <v>45574</v>
      </c>
      <c r="B123" t="s">
        <v>12</v>
      </c>
      <c r="C123" t="s">
        <v>132</v>
      </c>
      <c r="D123" t="s">
        <v>16</v>
      </c>
      <c r="E123" t="s">
        <v>136</v>
      </c>
      <c r="F123">
        <v>82851700</v>
      </c>
      <c r="G123" t="s">
        <v>134</v>
      </c>
      <c r="H123" t="s">
        <v>81</v>
      </c>
      <c r="I123" t="s">
        <v>9</v>
      </c>
      <c r="L123" t="s">
        <v>161</v>
      </c>
      <c r="M123">
        <v>82851700</v>
      </c>
    </row>
    <row r="124" spans="1:13" x14ac:dyDescent="0.3">
      <c r="A124" s="23">
        <v>45574</v>
      </c>
      <c r="B124" t="s">
        <v>12</v>
      </c>
      <c r="C124" t="s">
        <v>132</v>
      </c>
      <c r="D124" t="s">
        <v>17</v>
      </c>
      <c r="E124" t="s">
        <v>136</v>
      </c>
      <c r="F124">
        <v>214600000</v>
      </c>
      <c r="G124" t="s">
        <v>134</v>
      </c>
      <c r="H124" t="s">
        <v>81</v>
      </c>
      <c r="I124" t="s">
        <v>9</v>
      </c>
      <c r="L124" t="s">
        <v>161</v>
      </c>
      <c r="M124">
        <v>-214600000</v>
      </c>
    </row>
    <row r="125" spans="1:13" x14ac:dyDescent="0.3">
      <c r="A125" s="23">
        <v>45569</v>
      </c>
      <c r="B125" t="s">
        <v>12</v>
      </c>
      <c r="C125" t="s">
        <v>132</v>
      </c>
      <c r="D125" t="s">
        <v>17</v>
      </c>
      <c r="E125" t="s">
        <v>136</v>
      </c>
      <c r="F125">
        <v>112312456.87</v>
      </c>
      <c r="G125" t="s">
        <v>134</v>
      </c>
      <c r="H125" t="s">
        <v>81</v>
      </c>
      <c r="I125" t="s">
        <v>9</v>
      </c>
      <c r="L125" t="s">
        <v>161</v>
      </c>
      <c r="M125">
        <v>-112312456.87</v>
      </c>
    </row>
    <row r="126" spans="1:13" x14ac:dyDescent="0.3">
      <c r="A126" s="23">
        <v>45568</v>
      </c>
      <c r="B126" t="s">
        <v>12</v>
      </c>
      <c r="C126" t="s">
        <v>132</v>
      </c>
      <c r="D126" t="s">
        <v>16</v>
      </c>
      <c r="E126" t="s">
        <v>136</v>
      </c>
      <c r="F126">
        <v>296184426</v>
      </c>
      <c r="G126" t="s">
        <v>134</v>
      </c>
      <c r="H126" t="s">
        <v>81</v>
      </c>
      <c r="I126" t="s">
        <v>9</v>
      </c>
      <c r="L126" t="s">
        <v>161</v>
      </c>
      <c r="M126">
        <v>296184426</v>
      </c>
    </row>
    <row r="127" spans="1:13" x14ac:dyDescent="0.3">
      <c r="A127" s="23">
        <v>44921</v>
      </c>
      <c r="B127" t="s">
        <v>12</v>
      </c>
      <c r="C127" t="s">
        <v>132</v>
      </c>
      <c r="D127" t="s">
        <v>16</v>
      </c>
      <c r="E127" t="s">
        <v>136</v>
      </c>
      <c r="F127">
        <v>634469.93999999994</v>
      </c>
      <c r="G127" t="s">
        <v>134</v>
      </c>
      <c r="H127" t="s">
        <v>81</v>
      </c>
      <c r="I127" t="s">
        <v>9</v>
      </c>
      <c r="J127" t="s">
        <v>155</v>
      </c>
      <c r="L127" t="s">
        <v>161</v>
      </c>
      <c r="M127">
        <v>634469.93999999994</v>
      </c>
    </row>
    <row r="128" spans="1:13" x14ac:dyDescent="0.3">
      <c r="A128" s="23">
        <v>45567</v>
      </c>
      <c r="B128" t="s">
        <v>12</v>
      </c>
      <c r="C128" t="s">
        <v>132</v>
      </c>
      <c r="D128" t="s">
        <v>16</v>
      </c>
      <c r="E128" t="s">
        <v>136</v>
      </c>
      <c r="F128">
        <v>300000000</v>
      </c>
      <c r="G128" t="s">
        <v>134</v>
      </c>
      <c r="H128" t="s">
        <v>81</v>
      </c>
      <c r="I128" t="s">
        <v>9</v>
      </c>
      <c r="L128" t="s">
        <v>161</v>
      </c>
      <c r="M128">
        <v>300000000</v>
      </c>
    </row>
    <row r="129" spans="1:13" x14ac:dyDescent="0.3">
      <c r="A129" s="23">
        <v>44937</v>
      </c>
      <c r="B129" t="s">
        <v>12</v>
      </c>
      <c r="C129" t="s">
        <v>132</v>
      </c>
      <c r="D129" t="s">
        <v>16</v>
      </c>
      <c r="E129" t="s">
        <v>136</v>
      </c>
      <c r="F129">
        <v>160000000</v>
      </c>
      <c r="G129" t="s">
        <v>134</v>
      </c>
      <c r="H129" t="s">
        <v>81</v>
      </c>
      <c r="I129" t="s">
        <v>9</v>
      </c>
      <c r="L129" t="s">
        <v>161</v>
      </c>
      <c r="M129">
        <v>160000000</v>
      </c>
    </row>
    <row r="130" spans="1:13" x14ac:dyDescent="0.3">
      <c r="A130" s="23">
        <v>44938</v>
      </c>
      <c r="B130" t="s">
        <v>12</v>
      </c>
      <c r="C130" t="s">
        <v>132</v>
      </c>
      <c r="D130" t="s">
        <v>17</v>
      </c>
      <c r="E130" t="s">
        <v>136</v>
      </c>
      <c r="F130">
        <v>160634469.94</v>
      </c>
      <c r="G130" t="s">
        <v>134</v>
      </c>
      <c r="H130" t="s">
        <v>81</v>
      </c>
      <c r="I130" t="s">
        <v>9</v>
      </c>
      <c r="L130" t="s">
        <v>161</v>
      </c>
      <c r="M130">
        <v>-160634469.94</v>
      </c>
    </row>
    <row r="131" spans="1:13" x14ac:dyDescent="0.3">
      <c r="A131" s="23">
        <v>44942</v>
      </c>
      <c r="B131" t="s">
        <v>12</v>
      </c>
      <c r="C131" t="s">
        <v>132</v>
      </c>
      <c r="D131" t="s">
        <v>16</v>
      </c>
      <c r="E131" t="s">
        <v>136</v>
      </c>
      <c r="F131">
        <v>1500000</v>
      </c>
      <c r="G131" t="s">
        <v>134</v>
      </c>
      <c r="H131" t="s">
        <v>81</v>
      </c>
      <c r="I131" t="s">
        <v>9</v>
      </c>
      <c r="L131" t="s">
        <v>161</v>
      </c>
      <c r="M131">
        <v>1500000</v>
      </c>
    </row>
    <row r="132" spans="1:13" x14ac:dyDescent="0.3">
      <c r="A132" s="23">
        <v>44945</v>
      </c>
      <c r="B132" t="s">
        <v>12</v>
      </c>
      <c r="C132" t="s">
        <v>132</v>
      </c>
      <c r="D132" t="s">
        <v>16</v>
      </c>
      <c r="E132" t="s">
        <v>136</v>
      </c>
      <c r="F132">
        <v>35000000</v>
      </c>
      <c r="G132" t="s">
        <v>134</v>
      </c>
      <c r="H132" t="s">
        <v>81</v>
      </c>
      <c r="I132" t="s">
        <v>9</v>
      </c>
      <c r="L132" t="s">
        <v>161</v>
      </c>
      <c r="M132">
        <v>35000000</v>
      </c>
    </row>
    <row r="133" spans="1:13" x14ac:dyDescent="0.3">
      <c r="A133" s="23">
        <v>45544</v>
      </c>
      <c r="B133" t="s">
        <v>12</v>
      </c>
      <c r="C133" t="s">
        <v>132</v>
      </c>
      <c r="D133" t="s">
        <v>17</v>
      </c>
      <c r="E133" t="s">
        <v>136</v>
      </c>
      <c r="F133">
        <v>65361350.710000001</v>
      </c>
      <c r="G133" t="s">
        <v>134</v>
      </c>
      <c r="H133" t="s">
        <v>81</v>
      </c>
      <c r="I133" t="s">
        <v>9</v>
      </c>
      <c r="L133" t="s">
        <v>161</v>
      </c>
      <c r="M133">
        <v>-65361350.710000001</v>
      </c>
    </row>
    <row r="134" spans="1:13" x14ac:dyDescent="0.3">
      <c r="A134" s="23">
        <v>45544</v>
      </c>
      <c r="B134" t="s">
        <v>12</v>
      </c>
      <c r="C134" t="s">
        <v>132</v>
      </c>
      <c r="D134" t="s">
        <v>16</v>
      </c>
      <c r="E134" t="s">
        <v>136</v>
      </c>
      <c r="F134">
        <v>325305.19</v>
      </c>
      <c r="G134" t="s">
        <v>134</v>
      </c>
      <c r="H134" t="s">
        <v>81</v>
      </c>
      <c r="I134" t="s">
        <v>9</v>
      </c>
      <c r="L134" t="s">
        <v>161</v>
      </c>
      <c r="M134">
        <v>325305.19</v>
      </c>
    </row>
    <row r="135" spans="1:13" x14ac:dyDescent="0.3">
      <c r="A135" s="23">
        <v>44951</v>
      </c>
      <c r="B135" t="s">
        <v>12</v>
      </c>
      <c r="C135" t="s">
        <v>132</v>
      </c>
      <c r="D135" t="s">
        <v>16</v>
      </c>
      <c r="E135" t="s">
        <v>136</v>
      </c>
      <c r="F135">
        <v>13500000</v>
      </c>
      <c r="G135" t="s">
        <v>134</v>
      </c>
      <c r="H135" t="s">
        <v>81</v>
      </c>
      <c r="I135" t="s">
        <v>9</v>
      </c>
      <c r="L135" t="s">
        <v>161</v>
      </c>
      <c r="M135">
        <v>13500000</v>
      </c>
    </row>
    <row r="136" spans="1:13" x14ac:dyDescent="0.3">
      <c r="A136" s="23">
        <v>44959</v>
      </c>
      <c r="B136" t="s">
        <v>12</v>
      </c>
      <c r="C136" t="s">
        <v>132</v>
      </c>
      <c r="D136" t="s">
        <v>17</v>
      </c>
      <c r="E136" t="s">
        <v>136</v>
      </c>
      <c r="F136">
        <v>47000000</v>
      </c>
      <c r="G136" t="s">
        <v>134</v>
      </c>
      <c r="H136" t="s">
        <v>81</v>
      </c>
      <c r="I136" t="s">
        <v>9</v>
      </c>
      <c r="L136" t="s">
        <v>161</v>
      </c>
      <c r="M136">
        <v>-47000000</v>
      </c>
    </row>
    <row r="137" spans="1:13" x14ac:dyDescent="0.3">
      <c r="A137" s="23">
        <v>45538</v>
      </c>
      <c r="B137" t="s">
        <v>12</v>
      </c>
      <c r="C137" t="s">
        <v>132</v>
      </c>
      <c r="D137" t="s">
        <v>17</v>
      </c>
      <c r="E137" t="s">
        <v>136</v>
      </c>
      <c r="F137">
        <v>159989000</v>
      </c>
      <c r="G137" t="s">
        <v>134</v>
      </c>
      <c r="H137" t="s">
        <v>81</v>
      </c>
      <c r="I137" t="s">
        <v>9</v>
      </c>
      <c r="L137" t="s">
        <v>161</v>
      </c>
      <c r="M137">
        <v>-159989000</v>
      </c>
    </row>
    <row r="138" spans="1:13" x14ac:dyDescent="0.3">
      <c r="A138" s="23">
        <v>45538</v>
      </c>
      <c r="B138" t="s">
        <v>12</v>
      </c>
      <c r="C138" t="s">
        <v>132</v>
      </c>
      <c r="D138" t="s">
        <v>17</v>
      </c>
      <c r="E138" t="s">
        <v>136</v>
      </c>
      <c r="F138">
        <v>193903690</v>
      </c>
      <c r="G138" t="s">
        <v>134</v>
      </c>
      <c r="H138" t="s">
        <v>81</v>
      </c>
      <c r="I138" t="s">
        <v>9</v>
      </c>
      <c r="L138" t="s">
        <v>161</v>
      </c>
      <c r="M138">
        <v>-193903690</v>
      </c>
    </row>
    <row r="139" spans="1:13" x14ac:dyDescent="0.3">
      <c r="A139" s="23">
        <v>44966</v>
      </c>
      <c r="B139" t="s">
        <v>12</v>
      </c>
      <c r="C139" t="s">
        <v>132</v>
      </c>
      <c r="D139" t="s">
        <v>17</v>
      </c>
      <c r="E139" t="s">
        <v>136</v>
      </c>
      <c r="F139">
        <v>3000000</v>
      </c>
      <c r="G139" t="s">
        <v>134</v>
      </c>
      <c r="H139" t="s">
        <v>81</v>
      </c>
      <c r="I139" t="s">
        <v>9</v>
      </c>
      <c r="L139" t="s">
        <v>161</v>
      </c>
      <c r="M139">
        <v>-3000000</v>
      </c>
    </row>
    <row r="140" spans="1:13" x14ac:dyDescent="0.3">
      <c r="A140" s="23">
        <v>45533</v>
      </c>
      <c r="B140" t="s">
        <v>12</v>
      </c>
      <c r="C140" t="s">
        <v>132</v>
      </c>
      <c r="D140" t="s">
        <v>17</v>
      </c>
      <c r="E140" t="s">
        <v>136</v>
      </c>
      <c r="F140">
        <v>234139586.34</v>
      </c>
      <c r="G140" t="s">
        <v>134</v>
      </c>
      <c r="H140" t="s">
        <v>81</v>
      </c>
      <c r="I140" t="s">
        <v>9</v>
      </c>
      <c r="L140" t="s">
        <v>161</v>
      </c>
      <c r="M140">
        <v>-234139586.34</v>
      </c>
    </row>
    <row r="141" spans="1:13" x14ac:dyDescent="0.3">
      <c r="A141" s="23">
        <v>45532</v>
      </c>
      <c r="B141" t="s">
        <v>12</v>
      </c>
      <c r="C141" t="s">
        <v>132</v>
      </c>
      <c r="D141" t="s">
        <v>16</v>
      </c>
      <c r="E141" t="s">
        <v>136</v>
      </c>
      <c r="F141">
        <v>400000000</v>
      </c>
      <c r="G141" t="s">
        <v>134</v>
      </c>
      <c r="H141" t="s">
        <v>81</v>
      </c>
      <c r="I141" t="s">
        <v>9</v>
      </c>
      <c r="L141" t="s">
        <v>161</v>
      </c>
      <c r="M141">
        <v>400000000</v>
      </c>
    </row>
    <row r="142" spans="1:13" x14ac:dyDescent="0.3">
      <c r="A142" s="23">
        <v>45531</v>
      </c>
      <c r="B142" t="s">
        <v>12</v>
      </c>
      <c r="C142" t="s">
        <v>132</v>
      </c>
      <c r="D142" t="s">
        <v>16</v>
      </c>
      <c r="E142" t="s">
        <v>136</v>
      </c>
      <c r="F142">
        <v>19194894</v>
      </c>
      <c r="G142" t="s">
        <v>134</v>
      </c>
      <c r="H142" t="s">
        <v>81</v>
      </c>
      <c r="I142" t="s">
        <v>9</v>
      </c>
      <c r="L142" t="s">
        <v>161</v>
      </c>
      <c r="M142">
        <v>19194894</v>
      </c>
    </row>
    <row r="143" spans="1:13" x14ac:dyDescent="0.3">
      <c r="A143" s="23">
        <v>45524</v>
      </c>
      <c r="B143" t="s">
        <v>12</v>
      </c>
      <c r="C143" t="s">
        <v>132</v>
      </c>
      <c r="D143" t="s">
        <v>16</v>
      </c>
      <c r="E143" t="s">
        <v>136</v>
      </c>
      <c r="F143">
        <v>126195060</v>
      </c>
      <c r="G143" t="s">
        <v>134</v>
      </c>
      <c r="H143" t="s">
        <v>81</v>
      </c>
      <c r="I143" t="s">
        <v>9</v>
      </c>
      <c r="L143" t="s">
        <v>161</v>
      </c>
      <c r="M143">
        <v>126195060</v>
      </c>
    </row>
    <row r="144" spans="1:13" x14ac:dyDescent="0.3">
      <c r="A144" s="23">
        <v>45519</v>
      </c>
      <c r="B144" t="s">
        <v>12</v>
      </c>
      <c r="C144" t="s">
        <v>132</v>
      </c>
      <c r="D144" t="s">
        <v>17</v>
      </c>
      <c r="E144" t="s">
        <v>136</v>
      </c>
      <c r="F144">
        <v>56759719</v>
      </c>
      <c r="G144" t="s">
        <v>134</v>
      </c>
      <c r="H144" t="s">
        <v>81</v>
      </c>
      <c r="I144" t="s">
        <v>9</v>
      </c>
      <c r="L144" t="s">
        <v>161</v>
      </c>
      <c r="M144">
        <v>-56759719</v>
      </c>
    </row>
    <row r="145" spans="1:13" x14ac:dyDescent="0.3">
      <c r="A145" s="23">
        <v>45519</v>
      </c>
      <c r="B145" t="s">
        <v>12</v>
      </c>
      <c r="C145" t="s">
        <v>132</v>
      </c>
      <c r="D145" t="s">
        <v>17</v>
      </c>
      <c r="E145" t="s">
        <v>136</v>
      </c>
      <c r="F145">
        <v>51425111</v>
      </c>
      <c r="G145" t="s">
        <v>134</v>
      </c>
      <c r="H145" t="s">
        <v>81</v>
      </c>
      <c r="I145" t="s">
        <v>9</v>
      </c>
      <c r="L145" t="s">
        <v>161</v>
      </c>
      <c r="M145">
        <v>-51425111</v>
      </c>
    </row>
    <row r="146" spans="1:13" x14ac:dyDescent="0.3">
      <c r="A146" s="23">
        <v>45519</v>
      </c>
      <c r="B146" t="s">
        <v>12</v>
      </c>
      <c r="C146" t="s">
        <v>132</v>
      </c>
      <c r="D146" t="s">
        <v>16</v>
      </c>
      <c r="E146" t="s">
        <v>136</v>
      </c>
      <c r="F146">
        <v>12036500</v>
      </c>
      <c r="G146" t="s">
        <v>134</v>
      </c>
      <c r="H146" t="s">
        <v>81</v>
      </c>
      <c r="I146" t="s">
        <v>9</v>
      </c>
      <c r="L146" t="s">
        <v>161</v>
      </c>
      <c r="M146">
        <v>12036500</v>
      </c>
    </row>
    <row r="147" spans="1:13" x14ac:dyDescent="0.3">
      <c r="A147" s="23">
        <v>45001</v>
      </c>
      <c r="B147" t="s">
        <v>12</v>
      </c>
      <c r="C147" t="s">
        <v>132</v>
      </c>
      <c r="D147" t="s">
        <v>16</v>
      </c>
      <c r="E147" t="s">
        <v>136</v>
      </c>
      <c r="F147">
        <v>300000000</v>
      </c>
      <c r="G147" t="s">
        <v>134</v>
      </c>
      <c r="H147" t="s">
        <v>81</v>
      </c>
      <c r="I147" t="s">
        <v>9</v>
      </c>
      <c r="L147" t="s">
        <v>161</v>
      </c>
      <c r="M147">
        <v>300000000</v>
      </c>
    </row>
    <row r="148" spans="1:13" x14ac:dyDescent="0.3">
      <c r="A148" s="23">
        <v>45518</v>
      </c>
      <c r="B148" t="s">
        <v>12</v>
      </c>
      <c r="C148" t="s">
        <v>132</v>
      </c>
      <c r="D148" t="s">
        <v>17</v>
      </c>
      <c r="E148" t="s">
        <v>136</v>
      </c>
      <c r="F148">
        <v>599864958</v>
      </c>
      <c r="G148" t="s">
        <v>134</v>
      </c>
      <c r="H148" t="s">
        <v>81</v>
      </c>
      <c r="I148" t="s">
        <v>9</v>
      </c>
      <c r="L148" t="s">
        <v>161</v>
      </c>
      <c r="M148">
        <v>-599864958</v>
      </c>
    </row>
    <row r="149" spans="1:13" x14ac:dyDescent="0.3">
      <c r="A149" s="23">
        <v>45517</v>
      </c>
      <c r="B149" t="s">
        <v>12</v>
      </c>
      <c r="C149" t="s">
        <v>132</v>
      </c>
      <c r="D149" t="s">
        <v>16</v>
      </c>
      <c r="E149" t="s">
        <v>136</v>
      </c>
      <c r="F149">
        <v>500000000</v>
      </c>
      <c r="G149" t="s">
        <v>134</v>
      </c>
      <c r="H149" t="s">
        <v>81</v>
      </c>
      <c r="I149" t="s">
        <v>9</v>
      </c>
      <c r="L149" t="s">
        <v>161</v>
      </c>
      <c r="M149">
        <v>500000000</v>
      </c>
    </row>
    <row r="150" spans="1:13" x14ac:dyDescent="0.3">
      <c r="A150" s="23">
        <v>45516</v>
      </c>
      <c r="B150" t="s">
        <v>12</v>
      </c>
      <c r="C150" t="s">
        <v>132</v>
      </c>
      <c r="D150" t="s">
        <v>16</v>
      </c>
      <c r="E150" t="s">
        <v>136</v>
      </c>
      <c r="F150">
        <v>250000000</v>
      </c>
      <c r="G150" t="s">
        <v>134</v>
      </c>
      <c r="H150" t="s">
        <v>81</v>
      </c>
      <c r="I150" t="s">
        <v>9</v>
      </c>
      <c r="L150" t="s">
        <v>161</v>
      </c>
      <c r="M150">
        <v>250000000</v>
      </c>
    </row>
    <row r="151" spans="1:13" x14ac:dyDescent="0.3">
      <c r="A151" s="23">
        <v>45511</v>
      </c>
      <c r="B151" t="s">
        <v>12</v>
      </c>
      <c r="C151" t="s">
        <v>132</v>
      </c>
      <c r="D151" t="s">
        <v>17</v>
      </c>
      <c r="E151" t="s">
        <v>136</v>
      </c>
      <c r="F151">
        <v>150016945.13999999</v>
      </c>
      <c r="G151" t="s">
        <v>134</v>
      </c>
      <c r="H151" t="s">
        <v>81</v>
      </c>
      <c r="I151" t="s">
        <v>9</v>
      </c>
      <c r="L151" t="s">
        <v>161</v>
      </c>
      <c r="M151">
        <v>-150016945.13999999</v>
      </c>
    </row>
    <row r="152" spans="1:13" x14ac:dyDescent="0.3">
      <c r="A152" s="23">
        <v>45510</v>
      </c>
      <c r="B152" t="s">
        <v>12</v>
      </c>
      <c r="C152" t="s">
        <v>132</v>
      </c>
      <c r="D152" t="s">
        <v>17</v>
      </c>
      <c r="E152" t="s">
        <v>136</v>
      </c>
      <c r="F152">
        <v>349863574</v>
      </c>
      <c r="G152" t="s">
        <v>134</v>
      </c>
      <c r="H152" t="s">
        <v>81</v>
      </c>
      <c r="I152" t="s">
        <v>9</v>
      </c>
      <c r="L152" t="s">
        <v>161</v>
      </c>
      <c r="M152">
        <v>-349863574</v>
      </c>
    </row>
    <row r="153" spans="1:13" x14ac:dyDescent="0.3">
      <c r="A153" s="23">
        <v>45510</v>
      </c>
      <c r="B153" t="s">
        <v>12</v>
      </c>
      <c r="C153" t="s">
        <v>132</v>
      </c>
      <c r="D153" t="s">
        <v>16</v>
      </c>
      <c r="E153" t="s">
        <v>136</v>
      </c>
      <c r="F153">
        <v>153572175</v>
      </c>
      <c r="G153" t="s">
        <v>134</v>
      </c>
      <c r="H153" t="s">
        <v>81</v>
      </c>
      <c r="I153" t="s">
        <v>9</v>
      </c>
      <c r="L153" t="s">
        <v>161</v>
      </c>
      <c r="M153">
        <v>153572175</v>
      </c>
    </row>
    <row r="154" spans="1:13" x14ac:dyDescent="0.3">
      <c r="A154" s="23">
        <v>45008</v>
      </c>
      <c r="B154" t="s">
        <v>12</v>
      </c>
      <c r="C154" t="s">
        <v>132</v>
      </c>
      <c r="D154" t="s">
        <v>17</v>
      </c>
      <c r="E154" t="s">
        <v>136</v>
      </c>
      <c r="F154">
        <v>150000000</v>
      </c>
      <c r="G154" t="s">
        <v>134</v>
      </c>
      <c r="H154" t="s">
        <v>81</v>
      </c>
      <c r="I154" t="s">
        <v>9</v>
      </c>
      <c r="L154" t="s">
        <v>161</v>
      </c>
      <c r="M154">
        <v>-150000000</v>
      </c>
    </row>
    <row r="155" spans="1:13" x14ac:dyDescent="0.3">
      <c r="A155" s="23">
        <v>45509</v>
      </c>
      <c r="B155" t="s">
        <v>12</v>
      </c>
      <c r="C155" t="s">
        <v>132</v>
      </c>
      <c r="D155" t="s">
        <v>17</v>
      </c>
      <c r="E155" t="s">
        <v>136</v>
      </c>
      <c r="F155">
        <v>395445996.13</v>
      </c>
      <c r="G155" t="s">
        <v>134</v>
      </c>
      <c r="H155" t="s">
        <v>81</v>
      </c>
      <c r="I155" t="s">
        <v>9</v>
      </c>
      <c r="L155" t="s">
        <v>161</v>
      </c>
      <c r="M155">
        <v>-395445996.13</v>
      </c>
    </row>
    <row r="156" spans="1:13" x14ac:dyDescent="0.3">
      <c r="A156" s="23">
        <v>45509</v>
      </c>
      <c r="B156" t="s">
        <v>12</v>
      </c>
      <c r="C156" t="s">
        <v>132</v>
      </c>
      <c r="D156" t="s">
        <v>16</v>
      </c>
      <c r="E156" t="s">
        <v>136</v>
      </c>
      <c r="F156">
        <v>400000000</v>
      </c>
      <c r="G156" t="s">
        <v>134</v>
      </c>
      <c r="H156" t="s">
        <v>81</v>
      </c>
      <c r="I156" t="s">
        <v>9</v>
      </c>
      <c r="L156" t="s">
        <v>161</v>
      </c>
      <c r="M156">
        <v>400000000</v>
      </c>
    </row>
    <row r="157" spans="1:13" x14ac:dyDescent="0.3">
      <c r="A157" s="23">
        <v>45013</v>
      </c>
      <c r="B157" t="s">
        <v>12</v>
      </c>
      <c r="C157" t="s">
        <v>132</v>
      </c>
      <c r="D157" t="s">
        <v>16</v>
      </c>
      <c r="E157" t="s">
        <v>136</v>
      </c>
      <c r="F157">
        <v>200000000</v>
      </c>
      <c r="G157" t="s">
        <v>134</v>
      </c>
      <c r="H157" t="s">
        <v>81</v>
      </c>
      <c r="I157" t="s">
        <v>9</v>
      </c>
      <c r="L157" t="s">
        <v>161</v>
      </c>
      <c r="M157">
        <v>200000000</v>
      </c>
    </row>
    <row r="158" spans="1:13" x14ac:dyDescent="0.3">
      <c r="A158" s="23">
        <v>45505</v>
      </c>
      <c r="B158" t="s">
        <v>12</v>
      </c>
      <c r="C158" t="s">
        <v>132</v>
      </c>
      <c r="D158" t="s">
        <v>16</v>
      </c>
      <c r="E158" t="s">
        <v>136</v>
      </c>
      <c r="F158">
        <v>50646400</v>
      </c>
      <c r="G158" t="s">
        <v>134</v>
      </c>
      <c r="H158" t="s">
        <v>81</v>
      </c>
      <c r="I158" t="s">
        <v>9</v>
      </c>
      <c r="L158" t="s">
        <v>161</v>
      </c>
      <c r="M158">
        <v>50646400</v>
      </c>
    </row>
    <row r="159" spans="1:13" x14ac:dyDescent="0.3">
      <c r="A159" s="23">
        <v>45504</v>
      </c>
      <c r="B159" t="s">
        <v>12</v>
      </c>
      <c r="C159" t="s">
        <v>132</v>
      </c>
      <c r="D159" t="s">
        <v>16</v>
      </c>
      <c r="E159" t="s">
        <v>136</v>
      </c>
      <c r="F159">
        <v>18917000</v>
      </c>
      <c r="G159" t="s">
        <v>134</v>
      </c>
      <c r="H159" t="s">
        <v>81</v>
      </c>
      <c r="I159" t="s">
        <v>9</v>
      </c>
      <c r="L159" t="s">
        <v>161</v>
      </c>
      <c r="M159">
        <v>18917000</v>
      </c>
    </row>
    <row r="160" spans="1:13" x14ac:dyDescent="0.3">
      <c r="A160" s="23">
        <v>45015</v>
      </c>
      <c r="B160" t="s">
        <v>12</v>
      </c>
      <c r="C160" t="s">
        <v>132</v>
      </c>
      <c r="D160" t="s">
        <v>17</v>
      </c>
      <c r="E160" t="s">
        <v>136</v>
      </c>
      <c r="F160">
        <v>150000000</v>
      </c>
      <c r="G160" t="s">
        <v>134</v>
      </c>
      <c r="H160" t="s">
        <v>81</v>
      </c>
      <c r="I160" t="s">
        <v>9</v>
      </c>
      <c r="L160" t="s">
        <v>161</v>
      </c>
      <c r="M160">
        <v>-150000000</v>
      </c>
    </row>
    <row r="161" spans="1:13" x14ac:dyDescent="0.3">
      <c r="A161" s="23">
        <v>45491</v>
      </c>
      <c r="B161" t="s">
        <v>12</v>
      </c>
      <c r="C161" t="s">
        <v>132</v>
      </c>
      <c r="D161" t="s">
        <v>16</v>
      </c>
      <c r="E161" t="s">
        <v>136</v>
      </c>
      <c r="F161">
        <v>19426675</v>
      </c>
      <c r="G161" t="s">
        <v>134</v>
      </c>
      <c r="H161" t="s">
        <v>81</v>
      </c>
      <c r="I161" t="s">
        <v>9</v>
      </c>
      <c r="L161" t="s">
        <v>161</v>
      </c>
      <c r="M161">
        <v>19426675</v>
      </c>
    </row>
    <row r="162" spans="1:13" x14ac:dyDescent="0.3">
      <c r="A162" s="23">
        <v>45490</v>
      </c>
      <c r="B162" t="s">
        <v>12</v>
      </c>
      <c r="C162" t="s">
        <v>132</v>
      </c>
      <c r="D162" t="s">
        <v>16</v>
      </c>
      <c r="E162" t="s">
        <v>136</v>
      </c>
      <c r="F162">
        <v>112817732</v>
      </c>
      <c r="G162" t="s">
        <v>134</v>
      </c>
      <c r="H162" t="s">
        <v>81</v>
      </c>
      <c r="I162" t="s">
        <v>9</v>
      </c>
      <c r="L162" t="s">
        <v>161</v>
      </c>
      <c r="M162">
        <v>112817732</v>
      </c>
    </row>
    <row r="163" spans="1:13" x14ac:dyDescent="0.3">
      <c r="A163" s="23">
        <v>45489</v>
      </c>
      <c r="B163" t="s">
        <v>12</v>
      </c>
      <c r="C163" t="s">
        <v>132</v>
      </c>
      <c r="D163" t="s">
        <v>17</v>
      </c>
      <c r="E163" t="s">
        <v>136</v>
      </c>
      <c r="F163">
        <v>62576572.939999998</v>
      </c>
      <c r="G163" t="s">
        <v>134</v>
      </c>
      <c r="H163" t="s">
        <v>81</v>
      </c>
      <c r="I163" t="s">
        <v>9</v>
      </c>
      <c r="L163" t="s">
        <v>161</v>
      </c>
      <c r="M163">
        <v>-62576572.939999998</v>
      </c>
    </row>
    <row r="164" spans="1:13" x14ac:dyDescent="0.3">
      <c r="A164" s="23">
        <v>45478</v>
      </c>
      <c r="B164" t="s">
        <v>12</v>
      </c>
      <c r="C164" t="s">
        <v>132</v>
      </c>
      <c r="D164" t="s">
        <v>16</v>
      </c>
      <c r="E164" t="s">
        <v>136</v>
      </c>
      <c r="F164">
        <v>69246900</v>
      </c>
      <c r="G164" t="s">
        <v>134</v>
      </c>
      <c r="H164" t="s">
        <v>81</v>
      </c>
      <c r="I164" t="s">
        <v>9</v>
      </c>
      <c r="L164" t="s">
        <v>161</v>
      </c>
      <c r="M164">
        <v>69246900</v>
      </c>
    </row>
    <row r="165" spans="1:13" x14ac:dyDescent="0.3">
      <c r="A165" s="23">
        <v>45469</v>
      </c>
      <c r="B165" t="s">
        <v>12</v>
      </c>
      <c r="C165" t="s">
        <v>132</v>
      </c>
      <c r="D165" t="s">
        <v>16</v>
      </c>
      <c r="E165" t="s">
        <v>136</v>
      </c>
      <c r="G165" t="s">
        <v>134</v>
      </c>
      <c r="H165" t="s">
        <v>81</v>
      </c>
      <c r="I165" t="s">
        <v>9</v>
      </c>
      <c r="L165" t="s">
        <v>161</v>
      </c>
      <c r="M165">
        <v>0</v>
      </c>
    </row>
    <row r="166" spans="1:13" x14ac:dyDescent="0.3">
      <c r="A166" s="23">
        <v>45468</v>
      </c>
      <c r="B166" t="s">
        <v>12</v>
      </c>
      <c r="C166" t="s">
        <v>132</v>
      </c>
      <c r="D166" t="s">
        <v>16</v>
      </c>
      <c r="E166" t="s">
        <v>136</v>
      </c>
      <c r="F166">
        <v>73117200</v>
      </c>
      <c r="G166" t="s">
        <v>134</v>
      </c>
      <c r="H166" t="s">
        <v>81</v>
      </c>
      <c r="I166" t="s">
        <v>9</v>
      </c>
      <c r="L166" t="s">
        <v>161</v>
      </c>
      <c r="M166">
        <v>73117200</v>
      </c>
    </row>
    <row r="167" spans="1:13" x14ac:dyDescent="0.3">
      <c r="A167" s="23">
        <v>45055</v>
      </c>
      <c r="B167" t="s">
        <v>12</v>
      </c>
      <c r="C167" t="s">
        <v>132</v>
      </c>
      <c r="D167" t="s">
        <v>17</v>
      </c>
      <c r="E167" t="s">
        <v>136</v>
      </c>
      <c r="F167">
        <v>200000000</v>
      </c>
      <c r="G167" t="s">
        <v>134</v>
      </c>
      <c r="H167" t="s">
        <v>81</v>
      </c>
      <c r="I167" t="s">
        <v>9</v>
      </c>
      <c r="L167" t="s">
        <v>161</v>
      </c>
      <c r="M167">
        <v>-200000000</v>
      </c>
    </row>
    <row r="168" spans="1:13" x14ac:dyDescent="0.3">
      <c r="A168" s="23">
        <v>45467</v>
      </c>
      <c r="B168" t="s">
        <v>12</v>
      </c>
      <c r="C168" t="s">
        <v>132</v>
      </c>
      <c r="D168" t="s">
        <v>16</v>
      </c>
      <c r="E168" t="s">
        <v>136</v>
      </c>
      <c r="G168" t="s">
        <v>134</v>
      </c>
      <c r="H168" t="s">
        <v>81</v>
      </c>
      <c r="I168" t="s">
        <v>9</v>
      </c>
      <c r="L168" t="s">
        <v>161</v>
      </c>
      <c r="M168">
        <v>0</v>
      </c>
    </row>
    <row r="169" spans="1:13" x14ac:dyDescent="0.3">
      <c r="A169" s="23">
        <v>45461</v>
      </c>
      <c r="B169" t="s">
        <v>12</v>
      </c>
      <c r="C169" t="s">
        <v>132</v>
      </c>
      <c r="D169" t="s">
        <v>17</v>
      </c>
      <c r="E169" t="s">
        <v>136</v>
      </c>
      <c r="F169">
        <v>580942732</v>
      </c>
      <c r="G169" t="s">
        <v>134</v>
      </c>
      <c r="H169" t="s">
        <v>81</v>
      </c>
      <c r="I169" t="s">
        <v>9</v>
      </c>
      <c r="L169" t="s">
        <v>161</v>
      </c>
      <c r="M169">
        <v>-580942732</v>
      </c>
    </row>
    <row r="170" spans="1:13" x14ac:dyDescent="0.3">
      <c r="A170" s="23">
        <v>45056</v>
      </c>
      <c r="B170" t="s">
        <v>12</v>
      </c>
      <c r="C170" t="s">
        <v>132</v>
      </c>
      <c r="D170" t="s">
        <v>16</v>
      </c>
      <c r="E170" t="s">
        <v>136</v>
      </c>
      <c r="F170">
        <v>324926941.16000003</v>
      </c>
      <c r="G170" t="s">
        <v>134</v>
      </c>
      <c r="H170" t="s">
        <v>81</v>
      </c>
      <c r="I170" t="s">
        <v>9</v>
      </c>
      <c r="L170" t="s">
        <v>161</v>
      </c>
      <c r="M170">
        <v>324926941.16000003</v>
      </c>
    </row>
    <row r="171" spans="1:13" x14ac:dyDescent="0.3">
      <c r="A171" s="23">
        <v>45460</v>
      </c>
      <c r="B171" t="s">
        <v>12</v>
      </c>
      <c r="C171" t="s">
        <v>132</v>
      </c>
      <c r="D171" t="s">
        <v>16</v>
      </c>
      <c r="E171" t="s">
        <v>136</v>
      </c>
      <c r="F171">
        <v>17380000</v>
      </c>
      <c r="G171" t="s">
        <v>134</v>
      </c>
      <c r="H171" t="s">
        <v>81</v>
      </c>
      <c r="I171" t="s">
        <v>9</v>
      </c>
      <c r="L171" t="s">
        <v>161</v>
      </c>
      <c r="M171">
        <v>17380000</v>
      </c>
    </row>
    <row r="172" spans="1:13" x14ac:dyDescent="0.3">
      <c r="A172" s="23">
        <v>45457</v>
      </c>
      <c r="B172" t="s">
        <v>12</v>
      </c>
      <c r="C172" t="s">
        <v>132</v>
      </c>
      <c r="D172" t="s">
        <v>17</v>
      </c>
      <c r="E172" t="s">
        <v>136</v>
      </c>
      <c r="F172">
        <v>666934161</v>
      </c>
      <c r="G172" t="s">
        <v>134</v>
      </c>
      <c r="H172" t="s">
        <v>81</v>
      </c>
      <c r="I172" t="s">
        <v>9</v>
      </c>
      <c r="L172" t="s">
        <v>161</v>
      </c>
      <c r="M172">
        <v>-666934161</v>
      </c>
    </row>
    <row r="173" spans="1:13" x14ac:dyDescent="0.3">
      <c r="A173" s="23">
        <v>45058</v>
      </c>
      <c r="B173" t="s">
        <v>12</v>
      </c>
      <c r="C173" t="s">
        <v>132</v>
      </c>
      <c r="D173" t="s">
        <v>17</v>
      </c>
      <c r="E173" t="s">
        <v>136</v>
      </c>
      <c r="F173">
        <v>324926941.16000003</v>
      </c>
      <c r="G173" t="s">
        <v>134</v>
      </c>
      <c r="H173" t="s">
        <v>81</v>
      </c>
      <c r="I173" t="s">
        <v>9</v>
      </c>
      <c r="L173" t="s">
        <v>161</v>
      </c>
      <c r="M173">
        <v>-324926941.16000003</v>
      </c>
    </row>
    <row r="174" spans="1:13" x14ac:dyDescent="0.3">
      <c r="A174" s="23">
        <v>45457</v>
      </c>
      <c r="B174" t="s">
        <v>12</v>
      </c>
      <c r="C174" t="s">
        <v>132</v>
      </c>
      <c r="D174" t="s">
        <v>16</v>
      </c>
      <c r="E174" t="s">
        <v>136</v>
      </c>
      <c r="F174">
        <v>500000000</v>
      </c>
      <c r="G174" t="s">
        <v>134</v>
      </c>
      <c r="H174" t="s">
        <v>81</v>
      </c>
      <c r="I174" t="s">
        <v>9</v>
      </c>
      <c r="L174" t="s">
        <v>161</v>
      </c>
      <c r="M174">
        <v>500000000</v>
      </c>
    </row>
    <row r="175" spans="1:13" x14ac:dyDescent="0.3">
      <c r="A175" s="23">
        <v>45456</v>
      </c>
      <c r="B175" t="s">
        <v>12</v>
      </c>
      <c r="C175" t="s">
        <v>132</v>
      </c>
      <c r="D175" t="s">
        <v>16</v>
      </c>
      <c r="E175" t="s">
        <v>136</v>
      </c>
      <c r="F175">
        <v>500000000</v>
      </c>
      <c r="G175" t="s">
        <v>134</v>
      </c>
      <c r="H175" t="s">
        <v>81</v>
      </c>
      <c r="I175" t="s">
        <v>9</v>
      </c>
      <c r="L175" t="s">
        <v>161</v>
      </c>
      <c r="M175">
        <v>500000000</v>
      </c>
    </row>
    <row r="176" spans="1:13" x14ac:dyDescent="0.3">
      <c r="A176" s="23">
        <v>45455</v>
      </c>
      <c r="B176" t="s">
        <v>12</v>
      </c>
      <c r="C176" t="s">
        <v>132</v>
      </c>
      <c r="D176" t="s">
        <v>16</v>
      </c>
      <c r="E176" t="s">
        <v>136</v>
      </c>
      <c r="F176">
        <v>121163150</v>
      </c>
      <c r="G176" t="s">
        <v>134</v>
      </c>
      <c r="H176" t="s">
        <v>81</v>
      </c>
      <c r="I176" t="s">
        <v>9</v>
      </c>
      <c r="L176" t="s">
        <v>161</v>
      </c>
      <c r="M176">
        <v>121163150</v>
      </c>
    </row>
    <row r="177" spans="1:13" x14ac:dyDescent="0.3">
      <c r="A177" s="23">
        <v>45455</v>
      </c>
      <c r="B177" t="s">
        <v>12</v>
      </c>
      <c r="C177" t="s">
        <v>132</v>
      </c>
      <c r="D177" t="s">
        <v>17</v>
      </c>
      <c r="E177" t="s">
        <v>136</v>
      </c>
      <c r="F177">
        <v>339812469</v>
      </c>
      <c r="G177" t="s">
        <v>134</v>
      </c>
      <c r="H177" t="s">
        <v>81</v>
      </c>
      <c r="I177" t="s">
        <v>9</v>
      </c>
      <c r="L177" t="s">
        <v>161</v>
      </c>
      <c r="M177">
        <v>-339812469</v>
      </c>
    </row>
    <row r="178" spans="1:13" x14ac:dyDescent="0.3">
      <c r="A178" s="23">
        <v>45069</v>
      </c>
      <c r="B178" t="s">
        <v>12</v>
      </c>
      <c r="C178" t="s">
        <v>132</v>
      </c>
      <c r="D178" t="s">
        <v>16</v>
      </c>
      <c r="E178" t="s">
        <v>136</v>
      </c>
      <c r="F178">
        <v>240215037.04999998</v>
      </c>
      <c r="G178" t="s">
        <v>134</v>
      </c>
      <c r="H178" t="s">
        <v>81</v>
      </c>
      <c r="I178" t="s">
        <v>9</v>
      </c>
      <c r="L178" t="s">
        <v>161</v>
      </c>
      <c r="M178">
        <v>240215037.05000001</v>
      </c>
    </row>
    <row r="179" spans="1:13" x14ac:dyDescent="0.3">
      <c r="A179" s="23">
        <v>45070</v>
      </c>
      <c r="B179" t="s">
        <v>12</v>
      </c>
      <c r="C179" t="s">
        <v>132</v>
      </c>
      <c r="D179" t="s">
        <v>17</v>
      </c>
      <c r="E179" t="s">
        <v>136</v>
      </c>
      <c r="F179">
        <v>82300000</v>
      </c>
      <c r="G179" t="s">
        <v>134</v>
      </c>
      <c r="H179" t="s">
        <v>81</v>
      </c>
      <c r="I179" t="s">
        <v>9</v>
      </c>
      <c r="L179" t="s">
        <v>161</v>
      </c>
      <c r="M179">
        <v>-82300000</v>
      </c>
    </row>
    <row r="180" spans="1:13" x14ac:dyDescent="0.3">
      <c r="A180" s="23">
        <v>45447</v>
      </c>
      <c r="B180" t="s">
        <v>12</v>
      </c>
      <c r="C180" t="s">
        <v>132</v>
      </c>
      <c r="D180" t="s">
        <v>16</v>
      </c>
      <c r="E180" t="s">
        <v>136</v>
      </c>
      <c r="F180">
        <v>131039973</v>
      </c>
      <c r="G180" t="s">
        <v>134</v>
      </c>
      <c r="H180" t="s">
        <v>81</v>
      </c>
      <c r="I180" t="s">
        <v>9</v>
      </c>
      <c r="L180" t="s">
        <v>161</v>
      </c>
      <c r="M180">
        <v>131039973</v>
      </c>
    </row>
    <row r="181" spans="1:13" x14ac:dyDescent="0.3">
      <c r="A181" s="23">
        <v>45075</v>
      </c>
      <c r="B181" t="s">
        <v>12</v>
      </c>
      <c r="C181" t="s">
        <v>132</v>
      </c>
      <c r="D181" t="s">
        <v>17</v>
      </c>
      <c r="E181" t="s">
        <v>136</v>
      </c>
      <c r="F181">
        <v>120000000</v>
      </c>
      <c r="G181" t="s">
        <v>134</v>
      </c>
      <c r="H181" t="s">
        <v>81</v>
      </c>
      <c r="I181" t="s">
        <v>9</v>
      </c>
      <c r="L181" t="s">
        <v>161</v>
      </c>
      <c r="M181">
        <v>-120000000</v>
      </c>
    </row>
    <row r="182" spans="1:13" x14ac:dyDescent="0.3">
      <c r="A182" s="23">
        <v>45077</v>
      </c>
      <c r="B182" t="s">
        <v>12</v>
      </c>
      <c r="C182" t="s">
        <v>132</v>
      </c>
      <c r="D182" t="s">
        <v>17</v>
      </c>
      <c r="E182" t="s">
        <v>136</v>
      </c>
      <c r="F182">
        <v>22500000</v>
      </c>
      <c r="G182" t="s">
        <v>134</v>
      </c>
      <c r="H182" t="s">
        <v>81</v>
      </c>
      <c r="I182" t="s">
        <v>9</v>
      </c>
      <c r="L182" t="s">
        <v>161</v>
      </c>
      <c r="M182">
        <v>-22500000</v>
      </c>
    </row>
    <row r="183" spans="1:13" x14ac:dyDescent="0.3">
      <c r="A183" s="23">
        <v>45077</v>
      </c>
      <c r="B183" t="s">
        <v>12</v>
      </c>
      <c r="C183" t="s">
        <v>132</v>
      </c>
      <c r="D183" t="s">
        <v>16</v>
      </c>
      <c r="E183" t="s">
        <v>136</v>
      </c>
      <c r="F183">
        <v>99896900</v>
      </c>
      <c r="G183" t="s">
        <v>134</v>
      </c>
      <c r="H183" t="s">
        <v>81</v>
      </c>
      <c r="I183" t="s">
        <v>9</v>
      </c>
      <c r="L183" t="s">
        <v>161</v>
      </c>
      <c r="M183">
        <v>99896900</v>
      </c>
    </row>
    <row r="184" spans="1:13" x14ac:dyDescent="0.3">
      <c r="A184" s="23">
        <v>45442</v>
      </c>
      <c r="B184" t="s">
        <v>12</v>
      </c>
      <c r="C184" t="s">
        <v>132</v>
      </c>
      <c r="D184" t="s">
        <v>16</v>
      </c>
      <c r="E184" t="s">
        <v>136</v>
      </c>
      <c r="F184">
        <v>51667200</v>
      </c>
      <c r="G184" t="s">
        <v>134</v>
      </c>
      <c r="H184" t="s">
        <v>81</v>
      </c>
      <c r="I184" t="s">
        <v>9</v>
      </c>
      <c r="L184" t="s">
        <v>161</v>
      </c>
      <c r="M184">
        <v>51667200</v>
      </c>
    </row>
    <row r="185" spans="1:13" x14ac:dyDescent="0.3">
      <c r="A185" s="23">
        <v>45078</v>
      </c>
      <c r="B185" t="s">
        <v>12</v>
      </c>
      <c r="C185" t="s">
        <v>132</v>
      </c>
      <c r="D185" t="s">
        <v>17</v>
      </c>
      <c r="E185" t="s">
        <v>136</v>
      </c>
      <c r="F185">
        <v>115311937.05000001</v>
      </c>
      <c r="G185" t="s">
        <v>134</v>
      </c>
      <c r="H185" t="s">
        <v>81</v>
      </c>
      <c r="I185" t="s">
        <v>9</v>
      </c>
      <c r="L185" t="s">
        <v>161</v>
      </c>
      <c r="M185">
        <v>-115311937.05</v>
      </c>
    </row>
    <row r="186" spans="1:13" x14ac:dyDescent="0.3">
      <c r="A186" s="23">
        <v>45440</v>
      </c>
      <c r="B186" t="s">
        <v>12</v>
      </c>
      <c r="C186" t="s">
        <v>132</v>
      </c>
      <c r="D186" t="s">
        <v>16</v>
      </c>
      <c r="E186" t="s">
        <v>136</v>
      </c>
      <c r="F186">
        <v>86973064</v>
      </c>
      <c r="G186" t="s">
        <v>134</v>
      </c>
      <c r="H186" t="s">
        <v>81</v>
      </c>
      <c r="I186" t="s">
        <v>9</v>
      </c>
      <c r="L186" t="s">
        <v>161</v>
      </c>
      <c r="M186">
        <v>86973064</v>
      </c>
    </row>
    <row r="187" spans="1:13" x14ac:dyDescent="0.3">
      <c r="A187" s="23">
        <v>45083</v>
      </c>
      <c r="B187" t="s">
        <v>12</v>
      </c>
      <c r="C187" t="s">
        <v>132</v>
      </c>
      <c r="D187" t="s">
        <v>16</v>
      </c>
      <c r="E187" t="s">
        <v>136</v>
      </c>
      <c r="F187">
        <v>50091378.450000003</v>
      </c>
      <c r="G187" t="s">
        <v>134</v>
      </c>
      <c r="H187" t="s">
        <v>81</v>
      </c>
      <c r="I187" t="s">
        <v>9</v>
      </c>
      <c r="L187" t="s">
        <v>161</v>
      </c>
      <c r="M187">
        <v>50091378.450000003</v>
      </c>
    </row>
    <row r="188" spans="1:13" x14ac:dyDescent="0.3">
      <c r="A188" s="23">
        <v>45084</v>
      </c>
      <c r="B188" t="s">
        <v>12</v>
      </c>
      <c r="C188" t="s">
        <v>132</v>
      </c>
      <c r="D188" t="s">
        <v>17</v>
      </c>
      <c r="E188" t="s">
        <v>136</v>
      </c>
      <c r="F188">
        <v>31000000</v>
      </c>
      <c r="G188" t="s">
        <v>134</v>
      </c>
      <c r="H188" t="s">
        <v>81</v>
      </c>
      <c r="I188" t="s">
        <v>9</v>
      </c>
      <c r="L188" t="s">
        <v>161</v>
      </c>
      <c r="M188">
        <v>-31000000</v>
      </c>
    </row>
    <row r="189" spans="1:13" x14ac:dyDescent="0.3">
      <c r="A189" s="23">
        <v>45084</v>
      </c>
      <c r="B189" t="s">
        <v>12</v>
      </c>
      <c r="C189" t="s">
        <v>132</v>
      </c>
      <c r="D189" t="s">
        <v>17</v>
      </c>
      <c r="E189" t="s">
        <v>136</v>
      </c>
      <c r="F189">
        <v>19091378.449999988</v>
      </c>
      <c r="G189" t="s">
        <v>134</v>
      </c>
      <c r="H189" t="s">
        <v>81</v>
      </c>
      <c r="I189" t="s">
        <v>9</v>
      </c>
      <c r="L189" t="s">
        <v>161</v>
      </c>
      <c r="M189">
        <v>-19091378.449999999</v>
      </c>
    </row>
    <row r="190" spans="1:13" x14ac:dyDescent="0.3">
      <c r="A190" s="23">
        <v>45433</v>
      </c>
      <c r="B190" t="s">
        <v>12</v>
      </c>
      <c r="C190" t="s">
        <v>132</v>
      </c>
      <c r="D190" t="s">
        <v>17</v>
      </c>
      <c r="E190" t="s">
        <v>136</v>
      </c>
      <c r="F190">
        <v>70726462</v>
      </c>
      <c r="G190" t="s">
        <v>134</v>
      </c>
      <c r="H190" t="s">
        <v>81</v>
      </c>
      <c r="I190" t="s">
        <v>9</v>
      </c>
      <c r="L190" t="s">
        <v>161</v>
      </c>
      <c r="M190">
        <v>-70726462</v>
      </c>
    </row>
    <row r="191" spans="1:13" x14ac:dyDescent="0.3">
      <c r="A191" s="23">
        <v>45433</v>
      </c>
      <c r="B191" t="s">
        <v>12</v>
      </c>
      <c r="C191" t="s">
        <v>132</v>
      </c>
      <c r="D191" t="s">
        <v>17</v>
      </c>
      <c r="E191" t="s">
        <v>136</v>
      </c>
      <c r="F191">
        <v>96437807</v>
      </c>
      <c r="G191" t="s">
        <v>134</v>
      </c>
      <c r="H191" t="s">
        <v>81</v>
      </c>
      <c r="I191" t="s">
        <v>9</v>
      </c>
      <c r="L191" t="s">
        <v>161</v>
      </c>
      <c r="M191">
        <v>-96437807</v>
      </c>
    </row>
    <row r="192" spans="1:13" x14ac:dyDescent="0.3">
      <c r="A192" s="23">
        <v>45428</v>
      </c>
      <c r="B192" t="s">
        <v>12</v>
      </c>
      <c r="C192" t="s">
        <v>132</v>
      </c>
      <c r="D192" t="s">
        <v>16</v>
      </c>
      <c r="E192" t="s">
        <v>136</v>
      </c>
      <c r="F192">
        <v>81959575</v>
      </c>
      <c r="G192" t="s">
        <v>134</v>
      </c>
      <c r="H192" t="s">
        <v>81</v>
      </c>
      <c r="I192" t="s">
        <v>9</v>
      </c>
      <c r="L192" t="s">
        <v>161</v>
      </c>
      <c r="M192">
        <v>81959575</v>
      </c>
    </row>
    <row r="193" spans="1:13" x14ac:dyDescent="0.3">
      <c r="A193" s="23">
        <v>45428</v>
      </c>
      <c r="B193" t="s">
        <v>12</v>
      </c>
      <c r="C193" t="s">
        <v>132</v>
      </c>
      <c r="D193" t="s">
        <v>17</v>
      </c>
      <c r="E193" t="s">
        <v>136</v>
      </c>
      <c r="F193">
        <v>26994273</v>
      </c>
      <c r="G193" t="s">
        <v>134</v>
      </c>
      <c r="H193" t="s">
        <v>81</v>
      </c>
      <c r="I193" t="s">
        <v>9</v>
      </c>
      <c r="L193" t="s">
        <v>161</v>
      </c>
      <c r="M193">
        <v>-26994273</v>
      </c>
    </row>
    <row r="194" spans="1:13" x14ac:dyDescent="0.3">
      <c r="A194" s="23">
        <v>45427</v>
      </c>
      <c r="B194" t="s">
        <v>12</v>
      </c>
      <c r="C194" t="s">
        <v>132</v>
      </c>
      <c r="D194" t="s">
        <v>16</v>
      </c>
      <c r="E194" t="s">
        <v>136</v>
      </c>
      <c r="F194">
        <v>300000000</v>
      </c>
      <c r="G194" t="s">
        <v>134</v>
      </c>
      <c r="H194" t="s">
        <v>81</v>
      </c>
      <c r="I194" t="s">
        <v>9</v>
      </c>
      <c r="L194" t="s">
        <v>161</v>
      </c>
      <c r="M194">
        <v>300000000</v>
      </c>
    </row>
    <row r="195" spans="1:13" x14ac:dyDescent="0.3">
      <c r="A195" s="23">
        <v>45426</v>
      </c>
      <c r="B195" t="s">
        <v>12</v>
      </c>
      <c r="C195" t="s">
        <v>132</v>
      </c>
      <c r="D195" t="s">
        <v>17</v>
      </c>
      <c r="E195" t="s">
        <v>136</v>
      </c>
      <c r="F195">
        <v>978668240</v>
      </c>
      <c r="G195" t="s">
        <v>134</v>
      </c>
      <c r="H195" t="s">
        <v>81</v>
      </c>
      <c r="I195" t="s">
        <v>9</v>
      </c>
      <c r="L195" t="s">
        <v>161</v>
      </c>
      <c r="M195">
        <v>-978668240</v>
      </c>
    </row>
    <row r="196" spans="1:13" x14ac:dyDescent="0.3">
      <c r="A196" s="23">
        <v>45099</v>
      </c>
      <c r="B196" t="s">
        <v>12</v>
      </c>
      <c r="C196" t="s">
        <v>132</v>
      </c>
      <c r="D196" t="s">
        <v>16</v>
      </c>
      <c r="E196" t="s">
        <v>136</v>
      </c>
      <c r="F196">
        <v>215000000</v>
      </c>
      <c r="G196" t="s">
        <v>134</v>
      </c>
      <c r="H196" t="s">
        <v>81</v>
      </c>
      <c r="I196" t="s">
        <v>9</v>
      </c>
      <c r="L196" t="s">
        <v>161</v>
      </c>
      <c r="M196">
        <v>215000000</v>
      </c>
    </row>
    <row r="197" spans="1:13" x14ac:dyDescent="0.3">
      <c r="A197" s="23">
        <v>45425</v>
      </c>
      <c r="B197" t="s">
        <v>12</v>
      </c>
      <c r="C197" t="s">
        <v>132</v>
      </c>
      <c r="D197" t="s">
        <v>17</v>
      </c>
      <c r="E197" t="s">
        <v>136</v>
      </c>
      <c r="F197">
        <v>884127000</v>
      </c>
      <c r="G197" t="s">
        <v>134</v>
      </c>
      <c r="H197" t="s">
        <v>81</v>
      </c>
      <c r="I197" t="s">
        <v>9</v>
      </c>
      <c r="L197" t="s">
        <v>161</v>
      </c>
      <c r="M197">
        <v>-884127000</v>
      </c>
    </row>
    <row r="198" spans="1:13" x14ac:dyDescent="0.3">
      <c r="A198" s="23">
        <v>45100</v>
      </c>
      <c r="B198" t="s">
        <v>12</v>
      </c>
      <c r="C198" t="s">
        <v>132</v>
      </c>
      <c r="D198" t="s">
        <v>17</v>
      </c>
      <c r="E198" t="s">
        <v>136</v>
      </c>
      <c r="F198">
        <v>212500000</v>
      </c>
      <c r="G198" t="s">
        <v>134</v>
      </c>
      <c r="H198" t="s">
        <v>81</v>
      </c>
      <c r="I198" t="s">
        <v>9</v>
      </c>
      <c r="L198" t="s">
        <v>161</v>
      </c>
      <c r="M198">
        <v>-212500000</v>
      </c>
    </row>
    <row r="199" spans="1:13" x14ac:dyDescent="0.3">
      <c r="A199" s="23">
        <v>45425</v>
      </c>
      <c r="B199" t="s">
        <v>12</v>
      </c>
      <c r="C199" t="s">
        <v>132</v>
      </c>
      <c r="D199" t="s">
        <v>16</v>
      </c>
      <c r="E199" t="s">
        <v>136</v>
      </c>
      <c r="F199">
        <v>800000000</v>
      </c>
      <c r="G199" t="s">
        <v>134</v>
      </c>
      <c r="H199" t="s">
        <v>81</v>
      </c>
      <c r="I199" t="s">
        <v>9</v>
      </c>
      <c r="L199" t="s">
        <v>161</v>
      </c>
      <c r="M199">
        <v>800000000</v>
      </c>
    </row>
    <row r="200" spans="1:13" x14ac:dyDescent="0.3">
      <c r="A200" s="23">
        <v>45103</v>
      </c>
      <c r="B200" t="s">
        <v>12</v>
      </c>
      <c r="C200" t="s">
        <v>132</v>
      </c>
      <c r="D200" t="s">
        <v>16</v>
      </c>
      <c r="E200" t="s">
        <v>136</v>
      </c>
      <c r="F200">
        <v>110000000</v>
      </c>
      <c r="G200" t="s">
        <v>134</v>
      </c>
      <c r="H200" t="s">
        <v>81</v>
      </c>
      <c r="I200" t="s">
        <v>9</v>
      </c>
      <c r="L200" t="s">
        <v>161</v>
      </c>
      <c r="M200">
        <v>110000000</v>
      </c>
    </row>
    <row r="201" spans="1:13" x14ac:dyDescent="0.3">
      <c r="A201" s="23">
        <v>45425</v>
      </c>
      <c r="B201" t="s">
        <v>12</v>
      </c>
      <c r="C201" t="s">
        <v>132</v>
      </c>
      <c r="D201" t="s">
        <v>16</v>
      </c>
      <c r="E201" t="s">
        <v>136</v>
      </c>
      <c r="F201">
        <v>36237000</v>
      </c>
      <c r="G201" t="s">
        <v>134</v>
      </c>
      <c r="H201" t="s">
        <v>81</v>
      </c>
      <c r="I201" t="s">
        <v>9</v>
      </c>
      <c r="L201" t="s">
        <v>161</v>
      </c>
      <c r="M201">
        <v>36237000</v>
      </c>
    </row>
    <row r="202" spans="1:13" x14ac:dyDescent="0.3">
      <c r="A202" s="23">
        <v>45121</v>
      </c>
      <c r="B202" t="s">
        <v>12</v>
      </c>
      <c r="C202" t="s">
        <v>132</v>
      </c>
      <c r="D202" t="s">
        <v>17</v>
      </c>
      <c r="E202" t="s">
        <v>136</v>
      </c>
      <c r="F202">
        <v>112500000</v>
      </c>
      <c r="G202" t="s">
        <v>134</v>
      </c>
      <c r="H202" t="s">
        <v>81</v>
      </c>
      <c r="I202" t="s">
        <v>9</v>
      </c>
      <c r="L202" t="s">
        <v>161</v>
      </c>
      <c r="M202">
        <v>-112500000</v>
      </c>
    </row>
    <row r="203" spans="1:13" x14ac:dyDescent="0.3">
      <c r="A203" s="23">
        <v>45128</v>
      </c>
      <c r="B203" t="s">
        <v>12</v>
      </c>
      <c r="C203" t="s">
        <v>132</v>
      </c>
      <c r="D203" t="s">
        <v>16</v>
      </c>
      <c r="E203" t="s">
        <v>136</v>
      </c>
      <c r="F203">
        <v>264721248.66</v>
      </c>
      <c r="G203" t="s">
        <v>134</v>
      </c>
      <c r="H203" t="s">
        <v>81</v>
      </c>
      <c r="I203" t="s">
        <v>9</v>
      </c>
      <c r="L203" t="s">
        <v>161</v>
      </c>
      <c r="M203">
        <v>264721248.66</v>
      </c>
    </row>
    <row r="204" spans="1:13" x14ac:dyDescent="0.3">
      <c r="A204" s="23">
        <v>45422</v>
      </c>
      <c r="B204" t="s">
        <v>12</v>
      </c>
      <c r="C204" t="s">
        <v>132</v>
      </c>
      <c r="D204" t="s">
        <v>16</v>
      </c>
      <c r="E204" t="s">
        <v>136</v>
      </c>
      <c r="F204">
        <v>1000000000</v>
      </c>
      <c r="G204" t="s">
        <v>134</v>
      </c>
      <c r="H204" t="s">
        <v>81</v>
      </c>
      <c r="I204" t="s">
        <v>9</v>
      </c>
      <c r="L204" t="s">
        <v>161</v>
      </c>
      <c r="M204">
        <v>1000000000</v>
      </c>
    </row>
    <row r="205" spans="1:13" x14ac:dyDescent="0.3">
      <c r="A205" s="23">
        <v>45421</v>
      </c>
      <c r="B205" t="s">
        <v>12</v>
      </c>
      <c r="C205" t="s">
        <v>132</v>
      </c>
      <c r="D205" t="s">
        <v>16</v>
      </c>
      <c r="E205" t="s">
        <v>136</v>
      </c>
      <c r="F205">
        <v>67790450</v>
      </c>
      <c r="G205" t="s">
        <v>134</v>
      </c>
      <c r="H205" t="s">
        <v>81</v>
      </c>
      <c r="I205" t="s">
        <v>9</v>
      </c>
      <c r="L205" t="s">
        <v>161</v>
      </c>
      <c r="M205">
        <v>67790450</v>
      </c>
    </row>
    <row r="206" spans="1:13" x14ac:dyDescent="0.3">
      <c r="A206" s="23">
        <v>45420</v>
      </c>
      <c r="B206" t="s">
        <v>12</v>
      </c>
      <c r="C206" t="s">
        <v>132</v>
      </c>
      <c r="D206" t="s">
        <v>16</v>
      </c>
      <c r="E206" t="s">
        <v>136</v>
      </c>
      <c r="F206">
        <v>1843750</v>
      </c>
      <c r="G206" t="s">
        <v>134</v>
      </c>
      <c r="H206" t="s">
        <v>81</v>
      </c>
      <c r="I206" t="s">
        <v>9</v>
      </c>
      <c r="L206" t="s">
        <v>161</v>
      </c>
      <c r="M206">
        <v>1843750</v>
      </c>
    </row>
    <row r="207" spans="1:13" x14ac:dyDescent="0.3">
      <c r="A207" s="23">
        <v>45132</v>
      </c>
      <c r="B207" t="s">
        <v>12</v>
      </c>
      <c r="C207" t="s">
        <v>132</v>
      </c>
      <c r="D207" t="s">
        <v>16</v>
      </c>
      <c r="E207" t="s">
        <v>136</v>
      </c>
      <c r="F207">
        <v>1245847.92</v>
      </c>
      <c r="G207" t="s">
        <v>134</v>
      </c>
      <c r="H207" t="s">
        <v>81</v>
      </c>
      <c r="I207" t="s">
        <v>9</v>
      </c>
      <c r="J207" t="s">
        <v>155</v>
      </c>
      <c r="L207" t="s">
        <v>161</v>
      </c>
      <c r="M207">
        <v>1245847.92</v>
      </c>
    </row>
    <row r="208" spans="1:13" x14ac:dyDescent="0.3">
      <c r="A208" s="23">
        <v>45419</v>
      </c>
      <c r="B208" t="s">
        <v>12</v>
      </c>
      <c r="C208" t="s">
        <v>132</v>
      </c>
      <c r="D208" t="s">
        <v>17</v>
      </c>
      <c r="E208" t="s">
        <v>136</v>
      </c>
      <c r="F208">
        <v>881558762</v>
      </c>
      <c r="G208" t="s">
        <v>134</v>
      </c>
      <c r="H208" t="s">
        <v>81</v>
      </c>
      <c r="I208" t="s">
        <v>9</v>
      </c>
      <c r="L208" t="s">
        <v>161</v>
      </c>
      <c r="M208">
        <v>-881558762</v>
      </c>
    </row>
    <row r="209" spans="1:13" x14ac:dyDescent="0.3">
      <c r="A209" s="23">
        <v>45418</v>
      </c>
      <c r="B209" t="s">
        <v>12</v>
      </c>
      <c r="C209" t="s">
        <v>132</v>
      </c>
      <c r="D209" t="s">
        <v>17</v>
      </c>
      <c r="E209" t="s">
        <v>136</v>
      </c>
      <c r="F209">
        <v>880059446</v>
      </c>
      <c r="G209" t="s">
        <v>134</v>
      </c>
      <c r="H209" t="s">
        <v>81</v>
      </c>
      <c r="I209" t="s">
        <v>9</v>
      </c>
      <c r="L209" t="s">
        <v>161</v>
      </c>
      <c r="M209">
        <v>-880059446</v>
      </c>
    </row>
    <row r="210" spans="1:13" x14ac:dyDescent="0.3">
      <c r="A210" s="23">
        <v>45132</v>
      </c>
      <c r="B210" t="s">
        <v>12</v>
      </c>
      <c r="C210" t="s">
        <v>132</v>
      </c>
      <c r="D210" t="s">
        <v>17</v>
      </c>
      <c r="E210" t="s">
        <v>136</v>
      </c>
      <c r="F210">
        <v>60000000</v>
      </c>
      <c r="G210" t="s">
        <v>134</v>
      </c>
      <c r="H210" t="s">
        <v>81</v>
      </c>
      <c r="I210" t="s">
        <v>9</v>
      </c>
      <c r="L210" t="s">
        <v>161</v>
      </c>
      <c r="M210">
        <v>-60000000</v>
      </c>
    </row>
    <row r="211" spans="1:13" x14ac:dyDescent="0.3">
      <c r="A211" s="23">
        <v>45418</v>
      </c>
      <c r="B211" t="s">
        <v>12</v>
      </c>
      <c r="C211" t="s">
        <v>132</v>
      </c>
      <c r="D211" t="s">
        <v>17</v>
      </c>
      <c r="E211" t="s">
        <v>136</v>
      </c>
      <c r="F211">
        <v>52282127</v>
      </c>
      <c r="G211" t="s">
        <v>134</v>
      </c>
      <c r="H211" t="s">
        <v>81</v>
      </c>
      <c r="I211" t="s">
        <v>9</v>
      </c>
      <c r="L211" t="s">
        <v>161</v>
      </c>
      <c r="M211">
        <v>-52282127</v>
      </c>
    </row>
    <row r="212" spans="1:13" x14ac:dyDescent="0.3">
      <c r="A212" s="23">
        <v>45415</v>
      </c>
      <c r="B212" t="s">
        <v>12</v>
      </c>
      <c r="C212" t="s">
        <v>132</v>
      </c>
      <c r="D212" t="s">
        <v>16</v>
      </c>
      <c r="E212" t="s">
        <v>136</v>
      </c>
      <c r="F212">
        <v>45760400</v>
      </c>
      <c r="G212" t="s">
        <v>134</v>
      </c>
      <c r="H212" t="s">
        <v>81</v>
      </c>
      <c r="I212" t="s">
        <v>9</v>
      </c>
      <c r="L212" t="s">
        <v>161</v>
      </c>
      <c r="M212">
        <v>45760400</v>
      </c>
    </row>
    <row r="213" spans="1:13" x14ac:dyDescent="0.3">
      <c r="A213" s="23">
        <v>45134</v>
      </c>
      <c r="B213" t="s">
        <v>12</v>
      </c>
      <c r="C213" t="s">
        <v>132</v>
      </c>
      <c r="D213" t="s">
        <v>17</v>
      </c>
      <c r="E213" t="s">
        <v>136</v>
      </c>
      <c r="F213">
        <v>16000000</v>
      </c>
      <c r="G213" t="s">
        <v>134</v>
      </c>
      <c r="H213" t="s">
        <v>81</v>
      </c>
      <c r="I213" t="s">
        <v>9</v>
      </c>
      <c r="L213" t="s">
        <v>161</v>
      </c>
      <c r="M213">
        <v>-16000000</v>
      </c>
    </row>
    <row r="214" spans="1:13" x14ac:dyDescent="0.3">
      <c r="A214" s="23">
        <v>45138</v>
      </c>
      <c r="B214" t="s">
        <v>12</v>
      </c>
      <c r="C214" t="s">
        <v>132</v>
      </c>
      <c r="D214" t="s">
        <v>17</v>
      </c>
      <c r="E214" t="s">
        <v>136</v>
      </c>
      <c r="F214">
        <v>81900000</v>
      </c>
      <c r="G214" t="s">
        <v>134</v>
      </c>
      <c r="H214" t="s">
        <v>81</v>
      </c>
      <c r="I214" t="s">
        <v>9</v>
      </c>
      <c r="L214" t="s">
        <v>161</v>
      </c>
      <c r="M214">
        <v>-81900000</v>
      </c>
    </row>
    <row r="215" spans="1:13" x14ac:dyDescent="0.3">
      <c r="A215" s="23">
        <v>45407</v>
      </c>
      <c r="B215" t="s">
        <v>12</v>
      </c>
      <c r="C215" t="s">
        <v>132</v>
      </c>
      <c r="D215" t="s">
        <v>16</v>
      </c>
      <c r="E215" t="s">
        <v>136</v>
      </c>
      <c r="F215">
        <v>61650000</v>
      </c>
      <c r="G215" t="s">
        <v>134</v>
      </c>
      <c r="H215" t="s">
        <v>81</v>
      </c>
      <c r="I215" t="s">
        <v>9</v>
      </c>
      <c r="L215" t="s">
        <v>161</v>
      </c>
      <c r="M215">
        <v>61650000</v>
      </c>
    </row>
    <row r="216" spans="1:13" x14ac:dyDescent="0.3">
      <c r="A216" s="23">
        <v>45141</v>
      </c>
      <c r="B216" t="s">
        <v>12</v>
      </c>
      <c r="C216" t="s">
        <v>132</v>
      </c>
      <c r="D216" t="s">
        <v>17</v>
      </c>
      <c r="E216" t="s">
        <v>136</v>
      </c>
      <c r="F216">
        <v>108067096.58</v>
      </c>
      <c r="G216" t="s">
        <v>134</v>
      </c>
      <c r="H216" t="s">
        <v>81</v>
      </c>
      <c r="I216" t="s">
        <v>9</v>
      </c>
      <c r="L216" t="s">
        <v>161</v>
      </c>
      <c r="M216">
        <v>-108067096.58</v>
      </c>
    </row>
    <row r="217" spans="1:13" x14ac:dyDescent="0.3">
      <c r="A217" s="23">
        <v>45406</v>
      </c>
      <c r="B217" t="s">
        <v>12</v>
      </c>
      <c r="C217" t="s">
        <v>132</v>
      </c>
      <c r="D217" t="s">
        <v>16</v>
      </c>
      <c r="E217" t="s">
        <v>136</v>
      </c>
      <c r="F217">
        <v>10084800</v>
      </c>
      <c r="G217" t="s">
        <v>134</v>
      </c>
      <c r="H217" t="s">
        <v>81</v>
      </c>
      <c r="I217" t="s">
        <v>9</v>
      </c>
      <c r="L217" t="s">
        <v>161</v>
      </c>
      <c r="M217">
        <v>10084800</v>
      </c>
    </row>
    <row r="218" spans="1:13" x14ac:dyDescent="0.3">
      <c r="A218" s="23">
        <v>45406</v>
      </c>
      <c r="B218" t="s">
        <v>12</v>
      </c>
      <c r="C218" t="s">
        <v>132</v>
      </c>
      <c r="D218" t="s">
        <v>16</v>
      </c>
      <c r="E218" t="s">
        <v>136</v>
      </c>
      <c r="F218">
        <v>285630950</v>
      </c>
      <c r="G218" t="s">
        <v>134</v>
      </c>
      <c r="H218" t="s">
        <v>81</v>
      </c>
      <c r="I218" t="s">
        <v>9</v>
      </c>
      <c r="L218" t="s">
        <v>161</v>
      </c>
      <c r="M218">
        <v>285630950</v>
      </c>
    </row>
    <row r="219" spans="1:13" x14ac:dyDescent="0.3">
      <c r="A219" s="23">
        <v>45401</v>
      </c>
      <c r="B219" t="s">
        <v>12</v>
      </c>
      <c r="C219" t="s">
        <v>132</v>
      </c>
      <c r="D219" t="s">
        <v>16</v>
      </c>
      <c r="E219" t="s">
        <v>136</v>
      </c>
      <c r="F219">
        <v>42104853</v>
      </c>
      <c r="G219" t="s">
        <v>134</v>
      </c>
      <c r="H219" t="s">
        <v>81</v>
      </c>
      <c r="I219" t="s">
        <v>9</v>
      </c>
      <c r="L219" t="s">
        <v>161</v>
      </c>
      <c r="M219">
        <v>42104853</v>
      </c>
    </row>
    <row r="220" spans="1:13" x14ac:dyDescent="0.3">
      <c r="A220" s="23">
        <v>45393</v>
      </c>
      <c r="B220" t="s">
        <v>12</v>
      </c>
      <c r="C220" t="s">
        <v>132</v>
      </c>
      <c r="D220" t="s">
        <v>16</v>
      </c>
      <c r="E220" t="s">
        <v>136</v>
      </c>
      <c r="F220">
        <v>5600000</v>
      </c>
      <c r="G220" t="s">
        <v>134</v>
      </c>
      <c r="H220" t="s">
        <v>81</v>
      </c>
      <c r="I220" t="s">
        <v>9</v>
      </c>
      <c r="L220" t="s">
        <v>161</v>
      </c>
      <c r="M220">
        <v>5600000</v>
      </c>
    </row>
    <row r="221" spans="1:13" x14ac:dyDescent="0.3">
      <c r="A221" s="23">
        <v>45148</v>
      </c>
      <c r="B221" t="s">
        <v>12</v>
      </c>
      <c r="C221" t="s">
        <v>132</v>
      </c>
      <c r="D221" t="s">
        <v>16</v>
      </c>
      <c r="E221" t="s">
        <v>136</v>
      </c>
      <c r="F221">
        <v>120000000</v>
      </c>
      <c r="G221" t="s">
        <v>134</v>
      </c>
      <c r="H221" t="s">
        <v>81</v>
      </c>
      <c r="I221" t="s">
        <v>9</v>
      </c>
      <c r="L221" t="s">
        <v>161</v>
      </c>
      <c r="M221">
        <v>120000000</v>
      </c>
    </row>
    <row r="222" spans="1:13" x14ac:dyDescent="0.3">
      <c r="A222" s="23">
        <v>45152</v>
      </c>
      <c r="B222" t="s">
        <v>12</v>
      </c>
      <c r="C222" t="s">
        <v>132</v>
      </c>
      <c r="D222" t="s">
        <v>17</v>
      </c>
      <c r="E222" t="s">
        <v>136</v>
      </c>
      <c r="F222">
        <v>120000000</v>
      </c>
      <c r="G222" t="s">
        <v>134</v>
      </c>
      <c r="H222" t="s">
        <v>81</v>
      </c>
      <c r="I222" t="s">
        <v>9</v>
      </c>
      <c r="L222" t="s">
        <v>161</v>
      </c>
      <c r="M222">
        <v>-120000000</v>
      </c>
    </row>
    <row r="223" spans="1:13" x14ac:dyDescent="0.3">
      <c r="A223" s="23">
        <v>45387</v>
      </c>
      <c r="B223" t="s">
        <v>12</v>
      </c>
      <c r="C223" t="s">
        <v>132</v>
      </c>
      <c r="D223" t="s">
        <v>16</v>
      </c>
      <c r="E223" t="s">
        <v>136</v>
      </c>
      <c r="F223">
        <v>595386000</v>
      </c>
      <c r="G223" t="s">
        <v>134</v>
      </c>
      <c r="H223" t="s">
        <v>81</v>
      </c>
      <c r="I223" t="s">
        <v>9</v>
      </c>
      <c r="L223" t="s">
        <v>161</v>
      </c>
      <c r="M223">
        <v>595386000</v>
      </c>
    </row>
    <row r="224" spans="1:13" x14ac:dyDescent="0.3">
      <c r="A224" s="23">
        <v>45153</v>
      </c>
      <c r="B224" t="s">
        <v>12</v>
      </c>
      <c r="C224" t="s">
        <v>132</v>
      </c>
      <c r="D224" t="s">
        <v>16</v>
      </c>
      <c r="E224" t="s">
        <v>136</v>
      </c>
      <c r="F224">
        <v>268000000</v>
      </c>
      <c r="G224" t="s">
        <v>134</v>
      </c>
      <c r="H224" t="s">
        <v>81</v>
      </c>
      <c r="I224" t="s">
        <v>9</v>
      </c>
      <c r="L224" t="s">
        <v>161</v>
      </c>
      <c r="M224">
        <v>268000000</v>
      </c>
    </row>
    <row r="225" spans="1:13" x14ac:dyDescent="0.3">
      <c r="A225" s="23">
        <v>45387</v>
      </c>
      <c r="B225" t="s">
        <v>12</v>
      </c>
      <c r="C225" t="s">
        <v>132</v>
      </c>
      <c r="D225" t="s">
        <v>17</v>
      </c>
      <c r="E225" t="s">
        <v>136</v>
      </c>
      <c r="F225">
        <v>152994326</v>
      </c>
      <c r="G225" t="s">
        <v>134</v>
      </c>
      <c r="H225" t="s">
        <v>81</v>
      </c>
      <c r="I225" t="s">
        <v>9</v>
      </c>
      <c r="L225" t="s">
        <v>161</v>
      </c>
      <c r="M225">
        <v>-152994326</v>
      </c>
    </row>
    <row r="226" spans="1:13" x14ac:dyDescent="0.3">
      <c r="A226" s="23">
        <v>45386</v>
      </c>
      <c r="B226" t="s">
        <v>12</v>
      </c>
      <c r="C226" t="s">
        <v>132</v>
      </c>
      <c r="D226" t="s">
        <v>16</v>
      </c>
      <c r="E226" t="s">
        <v>136</v>
      </c>
      <c r="F226">
        <v>446900000</v>
      </c>
      <c r="G226" t="s">
        <v>134</v>
      </c>
      <c r="H226" t="s">
        <v>81</v>
      </c>
      <c r="I226" t="s">
        <v>9</v>
      </c>
      <c r="L226" t="s">
        <v>161</v>
      </c>
      <c r="M226">
        <v>446900000</v>
      </c>
    </row>
    <row r="227" spans="1:13" x14ac:dyDescent="0.3">
      <c r="A227" s="23">
        <v>45154</v>
      </c>
      <c r="B227" t="s">
        <v>12</v>
      </c>
      <c r="C227" t="s">
        <v>132</v>
      </c>
      <c r="D227" t="s">
        <v>17</v>
      </c>
      <c r="E227" t="s">
        <v>136</v>
      </c>
      <c r="F227">
        <v>268000000</v>
      </c>
      <c r="G227" t="s">
        <v>134</v>
      </c>
      <c r="H227" t="s">
        <v>81</v>
      </c>
      <c r="I227" t="s">
        <v>9</v>
      </c>
      <c r="L227" t="s">
        <v>161</v>
      </c>
      <c r="M227">
        <v>-268000000</v>
      </c>
    </row>
    <row r="228" spans="1:13" x14ac:dyDescent="0.3">
      <c r="A228" s="23">
        <v>45386</v>
      </c>
      <c r="B228" t="s">
        <v>12</v>
      </c>
      <c r="C228" t="s">
        <v>132</v>
      </c>
      <c r="D228" t="s">
        <v>17</v>
      </c>
      <c r="E228" t="s">
        <v>136</v>
      </c>
      <c r="F228">
        <v>42852998</v>
      </c>
      <c r="G228" t="s">
        <v>134</v>
      </c>
      <c r="H228" t="s">
        <v>81</v>
      </c>
      <c r="I228" t="s">
        <v>9</v>
      </c>
      <c r="L228" t="s">
        <v>161</v>
      </c>
      <c r="M228">
        <v>-42852998</v>
      </c>
    </row>
    <row r="229" spans="1:13" x14ac:dyDescent="0.3">
      <c r="A229" s="23">
        <v>45386</v>
      </c>
      <c r="B229" t="s">
        <v>12</v>
      </c>
      <c r="C229" t="s">
        <v>132</v>
      </c>
      <c r="D229" t="s">
        <v>17</v>
      </c>
      <c r="E229" t="s">
        <v>136</v>
      </c>
      <c r="F229">
        <v>50000000</v>
      </c>
      <c r="G229" t="s">
        <v>134</v>
      </c>
      <c r="H229" t="s">
        <v>81</v>
      </c>
      <c r="I229" t="s">
        <v>9</v>
      </c>
      <c r="L229" t="s">
        <v>161</v>
      </c>
      <c r="M229">
        <v>-50000000</v>
      </c>
    </row>
    <row r="230" spans="1:13" x14ac:dyDescent="0.3">
      <c r="A230" s="23">
        <v>45383</v>
      </c>
      <c r="B230" t="s">
        <v>12</v>
      </c>
      <c r="C230" t="s">
        <v>132</v>
      </c>
      <c r="D230" t="s">
        <v>16</v>
      </c>
      <c r="E230" t="s">
        <v>136</v>
      </c>
      <c r="F230">
        <v>24340000</v>
      </c>
      <c r="G230" t="s">
        <v>134</v>
      </c>
      <c r="H230" t="s">
        <v>81</v>
      </c>
      <c r="I230" t="s">
        <v>9</v>
      </c>
      <c r="L230" t="s">
        <v>161</v>
      </c>
      <c r="M230">
        <v>24340000</v>
      </c>
    </row>
    <row r="231" spans="1:13" x14ac:dyDescent="0.3">
      <c r="A231" s="23">
        <v>45155</v>
      </c>
      <c r="B231" t="s">
        <v>12</v>
      </c>
      <c r="C231" t="s">
        <v>132</v>
      </c>
      <c r="D231" t="s">
        <v>16</v>
      </c>
      <c r="E231" t="s">
        <v>136</v>
      </c>
      <c r="F231">
        <v>268000000</v>
      </c>
      <c r="G231" t="s">
        <v>134</v>
      </c>
      <c r="H231" t="s">
        <v>81</v>
      </c>
      <c r="I231" t="s">
        <v>9</v>
      </c>
      <c r="L231" t="s">
        <v>161</v>
      </c>
      <c r="M231">
        <v>268000000</v>
      </c>
    </row>
    <row r="232" spans="1:13" x14ac:dyDescent="0.3">
      <c r="A232" s="23">
        <v>45378</v>
      </c>
      <c r="B232" t="s">
        <v>12</v>
      </c>
      <c r="C232" t="s">
        <v>132</v>
      </c>
      <c r="D232" t="s">
        <v>16</v>
      </c>
      <c r="E232" t="s">
        <v>136</v>
      </c>
      <c r="F232">
        <v>375145000</v>
      </c>
      <c r="G232" t="s">
        <v>134</v>
      </c>
      <c r="H232" t="s">
        <v>81</v>
      </c>
      <c r="I232" t="s">
        <v>9</v>
      </c>
      <c r="L232" t="s">
        <v>161</v>
      </c>
      <c r="M232">
        <v>375145000</v>
      </c>
    </row>
    <row r="233" spans="1:13" x14ac:dyDescent="0.3">
      <c r="A233" s="23">
        <v>45156</v>
      </c>
      <c r="B233" t="s">
        <v>12</v>
      </c>
      <c r="C233" t="s">
        <v>132</v>
      </c>
      <c r="D233" t="s">
        <v>17</v>
      </c>
      <c r="E233" t="s">
        <v>136</v>
      </c>
      <c r="F233">
        <v>142548591.40000001</v>
      </c>
      <c r="G233" t="s">
        <v>134</v>
      </c>
      <c r="H233" t="s">
        <v>81</v>
      </c>
      <c r="I233" t="s">
        <v>9</v>
      </c>
      <c r="L233" t="s">
        <v>161</v>
      </c>
      <c r="M233">
        <v>-142548591.40000001</v>
      </c>
    </row>
    <row r="234" spans="1:13" x14ac:dyDescent="0.3">
      <c r="A234" s="23">
        <v>45377</v>
      </c>
      <c r="B234" t="s">
        <v>12</v>
      </c>
      <c r="C234" t="s">
        <v>132</v>
      </c>
      <c r="D234" t="s">
        <v>17</v>
      </c>
      <c r="E234" t="s">
        <v>136</v>
      </c>
      <c r="F234">
        <v>400000000</v>
      </c>
      <c r="G234" t="s">
        <v>134</v>
      </c>
      <c r="H234" t="s">
        <v>81</v>
      </c>
      <c r="I234" t="s">
        <v>9</v>
      </c>
      <c r="L234" t="s">
        <v>161</v>
      </c>
      <c r="M234">
        <v>-400000000</v>
      </c>
    </row>
    <row r="235" spans="1:13" x14ac:dyDescent="0.3">
      <c r="A235" s="23">
        <v>45376</v>
      </c>
      <c r="B235" t="s">
        <v>12</v>
      </c>
      <c r="C235" t="s">
        <v>132</v>
      </c>
      <c r="D235" t="s">
        <v>17</v>
      </c>
      <c r="E235" t="s">
        <v>136</v>
      </c>
      <c r="F235">
        <v>60503080</v>
      </c>
      <c r="G235" t="s">
        <v>134</v>
      </c>
      <c r="H235" t="s">
        <v>81</v>
      </c>
      <c r="I235" t="s">
        <v>9</v>
      </c>
      <c r="L235" t="s">
        <v>161</v>
      </c>
      <c r="M235">
        <v>-60503080</v>
      </c>
    </row>
    <row r="236" spans="1:13" x14ac:dyDescent="0.3">
      <c r="A236" s="23">
        <v>45376</v>
      </c>
      <c r="B236" t="s">
        <v>12</v>
      </c>
      <c r="C236" t="s">
        <v>132</v>
      </c>
      <c r="D236" t="s">
        <v>17</v>
      </c>
      <c r="E236" t="s">
        <v>136</v>
      </c>
      <c r="F236">
        <v>38720240</v>
      </c>
      <c r="G236" t="s">
        <v>134</v>
      </c>
      <c r="H236" t="s">
        <v>81</v>
      </c>
      <c r="I236" t="s">
        <v>9</v>
      </c>
      <c r="L236" t="s">
        <v>161</v>
      </c>
      <c r="M236">
        <v>-38720240</v>
      </c>
    </row>
    <row r="237" spans="1:13" x14ac:dyDescent="0.3">
      <c r="A237" s="23">
        <v>45160</v>
      </c>
      <c r="B237" t="s">
        <v>12</v>
      </c>
      <c r="C237" t="s">
        <v>132</v>
      </c>
      <c r="D237" t="s">
        <v>17</v>
      </c>
      <c r="E237" t="s">
        <v>136</v>
      </c>
      <c r="F237">
        <v>125451408.59999999</v>
      </c>
      <c r="G237" t="s">
        <v>134</v>
      </c>
      <c r="H237" t="s">
        <v>81</v>
      </c>
      <c r="I237" t="s">
        <v>9</v>
      </c>
      <c r="L237" t="s">
        <v>161</v>
      </c>
      <c r="M237">
        <v>-125451408.59999999</v>
      </c>
    </row>
    <row r="238" spans="1:13" x14ac:dyDescent="0.3">
      <c r="A238" s="23">
        <v>45372</v>
      </c>
      <c r="B238" t="s">
        <v>12</v>
      </c>
      <c r="C238" t="s">
        <v>132</v>
      </c>
      <c r="D238" t="s">
        <v>16</v>
      </c>
      <c r="E238" t="s">
        <v>136</v>
      </c>
      <c r="F238">
        <v>251314000</v>
      </c>
      <c r="G238" t="s">
        <v>134</v>
      </c>
      <c r="H238" t="s">
        <v>81</v>
      </c>
      <c r="I238" t="s">
        <v>9</v>
      </c>
      <c r="L238" t="s">
        <v>161</v>
      </c>
      <c r="M238">
        <v>251314000</v>
      </c>
    </row>
    <row r="239" spans="1:13" x14ac:dyDescent="0.3">
      <c r="A239" s="23">
        <v>45372</v>
      </c>
      <c r="B239" t="s">
        <v>12</v>
      </c>
      <c r="C239" t="s">
        <v>132</v>
      </c>
      <c r="D239" t="s">
        <v>17</v>
      </c>
      <c r="E239" t="s">
        <v>136</v>
      </c>
      <c r="F239">
        <v>33593592.299999997</v>
      </c>
      <c r="G239" t="s">
        <v>134</v>
      </c>
      <c r="H239" t="s">
        <v>81</v>
      </c>
      <c r="I239" t="s">
        <v>9</v>
      </c>
      <c r="L239" t="s">
        <v>161</v>
      </c>
      <c r="M239">
        <v>-33593592.299999997</v>
      </c>
    </row>
    <row r="240" spans="1:13" x14ac:dyDescent="0.3">
      <c r="A240" s="23">
        <v>45372</v>
      </c>
      <c r="B240" t="s">
        <v>12</v>
      </c>
      <c r="C240" t="s">
        <v>132</v>
      </c>
      <c r="D240" t="s">
        <v>17</v>
      </c>
      <c r="E240" t="s">
        <v>136</v>
      </c>
      <c r="F240">
        <v>26341708</v>
      </c>
      <c r="G240" t="s">
        <v>134</v>
      </c>
      <c r="H240" t="s">
        <v>81</v>
      </c>
      <c r="I240" t="s">
        <v>9</v>
      </c>
      <c r="L240" t="s">
        <v>161</v>
      </c>
      <c r="M240">
        <v>-26341708</v>
      </c>
    </row>
    <row r="241" spans="1:13" x14ac:dyDescent="0.3">
      <c r="A241" s="23">
        <v>45161</v>
      </c>
      <c r="B241" t="s">
        <v>12</v>
      </c>
      <c r="C241" t="s">
        <v>132</v>
      </c>
      <c r="D241" t="s">
        <v>16</v>
      </c>
      <c r="E241" t="s">
        <v>136</v>
      </c>
      <c r="F241">
        <v>400000000</v>
      </c>
      <c r="G241" t="s">
        <v>134</v>
      </c>
      <c r="H241" t="s">
        <v>81</v>
      </c>
      <c r="I241" t="s">
        <v>9</v>
      </c>
      <c r="L241" t="s">
        <v>161</v>
      </c>
      <c r="M241">
        <v>400000000</v>
      </c>
    </row>
    <row r="242" spans="1:13" x14ac:dyDescent="0.3">
      <c r="A242" s="23">
        <v>45162</v>
      </c>
      <c r="B242" t="s">
        <v>12</v>
      </c>
      <c r="C242" t="s">
        <v>132</v>
      </c>
      <c r="D242" t="s">
        <v>17</v>
      </c>
      <c r="E242" t="s">
        <v>136</v>
      </c>
      <c r="F242">
        <v>400000000</v>
      </c>
      <c r="G242" t="s">
        <v>134</v>
      </c>
      <c r="H242" t="s">
        <v>81</v>
      </c>
      <c r="I242" t="s">
        <v>9</v>
      </c>
      <c r="L242" t="s">
        <v>161</v>
      </c>
      <c r="M242">
        <v>-400000000</v>
      </c>
    </row>
    <row r="243" spans="1:13" x14ac:dyDescent="0.3">
      <c r="A243" s="23">
        <v>45366</v>
      </c>
      <c r="B243" t="s">
        <v>12</v>
      </c>
      <c r="C243" t="s">
        <v>132</v>
      </c>
      <c r="D243" t="s">
        <v>16</v>
      </c>
      <c r="E243" t="s">
        <v>136</v>
      </c>
      <c r="F243">
        <v>91611000</v>
      </c>
      <c r="G243" t="s">
        <v>134</v>
      </c>
      <c r="H243" t="s">
        <v>81</v>
      </c>
      <c r="I243" t="s">
        <v>9</v>
      </c>
      <c r="L243" t="s">
        <v>161</v>
      </c>
      <c r="M243">
        <v>91611000</v>
      </c>
    </row>
    <row r="244" spans="1:13" x14ac:dyDescent="0.3">
      <c r="A244" s="23">
        <v>45166</v>
      </c>
      <c r="B244" t="s">
        <v>12</v>
      </c>
      <c r="C244" t="s">
        <v>132</v>
      </c>
      <c r="D244" t="s">
        <v>16</v>
      </c>
      <c r="E244" t="s">
        <v>136</v>
      </c>
      <c r="F244">
        <v>783736292.79999995</v>
      </c>
      <c r="G244" t="s">
        <v>134</v>
      </c>
      <c r="H244" t="s">
        <v>81</v>
      </c>
      <c r="I244" t="s">
        <v>9</v>
      </c>
      <c r="L244" t="s">
        <v>161</v>
      </c>
      <c r="M244">
        <v>783736292.79999995</v>
      </c>
    </row>
    <row r="245" spans="1:13" x14ac:dyDescent="0.3">
      <c r="A245" s="23">
        <v>45362</v>
      </c>
      <c r="B245" t="s">
        <v>12</v>
      </c>
      <c r="C245" t="s">
        <v>132</v>
      </c>
      <c r="D245" t="s">
        <v>17</v>
      </c>
      <c r="E245" t="s">
        <v>136</v>
      </c>
      <c r="F245">
        <v>300000000</v>
      </c>
      <c r="G245" t="s">
        <v>134</v>
      </c>
      <c r="H245" t="s">
        <v>81</v>
      </c>
      <c r="I245" t="s">
        <v>9</v>
      </c>
      <c r="L245" t="s">
        <v>161</v>
      </c>
      <c r="M245">
        <v>-300000000</v>
      </c>
    </row>
    <row r="246" spans="1:13" x14ac:dyDescent="0.3">
      <c r="A246" s="23">
        <v>45359</v>
      </c>
      <c r="B246" t="s">
        <v>12</v>
      </c>
      <c r="C246" t="s">
        <v>132</v>
      </c>
      <c r="D246" t="s">
        <v>16</v>
      </c>
      <c r="E246" t="s">
        <v>136</v>
      </c>
      <c r="F246">
        <v>8900000</v>
      </c>
      <c r="G246" t="s">
        <v>134</v>
      </c>
      <c r="H246" t="s">
        <v>81</v>
      </c>
      <c r="I246" t="s">
        <v>9</v>
      </c>
      <c r="L246" t="s">
        <v>161</v>
      </c>
      <c r="M246">
        <v>8900000</v>
      </c>
    </row>
    <row r="247" spans="1:13" x14ac:dyDescent="0.3">
      <c r="A247" s="23">
        <v>45359</v>
      </c>
      <c r="B247" t="s">
        <v>12</v>
      </c>
      <c r="C247" t="s">
        <v>132</v>
      </c>
      <c r="D247" t="s">
        <v>17</v>
      </c>
      <c r="E247" t="s">
        <v>136</v>
      </c>
      <c r="F247">
        <v>36037312.420000002</v>
      </c>
      <c r="G247" t="s">
        <v>134</v>
      </c>
      <c r="H247" t="s">
        <v>81</v>
      </c>
      <c r="I247" t="s">
        <v>9</v>
      </c>
      <c r="L247" t="s">
        <v>161</v>
      </c>
      <c r="M247">
        <v>-36037312.420000002</v>
      </c>
    </row>
    <row r="248" spans="1:13" x14ac:dyDescent="0.3">
      <c r="A248" s="23">
        <v>45358</v>
      </c>
      <c r="B248" t="s">
        <v>12</v>
      </c>
      <c r="C248" t="s">
        <v>132</v>
      </c>
      <c r="D248" t="s">
        <v>16</v>
      </c>
      <c r="E248" t="s">
        <v>136</v>
      </c>
      <c r="F248">
        <v>352500000</v>
      </c>
      <c r="G248" t="s">
        <v>134</v>
      </c>
      <c r="H248" t="s">
        <v>81</v>
      </c>
      <c r="I248" t="s">
        <v>9</v>
      </c>
      <c r="L248" t="s">
        <v>161</v>
      </c>
      <c r="M248">
        <v>352500000</v>
      </c>
    </row>
    <row r="249" spans="1:13" x14ac:dyDescent="0.3">
      <c r="A249" s="23">
        <v>45358</v>
      </c>
      <c r="B249" t="s">
        <v>12</v>
      </c>
      <c r="C249" t="s">
        <v>132</v>
      </c>
      <c r="D249" t="s">
        <v>16</v>
      </c>
      <c r="E249" t="s">
        <v>136</v>
      </c>
      <c r="F249">
        <v>300000000</v>
      </c>
      <c r="G249" t="s">
        <v>134</v>
      </c>
      <c r="H249" t="s">
        <v>81</v>
      </c>
      <c r="I249" t="s">
        <v>9</v>
      </c>
      <c r="L249" t="s">
        <v>161</v>
      </c>
      <c r="M249">
        <v>300000000</v>
      </c>
    </row>
    <row r="250" spans="1:13" x14ac:dyDescent="0.3">
      <c r="A250" s="23">
        <v>45169</v>
      </c>
      <c r="B250" t="s">
        <v>12</v>
      </c>
      <c r="C250" t="s">
        <v>132</v>
      </c>
      <c r="D250" t="s">
        <v>17</v>
      </c>
      <c r="E250" t="s">
        <v>136</v>
      </c>
      <c r="F250">
        <v>265485583.15000001</v>
      </c>
      <c r="G250" t="s">
        <v>134</v>
      </c>
      <c r="H250" t="s">
        <v>81</v>
      </c>
      <c r="I250" t="s">
        <v>9</v>
      </c>
      <c r="L250" t="s">
        <v>161</v>
      </c>
      <c r="M250">
        <v>-265485583.15000001</v>
      </c>
    </row>
    <row r="251" spans="1:13" x14ac:dyDescent="0.3">
      <c r="A251" s="23">
        <v>45357</v>
      </c>
      <c r="B251" t="s">
        <v>12</v>
      </c>
      <c r="C251" t="s">
        <v>132</v>
      </c>
      <c r="D251" t="s">
        <v>17</v>
      </c>
      <c r="E251" t="s">
        <v>136</v>
      </c>
      <c r="F251">
        <v>75084268.909999996</v>
      </c>
      <c r="G251" t="s">
        <v>134</v>
      </c>
      <c r="H251" t="s">
        <v>81</v>
      </c>
      <c r="I251" t="s">
        <v>9</v>
      </c>
      <c r="L251" t="s">
        <v>161</v>
      </c>
      <c r="M251">
        <v>-75084268.909999996</v>
      </c>
    </row>
    <row r="252" spans="1:13" x14ac:dyDescent="0.3">
      <c r="A252" s="23">
        <v>45357</v>
      </c>
      <c r="B252" t="s">
        <v>12</v>
      </c>
      <c r="C252" t="s">
        <v>132</v>
      </c>
      <c r="D252" t="s">
        <v>17</v>
      </c>
      <c r="E252" t="s">
        <v>136</v>
      </c>
      <c r="F252">
        <v>34159498.299999997</v>
      </c>
      <c r="G252" t="s">
        <v>134</v>
      </c>
      <c r="H252" t="s">
        <v>81</v>
      </c>
      <c r="I252" t="s">
        <v>9</v>
      </c>
      <c r="L252" t="s">
        <v>161</v>
      </c>
      <c r="M252">
        <v>-34159498.299999997</v>
      </c>
    </row>
    <row r="253" spans="1:13" x14ac:dyDescent="0.3">
      <c r="A253" s="23">
        <v>45356</v>
      </c>
      <c r="B253" t="s">
        <v>12</v>
      </c>
      <c r="C253" t="s">
        <v>132</v>
      </c>
      <c r="D253" t="s">
        <v>16</v>
      </c>
      <c r="E253" t="s">
        <v>136</v>
      </c>
      <c r="F253">
        <v>0</v>
      </c>
      <c r="G253" t="s">
        <v>134</v>
      </c>
      <c r="H253" t="s">
        <v>81</v>
      </c>
      <c r="I253" t="s">
        <v>9</v>
      </c>
      <c r="L253" t="s">
        <v>161</v>
      </c>
      <c r="M253">
        <v>0</v>
      </c>
    </row>
    <row r="254" spans="1:13" x14ac:dyDescent="0.3">
      <c r="A254" s="23">
        <v>45170</v>
      </c>
      <c r="B254" t="s">
        <v>12</v>
      </c>
      <c r="C254" t="s">
        <v>132</v>
      </c>
      <c r="D254" t="s">
        <v>16</v>
      </c>
      <c r="E254" t="s">
        <v>136</v>
      </c>
      <c r="F254">
        <v>6065941.9000000004</v>
      </c>
      <c r="G254" t="s">
        <v>134</v>
      </c>
      <c r="H254" t="s">
        <v>81</v>
      </c>
      <c r="I254" t="s">
        <v>9</v>
      </c>
      <c r="L254" t="s">
        <v>161</v>
      </c>
      <c r="M254">
        <v>6065941.9000000004</v>
      </c>
    </row>
    <row r="255" spans="1:13" x14ac:dyDescent="0.3">
      <c r="A255" s="23">
        <v>45350</v>
      </c>
      <c r="B255" t="s">
        <v>12</v>
      </c>
      <c r="C255" t="s">
        <v>132</v>
      </c>
      <c r="D255" t="s">
        <v>17</v>
      </c>
      <c r="E255" t="s">
        <v>136</v>
      </c>
      <c r="F255">
        <v>843000000</v>
      </c>
      <c r="G255" t="s">
        <v>134</v>
      </c>
      <c r="H255" t="s">
        <v>81</v>
      </c>
      <c r="I255" t="s">
        <v>9</v>
      </c>
      <c r="L255" t="s">
        <v>161</v>
      </c>
      <c r="M255">
        <v>-843000000</v>
      </c>
    </row>
    <row r="256" spans="1:13" x14ac:dyDescent="0.3">
      <c r="A256" s="23">
        <v>45349</v>
      </c>
      <c r="B256" t="s">
        <v>12</v>
      </c>
      <c r="C256" t="s">
        <v>132</v>
      </c>
      <c r="D256" t="s">
        <v>16</v>
      </c>
      <c r="E256" t="s">
        <v>136</v>
      </c>
      <c r="F256">
        <v>4638629.8899999997</v>
      </c>
      <c r="G256" t="s">
        <v>134</v>
      </c>
      <c r="H256" t="s">
        <v>81</v>
      </c>
      <c r="I256" t="s">
        <v>9</v>
      </c>
      <c r="L256" t="s">
        <v>161</v>
      </c>
      <c r="M256">
        <v>4638629.8899999997</v>
      </c>
    </row>
    <row r="257" spans="1:13" x14ac:dyDescent="0.3">
      <c r="A257" s="23">
        <v>45349</v>
      </c>
      <c r="B257" t="s">
        <v>12</v>
      </c>
      <c r="C257" t="s">
        <v>132</v>
      </c>
      <c r="D257" t="s">
        <v>16</v>
      </c>
      <c r="E257" t="s">
        <v>136</v>
      </c>
      <c r="F257">
        <v>300000000</v>
      </c>
      <c r="G257" t="s">
        <v>134</v>
      </c>
      <c r="H257" t="s">
        <v>81</v>
      </c>
      <c r="I257" t="s">
        <v>9</v>
      </c>
      <c r="L257" t="s">
        <v>161</v>
      </c>
      <c r="M257">
        <v>300000000</v>
      </c>
    </row>
    <row r="258" spans="1:13" x14ac:dyDescent="0.3">
      <c r="A258" s="23">
        <v>45348</v>
      </c>
      <c r="B258" t="s">
        <v>12</v>
      </c>
      <c r="C258" t="s">
        <v>132</v>
      </c>
      <c r="D258" t="s">
        <v>16</v>
      </c>
      <c r="E258" t="s">
        <v>136</v>
      </c>
      <c r="F258">
        <v>500000000</v>
      </c>
      <c r="G258" t="s">
        <v>134</v>
      </c>
      <c r="H258" t="s">
        <v>81</v>
      </c>
      <c r="I258" t="s">
        <v>9</v>
      </c>
      <c r="L258" t="s">
        <v>161</v>
      </c>
      <c r="M258">
        <v>500000000</v>
      </c>
    </row>
    <row r="259" spans="1:13" x14ac:dyDescent="0.3">
      <c r="A259" s="23">
        <v>45348</v>
      </c>
      <c r="B259" t="s">
        <v>12</v>
      </c>
      <c r="C259" t="s">
        <v>132</v>
      </c>
      <c r="D259" t="s">
        <v>17</v>
      </c>
      <c r="E259" t="s">
        <v>136</v>
      </c>
      <c r="F259">
        <v>105616527.11</v>
      </c>
      <c r="G259" t="s">
        <v>134</v>
      </c>
      <c r="H259" t="s">
        <v>81</v>
      </c>
      <c r="I259" t="s">
        <v>9</v>
      </c>
      <c r="L259" t="s">
        <v>161</v>
      </c>
      <c r="M259">
        <v>-105616527.11</v>
      </c>
    </row>
    <row r="260" spans="1:13" x14ac:dyDescent="0.3">
      <c r="A260" s="23">
        <v>45344</v>
      </c>
      <c r="B260" t="s">
        <v>12</v>
      </c>
      <c r="C260" t="s">
        <v>132</v>
      </c>
      <c r="D260" t="s">
        <v>17</v>
      </c>
      <c r="E260" t="s">
        <v>136</v>
      </c>
      <c r="F260">
        <v>284622102.77999997</v>
      </c>
      <c r="G260" t="s">
        <v>134</v>
      </c>
      <c r="H260" t="s">
        <v>81</v>
      </c>
      <c r="I260" t="s">
        <v>9</v>
      </c>
      <c r="L260" t="s">
        <v>161</v>
      </c>
      <c r="M260">
        <v>-284622102.77999997</v>
      </c>
    </row>
    <row r="261" spans="1:13" x14ac:dyDescent="0.3">
      <c r="A261" s="23">
        <v>45343</v>
      </c>
      <c r="B261" t="s">
        <v>12</v>
      </c>
      <c r="C261" t="s">
        <v>132</v>
      </c>
      <c r="D261" t="s">
        <v>17</v>
      </c>
      <c r="E261" t="s">
        <v>136</v>
      </c>
      <c r="F261">
        <v>835000000</v>
      </c>
      <c r="G261" t="s">
        <v>134</v>
      </c>
      <c r="H261" t="s">
        <v>81</v>
      </c>
      <c r="I261" t="s">
        <v>9</v>
      </c>
      <c r="L261" t="s">
        <v>161</v>
      </c>
      <c r="M261">
        <v>-835000000</v>
      </c>
    </row>
    <row r="262" spans="1:13" x14ac:dyDescent="0.3">
      <c r="A262" s="23">
        <v>45343</v>
      </c>
      <c r="B262" t="s">
        <v>12</v>
      </c>
      <c r="C262" t="s">
        <v>132</v>
      </c>
      <c r="D262" t="s">
        <v>16</v>
      </c>
      <c r="E262" t="s">
        <v>136</v>
      </c>
      <c r="F262">
        <v>14600000</v>
      </c>
      <c r="G262" t="s">
        <v>134</v>
      </c>
      <c r="H262" t="s">
        <v>81</v>
      </c>
      <c r="I262" t="s">
        <v>9</v>
      </c>
      <c r="L262" t="s">
        <v>161</v>
      </c>
      <c r="M262">
        <v>14600000</v>
      </c>
    </row>
    <row r="263" spans="1:13" x14ac:dyDescent="0.3">
      <c r="A263" s="23">
        <v>45337</v>
      </c>
      <c r="B263" t="s">
        <v>12</v>
      </c>
      <c r="C263" t="s">
        <v>132</v>
      </c>
      <c r="D263" t="s">
        <v>17</v>
      </c>
      <c r="E263" t="s">
        <v>136</v>
      </c>
      <c r="F263">
        <v>1384300000</v>
      </c>
      <c r="G263" t="s">
        <v>134</v>
      </c>
      <c r="H263" t="s">
        <v>81</v>
      </c>
      <c r="I263" t="s">
        <v>9</v>
      </c>
      <c r="L263" t="s">
        <v>161</v>
      </c>
      <c r="M263">
        <v>-1384300000</v>
      </c>
    </row>
    <row r="264" spans="1:13" x14ac:dyDescent="0.3">
      <c r="A264" s="23">
        <v>45177</v>
      </c>
      <c r="B264" t="s">
        <v>12</v>
      </c>
      <c r="C264" t="s">
        <v>132</v>
      </c>
      <c r="D264" t="s">
        <v>16</v>
      </c>
      <c r="E264" t="s">
        <v>136</v>
      </c>
      <c r="F264">
        <v>11295339.460000001</v>
      </c>
      <c r="G264" t="s">
        <v>134</v>
      </c>
      <c r="H264" t="s">
        <v>81</v>
      </c>
      <c r="I264" t="s">
        <v>9</v>
      </c>
      <c r="L264" t="s">
        <v>161</v>
      </c>
      <c r="M264">
        <v>11295339.460000001</v>
      </c>
    </row>
    <row r="265" spans="1:13" x14ac:dyDescent="0.3">
      <c r="A265" s="23">
        <v>45337</v>
      </c>
      <c r="B265" t="s">
        <v>12</v>
      </c>
      <c r="C265" t="s">
        <v>132</v>
      </c>
      <c r="D265" t="s">
        <v>16</v>
      </c>
      <c r="E265" t="s">
        <v>136</v>
      </c>
      <c r="F265">
        <v>40361824.549999997</v>
      </c>
      <c r="G265" t="s">
        <v>134</v>
      </c>
      <c r="H265" t="s">
        <v>81</v>
      </c>
      <c r="I265" t="s">
        <v>9</v>
      </c>
      <c r="L265" t="s">
        <v>161</v>
      </c>
      <c r="M265">
        <v>40361824.549999997</v>
      </c>
    </row>
    <row r="266" spans="1:13" x14ac:dyDescent="0.3">
      <c r="A266" s="23">
        <v>45177</v>
      </c>
      <c r="B266" t="s">
        <v>12</v>
      </c>
      <c r="C266" t="s">
        <v>132</v>
      </c>
      <c r="D266" t="s">
        <v>17</v>
      </c>
      <c r="E266" t="s">
        <v>136</v>
      </c>
      <c r="F266">
        <v>187500000</v>
      </c>
      <c r="G266" t="s">
        <v>134</v>
      </c>
      <c r="H266" t="s">
        <v>81</v>
      </c>
      <c r="I266" t="s">
        <v>9</v>
      </c>
      <c r="L266" t="s">
        <v>161</v>
      </c>
      <c r="M266">
        <v>-187500000</v>
      </c>
    </row>
    <row r="267" spans="1:13" x14ac:dyDescent="0.3">
      <c r="A267" s="23">
        <v>45336</v>
      </c>
      <c r="B267" t="s">
        <v>12</v>
      </c>
      <c r="C267" t="s">
        <v>132</v>
      </c>
      <c r="D267" t="s">
        <v>16</v>
      </c>
      <c r="E267" t="s">
        <v>136</v>
      </c>
      <c r="F267">
        <v>100000000</v>
      </c>
      <c r="G267" t="s">
        <v>134</v>
      </c>
      <c r="H267" t="s">
        <v>81</v>
      </c>
      <c r="I267" t="s">
        <v>9</v>
      </c>
      <c r="L267" t="s">
        <v>161</v>
      </c>
      <c r="M267">
        <v>100000000</v>
      </c>
    </row>
    <row r="268" spans="1:13" x14ac:dyDescent="0.3">
      <c r="A268" s="23">
        <v>45331</v>
      </c>
      <c r="B268" t="s">
        <v>12</v>
      </c>
      <c r="C268" t="s">
        <v>132</v>
      </c>
      <c r="D268" t="s">
        <v>16</v>
      </c>
      <c r="E268" t="s">
        <v>136</v>
      </c>
      <c r="F268">
        <v>16000000</v>
      </c>
      <c r="G268" t="s">
        <v>134</v>
      </c>
      <c r="H268" t="s">
        <v>81</v>
      </c>
      <c r="I268" t="s">
        <v>9</v>
      </c>
      <c r="L268" t="s">
        <v>161</v>
      </c>
      <c r="M268">
        <v>16000000</v>
      </c>
    </row>
    <row r="269" spans="1:13" x14ac:dyDescent="0.3">
      <c r="A269" s="23">
        <v>45331</v>
      </c>
      <c r="B269" t="s">
        <v>12</v>
      </c>
      <c r="C269" t="s">
        <v>132</v>
      </c>
      <c r="D269" t="s">
        <v>17</v>
      </c>
      <c r="E269" t="s">
        <v>136</v>
      </c>
      <c r="F269">
        <v>124353010.56</v>
      </c>
      <c r="G269" t="s">
        <v>134</v>
      </c>
      <c r="H269" t="s">
        <v>81</v>
      </c>
      <c r="I269" t="s">
        <v>9</v>
      </c>
      <c r="L269" t="s">
        <v>161</v>
      </c>
      <c r="M269">
        <v>-124353010.56</v>
      </c>
    </row>
    <row r="270" spans="1:13" x14ac:dyDescent="0.3">
      <c r="A270" s="23">
        <v>45181</v>
      </c>
      <c r="B270" t="s">
        <v>12</v>
      </c>
      <c r="C270" t="s">
        <v>132</v>
      </c>
      <c r="D270" t="s">
        <v>17</v>
      </c>
      <c r="E270" t="s">
        <v>136</v>
      </c>
      <c r="F270">
        <v>348111991.00999999</v>
      </c>
      <c r="G270" t="s">
        <v>134</v>
      </c>
      <c r="H270" t="s">
        <v>81</v>
      </c>
      <c r="I270" t="s">
        <v>9</v>
      </c>
      <c r="L270" t="s">
        <v>161</v>
      </c>
      <c r="M270">
        <v>-348111991.00999999</v>
      </c>
    </row>
    <row r="271" spans="1:13" x14ac:dyDescent="0.3">
      <c r="A271" s="23">
        <v>45330</v>
      </c>
      <c r="B271" t="s">
        <v>12</v>
      </c>
      <c r="C271" t="s">
        <v>132</v>
      </c>
      <c r="D271" t="s">
        <v>17</v>
      </c>
      <c r="E271" t="s">
        <v>136</v>
      </c>
      <c r="F271">
        <v>155708813.99000001</v>
      </c>
      <c r="G271" t="s">
        <v>134</v>
      </c>
      <c r="H271" t="s">
        <v>81</v>
      </c>
      <c r="I271" t="s">
        <v>9</v>
      </c>
      <c r="L271" t="s">
        <v>161</v>
      </c>
      <c r="M271">
        <v>-155708813.99000001</v>
      </c>
    </row>
    <row r="272" spans="1:13" x14ac:dyDescent="0.3">
      <c r="A272" s="23">
        <v>45330</v>
      </c>
      <c r="B272" t="s">
        <v>12</v>
      </c>
      <c r="C272" t="s">
        <v>132</v>
      </c>
      <c r="D272" t="s">
        <v>16</v>
      </c>
      <c r="E272" t="s">
        <v>136</v>
      </c>
      <c r="F272">
        <v>200000000</v>
      </c>
      <c r="G272" t="s">
        <v>134</v>
      </c>
      <c r="H272" t="s">
        <v>81</v>
      </c>
      <c r="I272" t="s">
        <v>9</v>
      </c>
      <c r="L272" t="s">
        <v>161</v>
      </c>
      <c r="M272">
        <v>200000000</v>
      </c>
    </row>
    <row r="273" spans="1:13" x14ac:dyDescent="0.3">
      <c r="A273" s="23">
        <v>45328</v>
      </c>
      <c r="B273" t="s">
        <v>12</v>
      </c>
      <c r="C273" t="s">
        <v>132</v>
      </c>
      <c r="D273" t="s">
        <v>16</v>
      </c>
      <c r="E273" t="s">
        <v>136</v>
      </c>
      <c r="F273">
        <v>31004967</v>
      </c>
      <c r="G273" t="s">
        <v>134</v>
      </c>
      <c r="H273" t="s">
        <v>81</v>
      </c>
      <c r="I273" t="s">
        <v>9</v>
      </c>
      <c r="L273" t="s">
        <v>161</v>
      </c>
      <c r="M273">
        <v>31004967</v>
      </c>
    </row>
    <row r="274" spans="1:13" x14ac:dyDescent="0.3">
      <c r="A274" s="23">
        <v>45328</v>
      </c>
      <c r="B274" t="s">
        <v>12</v>
      </c>
      <c r="C274" t="s">
        <v>132</v>
      </c>
      <c r="D274" t="s">
        <v>16</v>
      </c>
      <c r="E274" t="s">
        <v>136</v>
      </c>
      <c r="F274">
        <v>500000000</v>
      </c>
      <c r="G274" t="s">
        <v>134</v>
      </c>
      <c r="H274" t="s">
        <v>81</v>
      </c>
      <c r="I274" t="s">
        <v>9</v>
      </c>
      <c r="L274" t="s">
        <v>161</v>
      </c>
      <c r="M274">
        <v>500000000</v>
      </c>
    </row>
    <row r="275" spans="1:13" x14ac:dyDescent="0.3">
      <c r="A275" s="23">
        <v>45327</v>
      </c>
      <c r="B275" t="s">
        <v>12</v>
      </c>
      <c r="C275" t="s">
        <v>132</v>
      </c>
      <c r="D275" t="s">
        <v>17</v>
      </c>
      <c r="E275" t="s">
        <v>136</v>
      </c>
      <c r="F275">
        <v>825700000</v>
      </c>
      <c r="G275" t="s">
        <v>134</v>
      </c>
      <c r="H275" t="s">
        <v>81</v>
      </c>
      <c r="I275" t="s">
        <v>9</v>
      </c>
      <c r="L275" t="s">
        <v>161</v>
      </c>
      <c r="M275">
        <v>-825700000</v>
      </c>
    </row>
    <row r="276" spans="1:13" x14ac:dyDescent="0.3">
      <c r="A276" s="23">
        <v>45182</v>
      </c>
      <c r="B276" t="s">
        <v>12</v>
      </c>
      <c r="C276" t="s">
        <v>132</v>
      </c>
      <c r="D276" t="s">
        <v>16</v>
      </c>
      <c r="E276" t="s">
        <v>136</v>
      </c>
      <c r="F276">
        <v>359235587.31</v>
      </c>
      <c r="G276" t="s">
        <v>134</v>
      </c>
      <c r="H276" t="s">
        <v>81</v>
      </c>
      <c r="I276" t="s">
        <v>9</v>
      </c>
      <c r="L276" t="s">
        <v>161</v>
      </c>
      <c r="M276">
        <v>359235587.31</v>
      </c>
    </row>
    <row r="277" spans="1:13" x14ac:dyDescent="0.3">
      <c r="A277" s="23">
        <v>45183</v>
      </c>
      <c r="B277" t="s">
        <v>12</v>
      </c>
      <c r="C277" t="s">
        <v>132</v>
      </c>
      <c r="D277" t="s">
        <v>17</v>
      </c>
      <c r="E277" t="s">
        <v>136</v>
      </c>
      <c r="F277">
        <v>200000000</v>
      </c>
      <c r="G277" t="s">
        <v>134</v>
      </c>
      <c r="H277" t="s">
        <v>81</v>
      </c>
      <c r="I277" t="s">
        <v>9</v>
      </c>
      <c r="L277" t="s">
        <v>161</v>
      </c>
      <c r="M277">
        <v>-200000000</v>
      </c>
    </row>
    <row r="278" spans="1:13" x14ac:dyDescent="0.3">
      <c r="A278" s="23">
        <v>45327</v>
      </c>
      <c r="B278" t="s">
        <v>12</v>
      </c>
      <c r="C278" t="s">
        <v>132</v>
      </c>
      <c r="D278" t="s">
        <v>17</v>
      </c>
      <c r="E278" t="s">
        <v>136</v>
      </c>
      <c r="F278">
        <v>181004967</v>
      </c>
      <c r="G278" t="s">
        <v>134</v>
      </c>
      <c r="H278" t="s">
        <v>81</v>
      </c>
      <c r="I278" t="s">
        <v>9</v>
      </c>
      <c r="L278" t="s">
        <v>161</v>
      </c>
      <c r="M278">
        <v>-181004967</v>
      </c>
    </row>
    <row r="279" spans="1:13" x14ac:dyDescent="0.3">
      <c r="A279" s="23">
        <v>45323</v>
      </c>
      <c r="B279" t="s">
        <v>12</v>
      </c>
      <c r="C279" t="s">
        <v>132</v>
      </c>
      <c r="D279" t="s">
        <v>17</v>
      </c>
      <c r="E279" t="s">
        <v>136</v>
      </c>
      <c r="F279">
        <v>822600000</v>
      </c>
      <c r="G279" t="s">
        <v>134</v>
      </c>
      <c r="H279" t="s">
        <v>81</v>
      </c>
      <c r="I279" t="s">
        <v>9</v>
      </c>
      <c r="L279" t="s">
        <v>161</v>
      </c>
      <c r="M279">
        <v>-822600000</v>
      </c>
    </row>
    <row r="280" spans="1:13" x14ac:dyDescent="0.3">
      <c r="A280" s="23">
        <v>45184</v>
      </c>
      <c r="B280" t="s">
        <v>12</v>
      </c>
      <c r="C280" t="s">
        <v>132</v>
      </c>
      <c r="D280" t="s">
        <v>17</v>
      </c>
      <c r="E280" t="s">
        <v>136</v>
      </c>
      <c r="F280">
        <v>113476995.42</v>
      </c>
      <c r="G280" t="s">
        <v>134</v>
      </c>
      <c r="H280" t="s">
        <v>81</v>
      </c>
      <c r="I280" t="s">
        <v>9</v>
      </c>
      <c r="L280" t="s">
        <v>161</v>
      </c>
      <c r="M280">
        <v>-113476995.42</v>
      </c>
    </row>
    <row r="281" spans="1:13" x14ac:dyDescent="0.3">
      <c r="A281" s="23">
        <v>45184</v>
      </c>
      <c r="B281" t="s">
        <v>12</v>
      </c>
      <c r="C281" t="s">
        <v>132</v>
      </c>
      <c r="D281" t="s">
        <v>16</v>
      </c>
      <c r="E281" t="s">
        <v>136</v>
      </c>
      <c r="F281">
        <v>1379837.93</v>
      </c>
      <c r="G281" t="s">
        <v>134</v>
      </c>
      <c r="H281" t="s">
        <v>81</v>
      </c>
      <c r="I281" t="s">
        <v>9</v>
      </c>
      <c r="L281" t="s">
        <v>161</v>
      </c>
      <c r="M281">
        <v>1379837.93</v>
      </c>
    </row>
    <row r="282" spans="1:13" x14ac:dyDescent="0.3">
      <c r="A282" s="23">
        <v>45323</v>
      </c>
      <c r="B282" t="s">
        <v>12</v>
      </c>
      <c r="C282" t="s">
        <v>132</v>
      </c>
      <c r="D282" t="s">
        <v>16</v>
      </c>
      <c r="E282" t="s">
        <v>136</v>
      </c>
      <c r="F282">
        <v>300000000</v>
      </c>
      <c r="G282" t="s">
        <v>134</v>
      </c>
      <c r="H282" t="s">
        <v>81</v>
      </c>
      <c r="I282" t="s">
        <v>9</v>
      </c>
      <c r="L282" t="s">
        <v>161</v>
      </c>
      <c r="M282">
        <v>300000000</v>
      </c>
    </row>
    <row r="283" spans="1:13" x14ac:dyDescent="0.3">
      <c r="A283" s="23">
        <v>45323</v>
      </c>
      <c r="B283" t="s">
        <v>12</v>
      </c>
      <c r="C283" t="s">
        <v>132</v>
      </c>
      <c r="D283" t="s">
        <v>16</v>
      </c>
      <c r="E283" t="s">
        <v>136</v>
      </c>
      <c r="F283">
        <v>15754822.73</v>
      </c>
      <c r="G283" t="s">
        <v>134</v>
      </c>
      <c r="H283" t="s">
        <v>81</v>
      </c>
      <c r="I283" t="s">
        <v>9</v>
      </c>
      <c r="L283" t="s">
        <v>161</v>
      </c>
      <c r="M283">
        <v>15754822.73</v>
      </c>
    </row>
    <row r="284" spans="1:13" x14ac:dyDescent="0.3">
      <c r="A284" s="23">
        <v>45322</v>
      </c>
      <c r="B284" t="s">
        <v>12</v>
      </c>
      <c r="C284" t="s">
        <v>132</v>
      </c>
      <c r="D284" t="s">
        <v>16</v>
      </c>
      <c r="E284" t="s">
        <v>136</v>
      </c>
      <c r="F284">
        <v>200000000</v>
      </c>
      <c r="G284" t="s">
        <v>134</v>
      </c>
      <c r="H284" t="s">
        <v>81</v>
      </c>
      <c r="I284" t="s">
        <v>9</v>
      </c>
      <c r="L284" t="s">
        <v>161</v>
      </c>
      <c r="M284">
        <v>200000000</v>
      </c>
    </row>
    <row r="285" spans="1:13" x14ac:dyDescent="0.3">
      <c r="A285" s="23">
        <v>45322</v>
      </c>
      <c r="B285" t="s">
        <v>12</v>
      </c>
      <c r="C285" t="s">
        <v>132</v>
      </c>
      <c r="D285" t="s">
        <v>17</v>
      </c>
      <c r="E285" t="s">
        <v>136</v>
      </c>
      <c r="F285">
        <v>164444822.72999999</v>
      </c>
      <c r="G285" t="s">
        <v>134</v>
      </c>
      <c r="H285" t="s">
        <v>81</v>
      </c>
      <c r="I285" t="s">
        <v>9</v>
      </c>
      <c r="L285" t="s">
        <v>161</v>
      </c>
      <c r="M285">
        <v>-164444822.72999999</v>
      </c>
    </row>
    <row r="286" spans="1:13" x14ac:dyDescent="0.3">
      <c r="A286" s="23">
        <v>45321</v>
      </c>
      <c r="B286" t="s">
        <v>12</v>
      </c>
      <c r="C286" t="s">
        <v>132</v>
      </c>
      <c r="D286" t="s">
        <v>16</v>
      </c>
      <c r="E286" t="s">
        <v>136</v>
      </c>
      <c r="F286">
        <v>1600000000</v>
      </c>
      <c r="G286" t="s">
        <v>134</v>
      </c>
      <c r="H286" t="s">
        <v>81</v>
      </c>
      <c r="I286" t="s">
        <v>9</v>
      </c>
      <c r="L286" t="s">
        <v>161</v>
      </c>
      <c r="M286">
        <v>1600000000</v>
      </c>
    </row>
    <row r="287" spans="1:13" x14ac:dyDescent="0.3">
      <c r="A287" s="23">
        <v>45320</v>
      </c>
      <c r="B287" t="s">
        <v>12</v>
      </c>
      <c r="C287" t="s">
        <v>132</v>
      </c>
      <c r="D287" t="s">
        <v>16</v>
      </c>
      <c r="E287" t="s">
        <v>136</v>
      </c>
      <c r="F287">
        <v>1800000000</v>
      </c>
      <c r="G287" t="s">
        <v>134</v>
      </c>
      <c r="H287" t="s">
        <v>81</v>
      </c>
      <c r="I287" t="s">
        <v>9</v>
      </c>
      <c r="L287" t="s">
        <v>161</v>
      </c>
      <c r="M287">
        <v>1800000000</v>
      </c>
    </row>
    <row r="288" spans="1:13" x14ac:dyDescent="0.3">
      <c r="A288" s="23">
        <v>45317</v>
      </c>
      <c r="B288" t="s">
        <v>12</v>
      </c>
      <c r="C288" t="s">
        <v>132</v>
      </c>
      <c r="D288" t="s">
        <v>16</v>
      </c>
      <c r="E288" t="s">
        <v>136</v>
      </c>
      <c r="F288">
        <v>3110380.07</v>
      </c>
      <c r="G288" t="s">
        <v>134</v>
      </c>
      <c r="H288" t="s">
        <v>81</v>
      </c>
      <c r="I288" t="s">
        <v>9</v>
      </c>
      <c r="L288" t="s">
        <v>161</v>
      </c>
      <c r="M288">
        <v>3110380.07</v>
      </c>
    </row>
    <row r="289" spans="1:13" x14ac:dyDescent="0.3">
      <c r="A289" s="23">
        <v>45316</v>
      </c>
      <c r="B289" t="s">
        <v>12</v>
      </c>
      <c r="C289" t="s">
        <v>132</v>
      </c>
      <c r="D289" t="s">
        <v>17</v>
      </c>
      <c r="E289" t="s">
        <v>136</v>
      </c>
      <c r="F289">
        <v>820355979</v>
      </c>
      <c r="G289" t="s">
        <v>134</v>
      </c>
      <c r="H289" t="s">
        <v>81</v>
      </c>
      <c r="I289" t="s">
        <v>9</v>
      </c>
      <c r="L289" t="s">
        <v>161</v>
      </c>
      <c r="M289">
        <v>-820355979</v>
      </c>
    </row>
    <row r="290" spans="1:13" x14ac:dyDescent="0.3">
      <c r="A290" s="23">
        <v>45314</v>
      </c>
      <c r="B290" t="s">
        <v>12</v>
      </c>
      <c r="C290" t="s">
        <v>132</v>
      </c>
      <c r="D290" t="s">
        <v>16</v>
      </c>
      <c r="E290" t="s">
        <v>136</v>
      </c>
      <c r="F290">
        <v>900000000</v>
      </c>
      <c r="G290" t="s">
        <v>134</v>
      </c>
      <c r="H290" t="s">
        <v>81</v>
      </c>
      <c r="I290" t="s">
        <v>9</v>
      </c>
      <c r="L290" t="s">
        <v>161</v>
      </c>
      <c r="M290">
        <v>900000000</v>
      </c>
    </row>
    <row r="291" spans="1:13" x14ac:dyDescent="0.3">
      <c r="A291" s="23">
        <v>45188</v>
      </c>
      <c r="B291" t="s">
        <v>12</v>
      </c>
      <c r="C291" t="s">
        <v>132</v>
      </c>
      <c r="D291" t="s">
        <v>16</v>
      </c>
      <c r="E291" t="s">
        <v>136</v>
      </c>
      <c r="F291">
        <v>189282512.55000001</v>
      </c>
      <c r="G291" t="s">
        <v>134</v>
      </c>
      <c r="H291" t="s">
        <v>81</v>
      </c>
      <c r="I291" t="s">
        <v>9</v>
      </c>
      <c r="L291" t="s">
        <v>161</v>
      </c>
      <c r="M291">
        <v>189282512.55000001</v>
      </c>
    </row>
    <row r="292" spans="1:13" x14ac:dyDescent="0.3">
      <c r="A292" s="23">
        <v>45310</v>
      </c>
      <c r="B292" t="s">
        <v>12</v>
      </c>
      <c r="C292" t="s">
        <v>132</v>
      </c>
      <c r="D292" t="s">
        <v>17</v>
      </c>
      <c r="E292" t="s">
        <v>136</v>
      </c>
      <c r="F292">
        <v>807264401.07000005</v>
      </c>
      <c r="G292" t="s">
        <v>134</v>
      </c>
      <c r="H292" t="s">
        <v>81</v>
      </c>
      <c r="I292" t="s">
        <v>9</v>
      </c>
      <c r="L292" t="s">
        <v>161</v>
      </c>
      <c r="M292">
        <v>-807264401.07000005</v>
      </c>
    </row>
    <row r="293" spans="1:13" x14ac:dyDescent="0.3">
      <c r="A293" s="23">
        <v>45308</v>
      </c>
      <c r="B293" t="s">
        <v>12</v>
      </c>
      <c r="C293" t="s">
        <v>132</v>
      </c>
      <c r="D293" t="s">
        <v>16</v>
      </c>
      <c r="E293" t="s">
        <v>136</v>
      </c>
      <c r="F293">
        <v>1000000000</v>
      </c>
      <c r="G293" t="s">
        <v>134</v>
      </c>
      <c r="H293" t="s">
        <v>81</v>
      </c>
      <c r="I293" t="s">
        <v>9</v>
      </c>
      <c r="L293" t="s">
        <v>161</v>
      </c>
      <c r="M293">
        <v>1000000000</v>
      </c>
    </row>
    <row r="294" spans="1:13" x14ac:dyDescent="0.3">
      <c r="A294" s="23">
        <v>45307</v>
      </c>
      <c r="B294" t="s">
        <v>12</v>
      </c>
      <c r="C294" t="s">
        <v>132</v>
      </c>
      <c r="D294" t="s">
        <v>17</v>
      </c>
      <c r="E294" t="s">
        <v>136</v>
      </c>
      <c r="F294">
        <v>195700000</v>
      </c>
      <c r="G294" t="s">
        <v>134</v>
      </c>
      <c r="H294" t="s">
        <v>81</v>
      </c>
      <c r="I294" t="s">
        <v>9</v>
      </c>
      <c r="L294" t="s">
        <v>161</v>
      </c>
      <c r="M294">
        <v>-195700000</v>
      </c>
    </row>
    <row r="295" spans="1:13" x14ac:dyDescent="0.3">
      <c r="A295" s="23">
        <v>45306</v>
      </c>
      <c r="B295" t="s">
        <v>12</v>
      </c>
      <c r="C295" t="s">
        <v>132</v>
      </c>
      <c r="D295" t="s">
        <v>17</v>
      </c>
      <c r="E295" t="s">
        <v>136</v>
      </c>
      <c r="F295">
        <v>147000000</v>
      </c>
      <c r="G295" t="s">
        <v>134</v>
      </c>
      <c r="H295" t="s">
        <v>81</v>
      </c>
      <c r="I295" t="s">
        <v>9</v>
      </c>
      <c r="L295" t="s">
        <v>161</v>
      </c>
      <c r="M295">
        <v>-147000000</v>
      </c>
    </row>
    <row r="296" spans="1:13" x14ac:dyDescent="0.3">
      <c r="A296" s="23">
        <v>45190</v>
      </c>
      <c r="B296" t="s">
        <v>12</v>
      </c>
      <c r="C296" t="s">
        <v>132</v>
      </c>
      <c r="D296" t="s">
        <v>17</v>
      </c>
      <c r="E296" t="s">
        <v>136</v>
      </c>
      <c r="F296">
        <v>116000000</v>
      </c>
      <c r="G296" t="s">
        <v>134</v>
      </c>
      <c r="H296" t="s">
        <v>81</v>
      </c>
      <c r="I296" t="s">
        <v>9</v>
      </c>
      <c r="L296" t="s">
        <v>161</v>
      </c>
      <c r="M296">
        <v>-116000000</v>
      </c>
    </row>
    <row r="297" spans="1:13" x14ac:dyDescent="0.3">
      <c r="A297" s="23">
        <v>45191</v>
      </c>
      <c r="B297" t="s">
        <v>12</v>
      </c>
      <c r="C297" t="s">
        <v>132</v>
      </c>
      <c r="D297" t="s">
        <v>17</v>
      </c>
      <c r="E297" t="s">
        <v>136</v>
      </c>
      <c r="F297">
        <v>43400000</v>
      </c>
      <c r="G297" t="s">
        <v>134</v>
      </c>
      <c r="H297" t="s">
        <v>81</v>
      </c>
      <c r="I297" t="s">
        <v>9</v>
      </c>
      <c r="L297" t="s">
        <v>161</v>
      </c>
      <c r="M297">
        <v>-43400000</v>
      </c>
    </row>
    <row r="298" spans="1:13" x14ac:dyDescent="0.3">
      <c r="A298" s="23">
        <v>45194</v>
      </c>
      <c r="B298" t="s">
        <v>12</v>
      </c>
      <c r="C298" t="s">
        <v>132</v>
      </c>
      <c r="D298" t="s">
        <v>17</v>
      </c>
      <c r="E298" t="s">
        <v>136</v>
      </c>
      <c r="F298">
        <v>77020942.370000005</v>
      </c>
      <c r="G298" t="s">
        <v>134</v>
      </c>
      <c r="H298" t="s">
        <v>81</v>
      </c>
      <c r="I298" t="s">
        <v>9</v>
      </c>
      <c r="L298" t="s">
        <v>161</v>
      </c>
      <c r="M298">
        <v>-77020942.370000005</v>
      </c>
    </row>
    <row r="299" spans="1:13" x14ac:dyDescent="0.3">
      <c r="A299" s="23">
        <v>45299</v>
      </c>
      <c r="B299" t="s">
        <v>12</v>
      </c>
      <c r="C299" t="s">
        <v>132</v>
      </c>
      <c r="D299" t="s">
        <v>16</v>
      </c>
      <c r="E299" t="s">
        <v>136</v>
      </c>
      <c r="F299">
        <v>900000</v>
      </c>
      <c r="G299" t="s">
        <v>134</v>
      </c>
      <c r="H299" t="s">
        <v>81</v>
      </c>
      <c r="I299" t="s">
        <v>9</v>
      </c>
      <c r="L299" t="s">
        <v>161</v>
      </c>
      <c r="M299">
        <v>900000</v>
      </c>
    </row>
    <row r="300" spans="1:13" x14ac:dyDescent="0.3">
      <c r="A300" s="23">
        <v>45295</v>
      </c>
      <c r="B300" t="s">
        <v>12</v>
      </c>
      <c r="C300" t="s">
        <v>132</v>
      </c>
      <c r="D300" t="s">
        <v>16</v>
      </c>
      <c r="E300" t="s">
        <v>136</v>
      </c>
      <c r="F300">
        <v>400000000</v>
      </c>
      <c r="G300" t="s">
        <v>134</v>
      </c>
      <c r="H300" t="s">
        <v>81</v>
      </c>
      <c r="I300" t="s">
        <v>9</v>
      </c>
      <c r="L300" t="s">
        <v>161</v>
      </c>
      <c r="M300">
        <v>400000000</v>
      </c>
    </row>
    <row r="301" spans="1:13" x14ac:dyDescent="0.3">
      <c r="A301" s="23">
        <v>45195</v>
      </c>
      <c r="B301" t="s">
        <v>12</v>
      </c>
      <c r="C301" t="s">
        <v>132</v>
      </c>
      <c r="D301" t="s">
        <v>16</v>
      </c>
      <c r="E301" t="s">
        <v>136</v>
      </c>
      <c r="F301">
        <v>400000000</v>
      </c>
      <c r="G301" t="s">
        <v>134</v>
      </c>
      <c r="H301" t="s">
        <v>81</v>
      </c>
      <c r="I301" t="s">
        <v>9</v>
      </c>
      <c r="L301" t="s">
        <v>161</v>
      </c>
      <c r="M301">
        <v>400000000</v>
      </c>
    </row>
    <row r="302" spans="1:13" x14ac:dyDescent="0.3">
      <c r="A302" s="23">
        <v>45198</v>
      </c>
      <c r="B302" t="s">
        <v>12</v>
      </c>
      <c r="C302" t="s">
        <v>132</v>
      </c>
      <c r="D302" t="s">
        <v>17</v>
      </c>
      <c r="E302" t="s">
        <v>136</v>
      </c>
      <c r="F302">
        <v>354754219.14999998</v>
      </c>
      <c r="G302" t="s">
        <v>134</v>
      </c>
      <c r="H302" t="s">
        <v>81</v>
      </c>
      <c r="I302" t="s">
        <v>9</v>
      </c>
      <c r="L302" t="s">
        <v>161</v>
      </c>
      <c r="M302">
        <v>-354754219.14999998</v>
      </c>
    </row>
    <row r="303" spans="1:13" x14ac:dyDescent="0.3">
      <c r="A303" s="23">
        <v>45201</v>
      </c>
      <c r="B303" t="s">
        <v>12</v>
      </c>
      <c r="C303" t="s">
        <v>132</v>
      </c>
      <c r="D303" t="s">
        <v>17</v>
      </c>
      <c r="E303" t="s">
        <v>136</v>
      </c>
      <c r="F303">
        <v>44400258.890000001</v>
      </c>
      <c r="G303" t="s">
        <v>134</v>
      </c>
      <c r="H303" t="s">
        <v>81</v>
      </c>
      <c r="I303" t="s">
        <v>9</v>
      </c>
      <c r="L303" t="s">
        <v>161</v>
      </c>
      <c r="M303">
        <v>-44400258.890000001</v>
      </c>
    </row>
    <row r="304" spans="1:13" x14ac:dyDescent="0.3">
      <c r="A304" s="23">
        <v>45287</v>
      </c>
      <c r="B304" t="s">
        <v>12</v>
      </c>
      <c r="C304" t="s">
        <v>132</v>
      </c>
      <c r="D304" t="s">
        <v>17</v>
      </c>
      <c r="E304" t="s">
        <v>136</v>
      </c>
      <c r="F304">
        <v>714000000</v>
      </c>
      <c r="G304" t="s">
        <v>134</v>
      </c>
      <c r="H304" t="s">
        <v>81</v>
      </c>
      <c r="I304" t="s">
        <v>9</v>
      </c>
      <c r="L304" t="s">
        <v>161</v>
      </c>
      <c r="M304">
        <v>-714000000</v>
      </c>
    </row>
    <row r="305" spans="1:13" x14ac:dyDescent="0.3">
      <c r="A305" s="23">
        <v>45286</v>
      </c>
      <c r="B305" t="s">
        <v>12</v>
      </c>
      <c r="C305" t="s">
        <v>132</v>
      </c>
      <c r="D305" t="s">
        <v>17</v>
      </c>
      <c r="E305" t="s">
        <v>136</v>
      </c>
      <c r="F305">
        <v>364233281.58999997</v>
      </c>
      <c r="G305" t="s">
        <v>134</v>
      </c>
      <c r="H305" t="s">
        <v>81</v>
      </c>
      <c r="I305" t="s">
        <v>9</v>
      </c>
      <c r="L305" t="s">
        <v>161</v>
      </c>
      <c r="M305">
        <v>-364233281.58999997</v>
      </c>
    </row>
    <row r="306" spans="1:13" x14ac:dyDescent="0.3">
      <c r="A306" s="23">
        <v>45282</v>
      </c>
      <c r="B306" t="s">
        <v>12</v>
      </c>
      <c r="C306" t="s">
        <v>132</v>
      </c>
      <c r="D306" t="s">
        <v>16</v>
      </c>
      <c r="E306" t="s">
        <v>136</v>
      </c>
      <c r="F306">
        <v>429134651.85000002</v>
      </c>
      <c r="G306" t="s">
        <v>134</v>
      </c>
      <c r="H306" t="s">
        <v>81</v>
      </c>
      <c r="I306" t="s">
        <v>9</v>
      </c>
      <c r="L306" t="s">
        <v>161</v>
      </c>
      <c r="M306">
        <v>429134651.85000002</v>
      </c>
    </row>
    <row r="307" spans="1:13" x14ac:dyDescent="0.3">
      <c r="A307" s="23">
        <v>45281</v>
      </c>
      <c r="B307" t="s">
        <v>12</v>
      </c>
      <c r="C307" t="s">
        <v>132</v>
      </c>
      <c r="D307" t="s">
        <v>16</v>
      </c>
      <c r="E307" t="s">
        <v>136</v>
      </c>
      <c r="F307">
        <v>77046629.739999995</v>
      </c>
      <c r="G307" t="s">
        <v>134</v>
      </c>
      <c r="H307" t="s">
        <v>81</v>
      </c>
      <c r="I307" t="s">
        <v>9</v>
      </c>
      <c r="L307" t="s">
        <v>161</v>
      </c>
      <c r="M307">
        <v>77046629.739999995</v>
      </c>
    </row>
    <row r="308" spans="1:13" x14ac:dyDescent="0.3">
      <c r="A308" s="23">
        <v>45203</v>
      </c>
      <c r="B308" t="s">
        <v>12</v>
      </c>
      <c r="C308" t="s">
        <v>132</v>
      </c>
      <c r="D308" t="s">
        <v>16</v>
      </c>
      <c r="E308" t="s">
        <v>136</v>
      </c>
      <c r="F308">
        <v>205000000</v>
      </c>
      <c r="G308" t="s">
        <v>134</v>
      </c>
      <c r="H308" t="s">
        <v>81</v>
      </c>
      <c r="I308" t="s">
        <v>9</v>
      </c>
      <c r="L308" t="s">
        <v>161</v>
      </c>
      <c r="M308">
        <v>205000000</v>
      </c>
    </row>
    <row r="309" spans="1:13" x14ac:dyDescent="0.3">
      <c r="A309" s="23">
        <v>45275</v>
      </c>
      <c r="B309" t="s">
        <v>12</v>
      </c>
      <c r="C309" t="s">
        <v>132</v>
      </c>
      <c r="D309" t="s">
        <v>16</v>
      </c>
      <c r="E309" t="s">
        <v>136</v>
      </c>
      <c r="F309">
        <v>572052000</v>
      </c>
      <c r="G309" t="s">
        <v>134</v>
      </c>
      <c r="H309" t="s">
        <v>81</v>
      </c>
      <c r="I309" t="s">
        <v>9</v>
      </c>
      <c r="L309" t="s">
        <v>161</v>
      </c>
      <c r="M309">
        <v>572052000</v>
      </c>
    </row>
    <row r="310" spans="1:13" x14ac:dyDescent="0.3">
      <c r="A310" s="23">
        <v>45204</v>
      </c>
      <c r="B310" t="s">
        <v>12</v>
      </c>
      <c r="C310" t="s">
        <v>132</v>
      </c>
      <c r="D310" t="s">
        <v>17</v>
      </c>
      <c r="E310" t="s">
        <v>136</v>
      </c>
      <c r="F310">
        <v>199441660.44999999</v>
      </c>
      <c r="G310" t="s">
        <v>134</v>
      </c>
      <c r="H310" t="s">
        <v>81</v>
      </c>
      <c r="I310" t="s">
        <v>9</v>
      </c>
      <c r="L310" t="s">
        <v>161</v>
      </c>
      <c r="M310">
        <v>-199441660.44999999</v>
      </c>
    </row>
    <row r="311" spans="1:13" x14ac:dyDescent="0.3">
      <c r="A311" s="23">
        <v>45205</v>
      </c>
      <c r="B311" t="s">
        <v>12</v>
      </c>
      <c r="C311" t="s">
        <v>132</v>
      </c>
      <c r="D311" t="s">
        <v>17</v>
      </c>
      <c r="E311" t="s">
        <v>136</v>
      </c>
      <c r="F311">
        <v>6403861.5099999998</v>
      </c>
      <c r="G311" t="s">
        <v>134</v>
      </c>
      <c r="H311" t="s">
        <v>81</v>
      </c>
      <c r="I311" t="s">
        <v>9</v>
      </c>
      <c r="L311" t="s">
        <v>161</v>
      </c>
      <c r="M311">
        <v>-6403861.5099999998</v>
      </c>
    </row>
    <row r="312" spans="1:13" x14ac:dyDescent="0.3">
      <c r="A312" s="23">
        <v>45267</v>
      </c>
      <c r="B312" t="s">
        <v>12</v>
      </c>
      <c r="C312" t="s">
        <v>132</v>
      </c>
      <c r="D312" t="s">
        <v>17</v>
      </c>
      <c r="E312" t="s">
        <v>136</v>
      </c>
      <c r="F312">
        <v>57546500</v>
      </c>
      <c r="G312" t="s">
        <v>134</v>
      </c>
      <c r="H312" t="s">
        <v>81</v>
      </c>
      <c r="I312" t="s">
        <v>9</v>
      </c>
      <c r="L312" t="s">
        <v>161</v>
      </c>
      <c r="M312">
        <v>-57546500</v>
      </c>
    </row>
    <row r="313" spans="1:13" x14ac:dyDescent="0.3">
      <c r="A313" s="23">
        <v>45266</v>
      </c>
      <c r="B313" t="s">
        <v>12</v>
      </c>
      <c r="C313" t="s">
        <v>132</v>
      </c>
      <c r="D313" t="s">
        <v>16</v>
      </c>
      <c r="E313" t="s">
        <v>136</v>
      </c>
      <c r="F313">
        <v>40000000</v>
      </c>
      <c r="G313" t="s">
        <v>134</v>
      </c>
      <c r="H313" t="s">
        <v>81</v>
      </c>
      <c r="I313" t="s">
        <v>9</v>
      </c>
      <c r="L313" t="s">
        <v>161</v>
      </c>
      <c r="M313">
        <v>40000000</v>
      </c>
    </row>
    <row r="314" spans="1:13" x14ac:dyDescent="0.3">
      <c r="A314" s="23">
        <v>45265</v>
      </c>
      <c r="B314" t="s">
        <v>12</v>
      </c>
      <c r="C314" t="s">
        <v>132</v>
      </c>
      <c r="D314" t="s">
        <v>17</v>
      </c>
      <c r="E314" t="s">
        <v>136</v>
      </c>
      <c r="F314">
        <v>41000000</v>
      </c>
      <c r="G314" t="s">
        <v>134</v>
      </c>
      <c r="H314" t="s">
        <v>81</v>
      </c>
      <c r="I314" t="s">
        <v>9</v>
      </c>
      <c r="L314" t="s">
        <v>161</v>
      </c>
      <c r="M314">
        <v>-41000000</v>
      </c>
    </row>
    <row r="315" spans="1:13" x14ac:dyDescent="0.3">
      <c r="A315" s="23">
        <v>45261</v>
      </c>
      <c r="B315" t="s">
        <v>12</v>
      </c>
      <c r="C315" t="s">
        <v>132</v>
      </c>
      <c r="D315" t="s">
        <v>17</v>
      </c>
      <c r="E315" t="s">
        <v>136</v>
      </c>
      <c r="F315">
        <v>200000000</v>
      </c>
      <c r="G315" t="s">
        <v>134</v>
      </c>
      <c r="H315" t="s">
        <v>81</v>
      </c>
      <c r="I315" t="s">
        <v>9</v>
      </c>
      <c r="L315" t="s">
        <v>161</v>
      </c>
      <c r="M315">
        <v>-200000000</v>
      </c>
    </row>
    <row r="316" spans="1:13" x14ac:dyDescent="0.3">
      <c r="A316" s="23">
        <v>45260</v>
      </c>
      <c r="B316" t="s">
        <v>12</v>
      </c>
      <c r="C316" t="s">
        <v>132</v>
      </c>
      <c r="D316" t="s">
        <v>17</v>
      </c>
      <c r="E316" t="s">
        <v>136</v>
      </c>
      <c r="F316">
        <v>229000000</v>
      </c>
      <c r="G316" t="s">
        <v>134</v>
      </c>
      <c r="H316" t="s">
        <v>81</v>
      </c>
      <c r="I316" t="s">
        <v>9</v>
      </c>
      <c r="L316" t="s">
        <v>161</v>
      </c>
      <c r="M316">
        <v>-229000000</v>
      </c>
    </row>
    <row r="317" spans="1:13" x14ac:dyDescent="0.3">
      <c r="A317" s="23">
        <v>45259</v>
      </c>
      <c r="B317" t="s">
        <v>12</v>
      </c>
      <c r="C317" t="s">
        <v>132</v>
      </c>
      <c r="D317" t="s">
        <v>16</v>
      </c>
      <c r="E317" t="s">
        <v>136</v>
      </c>
      <c r="F317">
        <v>232186500</v>
      </c>
      <c r="G317" t="s">
        <v>134</v>
      </c>
      <c r="H317" t="s">
        <v>81</v>
      </c>
      <c r="I317" t="s">
        <v>9</v>
      </c>
      <c r="L317" t="s">
        <v>161</v>
      </c>
      <c r="M317">
        <v>232186500</v>
      </c>
    </row>
    <row r="318" spans="1:13" x14ac:dyDescent="0.3">
      <c r="A318" s="23">
        <v>45258</v>
      </c>
      <c r="B318" t="s">
        <v>12</v>
      </c>
      <c r="C318" t="s">
        <v>132</v>
      </c>
      <c r="D318" t="s">
        <v>17</v>
      </c>
      <c r="E318" t="s">
        <v>136</v>
      </c>
      <c r="F318">
        <v>36200000</v>
      </c>
      <c r="G318" t="s">
        <v>134</v>
      </c>
      <c r="H318" t="s">
        <v>81</v>
      </c>
      <c r="I318" t="s">
        <v>9</v>
      </c>
      <c r="L318" t="s">
        <v>161</v>
      </c>
      <c r="M318">
        <v>-36200000</v>
      </c>
    </row>
    <row r="319" spans="1:13" x14ac:dyDescent="0.3">
      <c r="A319" s="23">
        <v>45257</v>
      </c>
      <c r="B319" t="s">
        <v>12</v>
      </c>
      <c r="C319" t="s">
        <v>132</v>
      </c>
      <c r="D319" t="s">
        <v>17</v>
      </c>
      <c r="E319" t="s">
        <v>136</v>
      </c>
      <c r="F319">
        <v>148600000</v>
      </c>
      <c r="G319" t="s">
        <v>134</v>
      </c>
      <c r="H319" t="s">
        <v>81</v>
      </c>
      <c r="I319" t="s">
        <v>9</v>
      </c>
      <c r="L319" t="s">
        <v>161</v>
      </c>
      <c r="M319">
        <v>-148600000</v>
      </c>
    </row>
    <row r="320" spans="1:13" x14ac:dyDescent="0.3">
      <c r="A320" s="23">
        <v>45254</v>
      </c>
      <c r="B320" t="s">
        <v>12</v>
      </c>
      <c r="C320" t="s">
        <v>132</v>
      </c>
      <c r="D320" t="s">
        <v>16</v>
      </c>
      <c r="E320" t="s">
        <v>136</v>
      </c>
      <c r="F320">
        <v>152640000</v>
      </c>
      <c r="G320" t="s">
        <v>134</v>
      </c>
      <c r="H320" t="s">
        <v>81</v>
      </c>
      <c r="I320" t="s">
        <v>9</v>
      </c>
      <c r="L320" t="s">
        <v>161</v>
      </c>
      <c r="M320">
        <v>152640000</v>
      </c>
    </row>
    <row r="321" spans="1:13" x14ac:dyDescent="0.3">
      <c r="A321" s="23">
        <v>45252</v>
      </c>
      <c r="B321" t="s">
        <v>12</v>
      </c>
      <c r="C321" t="s">
        <v>132</v>
      </c>
      <c r="D321" t="s">
        <v>16</v>
      </c>
      <c r="E321" t="s">
        <v>136</v>
      </c>
      <c r="F321">
        <v>287520000</v>
      </c>
      <c r="G321" t="s">
        <v>134</v>
      </c>
      <c r="H321" t="s">
        <v>81</v>
      </c>
      <c r="I321" t="s">
        <v>9</v>
      </c>
      <c r="L321" t="s">
        <v>161</v>
      </c>
      <c r="M321">
        <v>287520000</v>
      </c>
    </row>
    <row r="322" spans="1:13" x14ac:dyDescent="0.3">
      <c r="A322" s="23">
        <v>45247</v>
      </c>
      <c r="B322" t="s">
        <v>12</v>
      </c>
      <c r="C322" t="s">
        <v>132</v>
      </c>
      <c r="D322" t="s">
        <v>17</v>
      </c>
      <c r="E322" t="s">
        <v>136</v>
      </c>
      <c r="F322">
        <v>333595015.64999998</v>
      </c>
      <c r="G322" t="s">
        <v>134</v>
      </c>
      <c r="H322" t="s">
        <v>81</v>
      </c>
      <c r="I322" t="s">
        <v>9</v>
      </c>
      <c r="L322" t="s">
        <v>161</v>
      </c>
      <c r="M322">
        <v>-333595015.64999998</v>
      </c>
    </row>
    <row r="323" spans="1:13" x14ac:dyDescent="0.3">
      <c r="A323" s="23">
        <v>45246</v>
      </c>
      <c r="B323" t="s">
        <v>12</v>
      </c>
      <c r="C323" t="s">
        <v>132</v>
      </c>
      <c r="D323" t="s">
        <v>16</v>
      </c>
      <c r="E323" t="s">
        <v>136</v>
      </c>
      <c r="F323">
        <v>57955000</v>
      </c>
      <c r="G323" t="s">
        <v>134</v>
      </c>
      <c r="H323" t="s">
        <v>81</v>
      </c>
      <c r="I323" t="s">
        <v>9</v>
      </c>
      <c r="L323" t="s">
        <v>161</v>
      </c>
      <c r="M323">
        <v>57955000</v>
      </c>
    </row>
    <row r="324" spans="1:13" x14ac:dyDescent="0.3">
      <c r="A324" s="23">
        <v>45246</v>
      </c>
      <c r="B324" t="s">
        <v>12</v>
      </c>
      <c r="C324" t="s">
        <v>132</v>
      </c>
      <c r="D324" t="s">
        <v>16</v>
      </c>
      <c r="E324" t="s">
        <v>136</v>
      </c>
      <c r="F324">
        <v>158000000</v>
      </c>
      <c r="G324" t="s">
        <v>134</v>
      </c>
      <c r="H324" t="s">
        <v>81</v>
      </c>
      <c r="I324" t="s">
        <v>9</v>
      </c>
      <c r="L324" t="s">
        <v>161</v>
      </c>
      <c r="M324">
        <v>158000000</v>
      </c>
    </row>
    <row r="325" spans="1:13" x14ac:dyDescent="0.3">
      <c r="A325" s="23">
        <v>45246</v>
      </c>
      <c r="B325" t="s">
        <v>12</v>
      </c>
      <c r="C325" t="s">
        <v>132</v>
      </c>
      <c r="D325" t="s">
        <v>17</v>
      </c>
      <c r="E325" t="s">
        <v>136</v>
      </c>
      <c r="F325">
        <v>5949984.3499999996</v>
      </c>
      <c r="G325" t="s">
        <v>134</v>
      </c>
      <c r="H325" t="s">
        <v>81</v>
      </c>
      <c r="I325" t="s">
        <v>9</v>
      </c>
      <c r="L325" t="s">
        <v>161</v>
      </c>
      <c r="M325">
        <v>-5949984.3499999996</v>
      </c>
    </row>
    <row r="326" spans="1:13" x14ac:dyDescent="0.3">
      <c r="A326" s="23">
        <v>45239</v>
      </c>
      <c r="B326" t="s">
        <v>12</v>
      </c>
      <c r="C326" t="s">
        <v>132</v>
      </c>
      <c r="D326" t="s">
        <v>17</v>
      </c>
      <c r="E326" t="s">
        <v>136</v>
      </c>
      <c r="F326">
        <v>279200000</v>
      </c>
      <c r="G326" t="s">
        <v>134</v>
      </c>
      <c r="H326" t="s">
        <v>81</v>
      </c>
      <c r="I326" t="s">
        <v>9</v>
      </c>
      <c r="L326" t="s">
        <v>161</v>
      </c>
      <c r="M326">
        <v>-279200000</v>
      </c>
    </row>
    <row r="327" spans="1:13" x14ac:dyDescent="0.3">
      <c r="A327" s="23">
        <v>45237</v>
      </c>
      <c r="B327" t="s">
        <v>12</v>
      </c>
      <c r="C327" t="s">
        <v>132</v>
      </c>
      <c r="D327" t="s">
        <v>16</v>
      </c>
      <c r="E327" t="s">
        <v>136</v>
      </c>
      <c r="F327">
        <v>402790000</v>
      </c>
      <c r="G327" t="s">
        <v>134</v>
      </c>
      <c r="H327" t="s">
        <v>81</v>
      </c>
      <c r="I327" t="s">
        <v>9</v>
      </c>
      <c r="L327" t="s">
        <v>161</v>
      </c>
      <c r="M327">
        <v>402790000</v>
      </c>
    </row>
    <row r="328" spans="1:13" x14ac:dyDescent="0.3">
      <c r="A328" s="23">
        <v>44562</v>
      </c>
      <c r="B328" t="s">
        <v>12</v>
      </c>
      <c r="C328" t="s">
        <v>132</v>
      </c>
      <c r="D328" t="s">
        <v>16</v>
      </c>
      <c r="E328" t="s">
        <v>41</v>
      </c>
      <c r="F328">
        <v>41904153.740000002</v>
      </c>
      <c r="G328" t="s">
        <v>26</v>
      </c>
      <c r="H328" t="s">
        <v>81</v>
      </c>
      <c r="I328" t="s">
        <v>9</v>
      </c>
      <c r="L328" t="s">
        <v>161</v>
      </c>
      <c r="M328">
        <v>41904153.740000002</v>
      </c>
    </row>
    <row r="329" spans="1:13" x14ac:dyDescent="0.3">
      <c r="A329" s="23">
        <v>44564</v>
      </c>
      <c r="B329" t="s">
        <v>12</v>
      </c>
      <c r="C329" t="s">
        <v>132</v>
      </c>
      <c r="D329" t="s">
        <v>17</v>
      </c>
      <c r="E329" t="s">
        <v>41</v>
      </c>
      <c r="F329">
        <v>41904153.740000002</v>
      </c>
      <c r="G329" t="s">
        <v>26</v>
      </c>
      <c r="H329" t="s">
        <v>81</v>
      </c>
      <c r="I329" t="s">
        <v>9</v>
      </c>
      <c r="L329" t="s">
        <v>161</v>
      </c>
      <c r="M329">
        <v>-41904153.740000002</v>
      </c>
    </row>
    <row r="330" spans="1:13" x14ac:dyDescent="0.3">
      <c r="A330" s="23">
        <v>44564</v>
      </c>
      <c r="B330" t="s">
        <v>12</v>
      </c>
      <c r="C330" t="s">
        <v>132</v>
      </c>
      <c r="D330" t="s">
        <v>16</v>
      </c>
      <c r="E330" t="s">
        <v>41</v>
      </c>
      <c r="F330">
        <v>620000000</v>
      </c>
      <c r="G330" t="s">
        <v>26</v>
      </c>
      <c r="H330" t="s">
        <v>81</v>
      </c>
      <c r="I330" t="s">
        <v>9</v>
      </c>
      <c r="L330" t="s">
        <v>161</v>
      </c>
      <c r="M330">
        <v>620000000</v>
      </c>
    </row>
    <row r="331" spans="1:13" x14ac:dyDescent="0.3">
      <c r="A331" s="23">
        <v>44565</v>
      </c>
      <c r="B331" t="s">
        <v>12</v>
      </c>
      <c r="C331" t="s">
        <v>132</v>
      </c>
      <c r="D331" t="s">
        <v>17</v>
      </c>
      <c r="E331" t="s">
        <v>41</v>
      </c>
      <c r="F331">
        <v>54839712.810000002</v>
      </c>
      <c r="G331" t="s">
        <v>26</v>
      </c>
      <c r="H331" t="s">
        <v>81</v>
      </c>
      <c r="I331" t="s">
        <v>9</v>
      </c>
      <c r="L331" t="s">
        <v>161</v>
      </c>
      <c r="M331">
        <v>-54839712.810000002</v>
      </c>
    </row>
    <row r="332" spans="1:13" x14ac:dyDescent="0.3">
      <c r="A332" s="23">
        <v>44566</v>
      </c>
      <c r="B332" t="s">
        <v>12</v>
      </c>
      <c r="C332" t="s">
        <v>132</v>
      </c>
      <c r="D332" t="s">
        <v>17</v>
      </c>
      <c r="E332" t="s">
        <v>41</v>
      </c>
      <c r="F332">
        <v>10000000</v>
      </c>
      <c r="G332" t="s">
        <v>26</v>
      </c>
      <c r="H332" t="s">
        <v>81</v>
      </c>
      <c r="I332" t="s">
        <v>9</v>
      </c>
      <c r="L332" t="s">
        <v>161</v>
      </c>
      <c r="M332">
        <v>-10000000</v>
      </c>
    </row>
    <row r="333" spans="1:13" x14ac:dyDescent="0.3">
      <c r="A333" s="23">
        <v>44567</v>
      </c>
      <c r="B333" t="s">
        <v>12</v>
      </c>
      <c r="C333" t="s">
        <v>132</v>
      </c>
      <c r="D333" t="s">
        <v>17</v>
      </c>
      <c r="E333" t="s">
        <v>41</v>
      </c>
      <c r="F333">
        <v>20700000</v>
      </c>
      <c r="G333" t="s">
        <v>26</v>
      </c>
      <c r="H333" t="s">
        <v>81</v>
      </c>
      <c r="I333" t="s">
        <v>9</v>
      </c>
      <c r="L333" t="s">
        <v>161</v>
      </c>
      <c r="M333">
        <v>-20700000</v>
      </c>
    </row>
    <row r="334" spans="1:13" x14ac:dyDescent="0.3">
      <c r="A334" s="23">
        <v>45870</v>
      </c>
      <c r="B334" t="s">
        <v>12</v>
      </c>
      <c r="C334" t="s">
        <v>132</v>
      </c>
      <c r="D334" t="s">
        <v>17</v>
      </c>
      <c r="E334" t="s">
        <v>41</v>
      </c>
      <c r="F334">
        <v>57994966</v>
      </c>
      <c r="G334" t="s">
        <v>26</v>
      </c>
      <c r="H334" t="s">
        <v>81</v>
      </c>
      <c r="I334" t="s">
        <v>9</v>
      </c>
      <c r="L334" t="s">
        <v>161</v>
      </c>
      <c r="M334">
        <v>-57994966</v>
      </c>
    </row>
    <row r="335" spans="1:13" x14ac:dyDescent="0.3">
      <c r="A335" s="23">
        <v>44568</v>
      </c>
      <c r="B335" t="s">
        <v>12</v>
      </c>
      <c r="C335" t="s">
        <v>132</v>
      </c>
      <c r="D335" t="s">
        <v>17</v>
      </c>
      <c r="E335" t="s">
        <v>41</v>
      </c>
      <c r="F335">
        <v>26000000</v>
      </c>
      <c r="G335" t="s">
        <v>26</v>
      </c>
      <c r="H335" t="s">
        <v>81</v>
      </c>
      <c r="I335" t="s">
        <v>9</v>
      </c>
      <c r="L335" t="s">
        <v>161</v>
      </c>
      <c r="M335">
        <v>-26000000</v>
      </c>
    </row>
    <row r="336" spans="1:13" x14ac:dyDescent="0.3">
      <c r="A336" s="23">
        <v>44571</v>
      </c>
      <c r="B336" t="s">
        <v>12</v>
      </c>
      <c r="C336" t="s">
        <v>132</v>
      </c>
      <c r="D336" t="s">
        <v>17</v>
      </c>
      <c r="E336" t="s">
        <v>41</v>
      </c>
      <c r="F336">
        <v>478600000</v>
      </c>
      <c r="G336" t="s">
        <v>26</v>
      </c>
      <c r="H336" t="s">
        <v>81</v>
      </c>
      <c r="I336" t="s">
        <v>9</v>
      </c>
      <c r="L336" t="s">
        <v>161</v>
      </c>
      <c r="M336">
        <v>-478600000</v>
      </c>
    </row>
    <row r="337" spans="1:13" x14ac:dyDescent="0.3">
      <c r="A337" s="23">
        <v>44571</v>
      </c>
      <c r="B337" t="s">
        <v>12</v>
      </c>
      <c r="C337" t="s">
        <v>132</v>
      </c>
      <c r="D337" t="s">
        <v>17</v>
      </c>
      <c r="E337" t="s">
        <v>41</v>
      </c>
      <c r="F337">
        <v>17700000</v>
      </c>
      <c r="G337" t="s">
        <v>26</v>
      </c>
      <c r="H337" t="s">
        <v>81</v>
      </c>
      <c r="I337" t="s">
        <v>9</v>
      </c>
      <c r="L337" t="s">
        <v>161</v>
      </c>
      <c r="M337">
        <v>-17700000</v>
      </c>
    </row>
    <row r="338" spans="1:13" x14ac:dyDescent="0.3">
      <c r="A338" s="23">
        <v>44572</v>
      </c>
      <c r="B338" t="s">
        <v>12</v>
      </c>
      <c r="C338" t="s">
        <v>132</v>
      </c>
      <c r="D338" t="s">
        <v>16</v>
      </c>
      <c r="E338" t="s">
        <v>41</v>
      </c>
      <c r="F338">
        <v>4500000</v>
      </c>
      <c r="G338" t="s">
        <v>26</v>
      </c>
      <c r="H338" t="s">
        <v>81</v>
      </c>
      <c r="I338" t="s">
        <v>9</v>
      </c>
      <c r="L338" t="s">
        <v>161</v>
      </c>
      <c r="M338">
        <v>4500000</v>
      </c>
    </row>
    <row r="339" spans="1:13" x14ac:dyDescent="0.3">
      <c r="A339" s="23">
        <v>45863</v>
      </c>
      <c r="B339" t="s">
        <v>12</v>
      </c>
      <c r="C339" t="s">
        <v>132</v>
      </c>
      <c r="D339" t="s">
        <v>16</v>
      </c>
      <c r="E339" t="s">
        <v>41</v>
      </c>
      <c r="F339">
        <v>31162963.870000001</v>
      </c>
      <c r="G339" t="s">
        <v>26</v>
      </c>
      <c r="H339" t="s">
        <v>81</v>
      </c>
      <c r="I339" t="s">
        <v>9</v>
      </c>
      <c r="L339" t="s">
        <v>161</v>
      </c>
      <c r="M339">
        <v>31162963.870000001</v>
      </c>
    </row>
    <row r="340" spans="1:13" x14ac:dyDescent="0.3">
      <c r="A340" s="23">
        <v>45863</v>
      </c>
      <c r="B340" t="s">
        <v>12</v>
      </c>
      <c r="C340" t="s">
        <v>132</v>
      </c>
      <c r="D340" t="s">
        <v>17</v>
      </c>
      <c r="E340" t="s">
        <v>41</v>
      </c>
      <c r="F340">
        <v>100000000</v>
      </c>
      <c r="G340" t="s">
        <v>26</v>
      </c>
      <c r="H340" t="s">
        <v>81</v>
      </c>
      <c r="I340" t="s">
        <v>9</v>
      </c>
      <c r="L340" t="s">
        <v>161</v>
      </c>
      <c r="M340">
        <v>-100000000</v>
      </c>
    </row>
    <row r="341" spans="1:13" x14ac:dyDescent="0.3">
      <c r="A341" s="23">
        <v>44581</v>
      </c>
      <c r="B341" t="s">
        <v>12</v>
      </c>
      <c r="C341" t="s">
        <v>132</v>
      </c>
      <c r="D341" t="s">
        <v>17</v>
      </c>
      <c r="E341" t="s">
        <v>41</v>
      </c>
      <c r="F341">
        <v>2300000</v>
      </c>
      <c r="G341" t="s">
        <v>26</v>
      </c>
      <c r="H341" t="s">
        <v>81</v>
      </c>
      <c r="I341" t="s">
        <v>9</v>
      </c>
      <c r="L341" t="s">
        <v>161</v>
      </c>
      <c r="M341">
        <v>-2300000</v>
      </c>
    </row>
    <row r="342" spans="1:13" x14ac:dyDescent="0.3">
      <c r="A342" s="23">
        <v>45862</v>
      </c>
      <c r="B342" t="s">
        <v>12</v>
      </c>
      <c r="C342" t="s">
        <v>132</v>
      </c>
      <c r="D342" t="s">
        <v>17</v>
      </c>
      <c r="E342" t="s">
        <v>41</v>
      </c>
      <c r="F342">
        <v>37400000</v>
      </c>
      <c r="G342" t="s">
        <v>26</v>
      </c>
      <c r="H342" t="s">
        <v>81</v>
      </c>
      <c r="I342" t="s">
        <v>9</v>
      </c>
      <c r="L342" t="s">
        <v>161</v>
      </c>
      <c r="M342">
        <v>-37400000</v>
      </c>
    </row>
    <row r="343" spans="1:13" x14ac:dyDescent="0.3">
      <c r="A343" s="23">
        <v>44582</v>
      </c>
      <c r="B343" t="s">
        <v>12</v>
      </c>
      <c r="C343" t="s">
        <v>132</v>
      </c>
      <c r="D343" t="s">
        <v>16</v>
      </c>
      <c r="E343" t="s">
        <v>41</v>
      </c>
      <c r="F343">
        <v>2301189.5</v>
      </c>
      <c r="G343" t="s">
        <v>26</v>
      </c>
      <c r="H343" t="s">
        <v>81</v>
      </c>
      <c r="I343" t="s">
        <v>9</v>
      </c>
      <c r="L343" t="s">
        <v>161</v>
      </c>
      <c r="M343">
        <v>2301189.5</v>
      </c>
    </row>
    <row r="344" spans="1:13" x14ac:dyDescent="0.3">
      <c r="A344" s="23">
        <v>44585</v>
      </c>
      <c r="B344" t="s">
        <v>12</v>
      </c>
      <c r="C344" t="s">
        <v>132</v>
      </c>
      <c r="D344" t="s">
        <v>17</v>
      </c>
      <c r="E344" t="s">
        <v>41</v>
      </c>
      <c r="F344">
        <v>10200000</v>
      </c>
      <c r="G344" t="s">
        <v>26</v>
      </c>
      <c r="H344" t="s">
        <v>81</v>
      </c>
      <c r="I344" t="s">
        <v>9</v>
      </c>
      <c r="L344" t="s">
        <v>161</v>
      </c>
      <c r="M344">
        <v>-10200000</v>
      </c>
    </row>
    <row r="345" spans="1:13" x14ac:dyDescent="0.3">
      <c r="A345" s="23">
        <v>44586</v>
      </c>
      <c r="B345" t="s">
        <v>12</v>
      </c>
      <c r="C345" t="s">
        <v>132</v>
      </c>
      <c r="D345" t="s">
        <v>17</v>
      </c>
      <c r="E345" t="s">
        <v>41</v>
      </c>
      <c r="F345">
        <v>6461476.6900000004</v>
      </c>
      <c r="G345" t="s">
        <v>26</v>
      </c>
      <c r="H345" t="s">
        <v>81</v>
      </c>
      <c r="I345" t="s">
        <v>9</v>
      </c>
      <c r="L345" t="s">
        <v>161</v>
      </c>
      <c r="M345">
        <v>-6461476.6900000004</v>
      </c>
    </row>
    <row r="346" spans="1:13" x14ac:dyDescent="0.3">
      <c r="A346" s="23">
        <v>44587</v>
      </c>
      <c r="B346" t="s">
        <v>12</v>
      </c>
      <c r="C346" t="s">
        <v>132</v>
      </c>
      <c r="D346" t="s">
        <v>16</v>
      </c>
      <c r="E346" t="s">
        <v>41</v>
      </c>
      <c r="F346">
        <v>8400000</v>
      </c>
      <c r="G346" t="s">
        <v>26</v>
      </c>
      <c r="H346" t="s">
        <v>81</v>
      </c>
      <c r="I346" t="s">
        <v>9</v>
      </c>
      <c r="L346" t="s">
        <v>161</v>
      </c>
      <c r="M346">
        <v>8400000</v>
      </c>
    </row>
    <row r="347" spans="1:13" x14ac:dyDescent="0.3">
      <c r="A347" s="23">
        <v>44592</v>
      </c>
      <c r="B347" t="s">
        <v>12</v>
      </c>
      <c r="C347" t="s">
        <v>132</v>
      </c>
      <c r="D347" t="s">
        <v>16</v>
      </c>
      <c r="E347" t="s">
        <v>41</v>
      </c>
      <c r="F347">
        <v>41696.550000000003</v>
      </c>
      <c r="G347" t="s">
        <v>26</v>
      </c>
      <c r="H347" t="s">
        <v>81</v>
      </c>
      <c r="I347" t="s">
        <v>9</v>
      </c>
      <c r="L347" t="s">
        <v>161</v>
      </c>
      <c r="M347">
        <v>41696.550000000003</v>
      </c>
    </row>
    <row r="348" spans="1:13" x14ac:dyDescent="0.3">
      <c r="A348" s="23">
        <v>45849</v>
      </c>
      <c r="B348" t="s">
        <v>12</v>
      </c>
      <c r="C348" t="s">
        <v>132</v>
      </c>
      <c r="D348" t="s">
        <v>16</v>
      </c>
      <c r="E348" t="s">
        <v>41</v>
      </c>
      <c r="F348">
        <v>119659320.92</v>
      </c>
      <c r="G348" t="s">
        <v>26</v>
      </c>
      <c r="H348" t="s">
        <v>81</v>
      </c>
      <c r="I348" t="s">
        <v>9</v>
      </c>
      <c r="L348" t="s">
        <v>161</v>
      </c>
      <c r="M348">
        <v>119659320.92</v>
      </c>
    </row>
    <row r="349" spans="1:13" x14ac:dyDescent="0.3">
      <c r="A349" s="23">
        <v>44596</v>
      </c>
      <c r="B349" t="s">
        <v>12</v>
      </c>
      <c r="C349" t="s">
        <v>132</v>
      </c>
      <c r="D349" t="s">
        <v>17</v>
      </c>
      <c r="E349" t="s">
        <v>41</v>
      </c>
      <c r="F349">
        <v>8441696.5500000007</v>
      </c>
      <c r="G349" t="s">
        <v>26</v>
      </c>
      <c r="H349" t="s">
        <v>81</v>
      </c>
      <c r="I349" t="s">
        <v>9</v>
      </c>
      <c r="L349" t="s">
        <v>161</v>
      </c>
      <c r="M349">
        <v>-8441696.5500000007</v>
      </c>
    </row>
    <row r="350" spans="1:13" x14ac:dyDescent="0.3">
      <c r="A350" s="23">
        <v>45846</v>
      </c>
      <c r="B350" t="s">
        <v>12</v>
      </c>
      <c r="C350" t="s">
        <v>132</v>
      </c>
      <c r="D350" t="s">
        <v>17</v>
      </c>
      <c r="E350" t="s">
        <v>41</v>
      </c>
      <c r="F350">
        <v>105700000</v>
      </c>
      <c r="G350" t="s">
        <v>26</v>
      </c>
      <c r="H350" t="s">
        <v>81</v>
      </c>
      <c r="I350" t="s">
        <v>9</v>
      </c>
      <c r="L350" t="s">
        <v>161</v>
      </c>
      <c r="M350">
        <v>-105700000</v>
      </c>
    </row>
    <row r="351" spans="1:13" x14ac:dyDescent="0.3">
      <c r="A351" s="23">
        <v>44602</v>
      </c>
      <c r="B351" t="s">
        <v>12</v>
      </c>
      <c r="C351" t="s">
        <v>132</v>
      </c>
      <c r="D351" t="s">
        <v>16</v>
      </c>
      <c r="E351" t="s">
        <v>41</v>
      </c>
      <c r="F351">
        <v>48500000</v>
      </c>
      <c r="G351" t="s">
        <v>26</v>
      </c>
      <c r="H351" t="s">
        <v>81</v>
      </c>
      <c r="I351" t="s">
        <v>9</v>
      </c>
      <c r="L351" t="s">
        <v>161</v>
      </c>
      <c r="M351">
        <v>48500000</v>
      </c>
    </row>
    <row r="352" spans="1:13" x14ac:dyDescent="0.3">
      <c r="A352" s="23">
        <v>44603</v>
      </c>
      <c r="B352" t="s">
        <v>12</v>
      </c>
      <c r="C352" t="s">
        <v>132</v>
      </c>
      <c r="D352" t="s">
        <v>17</v>
      </c>
      <c r="E352" t="s">
        <v>41</v>
      </c>
      <c r="F352">
        <v>9100000</v>
      </c>
      <c r="G352" t="s">
        <v>26</v>
      </c>
      <c r="H352" t="s">
        <v>81</v>
      </c>
      <c r="I352" t="s">
        <v>9</v>
      </c>
      <c r="L352" t="s">
        <v>161</v>
      </c>
      <c r="M352">
        <v>-9100000</v>
      </c>
    </row>
    <row r="353" spans="1:13" x14ac:dyDescent="0.3">
      <c r="A353" s="23">
        <v>44606</v>
      </c>
      <c r="B353" t="s">
        <v>12</v>
      </c>
      <c r="C353" t="s">
        <v>132</v>
      </c>
      <c r="D353" t="s">
        <v>17</v>
      </c>
      <c r="E353" t="s">
        <v>41</v>
      </c>
      <c r="F353">
        <v>26000000</v>
      </c>
      <c r="G353" t="s">
        <v>26</v>
      </c>
      <c r="H353" t="s">
        <v>81</v>
      </c>
      <c r="I353" t="s">
        <v>9</v>
      </c>
      <c r="L353" t="s">
        <v>161</v>
      </c>
      <c r="M353">
        <v>-26000000</v>
      </c>
    </row>
    <row r="354" spans="1:13" x14ac:dyDescent="0.3">
      <c r="A354" s="23">
        <v>44609</v>
      </c>
      <c r="B354" t="s">
        <v>12</v>
      </c>
      <c r="C354" t="s">
        <v>132</v>
      </c>
      <c r="D354" t="s">
        <v>16</v>
      </c>
      <c r="E354" t="s">
        <v>41</v>
      </c>
      <c r="F354">
        <v>82500000</v>
      </c>
      <c r="G354" t="s">
        <v>26</v>
      </c>
      <c r="H354" t="s">
        <v>81</v>
      </c>
      <c r="I354" t="s">
        <v>9</v>
      </c>
      <c r="L354" t="s">
        <v>161</v>
      </c>
      <c r="M354">
        <v>82500000</v>
      </c>
    </row>
    <row r="355" spans="1:13" x14ac:dyDescent="0.3">
      <c r="A355" s="23">
        <v>45845</v>
      </c>
      <c r="B355" t="s">
        <v>12</v>
      </c>
      <c r="C355" t="s">
        <v>132</v>
      </c>
      <c r="D355" t="s">
        <v>17</v>
      </c>
      <c r="E355" t="s">
        <v>41</v>
      </c>
      <c r="F355">
        <v>305400000</v>
      </c>
      <c r="G355" t="s">
        <v>26</v>
      </c>
      <c r="H355" t="s">
        <v>81</v>
      </c>
      <c r="I355" t="s">
        <v>9</v>
      </c>
      <c r="L355" t="s">
        <v>161</v>
      </c>
      <c r="M355">
        <v>-305400000</v>
      </c>
    </row>
    <row r="356" spans="1:13" x14ac:dyDescent="0.3">
      <c r="A356" s="23">
        <v>44610</v>
      </c>
      <c r="B356" t="s">
        <v>12</v>
      </c>
      <c r="C356" t="s">
        <v>132</v>
      </c>
      <c r="D356" t="s">
        <v>17</v>
      </c>
      <c r="E356" t="s">
        <v>41</v>
      </c>
      <c r="F356">
        <v>10600000</v>
      </c>
      <c r="G356" t="s">
        <v>26</v>
      </c>
      <c r="H356" t="s">
        <v>81</v>
      </c>
      <c r="I356" t="s">
        <v>9</v>
      </c>
      <c r="L356" t="s">
        <v>161</v>
      </c>
      <c r="M356">
        <v>-10600000</v>
      </c>
    </row>
    <row r="357" spans="1:13" x14ac:dyDescent="0.3">
      <c r="A357" s="23">
        <v>44615</v>
      </c>
      <c r="B357" t="s">
        <v>12</v>
      </c>
      <c r="C357" t="s">
        <v>132</v>
      </c>
      <c r="D357" t="s">
        <v>17</v>
      </c>
      <c r="E357" t="s">
        <v>41</v>
      </c>
      <c r="F357">
        <v>10000000</v>
      </c>
      <c r="G357" t="s">
        <v>26</v>
      </c>
      <c r="H357" t="s">
        <v>81</v>
      </c>
      <c r="I357" t="s">
        <v>9</v>
      </c>
      <c r="L357" t="s">
        <v>161</v>
      </c>
      <c r="M357">
        <v>-10000000</v>
      </c>
    </row>
    <row r="358" spans="1:13" x14ac:dyDescent="0.3">
      <c r="A358" s="23">
        <v>44616</v>
      </c>
      <c r="B358" t="s">
        <v>12</v>
      </c>
      <c r="C358" t="s">
        <v>132</v>
      </c>
      <c r="D358" t="s">
        <v>17</v>
      </c>
      <c r="E358" t="s">
        <v>41</v>
      </c>
      <c r="F358">
        <v>17600000</v>
      </c>
      <c r="G358" t="s">
        <v>26</v>
      </c>
      <c r="H358" t="s">
        <v>81</v>
      </c>
      <c r="I358" t="s">
        <v>9</v>
      </c>
      <c r="L358" t="s">
        <v>161</v>
      </c>
      <c r="M358">
        <v>-17600000</v>
      </c>
    </row>
    <row r="359" spans="1:13" x14ac:dyDescent="0.3">
      <c r="A359" s="23">
        <v>44620</v>
      </c>
      <c r="B359" t="s">
        <v>12</v>
      </c>
      <c r="C359" t="s">
        <v>132</v>
      </c>
      <c r="D359" t="s">
        <v>16</v>
      </c>
      <c r="E359" t="s">
        <v>41</v>
      </c>
      <c r="F359">
        <v>976951.7</v>
      </c>
      <c r="G359" t="s">
        <v>26</v>
      </c>
      <c r="H359" t="s">
        <v>81</v>
      </c>
      <c r="I359" t="s">
        <v>9</v>
      </c>
      <c r="L359" t="s">
        <v>161</v>
      </c>
      <c r="M359">
        <v>976951.7</v>
      </c>
    </row>
    <row r="360" spans="1:13" x14ac:dyDescent="0.3">
      <c r="A360" s="23">
        <v>45839</v>
      </c>
      <c r="B360" t="s">
        <v>12</v>
      </c>
      <c r="C360" t="s">
        <v>132</v>
      </c>
      <c r="D360" t="s">
        <v>17</v>
      </c>
      <c r="E360" t="s">
        <v>41</v>
      </c>
      <c r="F360">
        <v>1716500000</v>
      </c>
      <c r="G360" t="s">
        <v>26</v>
      </c>
      <c r="H360" t="s">
        <v>81</v>
      </c>
      <c r="I360" t="s">
        <v>9</v>
      </c>
      <c r="L360" t="s">
        <v>161</v>
      </c>
      <c r="M360">
        <v>-1716500000</v>
      </c>
    </row>
    <row r="361" spans="1:13" x14ac:dyDescent="0.3">
      <c r="A361" s="23">
        <v>44622</v>
      </c>
      <c r="B361" t="s">
        <v>12</v>
      </c>
      <c r="C361" t="s">
        <v>132</v>
      </c>
      <c r="D361" t="s">
        <v>17</v>
      </c>
      <c r="E361" t="s">
        <v>41</v>
      </c>
      <c r="F361">
        <v>28900000</v>
      </c>
      <c r="G361" t="s">
        <v>26</v>
      </c>
      <c r="H361" t="s">
        <v>81</v>
      </c>
      <c r="I361" t="s">
        <v>9</v>
      </c>
      <c r="L361" t="s">
        <v>161</v>
      </c>
      <c r="M361">
        <v>-28900000</v>
      </c>
    </row>
    <row r="362" spans="1:13" x14ac:dyDescent="0.3">
      <c r="A362" s="23">
        <v>45835</v>
      </c>
      <c r="B362" t="s">
        <v>12</v>
      </c>
      <c r="C362" t="s">
        <v>132</v>
      </c>
      <c r="D362" t="s">
        <v>17</v>
      </c>
      <c r="E362" t="s">
        <v>41</v>
      </c>
      <c r="F362">
        <v>317300000</v>
      </c>
      <c r="G362" t="s">
        <v>26</v>
      </c>
      <c r="H362" t="s">
        <v>81</v>
      </c>
      <c r="I362" t="s">
        <v>9</v>
      </c>
      <c r="L362" t="s">
        <v>161</v>
      </c>
      <c r="M362">
        <v>-317300000</v>
      </c>
    </row>
    <row r="363" spans="1:13" x14ac:dyDescent="0.3">
      <c r="A363" s="23">
        <v>44623</v>
      </c>
      <c r="B363" t="s">
        <v>12</v>
      </c>
      <c r="C363" t="s">
        <v>132</v>
      </c>
      <c r="D363" t="s">
        <v>17</v>
      </c>
      <c r="E363" t="s">
        <v>41</v>
      </c>
      <c r="F363">
        <v>26200000</v>
      </c>
      <c r="G363" t="s">
        <v>26</v>
      </c>
      <c r="H363" t="s">
        <v>81</v>
      </c>
      <c r="I363" t="s">
        <v>9</v>
      </c>
      <c r="L363" t="s">
        <v>161</v>
      </c>
      <c r="M363">
        <v>-26200000</v>
      </c>
    </row>
    <row r="364" spans="1:13" x14ac:dyDescent="0.3">
      <c r="A364" s="23">
        <v>45835</v>
      </c>
      <c r="B364" t="s">
        <v>12</v>
      </c>
      <c r="C364" t="s">
        <v>132</v>
      </c>
      <c r="D364" t="s">
        <v>17</v>
      </c>
      <c r="E364" t="s">
        <v>41</v>
      </c>
      <c r="F364">
        <v>263800000</v>
      </c>
      <c r="G364" t="s">
        <v>26</v>
      </c>
      <c r="H364" t="s">
        <v>81</v>
      </c>
      <c r="I364" t="s">
        <v>9</v>
      </c>
      <c r="L364" t="s">
        <v>161</v>
      </c>
      <c r="M364">
        <v>-263800000</v>
      </c>
    </row>
    <row r="365" spans="1:13" x14ac:dyDescent="0.3">
      <c r="A365" s="23">
        <v>45834</v>
      </c>
      <c r="B365" t="s">
        <v>12</v>
      </c>
      <c r="C365" t="s">
        <v>132</v>
      </c>
      <c r="D365" t="s">
        <v>16</v>
      </c>
      <c r="E365" t="s">
        <v>41</v>
      </c>
      <c r="F365">
        <v>28300000</v>
      </c>
      <c r="G365" t="s">
        <v>26</v>
      </c>
      <c r="H365" t="s">
        <v>81</v>
      </c>
      <c r="I365" t="s">
        <v>9</v>
      </c>
      <c r="L365" t="s">
        <v>161</v>
      </c>
      <c r="M365">
        <v>28300000</v>
      </c>
    </row>
    <row r="366" spans="1:13" x14ac:dyDescent="0.3">
      <c r="A366" s="23">
        <v>44628</v>
      </c>
      <c r="B366" t="s">
        <v>12</v>
      </c>
      <c r="C366" t="s">
        <v>132</v>
      </c>
      <c r="D366" t="s">
        <v>17</v>
      </c>
      <c r="E366" t="s">
        <v>41</v>
      </c>
      <c r="F366">
        <v>600000</v>
      </c>
      <c r="G366" t="s">
        <v>26</v>
      </c>
      <c r="H366" t="s">
        <v>81</v>
      </c>
      <c r="I366" t="s">
        <v>9</v>
      </c>
      <c r="L366" t="s">
        <v>161</v>
      </c>
      <c r="M366">
        <v>-600000</v>
      </c>
    </row>
    <row r="367" spans="1:13" x14ac:dyDescent="0.3">
      <c r="A367" s="23">
        <v>44629</v>
      </c>
      <c r="B367" t="s">
        <v>12</v>
      </c>
      <c r="C367" t="s">
        <v>132</v>
      </c>
      <c r="D367" t="s">
        <v>16</v>
      </c>
      <c r="E367" t="s">
        <v>41</v>
      </c>
      <c r="F367">
        <v>71300000</v>
      </c>
      <c r="G367" t="s">
        <v>26</v>
      </c>
      <c r="H367" t="s">
        <v>81</v>
      </c>
      <c r="I367" t="s">
        <v>9</v>
      </c>
      <c r="L367" t="s">
        <v>161</v>
      </c>
      <c r="M367">
        <v>71300000</v>
      </c>
    </row>
    <row r="368" spans="1:13" x14ac:dyDescent="0.3">
      <c r="A368" s="23">
        <v>44630</v>
      </c>
      <c r="B368" t="s">
        <v>12</v>
      </c>
      <c r="C368" t="s">
        <v>132</v>
      </c>
      <c r="D368" t="s">
        <v>17</v>
      </c>
      <c r="E368" t="s">
        <v>41</v>
      </c>
      <c r="F368">
        <v>51800000</v>
      </c>
      <c r="G368" t="s">
        <v>26</v>
      </c>
      <c r="H368" t="s">
        <v>81</v>
      </c>
      <c r="I368" t="s">
        <v>9</v>
      </c>
      <c r="L368" t="s">
        <v>161</v>
      </c>
      <c r="M368">
        <v>-51800000</v>
      </c>
    </row>
    <row r="369" spans="1:13" x14ac:dyDescent="0.3">
      <c r="A369" s="23">
        <v>44631</v>
      </c>
      <c r="B369" t="s">
        <v>12</v>
      </c>
      <c r="C369" t="s">
        <v>132</v>
      </c>
      <c r="D369" t="s">
        <v>17</v>
      </c>
      <c r="E369" t="s">
        <v>41</v>
      </c>
      <c r="F369">
        <v>15000000</v>
      </c>
      <c r="G369" t="s">
        <v>26</v>
      </c>
      <c r="H369" t="s">
        <v>81</v>
      </c>
      <c r="I369" t="s">
        <v>9</v>
      </c>
      <c r="L369" t="s">
        <v>161</v>
      </c>
      <c r="M369">
        <v>-15000000</v>
      </c>
    </row>
    <row r="370" spans="1:13" x14ac:dyDescent="0.3">
      <c r="A370" s="23">
        <v>45827</v>
      </c>
      <c r="B370" t="s">
        <v>12</v>
      </c>
      <c r="C370" t="s">
        <v>132</v>
      </c>
      <c r="D370" t="s">
        <v>17</v>
      </c>
      <c r="E370" t="s">
        <v>41</v>
      </c>
      <c r="F370">
        <v>945500000</v>
      </c>
      <c r="G370" t="s">
        <v>26</v>
      </c>
      <c r="H370" t="s">
        <v>81</v>
      </c>
      <c r="I370" t="s">
        <v>9</v>
      </c>
      <c r="L370" t="s">
        <v>161</v>
      </c>
      <c r="M370">
        <v>-945500000</v>
      </c>
    </row>
    <row r="371" spans="1:13" x14ac:dyDescent="0.3">
      <c r="A371" s="23">
        <v>44634</v>
      </c>
      <c r="B371" t="s">
        <v>12</v>
      </c>
      <c r="C371" t="s">
        <v>132</v>
      </c>
      <c r="D371" t="s">
        <v>17</v>
      </c>
      <c r="E371" t="s">
        <v>41</v>
      </c>
      <c r="F371">
        <v>600000</v>
      </c>
      <c r="G371" t="s">
        <v>26</v>
      </c>
      <c r="H371" t="s">
        <v>81</v>
      </c>
      <c r="I371" t="s">
        <v>9</v>
      </c>
      <c r="L371" t="s">
        <v>161</v>
      </c>
      <c r="M371">
        <v>-600000</v>
      </c>
    </row>
    <row r="372" spans="1:13" x14ac:dyDescent="0.3">
      <c r="A372" s="23">
        <v>45826</v>
      </c>
      <c r="B372" t="s">
        <v>12</v>
      </c>
      <c r="C372" t="s">
        <v>132</v>
      </c>
      <c r="D372" t="s">
        <v>17</v>
      </c>
      <c r="E372" t="s">
        <v>41</v>
      </c>
      <c r="F372">
        <v>1027200000</v>
      </c>
      <c r="G372" t="s">
        <v>26</v>
      </c>
      <c r="H372" t="s">
        <v>81</v>
      </c>
      <c r="I372" t="s">
        <v>9</v>
      </c>
      <c r="L372" t="s">
        <v>161</v>
      </c>
      <c r="M372">
        <v>-1027200000</v>
      </c>
    </row>
    <row r="373" spans="1:13" x14ac:dyDescent="0.3">
      <c r="A373" s="23">
        <v>45825</v>
      </c>
      <c r="B373" t="s">
        <v>12</v>
      </c>
      <c r="C373" t="s">
        <v>132</v>
      </c>
      <c r="D373" t="s">
        <v>17</v>
      </c>
      <c r="E373" t="s">
        <v>41</v>
      </c>
      <c r="F373">
        <v>440300000</v>
      </c>
      <c r="G373" t="s">
        <v>26</v>
      </c>
      <c r="H373" t="s">
        <v>81</v>
      </c>
      <c r="I373" t="s">
        <v>9</v>
      </c>
      <c r="L373" t="s">
        <v>161</v>
      </c>
      <c r="M373">
        <v>-440300000</v>
      </c>
    </row>
    <row r="374" spans="1:13" x14ac:dyDescent="0.3">
      <c r="A374" s="23">
        <v>44635</v>
      </c>
      <c r="B374" t="s">
        <v>12</v>
      </c>
      <c r="C374" t="s">
        <v>132</v>
      </c>
      <c r="D374" t="s">
        <v>16</v>
      </c>
      <c r="E374" t="s">
        <v>41</v>
      </c>
      <c r="F374">
        <v>11400000</v>
      </c>
      <c r="G374" t="s">
        <v>26</v>
      </c>
      <c r="H374" t="s">
        <v>81</v>
      </c>
      <c r="I374" t="s">
        <v>9</v>
      </c>
      <c r="L374" t="s">
        <v>161</v>
      </c>
      <c r="M374">
        <v>11400000</v>
      </c>
    </row>
    <row r="375" spans="1:13" x14ac:dyDescent="0.3">
      <c r="A375" s="23">
        <v>45821</v>
      </c>
      <c r="B375" t="s">
        <v>12</v>
      </c>
      <c r="C375" t="s">
        <v>132</v>
      </c>
      <c r="D375" t="s">
        <v>17</v>
      </c>
      <c r="E375" t="s">
        <v>41</v>
      </c>
      <c r="F375">
        <v>327000000</v>
      </c>
      <c r="G375" t="s">
        <v>26</v>
      </c>
      <c r="H375" t="s">
        <v>81</v>
      </c>
      <c r="I375" t="s">
        <v>9</v>
      </c>
      <c r="L375" t="s">
        <v>161</v>
      </c>
      <c r="M375">
        <v>-327000000</v>
      </c>
    </row>
    <row r="376" spans="1:13" x14ac:dyDescent="0.3">
      <c r="A376" s="23">
        <v>45820</v>
      </c>
      <c r="B376" t="s">
        <v>12</v>
      </c>
      <c r="C376" t="s">
        <v>132</v>
      </c>
      <c r="D376" t="s">
        <v>17</v>
      </c>
      <c r="E376" t="s">
        <v>41</v>
      </c>
      <c r="F376">
        <v>142000000</v>
      </c>
      <c r="G376" t="s">
        <v>26</v>
      </c>
      <c r="H376" t="s">
        <v>81</v>
      </c>
      <c r="I376" t="s">
        <v>9</v>
      </c>
      <c r="L376" t="s">
        <v>161</v>
      </c>
      <c r="M376">
        <v>-142000000</v>
      </c>
    </row>
    <row r="377" spans="1:13" x14ac:dyDescent="0.3">
      <c r="A377" s="23">
        <v>45819</v>
      </c>
      <c r="B377" t="s">
        <v>12</v>
      </c>
      <c r="C377" t="s">
        <v>132</v>
      </c>
      <c r="D377" t="s">
        <v>17</v>
      </c>
      <c r="E377" t="s">
        <v>41</v>
      </c>
      <c r="F377">
        <v>355400000</v>
      </c>
      <c r="G377" t="s">
        <v>26</v>
      </c>
      <c r="H377" t="s">
        <v>81</v>
      </c>
      <c r="I377" t="s">
        <v>9</v>
      </c>
      <c r="L377" t="s">
        <v>161</v>
      </c>
      <c r="M377">
        <v>-355400000</v>
      </c>
    </row>
    <row r="378" spans="1:13" x14ac:dyDescent="0.3">
      <c r="A378" s="23">
        <v>44637</v>
      </c>
      <c r="B378" t="s">
        <v>12</v>
      </c>
      <c r="C378" t="s">
        <v>132</v>
      </c>
      <c r="D378" t="s">
        <v>16</v>
      </c>
      <c r="E378" t="s">
        <v>41</v>
      </c>
      <c r="F378">
        <v>35500000</v>
      </c>
      <c r="G378" t="s">
        <v>26</v>
      </c>
      <c r="H378" t="s">
        <v>81</v>
      </c>
      <c r="I378" t="s">
        <v>9</v>
      </c>
      <c r="L378" t="s">
        <v>161</v>
      </c>
      <c r="M378">
        <v>35500000</v>
      </c>
    </row>
    <row r="379" spans="1:13" x14ac:dyDescent="0.3">
      <c r="A379" s="23">
        <v>44638</v>
      </c>
      <c r="B379" t="s">
        <v>12</v>
      </c>
      <c r="C379" t="s">
        <v>132</v>
      </c>
      <c r="D379" t="s">
        <v>17</v>
      </c>
      <c r="E379" t="s">
        <v>41</v>
      </c>
      <c r="F379">
        <v>32000000</v>
      </c>
      <c r="G379" t="s">
        <v>26</v>
      </c>
      <c r="H379" t="s">
        <v>81</v>
      </c>
      <c r="I379" t="s">
        <v>9</v>
      </c>
      <c r="L379" t="s">
        <v>161</v>
      </c>
      <c r="M379">
        <v>-32000000</v>
      </c>
    </row>
    <row r="380" spans="1:13" x14ac:dyDescent="0.3">
      <c r="A380" s="23">
        <v>44641</v>
      </c>
      <c r="B380" t="s">
        <v>12</v>
      </c>
      <c r="C380" t="s">
        <v>132</v>
      </c>
      <c r="D380" t="s">
        <v>17</v>
      </c>
      <c r="E380" t="s">
        <v>41</v>
      </c>
      <c r="F380">
        <v>12100000</v>
      </c>
      <c r="G380" t="s">
        <v>26</v>
      </c>
      <c r="H380" t="s">
        <v>81</v>
      </c>
      <c r="I380" t="s">
        <v>9</v>
      </c>
      <c r="L380" t="s">
        <v>161</v>
      </c>
      <c r="M380">
        <v>-12100000</v>
      </c>
    </row>
    <row r="381" spans="1:13" x14ac:dyDescent="0.3">
      <c r="A381" s="23">
        <v>44642</v>
      </c>
      <c r="B381" t="s">
        <v>12</v>
      </c>
      <c r="C381" t="s">
        <v>132</v>
      </c>
      <c r="D381" t="s">
        <v>16</v>
      </c>
      <c r="E381" t="s">
        <v>41</v>
      </c>
      <c r="F381">
        <v>105700000</v>
      </c>
      <c r="G381" t="s">
        <v>26</v>
      </c>
      <c r="H381" t="s">
        <v>81</v>
      </c>
      <c r="I381" t="s">
        <v>9</v>
      </c>
      <c r="L381" t="s">
        <v>161</v>
      </c>
      <c r="M381">
        <v>105700000</v>
      </c>
    </row>
    <row r="382" spans="1:13" x14ac:dyDescent="0.3">
      <c r="A382" s="23">
        <v>45818</v>
      </c>
      <c r="B382" t="s">
        <v>12</v>
      </c>
      <c r="C382" t="s">
        <v>132</v>
      </c>
      <c r="D382" t="s">
        <v>17</v>
      </c>
      <c r="E382" t="s">
        <v>41</v>
      </c>
      <c r="F382">
        <v>97100000</v>
      </c>
      <c r="G382" t="s">
        <v>26</v>
      </c>
      <c r="H382" t="s">
        <v>81</v>
      </c>
      <c r="I382" t="s">
        <v>9</v>
      </c>
      <c r="L382" t="s">
        <v>161</v>
      </c>
      <c r="M382">
        <v>-97100000</v>
      </c>
    </row>
    <row r="383" spans="1:13" x14ac:dyDescent="0.3">
      <c r="A383" s="23">
        <v>45817</v>
      </c>
      <c r="B383" t="s">
        <v>12</v>
      </c>
      <c r="C383" t="s">
        <v>132</v>
      </c>
      <c r="D383" t="s">
        <v>17</v>
      </c>
      <c r="E383" t="s">
        <v>41</v>
      </c>
      <c r="F383">
        <v>894900000</v>
      </c>
      <c r="G383" t="s">
        <v>26</v>
      </c>
      <c r="H383" t="s">
        <v>81</v>
      </c>
      <c r="I383" t="s">
        <v>9</v>
      </c>
      <c r="L383" t="s">
        <v>161</v>
      </c>
      <c r="M383">
        <v>-894900000</v>
      </c>
    </row>
    <row r="384" spans="1:13" x14ac:dyDescent="0.3">
      <c r="A384" s="23">
        <v>44643</v>
      </c>
      <c r="B384" t="s">
        <v>12</v>
      </c>
      <c r="C384" t="s">
        <v>132</v>
      </c>
      <c r="D384" t="s">
        <v>17</v>
      </c>
      <c r="E384" t="s">
        <v>41</v>
      </c>
      <c r="F384">
        <v>6000000</v>
      </c>
      <c r="G384" t="s">
        <v>26</v>
      </c>
      <c r="H384" t="s">
        <v>81</v>
      </c>
      <c r="I384" t="s">
        <v>9</v>
      </c>
      <c r="L384" t="s">
        <v>161</v>
      </c>
      <c r="M384">
        <v>-6000000</v>
      </c>
    </row>
    <row r="385" spans="1:13" x14ac:dyDescent="0.3">
      <c r="A385" s="23">
        <v>44645</v>
      </c>
      <c r="B385" t="s">
        <v>12</v>
      </c>
      <c r="C385" t="s">
        <v>132</v>
      </c>
      <c r="D385" t="s">
        <v>17</v>
      </c>
      <c r="E385" t="s">
        <v>41</v>
      </c>
      <c r="F385">
        <v>36900000</v>
      </c>
      <c r="G385" t="s">
        <v>26</v>
      </c>
      <c r="H385" t="s">
        <v>81</v>
      </c>
      <c r="I385" t="s">
        <v>9</v>
      </c>
      <c r="L385" t="s">
        <v>161</v>
      </c>
      <c r="M385">
        <v>-36900000</v>
      </c>
    </row>
    <row r="386" spans="1:13" x14ac:dyDescent="0.3">
      <c r="A386" s="23">
        <v>45814</v>
      </c>
      <c r="B386" t="s">
        <v>12</v>
      </c>
      <c r="C386" t="s">
        <v>132</v>
      </c>
      <c r="D386" t="s">
        <v>16</v>
      </c>
      <c r="E386" t="s">
        <v>41</v>
      </c>
      <c r="F386">
        <v>1127400000</v>
      </c>
      <c r="G386" t="s">
        <v>26</v>
      </c>
      <c r="H386" t="s">
        <v>81</v>
      </c>
      <c r="I386" t="s">
        <v>9</v>
      </c>
      <c r="L386" t="s">
        <v>161</v>
      </c>
      <c r="M386">
        <v>1127400000</v>
      </c>
    </row>
    <row r="387" spans="1:13" x14ac:dyDescent="0.3">
      <c r="A387" s="23">
        <v>44649</v>
      </c>
      <c r="B387" t="s">
        <v>12</v>
      </c>
      <c r="C387" t="s">
        <v>132</v>
      </c>
      <c r="D387" t="s">
        <v>16</v>
      </c>
      <c r="E387" t="s">
        <v>41</v>
      </c>
      <c r="F387">
        <v>27000000</v>
      </c>
      <c r="G387" t="s">
        <v>26</v>
      </c>
      <c r="H387" t="s">
        <v>81</v>
      </c>
      <c r="I387" t="s">
        <v>9</v>
      </c>
      <c r="L387" t="s">
        <v>161</v>
      </c>
      <c r="M387">
        <v>27000000</v>
      </c>
    </row>
    <row r="388" spans="1:13" x14ac:dyDescent="0.3">
      <c r="A388" s="23">
        <v>44650</v>
      </c>
      <c r="B388" t="s">
        <v>12</v>
      </c>
      <c r="C388" t="s">
        <v>132</v>
      </c>
      <c r="D388" t="s">
        <v>16</v>
      </c>
      <c r="E388" t="s">
        <v>41</v>
      </c>
      <c r="F388">
        <v>33300000</v>
      </c>
      <c r="G388" t="s">
        <v>26</v>
      </c>
      <c r="H388" t="s">
        <v>81</v>
      </c>
      <c r="I388" t="s">
        <v>9</v>
      </c>
      <c r="L388" t="s">
        <v>161</v>
      </c>
      <c r="M388">
        <v>33300000</v>
      </c>
    </row>
    <row r="389" spans="1:13" x14ac:dyDescent="0.3">
      <c r="A389" s="23">
        <v>44651</v>
      </c>
      <c r="B389" t="s">
        <v>12</v>
      </c>
      <c r="C389" t="s">
        <v>132</v>
      </c>
      <c r="D389" t="s">
        <v>17</v>
      </c>
      <c r="E389" t="s">
        <v>41</v>
      </c>
      <c r="F389">
        <v>45100000</v>
      </c>
      <c r="G389" t="s">
        <v>26</v>
      </c>
      <c r="H389" t="s">
        <v>81</v>
      </c>
      <c r="I389" t="s">
        <v>9</v>
      </c>
      <c r="L389" t="s">
        <v>161</v>
      </c>
      <c r="M389">
        <v>-45100000</v>
      </c>
    </row>
    <row r="390" spans="1:13" x14ac:dyDescent="0.3">
      <c r="A390" s="23">
        <v>45811</v>
      </c>
      <c r="B390" t="s">
        <v>12</v>
      </c>
      <c r="C390" t="s">
        <v>132</v>
      </c>
      <c r="D390" t="s">
        <v>17</v>
      </c>
      <c r="E390" t="s">
        <v>41</v>
      </c>
      <c r="F390">
        <v>111900000</v>
      </c>
      <c r="G390" t="s">
        <v>26</v>
      </c>
      <c r="H390" t="s">
        <v>81</v>
      </c>
      <c r="I390" t="s">
        <v>9</v>
      </c>
      <c r="L390" t="s">
        <v>161</v>
      </c>
      <c r="M390">
        <v>-111900000</v>
      </c>
    </row>
    <row r="391" spans="1:13" x14ac:dyDescent="0.3">
      <c r="A391" s="23">
        <v>45810</v>
      </c>
      <c r="B391" t="s">
        <v>12</v>
      </c>
      <c r="C391" t="s">
        <v>132</v>
      </c>
      <c r="D391" t="s">
        <v>17</v>
      </c>
      <c r="E391" t="s">
        <v>41</v>
      </c>
      <c r="F391">
        <v>905300000</v>
      </c>
      <c r="G391" t="s">
        <v>26</v>
      </c>
      <c r="H391" t="s">
        <v>81</v>
      </c>
      <c r="I391" t="s">
        <v>9</v>
      </c>
      <c r="L391" t="s">
        <v>161</v>
      </c>
      <c r="M391">
        <v>-905300000</v>
      </c>
    </row>
    <row r="392" spans="1:13" x14ac:dyDescent="0.3">
      <c r="A392" s="23">
        <v>45807</v>
      </c>
      <c r="B392" t="s">
        <v>12</v>
      </c>
      <c r="C392" t="s">
        <v>132</v>
      </c>
      <c r="D392" t="s">
        <v>16</v>
      </c>
      <c r="E392" t="s">
        <v>41</v>
      </c>
      <c r="F392">
        <v>2035800000</v>
      </c>
      <c r="G392" t="s">
        <v>26</v>
      </c>
      <c r="H392" t="s">
        <v>81</v>
      </c>
      <c r="I392" t="s">
        <v>9</v>
      </c>
      <c r="L392" t="s">
        <v>161</v>
      </c>
      <c r="M392">
        <v>2035800000</v>
      </c>
    </row>
    <row r="393" spans="1:13" x14ac:dyDescent="0.3">
      <c r="A393" s="23">
        <v>45806</v>
      </c>
      <c r="B393" t="s">
        <v>12</v>
      </c>
      <c r="C393" t="s">
        <v>132</v>
      </c>
      <c r="D393" t="s">
        <v>17</v>
      </c>
      <c r="E393" t="s">
        <v>41</v>
      </c>
      <c r="F393">
        <v>78700000</v>
      </c>
      <c r="G393" t="s">
        <v>26</v>
      </c>
      <c r="H393" t="s">
        <v>81</v>
      </c>
      <c r="I393" t="s">
        <v>9</v>
      </c>
      <c r="L393" t="s">
        <v>161</v>
      </c>
      <c r="M393">
        <v>-78700000</v>
      </c>
    </row>
    <row r="394" spans="1:13" x14ac:dyDescent="0.3">
      <c r="A394" s="23">
        <v>44655</v>
      </c>
      <c r="B394" t="s">
        <v>12</v>
      </c>
      <c r="C394" t="s">
        <v>132</v>
      </c>
      <c r="D394" t="s">
        <v>17</v>
      </c>
      <c r="E394" t="s">
        <v>41</v>
      </c>
      <c r="F394">
        <v>70000000</v>
      </c>
      <c r="G394" t="s">
        <v>26</v>
      </c>
      <c r="H394" t="s">
        <v>81</v>
      </c>
      <c r="I394" t="s">
        <v>9</v>
      </c>
      <c r="L394" t="s">
        <v>161</v>
      </c>
      <c r="M394">
        <v>-70000000</v>
      </c>
    </row>
    <row r="395" spans="1:13" x14ac:dyDescent="0.3">
      <c r="A395" s="23">
        <v>45805</v>
      </c>
      <c r="B395" t="s">
        <v>12</v>
      </c>
      <c r="C395" t="s">
        <v>132</v>
      </c>
      <c r="D395" t="s">
        <v>16</v>
      </c>
      <c r="E395" t="s">
        <v>41</v>
      </c>
      <c r="F395">
        <v>82500000</v>
      </c>
      <c r="G395" t="s">
        <v>26</v>
      </c>
      <c r="H395" t="s">
        <v>81</v>
      </c>
      <c r="I395" t="s">
        <v>9</v>
      </c>
      <c r="L395" t="s">
        <v>161</v>
      </c>
      <c r="M395">
        <v>82500000</v>
      </c>
    </row>
    <row r="396" spans="1:13" x14ac:dyDescent="0.3">
      <c r="A396" s="23">
        <v>45804</v>
      </c>
      <c r="B396" t="s">
        <v>12</v>
      </c>
      <c r="C396" t="s">
        <v>132</v>
      </c>
      <c r="D396" t="s">
        <v>16</v>
      </c>
      <c r="E396" t="s">
        <v>41</v>
      </c>
      <c r="F396">
        <v>174200000</v>
      </c>
      <c r="G396" t="s">
        <v>26</v>
      </c>
      <c r="H396" t="s">
        <v>81</v>
      </c>
      <c r="I396" t="s">
        <v>9</v>
      </c>
      <c r="L396" t="s">
        <v>161</v>
      </c>
      <c r="M396">
        <v>174200000</v>
      </c>
    </row>
    <row r="397" spans="1:13" x14ac:dyDescent="0.3">
      <c r="A397" s="23">
        <v>44659</v>
      </c>
      <c r="B397" t="s">
        <v>12</v>
      </c>
      <c r="C397" t="s">
        <v>132</v>
      </c>
      <c r="D397" t="s">
        <v>16</v>
      </c>
      <c r="E397" t="s">
        <v>41</v>
      </c>
      <c r="F397">
        <v>10200000</v>
      </c>
      <c r="G397" t="s">
        <v>26</v>
      </c>
      <c r="H397" t="s">
        <v>81</v>
      </c>
      <c r="I397" t="s">
        <v>9</v>
      </c>
      <c r="L397" t="s">
        <v>161</v>
      </c>
      <c r="M397">
        <v>10200000</v>
      </c>
    </row>
    <row r="398" spans="1:13" x14ac:dyDescent="0.3">
      <c r="A398" s="23">
        <v>45804</v>
      </c>
      <c r="B398" t="s">
        <v>12</v>
      </c>
      <c r="C398" t="s">
        <v>132</v>
      </c>
      <c r="D398" t="s">
        <v>16</v>
      </c>
      <c r="E398" t="s">
        <v>41</v>
      </c>
      <c r="F398">
        <v>40463000</v>
      </c>
      <c r="G398" t="s">
        <v>26</v>
      </c>
      <c r="H398" t="s">
        <v>81</v>
      </c>
      <c r="I398" t="s">
        <v>9</v>
      </c>
      <c r="L398" t="s">
        <v>161</v>
      </c>
      <c r="M398">
        <v>40463000</v>
      </c>
    </row>
    <row r="399" spans="1:13" x14ac:dyDescent="0.3">
      <c r="A399" s="23">
        <v>45803</v>
      </c>
      <c r="B399" t="s">
        <v>12</v>
      </c>
      <c r="C399" t="s">
        <v>132</v>
      </c>
      <c r="D399" t="s">
        <v>17</v>
      </c>
      <c r="E399" t="s">
        <v>41</v>
      </c>
      <c r="F399">
        <v>306400000</v>
      </c>
      <c r="G399" t="s">
        <v>26</v>
      </c>
      <c r="H399" t="s">
        <v>81</v>
      </c>
      <c r="I399" t="s">
        <v>9</v>
      </c>
      <c r="L399" t="s">
        <v>161</v>
      </c>
      <c r="M399">
        <v>-306400000</v>
      </c>
    </row>
    <row r="400" spans="1:13" x14ac:dyDescent="0.3">
      <c r="A400" s="23">
        <v>45800</v>
      </c>
      <c r="B400" t="s">
        <v>12</v>
      </c>
      <c r="C400" t="s">
        <v>132</v>
      </c>
      <c r="D400" t="s">
        <v>17</v>
      </c>
      <c r="E400" t="s">
        <v>41</v>
      </c>
      <c r="F400">
        <v>238700000</v>
      </c>
      <c r="G400" t="s">
        <v>26</v>
      </c>
      <c r="H400" t="s">
        <v>81</v>
      </c>
      <c r="I400" t="s">
        <v>9</v>
      </c>
      <c r="L400" t="s">
        <v>161</v>
      </c>
      <c r="M400">
        <v>-238700000</v>
      </c>
    </row>
    <row r="401" spans="1:13" x14ac:dyDescent="0.3">
      <c r="A401" s="23">
        <v>45799</v>
      </c>
      <c r="B401" t="s">
        <v>12</v>
      </c>
      <c r="C401" t="s">
        <v>132</v>
      </c>
      <c r="D401" t="s">
        <v>17</v>
      </c>
      <c r="E401" t="s">
        <v>41</v>
      </c>
      <c r="F401">
        <v>306000000</v>
      </c>
      <c r="G401" t="s">
        <v>26</v>
      </c>
      <c r="H401" t="s">
        <v>81</v>
      </c>
      <c r="I401" t="s">
        <v>9</v>
      </c>
      <c r="L401" t="s">
        <v>161</v>
      </c>
      <c r="M401">
        <v>-306000000</v>
      </c>
    </row>
    <row r="402" spans="1:13" x14ac:dyDescent="0.3">
      <c r="A402" s="23">
        <v>45798</v>
      </c>
      <c r="B402" t="s">
        <v>12</v>
      </c>
      <c r="C402" t="s">
        <v>132</v>
      </c>
      <c r="D402" t="s">
        <v>17</v>
      </c>
      <c r="E402" t="s">
        <v>41</v>
      </c>
      <c r="F402">
        <v>192300000</v>
      </c>
      <c r="G402" t="s">
        <v>26</v>
      </c>
      <c r="H402" t="s">
        <v>81</v>
      </c>
      <c r="I402" t="s">
        <v>9</v>
      </c>
      <c r="L402" t="s">
        <v>161</v>
      </c>
      <c r="M402">
        <v>-192300000</v>
      </c>
    </row>
    <row r="403" spans="1:13" x14ac:dyDescent="0.3">
      <c r="A403" s="23">
        <v>44672</v>
      </c>
      <c r="B403" t="s">
        <v>12</v>
      </c>
      <c r="C403" t="s">
        <v>132</v>
      </c>
      <c r="D403" t="s">
        <v>16</v>
      </c>
      <c r="E403" t="s">
        <v>41</v>
      </c>
      <c r="F403">
        <v>90000000</v>
      </c>
      <c r="G403" t="s">
        <v>26</v>
      </c>
      <c r="H403" t="s">
        <v>81</v>
      </c>
      <c r="I403" t="s">
        <v>9</v>
      </c>
      <c r="L403" t="s">
        <v>161</v>
      </c>
      <c r="M403">
        <v>90000000</v>
      </c>
    </row>
    <row r="404" spans="1:13" x14ac:dyDescent="0.3">
      <c r="A404" s="23">
        <v>45796</v>
      </c>
      <c r="B404" t="s">
        <v>12</v>
      </c>
      <c r="C404" t="s">
        <v>132</v>
      </c>
      <c r="D404" t="s">
        <v>16</v>
      </c>
      <c r="E404" t="s">
        <v>41</v>
      </c>
      <c r="F404">
        <v>18600000</v>
      </c>
      <c r="G404" t="s">
        <v>26</v>
      </c>
      <c r="H404" t="s">
        <v>81</v>
      </c>
      <c r="I404" t="s">
        <v>9</v>
      </c>
      <c r="L404" t="s">
        <v>161</v>
      </c>
      <c r="M404">
        <v>18600000</v>
      </c>
    </row>
    <row r="405" spans="1:13" x14ac:dyDescent="0.3">
      <c r="A405" s="23">
        <v>45793</v>
      </c>
      <c r="B405" t="s">
        <v>12</v>
      </c>
      <c r="C405" t="s">
        <v>132</v>
      </c>
      <c r="D405" t="s">
        <v>16</v>
      </c>
      <c r="E405" t="s">
        <v>41</v>
      </c>
      <c r="F405">
        <v>75343717.280000001</v>
      </c>
      <c r="G405" t="s">
        <v>26</v>
      </c>
      <c r="H405" t="s">
        <v>81</v>
      </c>
      <c r="I405" t="s">
        <v>9</v>
      </c>
      <c r="L405" t="s">
        <v>161</v>
      </c>
      <c r="M405">
        <v>75343717.280000001</v>
      </c>
    </row>
    <row r="406" spans="1:13" x14ac:dyDescent="0.3">
      <c r="A406" s="23">
        <v>45793</v>
      </c>
      <c r="B406" t="s">
        <v>12</v>
      </c>
      <c r="C406" t="s">
        <v>132</v>
      </c>
      <c r="D406" t="s">
        <v>16</v>
      </c>
      <c r="E406" t="s">
        <v>41</v>
      </c>
      <c r="F406">
        <v>56400000</v>
      </c>
      <c r="G406" t="s">
        <v>26</v>
      </c>
      <c r="H406" t="s">
        <v>81</v>
      </c>
      <c r="I406" t="s">
        <v>9</v>
      </c>
      <c r="L406" t="s">
        <v>161</v>
      </c>
      <c r="M406">
        <v>56400000</v>
      </c>
    </row>
    <row r="407" spans="1:13" x14ac:dyDescent="0.3">
      <c r="A407" s="23">
        <v>45792</v>
      </c>
      <c r="B407" t="s">
        <v>12</v>
      </c>
      <c r="C407" t="s">
        <v>132</v>
      </c>
      <c r="D407" t="s">
        <v>17</v>
      </c>
      <c r="E407" t="s">
        <v>41</v>
      </c>
      <c r="F407">
        <v>197500000</v>
      </c>
      <c r="G407" t="s">
        <v>26</v>
      </c>
      <c r="H407" t="s">
        <v>81</v>
      </c>
      <c r="I407" t="s">
        <v>9</v>
      </c>
      <c r="L407" t="s">
        <v>161</v>
      </c>
      <c r="M407">
        <v>-197500000</v>
      </c>
    </row>
    <row r="408" spans="1:13" x14ac:dyDescent="0.3">
      <c r="A408" s="23">
        <v>44676</v>
      </c>
      <c r="B408" t="s">
        <v>12</v>
      </c>
      <c r="C408" t="s">
        <v>132</v>
      </c>
      <c r="D408" t="s">
        <v>17</v>
      </c>
      <c r="E408" t="s">
        <v>41</v>
      </c>
      <c r="F408">
        <v>7200000</v>
      </c>
      <c r="G408" t="s">
        <v>26</v>
      </c>
      <c r="H408" t="s">
        <v>81</v>
      </c>
      <c r="I408" t="s">
        <v>9</v>
      </c>
      <c r="L408" t="s">
        <v>161</v>
      </c>
      <c r="M408">
        <v>-7200000</v>
      </c>
    </row>
    <row r="409" spans="1:13" x14ac:dyDescent="0.3">
      <c r="A409" s="23">
        <v>45791</v>
      </c>
      <c r="B409" t="s">
        <v>12</v>
      </c>
      <c r="C409" t="s">
        <v>132</v>
      </c>
      <c r="D409" t="s">
        <v>16</v>
      </c>
      <c r="E409" t="s">
        <v>41</v>
      </c>
      <c r="F409">
        <v>16900000</v>
      </c>
      <c r="G409" t="s">
        <v>26</v>
      </c>
      <c r="H409" t="s">
        <v>81</v>
      </c>
      <c r="I409" t="s">
        <v>9</v>
      </c>
      <c r="L409" t="s">
        <v>161</v>
      </c>
      <c r="M409">
        <v>16900000</v>
      </c>
    </row>
    <row r="410" spans="1:13" x14ac:dyDescent="0.3">
      <c r="A410" s="23">
        <v>44681</v>
      </c>
      <c r="B410" t="s">
        <v>12</v>
      </c>
      <c r="C410" t="s">
        <v>132</v>
      </c>
      <c r="D410" t="s">
        <v>16</v>
      </c>
      <c r="E410" t="s">
        <v>41</v>
      </c>
      <c r="F410">
        <v>1972717.1</v>
      </c>
      <c r="G410" t="s">
        <v>26</v>
      </c>
      <c r="H410" t="s">
        <v>81</v>
      </c>
      <c r="I410" t="s">
        <v>9</v>
      </c>
      <c r="L410" t="s">
        <v>161</v>
      </c>
      <c r="M410">
        <v>1972717.1</v>
      </c>
    </row>
    <row r="411" spans="1:13" x14ac:dyDescent="0.3">
      <c r="A411" s="23">
        <v>44681</v>
      </c>
      <c r="B411" t="s">
        <v>12</v>
      </c>
      <c r="C411" t="s">
        <v>132</v>
      </c>
      <c r="D411" t="s">
        <v>16</v>
      </c>
      <c r="E411" t="s">
        <v>41</v>
      </c>
      <c r="F411">
        <v>1027844.46</v>
      </c>
      <c r="G411" t="s">
        <v>26</v>
      </c>
      <c r="H411" t="s">
        <v>81</v>
      </c>
      <c r="I411" t="s">
        <v>9</v>
      </c>
      <c r="L411" t="s">
        <v>161</v>
      </c>
      <c r="M411">
        <v>1027844.46</v>
      </c>
    </row>
    <row r="412" spans="1:13" x14ac:dyDescent="0.3">
      <c r="A412" s="23">
        <v>44683</v>
      </c>
      <c r="B412" t="s">
        <v>12</v>
      </c>
      <c r="C412" t="s">
        <v>132</v>
      </c>
      <c r="D412" t="s">
        <v>17</v>
      </c>
      <c r="E412" t="s">
        <v>41</v>
      </c>
      <c r="F412">
        <v>21000000</v>
      </c>
      <c r="G412" t="s">
        <v>26</v>
      </c>
      <c r="H412" t="s">
        <v>81</v>
      </c>
      <c r="I412" t="s">
        <v>9</v>
      </c>
      <c r="L412" t="s">
        <v>161</v>
      </c>
      <c r="M412">
        <v>-21000000</v>
      </c>
    </row>
    <row r="413" spans="1:13" x14ac:dyDescent="0.3">
      <c r="A413" s="23">
        <v>44683</v>
      </c>
      <c r="B413" t="s">
        <v>12</v>
      </c>
      <c r="C413" t="s">
        <v>132</v>
      </c>
      <c r="D413" t="s">
        <v>17</v>
      </c>
      <c r="E413" t="s">
        <v>41</v>
      </c>
      <c r="F413">
        <v>91027844.459999993</v>
      </c>
      <c r="G413" t="s">
        <v>26</v>
      </c>
      <c r="H413" t="s">
        <v>81</v>
      </c>
      <c r="I413" t="s">
        <v>9</v>
      </c>
      <c r="L413" t="s">
        <v>161</v>
      </c>
      <c r="M413">
        <v>-91027844.459999993</v>
      </c>
    </row>
    <row r="414" spans="1:13" x14ac:dyDescent="0.3">
      <c r="A414" s="23">
        <v>44684</v>
      </c>
      <c r="B414" t="s">
        <v>12</v>
      </c>
      <c r="C414" t="s">
        <v>132</v>
      </c>
      <c r="D414" t="s">
        <v>16</v>
      </c>
      <c r="E414" t="s">
        <v>41</v>
      </c>
      <c r="F414">
        <v>91500000</v>
      </c>
      <c r="G414" t="s">
        <v>26</v>
      </c>
      <c r="H414" t="s">
        <v>81</v>
      </c>
      <c r="I414" t="s">
        <v>9</v>
      </c>
      <c r="L414" t="s">
        <v>161</v>
      </c>
      <c r="M414">
        <v>91500000</v>
      </c>
    </row>
    <row r="415" spans="1:13" x14ac:dyDescent="0.3">
      <c r="A415" s="23">
        <v>44686</v>
      </c>
      <c r="B415" t="s">
        <v>12</v>
      </c>
      <c r="C415" t="s">
        <v>132</v>
      </c>
      <c r="D415" t="s">
        <v>17</v>
      </c>
      <c r="E415" t="s">
        <v>41</v>
      </c>
      <c r="F415">
        <v>51800000</v>
      </c>
      <c r="G415" t="s">
        <v>26</v>
      </c>
      <c r="H415" t="s">
        <v>81</v>
      </c>
      <c r="I415" t="s">
        <v>9</v>
      </c>
      <c r="L415" t="s">
        <v>161</v>
      </c>
      <c r="M415">
        <v>-51800000</v>
      </c>
    </row>
    <row r="416" spans="1:13" x14ac:dyDescent="0.3">
      <c r="A416" s="23">
        <v>44687</v>
      </c>
      <c r="B416" t="s">
        <v>12</v>
      </c>
      <c r="C416" t="s">
        <v>132</v>
      </c>
      <c r="D416" t="s">
        <v>17</v>
      </c>
      <c r="E416" t="s">
        <v>41</v>
      </c>
      <c r="F416">
        <v>15300000</v>
      </c>
      <c r="G416" t="s">
        <v>26</v>
      </c>
      <c r="H416" t="s">
        <v>81</v>
      </c>
      <c r="I416" t="s">
        <v>9</v>
      </c>
      <c r="L416" t="s">
        <v>161</v>
      </c>
      <c r="M416">
        <v>-15300000</v>
      </c>
    </row>
    <row r="417" spans="1:13" x14ac:dyDescent="0.3">
      <c r="A417" s="23">
        <v>45786</v>
      </c>
      <c r="B417" t="s">
        <v>12</v>
      </c>
      <c r="C417" t="s">
        <v>132</v>
      </c>
      <c r="D417" t="s">
        <v>16</v>
      </c>
      <c r="E417" t="s">
        <v>41</v>
      </c>
      <c r="F417">
        <v>2000000000</v>
      </c>
      <c r="G417" t="s">
        <v>26</v>
      </c>
      <c r="H417" t="s">
        <v>81</v>
      </c>
      <c r="I417" t="s">
        <v>9</v>
      </c>
      <c r="L417" t="s">
        <v>161</v>
      </c>
      <c r="M417">
        <v>2000000000</v>
      </c>
    </row>
    <row r="418" spans="1:13" x14ac:dyDescent="0.3">
      <c r="A418" s="23">
        <v>44690</v>
      </c>
      <c r="B418" t="s">
        <v>12</v>
      </c>
      <c r="C418" t="s">
        <v>132</v>
      </c>
      <c r="D418" t="s">
        <v>17</v>
      </c>
      <c r="E418" t="s">
        <v>41</v>
      </c>
      <c r="F418">
        <v>20600000</v>
      </c>
      <c r="G418" t="s">
        <v>26</v>
      </c>
      <c r="H418" t="s">
        <v>81</v>
      </c>
      <c r="I418" t="s">
        <v>9</v>
      </c>
      <c r="L418" t="s">
        <v>161</v>
      </c>
      <c r="M418">
        <v>-20600000</v>
      </c>
    </row>
    <row r="419" spans="1:13" x14ac:dyDescent="0.3">
      <c r="A419" s="23">
        <v>45782</v>
      </c>
      <c r="B419" t="s">
        <v>12</v>
      </c>
      <c r="C419" t="s">
        <v>132</v>
      </c>
      <c r="D419" t="s">
        <v>17</v>
      </c>
      <c r="E419" t="s">
        <v>41</v>
      </c>
      <c r="F419">
        <v>215000000</v>
      </c>
      <c r="G419" t="s">
        <v>26</v>
      </c>
      <c r="H419" t="s">
        <v>81</v>
      </c>
      <c r="I419" t="s">
        <v>9</v>
      </c>
      <c r="L419" t="s">
        <v>161</v>
      </c>
      <c r="M419">
        <v>-215000000</v>
      </c>
    </row>
    <row r="420" spans="1:13" x14ac:dyDescent="0.3">
      <c r="A420" s="23">
        <v>45776</v>
      </c>
      <c r="B420" t="s">
        <v>12</v>
      </c>
      <c r="C420" t="s">
        <v>132</v>
      </c>
      <c r="D420" t="s">
        <v>17</v>
      </c>
      <c r="E420" t="s">
        <v>41</v>
      </c>
      <c r="F420">
        <v>339600000</v>
      </c>
      <c r="G420" t="s">
        <v>26</v>
      </c>
      <c r="H420" t="s">
        <v>81</v>
      </c>
      <c r="I420" t="s">
        <v>9</v>
      </c>
      <c r="L420" t="s">
        <v>161</v>
      </c>
      <c r="M420">
        <v>-339600000</v>
      </c>
    </row>
    <row r="421" spans="1:13" x14ac:dyDescent="0.3">
      <c r="A421" s="23">
        <v>45775</v>
      </c>
      <c r="B421" t="s">
        <v>12</v>
      </c>
      <c r="C421" t="s">
        <v>132</v>
      </c>
      <c r="D421" t="s">
        <v>17</v>
      </c>
      <c r="E421" t="s">
        <v>41</v>
      </c>
      <c r="F421">
        <v>170000000</v>
      </c>
      <c r="G421" t="s">
        <v>26</v>
      </c>
      <c r="H421" t="s">
        <v>81</v>
      </c>
      <c r="I421" t="s">
        <v>9</v>
      </c>
      <c r="L421" t="s">
        <v>161</v>
      </c>
      <c r="M421">
        <v>-170000000</v>
      </c>
    </row>
    <row r="422" spans="1:13" x14ac:dyDescent="0.3">
      <c r="A422" s="23">
        <v>44693</v>
      </c>
      <c r="B422" t="s">
        <v>12</v>
      </c>
      <c r="C422" t="s">
        <v>132</v>
      </c>
      <c r="D422" t="s">
        <v>16</v>
      </c>
      <c r="E422" t="s">
        <v>41</v>
      </c>
      <c r="F422">
        <v>63000000</v>
      </c>
      <c r="G422" t="s">
        <v>26</v>
      </c>
      <c r="H422" t="s">
        <v>81</v>
      </c>
      <c r="I422" t="s">
        <v>9</v>
      </c>
      <c r="L422" t="s">
        <v>161</v>
      </c>
      <c r="M422">
        <v>63000000</v>
      </c>
    </row>
    <row r="423" spans="1:13" x14ac:dyDescent="0.3">
      <c r="A423" s="23">
        <v>45771</v>
      </c>
      <c r="B423" t="s">
        <v>12</v>
      </c>
      <c r="C423" t="s">
        <v>132</v>
      </c>
      <c r="D423" t="s">
        <v>17</v>
      </c>
      <c r="E423" t="s">
        <v>41</v>
      </c>
      <c r="F423">
        <v>150000000</v>
      </c>
      <c r="G423" t="s">
        <v>26</v>
      </c>
      <c r="H423" t="s">
        <v>81</v>
      </c>
      <c r="I423" t="s">
        <v>9</v>
      </c>
      <c r="L423" t="s">
        <v>161</v>
      </c>
      <c r="M423">
        <v>-150000000</v>
      </c>
    </row>
    <row r="424" spans="1:13" x14ac:dyDescent="0.3">
      <c r="A424" s="23">
        <v>45770</v>
      </c>
      <c r="B424" t="s">
        <v>12</v>
      </c>
      <c r="C424" t="s">
        <v>132</v>
      </c>
      <c r="D424" t="s">
        <v>16</v>
      </c>
      <c r="E424" t="s">
        <v>41</v>
      </c>
      <c r="F424">
        <v>1051000000</v>
      </c>
      <c r="G424" t="s">
        <v>26</v>
      </c>
      <c r="H424" t="s">
        <v>81</v>
      </c>
      <c r="I424" t="s">
        <v>9</v>
      </c>
      <c r="L424" t="s">
        <v>161</v>
      </c>
      <c r="M424">
        <v>1051000000</v>
      </c>
    </row>
    <row r="425" spans="1:13" x14ac:dyDescent="0.3">
      <c r="A425" s="23">
        <v>44694</v>
      </c>
      <c r="B425" t="s">
        <v>12</v>
      </c>
      <c r="C425" t="s">
        <v>132</v>
      </c>
      <c r="D425" t="s">
        <v>16</v>
      </c>
      <c r="E425" t="s">
        <v>41</v>
      </c>
      <c r="F425">
        <v>2900000</v>
      </c>
      <c r="G425" t="s">
        <v>26</v>
      </c>
      <c r="H425" t="s">
        <v>81</v>
      </c>
      <c r="I425" t="s">
        <v>9</v>
      </c>
      <c r="L425" t="s">
        <v>161</v>
      </c>
      <c r="M425">
        <v>2900000</v>
      </c>
    </row>
    <row r="426" spans="1:13" x14ac:dyDescent="0.3">
      <c r="A426" s="23">
        <v>44694</v>
      </c>
      <c r="B426" t="s">
        <v>12</v>
      </c>
      <c r="C426" t="s">
        <v>132</v>
      </c>
      <c r="D426" t="s">
        <v>17</v>
      </c>
      <c r="E426" t="s">
        <v>41</v>
      </c>
      <c r="F426">
        <v>68449668.799999997</v>
      </c>
      <c r="G426" t="s">
        <v>26</v>
      </c>
      <c r="H426" t="s">
        <v>81</v>
      </c>
      <c r="I426" t="s">
        <v>9</v>
      </c>
      <c r="L426" t="s">
        <v>161</v>
      </c>
      <c r="M426">
        <v>-68449668.799999997</v>
      </c>
    </row>
    <row r="427" spans="1:13" x14ac:dyDescent="0.3">
      <c r="A427" s="23">
        <v>44697</v>
      </c>
      <c r="B427" t="s">
        <v>12</v>
      </c>
      <c r="C427" t="s">
        <v>132</v>
      </c>
      <c r="D427" t="s">
        <v>16</v>
      </c>
      <c r="E427" t="s">
        <v>41</v>
      </c>
      <c r="F427">
        <v>152300000</v>
      </c>
      <c r="G427" t="s">
        <v>26</v>
      </c>
      <c r="H427" t="s">
        <v>81</v>
      </c>
      <c r="I427" t="s">
        <v>9</v>
      </c>
      <c r="L427" t="s">
        <v>161</v>
      </c>
      <c r="M427">
        <v>152300000</v>
      </c>
    </row>
    <row r="428" spans="1:13" x14ac:dyDescent="0.3">
      <c r="A428" s="23">
        <v>45769</v>
      </c>
      <c r="B428" t="s">
        <v>12</v>
      </c>
      <c r="C428" t="s">
        <v>132</v>
      </c>
      <c r="D428" t="s">
        <v>16</v>
      </c>
      <c r="E428" t="s">
        <v>41</v>
      </c>
      <c r="F428">
        <v>912000000</v>
      </c>
      <c r="G428" t="s">
        <v>26</v>
      </c>
      <c r="H428" t="s">
        <v>81</v>
      </c>
      <c r="I428" t="s">
        <v>9</v>
      </c>
      <c r="L428" t="s">
        <v>161</v>
      </c>
      <c r="M428">
        <v>912000000</v>
      </c>
    </row>
    <row r="429" spans="1:13" x14ac:dyDescent="0.3">
      <c r="A429" s="23">
        <v>45769</v>
      </c>
      <c r="B429" t="s">
        <v>12</v>
      </c>
      <c r="C429" t="s">
        <v>132</v>
      </c>
      <c r="D429" t="s">
        <v>16</v>
      </c>
      <c r="E429" t="s">
        <v>41</v>
      </c>
      <c r="F429">
        <v>24214919.620000001</v>
      </c>
      <c r="G429" t="s">
        <v>26</v>
      </c>
      <c r="H429" t="s">
        <v>81</v>
      </c>
      <c r="I429" t="s">
        <v>9</v>
      </c>
      <c r="L429" t="s">
        <v>161</v>
      </c>
      <c r="M429">
        <v>24214919.620000001</v>
      </c>
    </row>
    <row r="430" spans="1:13" x14ac:dyDescent="0.3">
      <c r="A430" s="23">
        <v>44700</v>
      </c>
      <c r="B430" t="s">
        <v>12</v>
      </c>
      <c r="C430" t="s">
        <v>132</v>
      </c>
      <c r="D430" t="s">
        <v>17</v>
      </c>
      <c r="E430" t="s">
        <v>41</v>
      </c>
      <c r="F430">
        <v>78600000</v>
      </c>
      <c r="G430" t="s">
        <v>26</v>
      </c>
      <c r="H430" t="s">
        <v>81</v>
      </c>
      <c r="I430" t="s">
        <v>9</v>
      </c>
      <c r="L430" t="s">
        <v>161</v>
      </c>
      <c r="M430">
        <v>-78600000</v>
      </c>
    </row>
    <row r="431" spans="1:13" x14ac:dyDescent="0.3">
      <c r="A431" s="23">
        <v>45768</v>
      </c>
      <c r="B431" t="s">
        <v>12</v>
      </c>
      <c r="C431" t="s">
        <v>132</v>
      </c>
      <c r="D431" t="s">
        <v>17</v>
      </c>
      <c r="E431" t="s">
        <v>41</v>
      </c>
      <c r="F431">
        <v>238300000</v>
      </c>
      <c r="G431" t="s">
        <v>26</v>
      </c>
      <c r="H431" t="s">
        <v>81</v>
      </c>
      <c r="I431" t="s">
        <v>9</v>
      </c>
      <c r="L431" t="s">
        <v>161</v>
      </c>
      <c r="M431">
        <v>-238300000</v>
      </c>
    </row>
    <row r="432" spans="1:13" x14ac:dyDescent="0.3">
      <c r="A432" s="23">
        <v>44704</v>
      </c>
      <c r="B432" t="s">
        <v>12</v>
      </c>
      <c r="C432" t="s">
        <v>132</v>
      </c>
      <c r="D432" t="s">
        <v>17</v>
      </c>
      <c r="E432" t="s">
        <v>41</v>
      </c>
      <c r="F432">
        <v>76600000</v>
      </c>
      <c r="G432" t="s">
        <v>26</v>
      </c>
      <c r="H432" t="s">
        <v>81</v>
      </c>
      <c r="I432" t="s">
        <v>9</v>
      </c>
      <c r="L432" t="s">
        <v>161</v>
      </c>
      <c r="M432">
        <v>-76600000</v>
      </c>
    </row>
    <row r="433" spans="1:13" x14ac:dyDescent="0.3">
      <c r="A433" s="23">
        <v>45763</v>
      </c>
      <c r="B433" t="s">
        <v>12</v>
      </c>
      <c r="C433" t="s">
        <v>132</v>
      </c>
      <c r="D433" t="s">
        <v>16</v>
      </c>
      <c r="E433" t="s">
        <v>41</v>
      </c>
      <c r="F433">
        <v>2000000000</v>
      </c>
      <c r="G433" t="s">
        <v>26</v>
      </c>
      <c r="H433" t="s">
        <v>81</v>
      </c>
      <c r="I433" t="s">
        <v>9</v>
      </c>
      <c r="L433" t="s">
        <v>161</v>
      </c>
      <c r="M433">
        <v>2000000000</v>
      </c>
    </row>
    <row r="434" spans="1:13" x14ac:dyDescent="0.3">
      <c r="A434" s="23">
        <v>44705</v>
      </c>
      <c r="B434" t="s">
        <v>12</v>
      </c>
      <c r="C434" t="s">
        <v>132</v>
      </c>
      <c r="D434" t="s">
        <v>16</v>
      </c>
      <c r="E434" t="s">
        <v>41</v>
      </c>
      <c r="F434">
        <v>158500000</v>
      </c>
      <c r="G434" t="s">
        <v>26</v>
      </c>
      <c r="H434" t="s">
        <v>81</v>
      </c>
      <c r="I434" t="s">
        <v>9</v>
      </c>
      <c r="L434" t="s">
        <v>161</v>
      </c>
      <c r="M434">
        <v>158500000</v>
      </c>
    </row>
    <row r="435" spans="1:13" x14ac:dyDescent="0.3">
      <c r="A435" s="23">
        <v>45762</v>
      </c>
      <c r="B435" t="s">
        <v>12</v>
      </c>
      <c r="C435" t="s">
        <v>132</v>
      </c>
      <c r="D435" t="s">
        <v>17</v>
      </c>
      <c r="E435" t="s">
        <v>41</v>
      </c>
      <c r="F435">
        <v>6000000</v>
      </c>
      <c r="G435" t="s">
        <v>26</v>
      </c>
      <c r="H435" t="s">
        <v>81</v>
      </c>
      <c r="I435" t="s">
        <v>9</v>
      </c>
      <c r="L435" t="s">
        <v>161</v>
      </c>
      <c r="M435">
        <v>-6000000</v>
      </c>
    </row>
    <row r="436" spans="1:13" x14ac:dyDescent="0.3">
      <c r="A436" s="23">
        <v>45762</v>
      </c>
      <c r="B436" t="s">
        <v>12</v>
      </c>
      <c r="C436" t="s">
        <v>132</v>
      </c>
      <c r="D436" t="s">
        <v>16</v>
      </c>
      <c r="E436" t="s">
        <v>41</v>
      </c>
      <c r="F436">
        <v>479200000</v>
      </c>
      <c r="G436" t="s">
        <v>26</v>
      </c>
      <c r="H436" t="s">
        <v>81</v>
      </c>
      <c r="I436" t="s">
        <v>9</v>
      </c>
      <c r="L436" t="s">
        <v>161</v>
      </c>
      <c r="M436">
        <v>479200000</v>
      </c>
    </row>
    <row r="437" spans="1:13" x14ac:dyDescent="0.3">
      <c r="A437" s="23">
        <v>45761</v>
      </c>
      <c r="B437" t="s">
        <v>12</v>
      </c>
      <c r="C437" t="s">
        <v>132</v>
      </c>
      <c r="D437" t="s">
        <v>17</v>
      </c>
      <c r="E437" t="s">
        <v>41</v>
      </c>
      <c r="F437">
        <v>380500000</v>
      </c>
      <c r="G437" t="s">
        <v>26</v>
      </c>
      <c r="H437" t="s">
        <v>81</v>
      </c>
      <c r="I437" t="s">
        <v>9</v>
      </c>
      <c r="L437" t="s">
        <v>161</v>
      </c>
      <c r="M437">
        <v>-380500000</v>
      </c>
    </row>
    <row r="438" spans="1:13" x14ac:dyDescent="0.3">
      <c r="A438" s="23">
        <v>44707</v>
      </c>
      <c r="B438" t="s">
        <v>12</v>
      </c>
      <c r="C438" t="s">
        <v>132</v>
      </c>
      <c r="D438" t="s">
        <v>17</v>
      </c>
      <c r="E438" t="s">
        <v>41</v>
      </c>
      <c r="F438">
        <v>38900000</v>
      </c>
      <c r="G438" t="s">
        <v>26</v>
      </c>
      <c r="H438" t="s">
        <v>81</v>
      </c>
      <c r="I438" t="s">
        <v>9</v>
      </c>
      <c r="L438" t="s">
        <v>161</v>
      </c>
      <c r="M438">
        <v>-38900000</v>
      </c>
    </row>
    <row r="439" spans="1:13" x14ac:dyDescent="0.3">
      <c r="A439" s="23">
        <v>45758</v>
      </c>
      <c r="B439" t="s">
        <v>12</v>
      </c>
      <c r="C439" t="s">
        <v>132</v>
      </c>
      <c r="D439" t="s">
        <v>17</v>
      </c>
      <c r="E439" t="s">
        <v>41</v>
      </c>
      <c r="F439">
        <v>2200000</v>
      </c>
      <c r="G439" t="s">
        <v>26</v>
      </c>
      <c r="H439" t="s">
        <v>81</v>
      </c>
      <c r="I439" t="s">
        <v>9</v>
      </c>
      <c r="L439" t="s">
        <v>161</v>
      </c>
      <c r="M439">
        <v>-2200000</v>
      </c>
    </row>
    <row r="440" spans="1:13" x14ac:dyDescent="0.3">
      <c r="A440" s="23">
        <v>44708</v>
      </c>
      <c r="B440" t="s">
        <v>12</v>
      </c>
      <c r="C440" t="s">
        <v>132</v>
      </c>
      <c r="D440" t="s">
        <v>17</v>
      </c>
      <c r="E440" t="s">
        <v>41</v>
      </c>
      <c r="F440">
        <v>4000000</v>
      </c>
      <c r="G440" t="s">
        <v>26</v>
      </c>
      <c r="H440" t="s">
        <v>81</v>
      </c>
      <c r="I440" t="s">
        <v>9</v>
      </c>
      <c r="L440" t="s">
        <v>161</v>
      </c>
      <c r="M440">
        <v>-4000000</v>
      </c>
    </row>
    <row r="441" spans="1:13" x14ac:dyDescent="0.3">
      <c r="A441" s="23">
        <v>45757</v>
      </c>
      <c r="B441" t="s">
        <v>12</v>
      </c>
      <c r="C441" t="s">
        <v>132</v>
      </c>
      <c r="D441" t="s">
        <v>17</v>
      </c>
      <c r="E441" t="s">
        <v>41</v>
      </c>
      <c r="F441">
        <v>1600000000</v>
      </c>
      <c r="G441" t="s">
        <v>26</v>
      </c>
      <c r="H441" t="s">
        <v>81</v>
      </c>
      <c r="I441" t="s">
        <v>9</v>
      </c>
      <c r="L441" t="s">
        <v>161</v>
      </c>
      <c r="M441">
        <v>-1600000000</v>
      </c>
    </row>
    <row r="442" spans="1:13" x14ac:dyDescent="0.3">
      <c r="A442" s="23">
        <v>44712</v>
      </c>
      <c r="B442" t="s">
        <v>12</v>
      </c>
      <c r="C442" t="s">
        <v>132</v>
      </c>
      <c r="D442" t="s">
        <v>16</v>
      </c>
      <c r="E442" t="s">
        <v>41</v>
      </c>
      <c r="F442">
        <v>307300000</v>
      </c>
      <c r="G442" t="s">
        <v>26</v>
      </c>
      <c r="H442" t="s">
        <v>81</v>
      </c>
      <c r="I442" t="s">
        <v>9</v>
      </c>
      <c r="L442" t="s">
        <v>161</v>
      </c>
      <c r="M442">
        <v>307300000</v>
      </c>
    </row>
    <row r="443" spans="1:13" x14ac:dyDescent="0.3">
      <c r="A443" s="23">
        <v>45756</v>
      </c>
      <c r="B443" t="s">
        <v>12</v>
      </c>
      <c r="C443" t="s">
        <v>132</v>
      </c>
      <c r="D443" t="s">
        <v>16</v>
      </c>
      <c r="E443" t="s">
        <v>41</v>
      </c>
      <c r="F443">
        <v>93000000</v>
      </c>
      <c r="G443" t="s">
        <v>26</v>
      </c>
      <c r="H443" t="s">
        <v>81</v>
      </c>
      <c r="I443" t="s">
        <v>9</v>
      </c>
      <c r="L443" t="s">
        <v>161</v>
      </c>
      <c r="M443">
        <v>93000000</v>
      </c>
    </row>
    <row r="444" spans="1:13" x14ac:dyDescent="0.3">
      <c r="A444" s="23">
        <v>45756</v>
      </c>
      <c r="B444" t="s">
        <v>12</v>
      </c>
      <c r="C444" t="s">
        <v>132</v>
      </c>
      <c r="D444" t="s">
        <v>16</v>
      </c>
      <c r="E444" t="s">
        <v>41</v>
      </c>
      <c r="F444">
        <v>1774700000</v>
      </c>
      <c r="G444" t="s">
        <v>26</v>
      </c>
      <c r="H444" t="s">
        <v>81</v>
      </c>
      <c r="I444" t="s">
        <v>9</v>
      </c>
      <c r="L444" t="s">
        <v>161</v>
      </c>
      <c r="M444">
        <v>1774700000</v>
      </c>
    </row>
    <row r="445" spans="1:13" x14ac:dyDescent="0.3">
      <c r="A445" s="23">
        <v>45755</v>
      </c>
      <c r="B445" t="s">
        <v>12</v>
      </c>
      <c r="C445" t="s">
        <v>132</v>
      </c>
      <c r="D445" t="s">
        <v>17</v>
      </c>
      <c r="E445" t="s">
        <v>41</v>
      </c>
      <c r="F445">
        <v>65300000</v>
      </c>
      <c r="G445" t="s">
        <v>26</v>
      </c>
      <c r="H445" t="s">
        <v>81</v>
      </c>
      <c r="I445" t="s">
        <v>9</v>
      </c>
      <c r="L445" t="s">
        <v>161</v>
      </c>
      <c r="M445">
        <v>-65300000</v>
      </c>
    </row>
    <row r="446" spans="1:13" x14ac:dyDescent="0.3">
      <c r="A446" s="23">
        <v>45754</v>
      </c>
      <c r="B446" t="s">
        <v>12</v>
      </c>
      <c r="C446" t="s">
        <v>132</v>
      </c>
      <c r="D446" t="s">
        <v>17</v>
      </c>
      <c r="E446" t="s">
        <v>41</v>
      </c>
      <c r="F446">
        <v>71300000</v>
      </c>
      <c r="G446" t="s">
        <v>26</v>
      </c>
      <c r="H446" t="s">
        <v>81</v>
      </c>
      <c r="I446" t="s">
        <v>9</v>
      </c>
      <c r="L446" t="s">
        <v>161</v>
      </c>
      <c r="M446">
        <v>-71300000</v>
      </c>
    </row>
    <row r="447" spans="1:13" x14ac:dyDescent="0.3">
      <c r="A447" s="23">
        <v>44714</v>
      </c>
      <c r="B447" t="s">
        <v>12</v>
      </c>
      <c r="C447" t="s">
        <v>132</v>
      </c>
      <c r="D447" t="s">
        <v>17</v>
      </c>
      <c r="E447" t="s">
        <v>41</v>
      </c>
      <c r="F447">
        <v>167500000</v>
      </c>
      <c r="G447" t="s">
        <v>26</v>
      </c>
      <c r="H447" t="s">
        <v>81</v>
      </c>
      <c r="I447" t="s">
        <v>9</v>
      </c>
      <c r="L447" t="s">
        <v>161</v>
      </c>
      <c r="M447">
        <v>-167500000</v>
      </c>
    </row>
    <row r="448" spans="1:13" x14ac:dyDescent="0.3">
      <c r="A448" s="23">
        <v>45751</v>
      </c>
      <c r="B448" t="s">
        <v>12</v>
      </c>
      <c r="C448" t="s">
        <v>132</v>
      </c>
      <c r="D448" t="s">
        <v>17</v>
      </c>
      <c r="E448" t="s">
        <v>41</v>
      </c>
      <c r="F448">
        <v>217200000</v>
      </c>
      <c r="G448" t="s">
        <v>26</v>
      </c>
      <c r="H448" t="s">
        <v>81</v>
      </c>
      <c r="I448" t="s">
        <v>9</v>
      </c>
      <c r="L448" t="s">
        <v>161</v>
      </c>
      <c r="M448">
        <v>-217200000</v>
      </c>
    </row>
    <row r="449" spans="1:13" x14ac:dyDescent="0.3">
      <c r="A449" s="23">
        <v>44715</v>
      </c>
      <c r="B449" t="s">
        <v>12</v>
      </c>
      <c r="C449" t="s">
        <v>132</v>
      </c>
      <c r="D449" t="s">
        <v>17</v>
      </c>
      <c r="E449" t="s">
        <v>41</v>
      </c>
      <c r="F449">
        <v>200000000</v>
      </c>
      <c r="G449" t="s">
        <v>26</v>
      </c>
      <c r="H449" t="s">
        <v>81</v>
      </c>
      <c r="I449" t="s">
        <v>9</v>
      </c>
      <c r="L449" t="s">
        <v>161</v>
      </c>
      <c r="M449">
        <v>-200000000</v>
      </c>
    </row>
    <row r="450" spans="1:13" x14ac:dyDescent="0.3">
      <c r="A450" s="23">
        <v>45750</v>
      </c>
      <c r="B450" t="s">
        <v>12</v>
      </c>
      <c r="C450" t="s">
        <v>132</v>
      </c>
      <c r="D450" t="s">
        <v>16</v>
      </c>
      <c r="E450" t="s">
        <v>41</v>
      </c>
      <c r="F450">
        <v>3600000</v>
      </c>
      <c r="G450" t="s">
        <v>26</v>
      </c>
      <c r="H450" t="s">
        <v>81</v>
      </c>
      <c r="I450" t="s">
        <v>9</v>
      </c>
      <c r="L450" t="s">
        <v>161</v>
      </c>
      <c r="M450">
        <v>3600000</v>
      </c>
    </row>
    <row r="451" spans="1:13" x14ac:dyDescent="0.3">
      <c r="A451" s="23">
        <v>44715</v>
      </c>
      <c r="B451" t="s">
        <v>12</v>
      </c>
      <c r="C451" t="s">
        <v>132</v>
      </c>
      <c r="D451" t="s">
        <v>17</v>
      </c>
      <c r="E451" t="s">
        <v>41</v>
      </c>
      <c r="F451">
        <v>11200000</v>
      </c>
      <c r="G451" t="s">
        <v>26</v>
      </c>
      <c r="H451" t="s">
        <v>81</v>
      </c>
      <c r="I451" t="s">
        <v>9</v>
      </c>
      <c r="L451" t="s">
        <v>161</v>
      </c>
      <c r="M451">
        <v>-11200000</v>
      </c>
    </row>
    <row r="452" spans="1:13" x14ac:dyDescent="0.3">
      <c r="A452" s="23">
        <v>45748</v>
      </c>
      <c r="B452" t="s">
        <v>12</v>
      </c>
      <c r="C452" t="s">
        <v>132</v>
      </c>
      <c r="D452" t="s">
        <v>17</v>
      </c>
      <c r="E452" t="s">
        <v>41</v>
      </c>
      <c r="F452">
        <v>54900000</v>
      </c>
      <c r="G452" t="s">
        <v>26</v>
      </c>
      <c r="H452" t="s">
        <v>81</v>
      </c>
      <c r="I452" t="s">
        <v>9</v>
      </c>
      <c r="L452" t="s">
        <v>161</v>
      </c>
      <c r="M452">
        <v>-54900000</v>
      </c>
    </row>
    <row r="453" spans="1:13" x14ac:dyDescent="0.3">
      <c r="A453" s="23">
        <v>44718</v>
      </c>
      <c r="B453" t="s">
        <v>12</v>
      </c>
      <c r="C453" t="s">
        <v>132</v>
      </c>
      <c r="D453" t="s">
        <v>17</v>
      </c>
      <c r="E453" t="s">
        <v>41</v>
      </c>
      <c r="F453">
        <v>42300000</v>
      </c>
      <c r="G453" t="s">
        <v>26</v>
      </c>
      <c r="H453" t="s">
        <v>81</v>
      </c>
      <c r="I453" t="s">
        <v>9</v>
      </c>
      <c r="L453" t="s">
        <v>161</v>
      </c>
      <c r="M453">
        <v>-42300000</v>
      </c>
    </row>
    <row r="454" spans="1:13" x14ac:dyDescent="0.3">
      <c r="A454" s="23">
        <v>45747</v>
      </c>
      <c r="B454" t="s">
        <v>12</v>
      </c>
      <c r="C454" t="s">
        <v>132</v>
      </c>
      <c r="D454" t="s">
        <v>17</v>
      </c>
      <c r="E454" t="s">
        <v>41</v>
      </c>
      <c r="F454">
        <v>77200000</v>
      </c>
      <c r="G454" t="s">
        <v>26</v>
      </c>
      <c r="H454" t="s">
        <v>81</v>
      </c>
      <c r="I454" t="s">
        <v>9</v>
      </c>
      <c r="L454" t="s">
        <v>161</v>
      </c>
      <c r="M454">
        <v>-77200000</v>
      </c>
    </row>
    <row r="455" spans="1:13" x14ac:dyDescent="0.3">
      <c r="A455" s="23">
        <v>45743</v>
      </c>
      <c r="B455" t="s">
        <v>12</v>
      </c>
      <c r="C455" t="s">
        <v>132</v>
      </c>
      <c r="D455" t="s">
        <v>16</v>
      </c>
      <c r="E455" t="s">
        <v>41</v>
      </c>
      <c r="F455">
        <v>11634127</v>
      </c>
      <c r="G455" t="s">
        <v>26</v>
      </c>
      <c r="H455" t="s">
        <v>81</v>
      </c>
      <c r="I455" t="s">
        <v>9</v>
      </c>
      <c r="L455" t="s">
        <v>161</v>
      </c>
      <c r="M455">
        <v>11634127</v>
      </c>
    </row>
    <row r="456" spans="1:13" x14ac:dyDescent="0.3">
      <c r="A456" s="23">
        <v>44719</v>
      </c>
      <c r="B456" t="s">
        <v>12</v>
      </c>
      <c r="C456" t="s">
        <v>132</v>
      </c>
      <c r="D456" t="s">
        <v>16</v>
      </c>
      <c r="E456" t="s">
        <v>41</v>
      </c>
      <c r="F456">
        <v>22300000</v>
      </c>
      <c r="G456" t="s">
        <v>26</v>
      </c>
      <c r="H456" t="s">
        <v>81</v>
      </c>
      <c r="I456" t="s">
        <v>9</v>
      </c>
      <c r="L456" t="s">
        <v>161</v>
      </c>
      <c r="M456">
        <v>22300000</v>
      </c>
    </row>
    <row r="457" spans="1:13" x14ac:dyDescent="0.3">
      <c r="A457" s="23">
        <v>44720</v>
      </c>
      <c r="B457" t="s">
        <v>12</v>
      </c>
      <c r="C457" t="s">
        <v>132</v>
      </c>
      <c r="D457" t="s">
        <v>17</v>
      </c>
      <c r="E457" t="s">
        <v>41</v>
      </c>
      <c r="F457">
        <v>15500000</v>
      </c>
      <c r="G457" t="s">
        <v>26</v>
      </c>
      <c r="H457" t="s">
        <v>81</v>
      </c>
      <c r="I457" t="s">
        <v>9</v>
      </c>
      <c r="L457" t="s">
        <v>161</v>
      </c>
      <c r="M457">
        <v>-15500000</v>
      </c>
    </row>
    <row r="458" spans="1:13" x14ac:dyDescent="0.3">
      <c r="A458" s="23">
        <v>45743</v>
      </c>
      <c r="B458" t="s">
        <v>12</v>
      </c>
      <c r="C458" t="s">
        <v>132</v>
      </c>
      <c r="D458" t="s">
        <v>16</v>
      </c>
      <c r="E458" t="s">
        <v>41</v>
      </c>
      <c r="F458">
        <v>218000000</v>
      </c>
      <c r="G458" t="s">
        <v>26</v>
      </c>
      <c r="H458" t="s">
        <v>81</v>
      </c>
      <c r="I458" t="s">
        <v>9</v>
      </c>
      <c r="L458" t="s">
        <v>161</v>
      </c>
      <c r="M458">
        <v>218000000</v>
      </c>
    </row>
    <row r="459" spans="1:13" x14ac:dyDescent="0.3">
      <c r="A459" s="23">
        <v>44721</v>
      </c>
      <c r="B459" t="s">
        <v>12</v>
      </c>
      <c r="C459" t="s">
        <v>132</v>
      </c>
      <c r="D459" t="s">
        <v>16</v>
      </c>
      <c r="E459" t="s">
        <v>41</v>
      </c>
      <c r="F459">
        <v>114200000</v>
      </c>
      <c r="G459" t="s">
        <v>26</v>
      </c>
      <c r="H459" t="s">
        <v>81</v>
      </c>
      <c r="I459" t="s">
        <v>9</v>
      </c>
      <c r="L459" t="s">
        <v>161</v>
      </c>
      <c r="M459">
        <v>114200000</v>
      </c>
    </row>
    <row r="460" spans="1:13" x14ac:dyDescent="0.3">
      <c r="A460" s="23">
        <v>45741</v>
      </c>
      <c r="B460" t="s">
        <v>12</v>
      </c>
      <c r="C460" t="s">
        <v>132</v>
      </c>
      <c r="D460" t="s">
        <v>16</v>
      </c>
      <c r="E460" t="s">
        <v>41</v>
      </c>
      <c r="F460">
        <v>461600000</v>
      </c>
      <c r="G460" t="s">
        <v>26</v>
      </c>
      <c r="H460" t="s">
        <v>81</v>
      </c>
      <c r="I460" t="s">
        <v>9</v>
      </c>
      <c r="L460" t="s">
        <v>161</v>
      </c>
      <c r="M460">
        <v>461600000</v>
      </c>
    </row>
    <row r="461" spans="1:13" x14ac:dyDescent="0.3">
      <c r="A461" s="23">
        <v>45737</v>
      </c>
      <c r="B461" t="s">
        <v>12</v>
      </c>
      <c r="C461" t="s">
        <v>132</v>
      </c>
      <c r="D461" t="s">
        <v>16</v>
      </c>
      <c r="E461" t="s">
        <v>41</v>
      </c>
      <c r="F461">
        <v>107500000</v>
      </c>
      <c r="G461" t="s">
        <v>26</v>
      </c>
      <c r="H461" t="s">
        <v>81</v>
      </c>
      <c r="I461" t="s">
        <v>9</v>
      </c>
      <c r="L461" t="s">
        <v>161</v>
      </c>
      <c r="M461">
        <v>107500000</v>
      </c>
    </row>
    <row r="462" spans="1:13" x14ac:dyDescent="0.3">
      <c r="A462" s="23">
        <v>44722</v>
      </c>
      <c r="B462" t="s">
        <v>12</v>
      </c>
      <c r="C462" t="s">
        <v>132</v>
      </c>
      <c r="D462" t="s">
        <v>17</v>
      </c>
      <c r="E462" t="s">
        <v>41</v>
      </c>
      <c r="F462">
        <v>8500000</v>
      </c>
      <c r="G462" t="s">
        <v>26</v>
      </c>
      <c r="H462" t="s">
        <v>81</v>
      </c>
      <c r="I462" t="s">
        <v>9</v>
      </c>
      <c r="L462" t="s">
        <v>161</v>
      </c>
      <c r="M462">
        <v>-8500000</v>
      </c>
    </row>
    <row r="463" spans="1:13" x14ac:dyDescent="0.3">
      <c r="A463" s="23">
        <v>44725</v>
      </c>
      <c r="B463" t="s">
        <v>12</v>
      </c>
      <c r="C463" t="s">
        <v>132</v>
      </c>
      <c r="D463" t="s">
        <v>17</v>
      </c>
      <c r="E463" t="s">
        <v>41</v>
      </c>
      <c r="F463">
        <v>58200000</v>
      </c>
      <c r="G463" t="s">
        <v>26</v>
      </c>
      <c r="H463" t="s">
        <v>81</v>
      </c>
      <c r="I463" t="s">
        <v>9</v>
      </c>
      <c r="L463" t="s">
        <v>161</v>
      </c>
      <c r="M463">
        <v>-58200000</v>
      </c>
    </row>
    <row r="464" spans="1:13" x14ac:dyDescent="0.3">
      <c r="A464" s="23">
        <v>45735</v>
      </c>
      <c r="B464" t="s">
        <v>12</v>
      </c>
      <c r="C464" t="s">
        <v>132</v>
      </c>
      <c r="D464" t="s">
        <v>17</v>
      </c>
      <c r="E464" t="s">
        <v>41</v>
      </c>
      <c r="F464">
        <v>67100000</v>
      </c>
      <c r="G464" t="s">
        <v>26</v>
      </c>
      <c r="H464" t="s">
        <v>81</v>
      </c>
      <c r="I464" t="s">
        <v>9</v>
      </c>
      <c r="L464" t="s">
        <v>161</v>
      </c>
      <c r="M464">
        <v>-67100000</v>
      </c>
    </row>
    <row r="465" spans="1:13" x14ac:dyDescent="0.3">
      <c r="A465" s="23">
        <v>44726</v>
      </c>
      <c r="B465" t="s">
        <v>12</v>
      </c>
      <c r="C465" t="s">
        <v>132</v>
      </c>
      <c r="D465" t="s">
        <v>16</v>
      </c>
      <c r="E465" t="s">
        <v>41</v>
      </c>
      <c r="F465">
        <v>221000000</v>
      </c>
      <c r="G465" t="s">
        <v>26</v>
      </c>
      <c r="H465" t="s">
        <v>81</v>
      </c>
      <c r="I465" t="s">
        <v>9</v>
      </c>
      <c r="L465" t="s">
        <v>161</v>
      </c>
      <c r="M465">
        <v>221000000</v>
      </c>
    </row>
    <row r="466" spans="1:13" x14ac:dyDescent="0.3">
      <c r="A466" s="23">
        <v>44727</v>
      </c>
      <c r="B466" t="s">
        <v>12</v>
      </c>
      <c r="C466" t="s">
        <v>132</v>
      </c>
      <c r="D466" t="s">
        <v>17</v>
      </c>
      <c r="E466" t="s">
        <v>41</v>
      </c>
      <c r="F466">
        <v>55300000</v>
      </c>
      <c r="G466" t="s">
        <v>26</v>
      </c>
      <c r="H466" t="s">
        <v>81</v>
      </c>
      <c r="I466" t="s">
        <v>9</v>
      </c>
      <c r="L466" t="s">
        <v>161</v>
      </c>
      <c r="M466">
        <v>-55300000</v>
      </c>
    </row>
    <row r="467" spans="1:13" x14ac:dyDescent="0.3">
      <c r="A467" s="23">
        <v>45733</v>
      </c>
      <c r="B467" t="s">
        <v>12</v>
      </c>
      <c r="C467" t="s">
        <v>132</v>
      </c>
      <c r="D467" t="s">
        <v>17</v>
      </c>
      <c r="E467" t="s">
        <v>41</v>
      </c>
      <c r="F467">
        <v>36700000</v>
      </c>
      <c r="G467" t="s">
        <v>26</v>
      </c>
      <c r="H467" t="s">
        <v>81</v>
      </c>
      <c r="I467" t="s">
        <v>9</v>
      </c>
      <c r="L467" t="s">
        <v>161</v>
      </c>
      <c r="M467">
        <v>-36700000</v>
      </c>
    </row>
    <row r="468" spans="1:13" x14ac:dyDescent="0.3">
      <c r="A468" s="23">
        <v>45730</v>
      </c>
      <c r="B468" t="s">
        <v>12</v>
      </c>
      <c r="C468" t="s">
        <v>132</v>
      </c>
      <c r="D468" t="s">
        <v>17</v>
      </c>
      <c r="E468" t="s">
        <v>41</v>
      </c>
      <c r="F468">
        <v>102300000</v>
      </c>
      <c r="G468" t="s">
        <v>26</v>
      </c>
      <c r="H468" t="s">
        <v>81</v>
      </c>
      <c r="I468" t="s">
        <v>9</v>
      </c>
      <c r="L468" t="s">
        <v>161</v>
      </c>
      <c r="M468">
        <v>-102300000</v>
      </c>
    </row>
    <row r="469" spans="1:13" x14ac:dyDescent="0.3">
      <c r="A469" s="23">
        <v>44728</v>
      </c>
      <c r="B469" t="s">
        <v>12</v>
      </c>
      <c r="C469" t="s">
        <v>132</v>
      </c>
      <c r="D469" t="s">
        <v>17</v>
      </c>
      <c r="E469" t="s">
        <v>41</v>
      </c>
      <c r="F469">
        <v>79800000</v>
      </c>
      <c r="G469" t="s">
        <v>26</v>
      </c>
      <c r="H469" t="s">
        <v>81</v>
      </c>
      <c r="I469" t="s">
        <v>9</v>
      </c>
      <c r="L469" t="s">
        <v>161</v>
      </c>
      <c r="M469">
        <v>-79800000</v>
      </c>
    </row>
    <row r="470" spans="1:13" x14ac:dyDescent="0.3">
      <c r="A470" s="23">
        <v>45729</v>
      </c>
      <c r="B470" t="s">
        <v>12</v>
      </c>
      <c r="C470" t="s">
        <v>132</v>
      </c>
      <c r="D470" t="s">
        <v>17</v>
      </c>
      <c r="E470" t="s">
        <v>41</v>
      </c>
      <c r="F470">
        <v>29200000</v>
      </c>
      <c r="G470" t="s">
        <v>26</v>
      </c>
      <c r="H470" t="s">
        <v>81</v>
      </c>
      <c r="I470" t="s">
        <v>9</v>
      </c>
      <c r="L470" t="s">
        <v>161</v>
      </c>
      <c r="M470">
        <v>-29200000</v>
      </c>
    </row>
    <row r="471" spans="1:13" x14ac:dyDescent="0.3">
      <c r="A471" s="23">
        <v>44733</v>
      </c>
      <c r="B471" t="s">
        <v>12</v>
      </c>
      <c r="C471" t="s">
        <v>132</v>
      </c>
      <c r="D471" t="s">
        <v>17</v>
      </c>
      <c r="E471" t="s">
        <v>41</v>
      </c>
      <c r="F471">
        <v>120000000</v>
      </c>
      <c r="G471" t="s">
        <v>26</v>
      </c>
      <c r="H471" t="s">
        <v>81</v>
      </c>
      <c r="I471" t="s">
        <v>9</v>
      </c>
      <c r="L471" t="s">
        <v>161</v>
      </c>
      <c r="M471">
        <v>-120000000</v>
      </c>
    </row>
    <row r="472" spans="1:13" x14ac:dyDescent="0.3">
      <c r="A472" s="23">
        <v>45728</v>
      </c>
      <c r="B472" t="s">
        <v>12</v>
      </c>
      <c r="C472" t="s">
        <v>132</v>
      </c>
      <c r="D472" t="s">
        <v>17</v>
      </c>
      <c r="E472" t="s">
        <v>41</v>
      </c>
      <c r="F472">
        <v>228800000</v>
      </c>
      <c r="G472" t="s">
        <v>26</v>
      </c>
      <c r="H472" t="s">
        <v>81</v>
      </c>
      <c r="I472" t="s">
        <v>9</v>
      </c>
      <c r="L472" t="s">
        <v>161</v>
      </c>
      <c r="M472">
        <v>-228800000</v>
      </c>
    </row>
    <row r="473" spans="1:13" x14ac:dyDescent="0.3">
      <c r="A473" s="23">
        <v>44734</v>
      </c>
      <c r="B473" t="s">
        <v>12</v>
      </c>
      <c r="C473" t="s">
        <v>132</v>
      </c>
      <c r="D473" t="s">
        <v>16</v>
      </c>
      <c r="E473" t="s">
        <v>41</v>
      </c>
      <c r="F473">
        <v>150000000</v>
      </c>
      <c r="G473" t="s">
        <v>26</v>
      </c>
      <c r="H473" t="s">
        <v>81</v>
      </c>
      <c r="I473" t="s">
        <v>9</v>
      </c>
      <c r="L473" t="s">
        <v>161</v>
      </c>
      <c r="M473">
        <v>150000000</v>
      </c>
    </row>
    <row r="474" spans="1:13" x14ac:dyDescent="0.3">
      <c r="A474" s="23">
        <v>45726</v>
      </c>
      <c r="B474" t="s">
        <v>12</v>
      </c>
      <c r="C474" t="s">
        <v>132</v>
      </c>
      <c r="D474" t="s">
        <v>17</v>
      </c>
      <c r="E474" t="s">
        <v>41</v>
      </c>
      <c r="F474">
        <v>506800000</v>
      </c>
      <c r="G474" t="s">
        <v>26</v>
      </c>
      <c r="H474" t="s">
        <v>81</v>
      </c>
      <c r="I474" t="s">
        <v>9</v>
      </c>
      <c r="L474" t="s">
        <v>161</v>
      </c>
      <c r="M474">
        <v>-506800000</v>
      </c>
    </row>
    <row r="475" spans="1:13" x14ac:dyDescent="0.3">
      <c r="A475" s="23">
        <v>45723</v>
      </c>
      <c r="B475" t="s">
        <v>12</v>
      </c>
      <c r="C475" t="s">
        <v>132</v>
      </c>
      <c r="D475" t="s">
        <v>16</v>
      </c>
      <c r="E475" t="s">
        <v>41</v>
      </c>
      <c r="F475">
        <v>170000000</v>
      </c>
      <c r="G475" t="s">
        <v>26</v>
      </c>
      <c r="H475" t="s">
        <v>81</v>
      </c>
      <c r="I475" t="s">
        <v>9</v>
      </c>
      <c r="L475" t="s">
        <v>161</v>
      </c>
      <c r="M475">
        <v>170000000</v>
      </c>
    </row>
    <row r="476" spans="1:13" x14ac:dyDescent="0.3">
      <c r="A476" s="23">
        <v>44735</v>
      </c>
      <c r="B476" t="s">
        <v>12</v>
      </c>
      <c r="C476" t="s">
        <v>132</v>
      </c>
      <c r="D476" t="s">
        <v>17</v>
      </c>
      <c r="E476" t="s">
        <v>41</v>
      </c>
      <c r="F476">
        <v>63300000</v>
      </c>
      <c r="G476" t="s">
        <v>26</v>
      </c>
      <c r="H476" t="s">
        <v>81</v>
      </c>
      <c r="I476" t="s">
        <v>9</v>
      </c>
      <c r="L476" t="s">
        <v>161</v>
      </c>
      <c r="M476">
        <v>-63300000</v>
      </c>
    </row>
    <row r="477" spans="1:13" x14ac:dyDescent="0.3">
      <c r="A477" s="23">
        <v>45722</v>
      </c>
      <c r="B477" t="s">
        <v>12</v>
      </c>
      <c r="C477" t="s">
        <v>132</v>
      </c>
      <c r="D477" t="s">
        <v>17</v>
      </c>
      <c r="E477" t="s">
        <v>41</v>
      </c>
      <c r="F477">
        <v>133600000</v>
      </c>
      <c r="G477" t="s">
        <v>26</v>
      </c>
      <c r="H477" t="s">
        <v>81</v>
      </c>
      <c r="I477" t="s">
        <v>9</v>
      </c>
      <c r="L477" t="s">
        <v>161</v>
      </c>
      <c r="M477">
        <v>-133600000</v>
      </c>
    </row>
    <row r="478" spans="1:13" x14ac:dyDescent="0.3">
      <c r="A478" s="23">
        <v>45721</v>
      </c>
      <c r="B478" t="s">
        <v>12</v>
      </c>
      <c r="C478" t="s">
        <v>132</v>
      </c>
      <c r="D478" t="s">
        <v>17</v>
      </c>
      <c r="E478" t="s">
        <v>41</v>
      </c>
      <c r="F478">
        <v>147400000</v>
      </c>
      <c r="G478" t="s">
        <v>26</v>
      </c>
      <c r="H478" t="s">
        <v>81</v>
      </c>
      <c r="I478" t="s">
        <v>9</v>
      </c>
      <c r="L478" t="s">
        <v>161</v>
      </c>
      <c r="M478">
        <v>-147400000</v>
      </c>
    </row>
    <row r="479" spans="1:13" x14ac:dyDescent="0.3">
      <c r="A479" s="23">
        <v>45716</v>
      </c>
      <c r="B479" t="s">
        <v>12</v>
      </c>
      <c r="C479" t="s">
        <v>132</v>
      </c>
      <c r="D479" t="s">
        <v>16</v>
      </c>
      <c r="E479" t="s">
        <v>41</v>
      </c>
      <c r="F479">
        <v>27276917.309999999</v>
      </c>
      <c r="G479" t="s">
        <v>26</v>
      </c>
      <c r="H479" t="s">
        <v>81</v>
      </c>
      <c r="I479" t="s">
        <v>9</v>
      </c>
      <c r="L479" t="s">
        <v>161</v>
      </c>
      <c r="M479">
        <v>27276917.309999999</v>
      </c>
    </row>
    <row r="480" spans="1:13" x14ac:dyDescent="0.3">
      <c r="A480" s="23">
        <v>44739</v>
      </c>
      <c r="B480" t="s">
        <v>12</v>
      </c>
      <c r="C480" t="s">
        <v>132</v>
      </c>
      <c r="D480" t="s">
        <v>17</v>
      </c>
      <c r="E480" t="s">
        <v>41</v>
      </c>
      <c r="F480">
        <v>42400000</v>
      </c>
      <c r="G480" t="s">
        <v>26</v>
      </c>
      <c r="H480" t="s">
        <v>81</v>
      </c>
      <c r="I480" t="s">
        <v>9</v>
      </c>
      <c r="L480" t="s">
        <v>161</v>
      </c>
      <c r="M480">
        <v>-42400000</v>
      </c>
    </row>
    <row r="481" spans="1:13" x14ac:dyDescent="0.3">
      <c r="A481" s="23">
        <v>44739</v>
      </c>
      <c r="B481" t="s">
        <v>12</v>
      </c>
      <c r="C481" t="s">
        <v>132</v>
      </c>
      <c r="D481" t="s">
        <v>17</v>
      </c>
      <c r="E481" t="s">
        <v>41</v>
      </c>
      <c r="F481">
        <v>18500000</v>
      </c>
      <c r="G481" t="s">
        <v>26</v>
      </c>
      <c r="H481" t="s">
        <v>81</v>
      </c>
      <c r="I481" t="s">
        <v>9</v>
      </c>
      <c r="L481" t="s">
        <v>161</v>
      </c>
      <c r="M481">
        <v>-18500000</v>
      </c>
    </row>
    <row r="482" spans="1:13" x14ac:dyDescent="0.3">
      <c r="A482" s="23">
        <v>45716</v>
      </c>
      <c r="B482" t="s">
        <v>12</v>
      </c>
      <c r="C482" t="s">
        <v>132</v>
      </c>
      <c r="D482" t="s">
        <v>17</v>
      </c>
      <c r="E482" t="s">
        <v>41</v>
      </c>
      <c r="F482">
        <v>1200000000</v>
      </c>
      <c r="G482" t="s">
        <v>26</v>
      </c>
      <c r="H482" t="s">
        <v>81</v>
      </c>
      <c r="I482" t="s">
        <v>9</v>
      </c>
      <c r="L482" t="s">
        <v>161</v>
      </c>
      <c r="M482">
        <v>-1200000000</v>
      </c>
    </row>
    <row r="483" spans="1:13" x14ac:dyDescent="0.3">
      <c r="A483" s="23">
        <v>45716</v>
      </c>
      <c r="B483" t="s">
        <v>12</v>
      </c>
      <c r="C483" t="s">
        <v>132</v>
      </c>
      <c r="D483" t="s">
        <v>16</v>
      </c>
      <c r="E483" t="s">
        <v>41</v>
      </c>
      <c r="F483">
        <v>304100000</v>
      </c>
      <c r="G483" t="s">
        <v>26</v>
      </c>
      <c r="H483" t="s">
        <v>81</v>
      </c>
      <c r="I483" t="s">
        <v>9</v>
      </c>
      <c r="L483" t="s">
        <v>161</v>
      </c>
      <c r="M483">
        <v>304100000</v>
      </c>
    </row>
    <row r="484" spans="1:13" x14ac:dyDescent="0.3">
      <c r="A484" s="23">
        <v>44740</v>
      </c>
      <c r="B484" t="s">
        <v>12</v>
      </c>
      <c r="C484" t="s">
        <v>132</v>
      </c>
      <c r="D484" t="s">
        <v>17</v>
      </c>
      <c r="E484" t="s">
        <v>41</v>
      </c>
      <c r="F484">
        <v>31600000</v>
      </c>
      <c r="G484" t="s">
        <v>26</v>
      </c>
      <c r="H484" t="s">
        <v>81</v>
      </c>
      <c r="I484" t="s">
        <v>9</v>
      </c>
      <c r="L484" t="s">
        <v>161</v>
      </c>
      <c r="M484">
        <v>-31600000</v>
      </c>
    </row>
    <row r="485" spans="1:13" x14ac:dyDescent="0.3">
      <c r="A485" s="23">
        <v>45714</v>
      </c>
      <c r="B485" t="s">
        <v>12</v>
      </c>
      <c r="C485" t="s">
        <v>132</v>
      </c>
      <c r="D485" t="s">
        <v>17</v>
      </c>
      <c r="E485" t="s">
        <v>41</v>
      </c>
      <c r="F485">
        <v>23300000</v>
      </c>
      <c r="G485" t="s">
        <v>26</v>
      </c>
      <c r="H485" t="s">
        <v>81</v>
      </c>
      <c r="I485" t="s">
        <v>9</v>
      </c>
      <c r="L485" t="s">
        <v>161</v>
      </c>
      <c r="M485">
        <v>-23300000</v>
      </c>
    </row>
    <row r="486" spans="1:13" x14ac:dyDescent="0.3">
      <c r="A486" s="23">
        <v>45713</v>
      </c>
      <c r="B486" t="s">
        <v>12</v>
      </c>
      <c r="C486" t="s">
        <v>132</v>
      </c>
      <c r="D486" t="s">
        <v>17</v>
      </c>
      <c r="E486" t="s">
        <v>41</v>
      </c>
      <c r="F486">
        <v>234700000</v>
      </c>
      <c r="G486" t="s">
        <v>26</v>
      </c>
      <c r="H486" t="s">
        <v>81</v>
      </c>
      <c r="I486" t="s">
        <v>9</v>
      </c>
      <c r="L486" t="s">
        <v>161</v>
      </c>
      <c r="M486">
        <v>-234700000</v>
      </c>
    </row>
    <row r="487" spans="1:13" x14ac:dyDescent="0.3">
      <c r="A487" s="23">
        <v>45712</v>
      </c>
      <c r="B487" t="s">
        <v>12</v>
      </c>
      <c r="C487" t="s">
        <v>132</v>
      </c>
      <c r="D487" t="s">
        <v>17</v>
      </c>
      <c r="E487" t="s">
        <v>41</v>
      </c>
      <c r="F487">
        <v>81900000</v>
      </c>
      <c r="G487" t="s">
        <v>26</v>
      </c>
      <c r="H487" t="s">
        <v>81</v>
      </c>
      <c r="I487" t="s">
        <v>9</v>
      </c>
      <c r="L487" t="s">
        <v>161</v>
      </c>
      <c r="M487">
        <v>-81900000</v>
      </c>
    </row>
    <row r="488" spans="1:13" x14ac:dyDescent="0.3">
      <c r="A488" s="23">
        <v>45709</v>
      </c>
      <c r="B488" t="s">
        <v>12</v>
      </c>
      <c r="C488" t="s">
        <v>132</v>
      </c>
      <c r="D488" t="s">
        <v>16</v>
      </c>
      <c r="E488" t="s">
        <v>41</v>
      </c>
      <c r="F488">
        <v>8000000</v>
      </c>
      <c r="G488" t="s">
        <v>26</v>
      </c>
      <c r="H488" t="s">
        <v>81</v>
      </c>
      <c r="I488" t="s">
        <v>9</v>
      </c>
      <c r="L488" t="s">
        <v>161</v>
      </c>
      <c r="M488">
        <v>8000000</v>
      </c>
    </row>
    <row r="489" spans="1:13" x14ac:dyDescent="0.3">
      <c r="A489" s="23">
        <v>44743</v>
      </c>
      <c r="B489" t="s">
        <v>12</v>
      </c>
      <c r="C489" t="s">
        <v>132</v>
      </c>
      <c r="D489" t="s">
        <v>17</v>
      </c>
      <c r="E489" t="s">
        <v>41</v>
      </c>
      <c r="F489">
        <v>16300000</v>
      </c>
      <c r="G489" t="s">
        <v>26</v>
      </c>
      <c r="H489" t="s">
        <v>81</v>
      </c>
      <c r="I489" t="s">
        <v>9</v>
      </c>
      <c r="L489" t="s">
        <v>161</v>
      </c>
      <c r="M489">
        <v>-16300000</v>
      </c>
    </row>
    <row r="490" spans="1:13" x14ac:dyDescent="0.3">
      <c r="A490" s="23">
        <v>45708</v>
      </c>
      <c r="B490" t="s">
        <v>12</v>
      </c>
      <c r="C490" t="s">
        <v>132</v>
      </c>
      <c r="D490" t="s">
        <v>17</v>
      </c>
      <c r="E490" t="s">
        <v>41</v>
      </c>
      <c r="F490">
        <v>172300000</v>
      </c>
      <c r="G490" t="s">
        <v>26</v>
      </c>
      <c r="H490" t="s">
        <v>81</v>
      </c>
      <c r="I490" t="s">
        <v>9</v>
      </c>
      <c r="L490" t="s">
        <v>161</v>
      </c>
      <c r="M490">
        <v>-172300000</v>
      </c>
    </row>
    <row r="491" spans="1:13" x14ac:dyDescent="0.3">
      <c r="A491" s="23">
        <v>45707</v>
      </c>
      <c r="B491" t="s">
        <v>12</v>
      </c>
      <c r="C491" t="s">
        <v>132</v>
      </c>
      <c r="D491" t="s">
        <v>17</v>
      </c>
      <c r="E491" t="s">
        <v>41</v>
      </c>
      <c r="F491">
        <v>16000000</v>
      </c>
      <c r="G491" t="s">
        <v>26</v>
      </c>
      <c r="H491" t="s">
        <v>81</v>
      </c>
      <c r="I491" t="s">
        <v>9</v>
      </c>
      <c r="L491" t="s">
        <v>161</v>
      </c>
      <c r="M491">
        <v>-16000000</v>
      </c>
    </row>
    <row r="492" spans="1:13" x14ac:dyDescent="0.3">
      <c r="A492" s="23">
        <v>45706</v>
      </c>
      <c r="B492" t="s">
        <v>12</v>
      </c>
      <c r="C492" t="s">
        <v>132</v>
      </c>
      <c r="D492" t="s">
        <v>16</v>
      </c>
      <c r="E492" t="s">
        <v>41</v>
      </c>
      <c r="F492">
        <v>1050000000</v>
      </c>
      <c r="G492" t="s">
        <v>26</v>
      </c>
      <c r="H492" t="s">
        <v>81</v>
      </c>
      <c r="I492" t="s">
        <v>9</v>
      </c>
      <c r="L492" t="s">
        <v>161</v>
      </c>
      <c r="M492">
        <v>1050000000</v>
      </c>
    </row>
    <row r="493" spans="1:13" x14ac:dyDescent="0.3">
      <c r="A493" s="23">
        <v>45705</v>
      </c>
      <c r="B493" t="s">
        <v>12</v>
      </c>
      <c r="C493" t="s">
        <v>132</v>
      </c>
      <c r="D493" t="s">
        <v>17</v>
      </c>
      <c r="E493" t="s">
        <v>41</v>
      </c>
      <c r="F493">
        <v>158900000</v>
      </c>
      <c r="G493" t="s">
        <v>26</v>
      </c>
      <c r="H493" t="s">
        <v>81</v>
      </c>
      <c r="I493" t="s">
        <v>9</v>
      </c>
      <c r="L493" t="s">
        <v>161</v>
      </c>
      <c r="M493">
        <v>-158900000</v>
      </c>
    </row>
    <row r="494" spans="1:13" x14ac:dyDescent="0.3">
      <c r="A494" s="23">
        <v>45701</v>
      </c>
      <c r="B494" t="s">
        <v>12</v>
      </c>
      <c r="C494" t="s">
        <v>132</v>
      </c>
      <c r="D494" t="s">
        <v>16</v>
      </c>
      <c r="E494" t="s">
        <v>41</v>
      </c>
      <c r="F494">
        <v>900000000</v>
      </c>
      <c r="G494" t="s">
        <v>26</v>
      </c>
      <c r="H494" t="s">
        <v>81</v>
      </c>
      <c r="I494" t="s">
        <v>9</v>
      </c>
      <c r="L494" t="s">
        <v>161</v>
      </c>
      <c r="M494">
        <v>900000000</v>
      </c>
    </row>
    <row r="495" spans="1:13" x14ac:dyDescent="0.3">
      <c r="A495" s="23">
        <v>45699</v>
      </c>
      <c r="B495" t="s">
        <v>12</v>
      </c>
      <c r="C495" t="s">
        <v>132</v>
      </c>
      <c r="D495" t="s">
        <v>17</v>
      </c>
      <c r="E495" t="s">
        <v>41</v>
      </c>
      <c r="F495">
        <v>85700000</v>
      </c>
      <c r="G495" t="s">
        <v>26</v>
      </c>
      <c r="H495" t="s">
        <v>81</v>
      </c>
      <c r="I495" t="s">
        <v>9</v>
      </c>
      <c r="L495" t="s">
        <v>161</v>
      </c>
      <c r="M495">
        <v>-85700000</v>
      </c>
    </row>
    <row r="496" spans="1:13" x14ac:dyDescent="0.3">
      <c r="A496" s="23">
        <v>45698</v>
      </c>
      <c r="B496" t="s">
        <v>12</v>
      </c>
      <c r="C496" t="s">
        <v>132</v>
      </c>
      <c r="D496" t="s">
        <v>17</v>
      </c>
      <c r="E496" t="s">
        <v>41</v>
      </c>
      <c r="F496">
        <v>419000000</v>
      </c>
      <c r="G496" t="s">
        <v>26</v>
      </c>
      <c r="H496" t="s">
        <v>81</v>
      </c>
      <c r="I496" t="s">
        <v>9</v>
      </c>
      <c r="L496" t="s">
        <v>161</v>
      </c>
      <c r="M496">
        <v>-419000000</v>
      </c>
    </row>
    <row r="497" spans="1:13" x14ac:dyDescent="0.3">
      <c r="A497" s="23">
        <v>44754</v>
      </c>
      <c r="B497" t="s">
        <v>12</v>
      </c>
      <c r="C497" t="s">
        <v>132</v>
      </c>
      <c r="D497" t="s">
        <v>16</v>
      </c>
      <c r="E497" t="s">
        <v>41</v>
      </c>
      <c r="F497">
        <v>364000000</v>
      </c>
      <c r="G497" t="s">
        <v>26</v>
      </c>
      <c r="H497" t="s">
        <v>81</v>
      </c>
      <c r="I497" t="s">
        <v>9</v>
      </c>
      <c r="L497" t="s">
        <v>161</v>
      </c>
      <c r="M497">
        <v>364000000</v>
      </c>
    </row>
    <row r="498" spans="1:13" x14ac:dyDescent="0.3">
      <c r="A498" s="23">
        <v>44756</v>
      </c>
      <c r="B498" t="s">
        <v>12</v>
      </c>
      <c r="C498" t="s">
        <v>132</v>
      </c>
      <c r="D498" t="s">
        <v>17</v>
      </c>
      <c r="E498" t="s">
        <v>41</v>
      </c>
      <c r="F498">
        <v>114000000</v>
      </c>
      <c r="G498" t="s">
        <v>26</v>
      </c>
      <c r="H498" t="s">
        <v>81</v>
      </c>
      <c r="I498" t="s">
        <v>9</v>
      </c>
      <c r="L498" t="s">
        <v>161</v>
      </c>
      <c r="M498">
        <v>-114000000</v>
      </c>
    </row>
    <row r="499" spans="1:13" x14ac:dyDescent="0.3">
      <c r="A499" s="23">
        <v>44757</v>
      </c>
      <c r="B499" t="s">
        <v>12</v>
      </c>
      <c r="C499" t="s">
        <v>132</v>
      </c>
      <c r="D499" t="s">
        <v>17</v>
      </c>
      <c r="E499" t="s">
        <v>41</v>
      </c>
      <c r="F499">
        <v>29700000</v>
      </c>
      <c r="G499" t="s">
        <v>26</v>
      </c>
      <c r="H499" t="s">
        <v>81</v>
      </c>
      <c r="I499" t="s">
        <v>9</v>
      </c>
      <c r="L499" t="s">
        <v>161</v>
      </c>
      <c r="M499">
        <v>-29700000</v>
      </c>
    </row>
    <row r="500" spans="1:13" x14ac:dyDescent="0.3">
      <c r="A500" s="23">
        <v>45695</v>
      </c>
      <c r="B500" t="s">
        <v>12</v>
      </c>
      <c r="C500" t="s">
        <v>132</v>
      </c>
      <c r="D500" t="s">
        <v>16</v>
      </c>
      <c r="E500" t="s">
        <v>41</v>
      </c>
      <c r="F500">
        <v>17340000</v>
      </c>
      <c r="G500" t="s">
        <v>26</v>
      </c>
      <c r="H500" t="s">
        <v>81</v>
      </c>
      <c r="I500" t="s">
        <v>9</v>
      </c>
      <c r="L500" t="s">
        <v>161</v>
      </c>
      <c r="M500">
        <v>17340000</v>
      </c>
    </row>
    <row r="501" spans="1:13" x14ac:dyDescent="0.3">
      <c r="A501" s="23">
        <v>45695</v>
      </c>
      <c r="B501" t="s">
        <v>12</v>
      </c>
      <c r="C501" t="s">
        <v>132</v>
      </c>
      <c r="D501" t="s">
        <v>17</v>
      </c>
      <c r="E501" t="s">
        <v>41</v>
      </c>
      <c r="F501">
        <v>17200000</v>
      </c>
      <c r="G501" t="s">
        <v>26</v>
      </c>
      <c r="H501" t="s">
        <v>81</v>
      </c>
      <c r="I501" t="s">
        <v>9</v>
      </c>
      <c r="L501" t="s">
        <v>161</v>
      </c>
      <c r="M501">
        <v>-17200000</v>
      </c>
    </row>
    <row r="502" spans="1:13" x14ac:dyDescent="0.3">
      <c r="A502" s="23">
        <v>44760</v>
      </c>
      <c r="B502" t="s">
        <v>12</v>
      </c>
      <c r="C502" t="s">
        <v>132</v>
      </c>
      <c r="D502" t="s">
        <v>16</v>
      </c>
      <c r="E502" t="s">
        <v>41</v>
      </c>
      <c r="F502">
        <v>1754339.79</v>
      </c>
      <c r="G502" t="s">
        <v>26</v>
      </c>
      <c r="H502" t="s">
        <v>81</v>
      </c>
      <c r="I502" t="s">
        <v>9</v>
      </c>
      <c r="J502" t="s">
        <v>155</v>
      </c>
      <c r="L502" t="s">
        <v>161</v>
      </c>
      <c r="M502">
        <v>1754339.79</v>
      </c>
    </row>
    <row r="503" spans="1:13" x14ac:dyDescent="0.3">
      <c r="A503" s="23">
        <v>45694</v>
      </c>
      <c r="B503" t="s">
        <v>12</v>
      </c>
      <c r="C503" t="s">
        <v>132</v>
      </c>
      <c r="D503" t="s">
        <v>17</v>
      </c>
      <c r="E503" t="s">
        <v>41</v>
      </c>
      <c r="F503">
        <v>245100000</v>
      </c>
      <c r="G503" t="s">
        <v>26</v>
      </c>
      <c r="H503" t="s">
        <v>81</v>
      </c>
      <c r="I503" t="s">
        <v>9</v>
      </c>
      <c r="L503" t="s">
        <v>161</v>
      </c>
      <c r="M503">
        <v>-245100000</v>
      </c>
    </row>
    <row r="504" spans="1:13" x14ac:dyDescent="0.3">
      <c r="A504" s="23">
        <v>45693</v>
      </c>
      <c r="B504" t="s">
        <v>12</v>
      </c>
      <c r="C504" t="s">
        <v>132</v>
      </c>
      <c r="D504" t="s">
        <v>16</v>
      </c>
      <c r="E504" t="s">
        <v>41</v>
      </c>
      <c r="F504">
        <v>300000000</v>
      </c>
      <c r="G504" t="s">
        <v>26</v>
      </c>
      <c r="H504" t="s">
        <v>81</v>
      </c>
      <c r="I504" t="s">
        <v>9</v>
      </c>
      <c r="L504" t="s">
        <v>161</v>
      </c>
      <c r="M504">
        <v>300000000</v>
      </c>
    </row>
    <row r="505" spans="1:13" x14ac:dyDescent="0.3">
      <c r="A505" s="23">
        <v>45692</v>
      </c>
      <c r="B505" t="s">
        <v>12</v>
      </c>
      <c r="C505" t="s">
        <v>132</v>
      </c>
      <c r="D505" t="s">
        <v>17</v>
      </c>
      <c r="E505" t="s">
        <v>41</v>
      </c>
      <c r="F505">
        <v>106700000</v>
      </c>
      <c r="G505" t="s">
        <v>26</v>
      </c>
      <c r="H505" t="s">
        <v>81</v>
      </c>
      <c r="I505" t="s">
        <v>9</v>
      </c>
      <c r="L505" t="s">
        <v>161</v>
      </c>
      <c r="M505">
        <v>-106700000</v>
      </c>
    </row>
    <row r="506" spans="1:13" x14ac:dyDescent="0.3">
      <c r="A506" s="23">
        <v>45691</v>
      </c>
      <c r="B506" t="s">
        <v>12</v>
      </c>
      <c r="C506" t="s">
        <v>132</v>
      </c>
      <c r="D506" t="s">
        <v>17</v>
      </c>
      <c r="E506" t="s">
        <v>41</v>
      </c>
      <c r="F506">
        <v>20000000</v>
      </c>
      <c r="G506" t="s">
        <v>26</v>
      </c>
      <c r="H506" t="s">
        <v>81</v>
      </c>
      <c r="I506" t="s">
        <v>9</v>
      </c>
      <c r="L506" t="s">
        <v>161</v>
      </c>
      <c r="M506">
        <v>-20000000</v>
      </c>
    </row>
    <row r="507" spans="1:13" x14ac:dyDescent="0.3">
      <c r="A507" s="23">
        <v>45691</v>
      </c>
      <c r="B507" t="s">
        <v>12</v>
      </c>
      <c r="C507" t="s">
        <v>132</v>
      </c>
      <c r="D507" t="s">
        <v>17</v>
      </c>
      <c r="E507" t="s">
        <v>41</v>
      </c>
      <c r="F507">
        <v>185400000</v>
      </c>
      <c r="G507" t="s">
        <v>26</v>
      </c>
      <c r="H507" t="s">
        <v>81</v>
      </c>
      <c r="I507" t="s">
        <v>9</v>
      </c>
      <c r="L507" t="s">
        <v>161</v>
      </c>
      <c r="M507">
        <v>-185400000</v>
      </c>
    </row>
    <row r="508" spans="1:13" x14ac:dyDescent="0.3">
      <c r="A508" s="23">
        <v>45688</v>
      </c>
      <c r="B508" t="s">
        <v>12</v>
      </c>
      <c r="C508" t="s">
        <v>132</v>
      </c>
      <c r="D508" t="s">
        <v>16</v>
      </c>
      <c r="E508" t="s">
        <v>41</v>
      </c>
      <c r="F508">
        <v>1000000000</v>
      </c>
      <c r="G508" t="s">
        <v>26</v>
      </c>
      <c r="H508" t="s">
        <v>81</v>
      </c>
      <c r="I508" t="s">
        <v>9</v>
      </c>
      <c r="L508" t="s">
        <v>161</v>
      </c>
      <c r="M508">
        <v>1000000000</v>
      </c>
    </row>
    <row r="509" spans="1:13" x14ac:dyDescent="0.3">
      <c r="A509" s="23">
        <v>44760</v>
      </c>
      <c r="B509" t="s">
        <v>12</v>
      </c>
      <c r="C509" t="s">
        <v>132</v>
      </c>
      <c r="D509" t="s">
        <v>17</v>
      </c>
      <c r="E509" t="s">
        <v>41</v>
      </c>
      <c r="F509">
        <v>222054339.78999999</v>
      </c>
      <c r="G509" t="s">
        <v>26</v>
      </c>
      <c r="H509" t="s">
        <v>81</v>
      </c>
      <c r="I509" t="s">
        <v>9</v>
      </c>
      <c r="L509" t="s">
        <v>161</v>
      </c>
      <c r="M509">
        <v>-222054339.78999999</v>
      </c>
    </row>
    <row r="510" spans="1:13" x14ac:dyDescent="0.3">
      <c r="A510" s="23">
        <v>45686</v>
      </c>
      <c r="B510" t="s">
        <v>12</v>
      </c>
      <c r="C510" t="s">
        <v>132</v>
      </c>
      <c r="D510" t="s">
        <v>17</v>
      </c>
      <c r="E510" t="s">
        <v>41</v>
      </c>
      <c r="F510">
        <v>205000000</v>
      </c>
      <c r="G510" t="s">
        <v>26</v>
      </c>
      <c r="H510" t="s">
        <v>81</v>
      </c>
      <c r="I510" t="s">
        <v>9</v>
      </c>
      <c r="L510" t="s">
        <v>161</v>
      </c>
      <c r="M510">
        <v>-205000000</v>
      </c>
    </row>
    <row r="511" spans="1:13" x14ac:dyDescent="0.3">
      <c r="A511" s="23">
        <v>45685</v>
      </c>
      <c r="B511" t="s">
        <v>12</v>
      </c>
      <c r="C511" t="s">
        <v>132</v>
      </c>
      <c r="D511" t="s">
        <v>16</v>
      </c>
      <c r="E511" t="s">
        <v>41</v>
      </c>
      <c r="F511">
        <v>585700000</v>
      </c>
      <c r="G511" t="s">
        <v>26</v>
      </c>
      <c r="H511" t="s">
        <v>81</v>
      </c>
      <c r="I511" t="s">
        <v>9</v>
      </c>
      <c r="L511" t="s">
        <v>161</v>
      </c>
      <c r="M511">
        <v>585700000</v>
      </c>
    </row>
    <row r="512" spans="1:13" x14ac:dyDescent="0.3">
      <c r="A512" s="23">
        <v>44764</v>
      </c>
      <c r="B512" t="s">
        <v>12</v>
      </c>
      <c r="C512" t="s">
        <v>132</v>
      </c>
      <c r="D512" t="s">
        <v>16</v>
      </c>
      <c r="E512" t="s">
        <v>41</v>
      </c>
      <c r="F512">
        <v>30700000</v>
      </c>
      <c r="G512" t="s">
        <v>26</v>
      </c>
      <c r="H512" t="s">
        <v>81</v>
      </c>
      <c r="I512" t="s">
        <v>9</v>
      </c>
      <c r="L512" t="s">
        <v>161</v>
      </c>
      <c r="M512">
        <v>30700000</v>
      </c>
    </row>
    <row r="513" spans="1:13" x14ac:dyDescent="0.3">
      <c r="A513" s="23">
        <v>45681</v>
      </c>
      <c r="B513" t="s">
        <v>12</v>
      </c>
      <c r="C513" t="s">
        <v>132</v>
      </c>
      <c r="D513" t="s">
        <v>17</v>
      </c>
      <c r="E513" t="s">
        <v>41</v>
      </c>
      <c r="F513">
        <v>150000000</v>
      </c>
      <c r="G513" t="s">
        <v>26</v>
      </c>
      <c r="H513" t="s">
        <v>81</v>
      </c>
      <c r="I513" t="s">
        <v>9</v>
      </c>
      <c r="L513" t="s">
        <v>161</v>
      </c>
      <c r="M513">
        <v>-150000000</v>
      </c>
    </row>
    <row r="514" spans="1:13" x14ac:dyDescent="0.3">
      <c r="A514" s="23">
        <v>44768</v>
      </c>
      <c r="B514" t="s">
        <v>12</v>
      </c>
      <c r="C514" t="s">
        <v>132</v>
      </c>
      <c r="D514" t="s">
        <v>17</v>
      </c>
      <c r="E514" t="s">
        <v>41</v>
      </c>
      <c r="F514">
        <v>30700000</v>
      </c>
      <c r="G514" t="s">
        <v>26</v>
      </c>
      <c r="H514" t="s">
        <v>81</v>
      </c>
      <c r="I514" t="s">
        <v>9</v>
      </c>
      <c r="L514" t="s">
        <v>161</v>
      </c>
      <c r="M514">
        <v>-30700000</v>
      </c>
    </row>
    <row r="515" spans="1:13" x14ac:dyDescent="0.3">
      <c r="A515" s="23">
        <v>45680</v>
      </c>
      <c r="B515" t="s">
        <v>12</v>
      </c>
      <c r="C515" t="s">
        <v>132</v>
      </c>
      <c r="D515" t="s">
        <v>17</v>
      </c>
      <c r="E515" t="s">
        <v>41</v>
      </c>
      <c r="F515">
        <v>281200000</v>
      </c>
      <c r="G515" t="s">
        <v>26</v>
      </c>
      <c r="H515" t="s">
        <v>81</v>
      </c>
      <c r="I515" t="s">
        <v>9</v>
      </c>
      <c r="L515" t="s">
        <v>161</v>
      </c>
      <c r="M515">
        <v>-281200000</v>
      </c>
    </row>
    <row r="516" spans="1:13" x14ac:dyDescent="0.3">
      <c r="A516" s="23">
        <v>45679</v>
      </c>
      <c r="B516" t="s">
        <v>12</v>
      </c>
      <c r="C516" t="s">
        <v>132</v>
      </c>
      <c r="D516" t="s">
        <v>16</v>
      </c>
      <c r="E516" t="s">
        <v>41</v>
      </c>
      <c r="F516">
        <v>240200000</v>
      </c>
      <c r="G516" t="s">
        <v>26</v>
      </c>
      <c r="H516" t="s">
        <v>81</v>
      </c>
      <c r="I516" t="s">
        <v>9</v>
      </c>
      <c r="L516" t="s">
        <v>161</v>
      </c>
      <c r="M516">
        <v>240200000</v>
      </c>
    </row>
    <row r="517" spans="1:13" x14ac:dyDescent="0.3">
      <c r="A517" s="23">
        <v>45678</v>
      </c>
      <c r="B517" t="s">
        <v>12</v>
      </c>
      <c r="C517" t="s">
        <v>132</v>
      </c>
      <c r="D517" t="s">
        <v>17</v>
      </c>
      <c r="E517" t="s">
        <v>41</v>
      </c>
      <c r="F517">
        <v>162300000</v>
      </c>
      <c r="G517" t="s">
        <v>26</v>
      </c>
      <c r="H517" t="s">
        <v>81</v>
      </c>
      <c r="I517" t="s">
        <v>9</v>
      </c>
      <c r="L517" t="s">
        <v>161</v>
      </c>
      <c r="M517">
        <v>-162300000</v>
      </c>
    </row>
    <row r="518" spans="1:13" x14ac:dyDescent="0.3">
      <c r="A518" s="23">
        <v>45677</v>
      </c>
      <c r="B518" t="s">
        <v>12</v>
      </c>
      <c r="C518" t="s">
        <v>132</v>
      </c>
      <c r="D518" t="s">
        <v>17</v>
      </c>
      <c r="E518" t="s">
        <v>41</v>
      </c>
      <c r="F518">
        <v>144700000</v>
      </c>
      <c r="G518" t="s">
        <v>26</v>
      </c>
      <c r="H518" t="s">
        <v>81</v>
      </c>
      <c r="I518" t="s">
        <v>9</v>
      </c>
      <c r="L518" t="s">
        <v>161</v>
      </c>
      <c r="M518">
        <v>-144700000</v>
      </c>
    </row>
    <row r="519" spans="1:13" x14ac:dyDescent="0.3">
      <c r="A519" s="23">
        <v>45674</v>
      </c>
      <c r="B519" t="s">
        <v>12</v>
      </c>
      <c r="C519" t="s">
        <v>132</v>
      </c>
      <c r="D519" t="s">
        <v>16</v>
      </c>
      <c r="E519" t="s">
        <v>41</v>
      </c>
      <c r="F519">
        <v>101000000</v>
      </c>
      <c r="G519" t="s">
        <v>26</v>
      </c>
      <c r="H519" t="s">
        <v>81</v>
      </c>
      <c r="I519" t="s">
        <v>9</v>
      </c>
      <c r="L519" t="s">
        <v>161</v>
      </c>
      <c r="M519">
        <v>101000000</v>
      </c>
    </row>
    <row r="520" spans="1:13" x14ac:dyDescent="0.3">
      <c r="A520" s="23">
        <v>45672</v>
      </c>
      <c r="B520" t="s">
        <v>12</v>
      </c>
      <c r="C520" t="s">
        <v>132</v>
      </c>
      <c r="D520" t="s">
        <v>16</v>
      </c>
      <c r="E520" t="s">
        <v>41</v>
      </c>
      <c r="F520">
        <v>206500000</v>
      </c>
      <c r="G520" t="s">
        <v>26</v>
      </c>
      <c r="H520" t="s">
        <v>81</v>
      </c>
      <c r="I520" t="s">
        <v>9</v>
      </c>
      <c r="L520" t="s">
        <v>161</v>
      </c>
      <c r="M520">
        <v>206500000</v>
      </c>
    </row>
    <row r="521" spans="1:13" x14ac:dyDescent="0.3">
      <c r="A521" s="23">
        <v>45671</v>
      </c>
      <c r="B521" t="s">
        <v>12</v>
      </c>
      <c r="C521" t="s">
        <v>132</v>
      </c>
      <c r="D521" t="s">
        <v>17</v>
      </c>
      <c r="E521" t="s">
        <v>41</v>
      </c>
      <c r="F521">
        <v>422800000</v>
      </c>
      <c r="G521" t="s">
        <v>26</v>
      </c>
      <c r="H521" t="s">
        <v>81</v>
      </c>
      <c r="I521" t="s">
        <v>9</v>
      </c>
      <c r="L521" t="s">
        <v>161</v>
      </c>
      <c r="M521">
        <v>-422800000</v>
      </c>
    </row>
    <row r="522" spans="1:13" x14ac:dyDescent="0.3">
      <c r="A522" s="23">
        <v>45670</v>
      </c>
      <c r="B522" t="s">
        <v>12</v>
      </c>
      <c r="C522" t="s">
        <v>132</v>
      </c>
      <c r="D522" t="s">
        <v>16</v>
      </c>
      <c r="E522" t="s">
        <v>41</v>
      </c>
      <c r="F522">
        <v>194400000</v>
      </c>
      <c r="G522" t="s">
        <v>26</v>
      </c>
      <c r="H522" t="s">
        <v>81</v>
      </c>
      <c r="I522" t="s">
        <v>9</v>
      </c>
      <c r="L522" t="s">
        <v>161</v>
      </c>
      <c r="M522">
        <v>194400000</v>
      </c>
    </row>
    <row r="523" spans="1:13" x14ac:dyDescent="0.3">
      <c r="A523" s="23">
        <v>45667</v>
      </c>
      <c r="B523" t="s">
        <v>12</v>
      </c>
      <c r="C523" t="s">
        <v>132</v>
      </c>
      <c r="D523" t="s">
        <v>16</v>
      </c>
      <c r="E523" t="s">
        <v>41</v>
      </c>
      <c r="F523">
        <v>549200000</v>
      </c>
      <c r="G523" t="s">
        <v>26</v>
      </c>
      <c r="H523" t="s">
        <v>81</v>
      </c>
      <c r="I523" t="s">
        <v>9</v>
      </c>
      <c r="L523" t="s">
        <v>161</v>
      </c>
      <c r="M523">
        <v>549200000</v>
      </c>
    </row>
    <row r="524" spans="1:13" x14ac:dyDescent="0.3">
      <c r="A524" s="23">
        <v>45664</v>
      </c>
      <c r="B524" t="s">
        <v>12</v>
      </c>
      <c r="C524" t="s">
        <v>132</v>
      </c>
      <c r="D524" t="s">
        <v>17</v>
      </c>
      <c r="E524" t="s">
        <v>41</v>
      </c>
      <c r="F524">
        <v>67000000</v>
      </c>
      <c r="G524" t="s">
        <v>26</v>
      </c>
      <c r="H524" t="s">
        <v>81</v>
      </c>
      <c r="I524" t="s">
        <v>9</v>
      </c>
      <c r="L524" t="s">
        <v>161</v>
      </c>
      <c r="M524">
        <v>-67000000</v>
      </c>
    </row>
    <row r="525" spans="1:13" x14ac:dyDescent="0.3">
      <c r="A525" s="23">
        <v>45660</v>
      </c>
      <c r="B525" t="s">
        <v>12</v>
      </c>
      <c r="C525" t="s">
        <v>132</v>
      </c>
      <c r="D525" t="s">
        <v>17</v>
      </c>
      <c r="E525" t="s">
        <v>41</v>
      </c>
      <c r="F525">
        <v>64900000</v>
      </c>
      <c r="G525" t="s">
        <v>26</v>
      </c>
      <c r="H525" t="s">
        <v>81</v>
      </c>
      <c r="I525" t="s">
        <v>9</v>
      </c>
      <c r="L525" t="s">
        <v>161</v>
      </c>
      <c r="M525">
        <v>-64900000</v>
      </c>
    </row>
    <row r="526" spans="1:13" x14ac:dyDescent="0.3">
      <c r="A526" s="23">
        <v>45659</v>
      </c>
      <c r="B526" t="s">
        <v>12</v>
      </c>
      <c r="C526" t="s">
        <v>132</v>
      </c>
      <c r="D526" t="s">
        <v>17</v>
      </c>
      <c r="E526" t="s">
        <v>41</v>
      </c>
      <c r="F526">
        <v>13200000</v>
      </c>
      <c r="G526" t="s">
        <v>26</v>
      </c>
      <c r="H526" t="s">
        <v>81</v>
      </c>
      <c r="I526" t="s">
        <v>9</v>
      </c>
      <c r="L526" t="s">
        <v>161</v>
      </c>
      <c r="M526">
        <v>-13200000</v>
      </c>
    </row>
    <row r="527" spans="1:13" x14ac:dyDescent="0.3">
      <c r="A527" s="23">
        <v>45659</v>
      </c>
      <c r="B527" t="s">
        <v>12</v>
      </c>
      <c r="C527" t="s">
        <v>132</v>
      </c>
      <c r="D527" t="s">
        <v>17</v>
      </c>
      <c r="E527" t="s">
        <v>41</v>
      </c>
      <c r="F527">
        <v>259900000</v>
      </c>
      <c r="G527" t="s">
        <v>26</v>
      </c>
      <c r="H527" t="s">
        <v>81</v>
      </c>
      <c r="I527" t="s">
        <v>9</v>
      </c>
      <c r="L527" t="s">
        <v>161</v>
      </c>
      <c r="M527">
        <v>-259900000</v>
      </c>
    </row>
    <row r="528" spans="1:13" x14ac:dyDescent="0.3">
      <c r="A528" s="23">
        <v>45656</v>
      </c>
      <c r="B528" t="s">
        <v>12</v>
      </c>
      <c r="C528" t="s">
        <v>132</v>
      </c>
      <c r="D528" t="s">
        <v>16</v>
      </c>
      <c r="E528" t="s">
        <v>41</v>
      </c>
      <c r="F528">
        <v>450000000</v>
      </c>
      <c r="G528" t="s">
        <v>26</v>
      </c>
      <c r="H528" t="s">
        <v>81</v>
      </c>
      <c r="I528" t="s">
        <v>9</v>
      </c>
      <c r="L528" t="s">
        <v>161</v>
      </c>
      <c r="M528">
        <v>450000000</v>
      </c>
    </row>
    <row r="529" spans="1:13" x14ac:dyDescent="0.3">
      <c r="A529" s="23">
        <v>45656</v>
      </c>
      <c r="B529" t="s">
        <v>12</v>
      </c>
      <c r="C529" t="s">
        <v>132</v>
      </c>
      <c r="D529" t="s">
        <v>17</v>
      </c>
      <c r="E529" t="s">
        <v>41</v>
      </c>
      <c r="F529">
        <v>647832079</v>
      </c>
      <c r="G529" t="s">
        <v>26</v>
      </c>
      <c r="H529" t="s">
        <v>81</v>
      </c>
      <c r="I529" t="s">
        <v>9</v>
      </c>
      <c r="L529" t="s">
        <v>161</v>
      </c>
      <c r="M529">
        <v>-647832079</v>
      </c>
    </row>
    <row r="530" spans="1:13" x14ac:dyDescent="0.3">
      <c r="A530" s="23">
        <v>45653</v>
      </c>
      <c r="B530" t="s">
        <v>12</v>
      </c>
      <c r="C530" t="s">
        <v>132</v>
      </c>
      <c r="D530" t="s">
        <v>17</v>
      </c>
      <c r="E530" t="s">
        <v>41</v>
      </c>
      <c r="F530">
        <v>1000000000</v>
      </c>
      <c r="G530" t="s">
        <v>26</v>
      </c>
      <c r="H530" t="s">
        <v>81</v>
      </c>
      <c r="I530" t="s">
        <v>9</v>
      </c>
      <c r="L530" t="s">
        <v>161</v>
      </c>
      <c r="M530">
        <v>-1000000000</v>
      </c>
    </row>
    <row r="531" spans="1:13" x14ac:dyDescent="0.3">
      <c r="A531" s="23">
        <v>45652</v>
      </c>
      <c r="B531" t="s">
        <v>12</v>
      </c>
      <c r="C531" t="s">
        <v>132</v>
      </c>
      <c r="D531" t="s">
        <v>17</v>
      </c>
      <c r="E531" t="s">
        <v>41</v>
      </c>
      <c r="F531">
        <v>196800000</v>
      </c>
      <c r="G531" t="s">
        <v>26</v>
      </c>
      <c r="H531" t="s">
        <v>81</v>
      </c>
      <c r="I531" t="s">
        <v>9</v>
      </c>
      <c r="L531" t="s">
        <v>161</v>
      </c>
      <c r="M531">
        <v>-196800000</v>
      </c>
    </row>
    <row r="532" spans="1:13" x14ac:dyDescent="0.3">
      <c r="A532" s="23">
        <v>45649</v>
      </c>
      <c r="B532" t="s">
        <v>12</v>
      </c>
      <c r="C532" t="s">
        <v>132</v>
      </c>
      <c r="D532" t="s">
        <v>16</v>
      </c>
      <c r="E532" t="s">
        <v>41</v>
      </c>
      <c r="F532">
        <v>1500000000</v>
      </c>
      <c r="G532" t="s">
        <v>26</v>
      </c>
      <c r="H532" t="s">
        <v>81</v>
      </c>
      <c r="I532" t="s">
        <v>9</v>
      </c>
      <c r="L532" t="s">
        <v>161</v>
      </c>
      <c r="M532">
        <v>1500000000</v>
      </c>
    </row>
    <row r="533" spans="1:13" x14ac:dyDescent="0.3">
      <c r="A533" s="23">
        <v>45646</v>
      </c>
      <c r="B533" t="s">
        <v>12</v>
      </c>
      <c r="C533" t="s">
        <v>132</v>
      </c>
      <c r="D533" t="s">
        <v>17</v>
      </c>
      <c r="E533" t="s">
        <v>41</v>
      </c>
      <c r="F533">
        <v>160600000</v>
      </c>
      <c r="G533" t="s">
        <v>26</v>
      </c>
      <c r="H533" t="s">
        <v>81</v>
      </c>
      <c r="I533" t="s">
        <v>9</v>
      </c>
      <c r="L533" t="s">
        <v>161</v>
      </c>
      <c r="M533">
        <v>-160600000</v>
      </c>
    </row>
    <row r="534" spans="1:13" x14ac:dyDescent="0.3">
      <c r="A534" s="23">
        <v>45645</v>
      </c>
      <c r="B534" t="s">
        <v>12</v>
      </c>
      <c r="C534" t="s">
        <v>132</v>
      </c>
      <c r="D534" t="s">
        <v>16</v>
      </c>
      <c r="E534" t="s">
        <v>41</v>
      </c>
      <c r="F534">
        <v>469700000</v>
      </c>
      <c r="G534" t="s">
        <v>26</v>
      </c>
      <c r="H534" t="s">
        <v>81</v>
      </c>
      <c r="I534" t="s">
        <v>9</v>
      </c>
      <c r="L534" t="s">
        <v>161</v>
      </c>
      <c r="M534">
        <v>469700000</v>
      </c>
    </row>
    <row r="535" spans="1:13" x14ac:dyDescent="0.3">
      <c r="A535" s="23">
        <v>45644</v>
      </c>
      <c r="B535" t="s">
        <v>12</v>
      </c>
      <c r="C535" t="s">
        <v>132</v>
      </c>
      <c r="D535" t="s">
        <v>16</v>
      </c>
      <c r="E535" t="s">
        <v>41</v>
      </c>
      <c r="F535">
        <v>28200000</v>
      </c>
      <c r="G535" t="s">
        <v>26</v>
      </c>
      <c r="H535" t="s">
        <v>81</v>
      </c>
      <c r="I535" t="s">
        <v>9</v>
      </c>
      <c r="L535" t="s">
        <v>161</v>
      </c>
      <c r="M535">
        <v>28200000</v>
      </c>
    </row>
    <row r="536" spans="1:13" x14ac:dyDescent="0.3">
      <c r="A536" s="23">
        <v>45643</v>
      </c>
      <c r="B536" t="s">
        <v>12</v>
      </c>
      <c r="C536" t="s">
        <v>132</v>
      </c>
      <c r="D536" t="s">
        <v>17</v>
      </c>
      <c r="E536" t="s">
        <v>41</v>
      </c>
      <c r="F536">
        <v>112800000</v>
      </c>
      <c r="G536" t="s">
        <v>26</v>
      </c>
      <c r="H536" t="s">
        <v>81</v>
      </c>
      <c r="I536" t="s">
        <v>9</v>
      </c>
      <c r="L536" t="s">
        <v>161</v>
      </c>
      <c r="M536">
        <v>-112800000</v>
      </c>
    </row>
    <row r="537" spans="1:13" x14ac:dyDescent="0.3">
      <c r="A537" s="23">
        <v>45642</v>
      </c>
      <c r="B537" t="s">
        <v>12</v>
      </c>
      <c r="C537" t="s">
        <v>132</v>
      </c>
      <c r="D537" t="s">
        <v>17</v>
      </c>
      <c r="E537" t="s">
        <v>41</v>
      </c>
      <c r="F537">
        <v>100000000</v>
      </c>
      <c r="G537" t="s">
        <v>26</v>
      </c>
      <c r="H537" t="s">
        <v>81</v>
      </c>
      <c r="I537" t="s">
        <v>9</v>
      </c>
      <c r="L537" t="s">
        <v>161</v>
      </c>
      <c r="M537">
        <v>-100000000</v>
      </c>
    </row>
    <row r="538" spans="1:13" x14ac:dyDescent="0.3">
      <c r="A538" s="23">
        <v>45639</v>
      </c>
      <c r="B538" t="s">
        <v>12</v>
      </c>
      <c r="C538" t="s">
        <v>132</v>
      </c>
      <c r="D538" t="s">
        <v>16</v>
      </c>
      <c r="E538" t="s">
        <v>41</v>
      </c>
      <c r="F538">
        <v>210700000</v>
      </c>
      <c r="G538" t="s">
        <v>26</v>
      </c>
      <c r="H538" t="s">
        <v>81</v>
      </c>
      <c r="I538" t="s">
        <v>9</v>
      </c>
      <c r="L538" t="s">
        <v>161</v>
      </c>
      <c r="M538">
        <v>210700000</v>
      </c>
    </row>
    <row r="539" spans="1:13" x14ac:dyDescent="0.3">
      <c r="A539" s="23">
        <v>45638</v>
      </c>
      <c r="B539" t="s">
        <v>12</v>
      </c>
      <c r="C539" t="s">
        <v>132</v>
      </c>
      <c r="D539" t="s">
        <v>17</v>
      </c>
      <c r="E539" t="s">
        <v>41</v>
      </c>
      <c r="F539">
        <v>130000000</v>
      </c>
      <c r="G539" t="s">
        <v>26</v>
      </c>
      <c r="H539" t="s">
        <v>81</v>
      </c>
      <c r="I539" t="s">
        <v>9</v>
      </c>
      <c r="L539" t="s">
        <v>161</v>
      </c>
      <c r="M539">
        <v>-130000000</v>
      </c>
    </row>
    <row r="540" spans="1:13" x14ac:dyDescent="0.3">
      <c r="A540" s="23">
        <v>44819</v>
      </c>
      <c r="B540" t="s">
        <v>12</v>
      </c>
      <c r="C540" t="s">
        <v>132</v>
      </c>
      <c r="D540" t="s">
        <v>16</v>
      </c>
      <c r="E540" t="s">
        <v>41</v>
      </c>
      <c r="F540">
        <v>135000000</v>
      </c>
      <c r="G540" t="s">
        <v>26</v>
      </c>
      <c r="H540" t="s">
        <v>81</v>
      </c>
      <c r="I540" t="s">
        <v>9</v>
      </c>
      <c r="L540" t="s">
        <v>161</v>
      </c>
      <c r="M540">
        <v>135000000</v>
      </c>
    </row>
    <row r="541" spans="1:13" x14ac:dyDescent="0.3">
      <c r="A541" s="23">
        <v>44820</v>
      </c>
      <c r="B541" t="s">
        <v>12</v>
      </c>
      <c r="C541" t="s">
        <v>132</v>
      </c>
      <c r="D541" t="s">
        <v>17</v>
      </c>
      <c r="E541" t="s">
        <v>41</v>
      </c>
      <c r="F541">
        <v>135000000</v>
      </c>
      <c r="G541" t="s">
        <v>26</v>
      </c>
      <c r="H541" t="s">
        <v>81</v>
      </c>
      <c r="I541" t="s">
        <v>9</v>
      </c>
      <c r="L541" t="s">
        <v>161</v>
      </c>
      <c r="M541">
        <v>-135000000</v>
      </c>
    </row>
    <row r="542" spans="1:13" x14ac:dyDescent="0.3">
      <c r="A542" s="23">
        <v>45636</v>
      </c>
      <c r="B542" t="s">
        <v>12</v>
      </c>
      <c r="C542" t="s">
        <v>132</v>
      </c>
      <c r="D542" t="s">
        <v>17</v>
      </c>
      <c r="E542" t="s">
        <v>41</v>
      </c>
      <c r="F542">
        <v>69400000</v>
      </c>
      <c r="G542" t="s">
        <v>26</v>
      </c>
      <c r="H542" t="s">
        <v>81</v>
      </c>
      <c r="I542" t="s">
        <v>9</v>
      </c>
      <c r="L542" t="s">
        <v>161</v>
      </c>
      <c r="M542">
        <v>-69400000</v>
      </c>
    </row>
    <row r="543" spans="1:13" x14ac:dyDescent="0.3">
      <c r="A543" s="23">
        <v>45635</v>
      </c>
      <c r="B543" t="s">
        <v>12</v>
      </c>
      <c r="C543" t="s">
        <v>132</v>
      </c>
      <c r="D543" t="s">
        <v>17</v>
      </c>
      <c r="E543" t="s">
        <v>41</v>
      </c>
      <c r="F543">
        <v>357100000</v>
      </c>
      <c r="G543" t="s">
        <v>26</v>
      </c>
      <c r="H543" t="s">
        <v>81</v>
      </c>
      <c r="I543" t="s">
        <v>9</v>
      </c>
      <c r="L543" t="s">
        <v>161</v>
      </c>
      <c r="M543">
        <v>-357100000</v>
      </c>
    </row>
    <row r="544" spans="1:13" x14ac:dyDescent="0.3">
      <c r="A544" s="23">
        <v>45632</v>
      </c>
      <c r="B544" t="s">
        <v>12</v>
      </c>
      <c r="C544" t="s">
        <v>132</v>
      </c>
      <c r="D544" t="s">
        <v>16</v>
      </c>
      <c r="E544" t="s">
        <v>41</v>
      </c>
      <c r="F544">
        <v>510000000</v>
      </c>
      <c r="G544" t="s">
        <v>26</v>
      </c>
      <c r="H544" t="s">
        <v>81</v>
      </c>
      <c r="I544" t="s">
        <v>9</v>
      </c>
      <c r="L544" t="s">
        <v>161</v>
      </c>
      <c r="M544">
        <v>510000000</v>
      </c>
    </row>
    <row r="545" spans="1:13" x14ac:dyDescent="0.3">
      <c r="A545" s="23">
        <v>45631</v>
      </c>
      <c r="B545" t="s">
        <v>12</v>
      </c>
      <c r="C545" t="s">
        <v>132</v>
      </c>
      <c r="D545" t="s">
        <v>17</v>
      </c>
      <c r="E545" t="s">
        <v>41</v>
      </c>
      <c r="F545">
        <v>76500000</v>
      </c>
      <c r="G545" t="s">
        <v>26</v>
      </c>
      <c r="H545" t="s">
        <v>81</v>
      </c>
      <c r="I545" t="s">
        <v>9</v>
      </c>
      <c r="L545" t="s">
        <v>161</v>
      </c>
      <c r="M545">
        <v>-76500000</v>
      </c>
    </row>
    <row r="546" spans="1:13" x14ac:dyDescent="0.3">
      <c r="A546" s="23">
        <v>45630</v>
      </c>
      <c r="B546" t="s">
        <v>12</v>
      </c>
      <c r="C546" t="s">
        <v>132</v>
      </c>
      <c r="D546" t="s">
        <v>16</v>
      </c>
      <c r="E546" t="s">
        <v>41</v>
      </c>
      <c r="F546">
        <v>6933200</v>
      </c>
      <c r="G546" t="s">
        <v>26</v>
      </c>
      <c r="H546" t="s">
        <v>81</v>
      </c>
      <c r="I546" t="s">
        <v>9</v>
      </c>
      <c r="L546" t="s">
        <v>161</v>
      </c>
      <c r="M546">
        <v>6933200</v>
      </c>
    </row>
    <row r="547" spans="1:13" x14ac:dyDescent="0.3">
      <c r="A547" s="23">
        <v>45630</v>
      </c>
      <c r="B547" t="s">
        <v>12</v>
      </c>
      <c r="C547" t="s">
        <v>132</v>
      </c>
      <c r="D547" t="s">
        <v>17</v>
      </c>
      <c r="E547" t="s">
        <v>41</v>
      </c>
      <c r="F547">
        <v>55700000</v>
      </c>
      <c r="G547" t="s">
        <v>26</v>
      </c>
      <c r="H547" t="s">
        <v>81</v>
      </c>
      <c r="I547" t="s">
        <v>9</v>
      </c>
      <c r="L547" t="s">
        <v>161</v>
      </c>
      <c r="M547">
        <v>-55700000</v>
      </c>
    </row>
    <row r="548" spans="1:13" x14ac:dyDescent="0.3">
      <c r="A548" s="23">
        <v>45629</v>
      </c>
      <c r="B548" t="s">
        <v>12</v>
      </c>
      <c r="C548" t="s">
        <v>132</v>
      </c>
      <c r="D548" t="s">
        <v>17</v>
      </c>
      <c r="E548" t="s">
        <v>41</v>
      </c>
      <c r="F548">
        <v>31400000</v>
      </c>
      <c r="G548" t="s">
        <v>26</v>
      </c>
      <c r="H548" t="s">
        <v>81</v>
      </c>
      <c r="I548" t="s">
        <v>9</v>
      </c>
      <c r="L548" t="s">
        <v>161</v>
      </c>
      <c r="M548">
        <v>-31400000</v>
      </c>
    </row>
    <row r="549" spans="1:13" x14ac:dyDescent="0.3">
      <c r="A549" s="23">
        <v>45625</v>
      </c>
      <c r="B549" t="s">
        <v>12</v>
      </c>
      <c r="C549" t="s">
        <v>132</v>
      </c>
      <c r="D549" t="s">
        <v>17</v>
      </c>
      <c r="E549" t="s">
        <v>41</v>
      </c>
      <c r="F549">
        <v>174100000</v>
      </c>
      <c r="G549" t="s">
        <v>26</v>
      </c>
      <c r="H549" t="s">
        <v>81</v>
      </c>
      <c r="I549" t="s">
        <v>9</v>
      </c>
      <c r="L549" t="s">
        <v>161</v>
      </c>
      <c r="M549">
        <v>-174100000</v>
      </c>
    </row>
    <row r="550" spans="1:13" x14ac:dyDescent="0.3">
      <c r="A550" s="23">
        <v>45624</v>
      </c>
      <c r="B550" t="s">
        <v>12</v>
      </c>
      <c r="C550" t="s">
        <v>132</v>
      </c>
      <c r="D550" t="s">
        <v>17</v>
      </c>
      <c r="E550" t="s">
        <v>41</v>
      </c>
      <c r="F550">
        <v>70800000</v>
      </c>
      <c r="G550" t="s">
        <v>26</v>
      </c>
      <c r="H550" t="s">
        <v>81</v>
      </c>
      <c r="I550" t="s">
        <v>9</v>
      </c>
      <c r="L550" t="s">
        <v>161</v>
      </c>
      <c r="M550">
        <v>-70800000</v>
      </c>
    </row>
    <row r="551" spans="1:13" x14ac:dyDescent="0.3">
      <c r="A551" s="23">
        <v>45623</v>
      </c>
      <c r="B551" t="s">
        <v>12</v>
      </c>
      <c r="C551" t="s">
        <v>132</v>
      </c>
      <c r="D551" t="s">
        <v>16</v>
      </c>
      <c r="E551" t="s">
        <v>41</v>
      </c>
      <c r="F551">
        <v>400000000</v>
      </c>
      <c r="G551" t="s">
        <v>26</v>
      </c>
      <c r="H551" t="s">
        <v>81</v>
      </c>
      <c r="I551" t="s">
        <v>9</v>
      </c>
      <c r="L551" t="s">
        <v>161</v>
      </c>
      <c r="M551">
        <v>400000000</v>
      </c>
    </row>
    <row r="552" spans="1:13" x14ac:dyDescent="0.3">
      <c r="A552" s="23">
        <v>45622</v>
      </c>
      <c r="B552" t="s">
        <v>12</v>
      </c>
      <c r="C552" t="s">
        <v>132</v>
      </c>
      <c r="D552" t="s">
        <v>17</v>
      </c>
      <c r="E552" t="s">
        <v>41</v>
      </c>
      <c r="F552">
        <v>21600000</v>
      </c>
      <c r="G552" t="s">
        <v>26</v>
      </c>
      <c r="H552" t="s">
        <v>81</v>
      </c>
      <c r="I552" t="s">
        <v>9</v>
      </c>
      <c r="L552" t="s">
        <v>161</v>
      </c>
      <c r="M552">
        <v>-21600000</v>
      </c>
    </row>
    <row r="553" spans="1:13" x14ac:dyDescent="0.3">
      <c r="A553" s="23">
        <v>45621</v>
      </c>
      <c r="B553" t="s">
        <v>12</v>
      </c>
      <c r="C553" t="s">
        <v>132</v>
      </c>
      <c r="D553" t="s">
        <v>17</v>
      </c>
      <c r="E553" t="s">
        <v>41</v>
      </c>
      <c r="F553">
        <v>66000000</v>
      </c>
      <c r="G553" t="s">
        <v>26</v>
      </c>
      <c r="H553" t="s">
        <v>81</v>
      </c>
      <c r="I553" t="s">
        <v>9</v>
      </c>
      <c r="L553" t="s">
        <v>161</v>
      </c>
      <c r="M553">
        <v>-66000000</v>
      </c>
    </row>
    <row r="554" spans="1:13" x14ac:dyDescent="0.3">
      <c r="A554" s="23">
        <v>44848</v>
      </c>
      <c r="B554" t="s">
        <v>12</v>
      </c>
      <c r="C554" t="s">
        <v>132</v>
      </c>
      <c r="D554" t="s">
        <v>16</v>
      </c>
      <c r="E554" t="s">
        <v>41</v>
      </c>
      <c r="F554">
        <v>271800000</v>
      </c>
      <c r="G554" t="s">
        <v>26</v>
      </c>
      <c r="H554" t="s">
        <v>81</v>
      </c>
      <c r="I554" t="s">
        <v>9</v>
      </c>
      <c r="L554" t="s">
        <v>161</v>
      </c>
      <c r="M554">
        <v>271800000</v>
      </c>
    </row>
    <row r="555" spans="1:13" x14ac:dyDescent="0.3">
      <c r="A555" s="23">
        <v>44851</v>
      </c>
      <c r="B555" t="s">
        <v>12</v>
      </c>
      <c r="C555" t="s">
        <v>132</v>
      </c>
      <c r="D555" t="s">
        <v>17</v>
      </c>
      <c r="E555" t="s">
        <v>41</v>
      </c>
      <c r="F555">
        <v>129600000</v>
      </c>
      <c r="G555" t="s">
        <v>26</v>
      </c>
      <c r="H555" t="s">
        <v>81</v>
      </c>
      <c r="I555" t="s">
        <v>9</v>
      </c>
      <c r="L555" t="s">
        <v>161</v>
      </c>
      <c r="M555">
        <v>-129600000</v>
      </c>
    </row>
    <row r="556" spans="1:13" x14ac:dyDescent="0.3">
      <c r="A556" s="23">
        <v>45618</v>
      </c>
      <c r="B556" t="s">
        <v>12</v>
      </c>
      <c r="C556" t="s">
        <v>132</v>
      </c>
      <c r="D556" t="s">
        <v>17</v>
      </c>
      <c r="E556" t="s">
        <v>41</v>
      </c>
      <c r="F556">
        <v>125600000</v>
      </c>
      <c r="G556" t="s">
        <v>26</v>
      </c>
      <c r="H556" t="s">
        <v>81</v>
      </c>
      <c r="I556" t="s">
        <v>9</v>
      </c>
      <c r="L556" t="s">
        <v>161</v>
      </c>
      <c r="M556">
        <v>-125600000</v>
      </c>
    </row>
    <row r="557" spans="1:13" x14ac:dyDescent="0.3">
      <c r="A557" s="23">
        <v>45617</v>
      </c>
      <c r="B557" t="s">
        <v>12</v>
      </c>
      <c r="C557" t="s">
        <v>132</v>
      </c>
      <c r="D557" t="s">
        <v>17</v>
      </c>
      <c r="E557" t="s">
        <v>41</v>
      </c>
      <c r="F557">
        <v>119900000</v>
      </c>
      <c r="G557" t="s">
        <v>26</v>
      </c>
      <c r="H557" t="s">
        <v>81</v>
      </c>
      <c r="I557" t="s">
        <v>9</v>
      </c>
      <c r="L557" t="s">
        <v>161</v>
      </c>
      <c r="M557">
        <v>-119900000</v>
      </c>
    </row>
    <row r="558" spans="1:13" x14ac:dyDescent="0.3">
      <c r="A558" s="23">
        <v>44853</v>
      </c>
      <c r="B558" t="s">
        <v>12</v>
      </c>
      <c r="C558" t="s">
        <v>132</v>
      </c>
      <c r="D558" t="s">
        <v>17</v>
      </c>
      <c r="E558" t="s">
        <v>41</v>
      </c>
      <c r="F558">
        <v>11200000</v>
      </c>
      <c r="G558" t="s">
        <v>26</v>
      </c>
      <c r="H558" t="s">
        <v>81</v>
      </c>
      <c r="I558" t="s">
        <v>9</v>
      </c>
      <c r="L558" t="s">
        <v>161</v>
      </c>
      <c r="M558">
        <v>-11200000</v>
      </c>
    </row>
    <row r="559" spans="1:13" x14ac:dyDescent="0.3">
      <c r="A559" s="23">
        <v>44854</v>
      </c>
      <c r="B559" t="s">
        <v>12</v>
      </c>
      <c r="C559" t="s">
        <v>132</v>
      </c>
      <c r="D559" t="s">
        <v>17</v>
      </c>
      <c r="E559" t="s">
        <v>41</v>
      </c>
      <c r="F559">
        <v>36400000</v>
      </c>
      <c r="G559" t="s">
        <v>26</v>
      </c>
      <c r="H559" t="s">
        <v>81</v>
      </c>
      <c r="I559" t="s">
        <v>9</v>
      </c>
      <c r="L559" t="s">
        <v>161</v>
      </c>
      <c r="M559">
        <v>-36400000</v>
      </c>
    </row>
    <row r="560" spans="1:13" x14ac:dyDescent="0.3">
      <c r="A560" s="23">
        <v>44855</v>
      </c>
      <c r="B560" t="s">
        <v>12</v>
      </c>
      <c r="C560" t="s">
        <v>132</v>
      </c>
      <c r="D560" t="s">
        <v>17</v>
      </c>
      <c r="E560" t="s">
        <v>41</v>
      </c>
      <c r="F560">
        <v>94600000.000000045</v>
      </c>
      <c r="G560" t="s">
        <v>26</v>
      </c>
      <c r="H560" t="s">
        <v>81</v>
      </c>
      <c r="I560" t="s">
        <v>9</v>
      </c>
      <c r="L560" t="s">
        <v>161</v>
      </c>
      <c r="M560">
        <v>-94600000</v>
      </c>
    </row>
    <row r="561" spans="1:13" x14ac:dyDescent="0.3">
      <c r="A561" s="23">
        <v>45611</v>
      </c>
      <c r="B561" t="s">
        <v>12</v>
      </c>
      <c r="C561" t="s">
        <v>132</v>
      </c>
      <c r="D561" t="s">
        <v>17</v>
      </c>
      <c r="E561" t="s">
        <v>41</v>
      </c>
      <c r="F561">
        <v>300000000</v>
      </c>
      <c r="G561" t="s">
        <v>26</v>
      </c>
      <c r="H561" t="s">
        <v>81</v>
      </c>
      <c r="I561" t="s">
        <v>9</v>
      </c>
      <c r="L561" t="s">
        <v>161</v>
      </c>
      <c r="M561">
        <v>-300000000</v>
      </c>
    </row>
    <row r="562" spans="1:13" x14ac:dyDescent="0.3">
      <c r="A562" s="23">
        <v>45610</v>
      </c>
      <c r="B562" t="s">
        <v>12</v>
      </c>
      <c r="C562" t="s">
        <v>132</v>
      </c>
      <c r="D562" t="s">
        <v>17</v>
      </c>
      <c r="E562" t="s">
        <v>41</v>
      </c>
      <c r="F562">
        <v>157900000</v>
      </c>
      <c r="G562" t="s">
        <v>26</v>
      </c>
      <c r="H562" t="s">
        <v>81</v>
      </c>
      <c r="I562" t="s">
        <v>9</v>
      </c>
      <c r="L562" t="s">
        <v>161</v>
      </c>
      <c r="M562">
        <v>-157900000</v>
      </c>
    </row>
    <row r="563" spans="1:13" x14ac:dyDescent="0.3">
      <c r="A563" s="23">
        <v>45609</v>
      </c>
      <c r="B563" t="s">
        <v>12</v>
      </c>
      <c r="C563" t="s">
        <v>132</v>
      </c>
      <c r="D563" t="s">
        <v>17</v>
      </c>
      <c r="E563" t="s">
        <v>41</v>
      </c>
      <c r="F563">
        <v>172700000</v>
      </c>
      <c r="G563" t="s">
        <v>26</v>
      </c>
      <c r="H563" t="s">
        <v>81</v>
      </c>
      <c r="I563" t="s">
        <v>9</v>
      </c>
      <c r="L563" t="s">
        <v>161</v>
      </c>
      <c r="M563">
        <v>-172700000</v>
      </c>
    </row>
    <row r="564" spans="1:13" x14ac:dyDescent="0.3">
      <c r="A564" s="23">
        <v>45608</v>
      </c>
      <c r="B564" t="s">
        <v>12</v>
      </c>
      <c r="C564" t="s">
        <v>132</v>
      </c>
      <c r="D564" t="s">
        <v>16</v>
      </c>
      <c r="E564" t="s">
        <v>41</v>
      </c>
      <c r="F564">
        <v>1000000000</v>
      </c>
      <c r="G564" t="s">
        <v>26</v>
      </c>
      <c r="H564" t="s">
        <v>81</v>
      </c>
      <c r="I564" t="s">
        <v>9</v>
      </c>
      <c r="L564" t="s">
        <v>161</v>
      </c>
      <c r="M564">
        <v>1000000000</v>
      </c>
    </row>
    <row r="565" spans="1:13" x14ac:dyDescent="0.3">
      <c r="A565" s="23">
        <v>45607</v>
      </c>
      <c r="B565" t="s">
        <v>12</v>
      </c>
      <c r="C565" t="s">
        <v>132</v>
      </c>
      <c r="D565" t="s">
        <v>16</v>
      </c>
      <c r="E565" t="s">
        <v>41</v>
      </c>
      <c r="F565">
        <v>6682207</v>
      </c>
      <c r="G565" t="s">
        <v>26</v>
      </c>
      <c r="H565" t="s">
        <v>81</v>
      </c>
      <c r="I565" t="s">
        <v>9</v>
      </c>
      <c r="L565" t="s">
        <v>161</v>
      </c>
      <c r="M565">
        <v>6682207</v>
      </c>
    </row>
    <row r="566" spans="1:13" x14ac:dyDescent="0.3">
      <c r="A566" s="23">
        <v>45607</v>
      </c>
      <c r="B566" t="s">
        <v>12</v>
      </c>
      <c r="C566" t="s">
        <v>132</v>
      </c>
      <c r="D566" t="s">
        <v>17</v>
      </c>
      <c r="E566" t="s">
        <v>41</v>
      </c>
      <c r="F566">
        <v>48200000</v>
      </c>
      <c r="G566" t="s">
        <v>26</v>
      </c>
      <c r="H566" t="s">
        <v>81</v>
      </c>
      <c r="I566" t="s">
        <v>9</v>
      </c>
      <c r="L566" t="s">
        <v>161</v>
      </c>
      <c r="M566">
        <v>-48200000</v>
      </c>
    </row>
    <row r="567" spans="1:13" x14ac:dyDescent="0.3">
      <c r="A567" s="23">
        <v>45604</v>
      </c>
      <c r="B567" t="s">
        <v>12</v>
      </c>
      <c r="C567" t="s">
        <v>132</v>
      </c>
      <c r="D567" t="s">
        <v>17</v>
      </c>
      <c r="E567" t="s">
        <v>41</v>
      </c>
      <c r="F567">
        <v>500000</v>
      </c>
      <c r="G567" t="s">
        <v>26</v>
      </c>
      <c r="H567" t="s">
        <v>81</v>
      </c>
      <c r="I567" t="s">
        <v>9</v>
      </c>
      <c r="L567" t="s">
        <v>161</v>
      </c>
      <c r="M567">
        <v>-500000</v>
      </c>
    </row>
    <row r="568" spans="1:13" x14ac:dyDescent="0.3">
      <c r="A568" s="23">
        <v>45601</v>
      </c>
      <c r="B568" t="s">
        <v>12</v>
      </c>
      <c r="C568" t="s">
        <v>132</v>
      </c>
      <c r="D568" t="s">
        <v>17</v>
      </c>
      <c r="E568" t="s">
        <v>41</v>
      </c>
      <c r="F568">
        <v>30100000</v>
      </c>
      <c r="G568" t="s">
        <v>26</v>
      </c>
      <c r="H568" t="s">
        <v>81</v>
      </c>
      <c r="I568" t="s">
        <v>9</v>
      </c>
      <c r="L568" t="s">
        <v>161</v>
      </c>
      <c r="M568">
        <v>-30100000</v>
      </c>
    </row>
    <row r="569" spans="1:13" x14ac:dyDescent="0.3">
      <c r="A569" s="23">
        <v>45600</v>
      </c>
      <c r="B569" t="s">
        <v>12</v>
      </c>
      <c r="C569" t="s">
        <v>132</v>
      </c>
      <c r="D569" t="s">
        <v>17</v>
      </c>
      <c r="E569" t="s">
        <v>41</v>
      </c>
      <c r="F569">
        <v>53000000</v>
      </c>
      <c r="G569" t="s">
        <v>26</v>
      </c>
      <c r="H569" t="s">
        <v>81</v>
      </c>
      <c r="I569" t="s">
        <v>9</v>
      </c>
      <c r="L569" t="s">
        <v>161</v>
      </c>
      <c r="M569">
        <v>-53000000</v>
      </c>
    </row>
    <row r="570" spans="1:13" x14ac:dyDescent="0.3">
      <c r="A570" s="23">
        <v>45596</v>
      </c>
      <c r="B570" t="s">
        <v>12</v>
      </c>
      <c r="C570" t="s">
        <v>132</v>
      </c>
      <c r="D570" t="s">
        <v>16</v>
      </c>
      <c r="E570" t="s">
        <v>41</v>
      </c>
      <c r="F570">
        <v>100000000</v>
      </c>
      <c r="G570" t="s">
        <v>26</v>
      </c>
      <c r="H570" t="s">
        <v>81</v>
      </c>
      <c r="I570" t="s">
        <v>9</v>
      </c>
      <c r="L570" t="s">
        <v>161</v>
      </c>
      <c r="M570">
        <v>100000000</v>
      </c>
    </row>
    <row r="571" spans="1:13" x14ac:dyDescent="0.3">
      <c r="A571" s="23">
        <v>45595</v>
      </c>
      <c r="B571" t="s">
        <v>12</v>
      </c>
      <c r="C571" t="s">
        <v>132</v>
      </c>
      <c r="D571" t="s">
        <v>17</v>
      </c>
      <c r="E571" t="s">
        <v>41</v>
      </c>
      <c r="F571">
        <v>50500000</v>
      </c>
      <c r="G571" t="s">
        <v>26</v>
      </c>
      <c r="H571" t="s">
        <v>81</v>
      </c>
      <c r="I571" t="s">
        <v>9</v>
      </c>
      <c r="L571" t="s">
        <v>161</v>
      </c>
      <c r="M571">
        <v>-50500000</v>
      </c>
    </row>
    <row r="572" spans="1:13" x14ac:dyDescent="0.3">
      <c r="A572" s="23">
        <v>45594</v>
      </c>
      <c r="B572" t="s">
        <v>12</v>
      </c>
      <c r="C572" t="s">
        <v>132</v>
      </c>
      <c r="D572" t="s">
        <v>17</v>
      </c>
      <c r="E572" t="s">
        <v>41</v>
      </c>
      <c r="F572">
        <v>24900000</v>
      </c>
      <c r="G572" t="s">
        <v>26</v>
      </c>
      <c r="H572" t="s">
        <v>81</v>
      </c>
      <c r="I572" t="s">
        <v>9</v>
      </c>
      <c r="L572" t="s">
        <v>161</v>
      </c>
      <c r="M572">
        <v>-24900000</v>
      </c>
    </row>
    <row r="573" spans="1:13" x14ac:dyDescent="0.3">
      <c r="A573" s="23">
        <v>45593</v>
      </c>
      <c r="B573" t="s">
        <v>12</v>
      </c>
      <c r="C573" t="s">
        <v>132</v>
      </c>
      <c r="D573" t="s">
        <v>17</v>
      </c>
      <c r="E573" t="s">
        <v>41</v>
      </c>
      <c r="F573">
        <v>74100000</v>
      </c>
      <c r="G573" t="s">
        <v>26</v>
      </c>
      <c r="H573" t="s">
        <v>81</v>
      </c>
      <c r="I573" t="s">
        <v>9</v>
      </c>
      <c r="L573" t="s">
        <v>161</v>
      </c>
      <c r="M573">
        <v>-74100000</v>
      </c>
    </row>
    <row r="574" spans="1:13" x14ac:dyDescent="0.3">
      <c r="A574" s="23">
        <v>45590</v>
      </c>
      <c r="B574" t="s">
        <v>12</v>
      </c>
      <c r="C574" t="s">
        <v>132</v>
      </c>
      <c r="D574" t="s">
        <v>17</v>
      </c>
      <c r="E574" t="s">
        <v>41</v>
      </c>
      <c r="F574">
        <v>100000000</v>
      </c>
      <c r="G574" t="s">
        <v>26</v>
      </c>
      <c r="H574" t="s">
        <v>81</v>
      </c>
      <c r="I574" t="s">
        <v>9</v>
      </c>
      <c r="L574" t="s">
        <v>161</v>
      </c>
      <c r="M574">
        <v>-100000000</v>
      </c>
    </row>
    <row r="575" spans="1:13" x14ac:dyDescent="0.3">
      <c r="A575" s="23">
        <v>45589</v>
      </c>
      <c r="B575" t="s">
        <v>12</v>
      </c>
      <c r="C575" t="s">
        <v>132</v>
      </c>
      <c r="D575" t="s">
        <v>17</v>
      </c>
      <c r="E575" t="s">
        <v>41</v>
      </c>
      <c r="F575">
        <v>94200000</v>
      </c>
      <c r="G575" t="s">
        <v>26</v>
      </c>
      <c r="H575" t="s">
        <v>81</v>
      </c>
      <c r="I575" t="s">
        <v>9</v>
      </c>
      <c r="L575" t="s">
        <v>161</v>
      </c>
      <c r="M575">
        <v>-94200000</v>
      </c>
    </row>
    <row r="576" spans="1:13" x14ac:dyDescent="0.3">
      <c r="A576" s="23">
        <v>45588</v>
      </c>
      <c r="B576" t="s">
        <v>12</v>
      </c>
      <c r="C576" t="s">
        <v>132</v>
      </c>
      <c r="D576" t="s">
        <v>17</v>
      </c>
      <c r="E576" t="s">
        <v>41</v>
      </c>
      <c r="F576">
        <v>24200000</v>
      </c>
      <c r="G576" t="s">
        <v>26</v>
      </c>
      <c r="H576" t="s">
        <v>81</v>
      </c>
      <c r="I576" t="s">
        <v>9</v>
      </c>
      <c r="L576" t="s">
        <v>161</v>
      </c>
      <c r="M576">
        <v>-24200000</v>
      </c>
    </row>
    <row r="577" spans="1:13" x14ac:dyDescent="0.3">
      <c r="A577" s="23">
        <v>45587</v>
      </c>
      <c r="B577" t="s">
        <v>12</v>
      </c>
      <c r="C577" t="s">
        <v>132</v>
      </c>
      <c r="D577" t="s">
        <v>17</v>
      </c>
      <c r="E577" t="s">
        <v>41</v>
      </c>
      <c r="F577">
        <v>203000000</v>
      </c>
      <c r="G577" t="s">
        <v>26</v>
      </c>
      <c r="H577" t="s">
        <v>81</v>
      </c>
      <c r="I577" t="s">
        <v>9</v>
      </c>
      <c r="L577" t="s">
        <v>161</v>
      </c>
      <c r="M577">
        <v>-203000000</v>
      </c>
    </row>
    <row r="578" spans="1:13" x14ac:dyDescent="0.3">
      <c r="A578" s="23">
        <v>45586</v>
      </c>
      <c r="B578" t="s">
        <v>12</v>
      </c>
      <c r="C578" t="s">
        <v>132</v>
      </c>
      <c r="D578" t="s">
        <v>17</v>
      </c>
      <c r="E578" t="s">
        <v>41</v>
      </c>
      <c r="F578">
        <v>400000000</v>
      </c>
      <c r="G578" t="s">
        <v>26</v>
      </c>
      <c r="H578" t="s">
        <v>81</v>
      </c>
      <c r="I578" t="s">
        <v>9</v>
      </c>
      <c r="L578" t="s">
        <v>161</v>
      </c>
      <c r="M578">
        <v>-400000000</v>
      </c>
    </row>
    <row r="579" spans="1:13" x14ac:dyDescent="0.3">
      <c r="A579" s="23">
        <v>45583</v>
      </c>
      <c r="B579" t="s">
        <v>12</v>
      </c>
      <c r="C579" t="s">
        <v>132</v>
      </c>
      <c r="D579" t="s">
        <v>16</v>
      </c>
      <c r="E579" t="s">
        <v>41</v>
      </c>
      <c r="F579">
        <v>1000000000</v>
      </c>
      <c r="G579" t="s">
        <v>26</v>
      </c>
      <c r="H579" t="s">
        <v>81</v>
      </c>
      <c r="I579" t="s">
        <v>9</v>
      </c>
      <c r="L579" t="s">
        <v>161</v>
      </c>
      <c r="M579">
        <v>1000000000</v>
      </c>
    </row>
    <row r="580" spans="1:13" x14ac:dyDescent="0.3">
      <c r="A580" s="23">
        <v>45582</v>
      </c>
      <c r="B580" t="s">
        <v>12</v>
      </c>
      <c r="C580" t="s">
        <v>132</v>
      </c>
      <c r="D580" t="s">
        <v>17</v>
      </c>
      <c r="E580" t="s">
        <v>41</v>
      </c>
      <c r="F580">
        <v>800000</v>
      </c>
      <c r="G580" t="s">
        <v>26</v>
      </c>
      <c r="H580" t="s">
        <v>81</v>
      </c>
      <c r="I580" t="s">
        <v>9</v>
      </c>
      <c r="L580" t="s">
        <v>161</v>
      </c>
      <c r="M580">
        <v>-800000</v>
      </c>
    </row>
    <row r="581" spans="1:13" x14ac:dyDescent="0.3">
      <c r="A581" s="23">
        <v>44907</v>
      </c>
      <c r="B581" t="s">
        <v>12</v>
      </c>
      <c r="C581" t="s">
        <v>132</v>
      </c>
      <c r="D581" t="s">
        <v>16</v>
      </c>
      <c r="E581" t="s">
        <v>41</v>
      </c>
      <c r="F581">
        <v>33000000</v>
      </c>
      <c r="G581" t="s">
        <v>26</v>
      </c>
      <c r="H581" t="s">
        <v>81</v>
      </c>
      <c r="I581" t="s">
        <v>9</v>
      </c>
      <c r="L581" t="s">
        <v>161</v>
      </c>
      <c r="M581">
        <v>33000000</v>
      </c>
    </row>
    <row r="582" spans="1:13" x14ac:dyDescent="0.3">
      <c r="A582" s="23">
        <v>45582</v>
      </c>
      <c r="B582" t="s">
        <v>12</v>
      </c>
      <c r="C582" t="s">
        <v>132</v>
      </c>
      <c r="D582" t="s">
        <v>16</v>
      </c>
      <c r="E582" t="s">
        <v>41</v>
      </c>
      <c r="F582">
        <v>2856672</v>
      </c>
      <c r="G582" t="s">
        <v>26</v>
      </c>
      <c r="H582" t="s">
        <v>81</v>
      </c>
      <c r="I582" t="s">
        <v>9</v>
      </c>
      <c r="L582" t="s">
        <v>161</v>
      </c>
      <c r="M582">
        <v>2856672</v>
      </c>
    </row>
    <row r="583" spans="1:13" x14ac:dyDescent="0.3">
      <c r="A583" s="23">
        <v>44908</v>
      </c>
      <c r="B583" t="s">
        <v>12</v>
      </c>
      <c r="C583" t="s">
        <v>132</v>
      </c>
      <c r="D583" t="s">
        <v>17</v>
      </c>
      <c r="E583" t="s">
        <v>41</v>
      </c>
      <c r="F583">
        <v>33000000</v>
      </c>
      <c r="G583" t="s">
        <v>26</v>
      </c>
      <c r="H583" t="s">
        <v>81</v>
      </c>
      <c r="I583" t="s">
        <v>9</v>
      </c>
      <c r="L583" t="s">
        <v>161</v>
      </c>
      <c r="M583">
        <v>-33000000</v>
      </c>
    </row>
    <row r="584" spans="1:13" x14ac:dyDescent="0.3">
      <c r="A584" s="23">
        <v>45581</v>
      </c>
      <c r="B584" t="s">
        <v>12</v>
      </c>
      <c r="C584" t="s">
        <v>132</v>
      </c>
      <c r="D584" t="s">
        <v>17</v>
      </c>
      <c r="E584" t="s">
        <v>41</v>
      </c>
      <c r="F584">
        <v>69500000</v>
      </c>
      <c r="G584" t="s">
        <v>26</v>
      </c>
      <c r="H584" t="s">
        <v>81</v>
      </c>
      <c r="I584" t="s">
        <v>9</v>
      </c>
      <c r="L584" t="s">
        <v>161</v>
      </c>
      <c r="M584">
        <v>-69500000</v>
      </c>
    </row>
    <row r="585" spans="1:13" x14ac:dyDescent="0.3">
      <c r="A585" s="23">
        <v>45580</v>
      </c>
      <c r="B585" t="s">
        <v>12</v>
      </c>
      <c r="C585" t="s">
        <v>132</v>
      </c>
      <c r="D585" t="s">
        <v>16</v>
      </c>
      <c r="E585" t="s">
        <v>41</v>
      </c>
      <c r="F585">
        <v>34800000</v>
      </c>
      <c r="G585" t="s">
        <v>26</v>
      </c>
      <c r="H585" t="s">
        <v>81</v>
      </c>
      <c r="I585" t="s">
        <v>9</v>
      </c>
      <c r="L585" t="s">
        <v>161</v>
      </c>
      <c r="M585">
        <v>34800000</v>
      </c>
    </row>
    <row r="586" spans="1:13" x14ac:dyDescent="0.3">
      <c r="A586" s="23">
        <v>44910</v>
      </c>
      <c r="B586" t="s">
        <v>12</v>
      </c>
      <c r="C586" t="s">
        <v>132</v>
      </c>
      <c r="D586" t="s">
        <v>16</v>
      </c>
      <c r="E586" t="s">
        <v>41</v>
      </c>
      <c r="F586">
        <v>99700000</v>
      </c>
      <c r="G586" t="s">
        <v>26</v>
      </c>
      <c r="H586" t="s">
        <v>81</v>
      </c>
      <c r="I586" t="s">
        <v>9</v>
      </c>
      <c r="L586" t="s">
        <v>161</v>
      </c>
      <c r="M586">
        <v>99700000</v>
      </c>
    </row>
    <row r="587" spans="1:13" x14ac:dyDescent="0.3">
      <c r="A587" s="23">
        <v>45579</v>
      </c>
      <c r="B587" t="s">
        <v>12</v>
      </c>
      <c r="C587" t="s">
        <v>132</v>
      </c>
      <c r="D587" t="s">
        <v>17</v>
      </c>
      <c r="E587" t="s">
        <v>41</v>
      </c>
      <c r="F587">
        <v>3700000</v>
      </c>
      <c r="G587" t="s">
        <v>26</v>
      </c>
      <c r="H587" t="s">
        <v>81</v>
      </c>
      <c r="I587" t="s">
        <v>9</v>
      </c>
      <c r="L587" t="s">
        <v>161</v>
      </c>
      <c r="M587">
        <v>-3700000</v>
      </c>
    </row>
    <row r="588" spans="1:13" x14ac:dyDescent="0.3">
      <c r="A588" s="23">
        <v>44911</v>
      </c>
      <c r="B588" t="s">
        <v>12</v>
      </c>
      <c r="C588" t="s">
        <v>132</v>
      </c>
      <c r="D588" t="s">
        <v>17</v>
      </c>
      <c r="E588" t="s">
        <v>41</v>
      </c>
      <c r="F588">
        <v>99700000</v>
      </c>
      <c r="G588" t="s">
        <v>26</v>
      </c>
      <c r="H588" t="s">
        <v>81</v>
      </c>
      <c r="I588" t="s">
        <v>9</v>
      </c>
      <c r="L588" t="s">
        <v>161</v>
      </c>
      <c r="M588">
        <v>-99700000</v>
      </c>
    </row>
    <row r="589" spans="1:13" x14ac:dyDescent="0.3">
      <c r="A589" s="23">
        <v>45574</v>
      </c>
      <c r="B589" t="s">
        <v>12</v>
      </c>
      <c r="C589" t="s">
        <v>132</v>
      </c>
      <c r="D589" t="s">
        <v>17</v>
      </c>
      <c r="E589" t="s">
        <v>41</v>
      </c>
      <c r="F589">
        <v>100000000</v>
      </c>
      <c r="G589" t="s">
        <v>26</v>
      </c>
      <c r="H589" t="s">
        <v>81</v>
      </c>
      <c r="I589" t="s">
        <v>9</v>
      </c>
      <c r="L589" t="s">
        <v>161</v>
      </c>
      <c r="M589">
        <v>-100000000</v>
      </c>
    </row>
    <row r="590" spans="1:13" x14ac:dyDescent="0.3">
      <c r="A590" s="23">
        <v>45573</v>
      </c>
      <c r="B590" t="s">
        <v>12</v>
      </c>
      <c r="C590" t="s">
        <v>132</v>
      </c>
      <c r="D590" t="s">
        <v>17</v>
      </c>
      <c r="E590" t="s">
        <v>41</v>
      </c>
      <c r="F590">
        <v>16000000</v>
      </c>
      <c r="G590" t="s">
        <v>26</v>
      </c>
      <c r="H590" t="s">
        <v>81</v>
      </c>
      <c r="I590" t="s">
        <v>9</v>
      </c>
      <c r="L590" t="s">
        <v>161</v>
      </c>
      <c r="M590">
        <v>-16000000</v>
      </c>
    </row>
    <row r="591" spans="1:13" x14ac:dyDescent="0.3">
      <c r="A591" s="23">
        <v>45572</v>
      </c>
      <c r="B591" t="s">
        <v>12</v>
      </c>
      <c r="C591" t="s">
        <v>132</v>
      </c>
      <c r="D591" t="s">
        <v>17</v>
      </c>
      <c r="E591" t="s">
        <v>41</v>
      </c>
      <c r="F591">
        <v>56600000</v>
      </c>
      <c r="G591" t="s">
        <v>26</v>
      </c>
      <c r="H591" t="s">
        <v>81</v>
      </c>
      <c r="I591" t="s">
        <v>9</v>
      </c>
      <c r="L591" t="s">
        <v>161</v>
      </c>
      <c r="M591">
        <v>-56600000</v>
      </c>
    </row>
    <row r="592" spans="1:13" x14ac:dyDescent="0.3">
      <c r="A592" s="23">
        <v>44916</v>
      </c>
      <c r="B592" t="s">
        <v>12</v>
      </c>
      <c r="C592" t="s">
        <v>132</v>
      </c>
      <c r="D592" t="s">
        <v>16</v>
      </c>
      <c r="E592" t="s">
        <v>41</v>
      </c>
      <c r="F592">
        <v>61100000</v>
      </c>
      <c r="G592" t="s">
        <v>26</v>
      </c>
      <c r="H592" t="s">
        <v>81</v>
      </c>
      <c r="I592" t="s">
        <v>9</v>
      </c>
      <c r="L592" t="s">
        <v>161</v>
      </c>
      <c r="M592">
        <v>61100000</v>
      </c>
    </row>
    <row r="593" spans="1:13" x14ac:dyDescent="0.3">
      <c r="A593" s="23">
        <v>45569</v>
      </c>
      <c r="B593" t="s">
        <v>12</v>
      </c>
      <c r="C593" t="s">
        <v>132</v>
      </c>
      <c r="D593" t="s">
        <v>17</v>
      </c>
      <c r="E593" t="s">
        <v>41</v>
      </c>
      <c r="F593">
        <v>206100000</v>
      </c>
      <c r="G593" t="s">
        <v>26</v>
      </c>
      <c r="H593" t="s">
        <v>81</v>
      </c>
      <c r="I593" t="s">
        <v>9</v>
      </c>
      <c r="L593" t="s">
        <v>161</v>
      </c>
      <c r="M593">
        <v>-206100000</v>
      </c>
    </row>
    <row r="594" spans="1:13" x14ac:dyDescent="0.3">
      <c r="A594" s="23">
        <v>44921</v>
      </c>
      <c r="B594" t="s">
        <v>12</v>
      </c>
      <c r="C594" t="s">
        <v>132</v>
      </c>
      <c r="D594" t="s">
        <v>16</v>
      </c>
      <c r="E594" t="s">
        <v>41</v>
      </c>
      <c r="F594">
        <v>508024.62</v>
      </c>
      <c r="G594" t="s">
        <v>26</v>
      </c>
      <c r="H594" t="s">
        <v>81</v>
      </c>
      <c r="I594" t="s">
        <v>9</v>
      </c>
      <c r="J594" t="s">
        <v>155</v>
      </c>
      <c r="L594" t="s">
        <v>161</v>
      </c>
      <c r="M594">
        <v>508024.62</v>
      </c>
    </row>
    <row r="595" spans="1:13" x14ac:dyDescent="0.3">
      <c r="A595" s="23">
        <v>45568</v>
      </c>
      <c r="B595" t="s">
        <v>12</v>
      </c>
      <c r="C595" t="s">
        <v>132</v>
      </c>
      <c r="D595" t="s">
        <v>17</v>
      </c>
      <c r="E595" t="s">
        <v>41</v>
      </c>
      <c r="F595">
        <v>231500000</v>
      </c>
      <c r="G595" t="s">
        <v>26</v>
      </c>
      <c r="H595" t="s">
        <v>81</v>
      </c>
      <c r="I595" t="s">
        <v>9</v>
      </c>
      <c r="L595" t="s">
        <v>161</v>
      </c>
      <c r="M595">
        <v>-231500000</v>
      </c>
    </row>
    <row r="596" spans="1:13" x14ac:dyDescent="0.3">
      <c r="A596" s="23">
        <v>45567</v>
      </c>
      <c r="B596" t="s">
        <v>12</v>
      </c>
      <c r="C596" t="s">
        <v>132</v>
      </c>
      <c r="D596" t="s">
        <v>16</v>
      </c>
      <c r="E596" t="s">
        <v>41</v>
      </c>
      <c r="F596">
        <v>600000000</v>
      </c>
      <c r="G596" t="s">
        <v>26</v>
      </c>
      <c r="H596" t="s">
        <v>81</v>
      </c>
      <c r="I596" t="s">
        <v>9</v>
      </c>
      <c r="L596" t="s">
        <v>161</v>
      </c>
      <c r="M596">
        <v>600000000</v>
      </c>
    </row>
    <row r="597" spans="1:13" x14ac:dyDescent="0.3">
      <c r="A597" s="23">
        <v>44922</v>
      </c>
      <c r="B597" t="s">
        <v>12</v>
      </c>
      <c r="C597" t="s">
        <v>132</v>
      </c>
      <c r="D597" t="s">
        <v>17</v>
      </c>
      <c r="E597" t="s">
        <v>41</v>
      </c>
      <c r="F597">
        <v>35000000</v>
      </c>
      <c r="G597" t="s">
        <v>26</v>
      </c>
      <c r="H597" t="s">
        <v>81</v>
      </c>
      <c r="I597" t="s">
        <v>9</v>
      </c>
      <c r="L597" t="s">
        <v>161</v>
      </c>
      <c r="M597">
        <v>-35000000</v>
      </c>
    </row>
    <row r="598" spans="1:13" x14ac:dyDescent="0.3">
      <c r="A598" s="23">
        <v>45566</v>
      </c>
      <c r="B598" t="s">
        <v>12</v>
      </c>
      <c r="C598" t="s">
        <v>132</v>
      </c>
      <c r="D598" t="s">
        <v>17</v>
      </c>
      <c r="E598" t="s">
        <v>41</v>
      </c>
      <c r="F598">
        <v>129900000</v>
      </c>
      <c r="G598" t="s">
        <v>26</v>
      </c>
      <c r="H598" t="s">
        <v>81</v>
      </c>
      <c r="I598" t="s">
        <v>9</v>
      </c>
      <c r="L598" t="s">
        <v>161</v>
      </c>
      <c r="M598">
        <v>-129900000</v>
      </c>
    </row>
    <row r="599" spans="1:13" x14ac:dyDescent="0.3">
      <c r="A599" s="23">
        <v>45566</v>
      </c>
      <c r="B599" t="s">
        <v>12</v>
      </c>
      <c r="C599" t="s">
        <v>132</v>
      </c>
      <c r="D599" t="s">
        <v>17</v>
      </c>
      <c r="E599" t="s">
        <v>41</v>
      </c>
      <c r="F599">
        <v>37000000</v>
      </c>
      <c r="G599" t="s">
        <v>26</v>
      </c>
      <c r="H599" t="s">
        <v>81</v>
      </c>
      <c r="I599" t="s">
        <v>9</v>
      </c>
      <c r="L599" t="s">
        <v>161</v>
      </c>
      <c r="M599">
        <v>-37000000</v>
      </c>
    </row>
    <row r="600" spans="1:13" x14ac:dyDescent="0.3">
      <c r="A600" s="23">
        <v>45565</v>
      </c>
      <c r="B600" t="s">
        <v>12</v>
      </c>
      <c r="C600" t="s">
        <v>132</v>
      </c>
      <c r="D600" t="s">
        <v>17</v>
      </c>
      <c r="E600" t="s">
        <v>41</v>
      </c>
      <c r="F600">
        <v>191200000</v>
      </c>
      <c r="G600" t="s">
        <v>26</v>
      </c>
      <c r="H600" t="s">
        <v>81</v>
      </c>
      <c r="I600" t="s">
        <v>9</v>
      </c>
      <c r="L600" t="s">
        <v>161</v>
      </c>
      <c r="M600">
        <v>-191200000</v>
      </c>
    </row>
    <row r="601" spans="1:13" x14ac:dyDescent="0.3">
      <c r="A601" s="23">
        <v>44925</v>
      </c>
      <c r="B601" t="s">
        <v>12</v>
      </c>
      <c r="C601" t="s">
        <v>132</v>
      </c>
      <c r="D601" t="s">
        <v>17</v>
      </c>
      <c r="E601" t="s">
        <v>41</v>
      </c>
      <c r="F601">
        <v>26608024.620000001</v>
      </c>
      <c r="G601" t="s">
        <v>26</v>
      </c>
      <c r="H601" t="s">
        <v>81</v>
      </c>
      <c r="I601" t="s">
        <v>9</v>
      </c>
      <c r="L601" t="s">
        <v>161</v>
      </c>
      <c r="M601">
        <v>-26608024.620000001</v>
      </c>
    </row>
    <row r="602" spans="1:13" x14ac:dyDescent="0.3">
      <c r="A602" s="23">
        <v>45565</v>
      </c>
      <c r="B602" t="s">
        <v>12</v>
      </c>
      <c r="C602" t="s">
        <v>132</v>
      </c>
      <c r="D602" t="s">
        <v>16</v>
      </c>
      <c r="E602" t="s">
        <v>41</v>
      </c>
      <c r="F602">
        <v>19400000</v>
      </c>
      <c r="G602" t="s">
        <v>26</v>
      </c>
      <c r="H602" t="s">
        <v>81</v>
      </c>
      <c r="I602" t="s">
        <v>9</v>
      </c>
      <c r="L602" t="s">
        <v>161</v>
      </c>
      <c r="M602">
        <v>19400000</v>
      </c>
    </row>
    <row r="603" spans="1:13" x14ac:dyDescent="0.3">
      <c r="A603" s="23">
        <v>45562</v>
      </c>
      <c r="B603" t="s">
        <v>12</v>
      </c>
      <c r="C603" t="s">
        <v>132</v>
      </c>
      <c r="D603" t="s">
        <v>17</v>
      </c>
      <c r="E603" t="s">
        <v>41</v>
      </c>
      <c r="F603">
        <v>187300000</v>
      </c>
      <c r="G603" t="s">
        <v>26</v>
      </c>
      <c r="H603" t="s">
        <v>81</v>
      </c>
      <c r="I603" t="s">
        <v>9</v>
      </c>
      <c r="L603" t="s">
        <v>161</v>
      </c>
      <c r="M603">
        <v>-187300000</v>
      </c>
    </row>
    <row r="604" spans="1:13" x14ac:dyDescent="0.3">
      <c r="A604" s="23">
        <v>44932</v>
      </c>
      <c r="B604" t="s">
        <v>12</v>
      </c>
      <c r="C604" t="s">
        <v>132</v>
      </c>
      <c r="D604" t="s">
        <v>16</v>
      </c>
      <c r="E604" t="s">
        <v>41</v>
      </c>
      <c r="F604">
        <v>233000000</v>
      </c>
      <c r="G604" t="s">
        <v>26</v>
      </c>
      <c r="H604" t="s">
        <v>81</v>
      </c>
      <c r="I604" t="s">
        <v>9</v>
      </c>
      <c r="L604" t="s">
        <v>161</v>
      </c>
      <c r="M604">
        <v>233000000</v>
      </c>
    </row>
    <row r="605" spans="1:13" x14ac:dyDescent="0.3">
      <c r="A605" s="23">
        <v>44935</v>
      </c>
      <c r="B605" t="s">
        <v>12</v>
      </c>
      <c r="C605" t="s">
        <v>132</v>
      </c>
      <c r="D605" t="s">
        <v>17</v>
      </c>
      <c r="E605" t="s">
        <v>41</v>
      </c>
      <c r="F605">
        <v>175300000</v>
      </c>
      <c r="G605" t="s">
        <v>26</v>
      </c>
      <c r="H605" t="s">
        <v>81</v>
      </c>
      <c r="I605" t="s">
        <v>9</v>
      </c>
      <c r="L605" t="s">
        <v>161</v>
      </c>
      <c r="M605">
        <v>-175300000</v>
      </c>
    </row>
    <row r="606" spans="1:13" x14ac:dyDescent="0.3">
      <c r="A606" s="23">
        <v>45561</v>
      </c>
      <c r="B606" t="s">
        <v>12</v>
      </c>
      <c r="C606" t="s">
        <v>132</v>
      </c>
      <c r="D606" t="s">
        <v>17</v>
      </c>
      <c r="E606" t="s">
        <v>41</v>
      </c>
      <c r="F606">
        <v>3200000</v>
      </c>
      <c r="G606" t="s">
        <v>26</v>
      </c>
      <c r="H606" t="s">
        <v>81</v>
      </c>
      <c r="I606" t="s">
        <v>9</v>
      </c>
      <c r="L606" t="s">
        <v>161</v>
      </c>
      <c r="M606">
        <v>-3200000</v>
      </c>
    </row>
    <row r="607" spans="1:13" x14ac:dyDescent="0.3">
      <c r="A607" s="23">
        <v>45560</v>
      </c>
      <c r="B607" t="s">
        <v>12</v>
      </c>
      <c r="C607" t="s">
        <v>132</v>
      </c>
      <c r="D607" t="s">
        <v>17</v>
      </c>
      <c r="E607" t="s">
        <v>41</v>
      </c>
      <c r="F607">
        <v>385100000</v>
      </c>
      <c r="G607" t="s">
        <v>26</v>
      </c>
      <c r="H607" t="s">
        <v>81</v>
      </c>
      <c r="I607" t="s">
        <v>9</v>
      </c>
      <c r="L607" t="s">
        <v>161</v>
      </c>
      <c r="M607">
        <v>-385100000</v>
      </c>
    </row>
    <row r="608" spans="1:13" x14ac:dyDescent="0.3">
      <c r="A608" s="23">
        <v>44937</v>
      </c>
      <c r="B608" t="s">
        <v>12</v>
      </c>
      <c r="C608" t="s">
        <v>132</v>
      </c>
      <c r="D608" t="s">
        <v>17</v>
      </c>
      <c r="E608" t="s">
        <v>41</v>
      </c>
      <c r="F608">
        <v>35400000</v>
      </c>
      <c r="G608" t="s">
        <v>26</v>
      </c>
      <c r="H608" t="s">
        <v>81</v>
      </c>
      <c r="I608" t="s">
        <v>9</v>
      </c>
      <c r="L608" t="s">
        <v>161</v>
      </c>
      <c r="M608">
        <v>-35400000</v>
      </c>
    </row>
    <row r="609" spans="1:13" x14ac:dyDescent="0.3">
      <c r="A609" s="23">
        <v>45558</v>
      </c>
      <c r="B609" t="s">
        <v>12</v>
      </c>
      <c r="C609" t="s">
        <v>132</v>
      </c>
      <c r="D609" t="s">
        <v>17</v>
      </c>
      <c r="E609" t="s">
        <v>41</v>
      </c>
      <c r="F609">
        <v>176300000</v>
      </c>
      <c r="G609" t="s">
        <v>26</v>
      </c>
      <c r="H609" t="s">
        <v>81</v>
      </c>
      <c r="I609" t="s">
        <v>9</v>
      </c>
      <c r="L609" t="s">
        <v>161</v>
      </c>
      <c r="M609">
        <v>-176300000</v>
      </c>
    </row>
    <row r="610" spans="1:13" x14ac:dyDescent="0.3">
      <c r="A610" s="23">
        <v>44938</v>
      </c>
      <c r="B610" t="s">
        <v>12</v>
      </c>
      <c r="C610" t="s">
        <v>132</v>
      </c>
      <c r="D610" t="s">
        <v>17</v>
      </c>
      <c r="E610" t="s">
        <v>41</v>
      </c>
      <c r="F610">
        <v>22300000</v>
      </c>
      <c r="G610" t="s">
        <v>26</v>
      </c>
      <c r="H610" t="s">
        <v>81</v>
      </c>
      <c r="I610" t="s">
        <v>9</v>
      </c>
      <c r="L610" t="s">
        <v>161</v>
      </c>
      <c r="M610">
        <v>-22300000</v>
      </c>
    </row>
    <row r="611" spans="1:13" x14ac:dyDescent="0.3">
      <c r="A611" s="23">
        <v>45554</v>
      </c>
      <c r="B611" t="s">
        <v>12</v>
      </c>
      <c r="C611" t="s">
        <v>132</v>
      </c>
      <c r="D611" t="s">
        <v>17</v>
      </c>
      <c r="E611" t="s">
        <v>41</v>
      </c>
      <c r="F611">
        <v>404200000</v>
      </c>
      <c r="G611" t="s">
        <v>26</v>
      </c>
      <c r="H611" t="s">
        <v>81</v>
      </c>
      <c r="I611" t="s">
        <v>9</v>
      </c>
      <c r="L611" t="s">
        <v>161</v>
      </c>
      <c r="M611">
        <v>-404200000</v>
      </c>
    </row>
    <row r="612" spans="1:13" x14ac:dyDescent="0.3">
      <c r="A612" s="23">
        <v>44942</v>
      </c>
      <c r="B612" t="s">
        <v>12</v>
      </c>
      <c r="C612" t="s">
        <v>132</v>
      </c>
      <c r="D612" t="s">
        <v>16</v>
      </c>
      <c r="E612" t="s">
        <v>41</v>
      </c>
      <c r="F612">
        <v>71200000</v>
      </c>
      <c r="G612" t="s">
        <v>26</v>
      </c>
      <c r="H612" t="s">
        <v>81</v>
      </c>
      <c r="I612" t="s">
        <v>9</v>
      </c>
      <c r="L612" t="s">
        <v>161</v>
      </c>
      <c r="M612">
        <v>71200000</v>
      </c>
    </row>
    <row r="613" spans="1:13" x14ac:dyDescent="0.3">
      <c r="A613" s="23">
        <v>45553</v>
      </c>
      <c r="B613" t="s">
        <v>12</v>
      </c>
      <c r="C613" t="s">
        <v>132</v>
      </c>
      <c r="D613" t="s">
        <v>16</v>
      </c>
      <c r="E613" t="s">
        <v>41</v>
      </c>
      <c r="F613">
        <v>1000000000</v>
      </c>
      <c r="G613" t="s">
        <v>26</v>
      </c>
      <c r="H613" t="s">
        <v>81</v>
      </c>
      <c r="I613" t="s">
        <v>9</v>
      </c>
      <c r="L613" t="s">
        <v>161</v>
      </c>
      <c r="M613">
        <v>1000000000</v>
      </c>
    </row>
    <row r="614" spans="1:13" x14ac:dyDescent="0.3">
      <c r="A614" s="23">
        <v>44943</v>
      </c>
      <c r="B614" t="s">
        <v>12</v>
      </c>
      <c r="C614" t="s">
        <v>132</v>
      </c>
      <c r="D614" t="s">
        <v>16</v>
      </c>
      <c r="E614" t="s">
        <v>41</v>
      </c>
      <c r="F614">
        <v>21000000</v>
      </c>
      <c r="G614" t="s">
        <v>26</v>
      </c>
      <c r="H614" t="s">
        <v>81</v>
      </c>
      <c r="I614" t="s">
        <v>9</v>
      </c>
      <c r="L614" t="s">
        <v>161</v>
      </c>
      <c r="M614">
        <v>21000000</v>
      </c>
    </row>
    <row r="615" spans="1:13" x14ac:dyDescent="0.3">
      <c r="A615" s="23">
        <v>45552</v>
      </c>
      <c r="B615" t="s">
        <v>12</v>
      </c>
      <c r="C615" t="s">
        <v>132</v>
      </c>
      <c r="D615" t="s">
        <v>17</v>
      </c>
      <c r="E615" t="s">
        <v>41</v>
      </c>
      <c r="F615">
        <v>63400000</v>
      </c>
      <c r="G615" t="s">
        <v>26</v>
      </c>
      <c r="H615" t="s">
        <v>81</v>
      </c>
      <c r="I615" t="s">
        <v>9</v>
      </c>
      <c r="L615" t="s">
        <v>161</v>
      </c>
      <c r="M615">
        <v>-63400000</v>
      </c>
    </row>
    <row r="616" spans="1:13" x14ac:dyDescent="0.3">
      <c r="A616" s="23">
        <v>44944</v>
      </c>
      <c r="B616" t="s">
        <v>12</v>
      </c>
      <c r="C616" t="s">
        <v>132</v>
      </c>
      <c r="D616" t="s">
        <v>17</v>
      </c>
      <c r="E616" t="s">
        <v>41</v>
      </c>
      <c r="F616">
        <v>53200000</v>
      </c>
      <c r="G616" t="s">
        <v>26</v>
      </c>
      <c r="H616" t="s">
        <v>81</v>
      </c>
      <c r="I616" t="s">
        <v>9</v>
      </c>
      <c r="L616" t="s">
        <v>161</v>
      </c>
      <c r="M616">
        <v>-53200000</v>
      </c>
    </row>
    <row r="617" spans="1:13" x14ac:dyDescent="0.3">
      <c r="A617" s="23">
        <v>45551</v>
      </c>
      <c r="B617" t="s">
        <v>12</v>
      </c>
      <c r="C617" t="s">
        <v>132</v>
      </c>
      <c r="D617" t="s">
        <v>17</v>
      </c>
      <c r="E617" t="s">
        <v>41</v>
      </c>
      <c r="F617">
        <v>106100000</v>
      </c>
      <c r="G617" t="s">
        <v>26</v>
      </c>
      <c r="H617" t="s">
        <v>81</v>
      </c>
      <c r="I617" t="s">
        <v>9</v>
      </c>
      <c r="L617" t="s">
        <v>161</v>
      </c>
      <c r="M617">
        <v>-106100000</v>
      </c>
    </row>
    <row r="618" spans="1:13" x14ac:dyDescent="0.3">
      <c r="A618" s="23">
        <v>45548</v>
      </c>
      <c r="B618" t="s">
        <v>12</v>
      </c>
      <c r="C618" t="s">
        <v>132</v>
      </c>
      <c r="D618" t="s">
        <v>17</v>
      </c>
      <c r="E618" t="s">
        <v>41</v>
      </c>
      <c r="F618">
        <v>295500000</v>
      </c>
      <c r="G618" t="s">
        <v>26</v>
      </c>
      <c r="H618" t="s">
        <v>81</v>
      </c>
      <c r="I618" t="s">
        <v>9</v>
      </c>
      <c r="L618" t="s">
        <v>161</v>
      </c>
      <c r="M618">
        <v>-295500000</v>
      </c>
    </row>
    <row r="619" spans="1:13" x14ac:dyDescent="0.3">
      <c r="A619" s="23">
        <v>44945</v>
      </c>
      <c r="B619" t="s">
        <v>12</v>
      </c>
      <c r="C619" t="s">
        <v>132</v>
      </c>
      <c r="D619" t="s">
        <v>17</v>
      </c>
      <c r="E619" t="s">
        <v>41</v>
      </c>
      <c r="F619">
        <v>35000000</v>
      </c>
      <c r="G619" t="s">
        <v>26</v>
      </c>
      <c r="H619" t="s">
        <v>81</v>
      </c>
      <c r="I619" t="s">
        <v>9</v>
      </c>
      <c r="L619" t="s">
        <v>161</v>
      </c>
      <c r="M619">
        <v>-35000000</v>
      </c>
    </row>
    <row r="620" spans="1:13" x14ac:dyDescent="0.3">
      <c r="A620" s="23">
        <v>45547</v>
      </c>
      <c r="B620" t="s">
        <v>12</v>
      </c>
      <c r="C620" t="s">
        <v>132</v>
      </c>
      <c r="D620" t="s">
        <v>16</v>
      </c>
      <c r="E620" t="s">
        <v>41</v>
      </c>
      <c r="F620">
        <v>524400000</v>
      </c>
      <c r="G620" t="s">
        <v>26</v>
      </c>
      <c r="H620" t="s">
        <v>81</v>
      </c>
      <c r="I620" t="s">
        <v>9</v>
      </c>
      <c r="L620" t="s">
        <v>161</v>
      </c>
      <c r="M620">
        <v>524400000</v>
      </c>
    </row>
    <row r="621" spans="1:13" x14ac:dyDescent="0.3">
      <c r="A621" s="23">
        <v>45546</v>
      </c>
      <c r="B621" t="s">
        <v>12</v>
      </c>
      <c r="C621" t="s">
        <v>132</v>
      </c>
      <c r="D621" t="s">
        <v>17</v>
      </c>
      <c r="E621" t="s">
        <v>41</v>
      </c>
      <c r="F621">
        <v>101200000</v>
      </c>
      <c r="G621" t="s">
        <v>26</v>
      </c>
      <c r="H621" t="s">
        <v>81</v>
      </c>
      <c r="I621" t="s">
        <v>9</v>
      </c>
      <c r="L621" t="s">
        <v>161</v>
      </c>
      <c r="M621">
        <v>-101200000</v>
      </c>
    </row>
    <row r="622" spans="1:13" x14ac:dyDescent="0.3">
      <c r="A622" s="23">
        <v>45545</v>
      </c>
      <c r="B622" t="s">
        <v>12</v>
      </c>
      <c r="C622" t="s">
        <v>132</v>
      </c>
      <c r="D622" t="s">
        <v>16</v>
      </c>
      <c r="E622" t="s">
        <v>41</v>
      </c>
      <c r="F622">
        <v>78300000</v>
      </c>
      <c r="G622" t="s">
        <v>26</v>
      </c>
      <c r="H622" t="s">
        <v>81</v>
      </c>
      <c r="I622" t="s">
        <v>9</v>
      </c>
      <c r="L622" t="s">
        <v>161</v>
      </c>
      <c r="M622">
        <v>78300000</v>
      </c>
    </row>
    <row r="623" spans="1:13" x14ac:dyDescent="0.3">
      <c r="A623" s="23">
        <v>44950</v>
      </c>
      <c r="B623" t="s">
        <v>12</v>
      </c>
      <c r="C623" t="s">
        <v>132</v>
      </c>
      <c r="D623" t="s">
        <v>16</v>
      </c>
      <c r="E623" t="s">
        <v>41</v>
      </c>
      <c r="F623">
        <v>1300000</v>
      </c>
      <c r="G623" t="s">
        <v>26</v>
      </c>
      <c r="H623" t="s">
        <v>81</v>
      </c>
      <c r="I623" t="s">
        <v>9</v>
      </c>
      <c r="L623" t="s">
        <v>161</v>
      </c>
      <c r="M623">
        <v>1300000</v>
      </c>
    </row>
    <row r="624" spans="1:13" x14ac:dyDescent="0.3">
      <c r="A624" s="23">
        <v>44951</v>
      </c>
      <c r="B624" t="s">
        <v>12</v>
      </c>
      <c r="C624" t="s">
        <v>132</v>
      </c>
      <c r="D624" t="s">
        <v>16</v>
      </c>
      <c r="E624" t="s">
        <v>41</v>
      </c>
      <c r="F624">
        <v>253000000</v>
      </c>
      <c r="G624" t="s">
        <v>26</v>
      </c>
      <c r="H624" t="s">
        <v>81</v>
      </c>
      <c r="I624" t="s">
        <v>9</v>
      </c>
      <c r="L624" t="s">
        <v>161</v>
      </c>
      <c r="M624">
        <v>253000000</v>
      </c>
    </row>
    <row r="625" spans="1:13" x14ac:dyDescent="0.3">
      <c r="A625" s="23">
        <v>45541</v>
      </c>
      <c r="B625" t="s">
        <v>12</v>
      </c>
      <c r="C625" t="s">
        <v>132</v>
      </c>
      <c r="D625" t="s">
        <v>17</v>
      </c>
      <c r="E625" t="s">
        <v>41</v>
      </c>
      <c r="F625">
        <v>188500000</v>
      </c>
      <c r="G625" t="s">
        <v>26</v>
      </c>
      <c r="H625" t="s">
        <v>81</v>
      </c>
      <c r="I625" t="s">
        <v>9</v>
      </c>
      <c r="L625" t="s">
        <v>161</v>
      </c>
      <c r="M625">
        <v>-188500000</v>
      </c>
    </row>
    <row r="626" spans="1:13" x14ac:dyDescent="0.3">
      <c r="A626" s="23">
        <v>44952</v>
      </c>
      <c r="B626" t="s">
        <v>12</v>
      </c>
      <c r="C626" t="s">
        <v>132</v>
      </c>
      <c r="D626" t="s">
        <v>17</v>
      </c>
      <c r="E626" t="s">
        <v>41</v>
      </c>
      <c r="F626">
        <v>116200000</v>
      </c>
      <c r="G626" t="s">
        <v>26</v>
      </c>
      <c r="H626" t="s">
        <v>81</v>
      </c>
      <c r="I626" t="s">
        <v>9</v>
      </c>
      <c r="L626" t="s">
        <v>161</v>
      </c>
      <c r="M626">
        <v>-116200000</v>
      </c>
    </row>
    <row r="627" spans="1:13" x14ac:dyDescent="0.3">
      <c r="A627" s="23">
        <v>44953</v>
      </c>
      <c r="B627" t="s">
        <v>12</v>
      </c>
      <c r="C627" t="s">
        <v>132</v>
      </c>
      <c r="D627" t="s">
        <v>17</v>
      </c>
      <c r="E627" t="s">
        <v>41</v>
      </c>
      <c r="F627">
        <v>41100000</v>
      </c>
      <c r="G627" t="s">
        <v>26</v>
      </c>
      <c r="H627" t="s">
        <v>81</v>
      </c>
      <c r="I627" t="s">
        <v>9</v>
      </c>
      <c r="L627" t="s">
        <v>161</v>
      </c>
      <c r="M627">
        <v>-41100000</v>
      </c>
    </row>
    <row r="628" spans="1:13" x14ac:dyDescent="0.3">
      <c r="A628" s="23">
        <v>45540</v>
      </c>
      <c r="B628" t="s">
        <v>12</v>
      </c>
      <c r="C628" t="s">
        <v>132</v>
      </c>
      <c r="D628" t="s">
        <v>17</v>
      </c>
      <c r="E628" t="s">
        <v>41</v>
      </c>
      <c r="F628">
        <v>57000000</v>
      </c>
      <c r="G628" t="s">
        <v>26</v>
      </c>
      <c r="H628" t="s">
        <v>81</v>
      </c>
      <c r="I628" t="s">
        <v>9</v>
      </c>
      <c r="L628" t="s">
        <v>161</v>
      </c>
      <c r="M628">
        <v>-57000000</v>
      </c>
    </row>
    <row r="629" spans="1:13" x14ac:dyDescent="0.3">
      <c r="A629" s="23">
        <v>45539</v>
      </c>
      <c r="B629" t="s">
        <v>12</v>
      </c>
      <c r="C629" t="s">
        <v>132</v>
      </c>
      <c r="D629" t="s">
        <v>17</v>
      </c>
      <c r="E629" t="s">
        <v>41</v>
      </c>
      <c r="F629">
        <v>176000000</v>
      </c>
      <c r="G629" t="s">
        <v>26</v>
      </c>
      <c r="H629" t="s">
        <v>81</v>
      </c>
      <c r="I629" t="s">
        <v>9</v>
      </c>
      <c r="L629" t="s">
        <v>161</v>
      </c>
      <c r="M629">
        <v>-176000000</v>
      </c>
    </row>
    <row r="630" spans="1:13" x14ac:dyDescent="0.3">
      <c r="A630" s="23">
        <v>44959</v>
      </c>
      <c r="B630" t="s">
        <v>12</v>
      </c>
      <c r="C630" t="s">
        <v>132</v>
      </c>
      <c r="D630" t="s">
        <v>17</v>
      </c>
      <c r="E630" t="s">
        <v>41</v>
      </c>
      <c r="F630">
        <v>7500000</v>
      </c>
      <c r="G630" t="s">
        <v>26</v>
      </c>
      <c r="H630" t="s">
        <v>81</v>
      </c>
      <c r="I630" t="s">
        <v>9</v>
      </c>
      <c r="L630" t="s">
        <v>161</v>
      </c>
      <c r="M630">
        <v>-7500000</v>
      </c>
    </row>
    <row r="631" spans="1:13" x14ac:dyDescent="0.3">
      <c r="A631" s="23">
        <v>44960</v>
      </c>
      <c r="B631" t="s">
        <v>12</v>
      </c>
      <c r="C631" t="s">
        <v>132</v>
      </c>
      <c r="D631" t="s">
        <v>17</v>
      </c>
      <c r="E631" t="s">
        <v>41</v>
      </c>
      <c r="F631">
        <v>93499999.99999994</v>
      </c>
      <c r="G631" t="s">
        <v>26</v>
      </c>
      <c r="H631" t="s">
        <v>81</v>
      </c>
      <c r="I631" t="s">
        <v>9</v>
      </c>
      <c r="L631" t="s">
        <v>161</v>
      </c>
      <c r="M631">
        <v>-93500000</v>
      </c>
    </row>
    <row r="632" spans="1:13" x14ac:dyDescent="0.3">
      <c r="A632" s="23">
        <v>45538</v>
      </c>
      <c r="B632" t="s">
        <v>12</v>
      </c>
      <c r="C632" t="s">
        <v>132</v>
      </c>
      <c r="D632" t="s">
        <v>16</v>
      </c>
      <c r="E632" t="s">
        <v>41</v>
      </c>
      <c r="F632">
        <v>17039000</v>
      </c>
      <c r="G632" t="s">
        <v>26</v>
      </c>
      <c r="H632" t="s">
        <v>81</v>
      </c>
      <c r="I632" t="s">
        <v>9</v>
      </c>
      <c r="L632" t="s">
        <v>161</v>
      </c>
      <c r="M632">
        <v>17039000</v>
      </c>
    </row>
    <row r="633" spans="1:13" x14ac:dyDescent="0.3">
      <c r="A633" s="23">
        <v>45538</v>
      </c>
      <c r="B633" t="s">
        <v>12</v>
      </c>
      <c r="C633" t="s">
        <v>132</v>
      </c>
      <c r="D633" t="s">
        <v>16</v>
      </c>
      <c r="E633" t="s">
        <v>41</v>
      </c>
      <c r="F633">
        <v>887000000</v>
      </c>
      <c r="G633" t="s">
        <v>26</v>
      </c>
      <c r="H633" t="s">
        <v>81</v>
      </c>
      <c r="I633" t="s">
        <v>9</v>
      </c>
      <c r="L633" t="s">
        <v>161</v>
      </c>
      <c r="M633">
        <v>887000000</v>
      </c>
    </row>
    <row r="634" spans="1:13" x14ac:dyDescent="0.3">
      <c r="A634" s="23">
        <v>45537</v>
      </c>
      <c r="B634" t="s">
        <v>12</v>
      </c>
      <c r="C634" t="s">
        <v>132</v>
      </c>
      <c r="D634" t="s">
        <v>17</v>
      </c>
      <c r="E634" t="s">
        <v>41</v>
      </c>
      <c r="F634">
        <v>82100000</v>
      </c>
      <c r="G634" t="s">
        <v>26</v>
      </c>
      <c r="H634" t="s">
        <v>81</v>
      </c>
      <c r="I634" t="s">
        <v>9</v>
      </c>
      <c r="L634" t="s">
        <v>161</v>
      </c>
      <c r="M634">
        <v>-82100000</v>
      </c>
    </row>
    <row r="635" spans="1:13" x14ac:dyDescent="0.3">
      <c r="A635" s="23">
        <v>45534</v>
      </c>
      <c r="B635" t="s">
        <v>12</v>
      </c>
      <c r="C635" t="s">
        <v>132</v>
      </c>
      <c r="D635" t="s">
        <v>17</v>
      </c>
      <c r="E635" t="s">
        <v>41</v>
      </c>
      <c r="F635">
        <v>379400000</v>
      </c>
      <c r="G635" t="s">
        <v>26</v>
      </c>
      <c r="H635" t="s">
        <v>81</v>
      </c>
      <c r="I635" t="s">
        <v>9</v>
      </c>
      <c r="L635" t="s">
        <v>161</v>
      </c>
      <c r="M635">
        <v>-379400000</v>
      </c>
    </row>
    <row r="636" spans="1:13" x14ac:dyDescent="0.3">
      <c r="A636" s="23">
        <v>45533</v>
      </c>
      <c r="B636" t="s">
        <v>12</v>
      </c>
      <c r="C636" t="s">
        <v>132</v>
      </c>
      <c r="D636" t="s">
        <v>17</v>
      </c>
      <c r="E636" t="s">
        <v>41</v>
      </c>
      <c r="F636">
        <v>214500000</v>
      </c>
      <c r="G636" t="s">
        <v>26</v>
      </c>
      <c r="H636" t="s">
        <v>81</v>
      </c>
      <c r="I636" t="s">
        <v>9</v>
      </c>
      <c r="L636" t="s">
        <v>161</v>
      </c>
      <c r="M636">
        <v>-214500000</v>
      </c>
    </row>
    <row r="637" spans="1:13" x14ac:dyDescent="0.3">
      <c r="A637" s="23">
        <v>44973</v>
      </c>
      <c r="B637" t="s">
        <v>12</v>
      </c>
      <c r="C637" t="s">
        <v>132</v>
      </c>
      <c r="D637" t="s">
        <v>16</v>
      </c>
      <c r="E637" t="s">
        <v>41</v>
      </c>
      <c r="F637">
        <v>60400000</v>
      </c>
      <c r="G637" t="s">
        <v>26</v>
      </c>
      <c r="H637" t="s">
        <v>81</v>
      </c>
      <c r="I637" t="s">
        <v>9</v>
      </c>
      <c r="L637" t="s">
        <v>161</v>
      </c>
      <c r="M637">
        <v>60400000</v>
      </c>
    </row>
    <row r="638" spans="1:13" x14ac:dyDescent="0.3">
      <c r="A638" s="23">
        <v>45532</v>
      </c>
      <c r="B638" t="s">
        <v>12</v>
      </c>
      <c r="C638" t="s">
        <v>132</v>
      </c>
      <c r="D638" t="s">
        <v>16</v>
      </c>
      <c r="E638" t="s">
        <v>41</v>
      </c>
      <c r="F638">
        <v>704000000</v>
      </c>
      <c r="G638" t="s">
        <v>26</v>
      </c>
      <c r="H638" t="s">
        <v>81</v>
      </c>
      <c r="I638" t="s">
        <v>9</v>
      </c>
      <c r="L638" t="s">
        <v>161</v>
      </c>
      <c r="M638">
        <v>704000000</v>
      </c>
    </row>
    <row r="639" spans="1:13" x14ac:dyDescent="0.3">
      <c r="A639" s="23">
        <v>44979</v>
      </c>
      <c r="B639" t="s">
        <v>12</v>
      </c>
      <c r="C639" t="s">
        <v>132</v>
      </c>
      <c r="D639" t="s">
        <v>17</v>
      </c>
      <c r="E639" t="s">
        <v>41</v>
      </c>
      <c r="F639">
        <v>60400000.00000006</v>
      </c>
      <c r="G639" t="s">
        <v>26</v>
      </c>
      <c r="H639" t="s">
        <v>81</v>
      </c>
      <c r="I639" t="s">
        <v>9</v>
      </c>
      <c r="L639" t="s">
        <v>161</v>
      </c>
      <c r="M639">
        <v>-60400000</v>
      </c>
    </row>
    <row r="640" spans="1:13" x14ac:dyDescent="0.3">
      <c r="A640" s="23">
        <v>44981</v>
      </c>
      <c r="B640" t="s">
        <v>12</v>
      </c>
      <c r="C640" t="s">
        <v>132</v>
      </c>
      <c r="D640" t="s">
        <v>17</v>
      </c>
      <c r="E640" t="s">
        <v>41</v>
      </c>
      <c r="F640">
        <v>9800000</v>
      </c>
      <c r="G640" t="s">
        <v>26</v>
      </c>
      <c r="H640" t="s">
        <v>81</v>
      </c>
      <c r="I640" t="s">
        <v>9</v>
      </c>
      <c r="L640" t="s">
        <v>161</v>
      </c>
      <c r="M640">
        <v>-9800000</v>
      </c>
    </row>
    <row r="641" spans="1:13" x14ac:dyDescent="0.3">
      <c r="A641" s="23">
        <v>44984</v>
      </c>
      <c r="B641" t="s">
        <v>12</v>
      </c>
      <c r="C641" t="s">
        <v>132</v>
      </c>
      <c r="D641" t="s">
        <v>17</v>
      </c>
      <c r="E641" t="s">
        <v>41</v>
      </c>
      <c r="F641">
        <v>61700000</v>
      </c>
      <c r="G641" t="s">
        <v>26</v>
      </c>
      <c r="H641" t="s">
        <v>81</v>
      </c>
      <c r="I641" t="s">
        <v>9</v>
      </c>
      <c r="L641" t="s">
        <v>161</v>
      </c>
      <c r="M641">
        <v>-61700000</v>
      </c>
    </row>
    <row r="642" spans="1:13" x14ac:dyDescent="0.3">
      <c r="A642" s="23">
        <v>44985</v>
      </c>
      <c r="B642" t="s">
        <v>12</v>
      </c>
      <c r="C642" t="s">
        <v>132</v>
      </c>
      <c r="D642" t="s">
        <v>16</v>
      </c>
      <c r="E642" t="s">
        <v>41</v>
      </c>
      <c r="F642">
        <v>150000000</v>
      </c>
      <c r="G642" t="s">
        <v>26</v>
      </c>
      <c r="H642" t="s">
        <v>81</v>
      </c>
      <c r="I642" t="s">
        <v>9</v>
      </c>
      <c r="L642" t="s">
        <v>161</v>
      </c>
      <c r="M642">
        <v>150000000</v>
      </c>
    </row>
    <row r="643" spans="1:13" x14ac:dyDescent="0.3">
      <c r="A643" s="23">
        <v>44986</v>
      </c>
      <c r="B643" t="s">
        <v>12</v>
      </c>
      <c r="C643" t="s">
        <v>132</v>
      </c>
      <c r="D643" t="s">
        <v>16</v>
      </c>
      <c r="E643" t="s">
        <v>41</v>
      </c>
      <c r="F643">
        <v>24700000</v>
      </c>
      <c r="G643" t="s">
        <v>26</v>
      </c>
      <c r="H643" t="s">
        <v>81</v>
      </c>
      <c r="I643" t="s">
        <v>9</v>
      </c>
      <c r="L643" t="s">
        <v>161</v>
      </c>
      <c r="M643">
        <v>24700000</v>
      </c>
    </row>
    <row r="644" spans="1:13" x14ac:dyDescent="0.3">
      <c r="A644" s="23">
        <v>44987</v>
      </c>
      <c r="B644" t="s">
        <v>12</v>
      </c>
      <c r="C644" t="s">
        <v>132</v>
      </c>
      <c r="D644" t="s">
        <v>17</v>
      </c>
      <c r="E644" t="s">
        <v>41</v>
      </c>
      <c r="F644">
        <v>55100000</v>
      </c>
      <c r="G644" t="s">
        <v>26</v>
      </c>
      <c r="H644" t="s">
        <v>81</v>
      </c>
      <c r="I644" t="s">
        <v>9</v>
      </c>
      <c r="L644" t="s">
        <v>161</v>
      </c>
      <c r="M644">
        <v>-55100000</v>
      </c>
    </row>
    <row r="645" spans="1:13" x14ac:dyDescent="0.3">
      <c r="A645" s="23">
        <v>45531</v>
      </c>
      <c r="B645" t="s">
        <v>12</v>
      </c>
      <c r="C645" t="s">
        <v>132</v>
      </c>
      <c r="D645" t="s">
        <v>17</v>
      </c>
      <c r="E645" t="s">
        <v>41</v>
      </c>
      <c r="F645">
        <v>65400000</v>
      </c>
      <c r="G645" t="s">
        <v>26</v>
      </c>
      <c r="H645" t="s">
        <v>81</v>
      </c>
      <c r="I645" t="s">
        <v>9</v>
      </c>
      <c r="L645" t="s">
        <v>161</v>
      </c>
      <c r="M645">
        <v>-65400000</v>
      </c>
    </row>
    <row r="646" spans="1:13" x14ac:dyDescent="0.3">
      <c r="A646" s="23">
        <v>44988</v>
      </c>
      <c r="B646" t="s">
        <v>12</v>
      </c>
      <c r="C646" t="s">
        <v>132</v>
      </c>
      <c r="D646" t="s">
        <v>17</v>
      </c>
      <c r="E646" t="s">
        <v>41</v>
      </c>
      <c r="F646">
        <v>20200000</v>
      </c>
      <c r="G646" t="s">
        <v>26</v>
      </c>
      <c r="H646" t="s">
        <v>81</v>
      </c>
      <c r="I646" t="s">
        <v>9</v>
      </c>
      <c r="L646" t="s">
        <v>161</v>
      </c>
      <c r="M646">
        <v>-20200000</v>
      </c>
    </row>
    <row r="647" spans="1:13" x14ac:dyDescent="0.3">
      <c r="A647" s="23">
        <v>45530</v>
      </c>
      <c r="B647" t="s">
        <v>12</v>
      </c>
      <c r="C647" t="s">
        <v>132</v>
      </c>
      <c r="D647" t="s">
        <v>17</v>
      </c>
      <c r="E647" t="s">
        <v>41</v>
      </c>
      <c r="F647">
        <v>33000000</v>
      </c>
      <c r="G647" t="s">
        <v>26</v>
      </c>
      <c r="H647" t="s">
        <v>81</v>
      </c>
      <c r="I647" t="s">
        <v>9</v>
      </c>
      <c r="L647" t="s">
        <v>161</v>
      </c>
      <c r="M647">
        <v>-33000000</v>
      </c>
    </row>
    <row r="648" spans="1:13" x14ac:dyDescent="0.3">
      <c r="A648" s="23">
        <v>45527</v>
      </c>
      <c r="B648" t="s">
        <v>12</v>
      </c>
      <c r="C648" t="s">
        <v>132</v>
      </c>
      <c r="D648" t="s">
        <v>17</v>
      </c>
      <c r="E648" t="s">
        <v>41</v>
      </c>
      <c r="F648">
        <v>40800000</v>
      </c>
      <c r="G648" t="s">
        <v>26</v>
      </c>
      <c r="H648" t="s">
        <v>81</v>
      </c>
      <c r="I648" t="s">
        <v>9</v>
      </c>
      <c r="L648" t="s">
        <v>161</v>
      </c>
      <c r="M648">
        <v>-40800000</v>
      </c>
    </row>
    <row r="649" spans="1:13" x14ac:dyDescent="0.3">
      <c r="A649" s="23">
        <v>44992</v>
      </c>
      <c r="B649" t="s">
        <v>12</v>
      </c>
      <c r="C649" t="s">
        <v>132</v>
      </c>
      <c r="D649" t="s">
        <v>16</v>
      </c>
      <c r="E649" t="s">
        <v>41</v>
      </c>
      <c r="F649">
        <v>300000000</v>
      </c>
      <c r="G649" t="s">
        <v>26</v>
      </c>
      <c r="H649" t="s">
        <v>81</v>
      </c>
      <c r="I649" t="s">
        <v>9</v>
      </c>
      <c r="L649" t="s">
        <v>161</v>
      </c>
      <c r="M649">
        <v>300000000</v>
      </c>
    </row>
    <row r="650" spans="1:13" x14ac:dyDescent="0.3">
      <c r="A650" s="23">
        <v>44993</v>
      </c>
      <c r="B650" t="s">
        <v>12</v>
      </c>
      <c r="C650" t="s">
        <v>132</v>
      </c>
      <c r="D650" t="s">
        <v>16</v>
      </c>
      <c r="E650" t="s">
        <v>41</v>
      </c>
      <c r="F650">
        <v>145500000</v>
      </c>
      <c r="G650" t="s">
        <v>26</v>
      </c>
      <c r="H650" t="s">
        <v>81</v>
      </c>
      <c r="I650" t="s">
        <v>9</v>
      </c>
      <c r="L650" t="s">
        <v>161</v>
      </c>
      <c r="M650">
        <v>145500000</v>
      </c>
    </row>
    <row r="651" spans="1:13" x14ac:dyDescent="0.3">
      <c r="A651" s="23">
        <v>45525</v>
      </c>
      <c r="B651" t="s">
        <v>12</v>
      </c>
      <c r="C651" t="s">
        <v>132</v>
      </c>
      <c r="D651" t="s">
        <v>17</v>
      </c>
      <c r="E651" t="s">
        <v>41</v>
      </c>
      <c r="F651">
        <v>256600000</v>
      </c>
      <c r="G651" t="s">
        <v>26</v>
      </c>
      <c r="H651" t="s">
        <v>81</v>
      </c>
      <c r="I651" t="s">
        <v>9</v>
      </c>
      <c r="L651" t="s">
        <v>161</v>
      </c>
      <c r="M651">
        <v>-256600000</v>
      </c>
    </row>
    <row r="652" spans="1:13" x14ac:dyDescent="0.3">
      <c r="A652" s="23">
        <v>44995</v>
      </c>
      <c r="B652" t="s">
        <v>12</v>
      </c>
      <c r="C652" t="s">
        <v>132</v>
      </c>
      <c r="D652" t="s">
        <v>16</v>
      </c>
      <c r="E652" t="s">
        <v>41</v>
      </c>
      <c r="F652">
        <v>3834290.19000006</v>
      </c>
      <c r="G652" t="s">
        <v>26</v>
      </c>
      <c r="H652" t="s">
        <v>81</v>
      </c>
      <c r="I652" t="s">
        <v>9</v>
      </c>
      <c r="L652" t="s">
        <v>161</v>
      </c>
      <c r="M652">
        <v>3834290.19</v>
      </c>
    </row>
    <row r="653" spans="1:13" x14ac:dyDescent="0.3">
      <c r="A653" s="23">
        <v>44995</v>
      </c>
      <c r="B653" t="s">
        <v>12</v>
      </c>
      <c r="C653" t="s">
        <v>132</v>
      </c>
      <c r="D653" t="s">
        <v>17</v>
      </c>
      <c r="E653" t="s">
        <v>41</v>
      </c>
      <c r="F653">
        <v>552900000</v>
      </c>
      <c r="G653" t="s">
        <v>26</v>
      </c>
      <c r="H653" t="s">
        <v>81</v>
      </c>
      <c r="I653" t="s">
        <v>9</v>
      </c>
      <c r="L653" t="s">
        <v>161</v>
      </c>
      <c r="M653">
        <v>-552900000</v>
      </c>
    </row>
    <row r="654" spans="1:13" x14ac:dyDescent="0.3">
      <c r="A654" s="23">
        <v>45524</v>
      </c>
      <c r="B654" t="s">
        <v>12</v>
      </c>
      <c r="C654" t="s">
        <v>132</v>
      </c>
      <c r="D654" t="s">
        <v>17</v>
      </c>
      <c r="E654" t="s">
        <v>41</v>
      </c>
      <c r="F654">
        <v>157300000</v>
      </c>
      <c r="G654" t="s">
        <v>26</v>
      </c>
      <c r="H654" t="s">
        <v>81</v>
      </c>
      <c r="I654" t="s">
        <v>9</v>
      </c>
      <c r="L654" t="s">
        <v>161</v>
      </c>
      <c r="M654">
        <v>-157300000</v>
      </c>
    </row>
    <row r="655" spans="1:13" x14ac:dyDescent="0.3">
      <c r="A655" s="23">
        <v>44999</v>
      </c>
      <c r="B655" t="s">
        <v>12</v>
      </c>
      <c r="C655" t="s">
        <v>132</v>
      </c>
      <c r="D655" t="s">
        <v>16</v>
      </c>
      <c r="E655" t="s">
        <v>41</v>
      </c>
      <c r="F655">
        <v>200000000</v>
      </c>
      <c r="G655" t="s">
        <v>26</v>
      </c>
      <c r="H655" t="s">
        <v>81</v>
      </c>
      <c r="I655" t="s">
        <v>9</v>
      </c>
      <c r="L655" t="s">
        <v>161</v>
      </c>
      <c r="M655">
        <v>200000000</v>
      </c>
    </row>
    <row r="656" spans="1:13" x14ac:dyDescent="0.3">
      <c r="A656" s="23">
        <v>45520</v>
      </c>
      <c r="B656" t="s">
        <v>12</v>
      </c>
      <c r="C656" t="s">
        <v>132</v>
      </c>
      <c r="D656" t="s">
        <v>17</v>
      </c>
      <c r="E656" t="s">
        <v>41</v>
      </c>
      <c r="F656">
        <v>101200000</v>
      </c>
      <c r="G656" t="s">
        <v>26</v>
      </c>
      <c r="H656" t="s">
        <v>81</v>
      </c>
      <c r="I656" t="s">
        <v>9</v>
      </c>
      <c r="L656" t="s">
        <v>161</v>
      </c>
      <c r="M656">
        <v>-101200000</v>
      </c>
    </row>
    <row r="657" spans="1:13" x14ac:dyDescent="0.3">
      <c r="A657" s="23">
        <v>45000</v>
      </c>
      <c r="B657" t="s">
        <v>12</v>
      </c>
      <c r="C657" t="s">
        <v>132</v>
      </c>
      <c r="D657" t="s">
        <v>17</v>
      </c>
      <c r="E657" t="s">
        <v>41</v>
      </c>
      <c r="F657">
        <v>42200000</v>
      </c>
      <c r="G657" t="s">
        <v>26</v>
      </c>
      <c r="H657" t="s">
        <v>81</v>
      </c>
      <c r="I657" t="s">
        <v>9</v>
      </c>
      <c r="L657" t="s">
        <v>161</v>
      </c>
      <c r="M657">
        <v>-42200000</v>
      </c>
    </row>
    <row r="658" spans="1:13" x14ac:dyDescent="0.3">
      <c r="A658" s="23">
        <v>45519</v>
      </c>
      <c r="B658" t="s">
        <v>12</v>
      </c>
      <c r="C658" t="s">
        <v>132</v>
      </c>
      <c r="D658" t="s">
        <v>17</v>
      </c>
      <c r="E658" t="s">
        <v>41</v>
      </c>
      <c r="F658">
        <v>284900000</v>
      </c>
      <c r="G658" t="s">
        <v>26</v>
      </c>
      <c r="H658" t="s">
        <v>81</v>
      </c>
      <c r="I658" t="s">
        <v>9</v>
      </c>
      <c r="L658" t="s">
        <v>161</v>
      </c>
      <c r="M658">
        <v>-284900000</v>
      </c>
    </row>
    <row r="659" spans="1:13" x14ac:dyDescent="0.3">
      <c r="A659" s="23">
        <v>45001</v>
      </c>
      <c r="B659" t="s">
        <v>12</v>
      </c>
      <c r="C659" t="s">
        <v>132</v>
      </c>
      <c r="D659" t="s">
        <v>16</v>
      </c>
      <c r="E659" t="s">
        <v>41</v>
      </c>
      <c r="F659">
        <v>77400000</v>
      </c>
      <c r="G659" t="s">
        <v>26</v>
      </c>
      <c r="H659" t="s">
        <v>81</v>
      </c>
      <c r="I659" t="s">
        <v>9</v>
      </c>
      <c r="L659" t="s">
        <v>161</v>
      </c>
      <c r="M659">
        <v>77400000</v>
      </c>
    </row>
    <row r="660" spans="1:13" x14ac:dyDescent="0.3">
      <c r="A660" s="23">
        <v>45517</v>
      </c>
      <c r="B660" t="s">
        <v>12</v>
      </c>
      <c r="C660" t="s">
        <v>132</v>
      </c>
      <c r="D660" t="s">
        <v>16</v>
      </c>
      <c r="E660" t="s">
        <v>41</v>
      </c>
      <c r="F660">
        <v>600000000</v>
      </c>
      <c r="G660" t="s">
        <v>26</v>
      </c>
      <c r="H660" t="s">
        <v>81</v>
      </c>
      <c r="I660" t="s">
        <v>9</v>
      </c>
      <c r="L660" t="s">
        <v>161</v>
      </c>
      <c r="M660">
        <v>600000000</v>
      </c>
    </row>
    <row r="661" spans="1:13" x14ac:dyDescent="0.3">
      <c r="A661" s="23">
        <v>45007</v>
      </c>
      <c r="B661" t="s">
        <v>12</v>
      </c>
      <c r="C661" t="s">
        <v>132</v>
      </c>
      <c r="D661" t="s">
        <v>17</v>
      </c>
      <c r="E661" t="s">
        <v>41</v>
      </c>
      <c r="F661">
        <v>14800000</v>
      </c>
      <c r="G661" t="s">
        <v>26</v>
      </c>
      <c r="H661" t="s">
        <v>81</v>
      </c>
      <c r="I661" t="s">
        <v>9</v>
      </c>
      <c r="L661" t="s">
        <v>161</v>
      </c>
      <c r="M661">
        <v>-14800000</v>
      </c>
    </row>
    <row r="662" spans="1:13" x14ac:dyDescent="0.3">
      <c r="A662" s="23">
        <v>45008</v>
      </c>
      <c r="B662" t="s">
        <v>12</v>
      </c>
      <c r="C662" t="s">
        <v>132</v>
      </c>
      <c r="D662" t="s">
        <v>16</v>
      </c>
      <c r="E662" t="s">
        <v>41</v>
      </c>
      <c r="F662">
        <v>75400000</v>
      </c>
      <c r="G662" t="s">
        <v>26</v>
      </c>
      <c r="H662" t="s">
        <v>81</v>
      </c>
      <c r="I662" t="s">
        <v>9</v>
      </c>
      <c r="L662" t="s">
        <v>161</v>
      </c>
      <c r="M662">
        <v>75400000</v>
      </c>
    </row>
    <row r="663" spans="1:13" x14ac:dyDescent="0.3">
      <c r="A663" s="23">
        <v>45008</v>
      </c>
      <c r="B663" t="s">
        <v>12</v>
      </c>
      <c r="C663" t="s">
        <v>132</v>
      </c>
      <c r="D663" t="s">
        <v>17</v>
      </c>
      <c r="E663" t="s">
        <v>41</v>
      </c>
      <c r="F663">
        <v>17000000</v>
      </c>
      <c r="G663" t="s">
        <v>26</v>
      </c>
      <c r="H663" t="s">
        <v>81</v>
      </c>
      <c r="I663" t="s">
        <v>9</v>
      </c>
      <c r="L663" t="s">
        <v>161</v>
      </c>
      <c r="M663">
        <v>-17000000</v>
      </c>
    </row>
    <row r="664" spans="1:13" x14ac:dyDescent="0.3">
      <c r="A664" s="23">
        <v>45509</v>
      </c>
      <c r="B664" t="s">
        <v>12</v>
      </c>
      <c r="C664" t="s">
        <v>132</v>
      </c>
      <c r="D664" t="s">
        <v>17</v>
      </c>
      <c r="E664" t="s">
        <v>41</v>
      </c>
      <c r="F664">
        <v>682500000</v>
      </c>
      <c r="G664" t="s">
        <v>26</v>
      </c>
      <c r="H664" t="s">
        <v>81</v>
      </c>
      <c r="I664" t="s">
        <v>9</v>
      </c>
      <c r="L664" t="s">
        <v>161</v>
      </c>
      <c r="M664">
        <v>-682500000</v>
      </c>
    </row>
    <row r="665" spans="1:13" x14ac:dyDescent="0.3">
      <c r="A665" s="23">
        <v>45013</v>
      </c>
      <c r="B665" t="s">
        <v>12</v>
      </c>
      <c r="C665" t="s">
        <v>132</v>
      </c>
      <c r="D665" t="s">
        <v>17</v>
      </c>
      <c r="E665" t="s">
        <v>41</v>
      </c>
      <c r="F665">
        <v>100000000</v>
      </c>
      <c r="G665" t="s">
        <v>26</v>
      </c>
      <c r="H665" t="s">
        <v>81</v>
      </c>
      <c r="I665" t="s">
        <v>9</v>
      </c>
      <c r="L665" t="s">
        <v>161</v>
      </c>
      <c r="M665">
        <v>-100000000</v>
      </c>
    </row>
    <row r="666" spans="1:13" x14ac:dyDescent="0.3">
      <c r="A666" s="23">
        <v>45506</v>
      </c>
      <c r="B666" t="s">
        <v>12</v>
      </c>
      <c r="C666" t="s">
        <v>132</v>
      </c>
      <c r="D666" t="s">
        <v>17</v>
      </c>
      <c r="E666" t="s">
        <v>41</v>
      </c>
      <c r="F666">
        <v>86800000</v>
      </c>
      <c r="G666" t="s">
        <v>26</v>
      </c>
      <c r="H666" t="s">
        <v>81</v>
      </c>
      <c r="I666" t="s">
        <v>9</v>
      </c>
      <c r="L666" t="s">
        <v>161</v>
      </c>
      <c r="M666">
        <v>-86800000</v>
      </c>
    </row>
    <row r="667" spans="1:13" x14ac:dyDescent="0.3">
      <c r="A667" s="23">
        <v>45014</v>
      </c>
      <c r="B667" t="s">
        <v>12</v>
      </c>
      <c r="C667" t="s">
        <v>132</v>
      </c>
      <c r="D667" t="s">
        <v>17</v>
      </c>
      <c r="E667" t="s">
        <v>41</v>
      </c>
      <c r="F667">
        <v>8500000</v>
      </c>
      <c r="G667" t="s">
        <v>26</v>
      </c>
      <c r="H667" t="s">
        <v>81</v>
      </c>
      <c r="I667" t="s">
        <v>9</v>
      </c>
      <c r="L667" t="s">
        <v>161</v>
      </c>
      <c r="M667">
        <v>-8500000</v>
      </c>
    </row>
    <row r="668" spans="1:13" x14ac:dyDescent="0.3">
      <c r="A668" s="23">
        <v>45016</v>
      </c>
      <c r="B668" t="s">
        <v>12</v>
      </c>
      <c r="C668" t="s">
        <v>132</v>
      </c>
      <c r="D668" t="s">
        <v>16</v>
      </c>
      <c r="E668" t="s">
        <v>41</v>
      </c>
      <c r="F668">
        <v>59900000</v>
      </c>
      <c r="G668" t="s">
        <v>26</v>
      </c>
      <c r="H668" t="s">
        <v>81</v>
      </c>
      <c r="I668" t="s">
        <v>9</v>
      </c>
      <c r="L668" t="s">
        <v>161</v>
      </c>
      <c r="M668">
        <v>59900000</v>
      </c>
    </row>
    <row r="669" spans="1:13" x14ac:dyDescent="0.3">
      <c r="A669" s="23">
        <v>45504</v>
      </c>
      <c r="B669" t="s">
        <v>12</v>
      </c>
      <c r="C669" t="s">
        <v>132</v>
      </c>
      <c r="D669" t="s">
        <v>16</v>
      </c>
      <c r="E669" t="s">
        <v>41</v>
      </c>
      <c r="F669">
        <v>43761000</v>
      </c>
      <c r="G669" t="s">
        <v>26</v>
      </c>
      <c r="H669" t="s">
        <v>81</v>
      </c>
      <c r="I669" t="s">
        <v>9</v>
      </c>
      <c r="L669" t="s">
        <v>161</v>
      </c>
      <c r="M669">
        <v>43761000</v>
      </c>
    </row>
    <row r="670" spans="1:13" x14ac:dyDescent="0.3">
      <c r="A670" s="23">
        <v>45504</v>
      </c>
      <c r="B670" t="s">
        <v>12</v>
      </c>
      <c r="C670" t="s">
        <v>132</v>
      </c>
      <c r="D670" t="s">
        <v>17</v>
      </c>
      <c r="E670" t="s">
        <v>41</v>
      </c>
      <c r="F670">
        <v>28500000</v>
      </c>
      <c r="G670" t="s">
        <v>26</v>
      </c>
      <c r="H670" t="s">
        <v>81</v>
      </c>
      <c r="I670" t="s">
        <v>9</v>
      </c>
      <c r="L670" t="s">
        <v>161</v>
      </c>
      <c r="M670">
        <v>-28500000</v>
      </c>
    </row>
    <row r="671" spans="1:13" x14ac:dyDescent="0.3">
      <c r="A671" s="23">
        <v>45019</v>
      </c>
      <c r="B671" t="s">
        <v>12</v>
      </c>
      <c r="C671" t="s">
        <v>132</v>
      </c>
      <c r="D671" t="s">
        <v>17</v>
      </c>
      <c r="E671" t="s">
        <v>41</v>
      </c>
      <c r="F671">
        <v>39100000</v>
      </c>
      <c r="G671" t="s">
        <v>26</v>
      </c>
      <c r="H671" t="s">
        <v>81</v>
      </c>
      <c r="I671" t="s">
        <v>9</v>
      </c>
      <c r="L671" t="s">
        <v>161</v>
      </c>
      <c r="M671">
        <v>-39100000</v>
      </c>
    </row>
    <row r="672" spans="1:13" x14ac:dyDescent="0.3">
      <c r="A672" s="23">
        <v>45503</v>
      </c>
      <c r="B672" t="s">
        <v>12</v>
      </c>
      <c r="C672" t="s">
        <v>132</v>
      </c>
      <c r="D672" t="s">
        <v>16</v>
      </c>
      <c r="E672" t="s">
        <v>41</v>
      </c>
      <c r="F672">
        <v>1000000000</v>
      </c>
      <c r="G672" t="s">
        <v>26</v>
      </c>
      <c r="H672" t="s">
        <v>81</v>
      </c>
      <c r="I672" t="s">
        <v>9</v>
      </c>
      <c r="L672" t="s">
        <v>161</v>
      </c>
      <c r="M672">
        <v>1000000000</v>
      </c>
    </row>
    <row r="673" spans="1:13" x14ac:dyDescent="0.3">
      <c r="A673" s="23">
        <v>45020</v>
      </c>
      <c r="B673" t="s">
        <v>12</v>
      </c>
      <c r="C673" t="s">
        <v>132</v>
      </c>
      <c r="D673" t="s">
        <v>17</v>
      </c>
      <c r="E673" t="s">
        <v>41</v>
      </c>
      <c r="F673">
        <v>104900000</v>
      </c>
      <c r="G673" t="s">
        <v>26</v>
      </c>
      <c r="H673" t="s">
        <v>81</v>
      </c>
      <c r="I673" t="s">
        <v>9</v>
      </c>
      <c r="L673" t="s">
        <v>161</v>
      </c>
      <c r="M673">
        <v>-104900000</v>
      </c>
    </row>
    <row r="674" spans="1:13" x14ac:dyDescent="0.3">
      <c r="A674" s="23">
        <v>45497</v>
      </c>
      <c r="B674" t="s">
        <v>12</v>
      </c>
      <c r="C674" t="s">
        <v>132</v>
      </c>
      <c r="D674" t="s">
        <v>16</v>
      </c>
      <c r="E674" t="s">
        <v>41</v>
      </c>
      <c r="F674">
        <v>34400000</v>
      </c>
      <c r="G674" t="s">
        <v>26</v>
      </c>
      <c r="H674" t="s">
        <v>81</v>
      </c>
      <c r="I674" t="s">
        <v>9</v>
      </c>
      <c r="L674" t="s">
        <v>161</v>
      </c>
      <c r="M674">
        <v>34400000</v>
      </c>
    </row>
    <row r="675" spans="1:13" x14ac:dyDescent="0.3">
      <c r="A675" s="23">
        <v>45490</v>
      </c>
      <c r="B675" t="s">
        <v>12</v>
      </c>
      <c r="C675" t="s">
        <v>132</v>
      </c>
      <c r="D675" t="s">
        <v>17</v>
      </c>
      <c r="E675" t="s">
        <v>41</v>
      </c>
      <c r="F675">
        <v>20900000</v>
      </c>
      <c r="G675" t="s">
        <v>26</v>
      </c>
      <c r="H675" t="s">
        <v>81</v>
      </c>
      <c r="I675" t="s">
        <v>9</v>
      </c>
      <c r="L675" t="s">
        <v>161</v>
      </c>
      <c r="M675">
        <v>-20900000</v>
      </c>
    </row>
    <row r="676" spans="1:13" x14ac:dyDescent="0.3">
      <c r="A676" s="23">
        <v>45489</v>
      </c>
      <c r="B676" t="s">
        <v>12</v>
      </c>
      <c r="C676" t="s">
        <v>132</v>
      </c>
      <c r="D676" t="s">
        <v>17</v>
      </c>
      <c r="E676" t="s">
        <v>41</v>
      </c>
      <c r="F676">
        <v>202000000</v>
      </c>
      <c r="G676" t="s">
        <v>26</v>
      </c>
      <c r="H676" t="s">
        <v>81</v>
      </c>
      <c r="I676" t="s">
        <v>9</v>
      </c>
      <c r="L676" t="s">
        <v>161</v>
      </c>
      <c r="M676">
        <v>-202000000</v>
      </c>
    </row>
    <row r="677" spans="1:13" x14ac:dyDescent="0.3">
      <c r="A677" s="23">
        <v>45489</v>
      </c>
      <c r="B677" t="s">
        <v>12</v>
      </c>
      <c r="C677" t="s">
        <v>132</v>
      </c>
      <c r="D677" t="s">
        <v>17</v>
      </c>
      <c r="E677" t="s">
        <v>41</v>
      </c>
      <c r="F677">
        <v>5900000</v>
      </c>
      <c r="G677" t="s">
        <v>26</v>
      </c>
      <c r="H677" t="s">
        <v>81</v>
      </c>
      <c r="I677" t="s">
        <v>9</v>
      </c>
      <c r="L677" t="s">
        <v>161</v>
      </c>
      <c r="M677">
        <v>-5900000</v>
      </c>
    </row>
    <row r="678" spans="1:13" x14ac:dyDescent="0.3">
      <c r="A678" s="23">
        <v>45036</v>
      </c>
      <c r="B678" t="s">
        <v>12</v>
      </c>
      <c r="C678" t="s">
        <v>132</v>
      </c>
      <c r="D678" t="s">
        <v>16</v>
      </c>
      <c r="E678" t="s">
        <v>41</v>
      </c>
      <c r="F678">
        <v>35900000</v>
      </c>
      <c r="G678" t="s">
        <v>26</v>
      </c>
      <c r="H678" t="s">
        <v>81</v>
      </c>
      <c r="I678" t="s">
        <v>9</v>
      </c>
      <c r="L678" t="s">
        <v>161</v>
      </c>
      <c r="M678">
        <v>35900000</v>
      </c>
    </row>
    <row r="679" spans="1:13" x14ac:dyDescent="0.3">
      <c r="A679" s="23">
        <v>45488</v>
      </c>
      <c r="B679" t="s">
        <v>12</v>
      </c>
      <c r="C679" t="s">
        <v>132</v>
      </c>
      <c r="D679" t="s">
        <v>16</v>
      </c>
      <c r="E679" t="s">
        <v>41</v>
      </c>
      <c r="F679">
        <v>111200000</v>
      </c>
      <c r="G679" t="s">
        <v>26</v>
      </c>
      <c r="H679" t="s">
        <v>81</v>
      </c>
      <c r="I679" t="s">
        <v>9</v>
      </c>
      <c r="L679" t="s">
        <v>161</v>
      </c>
      <c r="M679">
        <v>111200000</v>
      </c>
    </row>
    <row r="680" spans="1:13" x14ac:dyDescent="0.3">
      <c r="A680" s="23">
        <v>45485</v>
      </c>
      <c r="B680" t="s">
        <v>12</v>
      </c>
      <c r="C680" t="s">
        <v>132</v>
      </c>
      <c r="D680" t="s">
        <v>17</v>
      </c>
      <c r="E680" t="s">
        <v>41</v>
      </c>
      <c r="F680">
        <v>277000000</v>
      </c>
      <c r="G680" t="s">
        <v>26</v>
      </c>
      <c r="H680" t="s">
        <v>81</v>
      </c>
      <c r="I680" t="s">
        <v>9</v>
      </c>
      <c r="L680" t="s">
        <v>161</v>
      </c>
      <c r="M680">
        <v>-277000000</v>
      </c>
    </row>
    <row r="681" spans="1:13" x14ac:dyDescent="0.3">
      <c r="A681" s="23">
        <v>45040</v>
      </c>
      <c r="B681" t="s">
        <v>12</v>
      </c>
      <c r="C681" t="s">
        <v>132</v>
      </c>
      <c r="D681" t="s">
        <v>16</v>
      </c>
      <c r="E681" t="s">
        <v>41</v>
      </c>
      <c r="F681">
        <v>142700000</v>
      </c>
      <c r="G681" t="s">
        <v>26</v>
      </c>
      <c r="H681" t="s">
        <v>81</v>
      </c>
      <c r="I681" t="s">
        <v>9</v>
      </c>
      <c r="L681" t="s">
        <v>161</v>
      </c>
      <c r="M681">
        <v>142700000</v>
      </c>
    </row>
    <row r="682" spans="1:13" x14ac:dyDescent="0.3">
      <c r="A682" s="23">
        <v>45481</v>
      </c>
      <c r="B682" t="s">
        <v>12</v>
      </c>
      <c r="C682" t="s">
        <v>132</v>
      </c>
      <c r="D682" t="s">
        <v>17</v>
      </c>
      <c r="E682" t="s">
        <v>41</v>
      </c>
      <c r="F682">
        <v>1010000000</v>
      </c>
      <c r="G682" t="s">
        <v>26</v>
      </c>
      <c r="H682" t="s">
        <v>81</v>
      </c>
      <c r="I682" t="s">
        <v>9</v>
      </c>
      <c r="L682" t="s">
        <v>161</v>
      </c>
      <c r="M682">
        <v>-1010000000</v>
      </c>
    </row>
    <row r="683" spans="1:13" x14ac:dyDescent="0.3">
      <c r="A683" s="23">
        <v>45042</v>
      </c>
      <c r="B683" t="s">
        <v>12</v>
      </c>
      <c r="C683" t="s">
        <v>132</v>
      </c>
      <c r="D683" t="s">
        <v>16</v>
      </c>
      <c r="E683" t="s">
        <v>41</v>
      </c>
      <c r="F683">
        <v>318600000</v>
      </c>
      <c r="G683" t="s">
        <v>26</v>
      </c>
      <c r="H683" t="s">
        <v>81</v>
      </c>
      <c r="I683" t="s">
        <v>9</v>
      </c>
      <c r="L683" t="s">
        <v>161</v>
      </c>
      <c r="M683">
        <v>318600000</v>
      </c>
    </row>
    <row r="684" spans="1:13" x14ac:dyDescent="0.3">
      <c r="A684" s="23">
        <v>45478</v>
      </c>
      <c r="B684" t="s">
        <v>12</v>
      </c>
      <c r="C684" t="s">
        <v>132</v>
      </c>
      <c r="D684" t="s">
        <v>17</v>
      </c>
      <c r="E684" t="s">
        <v>41</v>
      </c>
      <c r="F684">
        <v>268700000</v>
      </c>
      <c r="G684" t="s">
        <v>26</v>
      </c>
      <c r="H684" t="s">
        <v>81</v>
      </c>
      <c r="I684" t="s">
        <v>9</v>
      </c>
      <c r="L684" t="s">
        <v>161</v>
      </c>
      <c r="M684">
        <v>-268700000</v>
      </c>
    </row>
    <row r="685" spans="1:13" x14ac:dyDescent="0.3">
      <c r="A685" s="23">
        <v>45043</v>
      </c>
      <c r="B685" t="s">
        <v>12</v>
      </c>
      <c r="C685" t="s">
        <v>132</v>
      </c>
      <c r="D685" t="s">
        <v>17</v>
      </c>
      <c r="E685" t="s">
        <v>41</v>
      </c>
      <c r="F685">
        <v>65200000</v>
      </c>
      <c r="G685" t="s">
        <v>26</v>
      </c>
      <c r="H685" t="s">
        <v>81</v>
      </c>
      <c r="I685" t="s">
        <v>9</v>
      </c>
      <c r="L685" t="s">
        <v>161</v>
      </c>
      <c r="M685">
        <v>-65200000</v>
      </c>
    </row>
    <row r="686" spans="1:13" x14ac:dyDescent="0.3">
      <c r="A686" s="23">
        <v>45476</v>
      </c>
      <c r="B686" t="s">
        <v>12</v>
      </c>
      <c r="C686" t="s">
        <v>132</v>
      </c>
      <c r="D686" t="s">
        <v>17</v>
      </c>
      <c r="E686" t="s">
        <v>41</v>
      </c>
      <c r="F686">
        <v>245900000</v>
      </c>
      <c r="G686" t="s">
        <v>26</v>
      </c>
      <c r="H686" t="s">
        <v>81</v>
      </c>
      <c r="I686" t="s">
        <v>9</v>
      </c>
      <c r="L686" t="s">
        <v>161</v>
      </c>
      <c r="M686">
        <v>-245900000</v>
      </c>
    </row>
    <row r="687" spans="1:13" x14ac:dyDescent="0.3">
      <c r="A687" s="23">
        <v>45044</v>
      </c>
      <c r="B687" t="s">
        <v>12</v>
      </c>
      <c r="C687" t="s">
        <v>132</v>
      </c>
      <c r="D687" t="s">
        <v>17</v>
      </c>
      <c r="E687" t="s">
        <v>41</v>
      </c>
      <c r="F687">
        <v>51400000</v>
      </c>
      <c r="G687" t="s">
        <v>26</v>
      </c>
      <c r="H687" t="s">
        <v>81</v>
      </c>
      <c r="I687" t="s">
        <v>9</v>
      </c>
      <c r="L687" t="s">
        <v>161</v>
      </c>
      <c r="M687">
        <v>-51400000</v>
      </c>
    </row>
    <row r="688" spans="1:13" x14ac:dyDescent="0.3">
      <c r="A688" s="23">
        <v>45475</v>
      </c>
      <c r="B688" t="s">
        <v>12</v>
      </c>
      <c r="C688" t="s">
        <v>132</v>
      </c>
      <c r="D688" t="s">
        <v>17</v>
      </c>
      <c r="E688" t="s">
        <v>41</v>
      </c>
      <c r="F688">
        <v>139800000</v>
      </c>
      <c r="G688" t="s">
        <v>26</v>
      </c>
      <c r="H688" t="s">
        <v>81</v>
      </c>
      <c r="I688" t="s">
        <v>9</v>
      </c>
      <c r="L688" t="s">
        <v>161</v>
      </c>
      <c r="M688">
        <v>-139800000</v>
      </c>
    </row>
    <row r="689" spans="1:13" x14ac:dyDescent="0.3">
      <c r="A689" s="23">
        <v>45048</v>
      </c>
      <c r="B689" t="s">
        <v>12</v>
      </c>
      <c r="C689" t="s">
        <v>132</v>
      </c>
      <c r="D689" t="s">
        <v>17</v>
      </c>
      <c r="E689" t="s">
        <v>41</v>
      </c>
      <c r="F689">
        <v>173700000</v>
      </c>
      <c r="G689" t="s">
        <v>26</v>
      </c>
      <c r="H689" t="s">
        <v>81</v>
      </c>
      <c r="I689" t="s">
        <v>9</v>
      </c>
      <c r="L689" t="s">
        <v>161</v>
      </c>
      <c r="M689">
        <v>-173700000</v>
      </c>
    </row>
    <row r="690" spans="1:13" x14ac:dyDescent="0.3">
      <c r="A690" s="23">
        <v>45049</v>
      </c>
      <c r="B690" t="s">
        <v>12</v>
      </c>
      <c r="C690" t="s">
        <v>132</v>
      </c>
      <c r="D690" t="s">
        <v>17</v>
      </c>
      <c r="E690" t="s">
        <v>41</v>
      </c>
      <c r="F690">
        <v>5800000</v>
      </c>
      <c r="G690" t="s">
        <v>26</v>
      </c>
      <c r="H690" t="s">
        <v>81</v>
      </c>
      <c r="I690" t="s">
        <v>9</v>
      </c>
      <c r="L690" t="s">
        <v>161</v>
      </c>
      <c r="M690">
        <v>-5800000</v>
      </c>
    </row>
    <row r="691" spans="1:13" x14ac:dyDescent="0.3">
      <c r="A691" s="23">
        <v>45051</v>
      </c>
      <c r="B691" t="s">
        <v>12</v>
      </c>
      <c r="C691" t="s">
        <v>132</v>
      </c>
      <c r="D691" t="s">
        <v>17</v>
      </c>
      <c r="E691" t="s">
        <v>41</v>
      </c>
      <c r="F691">
        <v>22700000</v>
      </c>
      <c r="G691" t="s">
        <v>26</v>
      </c>
      <c r="H691" t="s">
        <v>81</v>
      </c>
      <c r="I691" t="s">
        <v>9</v>
      </c>
      <c r="L691" t="s">
        <v>161</v>
      </c>
      <c r="M691">
        <v>-22700000</v>
      </c>
    </row>
    <row r="692" spans="1:13" x14ac:dyDescent="0.3">
      <c r="A692" s="23">
        <v>45054</v>
      </c>
      <c r="B692" t="s">
        <v>12</v>
      </c>
      <c r="C692" t="s">
        <v>132</v>
      </c>
      <c r="D692" t="s">
        <v>17</v>
      </c>
      <c r="E692" t="s">
        <v>41</v>
      </c>
      <c r="F692">
        <v>119300000</v>
      </c>
      <c r="G692" t="s">
        <v>26</v>
      </c>
      <c r="H692" t="s">
        <v>81</v>
      </c>
      <c r="I692" t="s">
        <v>9</v>
      </c>
      <c r="L692" t="s">
        <v>161</v>
      </c>
      <c r="M692">
        <v>-119300000</v>
      </c>
    </row>
    <row r="693" spans="1:13" x14ac:dyDescent="0.3">
      <c r="A693" s="23">
        <v>45055</v>
      </c>
      <c r="B693" t="s">
        <v>12</v>
      </c>
      <c r="C693" t="s">
        <v>132</v>
      </c>
      <c r="D693" t="s">
        <v>16</v>
      </c>
      <c r="E693" t="s">
        <v>41</v>
      </c>
      <c r="F693">
        <v>16061345.279999999</v>
      </c>
      <c r="G693" t="s">
        <v>26</v>
      </c>
      <c r="H693" t="s">
        <v>81</v>
      </c>
      <c r="I693" t="s">
        <v>9</v>
      </c>
      <c r="L693" t="s">
        <v>161</v>
      </c>
      <c r="M693">
        <v>16061345.279999999</v>
      </c>
    </row>
    <row r="694" spans="1:13" x14ac:dyDescent="0.3">
      <c r="A694" s="23">
        <v>45462</v>
      </c>
      <c r="B694" t="s">
        <v>12</v>
      </c>
      <c r="C694" t="s">
        <v>132</v>
      </c>
      <c r="D694" t="s">
        <v>17</v>
      </c>
      <c r="E694" t="s">
        <v>41</v>
      </c>
      <c r="F694">
        <v>500000000</v>
      </c>
      <c r="G694" t="s">
        <v>26</v>
      </c>
      <c r="H694" t="s">
        <v>81</v>
      </c>
      <c r="I694" t="s">
        <v>9</v>
      </c>
      <c r="L694" t="s">
        <v>161</v>
      </c>
      <c r="M694">
        <v>-500000000</v>
      </c>
    </row>
    <row r="695" spans="1:13" x14ac:dyDescent="0.3">
      <c r="A695" s="23">
        <v>45056</v>
      </c>
      <c r="B695" t="s">
        <v>12</v>
      </c>
      <c r="C695" t="s">
        <v>132</v>
      </c>
      <c r="D695" t="s">
        <v>17</v>
      </c>
      <c r="E695" t="s">
        <v>41</v>
      </c>
      <c r="F695">
        <v>33800000</v>
      </c>
      <c r="G695" t="s">
        <v>26</v>
      </c>
      <c r="H695" t="s">
        <v>81</v>
      </c>
      <c r="I695" t="s">
        <v>9</v>
      </c>
      <c r="L695" t="s">
        <v>161</v>
      </c>
      <c r="M695">
        <v>-33800000</v>
      </c>
    </row>
    <row r="696" spans="1:13" x14ac:dyDescent="0.3">
      <c r="A696" s="23">
        <v>45058</v>
      </c>
      <c r="B696" t="s">
        <v>12</v>
      </c>
      <c r="C696" t="s">
        <v>132</v>
      </c>
      <c r="D696" t="s">
        <v>16</v>
      </c>
      <c r="E696" t="s">
        <v>41</v>
      </c>
      <c r="F696">
        <v>261900000</v>
      </c>
      <c r="G696" t="s">
        <v>26</v>
      </c>
      <c r="H696" t="s">
        <v>81</v>
      </c>
      <c r="I696" t="s">
        <v>9</v>
      </c>
      <c r="L696" t="s">
        <v>161</v>
      </c>
      <c r="M696">
        <v>261900000</v>
      </c>
    </row>
    <row r="697" spans="1:13" x14ac:dyDescent="0.3">
      <c r="A697" s="23">
        <v>45460</v>
      </c>
      <c r="B697" t="s">
        <v>12</v>
      </c>
      <c r="C697" t="s">
        <v>132</v>
      </c>
      <c r="D697" t="s">
        <v>16</v>
      </c>
      <c r="E697" t="s">
        <v>41</v>
      </c>
      <c r="F697">
        <v>57040000</v>
      </c>
      <c r="G697" t="s">
        <v>26</v>
      </c>
      <c r="H697" t="s">
        <v>81</v>
      </c>
      <c r="I697" t="s">
        <v>9</v>
      </c>
      <c r="L697" t="s">
        <v>161</v>
      </c>
      <c r="M697">
        <v>57040000</v>
      </c>
    </row>
    <row r="698" spans="1:13" x14ac:dyDescent="0.3">
      <c r="A698" s="23">
        <v>45061</v>
      </c>
      <c r="B698" t="s">
        <v>12</v>
      </c>
      <c r="C698" t="s">
        <v>132</v>
      </c>
      <c r="D698" t="s">
        <v>17</v>
      </c>
      <c r="E698" t="s">
        <v>41</v>
      </c>
      <c r="F698">
        <v>75100000</v>
      </c>
      <c r="G698" t="s">
        <v>26</v>
      </c>
      <c r="H698" t="s">
        <v>81</v>
      </c>
      <c r="I698" t="s">
        <v>9</v>
      </c>
      <c r="L698" t="s">
        <v>161</v>
      </c>
      <c r="M698">
        <v>-75100000</v>
      </c>
    </row>
    <row r="699" spans="1:13" x14ac:dyDescent="0.3">
      <c r="A699" s="23">
        <v>45062</v>
      </c>
      <c r="B699" t="s">
        <v>12</v>
      </c>
      <c r="C699" t="s">
        <v>132</v>
      </c>
      <c r="D699" t="s">
        <v>17</v>
      </c>
      <c r="E699" t="s">
        <v>41</v>
      </c>
      <c r="F699">
        <v>124500000</v>
      </c>
      <c r="G699" t="s">
        <v>26</v>
      </c>
      <c r="H699" t="s">
        <v>81</v>
      </c>
      <c r="I699" t="s">
        <v>9</v>
      </c>
      <c r="L699" t="s">
        <v>161</v>
      </c>
      <c r="M699">
        <v>-124500000</v>
      </c>
    </row>
    <row r="700" spans="1:13" x14ac:dyDescent="0.3">
      <c r="A700" s="23">
        <v>45063</v>
      </c>
      <c r="B700" t="s">
        <v>12</v>
      </c>
      <c r="C700" t="s">
        <v>132</v>
      </c>
      <c r="D700" t="s">
        <v>17</v>
      </c>
      <c r="E700" t="s">
        <v>41</v>
      </c>
      <c r="F700">
        <v>27800000</v>
      </c>
      <c r="G700" t="s">
        <v>26</v>
      </c>
      <c r="H700" t="s">
        <v>81</v>
      </c>
      <c r="I700" t="s">
        <v>9</v>
      </c>
      <c r="L700" t="s">
        <v>161</v>
      </c>
      <c r="M700">
        <v>-27800000</v>
      </c>
    </row>
    <row r="701" spans="1:13" x14ac:dyDescent="0.3">
      <c r="A701" s="23">
        <v>45064</v>
      </c>
      <c r="B701" t="s">
        <v>12</v>
      </c>
      <c r="C701" t="s">
        <v>132</v>
      </c>
      <c r="D701" t="s">
        <v>17</v>
      </c>
      <c r="E701" t="s">
        <v>41</v>
      </c>
      <c r="F701">
        <v>86200000</v>
      </c>
      <c r="G701" t="s">
        <v>26</v>
      </c>
      <c r="H701" t="s">
        <v>81</v>
      </c>
      <c r="I701" t="s">
        <v>9</v>
      </c>
      <c r="L701" t="s">
        <v>161</v>
      </c>
      <c r="M701">
        <v>-86200000</v>
      </c>
    </row>
    <row r="702" spans="1:13" x14ac:dyDescent="0.3">
      <c r="A702" s="23">
        <v>45456</v>
      </c>
      <c r="B702" t="s">
        <v>12</v>
      </c>
      <c r="C702" t="s">
        <v>132</v>
      </c>
      <c r="D702" t="s">
        <v>17</v>
      </c>
      <c r="E702" t="s">
        <v>41</v>
      </c>
      <c r="F702">
        <v>3204700000</v>
      </c>
      <c r="G702" t="s">
        <v>26</v>
      </c>
      <c r="H702" t="s">
        <v>81</v>
      </c>
      <c r="I702" t="s">
        <v>9</v>
      </c>
      <c r="L702" t="s">
        <v>161</v>
      </c>
      <c r="M702">
        <v>-3204700000</v>
      </c>
    </row>
    <row r="703" spans="1:13" x14ac:dyDescent="0.3">
      <c r="A703" s="23">
        <v>45065</v>
      </c>
      <c r="B703" t="s">
        <v>12</v>
      </c>
      <c r="C703" t="s">
        <v>132</v>
      </c>
      <c r="D703" t="s">
        <v>17</v>
      </c>
      <c r="E703" t="s">
        <v>41</v>
      </c>
      <c r="F703">
        <v>2700000</v>
      </c>
      <c r="G703" t="s">
        <v>26</v>
      </c>
      <c r="H703" t="s">
        <v>81</v>
      </c>
      <c r="I703" t="s">
        <v>9</v>
      </c>
      <c r="L703" t="s">
        <v>161</v>
      </c>
      <c r="M703">
        <v>-2700000</v>
      </c>
    </row>
    <row r="704" spans="1:13" x14ac:dyDescent="0.3">
      <c r="A704" s="23">
        <v>45453</v>
      </c>
      <c r="B704" t="s">
        <v>12</v>
      </c>
      <c r="C704" t="s">
        <v>132</v>
      </c>
      <c r="D704" t="s">
        <v>16</v>
      </c>
      <c r="E704" t="s">
        <v>41</v>
      </c>
      <c r="F704">
        <v>4500000000</v>
      </c>
      <c r="G704" t="s">
        <v>26</v>
      </c>
      <c r="H704" t="s">
        <v>81</v>
      </c>
      <c r="I704" t="s">
        <v>9</v>
      </c>
      <c r="L704" t="s">
        <v>161</v>
      </c>
      <c r="M704">
        <v>4500000000</v>
      </c>
    </row>
    <row r="705" spans="1:13" x14ac:dyDescent="0.3">
      <c r="A705" s="23">
        <v>45068</v>
      </c>
      <c r="B705" t="s">
        <v>12</v>
      </c>
      <c r="C705" t="s">
        <v>132</v>
      </c>
      <c r="D705" t="s">
        <v>16</v>
      </c>
      <c r="E705" t="s">
        <v>41</v>
      </c>
      <c r="F705">
        <v>12800000</v>
      </c>
      <c r="G705" t="s">
        <v>26</v>
      </c>
      <c r="H705" t="s">
        <v>81</v>
      </c>
      <c r="I705" t="s">
        <v>9</v>
      </c>
      <c r="L705" t="s">
        <v>161</v>
      </c>
      <c r="M705">
        <v>12800000</v>
      </c>
    </row>
    <row r="706" spans="1:13" x14ac:dyDescent="0.3">
      <c r="A706" s="23">
        <v>45070</v>
      </c>
      <c r="B706" t="s">
        <v>12</v>
      </c>
      <c r="C706" t="s">
        <v>132</v>
      </c>
      <c r="D706" t="s">
        <v>16</v>
      </c>
      <c r="E706" t="s">
        <v>41</v>
      </c>
      <c r="F706">
        <v>5000000</v>
      </c>
      <c r="G706" t="s">
        <v>26</v>
      </c>
      <c r="H706" t="s">
        <v>81</v>
      </c>
      <c r="I706" t="s">
        <v>9</v>
      </c>
      <c r="L706" t="s">
        <v>161</v>
      </c>
      <c r="M706">
        <v>5000000</v>
      </c>
    </row>
    <row r="707" spans="1:13" x14ac:dyDescent="0.3">
      <c r="A707" s="23">
        <v>45075</v>
      </c>
      <c r="B707" t="s">
        <v>12</v>
      </c>
      <c r="C707" t="s">
        <v>132</v>
      </c>
      <c r="D707" t="s">
        <v>16</v>
      </c>
      <c r="E707" t="s">
        <v>41</v>
      </c>
      <c r="F707">
        <v>5000000</v>
      </c>
      <c r="G707" t="s">
        <v>26</v>
      </c>
      <c r="H707" t="s">
        <v>81</v>
      </c>
      <c r="I707" t="s">
        <v>9</v>
      </c>
      <c r="L707" t="s">
        <v>161</v>
      </c>
      <c r="M707">
        <v>5000000</v>
      </c>
    </row>
    <row r="708" spans="1:13" x14ac:dyDescent="0.3">
      <c r="A708" s="23">
        <v>45076</v>
      </c>
      <c r="B708" t="s">
        <v>12</v>
      </c>
      <c r="C708" t="s">
        <v>132</v>
      </c>
      <c r="D708" t="s">
        <v>16</v>
      </c>
      <c r="E708" t="s">
        <v>41</v>
      </c>
      <c r="F708">
        <v>56400000</v>
      </c>
      <c r="G708" t="s">
        <v>26</v>
      </c>
      <c r="H708" t="s">
        <v>81</v>
      </c>
      <c r="I708" t="s">
        <v>9</v>
      </c>
      <c r="L708" t="s">
        <v>161</v>
      </c>
      <c r="M708">
        <v>56400000</v>
      </c>
    </row>
    <row r="709" spans="1:13" x14ac:dyDescent="0.3">
      <c r="A709" s="23">
        <v>45077</v>
      </c>
      <c r="B709" t="s">
        <v>12</v>
      </c>
      <c r="C709" t="s">
        <v>132</v>
      </c>
      <c r="D709" t="s">
        <v>17</v>
      </c>
      <c r="E709" t="s">
        <v>41</v>
      </c>
      <c r="F709">
        <v>76695635.470000029</v>
      </c>
      <c r="G709" t="s">
        <v>26</v>
      </c>
      <c r="H709" t="s">
        <v>81</v>
      </c>
      <c r="I709" t="s">
        <v>9</v>
      </c>
      <c r="L709" t="s">
        <v>161</v>
      </c>
      <c r="M709">
        <v>-76695635.469999999</v>
      </c>
    </row>
    <row r="710" spans="1:13" x14ac:dyDescent="0.3">
      <c r="A710" s="23">
        <v>45446</v>
      </c>
      <c r="B710" t="s">
        <v>12</v>
      </c>
      <c r="C710" t="s">
        <v>132</v>
      </c>
      <c r="D710" t="s">
        <v>16</v>
      </c>
      <c r="E710" t="s">
        <v>41</v>
      </c>
      <c r="F710">
        <v>1000000000</v>
      </c>
      <c r="G710" t="s">
        <v>26</v>
      </c>
      <c r="H710" t="s">
        <v>81</v>
      </c>
      <c r="I710" t="s">
        <v>9</v>
      </c>
      <c r="L710" t="s">
        <v>161</v>
      </c>
      <c r="M710">
        <v>1000000000</v>
      </c>
    </row>
    <row r="711" spans="1:13" x14ac:dyDescent="0.3">
      <c r="A711" s="23">
        <v>45442</v>
      </c>
      <c r="B711" t="s">
        <v>12</v>
      </c>
      <c r="C711" t="s">
        <v>132</v>
      </c>
      <c r="D711" t="s">
        <v>17</v>
      </c>
      <c r="E711" t="s">
        <v>41</v>
      </c>
      <c r="F711">
        <v>152300000</v>
      </c>
      <c r="G711" t="s">
        <v>26</v>
      </c>
      <c r="H711" t="s">
        <v>81</v>
      </c>
      <c r="I711" t="s">
        <v>9</v>
      </c>
      <c r="L711" t="s">
        <v>161</v>
      </c>
      <c r="M711">
        <v>-152300000</v>
      </c>
    </row>
    <row r="712" spans="1:13" x14ac:dyDescent="0.3">
      <c r="A712" s="23">
        <v>45441</v>
      </c>
      <c r="B712" t="s">
        <v>12</v>
      </c>
      <c r="C712" t="s">
        <v>132</v>
      </c>
      <c r="D712" t="s">
        <v>17</v>
      </c>
      <c r="E712" t="s">
        <v>41</v>
      </c>
      <c r="F712">
        <v>100000000</v>
      </c>
      <c r="G712" t="s">
        <v>26</v>
      </c>
      <c r="H712" t="s">
        <v>81</v>
      </c>
      <c r="I712" t="s">
        <v>9</v>
      </c>
      <c r="L712" t="s">
        <v>161</v>
      </c>
      <c r="M712">
        <v>-100000000</v>
      </c>
    </row>
    <row r="713" spans="1:13" x14ac:dyDescent="0.3">
      <c r="A713" s="23">
        <v>45439</v>
      </c>
      <c r="B713" t="s">
        <v>12</v>
      </c>
      <c r="C713" t="s">
        <v>132</v>
      </c>
      <c r="D713" t="s">
        <v>16</v>
      </c>
      <c r="E713" t="s">
        <v>41</v>
      </c>
      <c r="F713">
        <v>80000000</v>
      </c>
      <c r="G713" t="s">
        <v>26</v>
      </c>
      <c r="H713" t="s">
        <v>81</v>
      </c>
      <c r="I713" t="s">
        <v>9</v>
      </c>
      <c r="L713" t="s">
        <v>161</v>
      </c>
      <c r="M713">
        <v>80000000</v>
      </c>
    </row>
    <row r="714" spans="1:13" x14ac:dyDescent="0.3">
      <c r="A714" s="23">
        <v>45436</v>
      </c>
      <c r="B714" t="s">
        <v>12</v>
      </c>
      <c r="C714" t="s">
        <v>132</v>
      </c>
      <c r="D714" t="s">
        <v>17</v>
      </c>
      <c r="E714" t="s">
        <v>41</v>
      </c>
      <c r="F714">
        <v>7600000</v>
      </c>
      <c r="G714" t="s">
        <v>26</v>
      </c>
      <c r="H714" t="s">
        <v>81</v>
      </c>
      <c r="I714" t="s">
        <v>9</v>
      </c>
      <c r="L714" t="s">
        <v>161</v>
      </c>
      <c r="M714">
        <v>-7600000</v>
      </c>
    </row>
    <row r="715" spans="1:13" x14ac:dyDescent="0.3">
      <c r="A715" s="23">
        <v>45085</v>
      </c>
      <c r="B715" t="s">
        <v>12</v>
      </c>
      <c r="C715" t="s">
        <v>132</v>
      </c>
      <c r="D715" t="s">
        <v>16</v>
      </c>
      <c r="E715" t="s">
        <v>41</v>
      </c>
      <c r="F715">
        <v>2200000</v>
      </c>
      <c r="G715" t="s">
        <v>26</v>
      </c>
      <c r="H715" t="s">
        <v>81</v>
      </c>
      <c r="I715" t="s">
        <v>9</v>
      </c>
      <c r="L715" t="s">
        <v>161</v>
      </c>
      <c r="M715">
        <v>2200000</v>
      </c>
    </row>
    <row r="716" spans="1:13" x14ac:dyDescent="0.3">
      <c r="A716" s="23">
        <v>45086</v>
      </c>
      <c r="B716" t="s">
        <v>12</v>
      </c>
      <c r="C716" t="s">
        <v>132</v>
      </c>
      <c r="D716" t="s">
        <v>16</v>
      </c>
      <c r="E716" t="s">
        <v>41</v>
      </c>
      <c r="F716">
        <v>60000000</v>
      </c>
      <c r="G716" t="s">
        <v>26</v>
      </c>
      <c r="H716" t="s">
        <v>81</v>
      </c>
      <c r="I716" t="s">
        <v>9</v>
      </c>
      <c r="L716" t="s">
        <v>161</v>
      </c>
      <c r="M716">
        <v>60000000</v>
      </c>
    </row>
    <row r="717" spans="1:13" x14ac:dyDescent="0.3">
      <c r="A717" s="23">
        <v>45436</v>
      </c>
      <c r="B717" t="s">
        <v>12</v>
      </c>
      <c r="C717" t="s">
        <v>132</v>
      </c>
      <c r="D717" t="s">
        <v>17</v>
      </c>
      <c r="E717" t="s">
        <v>41</v>
      </c>
      <c r="F717">
        <v>134200000</v>
      </c>
      <c r="G717" t="s">
        <v>26</v>
      </c>
      <c r="H717" t="s">
        <v>81</v>
      </c>
      <c r="I717" t="s">
        <v>9</v>
      </c>
      <c r="L717" t="s">
        <v>161</v>
      </c>
      <c r="M717">
        <v>-134200000</v>
      </c>
    </row>
    <row r="718" spans="1:13" x14ac:dyDescent="0.3">
      <c r="A718" s="23">
        <v>45089</v>
      </c>
      <c r="B718" t="s">
        <v>12</v>
      </c>
      <c r="C718" t="s">
        <v>132</v>
      </c>
      <c r="D718" t="s">
        <v>16</v>
      </c>
      <c r="E718" t="s">
        <v>41</v>
      </c>
      <c r="F718">
        <v>150000000</v>
      </c>
      <c r="G718" t="s">
        <v>26</v>
      </c>
      <c r="H718" t="s">
        <v>81</v>
      </c>
      <c r="I718" t="s">
        <v>9</v>
      </c>
      <c r="L718" t="s">
        <v>161</v>
      </c>
      <c r="M718">
        <v>150000000</v>
      </c>
    </row>
    <row r="719" spans="1:13" x14ac:dyDescent="0.3">
      <c r="A719" s="23">
        <v>45090</v>
      </c>
      <c r="B719" t="s">
        <v>12</v>
      </c>
      <c r="C719" t="s">
        <v>132</v>
      </c>
      <c r="D719" t="s">
        <v>17</v>
      </c>
      <c r="E719" t="s">
        <v>41</v>
      </c>
      <c r="F719">
        <v>60700000</v>
      </c>
      <c r="G719" t="s">
        <v>26</v>
      </c>
      <c r="H719" t="s">
        <v>81</v>
      </c>
      <c r="I719" t="s">
        <v>9</v>
      </c>
      <c r="L719" t="s">
        <v>161</v>
      </c>
      <c r="M719">
        <v>-60700000</v>
      </c>
    </row>
    <row r="720" spans="1:13" x14ac:dyDescent="0.3">
      <c r="A720" s="23">
        <v>45433</v>
      </c>
      <c r="B720" t="s">
        <v>12</v>
      </c>
      <c r="C720" t="s">
        <v>132</v>
      </c>
      <c r="D720" t="s">
        <v>17</v>
      </c>
      <c r="E720" t="s">
        <v>41</v>
      </c>
      <c r="F720">
        <v>100000000</v>
      </c>
      <c r="G720" t="s">
        <v>26</v>
      </c>
      <c r="H720" t="s">
        <v>81</v>
      </c>
      <c r="I720" t="s">
        <v>9</v>
      </c>
      <c r="L720" t="s">
        <v>161</v>
      </c>
      <c r="M720">
        <v>-100000000</v>
      </c>
    </row>
    <row r="721" spans="1:13" x14ac:dyDescent="0.3">
      <c r="A721" s="23">
        <v>45091</v>
      </c>
      <c r="B721" t="s">
        <v>12</v>
      </c>
      <c r="C721" t="s">
        <v>132</v>
      </c>
      <c r="D721" t="s">
        <v>16</v>
      </c>
      <c r="E721" t="s">
        <v>41</v>
      </c>
      <c r="F721">
        <v>1219957.67</v>
      </c>
      <c r="G721" t="s">
        <v>26</v>
      </c>
      <c r="H721" t="s">
        <v>81</v>
      </c>
      <c r="I721" t="s">
        <v>9</v>
      </c>
      <c r="J721" t="s">
        <v>155</v>
      </c>
      <c r="L721" t="s">
        <v>161</v>
      </c>
      <c r="M721">
        <v>1219957.67</v>
      </c>
    </row>
    <row r="722" spans="1:13" x14ac:dyDescent="0.3">
      <c r="A722" s="23">
        <v>45432</v>
      </c>
      <c r="B722" t="s">
        <v>12</v>
      </c>
      <c r="C722" t="s">
        <v>132</v>
      </c>
      <c r="D722" t="s">
        <v>17</v>
      </c>
      <c r="E722" t="s">
        <v>41</v>
      </c>
      <c r="F722">
        <v>100500000</v>
      </c>
      <c r="G722" t="s">
        <v>26</v>
      </c>
      <c r="H722" t="s">
        <v>81</v>
      </c>
      <c r="I722" t="s">
        <v>9</v>
      </c>
      <c r="L722" t="s">
        <v>161</v>
      </c>
      <c r="M722">
        <v>-100500000</v>
      </c>
    </row>
    <row r="723" spans="1:13" x14ac:dyDescent="0.3">
      <c r="A723" s="23">
        <v>45091</v>
      </c>
      <c r="B723" t="s">
        <v>12</v>
      </c>
      <c r="C723" t="s">
        <v>132</v>
      </c>
      <c r="D723" t="s">
        <v>17</v>
      </c>
      <c r="E723" t="s">
        <v>41</v>
      </c>
      <c r="F723">
        <v>93200000</v>
      </c>
      <c r="G723" t="s">
        <v>26</v>
      </c>
      <c r="H723" t="s">
        <v>81</v>
      </c>
      <c r="I723" t="s">
        <v>9</v>
      </c>
      <c r="L723" t="s">
        <v>161</v>
      </c>
      <c r="M723">
        <v>-93200000</v>
      </c>
    </row>
    <row r="724" spans="1:13" x14ac:dyDescent="0.3">
      <c r="A724" s="23">
        <v>45093</v>
      </c>
      <c r="B724" t="s">
        <v>12</v>
      </c>
      <c r="C724" t="s">
        <v>132</v>
      </c>
      <c r="D724" t="s">
        <v>17</v>
      </c>
      <c r="E724" t="s">
        <v>41</v>
      </c>
      <c r="F724">
        <v>36200000</v>
      </c>
      <c r="G724" t="s">
        <v>26</v>
      </c>
      <c r="H724" t="s">
        <v>81</v>
      </c>
      <c r="I724" t="s">
        <v>9</v>
      </c>
      <c r="L724" t="s">
        <v>161</v>
      </c>
      <c r="M724">
        <v>-36200000</v>
      </c>
    </row>
    <row r="725" spans="1:13" x14ac:dyDescent="0.3">
      <c r="A725" s="23">
        <v>45099</v>
      </c>
      <c r="B725" t="s">
        <v>12</v>
      </c>
      <c r="C725" t="s">
        <v>132</v>
      </c>
      <c r="D725" t="s">
        <v>17</v>
      </c>
      <c r="E725" t="s">
        <v>41</v>
      </c>
      <c r="F725">
        <v>23319957.670000017</v>
      </c>
      <c r="G725" t="s">
        <v>26</v>
      </c>
      <c r="H725" t="s">
        <v>81</v>
      </c>
      <c r="I725" t="s">
        <v>9</v>
      </c>
      <c r="L725" t="s">
        <v>161</v>
      </c>
      <c r="M725">
        <v>-23319957.670000002</v>
      </c>
    </row>
    <row r="726" spans="1:13" x14ac:dyDescent="0.3">
      <c r="A726" s="23">
        <v>45425</v>
      </c>
      <c r="B726" t="s">
        <v>12</v>
      </c>
      <c r="C726" t="s">
        <v>132</v>
      </c>
      <c r="D726" t="s">
        <v>16</v>
      </c>
      <c r="E726" t="s">
        <v>41</v>
      </c>
      <c r="F726">
        <v>24870000</v>
      </c>
      <c r="G726" t="s">
        <v>26</v>
      </c>
      <c r="H726" t="s">
        <v>81</v>
      </c>
      <c r="I726" t="s">
        <v>9</v>
      </c>
      <c r="L726" t="s">
        <v>161</v>
      </c>
      <c r="M726">
        <v>24870000</v>
      </c>
    </row>
    <row r="727" spans="1:13" x14ac:dyDescent="0.3">
      <c r="A727" s="23">
        <v>45422</v>
      </c>
      <c r="B727" t="s">
        <v>12</v>
      </c>
      <c r="C727" t="s">
        <v>132</v>
      </c>
      <c r="D727" t="s">
        <v>17</v>
      </c>
      <c r="E727" t="s">
        <v>41</v>
      </c>
      <c r="F727">
        <v>1006000000</v>
      </c>
      <c r="G727" t="s">
        <v>26</v>
      </c>
      <c r="H727" t="s">
        <v>81</v>
      </c>
      <c r="I727" t="s">
        <v>9</v>
      </c>
      <c r="L727" t="s">
        <v>161</v>
      </c>
      <c r="M727">
        <v>-1006000000</v>
      </c>
    </row>
    <row r="728" spans="1:13" x14ac:dyDescent="0.3">
      <c r="A728" s="23">
        <v>45420</v>
      </c>
      <c r="B728" t="s">
        <v>12</v>
      </c>
      <c r="C728" t="s">
        <v>132</v>
      </c>
      <c r="D728" t="s">
        <v>16</v>
      </c>
      <c r="E728" t="s">
        <v>41</v>
      </c>
      <c r="F728">
        <v>1050000000</v>
      </c>
      <c r="G728" t="s">
        <v>26</v>
      </c>
      <c r="H728" t="s">
        <v>81</v>
      </c>
      <c r="I728" t="s">
        <v>9</v>
      </c>
      <c r="L728" t="s">
        <v>161</v>
      </c>
      <c r="M728">
        <v>1050000000</v>
      </c>
    </row>
    <row r="729" spans="1:13" x14ac:dyDescent="0.3">
      <c r="A729" s="23">
        <v>45418</v>
      </c>
      <c r="B729" t="s">
        <v>12</v>
      </c>
      <c r="C729" t="s">
        <v>132</v>
      </c>
      <c r="D729" t="s">
        <v>17</v>
      </c>
      <c r="E729" t="s">
        <v>41</v>
      </c>
      <c r="F729">
        <v>26000000</v>
      </c>
      <c r="G729" t="s">
        <v>26</v>
      </c>
      <c r="H729" t="s">
        <v>81</v>
      </c>
      <c r="I729" t="s">
        <v>9</v>
      </c>
      <c r="L729" t="s">
        <v>161</v>
      </c>
      <c r="M729">
        <v>-26000000</v>
      </c>
    </row>
    <row r="730" spans="1:13" x14ac:dyDescent="0.3">
      <c r="A730" s="23">
        <v>45414</v>
      </c>
      <c r="B730" t="s">
        <v>12</v>
      </c>
      <c r="C730" t="s">
        <v>132</v>
      </c>
      <c r="D730" t="s">
        <v>17</v>
      </c>
      <c r="E730" t="s">
        <v>41</v>
      </c>
      <c r="F730">
        <v>151300000</v>
      </c>
      <c r="G730" t="s">
        <v>26</v>
      </c>
      <c r="H730" t="s">
        <v>81</v>
      </c>
      <c r="I730" t="s">
        <v>9</v>
      </c>
      <c r="L730" t="s">
        <v>161</v>
      </c>
      <c r="M730">
        <v>-151300000</v>
      </c>
    </row>
    <row r="731" spans="1:13" x14ac:dyDescent="0.3">
      <c r="A731" s="23">
        <v>45412</v>
      </c>
      <c r="B731" t="s">
        <v>12</v>
      </c>
      <c r="C731" t="s">
        <v>132</v>
      </c>
      <c r="D731" t="s">
        <v>17</v>
      </c>
      <c r="E731" t="s">
        <v>41</v>
      </c>
      <c r="F731">
        <v>238100000</v>
      </c>
      <c r="G731" t="s">
        <v>26</v>
      </c>
      <c r="H731" t="s">
        <v>81</v>
      </c>
      <c r="I731" t="s">
        <v>9</v>
      </c>
      <c r="L731" t="s">
        <v>161</v>
      </c>
      <c r="M731">
        <v>-238100000</v>
      </c>
    </row>
    <row r="732" spans="1:13" x14ac:dyDescent="0.3">
      <c r="A732" s="23">
        <v>45408</v>
      </c>
      <c r="B732" t="s">
        <v>12</v>
      </c>
      <c r="C732" t="s">
        <v>132</v>
      </c>
      <c r="D732" t="s">
        <v>17</v>
      </c>
      <c r="E732" t="s">
        <v>41</v>
      </c>
      <c r="F732">
        <v>100000000</v>
      </c>
      <c r="G732" t="s">
        <v>26</v>
      </c>
      <c r="H732" t="s">
        <v>81</v>
      </c>
      <c r="I732" t="s">
        <v>9</v>
      </c>
      <c r="L732" t="s">
        <v>161</v>
      </c>
      <c r="M732">
        <v>-100000000</v>
      </c>
    </row>
    <row r="733" spans="1:13" x14ac:dyDescent="0.3">
      <c r="A733" s="23">
        <v>45407</v>
      </c>
      <c r="B733" t="s">
        <v>12</v>
      </c>
      <c r="C733" t="s">
        <v>132</v>
      </c>
      <c r="D733" t="s">
        <v>17</v>
      </c>
      <c r="E733" t="s">
        <v>41</v>
      </c>
      <c r="F733">
        <v>245000000</v>
      </c>
      <c r="G733" t="s">
        <v>26</v>
      </c>
      <c r="H733" t="s">
        <v>81</v>
      </c>
      <c r="I733" t="s">
        <v>9</v>
      </c>
      <c r="L733" t="s">
        <v>161</v>
      </c>
      <c r="M733">
        <v>-245000000</v>
      </c>
    </row>
    <row r="734" spans="1:13" x14ac:dyDescent="0.3">
      <c r="A734" s="23">
        <v>45139</v>
      </c>
      <c r="B734" t="s">
        <v>12</v>
      </c>
      <c r="C734" t="s">
        <v>132</v>
      </c>
      <c r="D734" t="s">
        <v>16</v>
      </c>
      <c r="E734" t="s">
        <v>41</v>
      </c>
      <c r="F734">
        <v>240000000</v>
      </c>
      <c r="G734" t="s">
        <v>26</v>
      </c>
      <c r="H734" t="s">
        <v>81</v>
      </c>
      <c r="I734" t="s">
        <v>9</v>
      </c>
      <c r="L734" t="s">
        <v>161</v>
      </c>
      <c r="M734">
        <v>240000000</v>
      </c>
    </row>
    <row r="735" spans="1:13" x14ac:dyDescent="0.3">
      <c r="A735" s="23">
        <v>45407</v>
      </c>
      <c r="B735" t="s">
        <v>12</v>
      </c>
      <c r="C735" t="s">
        <v>132</v>
      </c>
      <c r="D735" t="s">
        <v>16</v>
      </c>
      <c r="E735" t="s">
        <v>41</v>
      </c>
      <c r="F735">
        <v>67000000</v>
      </c>
      <c r="G735" t="s">
        <v>26</v>
      </c>
      <c r="H735" t="s">
        <v>81</v>
      </c>
      <c r="I735" t="s">
        <v>9</v>
      </c>
      <c r="L735" t="s">
        <v>161</v>
      </c>
      <c r="M735">
        <v>67000000</v>
      </c>
    </row>
    <row r="736" spans="1:13" x14ac:dyDescent="0.3">
      <c r="A736" s="23">
        <v>45140</v>
      </c>
      <c r="B736" t="s">
        <v>12</v>
      </c>
      <c r="C736" t="s">
        <v>132</v>
      </c>
      <c r="D736" t="s">
        <v>17</v>
      </c>
      <c r="E736" t="s">
        <v>41</v>
      </c>
      <c r="F736">
        <v>130000000</v>
      </c>
      <c r="G736" t="s">
        <v>26</v>
      </c>
      <c r="H736" t="s">
        <v>81</v>
      </c>
      <c r="I736" t="s">
        <v>9</v>
      </c>
      <c r="L736" t="s">
        <v>161</v>
      </c>
      <c r="M736">
        <v>-130000000</v>
      </c>
    </row>
    <row r="737" spans="1:13" x14ac:dyDescent="0.3">
      <c r="A737" s="23">
        <v>45141</v>
      </c>
      <c r="B737" t="s">
        <v>12</v>
      </c>
      <c r="C737" t="s">
        <v>132</v>
      </c>
      <c r="D737" t="s">
        <v>17</v>
      </c>
      <c r="E737" t="s">
        <v>41</v>
      </c>
      <c r="F737">
        <v>100000000</v>
      </c>
      <c r="G737" t="s">
        <v>26</v>
      </c>
      <c r="H737" t="s">
        <v>81</v>
      </c>
      <c r="I737" t="s">
        <v>9</v>
      </c>
      <c r="L737" t="s">
        <v>161</v>
      </c>
      <c r="M737">
        <v>-100000000</v>
      </c>
    </row>
    <row r="738" spans="1:13" x14ac:dyDescent="0.3">
      <c r="A738" s="23">
        <v>45142</v>
      </c>
      <c r="B738" t="s">
        <v>12</v>
      </c>
      <c r="C738" t="s">
        <v>132</v>
      </c>
      <c r="D738" t="s">
        <v>17</v>
      </c>
      <c r="E738" t="s">
        <v>41</v>
      </c>
      <c r="F738">
        <v>10000000</v>
      </c>
      <c r="G738" t="s">
        <v>26</v>
      </c>
      <c r="H738" t="s">
        <v>81</v>
      </c>
      <c r="I738" t="s">
        <v>9</v>
      </c>
      <c r="L738" t="s">
        <v>161</v>
      </c>
      <c r="M738">
        <v>-10000000</v>
      </c>
    </row>
    <row r="739" spans="1:13" x14ac:dyDescent="0.3">
      <c r="A739" s="23">
        <v>45406</v>
      </c>
      <c r="B739" t="s">
        <v>12</v>
      </c>
      <c r="C739" t="s">
        <v>132</v>
      </c>
      <c r="D739" t="s">
        <v>16</v>
      </c>
      <c r="E739" t="s">
        <v>41</v>
      </c>
      <c r="F739">
        <v>400000000</v>
      </c>
      <c r="G739" t="s">
        <v>26</v>
      </c>
      <c r="H739" t="s">
        <v>81</v>
      </c>
      <c r="I739" t="s">
        <v>9</v>
      </c>
      <c r="L739" t="s">
        <v>161</v>
      </c>
      <c r="M739">
        <v>400000000</v>
      </c>
    </row>
    <row r="740" spans="1:13" x14ac:dyDescent="0.3">
      <c r="A740" s="23">
        <v>45405</v>
      </c>
      <c r="B740" t="s">
        <v>12</v>
      </c>
      <c r="C740" t="s">
        <v>132</v>
      </c>
      <c r="D740" t="s">
        <v>17</v>
      </c>
      <c r="E740" t="s">
        <v>41</v>
      </c>
      <c r="F740">
        <v>197100000</v>
      </c>
      <c r="G740" t="s">
        <v>26</v>
      </c>
      <c r="H740" t="s">
        <v>81</v>
      </c>
      <c r="I740" t="s">
        <v>9</v>
      </c>
      <c r="L740" t="s">
        <v>161</v>
      </c>
      <c r="M740">
        <v>-197100000</v>
      </c>
    </row>
    <row r="741" spans="1:13" x14ac:dyDescent="0.3">
      <c r="A741" s="23">
        <v>45146</v>
      </c>
      <c r="B741" t="s">
        <v>12</v>
      </c>
      <c r="C741" t="s">
        <v>132</v>
      </c>
      <c r="D741" t="s">
        <v>16</v>
      </c>
      <c r="E741" t="s">
        <v>41</v>
      </c>
      <c r="F741">
        <v>150000000</v>
      </c>
      <c r="G741" t="s">
        <v>26</v>
      </c>
      <c r="H741" t="s">
        <v>81</v>
      </c>
      <c r="I741" t="s">
        <v>9</v>
      </c>
      <c r="L741" t="s">
        <v>161</v>
      </c>
      <c r="M741">
        <v>150000000</v>
      </c>
    </row>
    <row r="742" spans="1:13" x14ac:dyDescent="0.3">
      <c r="A742" s="23">
        <v>45400</v>
      </c>
      <c r="B742" t="s">
        <v>12</v>
      </c>
      <c r="C742" t="s">
        <v>132</v>
      </c>
      <c r="D742" t="s">
        <v>17</v>
      </c>
      <c r="E742" t="s">
        <v>41</v>
      </c>
      <c r="F742">
        <v>231400000</v>
      </c>
      <c r="G742" t="s">
        <v>26</v>
      </c>
      <c r="H742" t="s">
        <v>81</v>
      </c>
      <c r="I742" t="s">
        <v>9</v>
      </c>
      <c r="L742" t="s">
        <v>161</v>
      </c>
      <c r="M742">
        <v>-231400000</v>
      </c>
    </row>
    <row r="743" spans="1:13" x14ac:dyDescent="0.3">
      <c r="A743" s="23">
        <v>45399</v>
      </c>
      <c r="B743" t="s">
        <v>12</v>
      </c>
      <c r="C743" t="s">
        <v>132</v>
      </c>
      <c r="D743" t="s">
        <v>17</v>
      </c>
      <c r="E743" t="s">
        <v>41</v>
      </c>
      <c r="F743">
        <v>119000000</v>
      </c>
      <c r="G743" t="s">
        <v>26</v>
      </c>
      <c r="H743" t="s">
        <v>81</v>
      </c>
      <c r="I743" t="s">
        <v>9</v>
      </c>
      <c r="L743" t="s">
        <v>161</v>
      </c>
      <c r="M743">
        <v>-119000000</v>
      </c>
    </row>
    <row r="744" spans="1:13" x14ac:dyDescent="0.3">
      <c r="A744" s="23">
        <v>45147</v>
      </c>
      <c r="B744" t="s">
        <v>12</v>
      </c>
      <c r="C744" t="s">
        <v>132</v>
      </c>
      <c r="D744" t="s">
        <v>17</v>
      </c>
      <c r="E744" t="s">
        <v>41</v>
      </c>
      <c r="F744">
        <v>50000000</v>
      </c>
      <c r="G744" t="s">
        <v>26</v>
      </c>
      <c r="H744" t="s">
        <v>81</v>
      </c>
      <c r="I744" t="s">
        <v>9</v>
      </c>
      <c r="L744" t="s">
        <v>161</v>
      </c>
      <c r="M744">
        <v>-50000000</v>
      </c>
    </row>
    <row r="745" spans="1:13" x14ac:dyDescent="0.3">
      <c r="A745" s="23">
        <v>45398</v>
      </c>
      <c r="B745" t="s">
        <v>12</v>
      </c>
      <c r="C745" t="s">
        <v>132</v>
      </c>
      <c r="D745" t="s">
        <v>17</v>
      </c>
      <c r="E745" t="s">
        <v>41</v>
      </c>
      <c r="F745">
        <v>131600000</v>
      </c>
      <c r="G745" t="s">
        <v>26</v>
      </c>
      <c r="H745" t="s">
        <v>81</v>
      </c>
      <c r="I745" t="s">
        <v>9</v>
      </c>
      <c r="L745" t="s">
        <v>161</v>
      </c>
      <c r="M745">
        <v>-131600000</v>
      </c>
    </row>
    <row r="746" spans="1:13" x14ac:dyDescent="0.3">
      <c r="A746" s="23">
        <v>45148</v>
      </c>
      <c r="B746" t="s">
        <v>12</v>
      </c>
      <c r="C746" t="s">
        <v>132</v>
      </c>
      <c r="D746" t="s">
        <v>16</v>
      </c>
      <c r="E746" t="s">
        <v>41</v>
      </c>
      <c r="F746">
        <v>556348.07999999996</v>
      </c>
      <c r="G746" t="s">
        <v>26</v>
      </c>
      <c r="H746" t="s">
        <v>81</v>
      </c>
      <c r="I746" t="s">
        <v>9</v>
      </c>
      <c r="L746" t="s">
        <v>161</v>
      </c>
      <c r="M746">
        <v>556348.07999999996</v>
      </c>
    </row>
    <row r="747" spans="1:13" x14ac:dyDescent="0.3">
      <c r="A747" s="23">
        <v>45397</v>
      </c>
      <c r="B747" t="s">
        <v>12</v>
      </c>
      <c r="C747" t="s">
        <v>132</v>
      </c>
      <c r="D747" t="s">
        <v>17</v>
      </c>
      <c r="E747" t="s">
        <v>41</v>
      </c>
      <c r="F747">
        <v>400800000</v>
      </c>
      <c r="G747" t="s">
        <v>26</v>
      </c>
      <c r="H747" t="s">
        <v>81</v>
      </c>
      <c r="I747" t="s">
        <v>9</v>
      </c>
      <c r="L747" t="s">
        <v>161</v>
      </c>
      <c r="M747">
        <v>-400800000</v>
      </c>
    </row>
    <row r="748" spans="1:13" x14ac:dyDescent="0.3">
      <c r="A748" s="23">
        <v>45393</v>
      </c>
      <c r="B748" t="s">
        <v>12</v>
      </c>
      <c r="C748" t="s">
        <v>132</v>
      </c>
      <c r="D748" t="s">
        <v>16</v>
      </c>
      <c r="E748" t="s">
        <v>41</v>
      </c>
      <c r="F748">
        <v>214800000</v>
      </c>
      <c r="G748" t="s">
        <v>26</v>
      </c>
      <c r="H748" t="s">
        <v>81</v>
      </c>
      <c r="I748" t="s">
        <v>9</v>
      </c>
      <c r="L748" t="s">
        <v>161</v>
      </c>
      <c r="M748">
        <v>214800000</v>
      </c>
    </row>
    <row r="749" spans="1:13" x14ac:dyDescent="0.3">
      <c r="A749" s="23">
        <v>45148</v>
      </c>
      <c r="B749" t="s">
        <v>12</v>
      </c>
      <c r="C749" t="s">
        <v>132</v>
      </c>
      <c r="D749" t="s">
        <v>17</v>
      </c>
      <c r="E749" t="s">
        <v>41</v>
      </c>
      <c r="F749">
        <v>95000000</v>
      </c>
      <c r="G749" t="s">
        <v>26</v>
      </c>
      <c r="H749" t="s">
        <v>81</v>
      </c>
      <c r="I749" t="s">
        <v>9</v>
      </c>
      <c r="L749" t="s">
        <v>161</v>
      </c>
      <c r="M749">
        <v>-95000000</v>
      </c>
    </row>
    <row r="750" spans="1:13" x14ac:dyDescent="0.3">
      <c r="A750" s="23">
        <v>45391</v>
      </c>
      <c r="B750" t="s">
        <v>12</v>
      </c>
      <c r="C750" t="s">
        <v>132</v>
      </c>
      <c r="D750" t="s">
        <v>17</v>
      </c>
      <c r="E750" t="s">
        <v>41</v>
      </c>
      <c r="F750">
        <v>177900000</v>
      </c>
      <c r="G750" t="s">
        <v>26</v>
      </c>
      <c r="H750" t="s">
        <v>81</v>
      </c>
      <c r="I750" t="s">
        <v>9</v>
      </c>
      <c r="L750" t="s">
        <v>161</v>
      </c>
      <c r="M750">
        <v>-177900000</v>
      </c>
    </row>
    <row r="751" spans="1:13" x14ac:dyDescent="0.3">
      <c r="A751" s="23">
        <v>45149</v>
      </c>
      <c r="B751" t="s">
        <v>12</v>
      </c>
      <c r="C751" t="s">
        <v>132</v>
      </c>
      <c r="D751" t="s">
        <v>16</v>
      </c>
      <c r="E751" t="s">
        <v>41</v>
      </c>
      <c r="F751">
        <v>15600000</v>
      </c>
      <c r="G751" t="s">
        <v>26</v>
      </c>
      <c r="H751" t="s">
        <v>81</v>
      </c>
      <c r="I751" t="s">
        <v>9</v>
      </c>
      <c r="L751" t="s">
        <v>161</v>
      </c>
      <c r="M751">
        <v>15600000</v>
      </c>
    </row>
    <row r="752" spans="1:13" x14ac:dyDescent="0.3">
      <c r="A752" s="23">
        <v>45152</v>
      </c>
      <c r="B752" t="s">
        <v>12</v>
      </c>
      <c r="C752" t="s">
        <v>132</v>
      </c>
      <c r="D752" t="s">
        <v>17</v>
      </c>
      <c r="E752" t="s">
        <v>41</v>
      </c>
      <c r="F752">
        <v>21156348.079999998</v>
      </c>
      <c r="G752" t="s">
        <v>26</v>
      </c>
      <c r="H752" t="s">
        <v>81</v>
      </c>
      <c r="I752" t="s">
        <v>9</v>
      </c>
      <c r="L752" t="s">
        <v>161</v>
      </c>
      <c r="M752">
        <v>-21156348.079999998</v>
      </c>
    </row>
    <row r="753" spans="1:13" x14ac:dyDescent="0.3">
      <c r="A753" s="23">
        <v>45153</v>
      </c>
      <c r="B753" t="s">
        <v>12</v>
      </c>
      <c r="C753" t="s">
        <v>132</v>
      </c>
      <c r="D753" t="s">
        <v>16</v>
      </c>
      <c r="E753" t="s">
        <v>41</v>
      </c>
      <c r="F753">
        <v>250800000</v>
      </c>
      <c r="G753" t="s">
        <v>26</v>
      </c>
      <c r="H753" t="s">
        <v>81</v>
      </c>
      <c r="I753" t="s">
        <v>9</v>
      </c>
      <c r="L753" t="s">
        <v>161</v>
      </c>
      <c r="M753">
        <v>250800000</v>
      </c>
    </row>
    <row r="754" spans="1:13" x14ac:dyDescent="0.3">
      <c r="A754" s="23">
        <v>45386</v>
      </c>
      <c r="B754" t="s">
        <v>12</v>
      </c>
      <c r="C754" t="s">
        <v>132</v>
      </c>
      <c r="D754" t="s">
        <v>16</v>
      </c>
      <c r="E754" t="s">
        <v>41</v>
      </c>
      <c r="F754">
        <v>1100000000</v>
      </c>
      <c r="G754" t="s">
        <v>26</v>
      </c>
      <c r="H754" t="s">
        <v>81</v>
      </c>
      <c r="I754" t="s">
        <v>9</v>
      </c>
      <c r="L754" t="s">
        <v>161</v>
      </c>
      <c r="M754">
        <v>1100000000</v>
      </c>
    </row>
    <row r="755" spans="1:13" x14ac:dyDescent="0.3">
      <c r="A755" s="23">
        <v>45154</v>
      </c>
      <c r="B755" t="s">
        <v>12</v>
      </c>
      <c r="C755" t="s">
        <v>132</v>
      </c>
      <c r="D755" t="s">
        <v>17</v>
      </c>
      <c r="E755" t="s">
        <v>41</v>
      </c>
      <c r="F755">
        <v>248500000</v>
      </c>
      <c r="G755" t="s">
        <v>26</v>
      </c>
      <c r="H755" t="s">
        <v>81</v>
      </c>
      <c r="I755" t="s">
        <v>9</v>
      </c>
      <c r="L755" t="s">
        <v>161</v>
      </c>
      <c r="M755">
        <v>-248500000</v>
      </c>
    </row>
    <row r="756" spans="1:13" x14ac:dyDescent="0.3">
      <c r="A756" s="23">
        <v>45383</v>
      </c>
      <c r="B756" t="s">
        <v>12</v>
      </c>
      <c r="C756" t="s">
        <v>132</v>
      </c>
      <c r="D756" t="s">
        <v>16</v>
      </c>
      <c r="E756" t="s">
        <v>41</v>
      </c>
      <c r="F756">
        <v>21250000</v>
      </c>
      <c r="G756" t="s">
        <v>26</v>
      </c>
      <c r="H756" t="s">
        <v>81</v>
      </c>
      <c r="I756" t="s">
        <v>9</v>
      </c>
      <c r="L756" t="s">
        <v>161</v>
      </c>
      <c r="M756">
        <v>21250000</v>
      </c>
    </row>
    <row r="757" spans="1:13" x14ac:dyDescent="0.3">
      <c r="A757" s="23">
        <v>45155</v>
      </c>
      <c r="B757" t="s">
        <v>12</v>
      </c>
      <c r="C757" t="s">
        <v>132</v>
      </c>
      <c r="D757" t="s">
        <v>17</v>
      </c>
      <c r="E757" t="s">
        <v>41</v>
      </c>
      <c r="F757">
        <v>2300000</v>
      </c>
      <c r="G757" t="s">
        <v>26</v>
      </c>
      <c r="H757" t="s">
        <v>81</v>
      </c>
      <c r="I757" t="s">
        <v>9</v>
      </c>
      <c r="L757" t="s">
        <v>161</v>
      </c>
      <c r="M757">
        <v>-2300000</v>
      </c>
    </row>
    <row r="758" spans="1:13" x14ac:dyDescent="0.3">
      <c r="A758" s="23">
        <v>45377</v>
      </c>
      <c r="B758" t="s">
        <v>12</v>
      </c>
      <c r="C758" t="s">
        <v>132</v>
      </c>
      <c r="D758" t="s">
        <v>16</v>
      </c>
      <c r="E758" t="s">
        <v>41</v>
      </c>
      <c r="F758">
        <v>666900000</v>
      </c>
      <c r="G758" t="s">
        <v>26</v>
      </c>
      <c r="H758" t="s">
        <v>81</v>
      </c>
      <c r="I758" t="s">
        <v>9</v>
      </c>
      <c r="L758" t="s">
        <v>161</v>
      </c>
      <c r="M758">
        <v>666900000</v>
      </c>
    </row>
    <row r="759" spans="1:13" x14ac:dyDescent="0.3">
      <c r="A759" s="23">
        <v>45376</v>
      </c>
      <c r="B759" t="s">
        <v>12</v>
      </c>
      <c r="C759" t="s">
        <v>132</v>
      </c>
      <c r="D759" t="s">
        <v>17</v>
      </c>
      <c r="E759" t="s">
        <v>41</v>
      </c>
      <c r="F759">
        <v>103400000</v>
      </c>
      <c r="G759" t="s">
        <v>26</v>
      </c>
      <c r="H759" t="s">
        <v>81</v>
      </c>
      <c r="I759" t="s">
        <v>9</v>
      </c>
      <c r="L759" t="s">
        <v>161</v>
      </c>
      <c r="M759">
        <v>-103400000</v>
      </c>
    </row>
    <row r="760" spans="1:13" x14ac:dyDescent="0.3">
      <c r="A760" s="23">
        <v>45160</v>
      </c>
      <c r="B760" t="s">
        <v>12</v>
      </c>
      <c r="C760" t="s">
        <v>132</v>
      </c>
      <c r="D760" t="s">
        <v>16</v>
      </c>
      <c r="E760" t="s">
        <v>41</v>
      </c>
      <c r="F760">
        <v>78200000</v>
      </c>
      <c r="G760" t="s">
        <v>26</v>
      </c>
      <c r="H760" t="s">
        <v>81</v>
      </c>
      <c r="I760" t="s">
        <v>9</v>
      </c>
      <c r="L760" t="s">
        <v>161</v>
      </c>
      <c r="M760">
        <v>78200000</v>
      </c>
    </row>
    <row r="761" spans="1:13" x14ac:dyDescent="0.3">
      <c r="A761" s="23">
        <v>45372</v>
      </c>
      <c r="B761" t="s">
        <v>12</v>
      </c>
      <c r="C761" t="s">
        <v>132</v>
      </c>
      <c r="D761" t="s">
        <v>16</v>
      </c>
      <c r="E761" t="s">
        <v>41</v>
      </c>
      <c r="F761">
        <v>300000000</v>
      </c>
      <c r="G761" t="s">
        <v>26</v>
      </c>
      <c r="H761" t="s">
        <v>81</v>
      </c>
      <c r="I761" t="s">
        <v>9</v>
      </c>
      <c r="L761" t="s">
        <v>161</v>
      </c>
      <c r="M761">
        <v>300000000</v>
      </c>
    </row>
    <row r="762" spans="1:13" x14ac:dyDescent="0.3">
      <c r="A762" s="23">
        <v>45371</v>
      </c>
      <c r="B762" t="s">
        <v>12</v>
      </c>
      <c r="C762" t="s">
        <v>132</v>
      </c>
      <c r="D762" t="s">
        <v>17</v>
      </c>
      <c r="E762" t="s">
        <v>41</v>
      </c>
      <c r="F762">
        <v>25000000</v>
      </c>
      <c r="G762" t="s">
        <v>26</v>
      </c>
      <c r="H762" t="s">
        <v>81</v>
      </c>
      <c r="I762" t="s">
        <v>9</v>
      </c>
      <c r="L762" t="s">
        <v>161</v>
      </c>
      <c r="M762">
        <v>-25000000</v>
      </c>
    </row>
    <row r="763" spans="1:13" x14ac:dyDescent="0.3">
      <c r="A763" s="23">
        <v>45370</v>
      </c>
      <c r="B763" t="s">
        <v>12</v>
      </c>
      <c r="C763" t="s">
        <v>132</v>
      </c>
      <c r="D763" t="s">
        <v>17</v>
      </c>
      <c r="E763" t="s">
        <v>41</v>
      </c>
      <c r="F763">
        <v>50000000</v>
      </c>
      <c r="G763" t="s">
        <v>26</v>
      </c>
      <c r="H763" t="s">
        <v>81</v>
      </c>
      <c r="I763" t="s">
        <v>9</v>
      </c>
      <c r="L763" t="s">
        <v>161</v>
      </c>
      <c r="M763">
        <v>-50000000</v>
      </c>
    </row>
    <row r="764" spans="1:13" x14ac:dyDescent="0.3">
      <c r="A764" s="23">
        <v>45369</v>
      </c>
      <c r="B764" t="s">
        <v>12</v>
      </c>
      <c r="C764" t="s">
        <v>132</v>
      </c>
      <c r="D764" t="s">
        <v>17</v>
      </c>
      <c r="E764" t="s">
        <v>41</v>
      </c>
      <c r="F764">
        <v>50000000</v>
      </c>
      <c r="G764" t="s">
        <v>26</v>
      </c>
      <c r="H764" t="s">
        <v>81</v>
      </c>
      <c r="I764" t="s">
        <v>9</v>
      </c>
      <c r="L764" t="s">
        <v>161</v>
      </c>
      <c r="M764">
        <v>-50000000</v>
      </c>
    </row>
    <row r="765" spans="1:13" x14ac:dyDescent="0.3">
      <c r="A765" s="23">
        <v>45364</v>
      </c>
      <c r="B765" t="s">
        <v>12</v>
      </c>
      <c r="C765" t="s">
        <v>132</v>
      </c>
      <c r="D765" t="s">
        <v>17</v>
      </c>
      <c r="E765" t="s">
        <v>41</v>
      </c>
      <c r="F765">
        <v>30000000</v>
      </c>
      <c r="G765" t="s">
        <v>26</v>
      </c>
      <c r="H765" t="s">
        <v>81</v>
      </c>
      <c r="I765" t="s">
        <v>9</v>
      </c>
      <c r="L765" t="s">
        <v>161</v>
      </c>
      <c r="M765">
        <v>-30000000</v>
      </c>
    </row>
    <row r="766" spans="1:13" x14ac:dyDescent="0.3">
      <c r="A766" s="23">
        <v>45166</v>
      </c>
      <c r="B766" t="s">
        <v>12</v>
      </c>
      <c r="C766" t="s">
        <v>132</v>
      </c>
      <c r="D766" t="s">
        <v>17</v>
      </c>
      <c r="E766" t="s">
        <v>41</v>
      </c>
      <c r="F766">
        <v>500000</v>
      </c>
      <c r="G766" t="s">
        <v>26</v>
      </c>
      <c r="H766" t="s">
        <v>81</v>
      </c>
      <c r="I766" t="s">
        <v>9</v>
      </c>
      <c r="L766" t="s">
        <v>161</v>
      </c>
      <c r="M766">
        <v>-500000</v>
      </c>
    </row>
    <row r="767" spans="1:13" x14ac:dyDescent="0.3">
      <c r="A767" s="23">
        <v>45362</v>
      </c>
      <c r="B767" t="s">
        <v>12</v>
      </c>
      <c r="C767" t="s">
        <v>132</v>
      </c>
      <c r="D767" t="s">
        <v>17</v>
      </c>
      <c r="E767" t="s">
        <v>41</v>
      </c>
      <c r="F767">
        <v>282200000</v>
      </c>
      <c r="G767" t="s">
        <v>26</v>
      </c>
      <c r="H767" t="s">
        <v>81</v>
      </c>
      <c r="I767" t="s">
        <v>9</v>
      </c>
      <c r="L767" t="s">
        <v>161</v>
      </c>
      <c r="M767">
        <v>-282200000</v>
      </c>
    </row>
    <row r="768" spans="1:13" x14ac:dyDescent="0.3">
      <c r="A768" s="23">
        <v>45359</v>
      </c>
      <c r="B768" t="s">
        <v>12</v>
      </c>
      <c r="C768" t="s">
        <v>132</v>
      </c>
      <c r="D768" t="s">
        <v>16</v>
      </c>
      <c r="E768" t="s">
        <v>41</v>
      </c>
      <c r="F768">
        <v>13300000</v>
      </c>
      <c r="G768" t="s">
        <v>26</v>
      </c>
      <c r="H768" t="s">
        <v>81</v>
      </c>
      <c r="I768" t="s">
        <v>9</v>
      </c>
      <c r="L768" t="s">
        <v>161</v>
      </c>
      <c r="M768">
        <v>13300000</v>
      </c>
    </row>
    <row r="769" spans="1:13" x14ac:dyDescent="0.3">
      <c r="A769" s="23">
        <v>45359</v>
      </c>
      <c r="B769" t="s">
        <v>12</v>
      </c>
      <c r="C769" t="s">
        <v>132</v>
      </c>
      <c r="D769" t="s">
        <v>17</v>
      </c>
      <c r="E769" t="s">
        <v>41</v>
      </c>
      <c r="F769">
        <v>100000000</v>
      </c>
      <c r="G769" t="s">
        <v>26</v>
      </c>
      <c r="H769" t="s">
        <v>81</v>
      </c>
      <c r="I769" t="s">
        <v>9</v>
      </c>
      <c r="L769" t="s">
        <v>161</v>
      </c>
      <c r="M769">
        <v>-100000000</v>
      </c>
    </row>
    <row r="770" spans="1:13" x14ac:dyDescent="0.3">
      <c r="A770" s="23">
        <v>45358</v>
      </c>
      <c r="B770" t="s">
        <v>12</v>
      </c>
      <c r="C770" t="s">
        <v>132</v>
      </c>
      <c r="D770" t="s">
        <v>16</v>
      </c>
      <c r="E770" t="s">
        <v>41</v>
      </c>
      <c r="F770">
        <v>200000000</v>
      </c>
      <c r="G770" t="s">
        <v>26</v>
      </c>
      <c r="H770" t="s">
        <v>81</v>
      </c>
      <c r="I770" t="s">
        <v>9</v>
      </c>
      <c r="L770" t="s">
        <v>161</v>
      </c>
      <c r="M770">
        <v>200000000</v>
      </c>
    </row>
    <row r="771" spans="1:13" x14ac:dyDescent="0.3">
      <c r="A771" s="23">
        <v>45356</v>
      </c>
      <c r="B771" t="s">
        <v>12</v>
      </c>
      <c r="C771" t="s">
        <v>132</v>
      </c>
      <c r="D771" t="s">
        <v>16</v>
      </c>
      <c r="E771" t="s">
        <v>41</v>
      </c>
      <c r="F771">
        <v>154300000</v>
      </c>
      <c r="G771" t="s">
        <v>26</v>
      </c>
      <c r="H771" t="s">
        <v>81</v>
      </c>
      <c r="I771" t="s">
        <v>9</v>
      </c>
      <c r="L771" t="s">
        <v>161</v>
      </c>
      <c r="M771">
        <v>154300000</v>
      </c>
    </row>
    <row r="772" spans="1:13" x14ac:dyDescent="0.3">
      <c r="A772" s="23">
        <v>45170</v>
      </c>
      <c r="B772" t="s">
        <v>12</v>
      </c>
      <c r="C772" t="s">
        <v>132</v>
      </c>
      <c r="D772" t="s">
        <v>16</v>
      </c>
      <c r="E772" t="s">
        <v>41</v>
      </c>
      <c r="F772">
        <v>2033730.11</v>
      </c>
      <c r="G772" t="s">
        <v>26</v>
      </c>
      <c r="H772" t="s">
        <v>81</v>
      </c>
      <c r="I772" t="s">
        <v>9</v>
      </c>
      <c r="L772" t="s">
        <v>161</v>
      </c>
      <c r="M772">
        <v>2033730.11</v>
      </c>
    </row>
    <row r="773" spans="1:13" x14ac:dyDescent="0.3">
      <c r="A773" s="23">
        <v>45352</v>
      </c>
      <c r="B773" t="s">
        <v>12</v>
      </c>
      <c r="C773" t="s">
        <v>132</v>
      </c>
      <c r="D773" t="s">
        <v>17</v>
      </c>
      <c r="E773" t="s">
        <v>41</v>
      </c>
      <c r="F773">
        <v>303100000</v>
      </c>
      <c r="G773" t="s">
        <v>26</v>
      </c>
      <c r="H773" t="s">
        <v>81</v>
      </c>
      <c r="I773" t="s">
        <v>9</v>
      </c>
      <c r="L773" t="s">
        <v>161</v>
      </c>
      <c r="M773">
        <v>-303100000</v>
      </c>
    </row>
    <row r="774" spans="1:13" x14ac:dyDescent="0.3">
      <c r="A774" s="23">
        <v>45349</v>
      </c>
      <c r="B774" t="s">
        <v>12</v>
      </c>
      <c r="C774" t="s">
        <v>132</v>
      </c>
      <c r="D774" t="s">
        <v>16</v>
      </c>
      <c r="E774" t="s">
        <v>41</v>
      </c>
      <c r="F774">
        <v>15750000</v>
      </c>
      <c r="G774" t="s">
        <v>26</v>
      </c>
      <c r="H774" t="s">
        <v>81</v>
      </c>
      <c r="I774" t="s">
        <v>9</v>
      </c>
      <c r="L774" t="s">
        <v>161</v>
      </c>
      <c r="M774">
        <v>15750000</v>
      </c>
    </row>
    <row r="775" spans="1:13" x14ac:dyDescent="0.3">
      <c r="A775" s="23">
        <v>45349</v>
      </c>
      <c r="B775" t="s">
        <v>12</v>
      </c>
      <c r="C775" t="s">
        <v>132</v>
      </c>
      <c r="D775" t="s">
        <v>17</v>
      </c>
      <c r="E775" t="s">
        <v>41</v>
      </c>
      <c r="F775">
        <v>182400000</v>
      </c>
      <c r="G775" t="s">
        <v>26</v>
      </c>
      <c r="H775" t="s">
        <v>81</v>
      </c>
      <c r="I775" t="s">
        <v>9</v>
      </c>
      <c r="L775" t="s">
        <v>161</v>
      </c>
      <c r="M775">
        <v>-182400000</v>
      </c>
    </row>
    <row r="776" spans="1:13" x14ac:dyDescent="0.3">
      <c r="A776" s="23">
        <v>45348</v>
      </c>
      <c r="B776" t="s">
        <v>12</v>
      </c>
      <c r="C776" t="s">
        <v>132</v>
      </c>
      <c r="D776" t="s">
        <v>17</v>
      </c>
      <c r="E776" t="s">
        <v>41</v>
      </c>
      <c r="F776">
        <v>500000000</v>
      </c>
      <c r="G776" t="s">
        <v>26</v>
      </c>
      <c r="H776" t="s">
        <v>81</v>
      </c>
      <c r="I776" t="s">
        <v>9</v>
      </c>
      <c r="L776" t="s">
        <v>161</v>
      </c>
      <c r="M776">
        <v>-500000000</v>
      </c>
    </row>
    <row r="777" spans="1:13" x14ac:dyDescent="0.3">
      <c r="A777" s="23">
        <v>45173</v>
      </c>
      <c r="B777" t="s">
        <v>12</v>
      </c>
      <c r="C777" t="s">
        <v>132</v>
      </c>
      <c r="D777" t="s">
        <v>16</v>
      </c>
      <c r="E777" t="s">
        <v>41</v>
      </c>
      <c r="F777">
        <v>35700000</v>
      </c>
      <c r="G777" t="s">
        <v>26</v>
      </c>
      <c r="H777" t="s">
        <v>81</v>
      </c>
      <c r="I777" t="s">
        <v>9</v>
      </c>
      <c r="L777" t="s">
        <v>161</v>
      </c>
      <c r="M777">
        <v>35700000</v>
      </c>
    </row>
    <row r="778" spans="1:13" x14ac:dyDescent="0.3">
      <c r="A778" s="23">
        <v>45343</v>
      </c>
      <c r="B778" t="s">
        <v>12</v>
      </c>
      <c r="C778" t="s">
        <v>132</v>
      </c>
      <c r="D778" t="s">
        <v>16</v>
      </c>
      <c r="E778" t="s">
        <v>41</v>
      </c>
      <c r="F778">
        <v>5250000</v>
      </c>
      <c r="G778" t="s">
        <v>26</v>
      </c>
      <c r="H778" t="s">
        <v>81</v>
      </c>
      <c r="I778" t="s">
        <v>9</v>
      </c>
      <c r="L778" t="s">
        <v>161</v>
      </c>
      <c r="M778">
        <v>5250000</v>
      </c>
    </row>
    <row r="779" spans="1:13" x14ac:dyDescent="0.3">
      <c r="A779" s="23">
        <v>45342</v>
      </c>
      <c r="B779" t="s">
        <v>12</v>
      </c>
      <c r="C779" t="s">
        <v>132</v>
      </c>
      <c r="D779" t="s">
        <v>16</v>
      </c>
      <c r="E779" t="s">
        <v>41</v>
      </c>
      <c r="F779">
        <v>1000000000</v>
      </c>
      <c r="G779" t="s">
        <v>26</v>
      </c>
      <c r="H779" t="s">
        <v>81</v>
      </c>
      <c r="I779" t="s">
        <v>9</v>
      </c>
      <c r="L779" t="s">
        <v>161</v>
      </c>
      <c r="M779">
        <v>1000000000</v>
      </c>
    </row>
    <row r="780" spans="1:13" x14ac:dyDescent="0.3">
      <c r="A780" s="23">
        <v>45337</v>
      </c>
      <c r="B780" t="s">
        <v>12</v>
      </c>
      <c r="C780" t="s">
        <v>132</v>
      </c>
      <c r="D780" t="s">
        <v>16</v>
      </c>
      <c r="E780" t="s">
        <v>41</v>
      </c>
      <c r="F780">
        <v>200000000</v>
      </c>
      <c r="G780" t="s">
        <v>26</v>
      </c>
      <c r="H780" t="s">
        <v>81</v>
      </c>
      <c r="I780" t="s">
        <v>9</v>
      </c>
      <c r="L780" t="s">
        <v>161</v>
      </c>
      <c r="M780">
        <v>200000000</v>
      </c>
    </row>
    <row r="781" spans="1:13" x14ac:dyDescent="0.3">
      <c r="A781" s="23">
        <v>45177</v>
      </c>
      <c r="B781" t="s">
        <v>12</v>
      </c>
      <c r="C781" t="s">
        <v>132</v>
      </c>
      <c r="D781" t="s">
        <v>17</v>
      </c>
      <c r="E781" t="s">
        <v>41</v>
      </c>
      <c r="F781">
        <v>75200000</v>
      </c>
      <c r="G781" t="s">
        <v>26</v>
      </c>
      <c r="H781" t="s">
        <v>81</v>
      </c>
      <c r="I781" t="s">
        <v>9</v>
      </c>
      <c r="L781" t="s">
        <v>161</v>
      </c>
      <c r="M781">
        <v>-75200000</v>
      </c>
    </row>
    <row r="782" spans="1:13" x14ac:dyDescent="0.3">
      <c r="A782" s="23">
        <v>45337</v>
      </c>
      <c r="B782" t="s">
        <v>12</v>
      </c>
      <c r="C782" t="s">
        <v>132</v>
      </c>
      <c r="D782" t="s">
        <v>16</v>
      </c>
      <c r="E782" t="s">
        <v>41</v>
      </c>
      <c r="F782">
        <v>8600000</v>
      </c>
      <c r="G782" t="s">
        <v>26</v>
      </c>
      <c r="H782" t="s">
        <v>81</v>
      </c>
      <c r="I782" t="s">
        <v>9</v>
      </c>
      <c r="L782" t="s">
        <v>161</v>
      </c>
      <c r="M782">
        <v>8600000</v>
      </c>
    </row>
    <row r="783" spans="1:13" x14ac:dyDescent="0.3">
      <c r="A783" s="23">
        <v>45336</v>
      </c>
      <c r="B783" t="s">
        <v>12</v>
      </c>
      <c r="C783" t="s">
        <v>132</v>
      </c>
      <c r="D783" t="s">
        <v>17</v>
      </c>
      <c r="E783" t="s">
        <v>41</v>
      </c>
      <c r="F783">
        <v>100000000</v>
      </c>
      <c r="G783" t="s">
        <v>26</v>
      </c>
      <c r="H783" t="s">
        <v>81</v>
      </c>
      <c r="I783" t="s">
        <v>9</v>
      </c>
      <c r="L783" t="s">
        <v>161</v>
      </c>
      <c r="M783">
        <v>-100000000</v>
      </c>
    </row>
    <row r="784" spans="1:13" x14ac:dyDescent="0.3">
      <c r="A784" s="23">
        <v>45180</v>
      </c>
      <c r="B784" t="s">
        <v>12</v>
      </c>
      <c r="C784" t="s">
        <v>132</v>
      </c>
      <c r="D784" t="s">
        <v>17</v>
      </c>
      <c r="E784" t="s">
        <v>41</v>
      </c>
      <c r="F784">
        <v>30000000</v>
      </c>
      <c r="G784" t="s">
        <v>26</v>
      </c>
      <c r="H784" t="s">
        <v>81</v>
      </c>
      <c r="I784" t="s">
        <v>9</v>
      </c>
      <c r="L784" t="s">
        <v>161</v>
      </c>
      <c r="M784">
        <v>-30000000</v>
      </c>
    </row>
    <row r="785" spans="1:13" x14ac:dyDescent="0.3">
      <c r="A785" s="23">
        <v>45330</v>
      </c>
      <c r="B785" t="s">
        <v>12</v>
      </c>
      <c r="C785" t="s">
        <v>132</v>
      </c>
      <c r="D785" t="s">
        <v>17</v>
      </c>
      <c r="E785" t="s">
        <v>41</v>
      </c>
      <c r="F785">
        <v>275500000</v>
      </c>
      <c r="G785" t="s">
        <v>26</v>
      </c>
      <c r="H785" t="s">
        <v>81</v>
      </c>
      <c r="I785" t="s">
        <v>9</v>
      </c>
      <c r="L785" t="s">
        <v>161</v>
      </c>
      <c r="M785">
        <v>-275500000</v>
      </c>
    </row>
    <row r="786" spans="1:13" x14ac:dyDescent="0.3">
      <c r="A786" s="23">
        <v>45181</v>
      </c>
      <c r="B786" t="s">
        <v>12</v>
      </c>
      <c r="C786" t="s">
        <v>132</v>
      </c>
      <c r="D786" t="s">
        <v>16</v>
      </c>
      <c r="E786" t="s">
        <v>41</v>
      </c>
      <c r="F786">
        <v>57900000</v>
      </c>
      <c r="G786" t="s">
        <v>26</v>
      </c>
      <c r="H786" t="s">
        <v>81</v>
      </c>
      <c r="I786" t="s">
        <v>9</v>
      </c>
      <c r="L786" t="s">
        <v>161</v>
      </c>
      <c r="M786">
        <v>57900000</v>
      </c>
    </row>
    <row r="787" spans="1:13" x14ac:dyDescent="0.3">
      <c r="A787" s="23">
        <v>45328</v>
      </c>
      <c r="B787" t="s">
        <v>12</v>
      </c>
      <c r="C787" t="s">
        <v>132</v>
      </c>
      <c r="D787" t="s">
        <v>16</v>
      </c>
      <c r="E787" t="s">
        <v>41</v>
      </c>
      <c r="F787">
        <v>313000000</v>
      </c>
      <c r="G787" t="s">
        <v>26</v>
      </c>
      <c r="H787" t="s">
        <v>81</v>
      </c>
      <c r="I787" t="s">
        <v>9</v>
      </c>
      <c r="L787" t="s">
        <v>161</v>
      </c>
      <c r="M787">
        <v>313000000</v>
      </c>
    </row>
    <row r="788" spans="1:13" x14ac:dyDescent="0.3">
      <c r="A788" s="23">
        <v>45183</v>
      </c>
      <c r="B788" t="s">
        <v>12</v>
      </c>
      <c r="C788" t="s">
        <v>132</v>
      </c>
      <c r="D788" t="s">
        <v>17</v>
      </c>
      <c r="E788" t="s">
        <v>41</v>
      </c>
      <c r="F788">
        <v>54600000</v>
      </c>
      <c r="G788" t="s">
        <v>26</v>
      </c>
      <c r="H788" t="s">
        <v>81</v>
      </c>
      <c r="I788" t="s">
        <v>9</v>
      </c>
      <c r="L788" t="s">
        <v>161</v>
      </c>
      <c r="M788">
        <v>-54600000</v>
      </c>
    </row>
    <row r="789" spans="1:13" x14ac:dyDescent="0.3">
      <c r="A789" s="23">
        <v>45327</v>
      </c>
      <c r="B789" t="s">
        <v>12</v>
      </c>
      <c r="C789" t="s">
        <v>132</v>
      </c>
      <c r="D789" t="s">
        <v>17</v>
      </c>
      <c r="E789" t="s">
        <v>41</v>
      </c>
      <c r="F789">
        <v>50000000</v>
      </c>
      <c r="G789" t="s">
        <v>26</v>
      </c>
      <c r="H789" t="s">
        <v>81</v>
      </c>
      <c r="I789" t="s">
        <v>9</v>
      </c>
      <c r="L789" t="s">
        <v>161</v>
      </c>
      <c r="M789">
        <v>-50000000</v>
      </c>
    </row>
    <row r="790" spans="1:13" x14ac:dyDescent="0.3">
      <c r="A790" s="23">
        <v>45323</v>
      </c>
      <c r="B790" t="s">
        <v>12</v>
      </c>
      <c r="C790" t="s">
        <v>132</v>
      </c>
      <c r="D790" t="s">
        <v>17</v>
      </c>
      <c r="E790" t="s">
        <v>41</v>
      </c>
      <c r="F790">
        <v>334600000</v>
      </c>
      <c r="G790" t="s">
        <v>26</v>
      </c>
      <c r="H790" t="s">
        <v>81</v>
      </c>
      <c r="I790" t="s">
        <v>9</v>
      </c>
      <c r="L790" t="s">
        <v>161</v>
      </c>
      <c r="M790">
        <v>-334600000</v>
      </c>
    </row>
    <row r="791" spans="1:13" x14ac:dyDescent="0.3">
      <c r="A791" s="23">
        <v>45184</v>
      </c>
      <c r="B791" t="s">
        <v>12</v>
      </c>
      <c r="C791" t="s">
        <v>132</v>
      </c>
      <c r="D791" t="s">
        <v>16</v>
      </c>
      <c r="E791" t="s">
        <v>41</v>
      </c>
      <c r="F791">
        <v>2639307.5699999998</v>
      </c>
      <c r="G791" t="s">
        <v>26</v>
      </c>
      <c r="H791" t="s">
        <v>81</v>
      </c>
      <c r="I791" t="s">
        <v>9</v>
      </c>
      <c r="L791" t="s">
        <v>161</v>
      </c>
      <c r="M791">
        <v>2639307.5699999998</v>
      </c>
    </row>
    <row r="792" spans="1:13" x14ac:dyDescent="0.3">
      <c r="A792" s="23">
        <v>45321</v>
      </c>
      <c r="B792" t="s">
        <v>12</v>
      </c>
      <c r="C792" t="s">
        <v>132</v>
      </c>
      <c r="D792" t="s">
        <v>16</v>
      </c>
      <c r="E792" t="s">
        <v>41</v>
      </c>
      <c r="F792">
        <v>400000000</v>
      </c>
      <c r="G792" t="s">
        <v>26</v>
      </c>
      <c r="H792" t="s">
        <v>81</v>
      </c>
      <c r="I792" t="s">
        <v>9</v>
      </c>
      <c r="L792" t="s">
        <v>161</v>
      </c>
      <c r="M792">
        <v>400000000</v>
      </c>
    </row>
    <row r="793" spans="1:13" x14ac:dyDescent="0.3">
      <c r="A793" s="23">
        <v>45317</v>
      </c>
      <c r="B793" t="s">
        <v>12</v>
      </c>
      <c r="C793" t="s">
        <v>132</v>
      </c>
      <c r="D793" t="s">
        <v>16</v>
      </c>
      <c r="E793" t="s">
        <v>41</v>
      </c>
      <c r="F793">
        <v>4700000</v>
      </c>
      <c r="G793" t="s">
        <v>26</v>
      </c>
      <c r="H793" t="s">
        <v>81</v>
      </c>
      <c r="I793" t="s">
        <v>9</v>
      </c>
      <c r="L793" t="s">
        <v>161</v>
      </c>
      <c r="M793">
        <v>4700000</v>
      </c>
    </row>
    <row r="794" spans="1:13" x14ac:dyDescent="0.3">
      <c r="A794" s="23">
        <v>45310</v>
      </c>
      <c r="B794" t="s">
        <v>12</v>
      </c>
      <c r="C794" t="s">
        <v>132</v>
      </c>
      <c r="D794" t="s">
        <v>16</v>
      </c>
      <c r="E794" t="s">
        <v>41</v>
      </c>
      <c r="F794">
        <v>19300000</v>
      </c>
      <c r="G794" t="s">
        <v>26</v>
      </c>
      <c r="H794" t="s">
        <v>81</v>
      </c>
      <c r="I794" t="s">
        <v>9</v>
      </c>
      <c r="L794" t="s">
        <v>161</v>
      </c>
      <c r="M794">
        <v>19300000</v>
      </c>
    </row>
    <row r="795" spans="1:13" x14ac:dyDescent="0.3">
      <c r="A795" s="23">
        <v>45188</v>
      </c>
      <c r="B795" t="s">
        <v>12</v>
      </c>
      <c r="C795" t="s">
        <v>132</v>
      </c>
      <c r="D795" t="s">
        <v>16</v>
      </c>
      <c r="E795" t="s">
        <v>41</v>
      </c>
      <c r="F795">
        <v>35700000</v>
      </c>
      <c r="G795" t="s">
        <v>26</v>
      </c>
      <c r="H795" t="s">
        <v>81</v>
      </c>
      <c r="I795" t="s">
        <v>9</v>
      </c>
      <c r="L795" t="s">
        <v>161</v>
      </c>
      <c r="M795">
        <v>35700000</v>
      </c>
    </row>
    <row r="796" spans="1:13" x14ac:dyDescent="0.3">
      <c r="A796" s="23">
        <v>45307</v>
      </c>
      <c r="B796" t="s">
        <v>12</v>
      </c>
      <c r="C796" t="s">
        <v>132</v>
      </c>
      <c r="D796" t="s">
        <v>17</v>
      </c>
      <c r="E796" t="s">
        <v>41</v>
      </c>
      <c r="F796">
        <v>5000000</v>
      </c>
      <c r="G796" t="s">
        <v>26</v>
      </c>
      <c r="H796" t="s">
        <v>81</v>
      </c>
      <c r="I796" t="s">
        <v>9</v>
      </c>
      <c r="L796" t="s">
        <v>161</v>
      </c>
      <c r="M796">
        <v>-5000000</v>
      </c>
    </row>
    <row r="797" spans="1:13" x14ac:dyDescent="0.3">
      <c r="A797" s="23">
        <v>45190</v>
      </c>
      <c r="B797" t="s">
        <v>12</v>
      </c>
      <c r="C797" t="s">
        <v>132</v>
      </c>
      <c r="D797" t="s">
        <v>17</v>
      </c>
      <c r="E797" t="s">
        <v>41</v>
      </c>
      <c r="F797">
        <v>49700000</v>
      </c>
      <c r="G797" t="s">
        <v>26</v>
      </c>
      <c r="H797" t="s">
        <v>81</v>
      </c>
      <c r="I797" t="s">
        <v>9</v>
      </c>
      <c r="L797" t="s">
        <v>161</v>
      </c>
      <c r="M797">
        <v>-49700000</v>
      </c>
    </row>
    <row r="798" spans="1:13" x14ac:dyDescent="0.3">
      <c r="A798" s="23">
        <v>45194</v>
      </c>
      <c r="B798" t="s">
        <v>12</v>
      </c>
      <c r="C798" t="s">
        <v>132</v>
      </c>
      <c r="D798" t="s">
        <v>17</v>
      </c>
      <c r="E798" t="s">
        <v>41</v>
      </c>
      <c r="F798">
        <v>2173037.6800000002</v>
      </c>
      <c r="G798" t="s">
        <v>26</v>
      </c>
      <c r="H798" t="s">
        <v>81</v>
      </c>
      <c r="I798" t="s">
        <v>9</v>
      </c>
      <c r="L798" t="s">
        <v>161</v>
      </c>
      <c r="M798">
        <v>-2173037.6800000002</v>
      </c>
    </row>
    <row r="799" spans="1:13" x14ac:dyDescent="0.3">
      <c r="A799" s="23">
        <v>45299</v>
      </c>
      <c r="B799" t="s">
        <v>12</v>
      </c>
      <c r="C799" t="s">
        <v>132</v>
      </c>
      <c r="D799" t="s">
        <v>16</v>
      </c>
      <c r="E799" t="s">
        <v>41</v>
      </c>
      <c r="F799">
        <v>8700000</v>
      </c>
      <c r="G799" t="s">
        <v>26</v>
      </c>
      <c r="H799" t="s">
        <v>81</v>
      </c>
      <c r="I799" t="s">
        <v>9</v>
      </c>
      <c r="L799" t="s">
        <v>161</v>
      </c>
      <c r="M799">
        <v>8700000</v>
      </c>
    </row>
    <row r="800" spans="1:13" x14ac:dyDescent="0.3">
      <c r="A800" s="23">
        <v>45295</v>
      </c>
      <c r="B800" t="s">
        <v>12</v>
      </c>
      <c r="C800" t="s">
        <v>132</v>
      </c>
      <c r="D800" t="s">
        <v>17</v>
      </c>
      <c r="E800" t="s">
        <v>41</v>
      </c>
      <c r="F800">
        <v>300000000</v>
      </c>
      <c r="G800" t="s">
        <v>26</v>
      </c>
      <c r="H800" t="s">
        <v>81</v>
      </c>
      <c r="I800" t="s">
        <v>9</v>
      </c>
      <c r="L800" t="s">
        <v>161</v>
      </c>
      <c r="M800">
        <v>-300000000</v>
      </c>
    </row>
    <row r="801" spans="1:13" x14ac:dyDescent="0.3">
      <c r="A801" s="23">
        <v>45195</v>
      </c>
      <c r="B801" t="s">
        <v>12</v>
      </c>
      <c r="C801" t="s">
        <v>132</v>
      </c>
      <c r="D801" t="s">
        <v>16</v>
      </c>
      <c r="E801" t="s">
        <v>41</v>
      </c>
      <c r="F801">
        <v>80000000</v>
      </c>
      <c r="G801" t="s">
        <v>26</v>
      </c>
      <c r="H801" t="s">
        <v>81</v>
      </c>
      <c r="I801" t="s">
        <v>9</v>
      </c>
      <c r="L801" t="s">
        <v>161</v>
      </c>
      <c r="M801">
        <v>80000000</v>
      </c>
    </row>
    <row r="802" spans="1:13" x14ac:dyDescent="0.3">
      <c r="A802" s="23">
        <v>45294</v>
      </c>
      <c r="B802" t="s">
        <v>12</v>
      </c>
      <c r="C802" t="s">
        <v>132</v>
      </c>
      <c r="D802" t="s">
        <v>17</v>
      </c>
      <c r="E802" t="s">
        <v>41</v>
      </c>
      <c r="F802">
        <v>230300000</v>
      </c>
      <c r="G802" t="s">
        <v>26</v>
      </c>
      <c r="H802" t="s">
        <v>81</v>
      </c>
      <c r="I802" t="s">
        <v>9</v>
      </c>
      <c r="L802" t="s">
        <v>161</v>
      </c>
      <c r="M802">
        <v>-230300000</v>
      </c>
    </row>
    <row r="803" spans="1:13" x14ac:dyDescent="0.3">
      <c r="A803" s="23">
        <v>45196</v>
      </c>
      <c r="B803" t="s">
        <v>12</v>
      </c>
      <c r="C803" t="s">
        <v>132</v>
      </c>
      <c r="D803" t="s">
        <v>17</v>
      </c>
      <c r="E803" t="s">
        <v>41</v>
      </c>
      <c r="F803">
        <v>57900000</v>
      </c>
      <c r="G803" t="s">
        <v>26</v>
      </c>
      <c r="H803" t="s">
        <v>81</v>
      </c>
      <c r="I803" t="s">
        <v>9</v>
      </c>
      <c r="L803" t="s">
        <v>161</v>
      </c>
      <c r="M803">
        <v>-57900000</v>
      </c>
    </row>
    <row r="804" spans="1:13" x14ac:dyDescent="0.3">
      <c r="A804" s="23">
        <v>45289</v>
      </c>
      <c r="B804" t="s">
        <v>12</v>
      </c>
      <c r="C804" t="s">
        <v>132</v>
      </c>
      <c r="D804" t="s">
        <v>16</v>
      </c>
      <c r="E804" t="s">
        <v>41</v>
      </c>
      <c r="F804">
        <v>496200000</v>
      </c>
      <c r="G804" t="s">
        <v>26</v>
      </c>
      <c r="H804" t="s">
        <v>81</v>
      </c>
      <c r="I804" t="s">
        <v>9</v>
      </c>
      <c r="L804" t="s">
        <v>161</v>
      </c>
      <c r="M804">
        <v>496200000</v>
      </c>
    </row>
    <row r="805" spans="1:13" x14ac:dyDescent="0.3">
      <c r="A805" s="23">
        <v>45197</v>
      </c>
      <c r="B805" t="s">
        <v>12</v>
      </c>
      <c r="C805" t="s">
        <v>132</v>
      </c>
      <c r="D805" t="s">
        <v>17</v>
      </c>
      <c r="E805" t="s">
        <v>41</v>
      </c>
      <c r="F805">
        <v>12100000</v>
      </c>
      <c r="G805" t="s">
        <v>26</v>
      </c>
      <c r="H805" t="s">
        <v>81</v>
      </c>
      <c r="I805" t="s">
        <v>9</v>
      </c>
      <c r="L805" t="s">
        <v>161</v>
      </c>
      <c r="M805">
        <v>-12100000</v>
      </c>
    </row>
    <row r="806" spans="1:13" x14ac:dyDescent="0.3">
      <c r="A806" s="23">
        <v>45288</v>
      </c>
      <c r="B806" t="s">
        <v>12</v>
      </c>
      <c r="C806" t="s">
        <v>132</v>
      </c>
      <c r="D806" t="s">
        <v>17</v>
      </c>
      <c r="E806" t="s">
        <v>41</v>
      </c>
      <c r="F806">
        <v>389300000</v>
      </c>
      <c r="G806" t="s">
        <v>26</v>
      </c>
      <c r="H806" t="s">
        <v>81</v>
      </c>
      <c r="I806" t="s">
        <v>9</v>
      </c>
      <c r="L806" t="s">
        <v>161</v>
      </c>
      <c r="M806">
        <v>-389300000</v>
      </c>
    </row>
    <row r="807" spans="1:13" x14ac:dyDescent="0.3">
      <c r="A807" s="23">
        <v>45198</v>
      </c>
      <c r="B807" t="s">
        <v>12</v>
      </c>
      <c r="C807" t="s">
        <v>132</v>
      </c>
      <c r="D807" t="s">
        <v>17</v>
      </c>
      <c r="E807" t="s">
        <v>41</v>
      </c>
      <c r="F807">
        <v>10000000</v>
      </c>
      <c r="G807" t="s">
        <v>26</v>
      </c>
      <c r="H807" t="s">
        <v>81</v>
      </c>
      <c r="I807" t="s">
        <v>9</v>
      </c>
      <c r="L807" t="s">
        <v>161</v>
      </c>
      <c r="M807">
        <v>-10000000</v>
      </c>
    </row>
    <row r="808" spans="1:13" x14ac:dyDescent="0.3">
      <c r="A808" s="23">
        <v>45287</v>
      </c>
      <c r="B808" t="s">
        <v>12</v>
      </c>
      <c r="C808" t="s">
        <v>132</v>
      </c>
      <c r="D808" t="s">
        <v>16</v>
      </c>
      <c r="E808" t="s">
        <v>41</v>
      </c>
      <c r="F808">
        <v>442700000</v>
      </c>
      <c r="G808" t="s">
        <v>26</v>
      </c>
      <c r="H808" t="s">
        <v>81</v>
      </c>
      <c r="I808" t="s">
        <v>9</v>
      </c>
      <c r="L808" t="s">
        <v>161</v>
      </c>
      <c r="M808">
        <v>442700000</v>
      </c>
    </row>
    <row r="809" spans="1:13" x14ac:dyDescent="0.3">
      <c r="A809" s="23">
        <v>45287</v>
      </c>
      <c r="B809" t="s">
        <v>12</v>
      </c>
      <c r="C809" t="s">
        <v>132</v>
      </c>
      <c r="D809" t="s">
        <v>17</v>
      </c>
      <c r="E809" t="s">
        <v>41</v>
      </c>
      <c r="F809">
        <v>612762722.71000004</v>
      </c>
      <c r="G809" t="s">
        <v>26</v>
      </c>
      <c r="H809" t="s">
        <v>81</v>
      </c>
      <c r="I809" t="s">
        <v>9</v>
      </c>
      <c r="L809" t="s">
        <v>161</v>
      </c>
      <c r="M809">
        <v>-612762722.71000004</v>
      </c>
    </row>
    <row r="810" spans="1:13" x14ac:dyDescent="0.3">
      <c r="A810" s="23">
        <v>45286</v>
      </c>
      <c r="B810" t="s">
        <v>12</v>
      </c>
      <c r="C810" t="s">
        <v>132</v>
      </c>
      <c r="D810" t="s">
        <v>16</v>
      </c>
      <c r="E810" t="s">
        <v>41</v>
      </c>
      <c r="F810">
        <v>68000000</v>
      </c>
      <c r="G810" t="s">
        <v>26</v>
      </c>
      <c r="H810" t="s">
        <v>81</v>
      </c>
      <c r="I810" t="s">
        <v>9</v>
      </c>
      <c r="L810" t="s">
        <v>161</v>
      </c>
      <c r="M810">
        <v>68000000</v>
      </c>
    </row>
    <row r="811" spans="1:13" x14ac:dyDescent="0.3">
      <c r="A811" s="23">
        <v>45282</v>
      </c>
      <c r="B811" t="s">
        <v>12</v>
      </c>
      <c r="C811" t="s">
        <v>132</v>
      </c>
      <c r="D811" t="s">
        <v>16</v>
      </c>
      <c r="E811" t="s">
        <v>41</v>
      </c>
      <c r="F811">
        <v>32462722.710000001</v>
      </c>
      <c r="G811" t="s">
        <v>26</v>
      </c>
      <c r="H811" t="s">
        <v>81</v>
      </c>
      <c r="I811" t="s">
        <v>9</v>
      </c>
      <c r="L811" t="s">
        <v>161</v>
      </c>
      <c r="M811">
        <v>32462722.710000001</v>
      </c>
    </row>
    <row r="812" spans="1:13" x14ac:dyDescent="0.3">
      <c r="A812" s="23">
        <v>45281</v>
      </c>
      <c r="B812" t="s">
        <v>12</v>
      </c>
      <c r="C812" t="s">
        <v>132</v>
      </c>
      <c r="D812" t="s">
        <v>16</v>
      </c>
      <c r="E812" t="s">
        <v>41</v>
      </c>
      <c r="F812">
        <v>23200000</v>
      </c>
      <c r="G812" t="s">
        <v>26</v>
      </c>
      <c r="H812" t="s">
        <v>81</v>
      </c>
      <c r="I812" t="s">
        <v>9</v>
      </c>
      <c r="L812" t="s">
        <v>161</v>
      </c>
      <c r="M812">
        <v>23200000</v>
      </c>
    </row>
    <row r="813" spans="1:13" x14ac:dyDescent="0.3">
      <c r="A813" s="23">
        <v>45281</v>
      </c>
      <c r="B813" t="s">
        <v>12</v>
      </c>
      <c r="C813" t="s">
        <v>132</v>
      </c>
      <c r="D813" t="s">
        <v>17</v>
      </c>
      <c r="E813" t="s">
        <v>41</v>
      </c>
      <c r="F813">
        <v>217200000</v>
      </c>
      <c r="G813" t="s">
        <v>26</v>
      </c>
      <c r="H813" t="s">
        <v>81</v>
      </c>
      <c r="I813" t="s">
        <v>9</v>
      </c>
      <c r="L813" t="s">
        <v>161</v>
      </c>
      <c r="M813">
        <v>-217200000</v>
      </c>
    </row>
    <row r="814" spans="1:13" x14ac:dyDescent="0.3">
      <c r="A814" s="23">
        <v>45280</v>
      </c>
      <c r="B814" t="s">
        <v>12</v>
      </c>
      <c r="C814" t="s">
        <v>132</v>
      </c>
      <c r="D814" t="s">
        <v>17</v>
      </c>
      <c r="E814" t="s">
        <v>41</v>
      </c>
      <c r="F814">
        <v>47600000</v>
      </c>
      <c r="G814" t="s">
        <v>26</v>
      </c>
      <c r="H814" t="s">
        <v>81</v>
      </c>
      <c r="I814" t="s">
        <v>9</v>
      </c>
      <c r="L814" t="s">
        <v>161</v>
      </c>
      <c r="M814">
        <v>-47600000</v>
      </c>
    </row>
    <row r="815" spans="1:13" x14ac:dyDescent="0.3">
      <c r="A815" s="23">
        <v>45279</v>
      </c>
      <c r="B815" t="s">
        <v>12</v>
      </c>
      <c r="C815" t="s">
        <v>132</v>
      </c>
      <c r="D815" t="s">
        <v>17</v>
      </c>
      <c r="E815" t="s">
        <v>41</v>
      </c>
      <c r="F815">
        <v>908000000</v>
      </c>
      <c r="G815" t="s">
        <v>26</v>
      </c>
      <c r="H815" t="s">
        <v>81</v>
      </c>
      <c r="I815" t="s">
        <v>9</v>
      </c>
      <c r="L815" t="s">
        <v>161</v>
      </c>
      <c r="M815">
        <v>-908000000</v>
      </c>
    </row>
    <row r="816" spans="1:13" x14ac:dyDescent="0.3">
      <c r="A816" s="23">
        <v>45278</v>
      </c>
      <c r="B816" t="s">
        <v>12</v>
      </c>
      <c r="C816" t="s">
        <v>132</v>
      </c>
      <c r="D816" t="s">
        <v>17</v>
      </c>
      <c r="E816" t="s">
        <v>41</v>
      </c>
      <c r="F816">
        <v>1373600000</v>
      </c>
      <c r="G816" t="s">
        <v>26</v>
      </c>
      <c r="H816" t="s">
        <v>81</v>
      </c>
      <c r="I816" t="s">
        <v>9</v>
      </c>
      <c r="L816" t="s">
        <v>161</v>
      </c>
      <c r="M816">
        <v>-1373600000</v>
      </c>
    </row>
    <row r="817" spans="1:13" x14ac:dyDescent="0.3">
      <c r="A817" s="23">
        <v>45203</v>
      </c>
      <c r="B817" t="s">
        <v>12</v>
      </c>
      <c r="C817" t="s">
        <v>132</v>
      </c>
      <c r="D817" t="s">
        <v>16</v>
      </c>
      <c r="E817" t="s">
        <v>41</v>
      </c>
      <c r="F817">
        <v>16000000</v>
      </c>
      <c r="G817" t="s">
        <v>26</v>
      </c>
      <c r="H817" t="s">
        <v>81</v>
      </c>
      <c r="I817" t="s">
        <v>9</v>
      </c>
      <c r="L817" t="s">
        <v>161</v>
      </c>
      <c r="M817">
        <v>16000000</v>
      </c>
    </row>
    <row r="818" spans="1:13" x14ac:dyDescent="0.3">
      <c r="A818" s="23">
        <v>45204</v>
      </c>
      <c r="B818" t="s">
        <v>12</v>
      </c>
      <c r="C818" t="s">
        <v>132</v>
      </c>
      <c r="D818" t="s">
        <v>16</v>
      </c>
      <c r="E818" t="s">
        <v>41</v>
      </c>
      <c r="F818">
        <v>15300000</v>
      </c>
      <c r="G818" t="s">
        <v>26</v>
      </c>
      <c r="H818" t="s">
        <v>81</v>
      </c>
      <c r="I818" t="s">
        <v>9</v>
      </c>
      <c r="L818" t="s">
        <v>161</v>
      </c>
      <c r="M818">
        <v>15300000</v>
      </c>
    </row>
    <row r="819" spans="1:13" x14ac:dyDescent="0.3">
      <c r="A819" s="23">
        <v>45275</v>
      </c>
      <c r="B819" t="s">
        <v>12</v>
      </c>
      <c r="C819" t="s">
        <v>132</v>
      </c>
      <c r="D819" t="s">
        <v>16</v>
      </c>
      <c r="E819" t="s">
        <v>41</v>
      </c>
      <c r="F819">
        <v>3000000000</v>
      </c>
      <c r="G819" t="s">
        <v>26</v>
      </c>
      <c r="H819" t="s">
        <v>81</v>
      </c>
      <c r="I819" t="s">
        <v>9</v>
      </c>
      <c r="L819" t="s">
        <v>161</v>
      </c>
      <c r="M819">
        <v>3000000000</v>
      </c>
    </row>
    <row r="820" spans="1:13" x14ac:dyDescent="0.3">
      <c r="A820" s="23">
        <v>45274</v>
      </c>
      <c r="B820" t="s">
        <v>12</v>
      </c>
      <c r="C820" t="s">
        <v>132</v>
      </c>
      <c r="D820" t="s">
        <v>16</v>
      </c>
      <c r="E820" t="s">
        <v>41</v>
      </c>
      <c r="F820">
        <v>35500000</v>
      </c>
      <c r="G820" t="s">
        <v>26</v>
      </c>
      <c r="H820" t="s">
        <v>81</v>
      </c>
      <c r="I820" t="s">
        <v>9</v>
      </c>
      <c r="L820" t="s">
        <v>161</v>
      </c>
      <c r="M820">
        <v>35500000</v>
      </c>
    </row>
    <row r="821" spans="1:13" x14ac:dyDescent="0.3">
      <c r="A821" s="23">
        <v>45271</v>
      </c>
      <c r="B821" t="s">
        <v>12</v>
      </c>
      <c r="C821" t="s">
        <v>132</v>
      </c>
      <c r="D821" t="s">
        <v>17</v>
      </c>
      <c r="E821" t="s">
        <v>41</v>
      </c>
      <c r="F821">
        <v>14065325.93</v>
      </c>
      <c r="G821" t="s">
        <v>26</v>
      </c>
      <c r="H821" t="s">
        <v>81</v>
      </c>
      <c r="I821" t="s">
        <v>9</v>
      </c>
      <c r="L821" t="s">
        <v>161</v>
      </c>
      <c r="M821">
        <v>-14065325.93</v>
      </c>
    </row>
    <row r="822" spans="1:13" x14ac:dyDescent="0.3">
      <c r="A822" s="23">
        <v>45205</v>
      </c>
      <c r="B822" t="s">
        <v>12</v>
      </c>
      <c r="C822" t="s">
        <v>132</v>
      </c>
      <c r="D822" t="s">
        <v>17</v>
      </c>
      <c r="E822" t="s">
        <v>41</v>
      </c>
      <c r="F822">
        <v>31300000</v>
      </c>
      <c r="G822" t="s">
        <v>26</v>
      </c>
      <c r="H822" t="s">
        <v>81</v>
      </c>
      <c r="I822" t="s">
        <v>9</v>
      </c>
      <c r="L822" t="s">
        <v>161</v>
      </c>
      <c r="M822">
        <v>-31300000</v>
      </c>
    </row>
    <row r="823" spans="1:13" x14ac:dyDescent="0.3">
      <c r="A823" s="23">
        <v>45267</v>
      </c>
      <c r="B823" t="s">
        <v>12</v>
      </c>
      <c r="C823" t="s">
        <v>132</v>
      </c>
      <c r="D823" t="s">
        <v>17</v>
      </c>
      <c r="E823" t="s">
        <v>41</v>
      </c>
      <c r="F823">
        <v>14500000</v>
      </c>
      <c r="G823" t="s">
        <v>26</v>
      </c>
      <c r="H823" t="s">
        <v>81</v>
      </c>
      <c r="I823" t="s">
        <v>9</v>
      </c>
      <c r="L823" t="s">
        <v>161</v>
      </c>
      <c r="M823">
        <v>-14500000</v>
      </c>
    </row>
    <row r="824" spans="1:13" x14ac:dyDescent="0.3">
      <c r="A824" s="23">
        <v>45265</v>
      </c>
      <c r="B824" t="s">
        <v>12</v>
      </c>
      <c r="C824" t="s">
        <v>132</v>
      </c>
      <c r="D824" t="s">
        <v>17</v>
      </c>
      <c r="E824" t="s">
        <v>41</v>
      </c>
      <c r="F824">
        <v>8363769.6600000001</v>
      </c>
      <c r="G824" t="s">
        <v>26</v>
      </c>
      <c r="H824" t="s">
        <v>81</v>
      </c>
      <c r="I824" t="s">
        <v>9</v>
      </c>
      <c r="L824" t="s">
        <v>161</v>
      </c>
      <c r="M824">
        <v>-8363769.6600000001</v>
      </c>
    </row>
    <row r="825" spans="1:13" x14ac:dyDescent="0.3">
      <c r="A825" s="23">
        <v>45261</v>
      </c>
      <c r="B825" t="s">
        <v>12</v>
      </c>
      <c r="C825" t="s">
        <v>132</v>
      </c>
      <c r="D825" t="s">
        <v>17</v>
      </c>
      <c r="E825" t="s">
        <v>41</v>
      </c>
      <c r="F825">
        <v>62900000</v>
      </c>
      <c r="G825" t="s">
        <v>26</v>
      </c>
      <c r="H825" t="s">
        <v>81</v>
      </c>
      <c r="I825" t="s">
        <v>9</v>
      </c>
      <c r="L825" t="s">
        <v>161</v>
      </c>
      <c r="M825">
        <v>-62900000</v>
      </c>
    </row>
    <row r="826" spans="1:13" x14ac:dyDescent="0.3">
      <c r="A826" s="23">
        <v>45259</v>
      </c>
      <c r="B826" t="s">
        <v>12</v>
      </c>
      <c r="C826" t="s">
        <v>132</v>
      </c>
      <c r="D826" t="s">
        <v>16</v>
      </c>
      <c r="E826" t="s">
        <v>41</v>
      </c>
      <c r="F826">
        <v>87800000</v>
      </c>
      <c r="G826" t="s">
        <v>26</v>
      </c>
      <c r="H826" t="s">
        <v>81</v>
      </c>
      <c r="I826" t="s">
        <v>9</v>
      </c>
      <c r="L826" t="s">
        <v>161</v>
      </c>
      <c r="M826">
        <v>87800000</v>
      </c>
    </row>
    <row r="827" spans="1:13" x14ac:dyDescent="0.3">
      <c r="A827" s="23">
        <v>45254</v>
      </c>
      <c r="B827" t="s">
        <v>12</v>
      </c>
      <c r="C827" t="s">
        <v>132</v>
      </c>
      <c r="D827" t="s">
        <v>17</v>
      </c>
      <c r="E827" t="s">
        <v>41</v>
      </c>
      <c r="F827">
        <v>44200000</v>
      </c>
      <c r="G827" t="s">
        <v>26</v>
      </c>
      <c r="H827" t="s">
        <v>81</v>
      </c>
      <c r="I827" t="s">
        <v>9</v>
      </c>
      <c r="L827" t="s">
        <v>161</v>
      </c>
      <c r="M827">
        <v>-44200000</v>
      </c>
    </row>
    <row r="828" spans="1:13" x14ac:dyDescent="0.3">
      <c r="A828" s="23">
        <v>45253</v>
      </c>
      <c r="B828" t="s">
        <v>12</v>
      </c>
      <c r="C828" t="s">
        <v>132</v>
      </c>
      <c r="D828" t="s">
        <v>16</v>
      </c>
      <c r="E828" t="s">
        <v>41</v>
      </c>
      <c r="F828">
        <v>31800000</v>
      </c>
      <c r="G828" t="s">
        <v>26</v>
      </c>
      <c r="H828" t="s">
        <v>81</v>
      </c>
      <c r="I828" t="s">
        <v>9</v>
      </c>
      <c r="L828" t="s">
        <v>161</v>
      </c>
      <c r="M828">
        <v>31800000</v>
      </c>
    </row>
    <row r="829" spans="1:13" x14ac:dyDescent="0.3">
      <c r="A829" s="23">
        <v>45247</v>
      </c>
      <c r="B829" t="s">
        <v>12</v>
      </c>
      <c r="C829" t="s">
        <v>132</v>
      </c>
      <c r="D829" t="s">
        <v>17</v>
      </c>
      <c r="E829" t="s">
        <v>41</v>
      </c>
      <c r="F829">
        <v>150000000</v>
      </c>
      <c r="G829" t="s">
        <v>26</v>
      </c>
      <c r="H829" t="s">
        <v>81</v>
      </c>
      <c r="I829" t="s">
        <v>9</v>
      </c>
      <c r="L829" t="s">
        <v>161</v>
      </c>
      <c r="M829">
        <v>-150000000</v>
      </c>
    </row>
    <row r="830" spans="1:13" x14ac:dyDescent="0.3">
      <c r="A830" s="23">
        <v>45247</v>
      </c>
      <c r="B830" t="s">
        <v>12</v>
      </c>
      <c r="C830" t="s">
        <v>132</v>
      </c>
      <c r="D830" t="s">
        <v>17</v>
      </c>
      <c r="E830" t="s">
        <v>41</v>
      </c>
      <c r="F830">
        <v>303200000</v>
      </c>
      <c r="G830" t="s">
        <v>26</v>
      </c>
      <c r="H830" t="s">
        <v>81</v>
      </c>
      <c r="I830" t="s">
        <v>9</v>
      </c>
      <c r="L830" t="s">
        <v>161</v>
      </c>
      <c r="M830">
        <v>-303200000</v>
      </c>
    </row>
    <row r="831" spans="1:13" x14ac:dyDescent="0.3">
      <c r="A831" s="23">
        <v>45247</v>
      </c>
      <c r="B831" t="s">
        <v>12</v>
      </c>
      <c r="C831" t="s">
        <v>132</v>
      </c>
      <c r="D831" t="s">
        <v>16</v>
      </c>
      <c r="E831" t="s">
        <v>41</v>
      </c>
      <c r="F831">
        <v>1378898.31</v>
      </c>
      <c r="G831" t="s">
        <v>26</v>
      </c>
      <c r="H831" t="s">
        <v>81</v>
      </c>
      <c r="I831" t="s">
        <v>9</v>
      </c>
      <c r="L831" t="s">
        <v>161</v>
      </c>
      <c r="M831">
        <v>1378898.31</v>
      </c>
    </row>
    <row r="832" spans="1:13" x14ac:dyDescent="0.3">
      <c r="A832" s="23">
        <v>45246</v>
      </c>
      <c r="B832" t="s">
        <v>12</v>
      </c>
      <c r="C832" t="s">
        <v>132</v>
      </c>
      <c r="D832" t="s">
        <v>16</v>
      </c>
      <c r="E832" t="s">
        <v>41</v>
      </c>
      <c r="F832">
        <v>278200000</v>
      </c>
      <c r="G832" t="s">
        <v>26</v>
      </c>
      <c r="H832" t="s">
        <v>81</v>
      </c>
      <c r="I832" t="s">
        <v>9</v>
      </c>
      <c r="L832" t="s">
        <v>161</v>
      </c>
      <c r="M832">
        <v>278200000</v>
      </c>
    </row>
    <row r="833" spans="1:13" x14ac:dyDescent="0.3">
      <c r="A833" s="23">
        <v>45246</v>
      </c>
      <c r="B833" t="s">
        <v>12</v>
      </c>
      <c r="C833" t="s">
        <v>132</v>
      </c>
      <c r="D833" t="s">
        <v>16</v>
      </c>
      <c r="E833" t="s">
        <v>41</v>
      </c>
      <c r="F833">
        <v>3550197.28</v>
      </c>
      <c r="G833" t="s">
        <v>26</v>
      </c>
      <c r="H833" t="s">
        <v>81</v>
      </c>
      <c r="I833" t="s">
        <v>9</v>
      </c>
      <c r="L833" t="s">
        <v>161</v>
      </c>
      <c r="M833">
        <v>3550197.28</v>
      </c>
    </row>
    <row r="834" spans="1:13" x14ac:dyDescent="0.3">
      <c r="A834" s="23">
        <v>45245</v>
      </c>
      <c r="B834" t="s">
        <v>12</v>
      </c>
      <c r="C834" t="s">
        <v>132</v>
      </c>
      <c r="D834" t="s">
        <v>16</v>
      </c>
      <c r="E834" t="s">
        <v>41</v>
      </c>
      <c r="F834">
        <v>69100000</v>
      </c>
      <c r="G834" t="s">
        <v>26</v>
      </c>
      <c r="H834" t="s">
        <v>81</v>
      </c>
      <c r="I834" t="s">
        <v>9</v>
      </c>
      <c r="L834" t="s">
        <v>161</v>
      </c>
      <c r="M834">
        <v>69100000</v>
      </c>
    </row>
    <row r="835" spans="1:13" x14ac:dyDescent="0.3">
      <c r="A835" s="23">
        <v>45243</v>
      </c>
      <c r="B835" t="s">
        <v>12</v>
      </c>
      <c r="C835" t="s">
        <v>132</v>
      </c>
      <c r="D835" t="s">
        <v>17</v>
      </c>
      <c r="E835" t="s">
        <v>41</v>
      </c>
      <c r="F835">
        <v>100000000</v>
      </c>
      <c r="G835" t="s">
        <v>26</v>
      </c>
      <c r="H835" t="s">
        <v>81</v>
      </c>
      <c r="I835" t="s">
        <v>9</v>
      </c>
      <c r="L835" t="s">
        <v>161</v>
      </c>
      <c r="M835">
        <v>-100000000</v>
      </c>
    </row>
    <row r="836" spans="1:13" x14ac:dyDescent="0.3">
      <c r="A836" s="23">
        <v>45240</v>
      </c>
      <c r="B836" t="s">
        <v>12</v>
      </c>
      <c r="C836" t="s">
        <v>132</v>
      </c>
      <c r="D836" t="s">
        <v>16</v>
      </c>
      <c r="E836" t="s">
        <v>41</v>
      </c>
      <c r="F836">
        <v>200000000</v>
      </c>
      <c r="G836" t="s">
        <v>26</v>
      </c>
      <c r="H836" t="s">
        <v>81</v>
      </c>
      <c r="I836" t="s">
        <v>9</v>
      </c>
      <c r="L836" t="s">
        <v>161</v>
      </c>
      <c r="M836">
        <v>200000000</v>
      </c>
    </row>
    <row r="837" spans="1:13" x14ac:dyDescent="0.3">
      <c r="A837" s="23">
        <v>45237</v>
      </c>
      <c r="B837" t="s">
        <v>12</v>
      </c>
      <c r="C837" t="s">
        <v>132</v>
      </c>
      <c r="D837" t="s">
        <v>16</v>
      </c>
      <c r="E837" t="s">
        <v>41</v>
      </c>
      <c r="F837">
        <v>24100000</v>
      </c>
      <c r="G837" t="s">
        <v>26</v>
      </c>
      <c r="H837" t="s">
        <v>81</v>
      </c>
      <c r="I837" t="s">
        <v>9</v>
      </c>
      <c r="L837" t="s">
        <v>161</v>
      </c>
      <c r="M837">
        <v>24100000</v>
      </c>
    </row>
    <row r="838" spans="1:13" x14ac:dyDescent="0.3">
      <c r="A838" s="23">
        <v>45233</v>
      </c>
      <c r="B838" t="s">
        <v>12</v>
      </c>
      <c r="C838" t="s">
        <v>132</v>
      </c>
      <c r="D838" t="s">
        <v>16</v>
      </c>
      <c r="E838" t="s">
        <v>41</v>
      </c>
      <c r="F838">
        <v>1300000</v>
      </c>
      <c r="G838" t="s">
        <v>26</v>
      </c>
      <c r="H838" t="s">
        <v>81</v>
      </c>
      <c r="I838" t="s">
        <v>9</v>
      </c>
      <c r="L838" t="s">
        <v>161</v>
      </c>
      <c r="M838">
        <v>1300000</v>
      </c>
    </row>
    <row r="839" spans="1:13" x14ac:dyDescent="0.3">
      <c r="A839" s="23">
        <v>44562</v>
      </c>
      <c r="B839" t="s">
        <v>12</v>
      </c>
      <c r="C839" t="s">
        <v>132</v>
      </c>
      <c r="D839" t="s">
        <v>16</v>
      </c>
      <c r="E839" t="s">
        <v>46</v>
      </c>
      <c r="F839">
        <v>12282349.210000001</v>
      </c>
      <c r="G839" t="s">
        <v>28</v>
      </c>
      <c r="H839" t="s">
        <v>81</v>
      </c>
      <c r="I839" t="s">
        <v>9</v>
      </c>
      <c r="L839" t="s">
        <v>161</v>
      </c>
      <c r="M839">
        <v>12282349.210000001</v>
      </c>
    </row>
    <row r="840" spans="1:13" x14ac:dyDescent="0.3">
      <c r="A840" s="23">
        <v>44564</v>
      </c>
      <c r="B840" t="s">
        <v>12</v>
      </c>
      <c r="C840" t="s">
        <v>132</v>
      </c>
      <c r="D840" t="s">
        <v>17</v>
      </c>
      <c r="E840" t="s">
        <v>46</v>
      </c>
      <c r="F840">
        <v>12282349.210000001</v>
      </c>
      <c r="G840" t="s">
        <v>28</v>
      </c>
      <c r="H840" t="s">
        <v>81</v>
      </c>
      <c r="I840" t="s">
        <v>9</v>
      </c>
      <c r="L840" t="s">
        <v>161</v>
      </c>
      <c r="M840">
        <v>-12282349.210000001</v>
      </c>
    </row>
    <row r="841" spans="1:13" x14ac:dyDescent="0.3">
      <c r="A841" s="23">
        <v>44600</v>
      </c>
      <c r="B841" t="s">
        <v>12</v>
      </c>
      <c r="C841" t="s">
        <v>132</v>
      </c>
      <c r="D841" t="s">
        <v>16</v>
      </c>
      <c r="E841" t="s">
        <v>46</v>
      </c>
      <c r="F841">
        <v>56000000</v>
      </c>
      <c r="G841" t="s">
        <v>28</v>
      </c>
      <c r="H841" t="s">
        <v>81</v>
      </c>
      <c r="I841" t="s">
        <v>9</v>
      </c>
      <c r="L841" t="s">
        <v>161</v>
      </c>
      <c r="M841">
        <v>56000000</v>
      </c>
    </row>
    <row r="842" spans="1:13" x14ac:dyDescent="0.3">
      <c r="A842" s="23">
        <v>44601</v>
      </c>
      <c r="B842" t="s">
        <v>12</v>
      </c>
      <c r="C842" t="s">
        <v>132</v>
      </c>
      <c r="D842" t="s">
        <v>17</v>
      </c>
      <c r="E842" t="s">
        <v>46</v>
      </c>
      <c r="F842">
        <v>41600000</v>
      </c>
      <c r="G842" t="s">
        <v>28</v>
      </c>
      <c r="H842" t="s">
        <v>81</v>
      </c>
      <c r="I842" t="s">
        <v>9</v>
      </c>
      <c r="L842" t="s">
        <v>161</v>
      </c>
      <c r="M842">
        <v>-41600000</v>
      </c>
    </row>
    <row r="843" spans="1:13" x14ac:dyDescent="0.3">
      <c r="A843" s="23">
        <v>44602</v>
      </c>
      <c r="B843" t="s">
        <v>12</v>
      </c>
      <c r="C843" t="s">
        <v>132</v>
      </c>
      <c r="D843" t="s">
        <v>16</v>
      </c>
      <c r="E843" t="s">
        <v>46</v>
      </c>
      <c r="F843">
        <v>34000000</v>
      </c>
      <c r="G843" t="s">
        <v>28</v>
      </c>
      <c r="H843" t="s">
        <v>81</v>
      </c>
      <c r="I843" t="s">
        <v>9</v>
      </c>
      <c r="L843" t="s">
        <v>161</v>
      </c>
      <c r="M843">
        <v>34000000</v>
      </c>
    </row>
    <row r="844" spans="1:13" x14ac:dyDescent="0.3">
      <c r="A844" s="23">
        <v>44603</v>
      </c>
      <c r="B844" t="s">
        <v>12</v>
      </c>
      <c r="C844" t="s">
        <v>132</v>
      </c>
      <c r="D844" t="s">
        <v>17</v>
      </c>
      <c r="E844" t="s">
        <v>46</v>
      </c>
      <c r="F844">
        <v>41500000</v>
      </c>
      <c r="G844" t="s">
        <v>28</v>
      </c>
      <c r="H844" t="s">
        <v>81</v>
      </c>
      <c r="I844" t="s">
        <v>9</v>
      </c>
      <c r="L844" t="s">
        <v>161</v>
      </c>
      <c r="M844">
        <v>-41500000</v>
      </c>
    </row>
    <row r="845" spans="1:13" x14ac:dyDescent="0.3">
      <c r="A845" s="23">
        <v>44607</v>
      </c>
      <c r="B845" t="s">
        <v>12</v>
      </c>
      <c r="C845" t="s">
        <v>132</v>
      </c>
      <c r="D845" t="s">
        <v>16</v>
      </c>
      <c r="E845" t="s">
        <v>46</v>
      </c>
      <c r="F845">
        <v>108800000</v>
      </c>
      <c r="G845" t="s">
        <v>28</v>
      </c>
      <c r="H845" t="s">
        <v>81</v>
      </c>
      <c r="I845" t="s">
        <v>9</v>
      </c>
      <c r="L845" t="s">
        <v>161</v>
      </c>
      <c r="M845">
        <v>108800000</v>
      </c>
    </row>
    <row r="846" spans="1:13" x14ac:dyDescent="0.3">
      <c r="A846" s="23">
        <v>44608</v>
      </c>
      <c r="B846" t="s">
        <v>12</v>
      </c>
      <c r="C846" t="s">
        <v>132</v>
      </c>
      <c r="D846" t="s">
        <v>17</v>
      </c>
      <c r="E846" t="s">
        <v>46</v>
      </c>
      <c r="F846">
        <v>23400000</v>
      </c>
      <c r="G846" t="s">
        <v>28</v>
      </c>
      <c r="H846" t="s">
        <v>81</v>
      </c>
      <c r="I846" t="s">
        <v>9</v>
      </c>
      <c r="L846" t="s">
        <v>161</v>
      </c>
      <c r="M846">
        <v>-23400000</v>
      </c>
    </row>
    <row r="847" spans="1:13" x14ac:dyDescent="0.3">
      <c r="A847" s="23">
        <v>44609</v>
      </c>
      <c r="B847" t="s">
        <v>12</v>
      </c>
      <c r="C847" t="s">
        <v>132</v>
      </c>
      <c r="D847" t="s">
        <v>16</v>
      </c>
      <c r="E847" t="s">
        <v>46</v>
      </c>
      <c r="F847">
        <v>3500000</v>
      </c>
      <c r="G847" t="s">
        <v>28</v>
      </c>
      <c r="H847" t="s">
        <v>81</v>
      </c>
      <c r="I847" t="s">
        <v>9</v>
      </c>
      <c r="L847" t="s">
        <v>161</v>
      </c>
      <c r="M847">
        <v>3500000</v>
      </c>
    </row>
    <row r="848" spans="1:13" x14ac:dyDescent="0.3">
      <c r="A848" s="23">
        <v>44610</v>
      </c>
      <c r="B848" t="s">
        <v>12</v>
      </c>
      <c r="C848" t="s">
        <v>132</v>
      </c>
      <c r="D848" t="s">
        <v>17</v>
      </c>
      <c r="E848" t="s">
        <v>46</v>
      </c>
      <c r="F848">
        <v>13800000</v>
      </c>
      <c r="G848" t="s">
        <v>28</v>
      </c>
      <c r="H848" t="s">
        <v>81</v>
      </c>
      <c r="I848" t="s">
        <v>9</v>
      </c>
      <c r="L848" t="s">
        <v>161</v>
      </c>
      <c r="M848">
        <v>-13800000</v>
      </c>
    </row>
    <row r="849" spans="1:13" x14ac:dyDescent="0.3">
      <c r="A849" s="23">
        <v>44613</v>
      </c>
      <c r="B849" t="s">
        <v>12</v>
      </c>
      <c r="C849" t="s">
        <v>132</v>
      </c>
      <c r="D849" t="s">
        <v>17</v>
      </c>
      <c r="E849" t="s">
        <v>46</v>
      </c>
      <c r="F849">
        <v>21100000</v>
      </c>
      <c r="G849" t="s">
        <v>28</v>
      </c>
      <c r="H849" t="s">
        <v>81</v>
      </c>
      <c r="I849" t="s">
        <v>9</v>
      </c>
      <c r="L849" t="s">
        <v>161</v>
      </c>
      <c r="M849">
        <v>-21100000</v>
      </c>
    </row>
    <row r="850" spans="1:13" x14ac:dyDescent="0.3">
      <c r="A850" s="23">
        <v>44614</v>
      </c>
      <c r="B850" t="s">
        <v>12</v>
      </c>
      <c r="C850" t="s">
        <v>132</v>
      </c>
      <c r="D850" t="s">
        <v>17</v>
      </c>
      <c r="E850" t="s">
        <v>46</v>
      </c>
      <c r="F850">
        <v>46800000</v>
      </c>
      <c r="G850" t="s">
        <v>28</v>
      </c>
      <c r="H850" t="s">
        <v>81</v>
      </c>
      <c r="I850" t="s">
        <v>9</v>
      </c>
      <c r="L850" t="s">
        <v>161</v>
      </c>
      <c r="M850">
        <v>-46800000</v>
      </c>
    </row>
    <row r="851" spans="1:13" x14ac:dyDescent="0.3">
      <c r="A851" s="23">
        <v>44620</v>
      </c>
      <c r="B851" t="s">
        <v>12</v>
      </c>
      <c r="C851" t="s">
        <v>132</v>
      </c>
      <c r="D851" t="s">
        <v>16</v>
      </c>
      <c r="E851" t="s">
        <v>46</v>
      </c>
      <c r="F851">
        <v>666476.21</v>
      </c>
      <c r="G851" t="s">
        <v>28</v>
      </c>
      <c r="H851" t="s">
        <v>81</v>
      </c>
      <c r="I851" t="s">
        <v>9</v>
      </c>
      <c r="L851" t="s">
        <v>161</v>
      </c>
      <c r="M851">
        <v>666476.21</v>
      </c>
    </row>
    <row r="852" spans="1:13" x14ac:dyDescent="0.3">
      <c r="A852" s="23">
        <v>44622</v>
      </c>
      <c r="B852" t="s">
        <v>12</v>
      </c>
      <c r="C852" t="s">
        <v>132</v>
      </c>
      <c r="D852" t="s">
        <v>17</v>
      </c>
      <c r="E852" t="s">
        <v>46</v>
      </c>
      <c r="F852">
        <v>14766476.210000001</v>
      </c>
      <c r="G852" t="s">
        <v>28</v>
      </c>
      <c r="H852" t="s">
        <v>81</v>
      </c>
      <c r="I852" t="s">
        <v>9</v>
      </c>
      <c r="L852" t="s">
        <v>161</v>
      </c>
      <c r="M852">
        <v>-14766476.210000001</v>
      </c>
    </row>
    <row r="853" spans="1:13" x14ac:dyDescent="0.3">
      <c r="A853" s="23">
        <v>44627</v>
      </c>
      <c r="B853" t="s">
        <v>12</v>
      </c>
      <c r="C853" t="s">
        <v>132</v>
      </c>
      <c r="D853" t="s">
        <v>16</v>
      </c>
      <c r="E853" t="s">
        <v>46</v>
      </c>
      <c r="F853">
        <v>800000</v>
      </c>
      <c r="G853" t="s">
        <v>28</v>
      </c>
      <c r="H853" t="s">
        <v>81</v>
      </c>
      <c r="I853" t="s">
        <v>9</v>
      </c>
      <c r="L853" t="s">
        <v>161</v>
      </c>
      <c r="M853">
        <v>800000</v>
      </c>
    </row>
    <row r="854" spans="1:13" x14ac:dyDescent="0.3">
      <c r="A854" s="23">
        <v>44629</v>
      </c>
      <c r="B854" t="s">
        <v>12</v>
      </c>
      <c r="C854" t="s">
        <v>132</v>
      </c>
      <c r="D854" t="s">
        <v>16</v>
      </c>
      <c r="E854" t="s">
        <v>46</v>
      </c>
      <c r="F854">
        <v>74000000</v>
      </c>
      <c r="G854" t="s">
        <v>28</v>
      </c>
      <c r="H854" t="s">
        <v>81</v>
      </c>
      <c r="I854" t="s">
        <v>9</v>
      </c>
      <c r="L854" t="s">
        <v>161</v>
      </c>
      <c r="M854">
        <v>74000000</v>
      </c>
    </row>
    <row r="855" spans="1:13" x14ac:dyDescent="0.3">
      <c r="A855" s="23">
        <v>44630</v>
      </c>
      <c r="B855" t="s">
        <v>12</v>
      </c>
      <c r="C855" t="s">
        <v>132</v>
      </c>
      <c r="D855" t="s">
        <v>17</v>
      </c>
      <c r="E855" t="s">
        <v>46</v>
      </c>
      <c r="F855">
        <v>61800000</v>
      </c>
      <c r="G855" t="s">
        <v>28</v>
      </c>
      <c r="H855" t="s">
        <v>81</v>
      </c>
      <c r="I855" t="s">
        <v>9</v>
      </c>
      <c r="L855" t="s">
        <v>161</v>
      </c>
      <c r="M855">
        <v>-61800000</v>
      </c>
    </row>
    <row r="856" spans="1:13" x14ac:dyDescent="0.3">
      <c r="A856" s="23">
        <v>44630</v>
      </c>
      <c r="B856" t="s">
        <v>12</v>
      </c>
      <c r="C856" t="s">
        <v>132</v>
      </c>
      <c r="D856" t="s">
        <v>17</v>
      </c>
      <c r="E856" t="s">
        <v>46</v>
      </c>
      <c r="F856">
        <v>600000</v>
      </c>
      <c r="G856" t="s">
        <v>28</v>
      </c>
      <c r="H856" t="s">
        <v>81</v>
      </c>
      <c r="I856" t="s">
        <v>9</v>
      </c>
      <c r="L856" t="s">
        <v>161</v>
      </c>
      <c r="M856">
        <v>-600000</v>
      </c>
    </row>
    <row r="857" spans="1:13" x14ac:dyDescent="0.3">
      <c r="A857" s="23">
        <v>44631</v>
      </c>
      <c r="B857" t="s">
        <v>12</v>
      </c>
      <c r="C857" t="s">
        <v>132</v>
      </c>
      <c r="D857" t="s">
        <v>17</v>
      </c>
      <c r="E857" t="s">
        <v>46</v>
      </c>
      <c r="F857">
        <v>2700000</v>
      </c>
      <c r="G857" t="s">
        <v>28</v>
      </c>
      <c r="H857" t="s">
        <v>81</v>
      </c>
      <c r="I857" t="s">
        <v>9</v>
      </c>
      <c r="L857" t="s">
        <v>161</v>
      </c>
      <c r="M857">
        <v>-2700000</v>
      </c>
    </row>
    <row r="858" spans="1:13" x14ac:dyDescent="0.3">
      <c r="A858" s="23">
        <v>44634</v>
      </c>
      <c r="B858" t="s">
        <v>12</v>
      </c>
      <c r="C858" t="s">
        <v>132</v>
      </c>
      <c r="D858" t="s">
        <v>17</v>
      </c>
      <c r="E858" t="s">
        <v>46</v>
      </c>
      <c r="F858">
        <v>9000000</v>
      </c>
      <c r="G858" t="s">
        <v>28</v>
      </c>
      <c r="H858" t="s">
        <v>81</v>
      </c>
      <c r="I858" t="s">
        <v>9</v>
      </c>
      <c r="L858" t="s">
        <v>161</v>
      </c>
      <c r="M858">
        <v>-9000000</v>
      </c>
    </row>
    <row r="859" spans="1:13" x14ac:dyDescent="0.3">
      <c r="A859" s="23">
        <v>44649</v>
      </c>
      <c r="B859" t="s">
        <v>12</v>
      </c>
      <c r="C859" t="s">
        <v>132</v>
      </c>
      <c r="D859" t="s">
        <v>16</v>
      </c>
      <c r="E859" t="s">
        <v>46</v>
      </c>
      <c r="F859">
        <v>100000000</v>
      </c>
      <c r="G859" t="s">
        <v>28</v>
      </c>
      <c r="H859" t="s">
        <v>81</v>
      </c>
      <c r="I859" t="s">
        <v>9</v>
      </c>
      <c r="L859" t="s">
        <v>161</v>
      </c>
      <c r="M859">
        <v>100000000</v>
      </c>
    </row>
    <row r="860" spans="1:13" x14ac:dyDescent="0.3">
      <c r="A860" s="23">
        <v>44650</v>
      </c>
      <c r="B860" t="s">
        <v>12</v>
      </c>
      <c r="C860" t="s">
        <v>132</v>
      </c>
      <c r="D860" t="s">
        <v>16</v>
      </c>
      <c r="E860" t="s">
        <v>46</v>
      </c>
      <c r="F860">
        <v>32000000</v>
      </c>
      <c r="G860" t="s">
        <v>28</v>
      </c>
      <c r="H860" t="s">
        <v>81</v>
      </c>
      <c r="I860" t="s">
        <v>9</v>
      </c>
      <c r="L860" t="s">
        <v>161</v>
      </c>
      <c r="M860">
        <v>32000000</v>
      </c>
    </row>
    <row r="861" spans="1:13" x14ac:dyDescent="0.3">
      <c r="A861" s="23">
        <v>44651</v>
      </c>
      <c r="B861" t="s">
        <v>12</v>
      </c>
      <c r="C861" t="s">
        <v>132</v>
      </c>
      <c r="D861" t="s">
        <v>17</v>
      </c>
      <c r="E861" t="s">
        <v>46</v>
      </c>
      <c r="F861">
        <v>63600000</v>
      </c>
      <c r="G861" t="s">
        <v>28</v>
      </c>
      <c r="H861" t="s">
        <v>81</v>
      </c>
      <c r="I861" t="s">
        <v>9</v>
      </c>
      <c r="L861" t="s">
        <v>161</v>
      </c>
      <c r="M861">
        <v>-63600000</v>
      </c>
    </row>
    <row r="862" spans="1:13" x14ac:dyDescent="0.3">
      <c r="A862" s="23">
        <v>44652</v>
      </c>
      <c r="B862" t="s">
        <v>12</v>
      </c>
      <c r="C862" t="s">
        <v>132</v>
      </c>
      <c r="D862" t="s">
        <v>17</v>
      </c>
      <c r="E862" t="s">
        <v>46</v>
      </c>
      <c r="F862">
        <v>50000000</v>
      </c>
      <c r="G862" t="s">
        <v>28</v>
      </c>
      <c r="H862" t="s">
        <v>81</v>
      </c>
      <c r="I862" t="s">
        <v>9</v>
      </c>
      <c r="L862" t="s">
        <v>161</v>
      </c>
      <c r="M862">
        <v>-50000000</v>
      </c>
    </row>
    <row r="863" spans="1:13" x14ac:dyDescent="0.3">
      <c r="A863" s="23">
        <v>44655</v>
      </c>
      <c r="B863" t="s">
        <v>12</v>
      </c>
      <c r="C863" t="s">
        <v>132</v>
      </c>
      <c r="D863" t="s">
        <v>16</v>
      </c>
      <c r="E863" t="s">
        <v>46</v>
      </c>
      <c r="F863">
        <v>348400000</v>
      </c>
      <c r="G863" t="s">
        <v>28</v>
      </c>
      <c r="H863" t="s">
        <v>81</v>
      </c>
      <c r="I863" t="s">
        <v>9</v>
      </c>
      <c r="L863" t="s">
        <v>161</v>
      </c>
      <c r="M863">
        <v>348400000</v>
      </c>
    </row>
    <row r="864" spans="1:13" x14ac:dyDescent="0.3">
      <c r="A864" s="23">
        <v>44656</v>
      </c>
      <c r="B864" t="s">
        <v>12</v>
      </c>
      <c r="C864" t="s">
        <v>132</v>
      </c>
      <c r="D864" t="s">
        <v>17</v>
      </c>
      <c r="E864" t="s">
        <v>46</v>
      </c>
      <c r="F864">
        <v>21100000</v>
      </c>
      <c r="G864" t="s">
        <v>28</v>
      </c>
      <c r="H864" t="s">
        <v>81</v>
      </c>
      <c r="I864" t="s">
        <v>9</v>
      </c>
      <c r="L864" t="s">
        <v>161</v>
      </c>
      <c r="M864">
        <v>-21100000</v>
      </c>
    </row>
    <row r="865" spans="1:13" x14ac:dyDescent="0.3">
      <c r="A865" s="23">
        <v>44657</v>
      </c>
      <c r="B865" t="s">
        <v>12</v>
      </c>
      <c r="C865" t="s">
        <v>132</v>
      </c>
      <c r="D865" t="s">
        <v>17</v>
      </c>
      <c r="E865" t="s">
        <v>46</v>
      </c>
      <c r="F865">
        <v>9100000</v>
      </c>
      <c r="G865" t="s">
        <v>28</v>
      </c>
      <c r="H865" t="s">
        <v>81</v>
      </c>
      <c r="I865" t="s">
        <v>9</v>
      </c>
      <c r="L865" t="s">
        <v>161</v>
      </c>
      <c r="M865">
        <v>-9100000</v>
      </c>
    </row>
    <row r="866" spans="1:13" x14ac:dyDescent="0.3">
      <c r="A866" s="23">
        <v>44658</v>
      </c>
      <c r="B866" t="s">
        <v>12</v>
      </c>
      <c r="C866" t="s">
        <v>132</v>
      </c>
      <c r="D866" t="s">
        <v>17</v>
      </c>
      <c r="E866" t="s">
        <v>46</v>
      </c>
      <c r="F866">
        <v>39000000</v>
      </c>
      <c r="G866" t="s">
        <v>28</v>
      </c>
      <c r="H866" t="s">
        <v>81</v>
      </c>
      <c r="I866" t="s">
        <v>9</v>
      </c>
      <c r="L866" t="s">
        <v>161</v>
      </c>
      <c r="M866">
        <v>-39000000</v>
      </c>
    </row>
    <row r="867" spans="1:13" x14ac:dyDescent="0.3">
      <c r="A867" s="23">
        <v>44662</v>
      </c>
      <c r="B867" t="s">
        <v>12</v>
      </c>
      <c r="C867" t="s">
        <v>132</v>
      </c>
      <c r="D867" t="s">
        <v>17</v>
      </c>
      <c r="E867" t="s">
        <v>46</v>
      </c>
      <c r="F867">
        <v>54000000</v>
      </c>
      <c r="G867" t="s">
        <v>28</v>
      </c>
      <c r="H867" t="s">
        <v>81</v>
      </c>
      <c r="I867" t="s">
        <v>9</v>
      </c>
      <c r="L867" t="s">
        <v>161</v>
      </c>
      <c r="M867">
        <v>-54000000</v>
      </c>
    </row>
    <row r="868" spans="1:13" x14ac:dyDescent="0.3">
      <c r="A868" s="23">
        <v>44663</v>
      </c>
      <c r="B868" t="s">
        <v>12</v>
      </c>
      <c r="C868" t="s">
        <v>132</v>
      </c>
      <c r="D868" t="s">
        <v>16</v>
      </c>
      <c r="E868" t="s">
        <v>46</v>
      </c>
      <c r="F868">
        <v>469300000</v>
      </c>
      <c r="G868" t="s">
        <v>28</v>
      </c>
      <c r="H868" t="s">
        <v>81</v>
      </c>
      <c r="I868" t="s">
        <v>9</v>
      </c>
      <c r="L868" t="s">
        <v>161</v>
      </c>
      <c r="M868">
        <v>469300000</v>
      </c>
    </row>
    <row r="869" spans="1:13" x14ac:dyDescent="0.3">
      <c r="A869" s="23">
        <v>44664</v>
      </c>
      <c r="B869" t="s">
        <v>12</v>
      </c>
      <c r="C869" t="s">
        <v>132</v>
      </c>
      <c r="D869" t="s">
        <v>17</v>
      </c>
      <c r="E869" t="s">
        <v>46</v>
      </c>
      <c r="F869">
        <v>53100000</v>
      </c>
      <c r="G869" t="s">
        <v>28</v>
      </c>
      <c r="H869" t="s">
        <v>81</v>
      </c>
      <c r="I869" t="s">
        <v>9</v>
      </c>
      <c r="L869" t="s">
        <v>161</v>
      </c>
      <c r="M869">
        <v>-53100000</v>
      </c>
    </row>
    <row r="870" spans="1:13" x14ac:dyDescent="0.3">
      <c r="A870" s="23">
        <v>44670</v>
      </c>
      <c r="B870" t="s">
        <v>12</v>
      </c>
      <c r="C870" t="s">
        <v>132</v>
      </c>
      <c r="D870" t="s">
        <v>17</v>
      </c>
      <c r="E870" t="s">
        <v>46</v>
      </c>
      <c r="F870">
        <v>19800000</v>
      </c>
      <c r="G870" t="s">
        <v>28</v>
      </c>
      <c r="H870" t="s">
        <v>81</v>
      </c>
      <c r="I870" t="s">
        <v>9</v>
      </c>
      <c r="L870" t="s">
        <v>161</v>
      </c>
      <c r="M870">
        <v>-19800000</v>
      </c>
    </row>
    <row r="871" spans="1:13" x14ac:dyDescent="0.3">
      <c r="A871" s="23">
        <v>44671</v>
      </c>
      <c r="B871" t="s">
        <v>12</v>
      </c>
      <c r="C871" t="s">
        <v>132</v>
      </c>
      <c r="D871" t="s">
        <v>17</v>
      </c>
      <c r="E871" t="s">
        <v>46</v>
      </c>
      <c r="F871">
        <v>42000000</v>
      </c>
      <c r="G871" t="s">
        <v>28</v>
      </c>
      <c r="H871" t="s">
        <v>81</v>
      </c>
      <c r="I871" t="s">
        <v>9</v>
      </c>
      <c r="L871" t="s">
        <v>161</v>
      </c>
      <c r="M871">
        <v>-42000000</v>
      </c>
    </row>
    <row r="872" spans="1:13" x14ac:dyDescent="0.3">
      <c r="A872" s="23">
        <v>44672</v>
      </c>
      <c r="B872" t="s">
        <v>12</v>
      </c>
      <c r="C872" t="s">
        <v>132</v>
      </c>
      <c r="D872" t="s">
        <v>17</v>
      </c>
      <c r="E872" t="s">
        <v>46</v>
      </c>
      <c r="F872">
        <v>400000000</v>
      </c>
      <c r="G872" t="s">
        <v>28</v>
      </c>
      <c r="H872" t="s">
        <v>81</v>
      </c>
      <c r="I872" t="s">
        <v>9</v>
      </c>
      <c r="L872" t="s">
        <v>161</v>
      </c>
      <c r="M872">
        <v>-400000000</v>
      </c>
    </row>
    <row r="873" spans="1:13" x14ac:dyDescent="0.3">
      <c r="A873" s="23">
        <v>44673</v>
      </c>
      <c r="B873" t="s">
        <v>12</v>
      </c>
      <c r="C873" t="s">
        <v>132</v>
      </c>
      <c r="D873" t="s">
        <v>17</v>
      </c>
      <c r="E873" t="s">
        <v>46</v>
      </c>
      <c r="F873">
        <v>5300000</v>
      </c>
      <c r="G873" t="s">
        <v>28</v>
      </c>
      <c r="H873" t="s">
        <v>81</v>
      </c>
      <c r="I873" t="s">
        <v>9</v>
      </c>
      <c r="L873" t="s">
        <v>161</v>
      </c>
      <c r="M873">
        <v>-5300000</v>
      </c>
    </row>
    <row r="874" spans="1:13" x14ac:dyDescent="0.3">
      <c r="A874" s="23">
        <v>44676</v>
      </c>
      <c r="B874" t="s">
        <v>12</v>
      </c>
      <c r="C874" t="s">
        <v>132</v>
      </c>
      <c r="D874" t="s">
        <v>17</v>
      </c>
      <c r="E874" t="s">
        <v>46</v>
      </c>
      <c r="F874">
        <v>28300000</v>
      </c>
      <c r="G874" t="s">
        <v>28</v>
      </c>
      <c r="H874" t="s">
        <v>81</v>
      </c>
      <c r="I874" t="s">
        <v>9</v>
      </c>
      <c r="L874" t="s">
        <v>161</v>
      </c>
      <c r="M874">
        <v>-28300000</v>
      </c>
    </row>
    <row r="875" spans="1:13" x14ac:dyDescent="0.3">
      <c r="A875" s="23">
        <v>44677</v>
      </c>
      <c r="B875" t="s">
        <v>12</v>
      </c>
      <c r="C875" t="s">
        <v>132</v>
      </c>
      <c r="D875" t="s">
        <v>17</v>
      </c>
      <c r="E875" t="s">
        <v>46</v>
      </c>
      <c r="F875">
        <v>12600000</v>
      </c>
      <c r="G875" t="s">
        <v>28</v>
      </c>
      <c r="H875" t="s">
        <v>81</v>
      </c>
      <c r="I875" t="s">
        <v>9</v>
      </c>
      <c r="L875" t="s">
        <v>161</v>
      </c>
      <c r="M875">
        <v>-12600000</v>
      </c>
    </row>
    <row r="876" spans="1:13" x14ac:dyDescent="0.3">
      <c r="A876" s="23">
        <v>44678</v>
      </c>
      <c r="B876" t="s">
        <v>12</v>
      </c>
      <c r="C876" t="s">
        <v>132</v>
      </c>
      <c r="D876" t="s">
        <v>17</v>
      </c>
      <c r="E876" t="s">
        <v>46</v>
      </c>
      <c r="F876">
        <v>16000000</v>
      </c>
      <c r="G876" t="s">
        <v>28</v>
      </c>
      <c r="H876" t="s">
        <v>81</v>
      </c>
      <c r="I876" t="s">
        <v>9</v>
      </c>
      <c r="L876" t="s">
        <v>161</v>
      </c>
      <c r="M876">
        <v>-16000000</v>
      </c>
    </row>
    <row r="877" spans="1:13" x14ac:dyDescent="0.3">
      <c r="A877" s="23">
        <v>44679</v>
      </c>
      <c r="B877" t="s">
        <v>12</v>
      </c>
      <c r="C877" t="s">
        <v>132</v>
      </c>
      <c r="D877" t="s">
        <v>17</v>
      </c>
      <c r="E877" t="s">
        <v>46</v>
      </c>
      <c r="F877">
        <v>19000000</v>
      </c>
      <c r="G877" t="s">
        <v>28</v>
      </c>
      <c r="H877" t="s">
        <v>81</v>
      </c>
      <c r="I877" t="s">
        <v>9</v>
      </c>
      <c r="L877" t="s">
        <v>161</v>
      </c>
      <c r="M877">
        <v>-19000000</v>
      </c>
    </row>
    <row r="878" spans="1:13" x14ac:dyDescent="0.3">
      <c r="A878" s="23">
        <v>44680</v>
      </c>
      <c r="B878" t="s">
        <v>12</v>
      </c>
      <c r="C878" t="s">
        <v>132</v>
      </c>
      <c r="D878" t="s">
        <v>17</v>
      </c>
      <c r="E878" t="s">
        <v>46</v>
      </c>
      <c r="F878">
        <v>105000000</v>
      </c>
      <c r="G878" t="s">
        <v>28</v>
      </c>
      <c r="H878" t="s">
        <v>81</v>
      </c>
      <c r="I878" t="s">
        <v>9</v>
      </c>
      <c r="L878" t="s">
        <v>161</v>
      </c>
      <c r="M878">
        <v>-105000000</v>
      </c>
    </row>
    <row r="879" spans="1:13" x14ac:dyDescent="0.3">
      <c r="A879" s="23">
        <v>44681</v>
      </c>
      <c r="B879" t="s">
        <v>12</v>
      </c>
      <c r="C879" t="s">
        <v>132</v>
      </c>
      <c r="D879" t="s">
        <v>16</v>
      </c>
      <c r="E879" t="s">
        <v>46</v>
      </c>
      <c r="F879">
        <v>9305565.5999999996</v>
      </c>
      <c r="G879" t="s">
        <v>28</v>
      </c>
      <c r="H879" t="s">
        <v>81</v>
      </c>
      <c r="I879" t="s">
        <v>9</v>
      </c>
      <c r="L879" t="s">
        <v>161</v>
      </c>
      <c r="M879">
        <v>9305565.5999999996</v>
      </c>
    </row>
    <row r="880" spans="1:13" x14ac:dyDescent="0.3">
      <c r="A880" s="23">
        <v>44683</v>
      </c>
      <c r="B880" t="s">
        <v>12</v>
      </c>
      <c r="C880" t="s">
        <v>132</v>
      </c>
      <c r="D880" t="s">
        <v>17</v>
      </c>
      <c r="E880" t="s">
        <v>46</v>
      </c>
      <c r="F880">
        <v>21805565.600000001</v>
      </c>
      <c r="G880" t="s">
        <v>28</v>
      </c>
      <c r="H880" t="s">
        <v>81</v>
      </c>
      <c r="I880" t="s">
        <v>9</v>
      </c>
      <c r="L880" t="s">
        <v>161</v>
      </c>
      <c r="M880">
        <v>-21805565.600000001</v>
      </c>
    </row>
    <row r="881" spans="1:13" x14ac:dyDescent="0.3">
      <c r="A881" s="23">
        <v>44728</v>
      </c>
      <c r="B881" t="s">
        <v>12</v>
      </c>
      <c r="C881" t="s">
        <v>132</v>
      </c>
      <c r="D881" t="s">
        <v>16</v>
      </c>
      <c r="E881" t="s">
        <v>46</v>
      </c>
      <c r="F881">
        <v>18500000</v>
      </c>
      <c r="G881" t="s">
        <v>28</v>
      </c>
      <c r="H881" t="s">
        <v>81</v>
      </c>
      <c r="I881" t="s">
        <v>9</v>
      </c>
      <c r="L881" t="s">
        <v>161</v>
      </c>
      <c r="M881">
        <v>18500000</v>
      </c>
    </row>
    <row r="882" spans="1:13" x14ac:dyDescent="0.3">
      <c r="A882" s="23">
        <v>44733</v>
      </c>
      <c r="B882" t="s">
        <v>12</v>
      </c>
      <c r="C882" t="s">
        <v>132</v>
      </c>
      <c r="D882" t="s">
        <v>17</v>
      </c>
      <c r="E882" t="s">
        <v>46</v>
      </c>
      <c r="F882">
        <v>17700000</v>
      </c>
      <c r="G882" t="s">
        <v>28</v>
      </c>
      <c r="H882" t="s">
        <v>81</v>
      </c>
      <c r="I882" t="s">
        <v>9</v>
      </c>
      <c r="L882" t="s">
        <v>161</v>
      </c>
      <c r="M882">
        <v>-17700000</v>
      </c>
    </row>
    <row r="883" spans="1:13" x14ac:dyDescent="0.3">
      <c r="A883" s="23">
        <v>44734</v>
      </c>
      <c r="B883" t="s">
        <v>12</v>
      </c>
      <c r="C883" t="s">
        <v>132</v>
      </c>
      <c r="D883" t="s">
        <v>16</v>
      </c>
      <c r="E883" t="s">
        <v>46</v>
      </c>
      <c r="F883">
        <v>160700000</v>
      </c>
      <c r="G883" t="s">
        <v>28</v>
      </c>
      <c r="H883" t="s">
        <v>81</v>
      </c>
      <c r="I883" t="s">
        <v>9</v>
      </c>
      <c r="L883" t="s">
        <v>161</v>
      </c>
      <c r="M883">
        <v>160700000</v>
      </c>
    </row>
    <row r="884" spans="1:13" x14ac:dyDescent="0.3">
      <c r="A884" s="23">
        <v>45723</v>
      </c>
      <c r="B884" t="s">
        <v>12</v>
      </c>
      <c r="C884" t="s">
        <v>132</v>
      </c>
      <c r="D884" t="s">
        <v>17</v>
      </c>
      <c r="E884" t="s">
        <v>46</v>
      </c>
      <c r="F884">
        <v>507543004</v>
      </c>
      <c r="G884" t="s">
        <v>28</v>
      </c>
      <c r="H884" t="s">
        <v>81</v>
      </c>
      <c r="I884" t="s">
        <v>9</v>
      </c>
      <c r="L884" t="s">
        <v>161</v>
      </c>
      <c r="M884">
        <v>-507543004</v>
      </c>
    </row>
    <row r="885" spans="1:13" x14ac:dyDescent="0.3">
      <c r="A885" s="23">
        <v>44735</v>
      </c>
      <c r="B885" t="s">
        <v>12</v>
      </c>
      <c r="C885" t="s">
        <v>132</v>
      </c>
      <c r="D885" t="s">
        <v>17</v>
      </c>
      <c r="E885" t="s">
        <v>46</v>
      </c>
      <c r="F885">
        <v>70000000</v>
      </c>
      <c r="G885" t="s">
        <v>28</v>
      </c>
      <c r="H885" t="s">
        <v>81</v>
      </c>
      <c r="I885" t="s">
        <v>9</v>
      </c>
      <c r="L885" t="s">
        <v>161</v>
      </c>
      <c r="M885">
        <v>-70000000</v>
      </c>
    </row>
    <row r="886" spans="1:13" x14ac:dyDescent="0.3">
      <c r="A886" s="23">
        <v>44736</v>
      </c>
      <c r="B886" t="s">
        <v>12</v>
      </c>
      <c r="C886" t="s">
        <v>132</v>
      </c>
      <c r="D886" t="s">
        <v>17</v>
      </c>
      <c r="E886" t="s">
        <v>46</v>
      </c>
      <c r="F886">
        <v>17300000</v>
      </c>
      <c r="G886" t="s">
        <v>28</v>
      </c>
      <c r="H886" t="s">
        <v>81</v>
      </c>
      <c r="I886" t="s">
        <v>9</v>
      </c>
      <c r="L886" t="s">
        <v>161</v>
      </c>
      <c r="M886">
        <v>-17300000</v>
      </c>
    </row>
    <row r="887" spans="1:13" x14ac:dyDescent="0.3">
      <c r="A887" s="23">
        <v>44739</v>
      </c>
      <c r="B887" t="s">
        <v>12</v>
      </c>
      <c r="C887" t="s">
        <v>132</v>
      </c>
      <c r="D887" t="s">
        <v>17</v>
      </c>
      <c r="E887" t="s">
        <v>46</v>
      </c>
      <c r="F887">
        <v>48400000</v>
      </c>
      <c r="G887" t="s">
        <v>28</v>
      </c>
      <c r="H887" t="s">
        <v>81</v>
      </c>
      <c r="I887" t="s">
        <v>9</v>
      </c>
      <c r="L887" t="s">
        <v>161</v>
      </c>
      <c r="M887">
        <v>-48400000</v>
      </c>
    </row>
    <row r="888" spans="1:13" x14ac:dyDescent="0.3">
      <c r="A888" s="23">
        <v>45716</v>
      </c>
      <c r="B888" t="s">
        <v>12</v>
      </c>
      <c r="C888" t="s">
        <v>132</v>
      </c>
      <c r="D888" t="s">
        <v>17</v>
      </c>
      <c r="E888" t="s">
        <v>46</v>
      </c>
      <c r="F888">
        <v>500000000</v>
      </c>
      <c r="G888" t="s">
        <v>28</v>
      </c>
      <c r="H888" t="s">
        <v>81</v>
      </c>
      <c r="I888" t="s">
        <v>9</v>
      </c>
      <c r="L888" t="s">
        <v>161</v>
      </c>
      <c r="M888">
        <v>-500000000</v>
      </c>
    </row>
    <row r="889" spans="1:13" x14ac:dyDescent="0.3">
      <c r="A889" s="23">
        <v>45715</v>
      </c>
      <c r="B889" t="s">
        <v>12</v>
      </c>
      <c r="C889" t="s">
        <v>132</v>
      </c>
      <c r="D889" t="s">
        <v>17</v>
      </c>
      <c r="E889" t="s">
        <v>46</v>
      </c>
      <c r="F889">
        <v>500000000</v>
      </c>
      <c r="G889" t="s">
        <v>28</v>
      </c>
      <c r="H889" t="s">
        <v>81</v>
      </c>
      <c r="I889" t="s">
        <v>9</v>
      </c>
      <c r="L889" t="s">
        <v>161</v>
      </c>
      <c r="M889">
        <v>-500000000</v>
      </c>
    </row>
    <row r="890" spans="1:13" x14ac:dyDescent="0.3">
      <c r="A890" s="23">
        <v>45714</v>
      </c>
      <c r="B890" t="s">
        <v>12</v>
      </c>
      <c r="C890" t="s">
        <v>132</v>
      </c>
      <c r="D890" t="s">
        <v>16</v>
      </c>
      <c r="E890" t="s">
        <v>46</v>
      </c>
      <c r="F890">
        <v>17053004</v>
      </c>
      <c r="G890" t="s">
        <v>28</v>
      </c>
      <c r="H890" t="s">
        <v>81</v>
      </c>
      <c r="I890" t="s">
        <v>9</v>
      </c>
      <c r="L890" t="s">
        <v>161</v>
      </c>
      <c r="M890">
        <v>17053004</v>
      </c>
    </row>
    <row r="891" spans="1:13" x14ac:dyDescent="0.3">
      <c r="A891" s="23">
        <v>44741</v>
      </c>
      <c r="B891" t="s">
        <v>12</v>
      </c>
      <c r="C891" t="s">
        <v>132</v>
      </c>
      <c r="D891" t="s">
        <v>17</v>
      </c>
      <c r="E891" t="s">
        <v>46</v>
      </c>
      <c r="F891">
        <v>25800000</v>
      </c>
      <c r="G891" t="s">
        <v>28</v>
      </c>
      <c r="H891" t="s">
        <v>81</v>
      </c>
      <c r="I891" t="s">
        <v>9</v>
      </c>
      <c r="L891" t="s">
        <v>161</v>
      </c>
      <c r="M891">
        <v>-25800000</v>
      </c>
    </row>
    <row r="892" spans="1:13" x14ac:dyDescent="0.3">
      <c r="A892" s="23">
        <v>45712</v>
      </c>
      <c r="B892" t="s">
        <v>12</v>
      </c>
      <c r="C892" t="s">
        <v>132</v>
      </c>
      <c r="D892" t="s">
        <v>17</v>
      </c>
      <c r="E892" t="s">
        <v>46</v>
      </c>
      <c r="F892">
        <v>133400000</v>
      </c>
      <c r="G892" t="s">
        <v>28</v>
      </c>
      <c r="H892" t="s">
        <v>81</v>
      </c>
      <c r="I892" t="s">
        <v>9</v>
      </c>
      <c r="L892" t="s">
        <v>161</v>
      </c>
      <c r="M892">
        <v>-133400000</v>
      </c>
    </row>
    <row r="893" spans="1:13" x14ac:dyDescent="0.3">
      <c r="A893" s="23">
        <v>45708</v>
      </c>
      <c r="B893" t="s">
        <v>12</v>
      </c>
      <c r="C893" t="s">
        <v>132</v>
      </c>
      <c r="D893" t="s">
        <v>17</v>
      </c>
      <c r="E893" t="s">
        <v>46</v>
      </c>
      <c r="F893">
        <v>124600000</v>
      </c>
      <c r="G893" t="s">
        <v>28</v>
      </c>
      <c r="H893" t="s">
        <v>81</v>
      </c>
      <c r="I893" t="s">
        <v>9</v>
      </c>
      <c r="L893" t="s">
        <v>161</v>
      </c>
      <c r="M893">
        <v>-124600000</v>
      </c>
    </row>
    <row r="894" spans="1:13" x14ac:dyDescent="0.3">
      <c r="A894" s="23">
        <v>45706</v>
      </c>
      <c r="B894" t="s">
        <v>12</v>
      </c>
      <c r="C894" t="s">
        <v>132</v>
      </c>
      <c r="D894" t="s">
        <v>16</v>
      </c>
      <c r="E894" t="s">
        <v>46</v>
      </c>
      <c r="F894">
        <v>711700000</v>
      </c>
      <c r="G894" t="s">
        <v>28</v>
      </c>
      <c r="H894" t="s">
        <v>81</v>
      </c>
      <c r="I894" t="s">
        <v>9</v>
      </c>
      <c r="L894" t="s">
        <v>161</v>
      </c>
      <c r="M894">
        <v>711700000</v>
      </c>
    </row>
    <row r="895" spans="1:13" x14ac:dyDescent="0.3">
      <c r="A895" s="23">
        <v>44747</v>
      </c>
      <c r="B895" t="s">
        <v>12</v>
      </c>
      <c r="C895" t="s">
        <v>132</v>
      </c>
      <c r="D895" t="s">
        <v>16</v>
      </c>
      <c r="E895" t="s">
        <v>46</v>
      </c>
      <c r="F895">
        <v>385600000</v>
      </c>
      <c r="G895" t="s">
        <v>28</v>
      </c>
      <c r="H895" t="s">
        <v>81</v>
      </c>
      <c r="I895" t="s">
        <v>9</v>
      </c>
      <c r="L895" t="s">
        <v>161</v>
      </c>
      <c r="M895">
        <v>385600000</v>
      </c>
    </row>
    <row r="896" spans="1:13" x14ac:dyDescent="0.3">
      <c r="A896" s="23">
        <v>44748</v>
      </c>
      <c r="B896" t="s">
        <v>12</v>
      </c>
      <c r="C896" t="s">
        <v>132</v>
      </c>
      <c r="D896" t="s">
        <v>17</v>
      </c>
      <c r="E896" t="s">
        <v>46</v>
      </c>
      <c r="F896">
        <v>40000000</v>
      </c>
      <c r="G896" t="s">
        <v>28</v>
      </c>
      <c r="H896" t="s">
        <v>81</v>
      </c>
      <c r="I896" t="s">
        <v>9</v>
      </c>
      <c r="L896" t="s">
        <v>161</v>
      </c>
      <c r="M896">
        <v>-40000000</v>
      </c>
    </row>
    <row r="897" spans="1:13" x14ac:dyDescent="0.3">
      <c r="A897" s="23">
        <v>45705</v>
      </c>
      <c r="B897" t="s">
        <v>12</v>
      </c>
      <c r="C897" t="s">
        <v>132</v>
      </c>
      <c r="D897" t="s">
        <v>17</v>
      </c>
      <c r="E897" t="s">
        <v>46</v>
      </c>
      <c r="F897">
        <v>218500000</v>
      </c>
      <c r="G897" t="s">
        <v>28</v>
      </c>
      <c r="H897" t="s">
        <v>81</v>
      </c>
      <c r="I897" t="s">
        <v>9</v>
      </c>
      <c r="L897" t="s">
        <v>161</v>
      </c>
      <c r="M897">
        <v>-218500000</v>
      </c>
    </row>
    <row r="898" spans="1:13" x14ac:dyDescent="0.3">
      <c r="A898" s="23">
        <v>44749</v>
      </c>
      <c r="B898" t="s">
        <v>12</v>
      </c>
      <c r="C898" t="s">
        <v>132</v>
      </c>
      <c r="D898" t="s">
        <v>17</v>
      </c>
      <c r="E898" t="s">
        <v>46</v>
      </c>
      <c r="F898">
        <v>163900000</v>
      </c>
      <c r="G898" t="s">
        <v>28</v>
      </c>
      <c r="H898" t="s">
        <v>81</v>
      </c>
      <c r="I898" t="s">
        <v>9</v>
      </c>
      <c r="L898" t="s">
        <v>161</v>
      </c>
      <c r="M898">
        <v>-163900000</v>
      </c>
    </row>
    <row r="899" spans="1:13" x14ac:dyDescent="0.3">
      <c r="A899" s="23">
        <v>44750</v>
      </c>
      <c r="B899" t="s">
        <v>12</v>
      </c>
      <c r="C899" t="s">
        <v>132</v>
      </c>
      <c r="D899" t="s">
        <v>17</v>
      </c>
      <c r="E899" t="s">
        <v>46</v>
      </c>
      <c r="F899">
        <v>112300000</v>
      </c>
      <c r="G899" t="s">
        <v>28</v>
      </c>
      <c r="H899" t="s">
        <v>81</v>
      </c>
      <c r="I899" t="s">
        <v>9</v>
      </c>
      <c r="L899" t="s">
        <v>161</v>
      </c>
      <c r="M899">
        <v>-112300000</v>
      </c>
    </row>
    <row r="900" spans="1:13" x14ac:dyDescent="0.3">
      <c r="A900" s="23">
        <v>45701</v>
      </c>
      <c r="B900" t="s">
        <v>12</v>
      </c>
      <c r="C900" t="s">
        <v>132</v>
      </c>
      <c r="D900" t="s">
        <v>16</v>
      </c>
      <c r="E900" t="s">
        <v>46</v>
      </c>
      <c r="F900">
        <v>600000000</v>
      </c>
      <c r="G900" t="s">
        <v>28</v>
      </c>
      <c r="H900" t="s">
        <v>81</v>
      </c>
      <c r="I900" t="s">
        <v>9</v>
      </c>
      <c r="L900" t="s">
        <v>161</v>
      </c>
      <c r="M900">
        <v>600000000</v>
      </c>
    </row>
    <row r="901" spans="1:13" x14ac:dyDescent="0.3">
      <c r="A901" s="23">
        <v>44750</v>
      </c>
      <c r="B901" t="s">
        <v>12</v>
      </c>
      <c r="C901" t="s">
        <v>132</v>
      </c>
      <c r="D901" t="s">
        <v>16</v>
      </c>
      <c r="E901" t="s">
        <v>46</v>
      </c>
      <c r="F901">
        <v>113100916.26000001</v>
      </c>
      <c r="G901" t="s">
        <v>28</v>
      </c>
      <c r="H901" t="s">
        <v>81</v>
      </c>
      <c r="I901" t="s">
        <v>9</v>
      </c>
      <c r="J901" t="s">
        <v>155</v>
      </c>
      <c r="L901" t="s">
        <v>161</v>
      </c>
      <c r="M901">
        <v>113100916.26000001</v>
      </c>
    </row>
    <row r="902" spans="1:13" x14ac:dyDescent="0.3">
      <c r="A902" s="23">
        <v>45699</v>
      </c>
      <c r="B902" t="s">
        <v>12</v>
      </c>
      <c r="C902" t="s">
        <v>132</v>
      </c>
      <c r="D902" t="s">
        <v>17</v>
      </c>
      <c r="E902" t="s">
        <v>46</v>
      </c>
      <c r="F902">
        <v>6400000</v>
      </c>
      <c r="G902" t="s">
        <v>28</v>
      </c>
      <c r="H902" t="s">
        <v>81</v>
      </c>
      <c r="I902" t="s">
        <v>9</v>
      </c>
      <c r="L902" t="s">
        <v>161</v>
      </c>
      <c r="M902">
        <v>-6400000</v>
      </c>
    </row>
    <row r="903" spans="1:13" x14ac:dyDescent="0.3">
      <c r="A903" s="23">
        <v>44753</v>
      </c>
      <c r="B903" t="s">
        <v>12</v>
      </c>
      <c r="C903" t="s">
        <v>132</v>
      </c>
      <c r="D903" t="s">
        <v>17</v>
      </c>
      <c r="E903" t="s">
        <v>46</v>
      </c>
      <c r="F903">
        <v>55300000</v>
      </c>
      <c r="G903" t="s">
        <v>28</v>
      </c>
      <c r="H903" t="s">
        <v>81</v>
      </c>
      <c r="I903" t="s">
        <v>9</v>
      </c>
      <c r="L903" t="s">
        <v>161</v>
      </c>
      <c r="M903">
        <v>-55300000</v>
      </c>
    </row>
    <row r="904" spans="1:13" x14ac:dyDescent="0.3">
      <c r="A904" s="23">
        <v>45698</v>
      </c>
      <c r="B904" t="s">
        <v>12</v>
      </c>
      <c r="C904" t="s">
        <v>132</v>
      </c>
      <c r="D904" t="s">
        <v>17</v>
      </c>
      <c r="E904" t="s">
        <v>46</v>
      </c>
      <c r="F904">
        <v>302000000</v>
      </c>
      <c r="G904" t="s">
        <v>28</v>
      </c>
      <c r="H904" t="s">
        <v>81</v>
      </c>
      <c r="I904" t="s">
        <v>9</v>
      </c>
      <c r="L904" t="s">
        <v>161</v>
      </c>
      <c r="M904">
        <v>-302000000</v>
      </c>
    </row>
    <row r="905" spans="1:13" x14ac:dyDescent="0.3">
      <c r="A905" s="23">
        <v>44754</v>
      </c>
      <c r="B905" t="s">
        <v>12</v>
      </c>
      <c r="C905" t="s">
        <v>132</v>
      </c>
      <c r="D905" t="s">
        <v>16</v>
      </c>
      <c r="E905" t="s">
        <v>46</v>
      </c>
      <c r="F905">
        <v>230000000</v>
      </c>
      <c r="G905" t="s">
        <v>28</v>
      </c>
      <c r="H905" t="s">
        <v>81</v>
      </c>
      <c r="I905" t="s">
        <v>9</v>
      </c>
      <c r="L905" t="s">
        <v>161</v>
      </c>
      <c r="M905">
        <v>230000000</v>
      </c>
    </row>
    <row r="906" spans="1:13" x14ac:dyDescent="0.3">
      <c r="A906" s="23">
        <v>44755</v>
      </c>
      <c r="B906" t="s">
        <v>12</v>
      </c>
      <c r="C906" t="s">
        <v>132</v>
      </c>
      <c r="D906" t="s">
        <v>17</v>
      </c>
      <c r="E906" t="s">
        <v>46</v>
      </c>
      <c r="F906">
        <v>137800000</v>
      </c>
      <c r="G906" t="s">
        <v>28</v>
      </c>
      <c r="H906" t="s">
        <v>81</v>
      </c>
      <c r="I906" t="s">
        <v>9</v>
      </c>
      <c r="L906" t="s">
        <v>161</v>
      </c>
      <c r="M906">
        <v>-137800000</v>
      </c>
    </row>
    <row r="907" spans="1:13" x14ac:dyDescent="0.3">
      <c r="A907" s="23">
        <v>45695</v>
      </c>
      <c r="B907" t="s">
        <v>12</v>
      </c>
      <c r="C907" t="s">
        <v>132</v>
      </c>
      <c r="D907" t="s">
        <v>16</v>
      </c>
      <c r="E907" t="s">
        <v>46</v>
      </c>
      <c r="F907">
        <v>10290000</v>
      </c>
      <c r="G907" t="s">
        <v>28</v>
      </c>
      <c r="H907" t="s">
        <v>81</v>
      </c>
      <c r="I907" t="s">
        <v>9</v>
      </c>
      <c r="L907" t="s">
        <v>161</v>
      </c>
      <c r="M907">
        <v>10290000</v>
      </c>
    </row>
    <row r="908" spans="1:13" x14ac:dyDescent="0.3">
      <c r="A908" s="23">
        <v>44756</v>
      </c>
      <c r="B908" t="s">
        <v>12</v>
      </c>
      <c r="C908" t="s">
        <v>132</v>
      </c>
      <c r="D908" t="s">
        <v>17</v>
      </c>
      <c r="E908" t="s">
        <v>46</v>
      </c>
      <c r="F908">
        <v>52000000</v>
      </c>
      <c r="G908" t="s">
        <v>28</v>
      </c>
      <c r="H908" t="s">
        <v>81</v>
      </c>
      <c r="I908" t="s">
        <v>9</v>
      </c>
      <c r="L908" t="s">
        <v>161</v>
      </c>
      <c r="M908">
        <v>-52000000</v>
      </c>
    </row>
    <row r="909" spans="1:13" x14ac:dyDescent="0.3">
      <c r="A909" s="23">
        <v>44760</v>
      </c>
      <c r="B909" t="s">
        <v>12</v>
      </c>
      <c r="C909" t="s">
        <v>132</v>
      </c>
      <c r="D909" t="s">
        <v>17</v>
      </c>
      <c r="E909" t="s">
        <v>46</v>
      </c>
      <c r="F909">
        <v>111424171.67</v>
      </c>
      <c r="G909" t="s">
        <v>28</v>
      </c>
      <c r="H909" t="s">
        <v>81</v>
      </c>
      <c r="I909" t="s">
        <v>9</v>
      </c>
      <c r="J909" t="s">
        <v>155</v>
      </c>
      <c r="L909" t="s">
        <v>161</v>
      </c>
      <c r="M909">
        <v>-111424171.67</v>
      </c>
    </row>
    <row r="910" spans="1:13" x14ac:dyDescent="0.3">
      <c r="A910" s="23">
        <v>45691</v>
      </c>
      <c r="B910" t="s">
        <v>12</v>
      </c>
      <c r="C910" t="s">
        <v>132</v>
      </c>
      <c r="D910" t="s">
        <v>17</v>
      </c>
      <c r="E910" t="s">
        <v>46</v>
      </c>
      <c r="F910">
        <v>450000000</v>
      </c>
      <c r="G910" t="s">
        <v>28</v>
      </c>
      <c r="H910" t="s">
        <v>81</v>
      </c>
      <c r="I910" t="s">
        <v>9</v>
      </c>
      <c r="L910" t="s">
        <v>161</v>
      </c>
      <c r="M910">
        <v>-450000000</v>
      </c>
    </row>
    <row r="911" spans="1:13" x14ac:dyDescent="0.3">
      <c r="A911" s="23">
        <v>45688</v>
      </c>
      <c r="B911" t="s">
        <v>12</v>
      </c>
      <c r="C911" t="s">
        <v>132</v>
      </c>
      <c r="D911" t="s">
        <v>16</v>
      </c>
      <c r="E911" t="s">
        <v>46</v>
      </c>
      <c r="F911">
        <v>976700000</v>
      </c>
      <c r="G911" t="s">
        <v>28</v>
      </c>
      <c r="H911" t="s">
        <v>81</v>
      </c>
      <c r="I911" t="s">
        <v>9</v>
      </c>
      <c r="L911" t="s">
        <v>161</v>
      </c>
      <c r="M911">
        <v>976700000</v>
      </c>
    </row>
    <row r="912" spans="1:13" x14ac:dyDescent="0.3">
      <c r="A912" s="23">
        <v>45687</v>
      </c>
      <c r="B912" t="s">
        <v>12</v>
      </c>
      <c r="C912" t="s">
        <v>132</v>
      </c>
      <c r="D912" t="s">
        <v>17</v>
      </c>
      <c r="E912" t="s">
        <v>46</v>
      </c>
      <c r="F912">
        <v>60900000</v>
      </c>
      <c r="G912" t="s">
        <v>28</v>
      </c>
      <c r="H912" t="s">
        <v>81</v>
      </c>
      <c r="I912" t="s">
        <v>9</v>
      </c>
      <c r="L912" t="s">
        <v>161</v>
      </c>
      <c r="M912">
        <v>-60900000</v>
      </c>
    </row>
    <row r="913" spans="1:13" x14ac:dyDescent="0.3">
      <c r="A913" s="23">
        <v>44761</v>
      </c>
      <c r="B913" t="s">
        <v>12</v>
      </c>
      <c r="C913" t="s">
        <v>132</v>
      </c>
      <c r="D913" t="s">
        <v>17</v>
      </c>
      <c r="E913" t="s">
        <v>46</v>
      </c>
      <c r="F913">
        <v>15000000</v>
      </c>
      <c r="G913" t="s">
        <v>28</v>
      </c>
      <c r="H913" t="s">
        <v>81</v>
      </c>
      <c r="I913" t="s">
        <v>9</v>
      </c>
      <c r="L913" t="s">
        <v>161</v>
      </c>
      <c r="M913">
        <v>-15000000</v>
      </c>
    </row>
    <row r="914" spans="1:13" x14ac:dyDescent="0.3">
      <c r="A914" s="23">
        <v>44762</v>
      </c>
      <c r="B914" t="s">
        <v>12</v>
      </c>
      <c r="C914" t="s">
        <v>132</v>
      </c>
      <c r="D914" t="s">
        <v>17</v>
      </c>
      <c r="E914" t="s">
        <v>46</v>
      </c>
      <c r="F914">
        <v>25000000</v>
      </c>
      <c r="G914" t="s">
        <v>28</v>
      </c>
      <c r="H914" t="s">
        <v>81</v>
      </c>
      <c r="I914" t="s">
        <v>9</v>
      </c>
      <c r="L914" t="s">
        <v>161</v>
      </c>
      <c r="M914">
        <v>-25000000</v>
      </c>
    </row>
    <row r="915" spans="1:13" x14ac:dyDescent="0.3">
      <c r="A915" s="23">
        <v>45686</v>
      </c>
      <c r="B915" t="s">
        <v>12</v>
      </c>
      <c r="C915" t="s">
        <v>132</v>
      </c>
      <c r="D915" t="s">
        <v>17</v>
      </c>
      <c r="E915" t="s">
        <v>46</v>
      </c>
      <c r="F915">
        <v>166400000</v>
      </c>
      <c r="G915" t="s">
        <v>28</v>
      </c>
      <c r="H915" t="s">
        <v>81</v>
      </c>
      <c r="I915" t="s">
        <v>9</v>
      </c>
      <c r="L915" t="s">
        <v>161</v>
      </c>
      <c r="M915">
        <v>-166400000</v>
      </c>
    </row>
    <row r="916" spans="1:13" x14ac:dyDescent="0.3">
      <c r="A916" s="23">
        <v>44763</v>
      </c>
      <c r="B916" t="s">
        <v>12</v>
      </c>
      <c r="C916" t="s">
        <v>132</v>
      </c>
      <c r="D916" t="s">
        <v>17</v>
      </c>
      <c r="E916" t="s">
        <v>46</v>
      </c>
      <c r="F916">
        <v>15976744.589999914</v>
      </c>
      <c r="G916" t="s">
        <v>28</v>
      </c>
      <c r="H916" t="s">
        <v>81</v>
      </c>
      <c r="I916" t="s">
        <v>9</v>
      </c>
      <c r="L916" t="s">
        <v>161</v>
      </c>
      <c r="M916">
        <v>-15976744.59</v>
      </c>
    </row>
    <row r="917" spans="1:13" x14ac:dyDescent="0.3">
      <c r="A917" s="23">
        <v>45685</v>
      </c>
      <c r="B917" t="s">
        <v>12</v>
      </c>
      <c r="C917" t="s">
        <v>132</v>
      </c>
      <c r="D917" t="s">
        <v>16</v>
      </c>
      <c r="E917" t="s">
        <v>46</v>
      </c>
      <c r="F917">
        <v>500000000</v>
      </c>
      <c r="G917" t="s">
        <v>28</v>
      </c>
      <c r="H917" t="s">
        <v>81</v>
      </c>
      <c r="I917" t="s">
        <v>9</v>
      </c>
      <c r="L917" t="s">
        <v>161</v>
      </c>
      <c r="M917">
        <v>500000000</v>
      </c>
    </row>
    <row r="918" spans="1:13" x14ac:dyDescent="0.3">
      <c r="A918" s="23">
        <v>45681</v>
      </c>
      <c r="B918" t="s">
        <v>12</v>
      </c>
      <c r="C918" t="s">
        <v>132</v>
      </c>
      <c r="D918" t="s">
        <v>17</v>
      </c>
      <c r="E918" t="s">
        <v>46</v>
      </c>
      <c r="F918">
        <v>42400000</v>
      </c>
      <c r="G918" t="s">
        <v>28</v>
      </c>
      <c r="H918" t="s">
        <v>81</v>
      </c>
      <c r="I918" t="s">
        <v>9</v>
      </c>
      <c r="L918" t="s">
        <v>161</v>
      </c>
      <c r="M918">
        <v>-42400000</v>
      </c>
    </row>
    <row r="919" spans="1:13" x14ac:dyDescent="0.3">
      <c r="A919" s="23">
        <v>44782</v>
      </c>
      <c r="B919" t="s">
        <v>12</v>
      </c>
      <c r="C919" t="s">
        <v>132</v>
      </c>
      <c r="D919" t="s">
        <v>16</v>
      </c>
      <c r="E919" t="s">
        <v>46</v>
      </c>
      <c r="F919">
        <v>300000000</v>
      </c>
      <c r="G919" t="s">
        <v>28</v>
      </c>
      <c r="H919" t="s">
        <v>81</v>
      </c>
      <c r="I919" t="s">
        <v>9</v>
      </c>
      <c r="L919" t="s">
        <v>161</v>
      </c>
      <c r="M919">
        <v>300000000</v>
      </c>
    </row>
    <row r="920" spans="1:13" x14ac:dyDescent="0.3">
      <c r="A920" s="23">
        <v>45673</v>
      </c>
      <c r="B920" t="s">
        <v>12</v>
      </c>
      <c r="C920" t="s">
        <v>132</v>
      </c>
      <c r="D920" t="s">
        <v>17</v>
      </c>
      <c r="E920" t="s">
        <v>46</v>
      </c>
      <c r="F920">
        <v>203600000</v>
      </c>
      <c r="G920" t="s">
        <v>28</v>
      </c>
      <c r="H920" t="s">
        <v>81</v>
      </c>
      <c r="I920" t="s">
        <v>9</v>
      </c>
      <c r="L920" t="s">
        <v>161</v>
      </c>
      <c r="M920">
        <v>-203600000</v>
      </c>
    </row>
    <row r="921" spans="1:13" x14ac:dyDescent="0.3">
      <c r="A921" s="23">
        <v>44783</v>
      </c>
      <c r="B921" t="s">
        <v>12</v>
      </c>
      <c r="C921" t="s">
        <v>132</v>
      </c>
      <c r="D921" t="s">
        <v>17</v>
      </c>
      <c r="E921" t="s">
        <v>46</v>
      </c>
      <c r="F921">
        <v>203000000</v>
      </c>
      <c r="G921" t="s">
        <v>28</v>
      </c>
      <c r="H921" t="s">
        <v>81</v>
      </c>
      <c r="I921" t="s">
        <v>9</v>
      </c>
      <c r="L921" t="s">
        <v>161</v>
      </c>
      <c r="M921">
        <v>-203000000</v>
      </c>
    </row>
    <row r="922" spans="1:13" x14ac:dyDescent="0.3">
      <c r="A922" s="23">
        <v>44785</v>
      </c>
      <c r="B922" t="s">
        <v>12</v>
      </c>
      <c r="C922" t="s">
        <v>132</v>
      </c>
      <c r="D922" t="s">
        <v>17</v>
      </c>
      <c r="E922" t="s">
        <v>46</v>
      </c>
      <c r="F922">
        <v>53500000</v>
      </c>
      <c r="G922" t="s">
        <v>28</v>
      </c>
      <c r="H922" t="s">
        <v>81</v>
      </c>
      <c r="I922" t="s">
        <v>9</v>
      </c>
      <c r="L922" t="s">
        <v>161</v>
      </c>
      <c r="M922">
        <v>-53500000</v>
      </c>
    </row>
    <row r="923" spans="1:13" x14ac:dyDescent="0.3">
      <c r="A923" s="23">
        <v>44789</v>
      </c>
      <c r="B923" t="s">
        <v>12</v>
      </c>
      <c r="C923" t="s">
        <v>132</v>
      </c>
      <c r="D923" t="s">
        <v>17</v>
      </c>
      <c r="E923" t="s">
        <v>46</v>
      </c>
      <c r="F923">
        <v>43500000</v>
      </c>
      <c r="G923" t="s">
        <v>28</v>
      </c>
      <c r="H923" t="s">
        <v>81</v>
      </c>
      <c r="I923" t="s">
        <v>9</v>
      </c>
      <c r="L923" t="s">
        <v>161</v>
      </c>
      <c r="M923">
        <v>-43500000</v>
      </c>
    </row>
    <row r="924" spans="1:13" x14ac:dyDescent="0.3">
      <c r="A924" s="23">
        <v>44790</v>
      </c>
      <c r="B924" t="s">
        <v>12</v>
      </c>
      <c r="C924" t="s">
        <v>132</v>
      </c>
      <c r="D924" t="s">
        <v>16</v>
      </c>
      <c r="E924" t="s">
        <v>46</v>
      </c>
      <c r="F924">
        <v>32900000</v>
      </c>
      <c r="G924" t="s">
        <v>28</v>
      </c>
      <c r="H924" t="s">
        <v>81</v>
      </c>
      <c r="I924" t="s">
        <v>9</v>
      </c>
      <c r="L924" t="s">
        <v>161</v>
      </c>
      <c r="M924">
        <v>32900000</v>
      </c>
    </row>
    <row r="925" spans="1:13" x14ac:dyDescent="0.3">
      <c r="A925" s="23">
        <v>44791</v>
      </c>
      <c r="B925" t="s">
        <v>12</v>
      </c>
      <c r="C925" t="s">
        <v>132</v>
      </c>
      <c r="D925" t="s">
        <v>17</v>
      </c>
      <c r="E925" t="s">
        <v>46</v>
      </c>
      <c r="F925">
        <v>22600000</v>
      </c>
      <c r="G925" t="s">
        <v>28</v>
      </c>
      <c r="H925" t="s">
        <v>81</v>
      </c>
      <c r="I925" t="s">
        <v>9</v>
      </c>
      <c r="L925" t="s">
        <v>161</v>
      </c>
      <c r="M925">
        <v>-22600000</v>
      </c>
    </row>
    <row r="926" spans="1:13" x14ac:dyDescent="0.3">
      <c r="A926" s="23">
        <v>45667</v>
      </c>
      <c r="B926" t="s">
        <v>12</v>
      </c>
      <c r="C926" t="s">
        <v>132</v>
      </c>
      <c r="D926" t="s">
        <v>16</v>
      </c>
      <c r="E926" t="s">
        <v>46</v>
      </c>
      <c r="F926">
        <v>400000000</v>
      </c>
      <c r="G926" t="s">
        <v>28</v>
      </c>
      <c r="H926" t="s">
        <v>81</v>
      </c>
      <c r="I926" t="s">
        <v>9</v>
      </c>
      <c r="L926" t="s">
        <v>161</v>
      </c>
      <c r="M926">
        <v>400000000</v>
      </c>
    </row>
    <row r="927" spans="1:13" x14ac:dyDescent="0.3">
      <c r="A927" s="23">
        <v>44792</v>
      </c>
      <c r="B927" t="s">
        <v>12</v>
      </c>
      <c r="C927" t="s">
        <v>132</v>
      </c>
      <c r="D927" t="s">
        <v>17</v>
      </c>
      <c r="E927" t="s">
        <v>46</v>
      </c>
      <c r="F927">
        <v>10300000</v>
      </c>
      <c r="G927" t="s">
        <v>28</v>
      </c>
      <c r="H927" t="s">
        <v>81</v>
      </c>
      <c r="I927" t="s">
        <v>9</v>
      </c>
      <c r="L927" t="s">
        <v>161</v>
      </c>
      <c r="M927">
        <v>-10300000</v>
      </c>
    </row>
    <row r="928" spans="1:13" x14ac:dyDescent="0.3">
      <c r="A928" s="23">
        <v>45656</v>
      </c>
      <c r="B928" t="s">
        <v>12</v>
      </c>
      <c r="C928" t="s">
        <v>132</v>
      </c>
      <c r="D928" t="s">
        <v>17</v>
      </c>
      <c r="E928" t="s">
        <v>46</v>
      </c>
      <c r="F928">
        <v>302832979.80000001</v>
      </c>
      <c r="G928" t="s">
        <v>28</v>
      </c>
      <c r="H928" t="s">
        <v>81</v>
      </c>
      <c r="I928" t="s">
        <v>9</v>
      </c>
      <c r="L928" t="s">
        <v>161</v>
      </c>
      <c r="M928">
        <v>-302832979.80000001</v>
      </c>
    </row>
    <row r="929" spans="1:13" x14ac:dyDescent="0.3">
      <c r="A929" s="23">
        <v>45653</v>
      </c>
      <c r="B929" t="s">
        <v>12</v>
      </c>
      <c r="C929" t="s">
        <v>132</v>
      </c>
      <c r="D929" t="s">
        <v>17</v>
      </c>
      <c r="E929" t="s">
        <v>46</v>
      </c>
      <c r="F929">
        <v>600000000</v>
      </c>
      <c r="G929" t="s">
        <v>28</v>
      </c>
      <c r="H929" t="s">
        <v>81</v>
      </c>
      <c r="I929" t="s">
        <v>9</v>
      </c>
      <c r="L929" t="s">
        <v>161</v>
      </c>
      <c r="M929">
        <v>-600000000</v>
      </c>
    </row>
    <row r="930" spans="1:13" x14ac:dyDescent="0.3">
      <c r="A930" s="23">
        <v>45649</v>
      </c>
      <c r="B930" t="s">
        <v>12</v>
      </c>
      <c r="C930" t="s">
        <v>132</v>
      </c>
      <c r="D930" t="s">
        <v>16</v>
      </c>
      <c r="E930" t="s">
        <v>46</v>
      </c>
      <c r="F930">
        <v>770100000</v>
      </c>
      <c r="G930" t="s">
        <v>28</v>
      </c>
      <c r="H930" t="s">
        <v>81</v>
      </c>
      <c r="I930" t="s">
        <v>9</v>
      </c>
      <c r="L930" t="s">
        <v>161</v>
      </c>
      <c r="M930">
        <v>770100000</v>
      </c>
    </row>
    <row r="931" spans="1:13" x14ac:dyDescent="0.3">
      <c r="A931" s="23">
        <v>45646</v>
      </c>
      <c r="B931" t="s">
        <v>12</v>
      </c>
      <c r="C931" t="s">
        <v>132</v>
      </c>
      <c r="D931" t="s">
        <v>17</v>
      </c>
      <c r="E931" t="s">
        <v>46</v>
      </c>
      <c r="F931">
        <v>250000000</v>
      </c>
      <c r="G931" t="s">
        <v>28</v>
      </c>
      <c r="H931" t="s">
        <v>81</v>
      </c>
      <c r="I931" t="s">
        <v>9</v>
      </c>
      <c r="L931" t="s">
        <v>161</v>
      </c>
      <c r="M931">
        <v>-250000000</v>
      </c>
    </row>
    <row r="932" spans="1:13" x14ac:dyDescent="0.3">
      <c r="A932" s="23">
        <v>45645</v>
      </c>
      <c r="B932" t="s">
        <v>12</v>
      </c>
      <c r="C932" t="s">
        <v>132</v>
      </c>
      <c r="D932" t="s">
        <v>16</v>
      </c>
      <c r="E932" t="s">
        <v>46</v>
      </c>
      <c r="F932">
        <v>300000000</v>
      </c>
      <c r="G932" t="s">
        <v>28</v>
      </c>
      <c r="H932" t="s">
        <v>81</v>
      </c>
      <c r="I932" t="s">
        <v>9</v>
      </c>
      <c r="L932" t="s">
        <v>161</v>
      </c>
      <c r="M932">
        <v>300000000</v>
      </c>
    </row>
    <row r="933" spans="1:13" x14ac:dyDescent="0.3">
      <c r="A933" s="23">
        <v>45645</v>
      </c>
      <c r="B933" t="s">
        <v>12</v>
      </c>
      <c r="C933" t="s">
        <v>132</v>
      </c>
      <c r="D933" t="s">
        <v>17</v>
      </c>
      <c r="E933" t="s">
        <v>46</v>
      </c>
      <c r="F933">
        <v>6671682.2000000002</v>
      </c>
      <c r="G933" t="s">
        <v>28</v>
      </c>
      <c r="H933" t="s">
        <v>81</v>
      </c>
      <c r="I933" t="s">
        <v>9</v>
      </c>
      <c r="L933" t="s">
        <v>161</v>
      </c>
      <c r="M933">
        <v>-6671682.2000000002</v>
      </c>
    </row>
    <row r="934" spans="1:13" x14ac:dyDescent="0.3">
      <c r="A934" s="23">
        <v>45642</v>
      </c>
      <c r="B934" t="s">
        <v>12</v>
      </c>
      <c r="C934" t="s">
        <v>132</v>
      </c>
      <c r="D934" t="s">
        <v>17</v>
      </c>
      <c r="E934" t="s">
        <v>46</v>
      </c>
      <c r="F934">
        <v>32600000</v>
      </c>
      <c r="G934" t="s">
        <v>28</v>
      </c>
      <c r="H934" t="s">
        <v>81</v>
      </c>
      <c r="I934" t="s">
        <v>9</v>
      </c>
      <c r="L934" t="s">
        <v>161</v>
      </c>
      <c r="M934">
        <v>-32600000</v>
      </c>
    </row>
    <row r="935" spans="1:13" x14ac:dyDescent="0.3">
      <c r="A935" s="23">
        <v>45639</v>
      </c>
      <c r="B935" t="s">
        <v>12</v>
      </c>
      <c r="C935" t="s">
        <v>132</v>
      </c>
      <c r="D935" t="s">
        <v>16</v>
      </c>
      <c r="E935" t="s">
        <v>46</v>
      </c>
      <c r="F935">
        <v>100000000</v>
      </c>
      <c r="G935" t="s">
        <v>28</v>
      </c>
      <c r="H935" t="s">
        <v>81</v>
      </c>
      <c r="I935" t="s">
        <v>9</v>
      </c>
      <c r="L935" t="s">
        <v>161</v>
      </c>
      <c r="M935">
        <v>100000000</v>
      </c>
    </row>
    <row r="936" spans="1:13" x14ac:dyDescent="0.3">
      <c r="A936" s="23">
        <v>45638</v>
      </c>
      <c r="B936" t="s">
        <v>12</v>
      </c>
      <c r="C936" t="s">
        <v>132</v>
      </c>
      <c r="D936" t="s">
        <v>17</v>
      </c>
      <c r="E936" t="s">
        <v>46</v>
      </c>
      <c r="F936">
        <v>49300000</v>
      </c>
      <c r="G936" t="s">
        <v>28</v>
      </c>
      <c r="H936" t="s">
        <v>81</v>
      </c>
      <c r="I936" t="s">
        <v>9</v>
      </c>
      <c r="L936" t="s">
        <v>161</v>
      </c>
      <c r="M936">
        <v>-49300000</v>
      </c>
    </row>
    <row r="937" spans="1:13" x14ac:dyDescent="0.3">
      <c r="A937" s="23">
        <v>45631</v>
      </c>
      <c r="B937" t="s">
        <v>12</v>
      </c>
      <c r="C937" t="s">
        <v>132</v>
      </c>
      <c r="D937" t="s">
        <v>17</v>
      </c>
      <c r="E937" t="s">
        <v>46</v>
      </c>
      <c r="F937">
        <v>100000000</v>
      </c>
      <c r="G937" t="s">
        <v>28</v>
      </c>
      <c r="H937" t="s">
        <v>81</v>
      </c>
      <c r="I937" t="s">
        <v>9</v>
      </c>
      <c r="L937" t="s">
        <v>161</v>
      </c>
      <c r="M937">
        <v>-100000000</v>
      </c>
    </row>
    <row r="938" spans="1:13" x14ac:dyDescent="0.3">
      <c r="A938" s="23">
        <v>45630</v>
      </c>
      <c r="B938" t="s">
        <v>12</v>
      </c>
      <c r="C938" t="s">
        <v>132</v>
      </c>
      <c r="D938" t="s">
        <v>16</v>
      </c>
      <c r="E938" t="s">
        <v>46</v>
      </c>
      <c r="F938">
        <v>1120215</v>
      </c>
      <c r="G938" t="s">
        <v>28</v>
      </c>
      <c r="H938" t="s">
        <v>81</v>
      </c>
      <c r="I938" t="s">
        <v>9</v>
      </c>
      <c r="L938" t="s">
        <v>161</v>
      </c>
      <c r="M938">
        <v>1120215</v>
      </c>
    </row>
    <row r="939" spans="1:13" x14ac:dyDescent="0.3">
      <c r="A939" s="23">
        <v>45628</v>
      </c>
      <c r="B939" t="s">
        <v>12</v>
      </c>
      <c r="C939" t="s">
        <v>132</v>
      </c>
      <c r="D939" t="s">
        <v>17</v>
      </c>
      <c r="E939" t="s">
        <v>46</v>
      </c>
      <c r="F939">
        <v>200000000</v>
      </c>
      <c r="G939" t="s">
        <v>28</v>
      </c>
      <c r="H939" t="s">
        <v>81</v>
      </c>
      <c r="I939" t="s">
        <v>9</v>
      </c>
      <c r="L939" t="s">
        <v>161</v>
      </c>
      <c r="M939">
        <v>-200000000</v>
      </c>
    </row>
    <row r="940" spans="1:13" x14ac:dyDescent="0.3">
      <c r="A940" s="23">
        <v>45625</v>
      </c>
      <c r="B940" t="s">
        <v>12</v>
      </c>
      <c r="C940" t="s">
        <v>132</v>
      </c>
      <c r="D940" t="s">
        <v>16</v>
      </c>
      <c r="E940" t="s">
        <v>46</v>
      </c>
      <c r="F940">
        <v>105790175</v>
      </c>
      <c r="G940" t="s">
        <v>28</v>
      </c>
      <c r="H940" t="s">
        <v>81</v>
      </c>
      <c r="I940" t="s">
        <v>9</v>
      </c>
      <c r="L940" t="s">
        <v>161</v>
      </c>
      <c r="M940">
        <v>105790175</v>
      </c>
    </row>
    <row r="941" spans="1:13" x14ac:dyDescent="0.3">
      <c r="A941" s="23">
        <v>45624</v>
      </c>
      <c r="B941" t="s">
        <v>12</v>
      </c>
      <c r="C941" t="s">
        <v>132</v>
      </c>
      <c r="D941" t="s">
        <v>17</v>
      </c>
      <c r="E941" t="s">
        <v>46</v>
      </c>
      <c r="F941">
        <v>100600000</v>
      </c>
      <c r="G941" t="s">
        <v>28</v>
      </c>
      <c r="H941" t="s">
        <v>81</v>
      </c>
      <c r="I941" t="s">
        <v>9</v>
      </c>
      <c r="L941" t="s">
        <v>161</v>
      </c>
      <c r="M941">
        <v>-100600000</v>
      </c>
    </row>
    <row r="942" spans="1:13" x14ac:dyDescent="0.3">
      <c r="A942" s="23">
        <v>45623</v>
      </c>
      <c r="B942" t="s">
        <v>12</v>
      </c>
      <c r="C942" t="s">
        <v>132</v>
      </c>
      <c r="D942" t="s">
        <v>16</v>
      </c>
      <c r="E942" t="s">
        <v>46</v>
      </c>
      <c r="F942">
        <v>300000000</v>
      </c>
      <c r="G942" t="s">
        <v>28</v>
      </c>
      <c r="H942" t="s">
        <v>81</v>
      </c>
      <c r="I942" t="s">
        <v>9</v>
      </c>
      <c r="L942" t="s">
        <v>161</v>
      </c>
      <c r="M942">
        <v>300000000</v>
      </c>
    </row>
    <row r="943" spans="1:13" x14ac:dyDescent="0.3">
      <c r="A943" s="23">
        <v>45622</v>
      </c>
      <c r="B943" t="s">
        <v>12</v>
      </c>
      <c r="C943" t="s">
        <v>132</v>
      </c>
      <c r="D943" t="s">
        <v>17</v>
      </c>
      <c r="E943" t="s">
        <v>46</v>
      </c>
      <c r="F943">
        <v>60000000</v>
      </c>
      <c r="G943" t="s">
        <v>28</v>
      </c>
      <c r="H943" t="s">
        <v>81</v>
      </c>
      <c r="I943" t="s">
        <v>9</v>
      </c>
      <c r="L943" t="s">
        <v>161</v>
      </c>
      <c r="M943">
        <v>-60000000</v>
      </c>
    </row>
    <row r="944" spans="1:13" x14ac:dyDescent="0.3">
      <c r="A944" s="23">
        <v>45618</v>
      </c>
      <c r="B944" t="s">
        <v>12</v>
      </c>
      <c r="C944" t="s">
        <v>132</v>
      </c>
      <c r="D944" t="s">
        <v>17</v>
      </c>
      <c r="E944" t="s">
        <v>46</v>
      </c>
      <c r="F944">
        <v>200000000</v>
      </c>
      <c r="G944" t="s">
        <v>28</v>
      </c>
      <c r="H944" t="s">
        <v>81</v>
      </c>
      <c r="I944" t="s">
        <v>9</v>
      </c>
      <c r="L944" t="s">
        <v>161</v>
      </c>
      <c r="M944">
        <v>-200000000</v>
      </c>
    </row>
    <row r="945" spans="1:13" x14ac:dyDescent="0.3">
      <c r="A945" s="23">
        <v>45616</v>
      </c>
      <c r="B945" t="s">
        <v>12</v>
      </c>
      <c r="C945" t="s">
        <v>132</v>
      </c>
      <c r="D945" t="s">
        <v>17</v>
      </c>
      <c r="E945" t="s">
        <v>46</v>
      </c>
      <c r="F945">
        <v>159600000</v>
      </c>
      <c r="G945" t="s">
        <v>28</v>
      </c>
      <c r="H945" t="s">
        <v>81</v>
      </c>
      <c r="I945" t="s">
        <v>9</v>
      </c>
      <c r="L945" t="s">
        <v>161</v>
      </c>
      <c r="M945">
        <v>-159600000</v>
      </c>
    </row>
    <row r="946" spans="1:13" x14ac:dyDescent="0.3">
      <c r="A946" s="23">
        <v>45611</v>
      </c>
      <c r="B946" t="s">
        <v>12</v>
      </c>
      <c r="C946" t="s">
        <v>132</v>
      </c>
      <c r="D946" t="s">
        <v>17</v>
      </c>
      <c r="E946" t="s">
        <v>46</v>
      </c>
      <c r="F946">
        <v>20000000</v>
      </c>
      <c r="G946" t="s">
        <v>28</v>
      </c>
      <c r="H946" t="s">
        <v>81</v>
      </c>
      <c r="I946" t="s">
        <v>9</v>
      </c>
      <c r="L946" t="s">
        <v>161</v>
      </c>
      <c r="M946">
        <v>-20000000</v>
      </c>
    </row>
    <row r="947" spans="1:13" x14ac:dyDescent="0.3">
      <c r="A947" s="23">
        <v>45610</v>
      </c>
      <c r="B947" t="s">
        <v>12</v>
      </c>
      <c r="C947" t="s">
        <v>132</v>
      </c>
      <c r="D947" t="s">
        <v>17</v>
      </c>
      <c r="E947" t="s">
        <v>46</v>
      </c>
      <c r="F947">
        <v>210000000</v>
      </c>
      <c r="G947" t="s">
        <v>28</v>
      </c>
      <c r="H947" t="s">
        <v>81</v>
      </c>
      <c r="I947" t="s">
        <v>9</v>
      </c>
      <c r="L947" t="s">
        <v>161</v>
      </c>
      <c r="M947">
        <v>-210000000</v>
      </c>
    </row>
    <row r="948" spans="1:13" x14ac:dyDescent="0.3">
      <c r="A948" s="23">
        <v>45608</v>
      </c>
      <c r="B948" t="s">
        <v>12</v>
      </c>
      <c r="C948" t="s">
        <v>132</v>
      </c>
      <c r="D948" t="s">
        <v>16</v>
      </c>
      <c r="E948" t="s">
        <v>46</v>
      </c>
      <c r="F948">
        <v>700000000</v>
      </c>
      <c r="G948" t="s">
        <v>28</v>
      </c>
      <c r="H948" t="s">
        <v>81</v>
      </c>
      <c r="I948" t="s">
        <v>9</v>
      </c>
      <c r="L948" t="s">
        <v>161</v>
      </c>
      <c r="M948">
        <v>700000000</v>
      </c>
    </row>
    <row r="949" spans="1:13" x14ac:dyDescent="0.3">
      <c r="A949" s="23">
        <v>45607</v>
      </c>
      <c r="B949" t="s">
        <v>12</v>
      </c>
      <c r="C949" t="s">
        <v>132</v>
      </c>
      <c r="D949" t="s">
        <v>16</v>
      </c>
      <c r="E949" t="s">
        <v>46</v>
      </c>
      <c r="F949">
        <v>5894537</v>
      </c>
      <c r="G949" t="s">
        <v>28</v>
      </c>
      <c r="H949" t="s">
        <v>81</v>
      </c>
      <c r="I949" t="s">
        <v>9</v>
      </c>
      <c r="L949" t="s">
        <v>161</v>
      </c>
      <c r="M949">
        <v>5894537</v>
      </c>
    </row>
    <row r="950" spans="1:13" x14ac:dyDescent="0.3">
      <c r="A950" s="23">
        <v>45607</v>
      </c>
      <c r="B950" t="s">
        <v>12</v>
      </c>
      <c r="C950" t="s">
        <v>132</v>
      </c>
      <c r="D950" t="s">
        <v>17</v>
      </c>
      <c r="E950" t="s">
        <v>46</v>
      </c>
      <c r="F950">
        <v>55000000</v>
      </c>
      <c r="G950" t="s">
        <v>28</v>
      </c>
      <c r="H950" t="s">
        <v>81</v>
      </c>
      <c r="I950" t="s">
        <v>9</v>
      </c>
      <c r="L950" t="s">
        <v>161</v>
      </c>
      <c r="M950">
        <v>-55000000</v>
      </c>
    </row>
    <row r="951" spans="1:13" x14ac:dyDescent="0.3">
      <c r="A951" s="23">
        <v>45601</v>
      </c>
      <c r="B951" t="s">
        <v>12</v>
      </c>
      <c r="C951" t="s">
        <v>132</v>
      </c>
      <c r="D951" t="s">
        <v>17</v>
      </c>
      <c r="E951" t="s">
        <v>46</v>
      </c>
      <c r="F951">
        <v>67000000</v>
      </c>
      <c r="G951" t="s">
        <v>28</v>
      </c>
      <c r="H951" t="s">
        <v>81</v>
      </c>
      <c r="I951" t="s">
        <v>9</v>
      </c>
      <c r="L951" t="s">
        <v>161</v>
      </c>
      <c r="M951">
        <v>-67000000</v>
      </c>
    </row>
    <row r="952" spans="1:13" x14ac:dyDescent="0.3">
      <c r="A952" s="23">
        <v>45596</v>
      </c>
      <c r="B952" t="s">
        <v>12</v>
      </c>
      <c r="C952" t="s">
        <v>132</v>
      </c>
      <c r="D952" t="s">
        <v>16</v>
      </c>
      <c r="E952" t="s">
        <v>46</v>
      </c>
      <c r="F952">
        <v>71900000</v>
      </c>
      <c r="G952" t="s">
        <v>28</v>
      </c>
      <c r="H952" t="s">
        <v>81</v>
      </c>
      <c r="I952" t="s">
        <v>9</v>
      </c>
      <c r="L952" t="s">
        <v>161</v>
      </c>
      <c r="M952">
        <v>71900000</v>
      </c>
    </row>
    <row r="953" spans="1:13" x14ac:dyDescent="0.3">
      <c r="A953" s="23">
        <v>45594</v>
      </c>
      <c r="B953" t="s">
        <v>12</v>
      </c>
      <c r="C953" t="s">
        <v>132</v>
      </c>
      <c r="D953" t="s">
        <v>17</v>
      </c>
      <c r="E953" t="s">
        <v>46</v>
      </c>
      <c r="F953">
        <v>150000000</v>
      </c>
      <c r="G953" t="s">
        <v>28</v>
      </c>
      <c r="H953" t="s">
        <v>81</v>
      </c>
      <c r="I953" t="s">
        <v>9</v>
      </c>
      <c r="L953" t="s">
        <v>161</v>
      </c>
      <c r="M953">
        <v>-150000000</v>
      </c>
    </row>
    <row r="954" spans="1:13" x14ac:dyDescent="0.3">
      <c r="A954" s="23">
        <v>45590</v>
      </c>
      <c r="B954" t="s">
        <v>12</v>
      </c>
      <c r="C954" t="s">
        <v>132</v>
      </c>
      <c r="D954" t="s">
        <v>17</v>
      </c>
      <c r="E954" t="s">
        <v>46</v>
      </c>
      <c r="F954">
        <v>170200000</v>
      </c>
      <c r="G954" t="s">
        <v>28</v>
      </c>
      <c r="H954" t="s">
        <v>81</v>
      </c>
      <c r="I954" t="s">
        <v>9</v>
      </c>
      <c r="L954" t="s">
        <v>161</v>
      </c>
      <c r="M954">
        <v>-170200000</v>
      </c>
    </row>
    <row r="955" spans="1:13" x14ac:dyDescent="0.3">
      <c r="A955" s="23">
        <v>45588</v>
      </c>
      <c r="B955" t="s">
        <v>12</v>
      </c>
      <c r="C955" t="s">
        <v>132</v>
      </c>
      <c r="D955" t="s">
        <v>17</v>
      </c>
      <c r="E955" t="s">
        <v>46</v>
      </c>
      <c r="F955">
        <v>135600000</v>
      </c>
      <c r="G955" t="s">
        <v>28</v>
      </c>
      <c r="H955" t="s">
        <v>81</v>
      </c>
      <c r="I955" t="s">
        <v>9</v>
      </c>
      <c r="L955" t="s">
        <v>161</v>
      </c>
      <c r="M955">
        <v>-135600000</v>
      </c>
    </row>
    <row r="956" spans="1:13" x14ac:dyDescent="0.3">
      <c r="A956" s="23">
        <v>45586</v>
      </c>
      <c r="B956" t="s">
        <v>12</v>
      </c>
      <c r="C956" t="s">
        <v>132</v>
      </c>
      <c r="D956" t="s">
        <v>17</v>
      </c>
      <c r="E956" t="s">
        <v>46</v>
      </c>
      <c r="F956">
        <v>180400000</v>
      </c>
      <c r="G956" t="s">
        <v>28</v>
      </c>
      <c r="H956" t="s">
        <v>81</v>
      </c>
      <c r="I956" t="s">
        <v>9</v>
      </c>
      <c r="L956" t="s">
        <v>161</v>
      </c>
      <c r="M956">
        <v>-180400000</v>
      </c>
    </row>
    <row r="957" spans="1:13" x14ac:dyDescent="0.3">
      <c r="A957" s="23">
        <v>45583</v>
      </c>
      <c r="B957" t="s">
        <v>12</v>
      </c>
      <c r="C957" t="s">
        <v>132</v>
      </c>
      <c r="D957" t="s">
        <v>16</v>
      </c>
      <c r="E957" t="s">
        <v>46</v>
      </c>
      <c r="F957">
        <v>658500000</v>
      </c>
      <c r="G957" t="s">
        <v>28</v>
      </c>
      <c r="H957" t="s">
        <v>81</v>
      </c>
      <c r="I957" t="s">
        <v>9</v>
      </c>
      <c r="L957" t="s">
        <v>161</v>
      </c>
      <c r="M957">
        <v>658500000</v>
      </c>
    </row>
    <row r="958" spans="1:13" x14ac:dyDescent="0.3">
      <c r="A958" s="23">
        <v>45582</v>
      </c>
      <c r="B958" t="s">
        <v>12</v>
      </c>
      <c r="C958" t="s">
        <v>132</v>
      </c>
      <c r="D958" t="s">
        <v>16</v>
      </c>
      <c r="E958" t="s">
        <v>46</v>
      </c>
      <c r="F958">
        <v>2303664</v>
      </c>
      <c r="G958" t="s">
        <v>28</v>
      </c>
      <c r="H958" t="s">
        <v>81</v>
      </c>
      <c r="I958" t="s">
        <v>9</v>
      </c>
      <c r="L958" t="s">
        <v>161</v>
      </c>
      <c r="M958">
        <v>2303664</v>
      </c>
    </row>
    <row r="959" spans="1:13" x14ac:dyDescent="0.3">
      <c r="A959" s="23">
        <v>45575</v>
      </c>
      <c r="B959" t="s">
        <v>12</v>
      </c>
      <c r="C959" t="s">
        <v>132</v>
      </c>
      <c r="D959" t="s">
        <v>17</v>
      </c>
      <c r="E959" t="s">
        <v>46</v>
      </c>
      <c r="F959">
        <v>75200000</v>
      </c>
      <c r="G959" t="s">
        <v>28</v>
      </c>
      <c r="H959" t="s">
        <v>81</v>
      </c>
      <c r="I959" t="s">
        <v>9</v>
      </c>
      <c r="L959" t="s">
        <v>161</v>
      </c>
      <c r="M959">
        <v>-75200000</v>
      </c>
    </row>
    <row r="960" spans="1:13" x14ac:dyDescent="0.3">
      <c r="A960" s="23">
        <v>45569</v>
      </c>
      <c r="B960" t="s">
        <v>12</v>
      </c>
      <c r="C960" t="s">
        <v>132</v>
      </c>
      <c r="D960" t="s">
        <v>17</v>
      </c>
      <c r="E960" t="s">
        <v>46</v>
      </c>
      <c r="F960">
        <v>200000000</v>
      </c>
      <c r="G960" t="s">
        <v>28</v>
      </c>
      <c r="H960" t="s">
        <v>81</v>
      </c>
      <c r="I960" t="s">
        <v>9</v>
      </c>
      <c r="L960" t="s">
        <v>161</v>
      </c>
      <c r="M960">
        <v>-200000000</v>
      </c>
    </row>
    <row r="961" spans="1:13" x14ac:dyDescent="0.3">
      <c r="A961" s="23">
        <v>45568</v>
      </c>
      <c r="B961" t="s">
        <v>12</v>
      </c>
      <c r="C961" t="s">
        <v>132</v>
      </c>
      <c r="D961" t="s">
        <v>17</v>
      </c>
      <c r="E961" t="s">
        <v>46</v>
      </c>
      <c r="F961">
        <v>300000000</v>
      </c>
      <c r="G961" t="s">
        <v>28</v>
      </c>
      <c r="H961" t="s">
        <v>81</v>
      </c>
      <c r="I961" t="s">
        <v>9</v>
      </c>
      <c r="L961" t="s">
        <v>161</v>
      </c>
      <c r="M961">
        <v>-300000000</v>
      </c>
    </row>
    <row r="962" spans="1:13" x14ac:dyDescent="0.3">
      <c r="A962" s="23">
        <v>45567</v>
      </c>
      <c r="B962" t="s">
        <v>12</v>
      </c>
      <c r="C962" t="s">
        <v>132</v>
      </c>
      <c r="D962" t="s">
        <v>16</v>
      </c>
      <c r="E962" t="s">
        <v>46</v>
      </c>
      <c r="F962">
        <v>600000000</v>
      </c>
      <c r="G962" t="s">
        <v>28</v>
      </c>
      <c r="H962" t="s">
        <v>81</v>
      </c>
      <c r="I962" t="s">
        <v>9</v>
      </c>
      <c r="L962" t="s">
        <v>161</v>
      </c>
      <c r="M962">
        <v>600000000</v>
      </c>
    </row>
    <row r="963" spans="1:13" x14ac:dyDescent="0.3">
      <c r="A963" s="23">
        <v>45565</v>
      </c>
      <c r="B963" t="s">
        <v>12</v>
      </c>
      <c r="C963" t="s">
        <v>132</v>
      </c>
      <c r="D963" t="s">
        <v>17</v>
      </c>
      <c r="E963" t="s">
        <v>46</v>
      </c>
      <c r="F963">
        <v>140000000</v>
      </c>
      <c r="G963" t="s">
        <v>28</v>
      </c>
      <c r="H963" t="s">
        <v>81</v>
      </c>
      <c r="I963" t="s">
        <v>9</v>
      </c>
      <c r="L963" t="s">
        <v>161</v>
      </c>
      <c r="M963">
        <v>-140000000</v>
      </c>
    </row>
    <row r="964" spans="1:13" x14ac:dyDescent="0.3">
      <c r="A964" s="23">
        <v>45565</v>
      </c>
      <c r="B964" t="s">
        <v>12</v>
      </c>
      <c r="C964" t="s">
        <v>132</v>
      </c>
      <c r="D964" t="s">
        <v>16</v>
      </c>
      <c r="E964" t="s">
        <v>46</v>
      </c>
      <c r="F964">
        <v>13600000</v>
      </c>
      <c r="G964" t="s">
        <v>28</v>
      </c>
      <c r="H964" t="s">
        <v>81</v>
      </c>
      <c r="I964" t="s">
        <v>9</v>
      </c>
      <c r="L964" t="s">
        <v>161</v>
      </c>
      <c r="M964">
        <v>13600000</v>
      </c>
    </row>
    <row r="965" spans="1:13" x14ac:dyDescent="0.3">
      <c r="A965" s="23">
        <v>45562</v>
      </c>
      <c r="B965" t="s">
        <v>12</v>
      </c>
      <c r="C965" t="s">
        <v>132</v>
      </c>
      <c r="D965" t="s">
        <v>17</v>
      </c>
      <c r="E965" t="s">
        <v>46</v>
      </c>
      <c r="F965">
        <v>200000000</v>
      </c>
      <c r="G965" t="s">
        <v>28</v>
      </c>
      <c r="H965" t="s">
        <v>81</v>
      </c>
      <c r="I965" t="s">
        <v>9</v>
      </c>
      <c r="L965" t="s">
        <v>161</v>
      </c>
      <c r="M965">
        <v>-200000000</v>
      </c>
    </row>
    <row r="966" spans="1:13" x14ac:dyDescent="0.3">
      <c r="A966" s="23">
        <v>45561</v>
      </c>
      <c r="B966" t="s">
        <v>12</v>
      </c>
      <c r="C966" t="s">
        <v>132</v>
      </c>
      <c r="D966" t="s">
        <v>17</v>
      </c>
      <c r="E966" t="s">
        <v>46</v>
      </c>
      <c r="F966">
        <v>110500000</v>
      </c>
      <c r="G966" t="s">
        <v>28</v>
      </c>
      <c r="H966" t="s">
        <v>81</v>
      </c>
      <c r="I966" t="s">
        <v>9</v>
      </c>
      <c r="L966" t="s">
        <v>161</v>
      </c>
      <c r="M966">
        <v>-110500000</v>
      </c>
    </row>
    <row r="967" spans="1:13" x14ac:dyDescent="0.3">
      <c r="A967" s="23">
        <v>45560</v>
      </c>
      <c r="B967" t="s">
        <v>12</v>
      </c>
      <c r="C967" t="s">
        <v>132</v>
      </c>
      <c r="D967" t="s">
        <v>17</v>
      </c>
      <c r="E967" t="s">
        <v>46</v>
      </c>
      <c r="F967">
        <v>300000000</v>
      </c>
      <c r="G967" t="s">
        <v>28</v>
      </c>
      <c r="H967" t="s">
        <v>81</v>
      </c>
      <c r="I967" t="s">
        <v>9</v>
      </c>
      <c r="L967" t="s">
        <v>161</v>
      </c>
      <c r="M967">
        <v>-300000000</v>
      </c>
    </row>
    <row r="968" spans="1:13" x14ac:dyDescent="0.3">
      <c r="A968" s="23">
        <v>45558</v>
      </c>
      <c r="B968" t="s">
        <v>12</v>
      </c>
      <c r="C968" t="s">
        <v>132</v>
      </c>
      <c r="D968" t="s">
        <v>17</v>
      </c>
      <c r="E968" t="s">
        <v>46</v>
      </c>
      <c r="F968">
        <v>350000000</v>
      </c>
      <c r="G968" t="s">
        <v>28</v>
      </c>
      <c r="H968" t="s">
        <v>81</v>
      </c>
      <c r="I968" t="s">
        <v>9</v>
      </c>
      <c r="L968" t="s">
        <v>161</v>
      </c>
      <c r="M968">
        <v>-350000000</v>
      </c>
    </row>
    <row r="969" spans="1:13" x14ac:dyDescent="0.3">
      <c r="A969" s="23">
        <v>45553</v>
      </c>
      <c r="B969" t="s">
        <v>12</v>
      </c>
      <c r="C969" t="s">
        <v>132</v>
      </c>
      <c r="D969" t="s">
        <v>16</v>
      </c>
      <c r="E969" t="s">
        <v>46</v>
      </c>
      <c r="F969">
        <v>776800000</v>
      </c>
      <c r="G969" t="s">
        <v>28</v>
      </c>
      <c r="H969" t="s">
        <v>81</v>
      </c>
      <c r="I969" t="s">
        <v>9</v>
      </c>
      <c r="L969" t="s">
        <v>161</v>
      </c>
      <c r="M969">
        <v>776800000</v>
      </c>
    </row>
    <row r="970" spans="1:13" x14ac:dyDescent="0.3">
      <c r="A970" s="23">
        <v>44943</v>
      </c>
      <c r="B970" t="s">
        <v>12</v>
      </c>
      <c r="C970" t="s">
        <v>132</v>
      </c>
      <c r="D970" t="s">
        <v>16</v>
      </c>
      <c r="E970" t="s">
        <v>46</v>
      </c>
      <c r="F970">
        <v>60000000</v>
      </c>
      <c r="G970" t="s">
        <v>28</v>
      </c>
      <c r="H970" t="s">
        <v>81</v>
      </c>
      <c r="I970" t="s">
        <v>9</v>
      </c>
      <c r="L970" t="s">
        <v>161</v>
      </c>
      <c r="M970">
        <v>60000000</v>
      </c>
    </row>
    <row r="971" spans="1:13" x14ac:dyDescent="0.3">
      <c r="A971" s="23">
        <v>45548</v>
      </c>
      <c r="B971" t="s">
        <v>12</v>
      </c>
      <c r="C971" t="s">
        <v>132</v>
      </c>
      <c r="D971" t="s">
        <v>17</v>
      </c>
      <c r="E971" t="s">
        <v>46</v>
      </c>
      <c r="F971">
        <v>300000000</v>
      </c>
      <c r="G971" t="s">
        <v>28</v>
      </c>
      <c r="H971" t="s">
        <v>81</v>
      </c>
      <c r="I971" t="s">
        <v>9</v>
      </c>
      <c r="L971" t="s">
        <v>161</v>
      </c>
      <c r="M971">
        <v>-300000000</v>
      </c>
    </row>
    <row r="972" spans="1:13" x14ac:dyDescent="0.3">
      <c r="A972" s="23">
        <v>44945</v>
      </c>
      <c r="B972" t="s">
        <v>12</v>
      </c>
      <c r="C972" t="s">
        <v>132</v>
      </c>
      <c r="D972" t="s">
        <v>17</v>
      </c>
      <c r="E972" t="s">
        <v>46</v>
      </c>
      <c r="F972">
        <v>55700000</v>
      </c>
      <c r="G972" t="s">
        <v>28</v>
      </c>
      <c r="H972" t="s">
        <v>81</v>
      </c>
      <c r="I972" t="s">
        <v>9</v>
      </c>
      <c r="L972" t="s">
        <v>161</v>
      </c>
      <c r="M972">
        <v>-55700000</v>
      </c>
    </row>
    <row r="973" spans="1:13" x14ac:dyDescent="0.3">
      <c r="A973" s="23">
        <v>45547</v>
      </c>
      <c r="B973" t="s">
        <v>12</v>
      </c>
      <c r="C973" t="s">
        <v>132</v>
      </c>
      <c r="D973" t="s">
        <v>16</v>
      </c>
      <c r="E973" t="s">
        <v>46</v>
      </c>
      <c r="F973">
        <v>400000000</v>
      </c>
      <c r="G973" t="s">
        <v>28</v>
      </c>
      <c r="H973" t="s">
        <v>81</v>
      </c>
      <c r="I973" t="s">
        <v>9</v>
      </c>
      <c r="L973" t="s">
        <v>161</v>
      </c>
      <c r="M973">
        <v>400000000</v>
      </c>
    </row>
    <row r="974" spans="1:13" x14ac:dyDescent="0.3">
      <c r="A974" s="23">
        <v>44946</v>
      </c>
      <c r="B974" t="s">
        <v>12</v>
      </c>
      <c r="C974" t="s">
        <v>132</v>
      </c>
      <c r="D974" t="s">
        <v>17</v>
      </c>
      <c r="E974" t="s">
        <v>46</v>
      </c>
      <c r="F974">
        <v>4300000</v>
      </c>
      <c r="G974" t="s">
        <v>28</v>
      </c>
      <c r="H974" t="s">
        <v>81</v>
      </c>
      <c r="I974" t="s">
        <v>9</v>
      </c>
      <c r="L974" t="s">
        <v>161</v>
      </c>
      <c r="M974">
        <v>-4300000</v>
      </c>
    </row>
    <row r="975" spans="1:13" x14ac:dyDescent="0.3">
      <c r="A975" s="23">
        <v>45544</v>
      </c>
      <c r="B975" t="s">
        <v>12</v>
      </c>
      <c r="C975" t="s">
        <v>132</v>
      </c>
      <c r="D975" t="s">
        <v>17</v>
      </c>
      <c r="E975" t="s">
        <v>46</v>
      </c>
      <c r="F975">
        <v>175400000</v>
      </c>
      <c r="G975" t="s">
        <v>28</v>
      </c>
      <c r="H975" t="s">
        <v>81</v>
      </c>
      <c r="I975" t="s">
        <v>9</v>
      </c>
      <c r="L975" t="s">
        <v>161</v>
      </c>
      <c r="M975">
        <v>-175400000</v>
      </c>
    </row>
    <row r="976" spans="1:13" x14ac:dyDescent="0.3">
      <c r="A976" s="23">
        <v>45541</v>
      </c>
      <c r="B976" t="s">
        <v>12</v>
      </c>
      <c r="C976" t="s">
        <v>132</v>
      </c>
      <c r="D976" t="s">
        <v>17</v>
      </c>
      <c r="E976" t="s">
        <v>46</v>
      </c>
      <c r="F976">
        <v>26300000</v>
      </c>
      <c r="G976" t="s">
        <v>28</v>
      </c>
      <c r="H976" t="s">
        <v>81</v>
      </c>
      <c r="I976" t="s">
        <v>9</v>
      </c>
      <c r="L976" t="s">
        <v>161</v>
      </c>
      <c r="M976">
        <v>-26300000</v>
      </c>
    </row>
    <row r="977" spans="1:13" x14ac:dyDescent="0.3">
      <c r="A977" s="23">
        <v>45541</v>
      </c>
      <c r="B977" t="s">
        <v>12</v>
      </c>
      <c r="C977" t="s">
        <v>132</v>
      </c>
      <c r="D977" t="s">
        <v>17</v>
      </c>
      <c r="E977" t="s">
        <v>46</v>
      </c>
      <c r="F977">
        <v>30000000</v>
      </c>
      <c r="G977" t="s">
        <v>28</v>
      </c>
      <c r="H977" t="s">
        <v>81</v>
      </c>
      <c r="I977" t="s">
        <v>9</v>
      </c>
      <c r="L977" t="s">
        <v>161</v>
      </c>
      <c r="M977">
        <v>-30000000</v>
      </c>
    </row>
    <row r="978" spans="1:13" x14ac:dyDescent="0.3">
      <c r="A978" s="23">
        <v>45540</v>
      </c>
      <c r="B978" t="s">
        <v>12</v>
      </c>
      <c r="C978" t="s">
        <v>132</v>
      </c>
      <c r="D978" t="s">
        <v>17</v>
      </c>
      <c r="E978" t="s">
        <v>46</v>
      </c>
      <c r="F978">
        <v>239100000</v>
      </c>
      <c r="G978" t="s">
        <v>28</v>
      </c>
      <c r="H978" t="s">
        <v>81</v>
      </c>
      <c r="I978" t="s">
        <v>9</v>
      </c>
      <c r="L978" t="s">
        <v>161</v>
      </c>
      <c r="M978">
        <v>-239100000</v>
      </c>
    </row>
    <row r="979" spans="1:13" x14ac:dyDescent="0.3">
      <c r="A979" s="23">
        <v>45539</v>
      </c>
      <c r="B979" t="s">
        <v>12</v>
      </c>
      <c r="C979" t="s">
        <v>132</v>
      </c>
      <c r="D979" t="s">
        <v>17</v>
      </c>
      <c r="E979" t="s">
        <v>46</v>
      </c>
      <c r="F979">
        <v>150000000</v>
      </c>
      <c r="G979" t="s">
        <v>28</v>
      </c>
      <c r="H979" t="s">
        <v>81</v>
      </c>
      <c r="I979" t="s">
        <v>9</v>
      </c>
      <c r="L979" t="s">
        <v>161</v>
      </c>
      <c r="M979">
        <v>-150000000</v>
      </c>
    </row>
    <row r="980" spans="1:13" x14ac:dyDescent="0.3">
      <c r="A980" s="23">
        <v>44960</v>
      </c>
      <c r="B980" t="s">
        <v>12</v>
      </c>
      <c r="C980" t="s">
        <v>132</v>
      </c>
      <c r="D980" t="s">
        <v>16</v>
      </c>
      <c r="E980" t="s">
        <v>46</v>
      </c>
      <c r="F980">
        <v>320200000</v>
      </c>
      <c r="G980" t="s">
        <v>28</v>
      </c>
      <c r="H980" t="s">
        <v>81</v>
      </c>
      <c r="I980" t="s">
        <v>9</v>
      </c>
      <c r="L980" t="s">
        <v>161</v>
      </c>
      <c r="M980">
        <v>320200000</v>
      </c>
    </row>
    <row r="981" spans="1:13" x14ac:dyDescent="0.3">
      <c r="A981" s="23">
        <v>44963</v>
      </c>
      <c r="B981" t="s">
        <v>12</v>
      </c>
      <c r="C981" t="s">
        <v>132</v>
      </c>
      <c r="D981" t="s">
        <v>17</v>
      </c>
      <c r="E981" t="s">
        <v>46</v>
      </c>
      <c r="F981">
        <v>320200000</v>
      </c>
      <c r="G981" t="s">
        <v>28</v>
      </c>
      <c r="H981" t="s">
        <v>81</v>
      </c>
      <c r="I981" t="s">
        <v>9</v>
      </c>
      <c r="L981" t="s">
        <v>161</v>
      </c>
      <c r="M981">
        <v>-320200000</v>
      </c>
    </row>
    <row r="982" spans="1:13" x14ac:dyDescent="0.3">
      <c r="A982" s="23">
        <v>45538</v>
      </c>
      <c r="B982" t="s">
        <v>12</v>
      </c>
      <c r="C982" t="s">
        <v>132</v>
      </c>
      <c r="D982" t="s">
        <v>16</v>
      </c>
      <c r="E982" t="s">
        <v>46</v>
      </c>
      <c r="F982">
        <v>15366000</v>
      </c>
      <c r="G982" t="s">
        <v>28</v>
      </c>
      <c r="H982" t="s">
        <v>81</v>
      </c>
      <c r="I982" t="s">
        <v>9</v>
      </c>
      <c r="L982" t="s">
        <v>161</v>
      </c>
      <c r="M982">
        <v>15366000</v>
      </c>
    </row>
    <row r="983" spans="1:13" x14ac:dyDescent="0.3">
      <c r="A983" s="23">
        <v>45538</v>
      </c>
      <c r="B983" t="s">
        <v>12</v>
      </c>
      <c r="C983" t="s">
        <v>132</v>
      </c>
      <c r="D983" t="s">
        <v>16</v>
      </c>
      <c r="E983" t="s">
        <v>46</v>
      </c>
      <c r="F983">
        <v>700000000</v>
      </c>
      <c r="G983" t="s">
        <v>28</v>
      </c>
      <c r="H983" t="s">
        <v>81</v>
      </c>
      <c r="I983" t="s">
        <v>9</v>
      </c>
      <c r="L983" t="s">
        <v>161</v>
      </c>
      <c r="M983">
        <v>700000000</v>
      </c>
    </row>
    <row r="984" spans="1:13" x14ac:dyDescent="0.3">
      <c r="A984" s="23">
        <v>45537</v>
      </c>
      <c r="B984" t="s">
        <v>12</v>
      </c>
      <c r="C984" t="s">
        <v>132</v>
      </c>
      <c r="D984" t="s">
        <v>17</v>
      </c>
      <c r="E984" t="s">
        <v>46</v>
      </c>
      <c r="F984">
        <v>75000000</v>
      </c>
      <c r="G984" t="s">
        <v>28</v>
      </c>
      <c r="H984" t="s">
        <v>81</v>
      </c>
      <c r="I984" t="s">
        <v>9</v>
      </c>
      <c r="L984" t="s">
        <v>161</v>
      </c>
      <c r="M984">
        <v>-75000000</v>
      </c>
    </row>
    <row r="985" spans="1:13" x14ac:dyDescent="0.3">
      <c r="A985" s="23">
        <v>45534</v>
      </c>
      <c r="B985" t="s">
        <v>12</v>
      </c>
      <c r="C985" t="s">
        <v>132</v>
      </c>
      <c r="D985" t="s">
        <v>17</v>
      </c>
      <c r="E985" t="s">
        <v>46</v>
      </c>
      <c r="F985">
        <v>500000000</v>
      </c>
      <c r="G985" t="s">
        <v>28</v>
      </c>
      <c r="H985" t="s">
        <v>81</v>
      </c>
      <c r="I985" t="s">
        <v>9</v>
      </c>
      <c r="L985" t="s">
        <v>161</v>
      </c>
      <c r="M985">
        <v>-500000000</v>
      </c>
    </row>
    <row r="986" spans="1:13" x14ac:dyDescent="0.3">
      <c r="A986" s="23">
        <v>44971</v>
      </c>
      <c r="B986" t="s">
        <v>12</v>
      </c>
      <c r="C986" t="s">
        <v>132</v>
      </c>
      <c r="D986" t="s">
        <v>16</v>
      </c>
      <c r="E986" t="s">
        <v>46</v>
      </c>
      <c r="F986">
        <v>230000000</v>
      </c>
      <c r="G986" t="s">
        <v>28</v>
      </c>
      <c r="H986" t="s">
        <v>81</v>
      </c>
      <c r="I986" t="s">
        <v>9</v>
      </c>
      <c r="L986" t="s">
        <v>161</v>
      </c>
      <c r="M986">
        <v>230000000</v>
      </c>
    </row>
    <row r="987" spans="1:13" x14ac:dyDescent="0.3">
      <c r="A987" s="23">
        <v>44974</v>
      </c>
      <c r="B987" t="s">
        <v>12</v>
      </c>
      <c r="C987" t="s">
        <v>132</v>
      </c>
      <c r="D987" t="s">
        <v>17</v>
      </c>
      <c r="E987" t="s">
        <v>46</v>
      </c>
      <c r="F987">
        <v>200000000</v>
      </c>
      <c r="G987" t="s">
        <v>28</v>
      </c>
      <c r="H987" t="s">
        <v>81</v>
      </c>
      <c r="I987" t="s">
        <v>9</v>
      </c>
      <c r="L987" t="s">
        <v>161</v>
      </c>
      <c r="M987">
        <v>-200000000</v>
      </c>
    </row>
    <row r="988" spans="1:13" x14ac:dyDescent="0.3">
      <c r="A988" s="23">
        <v>45532</v>
      </c>
      <c r="B988" t="s">
        <v>12</v>
      </c>
      <c r="C988" t="s">
        <v>132</v>
      </c>
      <c r="D988" t="s">
        <v>16</v>
      </c>
      <c r="E988" t="s">
        <v>46</v>
      </c>
      <c r="F988">
        <v>600000000</v>
      </c>
      <c r="G988" t="s">
        <v>28</v>
      </c>
      <c r="H988" t="s">
        <v>81</v>
      </c>
      <c r="I988" t="s">
        <v>9</v>
      </c>
      <c r="L988" t="s">
        <v>161</v>
      </c>
      <c r="M988">
        <v>600000000</v>
      </c>
    </row>
    <row r="989" spans="1:13" x14ac:dyDescent="0.3">
      <c r="A989" s="23">
        <v>44985</v>
      </c>
      <c r="B989" t="s">
        <v>12</v>
      </c>
      <c r="C989" t="s">
        <v>132</v>
      </c>
      <c r="D989" t="s">
        <v>16</v>
      </c>
      <c r="E989" t="s">
        <v>46</v>
      </c>
      <c r="F989">
        <v>173300000</v>
      </c>
      <c r="G989" t="s">
        <v>28</v>
      </c>
      <c r="H989" t="s">
        <v>81</v>
      </c>
      <c r="I989" t="s">
        <v>9</v>
      </c>
      <c r="L989" t="s">
        <v>161</v>
      </c>
      <c r="M989">
        <v>173300000</v>
      </c>
    </row>
    <row r="990" spans="1:13" x14ac:dyDescent="0.3">
      <c r="A990" s="23">
        <v>45527</v>
      </c>
      <c r="B990" t="s">
        <v>12</v>
      </c>
      <c r="C990" t="s">
        <v>132</v>
      </c>
      <c r="D990" t="s">
        <v>17</v>
      </c>
      <c r="E990" t="s">
        <v>46</v>
      </c>
      <c r="F990">
        <v>100000000</v>
      </c>
      <c r="G990" t="s">
        <v>28</v>
      </c>
      <c r="H990" t="s">
        <v>81</v>
      </c>
      <c r="I990" t="s">
        <v>9</v>
      </c>
      <c r="L990" t="s">
        <v>161</v>
      </c>
      <c r="M990">
        <v>-100000000</v>
      </c>
    </row>
    <row r="991" spans="1:13" x14ac:dyDescent="0.3">
      <c r="A991" s="23">
        <v>44992</v>
      </c>
      <c r="B991" t="s">
        <v>12</v>
      </c>
      <c r="C991" t="s">
        <v>132</v>
      </c>
      <c r="D991" t="s">
        <v>16</v>
      </c>
      <c r="E991" t="s">
        <v>46</v>
      </c>
      <c r="F991">
        <v>297000000</v>
      </c>
      <c r="G991" t="s">
        <v>28</v>
      </c>
      <c r="H991" t="s">
        <v>81</v>
      </c>
      <c r="I991" t="s">
        <v>9</v>
      </c>
      <c r="L991" t="s">
        <v>161</v>
      </c>
      <c r="M991">
        <v>297000000</v>
      </c>
    </row>
    <row r="992" spans="1:13" x14ac:dyDescent="0.3">
      <c r="A992" s="23">
        <v>44995</v>
      </c>
      <c r="B992" t="s">
        <v>12</v>
      </c>
      <c r="C992" t="s">
        <v>132</v>
      </c>
      <c r="D992" t="s">
        <v>16</v>
      </c>
      <c r="E992" t="s">
        <v>46</v>
      </c>
      <c r="F992">
        <v>3600000</v>
      </c>
      <c r="G992" t="s">
        <v>28</v>
      </c>
      <c r="H992" t="s">
        <v>81</v>
      </c>
      <c r="I992" t="s">
        <v>9</v>
      </c>
      <c r="L992" t="s">
        <v>161</v>
      </c>
      <c r="M992">
        <v>3600000</v>
      </c>
    </row>
    <row r="993" spans="1:13" x14ac:dyDescent="0.3">
      <c r="A993" s="23">
        <v>44995</v>
      </c>
      <c r="B993" t="s">
        <v>12</v>
      </c>
      <c r="C993" t="s">
        <v>132</v>
      </c>
      <c r="D993" t="s">
        <v>17</v>
      </c>
      <c r="E993" t="s">
        <v>46</v>
      </c>
      <c r="F993">
        <v>447600000</v>
      </c>
      <c r="G993" t="s">
        <v>28</v>
      </c>
      <c r="H993" t="s">
        <v>81</v>
      </c>
      <c r="I993" t="s">
        <v>9</v>
      </c>
      <c r="L993" t="s">
        <v>161</v>
      </c>
      <c r="M993">
        <v>-447600000</v>
      </c>
    </row>
    <row r="994" spans="1:13" x14ac:dyDescent="0.3">
      <c r="A994" s="23">
        <v>45525</v>
      </c>
      <c r="B994" t="s">
        <v>12</v>
      </c>
      <c r="C994" t="s">
        <v>132</v>
      </c>
      <c r="D994" t="s">
        <v>17</v>
      </c>
      <c r="E994" t="s">
        <v>46</v>
      </c>
      <c r="F994">
        <v>300000000</v>
      </c>
      <c r="G994" t="s">
        <v>28</v>
      </c>
      <c r="H994" t="s">
        <v>81</v>
      </c>
      <c r="I994" t="s">
        <v>9</v>
      </c>
      <c r="L994" t="s">
        <v>161</v>
      </c>
      <c r="M994">
        <v>-300000000</v>
      </c>
    </row>
    <row r="995" spans="1:13" x14ac:dyDescent="0.3">
      <c r="A995" s="23">
        <v>44998</v>
      </c>
      <c r="B995" t="s">
        <v>12</v>
      </c>
      <c r="C995" t="s">
        <v>132</v>
      </c>
      <c r="D995" t="s">
        <v>16</v>
      </c>
      <c r="E995" t="s">
        <v>46</v>
      </c>
      <c r="F995">
        <v>58600000</v>
      </c>
      <c r="G995" t="s">
        <v>28</v>
      </c>
      <c r="H995" t="s">
        <v>81</v>
      </c>
      <c r="I995" t="s">
        <v>9</v>
      </c>
      <c r="L995" t="s">
        <v>161</v>
      </c>
      <c r="M995">
        <v>58600000</v>
      </c>
    </row>
    <row r="996" spans="1:13" x14ac:dyDescent="0.3">
      <c r="A996" s="23">
        <v>44999</v>
      </c>
      <c r="B996" t="s">
        <v>12</v>
      </c>
      <c r="C996" t="s">
        <v>132</v>
      </c>
      <c r="D996" t="s">
        <v>16</v>
      </c>
      <c r="E996" t="s">
        <v>46</v>
      </c>
      <c r="F996">
        <v>200000000</v>
      </c>
      <c r="G996" t="s">
        <v>28</v>
      </c>
      <c r="H996" t="s">
        <v>81</v>
      </c>
      <c r="I996" t="s">
        <v>9</v>
      </c>
      <c r="L996" t="s">
        <v>161</v>
      </c>
      <c r="M996">
        <v>200000000</v>
      </c>
    </row>
    <row r="997" spans="1:13" x14ac:dyDescent="0.3">
      <c r="A997" s="23">
        <v>45520</v>
      </c>
      <c r="B997" t="s">
        <v>12</v>
      </c>
      <c r="C997" t="s">
        <v>132</v>
      </c>
      <c r="D997" t="s">
        <v>17</v>
      </c>
      <c r="E997" t="s">
        <v>46</v>
      </c>
      <c r="F997">
        <v>300000000</v>
      </c>
      <c r="G997" t="s">
        <v>28</v>
      </c>
      <c r="H997" t="s">
        <v>81</v>
      </c>
      <c r="I997" t="s">
        <v>9</v>
      </c>
      <c r="L997" t="s">
        <v>161</v>
      </c>
      <c r="M997">
        <v>-300000000</v>
      </c>
    </row>
    <row r="998" spans="1:13" x14ac:dyDescent="0.3">
      <c r="A998" s="23">
        <v>45000</v>
      </c>
      <c r="B998" t="s">
        <v>12</v>
      </c>
      <c r="C998" t="s">
        <v>132</v>
      </c>
      <c r="D998" t="s">
        <v>17</v>
      </c>
      <c r="E998" t="s">
        <v>46</v>
      </c>
      <c r="F998">
        <v>258600000</v>
      </c>
      <c r="G998" t="s">
        <v>28</v>
      </c>
      <c r="H998" t="s">
        <v>81</v>
      </c>
      <c r="I998" t="s">
        <v>9</v>
      </c>
      <c r="L998" t="s">
        <v>161</v>
      </c>
      <c r="M998">
        <v>-258600000</v>
      </c>
    </row>
    <row r="999" spans="1:13" x14ac:dyDescent="0.3">
      <c r="A999" s="23">
        <v>45001</v>
      </c>
      <c r="B999" t="s">
        <v>12</v>
      </c>
      <c r="C999" t="s">
        <v>132</v>
      </c>
      <c r="D999" t="s">
        <v>16</v>
      </c>
      <c r="E999" t="s">
        <v>46</v>
      </c>
      <c r="F999">
        <v>235000000</v>
      </c>
      <c r="G999" t="s">
        <v>28</v>
      </c>
      <c r="H999" t="s">
        <v>81</v>
      </c>
      <c r="I999" t="s">
        <v>9</v>
      </c>
      <c r="L999" t="s">
        <v>161</v>
      </c>
      <c r="M999">
        <v>235000000</v>
      </c>
    </row>
    <row r="1000" spans="1:13" x14ac:dyDescent="0.3">
      <c r="A1000" s="23">
        <v>45517</v>
      </c>
      <c r="B1000" t="s">
        <v>12</v>
      </c>
      <c r="C1000" t="s">
        <v>132</v>
      </c>
      <c r="D1000" t="s">
        <v>16</v>
      </c>
      <c r="E1000" t="s">
        <v>46</v>
      </c>
      <c r="F1000">
        <v>600000000</v>
      </c>
      <c r="G1000" t="s">
        <v>28</v>
      </c>
      <c r="H1000" t="s">
        <v>81</v>
      </c>
      <c r="I1000" t="s">
        <v>9</v>
      </c>
      <c r="L1000" t="s">
        <v>161</v>
      </c>
      <c r="M1000">
        <v>600000000</v>
      </c>
    </row>
    <row r="1001" spans="1:13" x14ac:dyDescent="0.3">
      <c r="A1001" s="23">
        <v>45513</v>
      </c>
      <c r="B1001" t="s">
        <v>12</v>
      </c>
      <c r="C1001" t="s">
        <v>132</v>
      </c>
      <c r="D1001" t="s">
        <v>17</v>
      </c>
      <c r="E1001" t="s">
        <v>46</v>
      </c>
      <c r="F1001">
        <v>500000000</v>
      </c>
      <c r="G1001" t="s">
        <v>28</v>
      </c>
      <c r="H1001" t="s">
        <v>81</v>
      </c>
      <c r="I1001" t="s">
        <v>9</v>
      </c>
      <c r="L1001" t="s">
        <v>161</v>
      </c>
      <c r="M1001">
        <v>-500000000</v>
      </c>
    </row>
    <row r="1002" spans="1:13" x14ac:dyDescent="0.3">
      <c r="A1002" s="23">
        <v>45012</v>
      </c>
      <c r="B1002" t="s">
        <v>12</v>
      </c>
      <c r="C1002" t="s">
        <v>132</v>
      </c>
      <c r="D1002" t="s">
        <v>17</v>
      </c>
      <c r="E1002" t="s">
        <v>46</v>
      </c>
      <c r="F1002">
        <v>34100000</v>
      </c>
      <c r="G1002" t="s">
        <v>28</v>
      </c>
      <c r="H1002" t="s">
        <v>81</v>
      </c>
      <c r="I1002" t="s">
        <v>9</v>
      </c>
      <c r="L1002" t="s">
        <v>161</v>
      </c>
      <c r="M1002">
        <v>-34100000</v>
      </c>
    </row>
    <row r="1003" spans="1:13" x14ac:dyDescent="0.3">
      <c r="A1003" s="23">
        <v>45013</v>
      </c>
      <c r="B1003" t="s">
        <v>12</v>
      </c>
      <c r="C1003" t="s">
        <v>132</v>
      </c>
      <c r="D1003" t="s">
        <v>17</v>
      </c>
      <c r="E1003" t="s">
        <v>46</v>
      </c>
      <c r="F1003">
        <v>150000000</v>
      </c>
      <c r="G1003" t="s">
        <v>28</v>
      </c>
      <c r="H1003" t="s">
        <v>81</v>
      </c>
      <c r="I1003" t="s">
        <v>9</v>
      </c>
      <c r="L1003" t="s">
        <v>161</v>
      </c>
      <c r="M1003">
        <v>-150000000</v>
      </c>
    </row>
    <row r="1004" spans="1:13" x14ac:dyDescent="0.3">
      <c r="A1004" s="23">
        <v>45505</v>
      </c>
      <c r="B1004" t="s">
        <v>12</v>
      </c>
      <c r="C1004" t="s">
        <v>132</v>
      </c>
      <c r="D1004" t="s">
        <v>17</v>
      </c>
      <c r="E1004" t="s">
        <v>46</v>
      </c>
      <c r="F1004">
        <v>623500000</v>
      </c>
      <c r="G1004" t="s">
        <v>28</v>
      </c>
      <c r="H1004" t="s">
        <v>81</v>
      </c>
      <c r="I1004" t="s">
        <v>9</v>
      </c>
      <c r="L1004" t="s">
        <v>161</v>
      </c>
      <c r="M1004">
        <v>-623500000</v>
      </c>
    </row>
    <row r="1005" spans="1:13" x14ac:dyDescent="0.3">
      <c r="A1005" s="23">
        <v>45015</v>
      </c>
      <c r="B1005" t="s">
        <v>12</v>
      </c>
      <c r="C1005" t="s">
        <v>132</v>
      </c>
      <c r="D1005" t="s">
        <v>16</v>
      </c>
      <c r="E1005" t="s">
        <v>46</v>
      </c>
      <c r="F1005">
        <v>8000000</v>
      </c>
      <c r="G1005" t="s">
        <v>28</v>
      </c>
      <c r="H1005" t="s">
        <v>81</v>
      </c>
      <c r="I1005" t="s">
        <v>9</v>
      </c>
      <c r="L1005" t="s">
        <v>161</v>
      </c>
      <c r="M1005">
        <v>8000000</v>
      </c>
    </row>
    <row r="1006" spans="1:13" x14ac:dyDescent="0.3">
      <c r="A1006" s="23">
        <v>45504</v>
      </c>
      <c r="B1006" t="s">
        <v>12</v>
      </c>
      <c r="C1006" t="s">
        <v>132</v>
      </c>
      <c r="D1006" t="s">
        <v>16</v>
      </c>
      <c r="E1006" t="s">
        <v>46</v>
      </c>
      <c r="F1006">
        <v>59434000</v>
      </c>
      <c r="G1006" t="s">
        <v>28</v>
      </c>
      <c r="H1006" t="s">
        <v>81</v>
      </c>
      <c r="I1006" t="s">
        <v>9</v>
      </c>
      <c r="L1006" t="s">
        <v>161</v>
      </c>
      <c r="M1006">
        <v>59434000</v>
      </c>
    </row>
    <row r="1007" spans="1:13" x14ac:dyDescent="0.3">
      <c r="A1007" s="23">
        <v>45503</v>
      </c>
      <c r="B1007" t="s">
        <v>12</v>
      </c>
      <c r="C1007" t="s">
        <v>132</v>
      </c>
      <c r="D1007" t="s">
        <v>16</v>
      </c>
      <c r="E1007" t="s">
        <v>46</v>
      </c>
      <c r="F1007">
        <v>1000000000</v>
      </c>
      <c r="G1007" t="s">
        <v>28</v>
      </c>
      <c r="H1007" t="s">
        <v>81</v>
      </c>
      <c r="I1007" t="s">
        <v>9</v>
      </c>
      <c r="L1007" t="s">
        <v>161</v>
      </c>
      <c r="M1007">
        <v>1000000000</v>
      </c>
    </row>
    <row r="1008" spans="1:13" x14ac:dyDescent="0.3">
      <c r="A1008" s="23">
        <v>45020</v>
      </c>
      <c r="B1008" t="s">
        <v>12</v>
      </c>
      <c r="C1008" t="s">
        <v>132</v>
      </c>
      <c r="D1008" t="s">
        <v>16</v>
      </c>
      <c r="E1008" t="s">
        <v>46</v>
      </c>
      <c r="F1008">
        <v>5500000</v>
      </c>
      <c r="G1008" t="s">
        <v>28</v>
      </c>
      <c r="H1008" t="s">
        <v>81</v>
      </c>
      <c r="I1008" t="s">
        <v>9</v>
      </c>
      <c r="L1008" t="s">
        <v>161</v>
      </c>
      <c r="M1008">
        <v>5500000</v>
      </c>
    </row>
    <row r="1009" spans="1:13" x14ac:dyDescent="0.3">
      <c r="A1009" s="23">
        <v>45020</v>
      </c>
      <c r="B1009" t="s">
        <v>12</v>
      </c>
      <c r="C1009" t="s">
        <v>132</v>
      </c>
      <c r="D1009" t="s">
        <v>17</v>
      </c>
      <c r="E1009" t="s">
        <v>46</v>
      </c>
      <c r="F1009">
        <v>64400000</v>
      </c>
      <c r="G1009" t="s">
        <v>28</v>
      </c>
      <c r="H1009" t="s">
        <v>81</v>
      </c>
      <c r="I1009" t="s">
        <v>9</v>
      </c>
      <c r="L1009" t="s">
        <v>161</v>
      </c>
      <c r="M1009">
        <v>-64400000</v>
      </c>
    </row>
    <row r="1010" spans="1:13" x14ac:dyDescent="0.3">
      <c r="A1010" s="23">
        <v>45021</v>
      </c>
      <c r="B1010" t="s">
        <v>12</v>
      </c>
      <c r="C1010" t="s">
        <v>132</v>
      </c>
      <c r="D1010" t="s">
        <v>16</v>
      </c>
      <c r="E1010" t="s">
        <v>46</v>
      </c>
      <c r="F1010">
        <v>248200000</v>
      </c>
      <c r="G1010" t="s">
        <v>28</v>
      </c>
      <c r="H1010" t="s">
        <v>81</v>
      </c>
      <c r="I1010" t="s">
        <v>9</v>
      </c>
      <c r="L1010" t="s">
        <v>161</v>
      </c>
      <c r="M1010">
        <v>248200000</v>
      </c>
    </row>
    <row r="1011" spans="1:13" x14ac:dyDescent="0.3">
      <c r="A1011" s="23">
        <v>45026</v>
      </c>
      <c r="B1011" t="s">
        <v>12</v>
      </c>
      <c r="C1011" t="s">
        <v>132</v>
      </c>
      <c r="D1011" t="s">
        <v>17</v>
      </c>
      <c r="E1011" t="s">
        <v>46</v>
      </c>
      <c r="F1011">
        <v>163500000</v>
      </c>
      <c r="G1011" t="s">
        <v>28</v>
      </c>
      <c r="H1011" t="s">
        <v>81</v>
      </c>
      <c r="I1011" t="s">
        <v>9</v>
      </c>
      <c r="L1011" t="s">
        <v>161</v>
      </c>
      <c r="M1011">
        <v>-163500000</v>
      </c>
    </row>
    <row r="1012" spans="1:13" x14ac:dyDescent="0.3">
      <c r="A1012" s="23">
        <v>45027</v>
      </c>
      <c r="B1012" t="s">
        <v>12</v>
      </c>
      <c r="C1012" t="s">
        <v>132</v>
      </c>
      <c r="D1012" t="s">
        <v>17</v>
      </c>
      <c r="E1012" t="s">
        <v>46</v>
      </c>
      <c r="F1012">
        <v>4200000</v>
      </c>
      <c r="G1012" t="s">
        <v>28</v>
      </c>
      <c r="H1012" t="s">
        <v>81</v>
      </c>
      <c r="I1012" t="s">
        <v>9</v>
      </c>
      <c r="L1012" t="s">
        <v>161</v>
      </c>
      <c r="M1012">
        <v>-4200000</v>
      </c>
    </row>
    <row r="1013" spans="1:13" x14ac:dyDescent="0.3">
      <c r="A1013" s="23">
        <v>45029</v>
      </c>
      <c r="B1013" t="s">
        <v>12</v>
      </c>
      <c r="C1013" t="s">
        <v>132</v>
      </c>
      <c r="D1013" t="s">
        <v>17</v>
      </c>
      <c r="E1013" t="s">
        <v>46</v>
      </c>
      <c r="F1013">
        <v>15200000</v>
      </c>
      <c r="G1013" t="s">
        <v>28</v>
      </c>
      <c r="H1013" t="s">
        <v>81</v>
      </c>
      <c r="I1013" t="s">
        <v>9</v>
      </c>
      <c r="L1013" t="s">
        <v>161</v>
      </c>
      <c r="M1013">
        <v>-15200000</v>
      </c>
    </row>
    <row r="1014" spans="1:13" x14ac:dyDescent="0.3">
      <c r="A1014" s="23">
        <v>45030</v>
      </c>
      <c r="B1014" t="s">
        <v>12</v>
      </c>
      <c r="C1014" t="s">
        <v>132</v>
      </c>
      <c r="D1014" t="s">
        <v>16</v>
      </c>
      <c r="E1014" t="s">
        <v>46</v>
      </c>
      <c r="F1014">
        <v>225500000</v>
      </c>
      <c r="G1014" t="s">
        <v>28</v>
      </c>
      <c r="H1014" t="s">
        <v>81</v>
      </c>
      <c r="I1014" t="s">
        <v>9</v>
      </c>
      <c r="L1014" t="s">
        <v>161</v>
      </c>
      <c r="M1014">
        <v>225500000</v>
      </c>
    </row>
    <row r="1015" spans="1:13" x14ac:dyDescent="0.3">
      <c r="A1015" s="23">
        <v>45490</v>
      </c>
      <c r="B1015" t="s">
        <v>12</v>
      </c>
      <c r="C1015" t="s">
        <v>132</v>
      </c>
      <c r="D1015" t="s">
        <v>17</v>
      </c>
      <c r="E1015" t="s">
        <v>46</v>
      </c>
      <c r="F1015">
        <v>85100000</v>
      </c>
      <c r="G1015" t="s">
        <v>28</v>
      </c>
      <c r="H1015" t="s">
        <v>81</v>
      </c>
      <c r="I1015" t="s">
        <v>9</v>
      </c>
      <c r="L1015" t="s">
        <v>161</v>
      </c>
      <c r="M1015">
        <v>-85100000</v>
      </c>
    </row>
    <row r="1016" spans="1:13" x14ac:dyDescent="0.3">
      <c r="A1016" s="23">
        <v>45489</v>
      </c>
      <c r="B1016" t="s">
        <v>12</v>
      </c>
      <c r="C1016" t="s">
        <v>132</v>
      </c>
      <c r="D1016" t="s">
        <v>17</v>
      </c>
      <c r="E1016" t="s">
        <v>46</v>
      </c>
      <c r="F1016">
        <v>215100000</v>
      </c>
      <c r="G1016" t="s">
        <v>28</v>
      </c>
      <c r="H1016" t="s">
        <v>81</v>
      </c>
      <c r="I1016" t="s">
        <v>9</v>
      </c>
      <c r="L1016" t="s">
        <v>161</v>
      </c>
      <c r="M1016">
        <v>-215100000</v>
      </c>
    </row>
    <row r="1017" spans="1:13" x14ac:dyDescent="0.3">
      <c r="A1017" s="23">
        <v>45485</v>
      </c>
      <c r="B1017" t="s">
        <v>12</v>
      </c>
      <c r="C1017" t="s">
        <v>132</v>
      </c>
      <c r="D1017" t="s">
        <v>17</v>
      </c>
      <c r="E1017" t="s">
        <v>46</v>
      </c>
      <c r="F1017">
        <v>250400000</v>
      </c>
      <c r="G1017" t="s">
        <v>28</v>
      </c>
      <c r="H1017" t="s">
        <v>81</v>
      </c>
      <c r="I1017" t="s">
        <v>9</v>
      </c>
      <c r="L1017" t="s">
        <v>161</v>
      </c>
      <c r="M1017">
        <v>-250400000</v>
      </c>
    </row>
    <row r="1018" spans="1:13" x14ac:dyDescent="0.3">
      <c r="A1018" s="23">
        <v>45041</v>
      </c>
      <c r="B1018" t="s">
        <v>12</v>
      </c>
      <c r="C1018" t="s">
        <v>132</v>
      </c>
      <c r="D1018" t="s">
        <v>17</v>
      </c>
      <c r="E1018" t="s">
        <v>46</v>
      </c>
      <c r="F1018">
        <v>86500000</v>
      </c>
      <c r="G1018" t="s">
        <v>28</v>
      </c>
      <c r="H1018" t="s">
        <v>81</v>
      </c>
      <c r="I1018" t="s">
        <v>9</v>
      </c>
      <c r="L1018" t="s">
        <v>161</v>
      </c>
      <c r="M1018">
        <v>-86500000</v>
      </c>
    </row>
    <row r="1019" spans="1:13" x14ac:dyDescent="0.3">
      <c r="A1019" s="23">
        <v>45483</v>
      </c>
      <c r="B1019" t="s">
        <v>12</v>
      </c>
      <c r="C1019" t="s">
        <v>132</v>
      </c>
      <c r="D1019" t="s">
        <v>17</v>
      </c>
      <c r="E1019" t="s">
        <v>46</v>
      </c>
      <c r="F1019">
        <v>890300000</v>
      </c>
      <c r="G1019" t="s">
        <v>28</v>
      </c>
      <c r="H1019" t="s">
        <v>81</v>
      </c>
      <c r="I1019" t="s">
        <v>9</v>
      </c>
      <c r="L1019" t="s">
        <v>161</v>
      </c>
      <c r="M1019">
        <v>-890300000</v>
      </c>
    </row>
    <row r="1020" spans="1:13" x14ac:dyDescent="0.3">
      <c r="A1020" s="23">
        <v>45041</v>
      </c>
      <c r="B1020" t="s">
        <v>12</v>
      </c>
      <c r="C1020" t="s">
        <v>132</v>
      </c>
      <c r="D1020" t="s">
        <v>17</v>
      </c>
      <c r="E1020" t="s">
        <v>46</v>
      </c>
      <c r="F1020">
        <v>86500000</v>
      </c>
      <c r="G1020" t="s">
        <v>28</v>
      </c>
      <c r="H1020" t="s">
        <v>81</v>
      </c>
      <c r="I1020" t="s">
        <v>9</v>
      </c>
      <c r="L1020" t="s">
        <v>161</v>
      </c>
      <c r="M1020">
        <v>-86500000</v>
      </c>
    </row>
    <row r="1021" spans="1:13" x14ac:dyDescent="0.3">
      <c r="A1021" s="23">
        <v>45481</v>
      </c>
      <c r="B1021" t="s">
        <v>12</v>
      </c>
      <c r="C1021" t="s">
        <v>132</v>
      </c>
      <c r="D1021" t="s">
        <v>16</v>
      </c>
      <c r="E1021" t="s">
        <v>46</v>
      </c>
      <c r="F1021">
        <v>263400000</v>
      </c>
      <c r="G1021" t="s">
        <v>28</v>
      </c>
      <c r="H1021" t="s">
        <v>81</v>
      </c>
      <c r="I1021" t="s">
        <v>9</v>
      </c>
      <c r="L1021" t="s">
        <v>161</v>
      </c>
      <c r="M1021">
        <v>263400000</v>
      </c>
    </row>
    <row r="1022" spans="1:13" x14ac:dyDescent="0.3">
      <c r="A1022" s="23">
        <v>45477</v>
      </c>
      <c r="B1022" t="s">
        <v>12</v>
      </c>
      <c r="C1022" t="s">
        <v>132</v>
      </c>
      <c r="D1022" t="s">
        <v>17</v>
      </c>
      <c r="E1022" t="s">
        <v>46</v>
      </c>
      <c r="F1022">
        <v>394200000</v>
      </c>
      <c r="G1022" t="s">
        <v>28</v>
      </c>
      <c r="H1022" t="s">
        <v>81</v>
      </c>
      <c r="I1022" t="s">
        <v>9</v>
      </c>
      <c r="L1022" t="s">
        <v>161</v>
      </c>
      <c r="M1022">
        <v>-394200000</v>
      </c>
    </row>
    <row r="1023" spans="1:13" x14ac:dyDescent="0.3">
      <c r="A1023" s="23">
        <v>45476</v>
      </c>
      <c r="B1023" t="s">
        <v>12</v>
      </c>
      <c r="C1023" t="s">
        <v>132</v>
      </c>
      <c r="D1023" t="s">
        <v>17</v>
      </c>
      <c r="E1023" t="s">
        <v>46</v>
      </c>
      <c r="F1023">
        <v>300000000</v>
      </c>
      <c r="G1023" t="s">
        <v>28</v>
      </c>
      <c r="H1023" t="s">
        <v>81</v>
      </c>
      <c r="I1023" t="s">
        <v>9</v>
      </c>
      <c r="L1023" t="s">
        <v>161</v>
      </c>
      <c r="M1023">
        <v>-300000000</v>
      </c>
    </row>
    <row r="1024" spans="1:13" x14ac:dyDescent="0.3">
      <c r="A1024" s="23">
        <v>45471</v>
      </c>
      <c r="B1024" t="s">
        <v>12</v>
      </c>
      <c r="C1024" t="s">
        <v>132</v>
      </c>
      <c r="D1024" t="s">
        <v>17</v>
      </c>
      <c r="E1024" t="s">
        <v>46</v>
      </c>
      <c r="F1024">
        <v>198000000</v>
      </c>
      <c r="G1024" t="s">
        <v>28</v>
      </c>
      <c r="H1024" t="s">
        <v>81</v>
      </c>
      <c r="I1024" t="s">
        <v>9</v>
      </c>
      <c r="L1024" t="s">
        <v>161</v>
      </c>
      <c r="M1024">
        <v>-198000000</v>
      </c>
    </row>
    <row r="1025" spans="1:13" x14ac:dyDescent="0.3">
      <c r="A1025" s="23">
        <v>45471</v>
      </c>
      <c r="B1025" t="s">
        <v>12</v>
      </c>
      <c r="C1025" t="s">
        <v>132</v>
      </c>
      <c r="D1025" t="s">
        <v>17</v>
      </c>
      <c r="E1025" t="s">
        <v>46</v>
      </c>
      <c r="F1025">
        <v>326300000</v>
      </c>
      <c r="G1025" t="s">
        <v>28</v>
      </c>
      <c r="H1025" t="s">
        <v>81</v>
      </c>
      <c r="I1025" t="s">
        <v>9</v>
      </c>
      <c r="L1025" t="s">
        <v>161</v>
      </c>
      <c r="M1025">
        <v>-326300000</v>
      </c>
    </row>
    <row r="1026" spans="1:13" x14ac:dyDescent="0.3">
      <c r="A1026" s="23">
        <v>45055</v>
      </c>
      <c r="B1026" t="s">
        <v>12</v>
      </c>
      <c r="C1026" t="s">
        <v>132</v>
      </c>
      <c r="D1026" t="s">
        <v>17</v>
      </c>
      <c r="E1026" t="s">
        <v>46</v>
      </c>
      <c r="F1026">
        <v>117800000</v>
      </c>
      <c r="G1026" t="s">
        <v>28</v>
      </c>
      <c r="H1026" t="s">
        <v>81</v>
      </c>
      <c r="I1026" t="s">
        <v>9</v>
      </c>
      <c r="L1026" t="s">
        <v>161</v>
      </c>
      <c r="M1026">
        <v>-117800000</v>
      </c>
    </row>
    <row r="1027" spans="1:13" x14ac:dyDescent="0.3">
      <c r="A1027" s="23">
        <v>45468</v>
      </c>
      <c r="B1027" t="s">
        <v>12</v>
      </c>
      <c r="C1027" t="s">
        <v>132</v>
      </c>
      <c r="D1027" t="s">
        <v>16</v>
      </c>
      <c r="E1027" t="s">
        <v>46</v>
      </c>
      <c r="F1027">
        <v>178500000</v>
      </c>
      <c r="G1027" t="s">
        <v>28</v>
      </c>
      <c r="H1027" t="s">
        <v>81</v>
      </c>
      <c r="I1027" t="s">
        <v>9</v>
      </c>
      <c r="L1027" t="s">
        <v>161</v>
      </c>
      <c r="M1027">
        <v>178500000</v>
      </c>
    </row>
    <row r="1028" spans="1:13" x14ac:dyDescent="0.3">
      <c r="A1028" s="23">
        <v>45460</v>
      </c>
      <c r="B1028" t="s">
        <v>12</v>
      </c>
      <c r="C1028" t="s">
        <v>132</v>
      </c>
      <c r="D1028" t="s">
        <v>16</v>
      </c>
      <c r="E1028" t="s">
        <v>46</v>
      </c>
      <c r="F1028">
        <v>36730000</v>
      </c>
      <c r="G1028" t="s">
        <v>28</v>
      </c>
      <c r="H1028" t="s">
        <v>81</v>
      </c>
      <c r="I1028" t="s">
        <v>9</v>
      </c>
      <c r="L1028" t="s">
        <v>161</v>
      </c>
      <c r="M1028">
        <v>36730000</v>
      </c>
    </row>
    <row r="1029" spans="1:13" x14ac:dyDescent="0.3">
      <c r="A1029" s="23">
        <v>45455</v>
      </c>
      <c r="B1029" t="s">
        <v>12</v>
      </c>
      <c r="C1029" t="s">
        <v>132</v>
      </c>
      <c r="D1029" t="s">
        <v>17</v>
      </c>
      <c r="E1029" t="s">
        <v>46</v>
      </c>
      <c r="F1029">
        <v>31200000</v>
      </c>
      <c r="G1029" t="s">
        <v>28</v>
      </c>
      <c r="H1029" t="s">
        <v>81</v>
      </c>
      <c r="I1029" t="s">
        <v>9</v>
      </c>
      <c r="L1029" t="s">
        <v>161</v>
      </c>
      <c r="M1029">
        <v>-31200000</v>
      </c>
    </row>
    <row r="1030" spans="1:13" x14ac:dyDescent="0.3">
      <c r="A1030" s="23">
        <v>45453</v>
      </c>
      <c r="B1030" t="s">
        <v>12</v>
      </c>
      <c r="C1030" t="s">
        <v>132</v>
      </c>
      <c r="D1030" t="s">
        <v>16</v>
      </c>
      <c r="E1030" t="s">
        <v>46</v>
      </c>
      <c r="F1030">
        <v>1000000000</v>
      </c>
      <c r="G1030" t="s">
        <v>28</v>
      </c>
      <c r="H1030" t="s">
        <v>81</v>
      </c>
      <c r="I1030" t="s">
        <v>9</v>
      </c>
      <c r="L1030" t="s">
        <v>161</v>
      </c>
      <c r="M1030">
        <v>1000000000</v>
      </c>
    </row>
    <row r="1031" spans="1:13" x14ac:dyDescent="0.3">
      <c r="A1031" s="23">
        <v>45446</v>
      </c>
      <c r="B1031" t="s">
        <v>12</v>
      </c>
      <c r="C1031" t="s">
        <v>132</v>
      </c>
      <c r="D1031" t="s">
        <v>16</v>
      </c>
      <c r="E1031" t="s">
        <v>46</v>
      </c>
      <c r="F1031">
        <v>1000000000</v>
      </c>
      <c r="G1031" t="s">
        <v>28</v>
      </c>
      <c r="H1031" t="s">
        <v>81</v>
      </c>
      <c r="I1031" t="s">
        <v>9</v>
      </c>
      <c r="L1031" t="s">
        <v>161</v>
      </c>
      <c r="M1031">
        <v>1000000000</v>
      </c>
    </row>
    <row r="1032" spans="1:13" x14ac:dyDescent="0.3">
      <c r="A1032" s="23">
        <v>45443</v>
      </c>
      <c r="B1032" t="s">
        <v>12</v>
      </c>
      <c r="C1032" t="s">
        <v>132</v>
      </c>
      <c r="D1032" t="s">
        <v>17</v>
      </c>
      <c r="E1032" t="s">
        <v>46</v>
      </c>
      <c r="F1032">
        <v>52700000</v>
      </c>
      <c r="G1032" t="s">
        <v>28</v>
      </c>
      <c r="H1032" t="s">
        <v>81</v>
      </c>
      <c r="I1032" t="s">
        <v>9</v>
      </c>
      <c r="L1032" t="s">
        <v>161</v>
      </c>
      <c r="M1032">
        <v>-52700000</v>
      </c>
    </row>
    <row r="1033" spans="1:13" x14ac:dyDescent="0.3">
      <c r="A1033" s="23">
        <v>45086</v>
      </c>
      <c r="B1033" t="s">
        <v>12</v>
      </c>
      <c r="C1033" t="s">
        <v>132</v>
      </c>
      <c r="D1033" t="s">
        <v>16</v>
      </c>
      <c r="E1033" t="s">
        <v>46</v>
      </c>
      <c r="F1033">
        <v>62500000</v>
      </c>
      <c r="G1033" t="s">
        <v>28</v>
      </c>
      <c r="H1033" t="s">
        <v>81</v>
      </c>
      <c r="I1033" t="s">
        <v>9</v>
      </c>
      <c r="L1033" t="s">
        <v>161</v>
      </c>
      <c r="M1033">
        <v>62500000</v>
      </c>
    </row>
    <row r="1034" spans="1:13" x14ac:dyDescent="0.3">
      <c r="A1034" s="23">
        <v>45435</v>
      </c>
      <c r="B1034" t="s">
        <v>12</v>
      </c>
      <c r="C1034" t="s">
        <v>132</v>
      </c>
      <c r="D1034" t="s">
        <v>17</v>
      </c>
      <c r="E1034" t="s">
        <v>46</v>
      </c>
      <c r="F1034">
        <v>141100000</v>
      </c>
      <c r="G1034" t="s">
        <v>28</v>
      </c>
      <c r="H1034" t="s">
        <v>81</v>
      </c>
      <c r="I1034" t="s">
        <v>9</v>
      </c>
      <c r="L1034" t="s">
        <v>161</v>
      </c>
      <c r="M1034">
        <v>-141100000</v>
      </c>
    </row>
    <row r="1035" spans="1:13" x14ac:dyDescent="0.3">
      <c r="A1035" s="23">
        <v>45089</v>
      </c>
      <c r="B1035" t="s">
        <v>12</v>
      </c>
      <c r="C1035" t="s">
        <v>132</v>
      </c>
      <c r="D1035" t="s">
        <v>16</v>
      </c>
      <c r="E1035" t="s">
        <v>46</v>
      </c>
      <c r="F1035">
        <v>144000000</v>
      </c>
      <c r="G1035" t="s">
        <v>28</v>
      </c>
      <c r="H1035" t="s">
        <v>81</v>
      </c>
      <c r="I1035" t="s">
        <v>9</v>
      </c>
      <c r="L1035" t="s">
        <v>161</v>
      </c>
      <c r="M1035">
        <v>144000000</v>
      </c>
    </row>
    <row r="1036" spans="1:13" x14ac:dyDescent="0.3">
      <c r="A1036" s="23">
        <v>45434</v>
      </c>
      <c r="B1036" t="s">
        <v>12</v>
      </c>
      <c r="C1036" t="s">
        <v>132</v>
      </c>
      <c r="D1036" t="s">
        <v>17</v>
      </c>
      <c r="E1036" t="s">
        <v>46</v>
      </c>
      <c r="F1036">
        <v>80600000</v>
      </c>
      <c r="G1036" t="s">
        <v>28</v>
      </c>
      <c r="H1036" t="s">
        <v>81</v>
      </c>
      <c r="I1036" t="s">
        <v>9</v>
      </c>
      <c r="L1036" t="s">
        <v>161</v>
      </c>
      <c r="M1036">
        <v>-80600000</v>
      </c>
    </row>
    <row r="1037" spans="1:13" x14ac:dyDescent="0.3">
      <c r="A1037" s="23">
        <v>45433</v>
      </c>
      <c r="B1037" t="s">
        <v>12</v>
      </c>
      <c r="C1037" t="s">
        <v>132</v>
      </c>
      <c r="D1037" t="s">
        <v>17</v>
      </c>
      <c r="E1037" t="s">
        <v>46</v>
      </c>
      <c r="F1037">
        <v>69100000</v>
      </c>
      <c r="G1037" t="s">
        <v>28</v>
      </c>
      <c r="H1037" t="s">
        <v>81</v>
      </c>
      <c r="I1037" t="s">
        <v>9</v>
      </c>
      <c r="L1037" t="s">
        <v>161</v>
      </c>
      <c r="M1037">
        <v>-69100000</v>
      </c>
    </row>
    <row r="1038" spans="1:13" x14ac:dyDescent="0.3">
      <c r="A1038" s="23">
        <v>45091</v>
      </c>
      <c r="B1038" t="s">
        <v>12</v>
      </c>
      <c r="C1038" t="s">
        <v>132</v>
      </c>
      <c r="D1038" t="s">
        <v>16</v>
      </c>
      <c r="E1038" t="s">
        <v>46</v>
      </c>
      <c r="F1038">
        <v>879372.77</v>
      </c>
      <c r="G1038" t="s">
        <v>28</v>
      </c>
      <c r="H1038" t="s">
        <v>81</v>
      </c>
      <c r="I1038" t="s">
        <v>9</v>
      </c>
      <c r="J1038" t="s">
        <v>155</v>
      </c>
      <c r="L1038" t="s">
        <v>161</v>
      </c>
      <c r="M1038">
        <v>879372.77</v>
      </c>
    </row>
    <row r="1039" spans="1:13" x14ac:dyDescent="0.3">
      <c r="A1039" s="23">
        <v>45429</v>
      </c>
      <c r="B1039" t="s">
        <v>12</v>
      </c>
      <c r="C1039" t="s">
        <v>132</v>
      </c>
      <c r="D1039" t="s">
        <v>17</v>
      </c>
      <c r="E1039" t="s">
        <v>46</v>
      </c>
      <c r="F1039">
        <v>171100000</v>
      </c>
      <c r="G1039" t="s">
        <v>28</v>
      </c>
      <c r="H1039" t="s">
        <v>81</v>
      </c>
      <c r="I1039" t="s">
        <v>9</v>
      </c>
      <c r="L1039" t="s">
        <v>161</v>
      </c>
      <c r="M1039">
        <v>-171100000</v>
      </c>
    </row>
    <row r="1040" spans="1:13" x14ac:dyDescent="0.3">
      <c r="A1040" s="23">
        <v>45092</v>
      </c>
      <c r="B1040" t="s">
        <v>12</v>
      </c>
      <c r="C1040" t="s">
        <v>132</v>
      </c>
      <c r="D1040" t="s">
        <v>17</v>
      </c>
      <c r="E1040" t="s">
        <v>46</v>
      </c>
      <c r="F1040">
        <v>24000000</v>
      </c>
      <c r="G1040" t="s">
        <v>28</v>
      </c>
      <c r="H1040" t="s">
        <v>81</v>
      </c>
      <c r="I1040" t="s">
        <v>9</v>
      </c>
      <c r="L1040" t="s">
        <v>161</v>
      </c>
      <c r="M1040">
        <v>-24000000</v>
      </c>
    </row>
    <row r="1041" spans="1:13" x14ac:dyDescent="0.3">
      <c r="A1041" s="23">
        <v>45428</v>
      </c>
      <c r="B1041" t="s">
        <v>12</v>
      </c>
      <c r="C1041" t="s">
        <v>132</v>
      </c>
      <c r="D1041" t="s">
        <v>16</v>
      </c>
      <c r="E1041" t="s">
        <v>46</v>
      </c>
      <c r="F1041">
        <v>230900000</v>
      </c>
      <c r="G1041" t="s">
        <v>28</v>
      </c>
      <c r="H1041" t="s">
        <v>81</v>
      </c>
      <c r="I1041" t="s">
        <v>9</v>
      </c>
      <c r="L1041" t="s">
        <v>161</v>
      </c>
      <c r="M1041">
        <v>230900000</v>
      </c>
    </row>
    <row r="1042" spans="1:13" x14ac:dyDescent="0.3">
      <c r="A1042" s="23">
        <v>45427</v>
      </c>
      <c r="B1042" t="s">
        <v>12</v>
      </c>
      <c r="C1042" t="s">
        <v>132</v>
      </c>
      <c r="D1042" t="s">
        <v>17</v>
      </c>
      <c r="E1042" t="s">
        <v>46</v>
      </c>
      <c r="F1042">
        <v>217100000</v>
      </c>
      <c r="G1042" t="s">
        <v>28</v>
      </c>
      <c r="H1042" t="s">
        <v>81</v>
      </c>
      <c r="I1042" t="s">
        <v>9</v>
      </c>
      <c r="L1042" t="s">
        <v>161</v>
      </c>
      <c r="M1042">
        <v>-217100000</v>
      </c>
    </row>
    <row r="1043" spans="1:13" x14ac:dyDescent="0.3">
      <c r="A1043" s="23">
        <v>45093</v>
      </c>
      <c r="B1043" t="s">
        <v>12</v>
      </c>
      <c r="C1043" t="s">
        <v>132</v>
      </c>
      <c r="D1043" t="s">
        <v>17</v>
      </c>
      <c r="E1043" t="s">
        <v>46</v>
      </c>
      <c r="F1043">
        <v>132200000</v>
      </c>
      <c r="G1043" t="s">
        <v>28</v>
      </c>
      <c r="H1043" t="s">
        <v>81</v>
      </c>
      <c r="I1043" t="s">
        <v>9</v>
      </c>
      <c r="L1043" t="s">
        <v>161</v>
      </c>
      <c r="M1043">
        <v>-132200000</v>
      </c>
    </row>
    <row r="1044" spans="1:13" x14ac:dyDescent="0.3">
      <c r="A1044" s="23">
        <v>45099</v>
      </c>
      <c r="B1044" t="s">
        <v>12</v>
      </c>
      <c r="C1044" t="s">
        <v>132</v>
      </c>
      <c r="D1044" t="s">
        <v>17</v>
      </c>
      <c r="E1044" t="s">
        <v>46</v>
      </c>
      <c r="F1044">
        <v>51179372.769999981</v>
      </c>
      <c r="G1044" t="s">
        <v>28</v>
      </c>
      <c r="H1044" t="s">
        <v>81</v>
      </c>
      <c r="I1044" t="s">
        <v>9</v>
      </c>
      <c r="L1044" t="s">
        <v>161</v>
      </c>
      <c r="M1044">
        <v>-51179372.770000003</v>
      </c>
    </row>
    <row r="1045" spans="1:13" x14ac:dyDescent="0.3">
      <c r="A1045" s="23">
        <v>45426</v>
      </c>
      <c r="B1045" t="s">
        <v>12</v>
      </c>
      <c r="C1045" t="s">
        <v>132</v>
      </c>
      <c r="D1045" t="s">
        <v>17</v>
      </c>
      <c r="E1045" t="s">
        <v>46</v>
      </c>
      <c r="F1045">
        <v>277200000</v>
      </c>
      <c r="G1045" t="s">
        <v>28</v>
      </c>
      <c r="H1045" t="s">
        <v>81</v>
      </c>
      <c r="I1045" t="s">
        <v>9</v>
      </c>
      <c r="L1045" t="s">
        <v>161</v>
      </c>
      <c r="M1045">
        <v>-277200000</v>
      </c>
    </row>
    <row r="1046" spans="1:13" x14ac:dyDescent="0.3">
      <c r="A1046" s="23">
        <v>45425</v>
      </c>
      <c r="B1046" t="s">
        <v>12</v>
      </c>
      <c r="C1046" t="s">
        <v>132</v>
      </c>
      <c r="D1046" t="s">
        <v>17</v>
      </c>
      <c r="E1046" t="s">
        <v>46</v>
      </c>
      <c r="F1046">
        <v>256100000</v>
      </c>
      <c r="G1046" t="s">
        <v>28</v>
      </c>
      <c r="H1046" t="s">
        <v>81</v>
      </c>
      <c r="I1046" t="s">
        <v>9</v>
      </c>
      <c r="L1046" t="s">
        <v>161</v>
      </c>
      <c r="M1046">
        <v>-256100000</v>
      </c>
    </row>
    <row r="1047" spans="1:13" x14ac:dyDescent="0.3">
      <c r="A1047" s="23">
        <v>45425</v>
      </c>
      <c r="B1047" t="s">
        <v>12</v>
      </c>
      <c r="C1047" t="s">
        <v>132</v>
      </c>
      <c r="D1047" t="s">
        <v>16</v>
      </c>
      <c r="E1047" t="s">
        <v>46</v>
      </c>
      <c r="F1047">
        <v>46050000</v>
      </c>
      <c r="G1047" t="s">
        <v>28</v>
      </c>
      <c r="H1047" t="s">
        <v>81</v>
      </c>
      <c r="I1047" t="s">
        <v>9</v>
      </c>
      <c r="L1047" t="s">
        <v>161</v>
      </c>
      <c r="M1047">
        <v>46050000</v>
      </c>
    </row>
    <row r="1048" spans="1:13" x14ac:dyDescent="0.3">
      <c r="A1048" s="23">
        <v>45422</v>
      </c>
      <c r="B1048" t="s">
        <v>12</v>
      </c>
      <c r="C1048" t="s">
        <v>132</v>
      </c>
      <c r="D1048" t="s">
        <v>17</v>
      </c>
      <c r="E1048" t="s">
        <v>46</v>
      </c>
      <c r="F1048">
        <v>466500000</v>
      </c>
      <c r="G1048" t="s">
        <v>28</v>
      </c>
      <c r="H1048" t="s">
        <v>81</v>
      </c>
      <c r="I1048" t="s">
        <v>9</v>
      </c>
      <c r="L1048" t="s">
        <v>161</v>
      </c>
      <c r="M1048">
        <v>-466500000</v>
      </c>
    </row>
    <row r="1049" spans="1:13" x14ac:dyDescent="0.3">
      <c r="A1049" s="23">
        <v>45421</v>
      </c>
      <c r="B1049" t="s">
        <v>12</v>
      </c>
      <c r="C1049" t="s">
        <v>132</v>
      </c>
      <c r="D1049" t="s">
        <v>17</v>
      </c>
      <c r="E1049" t="s">
        <v>46</v>
      </c>
      <c r="F1049">
        <v>197000000</v>
      </c>
      <c r="G1049" t="s">
        <v>28</v>
      </c>
      <c r="H1049" t="s">
        <v>81</v>
      </c>
      <c r="I1049" t="s">
        <v>9</v>
      </c>
      <c r="L1049" t="s">
        <v>161</v>
      </c>
      <c r="M1049">
        <v>-197000000</v>
      </c>
    </row>
    <row r="1050" spans="1:13" x14ac:dyDescent="0.3">
      <c r="A1050" s="23">
        <v>45420</v>
      </c>
      <c r="B1050" t="s">
        <v>12</v>
      </c>
      <c r="C1050" t="s">
        <v>132</v>
      </c>
      <c r="D1050" t="s">
        <v>17</v>
      </c>
      <c r="E1050" t="s">
        <v>46</v>
      </c>
      <c r="F1050">
        <v>65200000</v>
      </c>
      <c r="G1050" t="s">
        <v>28</v>
      </c>
      <c r="H1050" t="s">
        <v>81</v>
      </c>
      <c r="I1050" t="s">
        <v>9</v>
      </c>
      <c r="L1050" t="s">
        <v>161</v>
      </c>
      <c r="M1050">
        <v>-65200000</v>
      </c>
    </row>
    <row r="1051" spans="1:13" x14ac:dyDescent="0.3">
      <c r="A1051" s="23">
        <v>45420</v>
      </c>
      <c r="B1051" t="s">
        <v>12</v>
      </c>
      <c r="C1051" t="s">
        <v>132</v>
      </c>
      <c r="D1051" t="s">
        <v>17</v>
      </c>
      <c r="E1051" t="s">
        <v>46</v>
      </c>
      <c r="F1051">
        <v>1000000000</v>
      </c>
      <c r="G1051" t="s">
        <v>28</v>
      </c>
      <c r="H1051" t="s">
        <v>81</v>
      </c>
      <c r="I1051" t="s">
        <v>9</v>
      </c>
      <c r="L1051" t="s">
        <v>161</v>
      </c>
      <c r="M1051">
        <v>-1000000000</v>
      </c>
    </row>
    <row r="1052" spans="1:13" x14ac:dyDescent="0.3">
      <c r="A1052" s="23">
        <v>45419</v>
      </c>
      <c r="B1052" t="s">
        <v>12</v>
      </c>
      <c r="C1052" t="s">
        <v>132</v>
      </c>
      <c r="D1052" t="s">
        <v>17</v>
      </c>
      <c r="E1052" t="s">
        <v>46</v>
      </c>
      <c r="F1052">
        <v>1420700000</v>
      </c>
      <c r="G1052" t="s">
        <v>28</v>
      </c>
      <c r="H1052" t="s">
        <v>81</v>
      </c>
      <c r="I1052" t="s">
        <v>9</v>
      </c>
      <c r="L1052" t="s">
        <v>161</v>
      </c>
      <c r="M1052">
        <v>-1420700000</v>
      </c>
    </row>
    <row r="1053" spans="1:13" x14ac:dyDescent="0.3">
      <c r="A1053" s="23">
        <v>45415</v>
      </c>
      <c r="B1053" t="s">
        <v>12</v>
      </c>
      <c r="C1053" t="s">
        <v>132</v>
      </c>
      <c r="D1053" t="s">
        <v>16</v>
      </c>
      <c r="E1053" t="s">
        <v>46</v>
      </c>
      <c r="F1053">
        <v>3752000000</v>
      </c>
      <c r="G1053" t="s">
        <v>28</v>
      </c>
      <c r="H1053" t="s">
        <v>81</v>
      </c>
      <c r="I1053" t="s">
        <v>9</v>
      </c>
      <c r="L1053" t="s">
        <v>161</v>
      </c>
      <c r="M1053">
        <v>3752000000</v>
      </c>
    </row>
    <row r="1054" spans="1:13" x14ac:dyDescent="0.3">
      <c r="A1054" s="23">
        <v>45412</v>
      </c>
      <c r="B1054" t="s">
        <v>12</v>
      </c>
      <c r="C1054" t="s">
        <v>132</v>
      </c>
      <c r="D1054" t="s">
        <v>17</v>
      </c>
      <c r="E1054" t="s">
        <v>46</v>
      </c>
      <c r="F1054">
        <v>230000000</v>
      </c>
      <c r="G1054" t="s">
        <v>28</v>
      </c>
      <c r="H1054" t="s">
        <v>81</v>
      </c>
      <c r="I1054" t="s">
        <v>9</v>
      </c>
      <c r="L1054" t="s">
        <v>161</v>
      </c>
      <c r="M1054">
        <v>-230000000</v>
      </c>
    </row>
    <row r="1055" spans="1:13" x14ac:dyDescent="0.3">
      <c r="A1055" s="23">
        <v>45408</v>
      </c>
      <c r="B1055" t="s">
        <v>12</v>
      </c>
      <c r="C1055" t="s">
        <v>132</v>
      </c>
      <c r="D1055" t="s">
        <v>17</v>
      </c>
      <c r="E1055" t="s">
        <v>46</v>
      </c>
      <c r="F1055">
        <v>210100000</v>
      </c>
      <c r="G1055" t="s">
        <v>28</v>
      </c>
      <c r="H1055" t="s">
        <v>81</v>
      </c>
      <c r="I1055" t="s">
        <v>9</v>
      </c>
      <c r="L1055" t="s">
        <v>161</v>
      </c>
      <c r="M1055">
        <v>-210100000</v>
      </c>
    </row>
    <row r="1056" spans="1:13" x14ac:dyDescent="0.3">
      <c r="A1056" s="23">
        <v>45139</v>
      </c>
      <c r="B1056" t="s">
        <v>12</v>
      </c>
      <c r="C1056" t="s">
        <v>132</v>
      </c>
      <c r="D1056" t="s">
        <v>16</v>
      </c>
      <c r="E1056" t="s">
        <v>46</v>
      </c>
      <c r="F1056">
        <v>240000000</v>
      </c>
      <c r="G1056" t="s">
        <v>28</v>
      </c>
      <c r="H1056" t="s">
        <v>81</v>
      </c>
      <c r="I1056" t="s">
        <v>9</v>
      </c>
      <c r="L1056" t="s">
        <v>161</v>
      </c>
      <c r="M1056">
        <v>240000000</v>
      </c>
    </row>
    <row r="1057" spans="1:13" x14ac:dyDescent="0.3">
      <c r="A1057" s="23">
        <v>45407</v>
      </c>
      <c r="B1057" t="s">
        <v>12</v>
      </c>
      <c r="C1057" t="s">
        <v>132</v>
      </c>
      <c r="D1057" t="s">
        <v>16</v>
      </c>
      <c r="E1057" t="s">
        <v>46</v>
      </c>
      <c r="F1057">
        <v>109800000</v>
      </c>
      <c r="G1057" t="s">
        <v>28</v>
      </c>
      <c r="H1057" t="s">
        <v>81</v>
      </c>
      <c r="I1057" t="s">
        <v>9</v>
      </c>
      <c r="L1057" t="s">
        <v>161</v>
      </c>
      <c r="M1057">
        <v>109800000</v>
      </c>
    </row>
    <row r="1058" spans="1:13" x14ac:dyDescent="0.3">
      <c r="A1058" s="23">
        <v>45140</v>
      </c>
      <c r="B1058" t="s">
        <v>12</v>
      </c>
      <c r="C1058" t="s">
        <v>132</v>
      </c>
      <c r="D1058" t="s">
        <v>17</v>
      </c>
      <c r="E1058" t="s">
        <v>46</v>
      </c>
      <c r="F1058">
        <v>130000000</v>
      </c>
      <c r="G1058" t="s">
        <v>28</v>
      </c>
      <c r="H1058" t="s">
        <v>81</v>
      </c>
      <c r="I1058" t="s">
        <v>9</v>
      </c>
      <c r="L1058" t="s">
        <v>161</v>
      </c>
      <c r="M1058">
        <v>-130000000</v>
      </c>
    </row>
    <row r="1059" spans="1:13" x14ac:dyDescent="0.3">
      <c r="A1059" s="23">
        <v>45141</v>
      </c>
      <c r="B1059" t="s">
        <v>12</v>
      </c>
      <c r="C1059" t="s">
        <v>132</v>
      </c>
      <c r="D1059" t="s">
        <v>17</v>
      </c>
      <c r="E1059" t="s">
        <v>46</v>
      </c>
      <c r="F1059">
        <v>100000000</v>
      </c>
      <c r="G1059" t="s">
        <v>28</v>
      </c>
      <c r="H1059" t="s">
        <v>81</v>
      </c>
      <c r="I1059" t="s">
        <v>9</v>
      </c>
      <c r="L1059" t="s">
        <v>161</v>
      </c>
      <c r="M1059">
        <v>-100000000</v>
      </c>
    </row>
    <row r="1060" spans="1:13" x14ac:dyDescent="0.3">
      <c r="A1060" s="23">
        <v>45142</v>
      </c>
      <c r="B1060" t="s">
        <v>12</v>
      </c>
      <c r="C1060" t="s">
        <v>132</v>
      </c>
      <c r="D1060" t="s">
        <v>17</v>
      </c>
      <c r="E1060" t="s">
        <v>46</v>
      </c>
      <c r="F1060">
        <v>10000000</v>
      </c>
      <c r="G1060" t="s">
        <v>28</v>
      </c>
      <c r="H1060" t="s">
        <v>81</v>
      </c>
      <c r="I1060" t="s">
        <v>9</v>
      </c>
      <c r="L1060" t="s">
        <v>161</v>
      </c>
      <c r="M1060">
        <v>-10000000</v>
      </c>
    </row>
    <row r="1061" spans="1:13" x14ac:dyDescent="0.3">
      <c r="A1061" s="23">
        <v>45146</v>
      </c>
      <c r="B1061" t="s">
        <v>12</v>
      </c>
      <c r="C1061" t="s">
        <v>132</v>
      </c>
      <c r="D1061" t="s">
        <v>16</v>
      </c>
      <c r="E1061" t="s">
        <v>46</v>
      </c>
      <c r="F1061">
        <v>150000000</v>
      </c>
      <c r="G1061" t="s">
        <v>28</v>
      </c>
      <c r="H1061" t="s">
        <v>81</v>
      </c>
      <c r="I1061" t="s">
        <v>9</v>
      </c>
      <c r="L1061" t="s">
        <v>161</v>
      </c>
      <c r="M1061">
        <v>150000000</v>
      </c>
    </row>
    <row r="1062" spans="1:13" x14ac:dyDescent="0.3">
      <c r="A1062" s="23">
        <v>45400</v>
      </c>
      <c r="B1062" t="s">
        <v>12</v>
      </c>
      <c r="C1062" t="s">
        <v>132</v>
      </c>
      <c r="D1062" t="s">
        <v>17</v>
      </c>
      <c r="E1062" t="s">
        <v>46</v>
      </c>
      <c r="F1062">
        <v>300000000</v>
      </c>
      <c r="G1062" t="s">
        <v>28</v>
      </c>
      <c r="H1062" t="s">
        <v>81</v>
      </c>
      <c r="I1062" t="s">
        <v>9</v>
      </c>
      <c r="L1062" t="s">
        <v>161</v>
      </c>
      <c r="M1062">
        <v>-300000000</v>
      </c>
    </row>
    <row r="1063" spans="1:13" x14ac:dyDescent="0.3">
      <c r="A1063" s="23">
        <v>45147</v>
      </c>
      <c r="B1063" t="s">
        <v>12</v>
      </c>
      <c r="C1063" t="s">
        <v>132</v>
      </c>
      <c r="D1063" t="s">
        <v>17</v>
      </c>
      <c r="E1063" t="s">
        <v>46</v>
      </c>
      <c r="F1063">
        <v>53000000</v>
      </c>
      <c r="G1063" t="s">
        <v>28</v>
      </c>
      <c r="H1063" t="s">
        <v>81</v>
      </c>
      <c r="I1063" t="s">
        <v>9</v>
      </c>
      <c r="L1063" t="s">
        <v>161</v>
      </c>
      <c r="M1063">
        <v>-53000000</v>
      </c>
    </row>
    <row r="1064" spans="1:13" x14ac:dyDescent="0.3">
      <c r="A1064" s="23">
        <v>45397</v>
      </c>
      <c r="B1064" t="s">
        <v>12</v>
      </c>
      <c r="C1064" t="s">
        <v>132</v>
      </c>
      <c r="D1064" t="s">
        <v>17</v>
      </c>
      <c r="E1064" t="s">
        <v>46</v>
      </c>
      <c r="F1064">
        <v>254600000</v>
      </c>
      <c r="G1064" t="s">
        <v>28</v>
      </c>
      <c r="H1064" t="s">
        <v>81</v>
      </c>
      <c r="I1064" t="s">
        <v>9</v>
      </c>
      <c r="L1064" t="s">
        <v>161</v>
      </c>
      <c r="M1064">
        <v>-254600000</v>
      </c>
    </row>
    <row r="1065" spans="1:13" x14ac:dyDescent="0.3">
      <c r="A1065" s="23">
        <v>45148</v>
      </c>
      <c r="B1065" t="s">
        <v>12</v>
      </c>
      <c r="C1065" t="s">
        <v>132</v>
      </c>
      <c r="D1065" t="s">
        <v>16</v>
      </c>
      <c r="E1065" t="s">
        <v>46</v>
      </c>
      <c r="F1065">
        <v>336942.92</v>
      </c>
      <c r="G1065" t="s">
        <v>28</v>
      </c>
      <c r="H1065" t="s">
        <v>81</v>
      </c>
      <c r="I1065" t="s">
        <v>9</v>
      </c>
      <c r="L1065" t="s">
        <v>161</v>
      </c>
      <c r="M1065">
        <v>336942.92</v>
      </c>
    </row>
    <row r="1066" spans="1:13" x14ac:dyDescent="0.3">
      <c r="A1066" s="23">
        <v>45394</v>
      </c>
      <c r="B1066" t="s">
        <v>12</v>
      </c>
      <c r="C1066" t="s">
        <v>132</v>
      </c>
      <c r="D1066" t="s">
        <v>17</v>
      </c>
      <c r="E1066" t="s">
        <v>46</v>
      </c>
      <c r="F1066">
        <v>100000000</v>
      </c>
      <c r="G1066" t="s">
        <v>28</v>
      </c>
      <c r="H1066" t="s">
        <v>81</v>
      </c>
      <c r="I1066" t="s">
        <v>9</v>
      </c>
      <c r="L1066" t="s">
        <v>161</v>
      </c>
      <c r="M1066">
        <v>-100000000</v>
      </c>
    </row>
    <row r="1067" spans="1:13" x14ac:dyDescent="0.3">
      <c r="A1067" s="23">
        <v>45393</v>
      </c>
      <c r="B1067" t="s">
        <v>12</v>
      </c>
      <c r="C1067" t="s">
        <v>132</v>
      </c>
      <c r="D1067" t="s">
        <v>16</v>
      </c>
      <c r="E1067" t="s">
        <v>46</v>
      </c>
      <c r="F1067">
        <v>200000000</v>
      </c>
      <c r="G1067" t="s">
        <v>28</v>
      </c>
      <c r="H1067" t="s">
        <v>81</v>
      </c>
      <c r="I1067" t="s">
        <v>9</v>
      </c>
      <c r="L1067" t="s">
        <v>161</v>
      </c>
      <c r="M1067">
        <v>200000000</v>
      </c>
    </row>
    <row r="1068" spans="1:13" x14ac:dyDescent="0.3">
      <c r="A1068" s="23">
        <v>45391</v>
      </c>
      <c r="B1068" t="s">
        <v>12</v>
      </c>
      <c r="C1068" t="s">
        <v>132</v>
      </c>
      <c r="D1068" t="s">
        <v>17</v>
      </c>
      <c r="E1068" t="s">
        <v>46</v>
      </c>
      <c r="F1068">
        <v>300000000</v>
      </c>
      <c r="G1068" t="s">
        <v>28</v>
      </c>
      <c r="H1068" t="s">
        <v>81</v>
      </c>
      <c r="I1068" t="s">
        <v>9</v>
      </c>
      <c r="L1068" t="s">
        <v>161</v>
      </c>
      <c r="M1068">
        <v>-300000000</v>
      </c>
    </row>
    <row r="1069" spans="1:13" x14ac:dyDescent="0.3">
      <c r="A1069" s="23">
        <v>45152</v>
      </c>
      <c r="B1069" t="s">
        <v>12</v>
      </c>
      <c r="C1069" t="s">
        <v>132</v>
      </c>
      <c r="D1069" t="s">
        <v>17</v>
      </c>
      <c r="E1069" t="s">
        <v>46</v>
      </c>
      <c r="F1069">
        <v>97336942.920000002</v>
      </c>
      <c r="G1069" t="s">
        <v>28</v>
      </c>
      <c r="H1069" t="s">
        <v>81</v>
      </c>
      <c r="I1069" t="s">
        <v>9</v>
      </c>
      <c r="L1069" t="s">
        <v>161</v>
      </c>
      <c r="M1069">
        <v>-97336942.920000002</v>
      </c>
    </row>
    <row r="1070" spans="1:13" x14ac:dyDescent="0.3">
      <c r="A1070" s="23">
        <v>45387</v>
      </c>
      <c r="B1070" t="s">
        <v>12</v>
      </c>
      <c r="C1070" t="s">
        <v>132</v>
      </c>
      <c r="D1070" t="s">
        <v>17</v>
      </c>
      <c r="E1070" t="s">
        <v>46</v>
      </c>
      <c r="F1070">
        <v>1000000000</v>
      </c>
      <c r="G1070" t="s">
        <v>28</v>
      </c>
      <c r="H1070" t="s">
        <v>81</v>
      </c>
      <c r="I1070" t="s">
        <v>9</v>
      </c>
      <c r="L1070" t="s">
        <v>161</v>
      </c>
      <c r="M1070">
        <v>-1000000000</v>
      </c>
    </row>
    <row r="1071" spans="1:13" x14ac:dyDescent="0.3">
      <c r="A1071" s="23">
        <v>45386</v>
      </c>
      <c r="B1071" t="s">
        <v>12</v>
      </c>
      <c r="C1071" t="s">
        <v>132</v>
      </c>
      <c r="D1071" t="s">
        <v>16</v>
      </c>
      <c r="E1071" t="s">
        <v>46</v>
      </c>
      <c r="F1071">
        <v>1000000000</v>
      </c>
      <c r="G1071" t="s">
        <v>28</v>
      </c>
      <c r="H1071" t="s">
        <v>81</v>
      </c>
      <c r="I1071" t="s">
        <v>9</v>
      </c>
      <c r="L1071" t="s">
        <v>161</v>
      </c>
      <c r="M1071">
        <v>1000000000</v>
      </c>
    </row>
    <row r="1072" spans="1:13" x14ac:dyDescent="0.3">
      <c r="A1072" s="23">
        <v>45385</v>
      </c>
      <c r="B1072" t="s">
        <v>12</v>
      </c>
      <c r="C1072" t="s">
        <v>132</v>
      </c>
      <c r="D1072" t="s">
        <v>17</v>
      </c>
      <c r="E1072" t="s">
        <v>46</v>
      </c>
      <c r="F1072">
        <v>815000000</v>
      </c>
      <c r="G1072" t="s">
        <v>28</v>
      </c>
      <c r="H1072" t="s">
        <v>81</v>
      </c>
      <c r="I1072" t="s">
        <v>9</v>
      </c>
      <c r="L1072" t="s">
        <v>161</v>
      </c>
      <c r="M1072">
        <v>-815000000</v>
      </c>
    </row>
    <row r="1073" spans="1:13" x14ac:dyDescent="0.3">
      <c r="A1073" s="23">
        <v>45385</v>
      </c>
      <c r="B1073" t="s">
        <v>12</v>
      </c>
      <c r="C1073" t="s">
        <v>132</v>
      </c>
      <c r="D1073" t="s">
        <v>17</v>
      </c>
      <c r="E1073" t="s">
        <v>46</v>
      </c>
      <c r="F1073">
        <v>465900000</v>
      </c>
      <c r="G1073" t="s">
        <v>28</v>
      </c>
      <c r="H1073" t="s">
        <v>81</v>
      </c>
      <c r="I1073" t="s">
        <v>9</v>
      </c>
      <c r="L1073" t="s">
        <v>161</v>
      </c>
      <c r="M1073">
        <v>-465900000</v>
      </c>
    </row>
    <row r="1074" spans="1:13" x14ac:dyDescent="0.3">
      <c r="A1074" s="23">
        <v>45383</v>
      </c>
      <c r="B1074" t="s">
        <v>12</v>
      </c>
      <c r="C1074" t="s">
        <v>132</v>
      </c>
      <c r="D1074" t="s">
        <v>16</v>
      </c>
      <c r="E1074" t="s">
        <v>46</v>
      </c>
      <c r="F1074">
        <v>3340000</v>
      </c>
      <c r="G1074" t="s">
        <v>28</v>
      </c>
      <c r="H1074" t="s">
        <v>81</v>
      </c>
      <c r="I1074" t="s">
        <v>9</v>
      </c>
      <c r="L1074" t="s">
        <v>161</v>
      </c>
      <c r="M1074">
        <v>3340000</v>
      </c>
    </row>
    <row r="1075" spans="1:13" x14ac:dyDescent="0.3">
      <c r="A1075" s="23">
        <v>45378</v>
      </c>
      <c r="B1075" t="s">
        <v>12</v>
      </c>
      <c r="C1075" t="s">
        <v>132</v>
      </c>
      <c r="D1075" t="s">
        <v>16</v>
      </c>
      <c r="E1075" t="s">
        <v>46</v>
      </c>
      <c r="F1075">
        <v>2958100000</v>
      </c>
      <c r="G1075" t="s">
        <v>28</v>
      </c>
      <c r="H1075" t="s">
        <v>81</v>
      </c>
      <c r="I1075" t="s">
        <v>9</v>
      </c>
      <c r="L1075" t="s">
        <v>161</v>
      </c>
      <c r="M1075">
        <v>2958100000</v>
      </c>
    </row>
    <row r="1076" spans="1:13" x14ac:dyDescent="0.3">
      <c r="A1076" s="23">
        <v>45376</v>
      </c>
      <c r="B1076" t="s">
        <v>12</v>
      </c>
      <c r="C1076" t="s">
        <v>132</v>
      </c>
      <c r="D1076" t="s">
        <v>17</v>
      </c>
      <c r="E1076" t="s">
        <v>46</v>
      </c>
      <c r="F1076">
        <v>100000000</v>
      </c>
      <c r="G1076" t="s">
        <v>28</v>
      </c>
      <c r="H1076" t="s">
        <v>81</v>
      </c>
      <c r="I1076" t="s">
        <v>9</v>
      </c>
      <c r="L1076" t="s">
        <v>161</v>
      </c>
      <c r="M1076">
        <v>-100000000</v>
      </c>
    </row>
    <row r="1077" spans="1:13" x14ac:dyDescent="0.3">
      <c r="A1077" s="23">
        <v>45373</v>
      </c>
      <c r="B1077" t="s">
        <v>12</v>
      </c>
      <c r="C1077" t="s">
        <v>132</v>
      </c>
      <c r="D1077" t="s">
        <v>16</v>
      </c>
      <c r="E1077" t="s">
        <v>46</v>
      </c>
      <c r="F1077">
        <v>9400000</v>
      </c>
      <c r="G1077" t="s">
        <v>28</v>
      </c>
      <c r="H1077" t="s">
        <v>81</v>
      </c>
      <c r="I1077" t="s">
        <v>9</v>
      </c>
      <c r="L1077" t="s">
        <v>161</v>
      </c>
      <c r="M1077">
        <v>9400000</v>
      </c>
    </row>
    <row r="1078" spans="1:13" x14ac:dyDescent="0.3">
      <c r="A1078" s="23">
        <v>45373</v>
      </c>
      <c r="B1078" t="s">
        <v>12</v>
      </c>
      <c r="C1078" t="s">
        <v>132</v>
      </c>
      <c r="D1078" t="s">
        <v>16</v>
      </c>
      <c r="E1078" t="s">
        <v>46</v>
      </c>
      <c r="F1078">
        <v>41576071</v>
      </c>
      <c r="G1078" t="s">
        <v>28</v>
      </c>
      <c r="H1078" t="s">
        <v>81</v>
      </c>
      <c r="I1078" t="s">
        <v>9</v>
      </c>
      <c r="L1078" t="s">
        <v>161</v>
      </c>
      <c r="M1078">
        <v>41576071</v>
      </c>
    </row>
    <row r="1079" spans="1:13" x14ac:dyDescent="0.3">
      <c r="A1079" s="23">
        <v>45372</v>
      </c>
      <c r="B1079" t="s">
        <v>12</v>
      </c>
      <c r="C1079" t="s">
        <v>132</v>
      </c>
      <c r="D1079" t="s">
        <v>16</v>
      </c>
      <c r="E1079" t="s">
        <v>46</v>
      </c>
      <c r="F1079">
        <v>207200000</v>
      </c>
      <c r="G1079" t="s">
        <v>28</v>
      </c>
      <c r="H1079" t="s">
        <v>81</v>
      </c>
      <c r="I1079" t="s">
        <v>9</v>
      </c>
      <c r="L1079" t="s">
        <v>161</v>
      </c>
      <c r="M1079">
        <v>207200000</v>
      </c>
    </row>
    <row r="1080" spans="1:13" x14ac:dyDescent="0.3">
      <c r="A1080" s="23">
        <v>45371</v>
      </c>
      <c r="B1080" t="s">
        <v>12</v>
      </c>
      <c r="C1080" t="s">
        <v>132</v>
      </c>
      <c r="D1080" t="s">
        <v>17</v>
      </c>
      <c r="E1080" t="s">
        <v>46</v>
      </c>
      <c r="F1080">
        <v>55400000</v>
      </c>
      <c r="G1080" t="s">
        <v>28</v>
      </c>
      <c r="H1080" t="s">
        <v>81</v>
      </c>
      <c r="I1080" t="s">
        <v>9</v>
      </c>
      <c r="L1080" t="s">
        <v>161</v>
      </c>
      <c r="M1080">
        <v>-55400000</v>
      </c>
    </row>
    <row r="1081" spans="1:13" x14ac:dyDescent="0.3">
      <c r="A1081" s="23">
        <v>45370</v>
      </c>
      <c r="B1081" t="s">
        <v>12</v>
      </c>
      <c r="C1081" t="s">
        <v>132</v>
      </c>
      <c r="D1081" t="s">
        <v>17</v>
      </c>
      <c r="E1081" t="s">
        <v>46</v>
      </c>
      <c r="F1081">
        <v>50000000</v>
      </c>
      <c r="G1081" t="s">
        <v>28</v>
      </c>
      <c r="H1081" t="s">
        <v>81</v>
      </c>
      <c r="I1081" t="s">
        <v>9</v>
      </c>
      <c r="L1081" t="s">
        <v>161</v>
      </c>
      <c r="M1081">
        <v>-50000000</v>
      </c>
    </row>
    <row r="1082" spans="1:13" x14ac:dyDescent="0.3">
      <c r="A1082" s="23">
        <v>45369</v>
      </c>
      <c r="B1082" t="s">
        <v>12</v>
      </c>
      <c r="C1082" t="s">
        <v>132</v>
      </c>
      <c r="D1082" t="s">
        <v>17</v>
      </c>
      <c r="E1082" t="s">
        <v>46</v>
      </c>
      <c r="F1082">
        <v>53100000</v>
      </c>
      <c r="G1082" t="s">
        <v>28</v>
      </c>
      <c r="H1082" t="s">
        <v>81</v>
      </c>
      <c r="I1082" t="s">
        <v>9</v>
      </c>
      <c r="L1082" t="s">
        <v>161</v>
      </c>
      <c r="M1082">
        <v>-53100000</v>
      </c>
    </row>
    <row r="1083" spans="1:13" x14ac:dyDescent="0.3">
      <c r="A1083" s="23">
        <v>45162</v>
      </c>
      <c r="B1083" t="s">
        <v>12</v>
      </c>
      <c r="C1083" t="s">
        <v>132</v>
      </c>
      <c r="D1083" t="s">
        <v>16</v>
      </c>
      <c r="E1083" t="s">
        <v>46</v>
      </c>
      <c r="F1083">
        <v>456200000</v>
      </c>
      <c r="G1083" t="s">
        <v>28</v>
      </c>
      <c r="H1083" t="s">
        <v>81</v>
      </c>
      <c r="I1083" t="s">
        <v>9</v>
      </c>
      <c r="L1083" t="s">
        <v>161</v>
      </c>
      <c r="M1083">
        <v>456200000</v>
      </c>
    </row>
    <row r="1084" spans="1:13" x14ac:dyDescent="0.3">
      <c r="A1084" s="23">
        <v>45366</v>
      </c>
      <c r="B1084" t="s">
        <v>12</v>
      </c>
      <c r="C1084" t="s">
        <v>132</v>
      </c>
      <c r="D1084" t="s">
        <v>16</v>
      </c>
      <c r="E1084" t="s">
        <v>46</v>
      </c>
      <c r="F1084">
        <v>41500000</v>
      </c>
      <c r="G1084" t="s">
        <v>28</v>
      </c>
      <c r="H1084" t="s">
        <v>81</v>
      </c>
      <c r="I1084" t="s">
        <v>9</v>
      </c>
      <c r="L1084" t="s">
        <v>161</v>
      </c>
      <c r="M1084">
        <v>41500000</v>
      </c>
    </row>
    <row r="1085" spans="1:13" x14ac:dyDescent="0.3">
      <c r="A1085" s="23">
        <v>45364</v>
      </c>
      <c r="B1085" t="s">
        <v>12</v>
      </c>
      <c r="C1085" t="s">
        <v>132</v>
      </c>
      <c r="D1085" t="s">
        <v>17</v>
      </c>
      <c r="E1085" t="s">
        <v>46</v>
      </c>
      <c r="F1085">
        <v>35800000</v>
      </c>
      <c r="G1085" t="s">
        <v>28</v>
      </c>
      <c r="H1085" t="s">
        <v>81</v>
      </c>
      <c r="I1085" t="s">
        <v>9</v>
      </c>
      <c r="L1085" t="s">
        <v>161</v>
      </c>
      <c r="M1085">
        <v>-35800000</v>
      </c>
    </row>
    <row r="1086" spans="1:13" x14ac:dyDescent="0.3">
      <c r="A1086" s="23">
        <v>45362</v>
      </c>
      <c r="B1086" t="s">
        <v>12</v>
      </c>
      <c r="C1086" t="s">
        <v>132</v>
      </c>
      <c r="D1086" t="s">
        <v>17</v>
      </c>
      <c r="E1086" t="s">
        <v>46</v>
      </c>
      <c r="F1086">
        <v>200000000</v>
      </c>
      <c r="G1086" t="s">
        <v>28</v>
      </c>
      <c r="H1086" t="s">
        <v>81</v>
      </c>
      <c r="I1086" t="s">
        <v>9</v>
      </c>
      <c r="L1086" t="s">
        <v>161</v>
      </c>
      <c r="M1086">
        <v>-200000000</v>
      </c>
    </row>
    <row r="1087" spans="1:13" x14ac:dyDescent="0.3">
      <c r="A1087" s="23">
        <v>45167</v>
      </c>
      <c r="B1087" t="s">
        <v>12</v>
      </c>
      <c r="C1087" t="s">
        <v>132</v>
      </c>
      <c r="D1087" t="s">
        <v>17</v>
      </c>
      <c r="E1087" t="s">
        <v>46</v>
      </c>
      <c r="F1087">
        <v>129200000</v>
      </c>
      <c r="G1087" t="s">
        <v>28</v>
      </c>
      <c r="H1087" t="s">
        <v>81</v>
      </c>
      <c r="I1087" t="s">
        <v>9</v>
      </c>
      <c r="L1087" t="s">
        <v>161</v>
      </c>
      <c r="M1087">
        <v>-129200000</v>
      </c>
    </row>
    <row r="1088" spans="1:13" x14ac:dyDescent="0.3">
      <c r="A1088" s="23">
        <v>45170</v>
      </c>
      <c r="B1088" t="s">
        <v>12</v>
      </c>
      <c r="C1088" t="s">
        <v>132</v>
      </c>
      <c r="D1088" t="s">
        <v>16</v>
      </c>
      <c r="E1088" t="s">
        <v>46</v>
      </c>
      <c r="F1088">
        <v>7423241.7599999998</v>
      </c>
      <c r="G1088" t="s">
        <v>28</v>
      </c>
      <c r="H1088" t="s">
        <v>81</v>
      </c>
      <c r="I1088" t="s">
        <v>9</v>
      </c>
      <c r="L1088" t="s">
        <v>161</v>
      </c>
      <c r="M1088">
        <v>7423241.7599999998</v>
      </c>
    </row>
    <row r="1089" spans="1:13" x14ac:dyDescent="0.3">
      <c r="A1089" s="23">
        <v>45355</v>
      </c>
      <c r="B1089" t="s">
        <v>12</v>
      </c>
      <c r="C1089" t="s">
        <v>132</v>
      </c>
      <c r="D1089" t="s">
        <v>17</v>
      </c>
      <c r="E1089" t="s">
        <v>46</v>
      </c>
      <c r="F1089">
        <v>209100000</v>
      </c>
      <c r="G1089" t="s">
        <v>28</v>
      </c>
      <c r="H1089" t="s">
        <v>81</v>
      </c>
      <c r="I1089" t="s">
        <v>9</v>
      </c>
      <c r="L1089" t="s">
        <v>161</v>
      </c>
      <c r="M1089">
        <v>-209100000</v>
      </c>
    </row>
    <row r="1090" spans="1:13" x14ac:dyDescent="0.3">
      <c r="A1090" s="23">
        <v>45349</v>
      </c>
      <c r="B1090" t="s">
        <v>12</v>
      </c>
      <c r="C1090" t="s">
        <v>132</v>
      </c>
      <c r="D1090" t="s">
        <v>17</v>
      </c>
      <c r="E1090" t="s">
        <v>46</v>
      </c>
      <c r="F1090">
        <v>500000000</v>
      </c>
      <c r="G1090" t="s">
        <v>28</v>
      </c>
      <c r="H1090" t="s">
        <v>81</v>
      </c>
      <c r="I1090" t="s">
        <v>9</v>
      </c>
      <c r="L1090" t="s">
        <v>161</v>
      </c>
      <c r="M1090">
        <v>-500000000</v>
      </c>
    </row>
    <row r="1091" spans="1:13" x14ac:dyDescent="0.3">
      <c r="A1091" s="23">
        <v>45170</v>
      </c>
      <c r="B1091" t="s">
        <v>12</v>
      </c>
      <c r="C1091" t="s">
        <v>132</v>
      </c>
      <c r="D1091" t="s">
        <v>17</v>
      </c>
      <c r="E1091" t="s">
        <v>46</v>
      </c>
      <c r="F1091">
        <v>37000000</v>
      </c>
      <c r="G1091" t="s">
        <v>28</v>
      </c>
      <c r="H1091" t="s">
        <v>81</v>
      </c>
      <c r="I1091" t="s">
        <v>9</v>
      </c>
      <c r="L1091" t="s">
        <v>161</v>
      </c>
      <c r="M1091">
        <v>-37000000</v>
      </c>
    </row>
    <row r="1092" spans="1:13" x14ac:dyDescent="0.3">
      <c r="A1092" s="23">
        <v>45348</v>
      </c>
      <c r="B1092" t="s">
        <v>12</v>
      </c>
      <c r="C1092" t="s">
        <v>132</v>
      </c>
      <c r="D1092" t="s">
        <v>17</v>
      </c>
      <c r="E1092" t="s">
        <v>46</v>
      </c>
      <c r="F1092">
        <v>161700000</v>
      </c>
      <c r="G1092" t="s">
        <v>28</v>
      </c>
      <c r="H1092" t="s">
        <v>81</v>
      </c>
      <c r="I1092" t="s">
        <v>9</v>
      </c>
      <c r="L1092" t="s">
        <v>161</v>
      </c>
      <c r="M1092">
        <v>-161700000</v>
      </c>
    </row>
    <row r="1093" spans="1:13" x14ac:dyDescent="0.3">
      <c r="A1093" s="23">
        <v>45345</v>
      </c>
      <c r="B1093" t="s">
        <v>12</v>
      </c>
      <c r="C1093" t="s">
        <v>132</v>
      </c>
      <c r="D1093" t="s">
        <v>17</v>
      </c>
      <c r="E1093" t="s">
        <v>46</v>
      </c>
      <c r="F1093">
        <v>1900000</v>
      </c>
      <c r="G1093" t="s">
        <v>28</v>
      </c>
      <c r="H1093" t="s">
        <v>81</v>
      </c>
      <c r="I1093" t="s">
        <v>9</v>
      </c>
      <c r="L1093" t="s">
        <v>161</v>
      </c>
      <c r="M1093">
        <v>-1900000</v>
      </c>
    </row>
    <row r="1094" spans="1:13" x14ac:dyDescent="0.3">
      <c r="A1094" s="23">
        <v>45344</v>
      </c>
      <c r="B1094" t="s">
        <v>12</v>
      </c>
      <c r="C1094" t="s">
        <v>132</v>
      </c>
      <c r="D1094" t="s">
        <v>17</v>
      </c>
      <c r="E1094" t="s">
        <v>46</v>
      </c>
      <c r="F1094">
        <v>13100000</v>
      </c>
      <c r="G1094" t="s">
        <v>28</v>
      </c>
      <c r="H1094" t="s">
        <v>81</v>
      </c>
      <c r="I1094" t="s">
        <v>9</v>
      </c>
      <c r="L1094" t="s">
        <v>161</v>
      </c>
      <c r="M1094">
        <v>-13100000</v>
      </c>
    </row>
    <row r="1095" spans="1:13" x14ac:dyDescent="0.3">
      <c r="A1095" s="23">
        <v>45343</v>
      </c>
      <c r="B1095" t="s">
        <v>12</v>
      </c>
      <c r="C1095" t="s">
        <v>132</v>
      </c>
      <c r="D1095" t="s">
        <v>17</v>
      </c>
      <c r="E1095" t="s">
        <v>46</v>
      </c>
      <c r="F1095">
        <v>33100000</v>
      </c>
      <c r="G1095" t="s">
        <v>28</v>
      </c>
      <c r="H1095" t="s">
        <v>81</v>
      </c>
      <c r="I1095" t="s">
        <v>9</v>
      </c>
      <c r="L1095" t="s">
        <v>161</v>
      </c>
      <c r="M1095">
        <v>-33100000</v>
      </c>
    </row>
    <row r="1096" spans="1:13" x14ac:dyDescent="0.3">
      <c r="A1096" s="23">
        <v>45174</v>
      </c>
      <c r="B1096" t="s">
        <v>12</v>
      </c>
      <c r="C1096" t="s">
        <v>132</v>
      </c>
      <c r="D1096" t="s">
        <v>17</v>
      </c>
      <c r="E1096" t="s">
        <v>46</v>
      </c>
      <c r="F1096">
        <v>129000000</v>
      </c>
      <c r="G1096" t="s">
        <v>28</v>
      </c>
      <c r="H1096" t="s">
        <v>81</v>
      </c>
      <c r="I1096" t="s">
        <v>9</v>
      </c>
      <c r="L1096" t="s">
        <v>161</v>
      </c>
      <c r="M1096">
        <v>-129000000</v>
      </c>
    </row>
    <row r="1097" spans="1:13" x14ac:dyDescent="0.3">
      <c r="A1097" s="23">
        <v>45343</v>
      </c>
      <c r="B1097" t="s">
        <v>12</v>
      </c>
      <c r="C1097" t="s">
        <v>132</v>
      </c>
      <c r="D1097" t="s">
        <v>16</v>
      </c>
      <c r="E1097" t="s">
        <v>46</v>
      </c>
      <c r="F1097">
        <v>54100000</v>
      </c>
      <c r="G1097" t="s">
        <v>28</v>
      </c>
      <c r="H1097" t="s">
        <v>81</v>
      </c>
      <c r="I1097" t="s">
        <v>9</v>
      </c>
      <c r="L1097" t="s">
        <v>161</v>
      </c>
      <c r="M1097">
        <v>54100000</v>
      </c>
    </row>
    <row r="1098" spans="1:13" x14ac:dyDescent="0.3">
      <c r="A1098" s="23">
        <v>45176</v>
      </c>
      <c r="B1098" t="s">
        <v>12</v>
      </c>
      <c r="C1098" t="s">
        <v>132</v>
      </c>
      <c r="D1098" t="s">
        <v>17</v>
      </c>
      <c r="E1098" t="s">
        <v>46</v>
      </c>
      <c r="F1098">
        <v>117800000</v>
      </c>
      <c r="G1098" t="s">
        <v>28</v>
      </c>
      <c r="H1098" t="s">
        <v>81</v>
      </c>
      <c r="I1098" t="s">
        <v>9</v>
      </c>
      <c r="L1098" t="s">
        <v>161</v>
      </c>
      <c r="M1098">
        <v>-117800000</v>
      </c>
    </row>
    <row r="1099" spans="1:13" x14ac:dyDescent="0.3">
      <c r="A1099" s="23">
        <v>45342</v>
      </c>
      <c r="B1099" t="s">
        <v>12</v>
      </c>
      <c r="C1099" t="s">
        <v>132</v>
      </c>
      <c r="D1099" t="s">
        <v>16</v>
      </c>
      <c r="E1099" t="s">
        <v>46</v>
      </c>
      <c r="F1099">
        <v>970300000</v>
      </c>
      <c r="G1099" t="s">
        <v>28</v>
      </c>
      <c r="H1099" t="s">
        <v>81</v>
      </c>
      <c r="I1099" t="s">
        <v>9</v>
      </c>
      <c r="L1099" t="s">
        <v>161</v>
      </c>
      <c r="M1099">
        <v>970300000</v>
      </c>
    </row>
    <row r="1100" spans="1:13" x14ac:dyDescent="0.3">
      <c r="A1100" s="23">
        <v>45341</v>
      </c>
      <c r="B1100" t="s">
        <v>12</v>
      </c>
      <c r="C1100" t="s">
        <v>132</v>
      </c>
      <c r="D1100" t="s">
        <v>17</v>
      </c>
      <c r="E1100" t="s">
        <v>46</v>
      </c>
      <c r="F1100">
        <v>66300000</v>
      </c>
      <c r="G1100" t="s">
        <v>28</v>
      </c>
      <c r="H1100" t="s">
        <v>81</v>
      </c>
      <c r="I1100" t="s">
        <v>9</v>
      </c>
      <c r="L1100" t="s">
        <v>161</v>
      </c>
      <c r="M1100">
        <v>-66300000</v>
      </c>
    </row>
    <row r="1101" spans="1:13" x14ac:dyDescent="0.3">
      <c r="A1101" s="23">
        <v>45338</v>
      </c>
      <c r="B1101" t="s">
        <v>12</v>
      </c>
      <c r="C1101" t="s">
        <v>132</v>
      </c>
      <c r="D1101" t="s">
        <v>17</v>
      </c>
      <c r="E1101" t="s">
        <v>46</v>
      </c>
      <c r="F1101">
        <v>1800000</v>
      </c>
      <c r="G1101" t="s">
        <v>28</v>
      </c>
      <c r="H1101" t="s">
        <v>81</v>
      </c>
      <c r="I1101" t="s">
        <v>9</v>
      </c>
      <c r="L1101" t="s">
        <v>161</v>
      </c>
      <c r="M1101">
        <v>-1800000</v>
      </c>
    </row>
    <row r="1102" spans="1:13" x14ac:dyDescent="0.3">
      <c r="A1102" s="23">
        <v>45336</v>
      </c>
      <c r="B1102" t="s">
        <v>12</v>
      </c>
      <c r="C1102" t="s">
        <v>132</v>
      </c>
      <c r="D1102" t="s">
        <v>17</v>
      </c>
      <c r="E1102" t="s">
        <v>46</v>
      </c>
      <c r="F1102">
        <v>81500000</v>
      </c>
      <c r="G1102" t="s">
        <v>28</v>
      </c>
      <c r="H1102" t="s">
        <v>81</v>
      </c>
      <c r="I1102" t="s">
        <v>9</v>
      </c>
      <c r="L1102" t="s">
        <v>161</v>
      </c>
      <c r="M1102">
        <v>-81500000</v>
      </c>
    </row>
    <row r="1103" spans="1:13" x14ac:dyDescent="0.3">
      <c r="A1103" s="23">
        <v>45331</v>
      </c>
      <c r="B1103" t="s">
        <v>12</v>
      </c>
      <c r="C1103" t="s">
        <v>132</v>
      </c>
      <c r="D1103" t="s">
        <v>17</v>
      </c>
      <c r="E1103" t="s">
        <v>46</v>
      </c>
      <c r="F1103">
        <v>334200000</v>
      </c>
      <c r="G1103" t="s">
        <v>28</v>
      </c>
      <c r="H1103" t="s">
        <v>81</v>
      </c>
      <c r="I1103" t="s">
        <v>9</v>
      </c>
      <c r="L1103" t="s">
        <v>161</v>
      </c>
      <c r="M1103">
        <v>-334200000</v>
      </c>
    </row>
    <row r="1104" spans="1:13" x14ac:dyDescent="0.3">
      <c r="A1104" s="23">
        <v>45328</v>
      </c>
      <c r="B1104" t="s">
        <v>12</v>
      </c>
      <c r="C1104" t="s">
        <v>132</v>
      </c>
      <c r="D1104" t="s">
        <v>16</v>
      </c>
      <c r="E1104" t="s">
        <v>46</v>
      </c>
      <c r="F1104">
        <v>600000000</v>
      </c>
      <c r="G1104" t="s">
        <v>28</v>
      </c>
      <c r="H1104" t="s">
        <v>81</v>
      </c>
      <c r="I1104" t="s">
        <v>9</v>
      </c>
      <c r="L1104" t="s">
        <v>161</v>
      </c>
      <c r="M1104">
        <v>600000000</v>
      </c>
    </row>
    <row r="1105" spans="1:13" x14ac:dyDescent="0.3">
      <c r="A1105" s="23">
        <v>45327</v>
      </c>
      <c r="B1105" t="s">
        <v>12</v>
      </c>
      <c r="C1105" t="s">
        <v>132</v>
      </c>
      <c r="D1105" t="s">
        <v>17</v>
      </c>
      <c r="E1105" t="s">
        <v>46</v>
      </c>
      <c r="F1105">
        <v>235100000</v>
      </c>
      <c r="G1105" t="s">
        <v>28</v>
      </c>
      <c r="H1105" t="s">
        <v>81</v>
      </c>
      <c r="I1105" t="s">
        <v>9</v>
      </c>
      <c r="L1105" t="s">
        <v>161</v>
      </c>
      <c r="M1105">
        <v>-235100000</v>
      </c>
    </row>
    <row r="1106" spans="1:13" x14ac:dyDescent="0.3">
      <c r="A1106" s="23">
        <v>45184</v>
      </c>
      <c r="B1106" t="s">
        <v>12</v>
      </c>
      <c r="C1106" t="s">
        <v>132</v>
      </c>
      <c r="D1106" t="s">
        <v>16</v>
      </c>
      <c r="E1106" t="s">
        <v>46</v>
      </c>
      <c r="F1106">
        <v>6049508.9400000004</v>
      </c>
      <c r="G1106" t="s">
        <v>28</v>
      </c>
      <c r="H1106" t="s">
        <v>81</v>
      </c>
      <c r="I1106" t="s">
        <v>9</v>
      </c>
      <c r="L1106" t="s">
        <v>161</v>
      </c>
      <c r="M1106">
        <v>6049508.9400000004</v>
      </c>
    </row>
    <row r="1107" spans="1:13" x14ac:dyDescent="0.3">
      <c r="A1107" s="23">
        <v>45322</v>
      </c>
      <c r="B1107" t="s">
        <v>12</v>
      </c>
      <c r="C1107" t="s">
        <v>132</v>
      </c>
      <c r="D1107" t="s">
        <v>17</v>
      </c>
      <c r="E1107" t="s">
        <v>46</v>
      </c>
      <c r="F1107">
        <v>357800000</v>
      </c>
      <c r="G1107" t="s">
        <v>28</v>
      </c>
      <c r="H1107" t="s">
        <v>81</v>
      </c>
      <c r="I1107" t="s">
        <v>9</v>
      </c>
      <c r="L1107" t="s">
        <v>161</v>
      </c>
      <c r="M1107">
        <v>-357800000</v>
      </c>
    </row>
    <row r="1108" spans="1:13" x14ac:dyDescent="0.3">
      <c r="A1108" s="23">
        <v>45320</v>
      </c>
      <c r="B1108" t="s">
        <v>12</v>
      </c>
      <c r="C1108" t="s">
        <v>132</v>
      </c>
      <c r="D1108" t="s">
        <v>17</v>
      </c>
      <c r="E1108" t="s">
        <v>46</v>
      </c>
      <c r="F1108">
        <v>2086800000</v>
      </c>
      <c r="G1108" t="s">
        <v>28</v>
      </c>
      <c r="H1108" t="s">
        <v>81</v>
      </c>
      <c r="I1108" t="s">
        <v>9</v>
      </c>
      <c r="L1108" t="s">
        <v>161</v>
      </c>
      <c r="M1108">
        <v>-2086800000</v>
      </c>
    </row>
    <row r="1109" spans="1:13" x14ac:dyDescent="0.3">
      <c r="A1109" s="23">
        <v>45317</v>
      </c>
      <c r="B1109" t="s">
        <v>12</v>
      </c>
      <c r="C1109" t="s">
        <v>132</v>
      </c>
      <c r="D1109" t="s">
        <v>17</v>
      </c>
      <c r="E1109" t="s">
        <v>46</v>
      </c>
      <c r="F1109">
        <v>218900000</v>
      </c>
      <c r="G1109" t="s">
        <v>28</v>
      </c>
      <c r="H1109" t="s">
        <v>81</v>
      </c>
      <c r="I1109" t="s">
        <v>9</v>
      </c>
      <c r="L1109" t="s">
        <v>161</v>
      </c>
      <c r="M1109">
        <v>-218900000</v>
      </c>
    </row>
    <row r="1110" spans="1:13" x14ac:dyDescent="0.3">
      <c r="A1110" s="23">
        <v>45187</v>
      </c>
      <c r="B1110" t="s">
        <v>12</v>
      </c>
      <c r="C1110" t="s">
        <v>132</v>
      </c>
      <c r="D1110" t="s">
        <v>17</v>
      </c>
      <c r="E1110" t="s">
        <v>46</v>
      </c>
      <c r="F1110">
        <v>37800000</v>
      </c>
      <c r="G1110" t="s">
        <v>28</v>
      </c>
      <c r="H1110" t="s">
        <v>81</v>
      </c>
      <c r="I1110" t="s">
        <v>9</v>
      </c>
      <c r="L1110" t="s">
        <v>161</v>
      </c>
      <c r="M1110">
        <v>-37800000</v>
      </c>
    </row>
    <row r="1111" spans="1:13" x14ac:dyDescent="0.3">
      <c r="A1111" s="23">
        <v>45317</v>
      </c>
      <c r="B1111" t="s">
        <v>12</v>
      </c>
      <c r="C1111" t="s">
        <v>132</v>
      </c>
      <c r="D1111" t="s">
        <v>16</v>
      </c>
      <c r="E1111" t="s">
        <v>46</v>
      </c>
      <c r="F1111">
        <v>50500000</v>
      </c>
      <c r="G1111" t="s">
        <v>28</v>
      </c>
      <c r="H1111" t="s">
        <v>81</v>
      </c>
      <c r="I1111" t="s">
        <v>9</v>
      </c>
      <c r="L1111" t="s">
        <v>161</v>
      </c>
      <c r="M1111">
        <v>50500000</v>
      </c>
    </row>
    <row r="1112" spans="1:13" x14ac:dyDescent="0.3">
      <c r="A1112" s="23">
        <v>45316</v>
      </c>
      <c r="B1112" t="s">
        <v>12</v>
      </c>
      <c r="C1112" t="s">
        <v>132</v>
      </c>
      <c r="D1112" t="s">
        <v>17</v>
      </c>
      <c r="E1112" t="s">
        <v>46</v>
      </c>
      <c r="F1112">
        <v>132900000</v>
      </c>
      <c r="G1112" t="s">
        <v>28</v>
      </c>
      <c r="H1112" t="s">
        <v>81</v>
      </c>
      <c r="I1112" t="s">
        <v>9</v>
      </c>
      <c r="L1112" t="s">
        <v>161</v>
      </c>
      <c r="M1112">
        <v>-132900000</v>
      </c>
    </row>
    <row r="1113" spans="1:13" x14ac:dyDescent="0.3">
      <c r="A1113" s="23">
        <v>45315</v>
      </c>
      <c r="B1113" t="s">
        <v>12</v>
      </c>
      <c r="C1113" t="s">
        <v>132</v>
      </c>
      <c r="D1113" t="s">
        <v>17</v>
      </c>
      <c r="E1113" t="s">
        <v>46</v>
      </c>
      <c r="F1113">
        <v>59500000</v>
      </c>
      <c r="G1113" t="s">
        <v>28</v>
      </c>
      <c r="H1113" t="s">
        <v>81</v>
      </c>
      <c r="I1113" t="s">
        <v>9</v>
      </c>
      <c r="L1113" t="s">
        <v>161</v>
      </c>
      <c r="M1113">
        <v>-59500000</v>
      </c>
    </row>
    <row r="1114" spans="1:13" x14ac:dyDescent="0.3">
      <c r="A1114" s="23">
        <v>45314</v>
      </c>
      <c r="B1114" t="s">
        <v>12</v>
      </c>
      <c r="C1114" t="s">
        <v>132</v>
      </c>
      <c r="D1114" t="s">
        <v>17</v>
      </c>
      <c r="E1114" t="s">
        <v>46</v>
      </c>
      <c r="F1114">
        <v>1094800000</v>
      </c>
      <c r="G1114" t="s">
        <v>28</v>
      </c>
      <c r="H1114" t="s">
        <v>81</v>
      </c>
      <c r="I1114" t="s">
        <v>9</v>
      </c>
      <c r="L1114" t="s">
        <v>161</v>
      </c>
      <c r="M1114">
        <v>-1094800000</v>
      </c>
    </row>
    <row r="1115" spans="1:13" x14ac:dyDescent="0.3">
      <c r="A1115" s="23">
        <v>45313</v>
      </c>
      <c r="B1115" t="s">
        <v>12</v>
      </c>
      <c r="C1115" t="s">
        <v>132</v>
      </c>
      <c r="D1115" t="s">
        <v>16</v>
      </c>
      <c r="E1115" t="s">
        <v>46</v>
      </c>
      <c r="F1115">
        <v>3026700000</v>
      </c>
      <c r="G1115" t="s">
        <v>28</v>
      </c>
      <c r="H1115" t="s">
        <v>81</v>
      </c>
      <c r="I1115" t="s">
        <v>9</v>
      </c>
      <c r="L1115" t="s">
        <v>161</v>
      </c>
      <c r="M1115">
        <v>3026700000</v>
      </c>
    </row>
    <row r="1116" spans="1:13" x14ac:dyDescent="0.3">
      <c r="A1116" s="23">
        <v>45309</v>
      </c>
      <c r="B1116" t="s">
        <v>12</v>
      </c>
      <c r="C1116" t="s">
        <v>132</v>
      </c>
      <c r="D1116" t="s">
        <v>17</v>
      </c>
      <c r="E1116" t="s">
        <v>46</v>
      </c>
      <c r="F1116">
        <v>164600000</v>
      </c>
      <c r="G1116" t="s">
        <v>28</v>
      </c>
      <c r="H1116" t="s">
        <v>81</v>
      </c>
      <c r="I1116" t="s">
        <v>9</v>
      </c>
      <c r="L1116" t="s">
        <v>161</v>
      </c>
      <c r="M1116">
        <v>-164600000</v>
      </c>
    </row>
    <row r="1117" spans="1:13" x14ac:dyDescent="0.3">
      <c r="A1117" s="23">
        <v>45308</v>
      </c>
      <c r="B1117" t="s">
        <v>12</v>
      </c>
      <c r="C1117" t="s">
        <v>132</v>
      </c>
      <c r="D1117" t="s">
        <v>16</v>
      </c>
      <c r="E1117" t="s">
        <v>46</v>
      </c>
      <c r="F1117">
        <v>1455000000</v>
      </c>
      <c r="G1117" t="s">
        <v>28</v>
      </c>
      <c r="H1117" t="s">
        <v>81</v>
      </c>
      <c r="I1117" t="s">
        <v>9</v>
      </c>
      <c r="L1117" t="s">
        <v>161</v>
      </c>
      <c r="M1117">
        <v>1455000000</v>
      </c>
    </row>
    <row r="1118" spans="1:13" x14ac:dyDescent="0.3">
      <c r="A1118" s="23">
        <v>45307</v>
      </c>
      <c r="B1118" t="s">
        <v>12</v>
      </c>
      <c r="C1118" t="s">
        <v>132</v>
      </c>
      <c r="D1118" t="s">
        <v>17</v>
      </c>
      <c r="E1118" t="s">
        <v>46</v>
      </c>
      <c r="F1118">
        <v>30000000</v>
      </c>
      <c r="G1118" t="s">
        <v>28</v>
      </c>
      <c r="H1118" t="s">
        <v>81</v>
      </c>
      <c r="I1118" t="s">
        <v>9</v>
      </c>
      <c r="L1118" t="s">
        <v>161</v>
      </c>
      <c r="M1118">
        <v>-30000000</v>
      </c>
    </row>
    <row r="1119" spans="1:13" x14ac:dyDescent="0.3">
      <c r="A1119" s="23">
        <v>45303</v>
      </c>
      <c r="B1119" t="s">
        <v>12</v>
      </c>
      <c r="C1119" t="s">
        <v>132</v>
      </c>
      <c r="D1119" t="s">
        <v>17</v>
      </c>
      <c r="E1119" t="s">
        <v>46</v>
      </c>
      <c r="F1119">
        <v>56000000</v>
      </c>
      <c r="G1119" t="s">
        <v>28</v>
      </c>
      <c r="H1119" t="s">
        <v>81</v>
      </c>
      <c r="I1119" t="s">
        <v>9</v>
      </c>
      <c r="L1119" t="s">
        <v>161</v>
      </c>
      <c r="M1119">
        <v>-56000000</v>
      </c>
    </row>
    <row r="1120" spans="1:13" x14ac:dyDescent="0.3">
      <c r="A1120" s="23">
        <v>45301</v>
      </c>
      <c r="B1120" t="s">
        <v>12</v>
      </c>
      <c r="C1120" t="s">
        <v>132</v>
      </c>
      <c r="D1120" t="s">
        <v>17</v>
      </c>
      <c r="E1120" t="s">
        <v>46</v>
      </c>
      <c r="F1120">
        <v>49000000</v>
      </c>
      <c r="G1120" t="s">
        <v>28</v>
      </c>
      <c r="H1120" t="s">
        <v>81</v>
      </c>
      <c r="I1120" t="s">
        <v>9</v>
      </c>
      <c r="L1120" t="s">
        <v>161</v>
      </c>
      <c r="M1120">
        <v>-49000000</v>
      </c>
    </row>
    <row r="1121" spans="1:13" x14ac:dyDescent="0.3">
      <c r="A1121" s="23">
        <v>45299</v>
      </c>
      <c r="B1121" t="s">
        <v>12</v>
      </c>
      <c r="C1121" t="s">
        <v>132</v>
      </c>
      <c r="D1121" t="s">
        <v>17</v>
      </c>
      <c r="E1121" t="s">
        <v>46</v>
      </c>
      <c r="F1121">
        <v>63100000</v>
      </c>
      <c r="G1121" t="s">
        <v>28</v>
      </c>
      <c r="H1121" t="s">
        <v>81</v>
      </c>
      <c r="I1121" t="s">
        <v>9</v>
      </c>
      <c r="L1121" t="s">
        <v>161</v>
      </c>
      <c r="M1121">
        <v>-63100000</v>
      </c>
    </row>
    <row r="1122" spans="1:13" x14ac:dyDescent="0.3">
      <c r="A1122" s="23">
        <v>45194</v>
      </c>
      <c r="B1122" t="s">
        <v>12</v>
      </c>
      <c r="C1122" t="s">
        <v>132</v>
      </c>
      <c r="D1122" t="s">
        <v>17</v>
      </c>
      <c r="E1122" t="s">
        <v>46</v>
      </c>
      <c r="F1122">
        <v>18872750.699999999</v>
      </c>
      <c r="G1122" t="s">
        <v>28</v>
      </c>
      <c r="H1122" t="s">
        <v>81</v>
      </c>
      <c r="I1122" t="s">
        <v>9</v>
      </c>
      <c r="L1122" t="s">
        <v>161</v>
      </c>
      <c r="M1122">
        <v>-18872750.699999999</v>
      </c>
    </row>
    <row r="1123" spans="1:13" x14ac:dyDescent="0.3">
      <c r="A1123" s="23">
        <v>45295</v>
      </c>
      <c r="B1123" t="s">
        <v>12</v>
      </c>
      <c r="C1123" t="s">
        <v>132</v>
      </c>
      <c r="D1123" t="s">
        <v>17</v>
      </c>
      <c r="E1123" t="s">
        <v>46</v>
      </c>
      <c r="F1123">
        <v>201100000</v>
      </c>
      <c r="G1123" t="s">
        <v>28</v>
      </c>
      <c r="H1123" t="s">
        <v>81</v>
      </c>
      <c r="I1123" t="s">
        <v>9</v>
      </c>
      <c r="L1123" t="s">
        <v>161</v>
      </c>
      <c r="M1123">
        <v>-201100000</v>
      </c>
    </row>
    <row r="1124" spans="1:13" x14ac:dyDescent="0.3">
      <c r="A1124" s="23">
        <v>45195</v>
      </c>
      <c r="B1124" t="s">
        <v>12</v>
      </c>
      <c r="C1124" t="s">
        <v>132</v>
      </c>
      <c r="D1124" t="s">
        <v>16</v>
      </c>
      <c r="E1124" t="s">
        <v>46</v>
      </c>
      <c r="F1124">
        <v>67000000</v>
      </c>
      <c r="G1124" t="s">
        <v>28</v>
      </c>
      <c r="H1124" t="s">
        <v>81</v>
      </c>
      <c r="I1124" t="s">
        <v>9</v>
      </c>
      <c r="L1124" t="s">
        <v>161</v>
      </c>
      <c r="M1124">
        <v>67000000</v>
      </c>
    </row>
    <row r="1125" spans="1:13" x14ac:dyDescent="0.3">
      <c r="A1125" s="23">
        <v>45197</v>
      </c>
      <c r="B1125" t="s">
        <v>12</v>
      </c>
      <c r="C1125" t="s">
        <v>132</v>
      </c>
      <c r="D1125" t="s">
        <v>17</v>
      </c>
      <c r="E1125" t="s">
        <v>46</v>
      </c>
      <c r="F1125">
        <v>60000000</v>
      </c>
      <c r="G1125" t="s">
        <v>28</v>
      </c>
      <c r="H1125" t="s">
        <v>81</v>
      </c>
      <c r="I1125" t="s">
        <v>9</v>
      </c>
      <c r="L1125" t="s">
        <v>161</v>
      </c>
      <c r="M1125">
        <v>-60000000</v>
      </c>
    </row>
    <row r="1126" spans="1:13" x14ac:dyDescent="0.3">
      <c r="A1126" s="23">
        <v>45289</v>
      </c>
      <c r="B1126" t="s">
        <v>12</v>
      </c>
      <c r="C1126" t="s">
        <v>132</v>
      </c>
      <c r="D1126" t="s">
        <v>16</v>
      </c>
      <c r="E1126" t="s">
        <v>46</v>
      </c>
      <c r="F1126">
        <v>399800000</v>
      </c>
      <c r="G1126" t="s">
        <v>28</v>
      </c>
      <c r="H1126" t="s">
        <v>81</v>
      </c>
      <c r="I1126" t="s">
        <v>9</v>
      </c>
      <c r="L1126" t="s">
        <v>161</v>
      </c>
      <c r="M1126">
        <v>399800000</v>
      </c>
    </row>
    <row r="1127" spans="1:13" x14ac:dyDescent="0.3">
      <c r="A1127" s="23">
        <v>45198</v>
      </c>
      <c r="B1127" t="s">
        <v>12</v>
      </c>
      <c r="C1127" t="s">
        <v>132</v>
      </c>
      <c r="D1127" t="s">
        <v>17</v>
      </c>
      <c r="E1127" t="s">
        <v>46</v>
      </c>
      <c r="F1127">
        <v>6000000</v>
      </c>
      <c r="G1127" t="s">
        <v>28</v>
      </c>
      <c r="H1127" t="s">
        <v>81</v>
      </c>
      <c r="I1127" t="s">
        <v>9</v>
      </c>
      <c r="L1127" t="s">
        <v>161</v>
      </c>
      <c r="M1127">
        <v>-6000000</v>
      </c>
    </row>
    <row r="1128" spans="1:13" x14ac:dyDescent="0.3">
      <c r="A1128" s="23">
        <v>45287</v>
      </c>
      <c r="B1128" t="s">
        <v>12</v>
      </c>
      <c r="C1128" t="s">
        <v>132</v>
      </c>
      <c r="D1128" t="s">
        <v>17</v>
      </c>
      <c r="E1128" t="s">
        <v>46</v>
      </c>
      <c r="F1128">
        <v>1227565582.29</v>
      </c>
      <c r="G1128" t="s">
        <v>28</v>
      </c>
      <c r="H1128" t="s">
        <v>81</v>
      </c>
      <c r="I1128" t="s">
        <v>9</v>
      </c>
      <c r="L1128" t="s">
        <v>161</v>
      </c>
      <c r="M1128">
        <v>-1227565582.29</v>
      </c>
    </row>
    <row r="1129" spans="1:13" x14ac:dyDescent="0.3">
      <c r="A1129" s="23">
        <v>45282</v>
      </c>
      <c r="B1129" t="s">
        <v>12</v>
      </c>
      <c r="C1129" t="s">
        <v>132</v>
      </c>
      <c r="D1129" t="s">
        <v>16</v>
      </c>
      <c r="E1129" t="s">
        <v>46</v>
      </c>
      <c r="F1129">
        <v>18565582.289999999</v>
      </c>
      <c r="G1129" t="s">
        <v>28</v>
      </c>
      <c r="H1129" t="s">
        <v>81</v>
      </c>
      <c r="I1129" t="s">
        <v>9</v>
      </c>
      <c r="L1129" t="s">
        <v>161</v>
      </c>
      <c r="M1129">
        <v>18565582.289999999</v>
      </c>
    </row>
    <row r="1130" spans="1:13" x14ac:dyDescent="0.3">
      <c r="A1130" s="23">
        <v>45279</v>
      </c>
      <c r="B1130" t="s">
        <v>12</v>
      </c>
      <c r="C1130" t="s">
        <v>132</v>
      </c>
      <c r="D1130" t="s">
        <v>16</v>
      </c>
      <c r="E1130" t="s">
        <v>46</v>
      </c>
      <c r="F1130">
        <v>9000000</v>
      </c>
      <c r="G1130" t="s">
        <v>28</v>
      </c>
      <c r="H1130" t="s">
        <v>81</v>
      </c>
      <c r="I1130" t="s">
        <v>9</v>
      </c>
      <c r="L1130" t="s">
        <v>161</v>
      </c>
      <c r="M1130">
        <v>9000000</v>
      </c>
    </row>
    <row r="1131" spans="1:13" x14ac:dyDescent="0.3">
      <c r="A1131" s="23">
        <v>45275</v>
      </c>
      <c r="B1131" t="s">
        <v>12</v>
      </c>
      <c r="C1131" t="s">
        <v>132</v>
      </c>
      <c r="D1131" t="s">
        <v>16</v>
      </c>
      <c r="E1131" t="s">
        <v>46</v>
      </c>
      <c r="F1131">
        <v>1000000000</v>
      </c>
      <c r="G1131" t="s">
        <v>28</v>
      </c>
      <c r="H1131" t="s">
        <v>81</v>
      </c>
      <c r="I1131" t="s">
        <v>9</v>
      </c>
      <c r="L1131" t="s">
        <v>161</v>
      </c>
      <c r="M1131">
        <v>1000000000</v>
      </c>
    </row>
    <row r="1132" spans="1:13" x14ac:dyDescent="0.3">
      <c r="A1132" s="23">
        <v>45274</v>
      </c>
      <c r="B1132" t="s">
        <v>12</v>
      </c>
      <c r="C1132" t="s">
        <v>132</v>
      </c>
      <c r="D1132" t="s">
        <v>16</v>
      </c>
      <c r="E1132" t="s">
        <v>46</v>
      </c>
      <c r="F1132">
        <v>200000000</v>
      </c>
      <c r="G1132" t="s">
        <v>28</v>
      </c>
      <c r="H1132" t="s">
        <v>81</v>
      </c>
      <c r="I1132" t="s">
        <v>9</v>
      </c>
      <c r="L1132" t="s">
        <v>161</v>
      </c>
      <c r="M1132">
        <v>200000000</v>
      </c>
    </row>
    <row r="1133" spans="1:13" x14ac:dyDescent="0.3">
      <c r="A1133" s="23">
        <v>45205</v>
      </c>
      <c r="B1133" t="s">
        <v>12</v>
      </c>
      <c r="C1133" t="s">
        <v>132</v>
      </c>
      <c r="D1133" t="s">
        <v>17</v>
      </c>
      <c r="E1133" t="s">
        <v>46</v>
      </c>
      <c r="F1133">
        <v>1000000</v>
      </c>
      <c r="G1133" t="s">
        <v>28</v>
      </c>
      <c r="H1133" t="s">
        <v>81</v>
      </c>
      <c r="I1133" t="s">
        <v>9</v>
      </c>
      <c r="L1133" t="s">
        <v>161</v>
      </c>
      <c r="M1133">
        <v>-1000000</v>
      </c>
    </row>
    <row r="1134" spans="1:13" x14ac:dyDescent="0.3">
      <c r="A1134" s="23">
        <v>45267</v>
      </c>
      <c r="B1134" t="s">
        <v>12</v>
      </c>
      <c r="C1134" t="s">
        <v>132</v>
      </c>
      <c r="D1134" t="s">
        <v>17</v>
      </c>
      <c r="E1134" t="s">
        <v>46</v>
      </c>
      <c r="F1134">
        <v>103900000</v>
      </c>
      <c r="G1134" t="s">
        <v>28</v>
      </c>
      <c r="H1134" t="s">
        <v>81</v>
      </c>
      <c r="I1134" t="s">
        <v>9</v>
      </c>
      <c r="L1134" t="s">
        <v>161</v>
      </c>
      <c r="M1134">
        <v>-103900000</v>
      </c>
    </row>
    <row r="1135" spans="1:13" x14ac:dyDescent="0.3">
      <c r="A1135" s="23">
        <v>45266</v>
      </c>
      <c r="B1135" t="s">
        <v>12</v>
      </c>
      <c r="C1135" t="s">
        <v>132</v>
      </c>
      <c r="D1135" t="s">
        <v>16</v>
      </c>
      <c r="E1135" t="s">
        <v>46</v>
      </c>
      <c r="F1135">
        <v>103900000</v>
      </c>
      <c r="G1135" t="s">
        <v>28</v>
      </c>
      <c r="H1135" t="s">
        <v>81</v>
      </c>
      <c r="I1135" t="s">
        <v>9</v>
      </c>
      <c r="L1135" t="s">
        <v>161</v>
      </c>
      <c r="M1135">
        <v>103900000</v>
      </c>
    </row>
    <row r="1136" spans="1:13" x14ac:dyDescent="0.3">
      <c r="A1136" s="23">
        <v>45265</v>
      </c>
      <c r="B1136" t="s">
        <v>12</v>
      </c>
      <c r="C1136" t="s">
        <v>132</v>
      </c>
      <c r="D1136" t="s">
        <v>17</v>
      </c>
      <c r="E1136" t="s">
        <v>46</v>
      </c>
      <c r="F1136">
        <v>465600000</v>
      </c>
      <c r="G1136" t="s">
        <v>28</v>
      </c>
      <c r="H1136" t="s">
        <v>81</v>
      </c>
      <c r="I1136" t="s">
        <v>9</v>
      </c>
      <c r="L1136" t="s">
        <v>161</v>
      </c>
      <c r="M1136">
        <v>-465600000</v>
      </c>
    </row>
    <row r="1137" spans="1:13" x14ac:dyDescent="0.3">
      <c r="A1137" s="23">
        <v>45264</v>
      </c>
      <c r="B1137" t="s">
        <v>12</v>
      </c>
      <c r="C1137" t="s">
        <v>132</v>
      </c>
      <c r="D1137" t="s">
        <v>16</v>
      </c>
      <c r="E1137" t="s">
        <v>46</v>
      </c>
      <c r="F1137">
        <v>465600000</v>
      </c>
      <c r="G1137" t="s">
        <v>28</v>
      </c>
      <c r="H1137" t="s">
        <v>81</v>
      </c>
      <c r="I1137" t="s">
        <v>9</v>
      </c>
      <c r="L1137" t="s">
        <v>161</v>
      </c>
      <c r="M1137">
        <v>465600000</v>
      </c>
    </row>
    <row r="1138" spans="1:13" x14ac:dyDescent="0.3">
      <c r="A1138" s="23">
        <v>45254</v>
      </c>
      <c r="B1138" t="s">
        <v>12</v>
      </c>
      <c r="C1138" t="s">
        <v>132</v>
      </c>
      <c r="D1138" t="s">
        <v>17</v>
      </c>
      <c r="E1138" t="s">
        <v>46</v>
      </c>
      <c r="F1138">
        <v>770000000</v>
      </c>
      <c r="G1138" t="s">
        <v>28</v>
      </c>
      <c r="H1138" t="s">
        <v>81</v>
      </c>
      <c r="I1138" t="s">
        <v>9</v>
      </c>
      <c r="L1138" t="s">
        <v>161</v>
      </c>
      <c r="M1138">
        <v>-770000000</v>
      </c>
    </row>
    <row r="1139" spans="1:13" x14ac:dyDescent="0.3">
      <c r="A1139" s="23">
        <v>45253</v>
      </c>
      <c r="B1139" t="s">
        <v>12</v>
      </c>
      <c r="C1139" t="s">
        <v>132</v>
      </c>
      <c r="D1139" t="s">
        <v>16</v>
      </c>
      <c r="E1139" t="s">
        <v>46</v>
      </c>
      <c r="F1139">
        <v>770000000</v>
      </c>
      <c r="G1139" t="s">
        <v>28</v>
      </c>
      <c r="H1139" t="s">
        <v>81</v>
      </c>
      <c r="I1139" t="s">
        <v>9</v>
      </c>
      <c r="L1139" t="s">
        <v>161</v>
      </c>
      <c r="M1139">
        <v>770000000</v>
      </c>
    </row>
    <row r="1140" spans="1:13" x14ac:dyDescent="0.3">
      <c r="A1140" s="23">
        <v>45247</v>
      </c>
      <c r="B1140" t="s">
        <v>12</v>
      </c>
      <c r="C1140" t="s">
        <v>132</v>
      </c>
      <c r="D1140" t="s">
        <v>17</v>
      </c>
      <c r="E1140" t="s">
        <v>46</v>
      </c>
      <c r="F1140">
        <v>83134297.510000005</v>
      </c>
      <c r="G1140" t="s">
        <v>28</v>
      </c>
      <c r="H1140" t="s">
        <v>81</v>
      </c>
      <c r="I1140" t="s">
        <v>9</v>
      </c>
      <c r="L1140" t="s">
        <v>161</v>
      </c>
      <c r="M1140">
        <v>-83134297.510000005</v>
      </c>
    </row>
    <row r="1141" spans="1:13" x14ac:dyDescent="0.3">
      <c r="A1141" s="23">
        <v>45246</v>
      </c>
      <c r="B1141" t="s">
        <v>12</v>
      </c>
      <c r="C1141" t="s">
        <v>132</v>
      </c>
      <c r="D1141" t="s">
        <v>16</v>
      </c>
      <c r="E1141" t="s">
        <v>46</v>
      </c>
      <c r="F1141">
        <v>2434297.5099999998</v>
      </c>
      <c r="G1141" t="s">
        <v>28</v>
      </c>
      <c r="H1141" t="s">
        <v>81</v>
      </c>
      <c r="I1141" t="s">
        <v>9</v>
      </c>
      <c r="L1141" t="s">
        <v>161</v>
      </c>
      <c r="M1141">
        <v>2434297.5099999998</v>
      </c>
    </row>
    <row r="1142" spans="1:13" x14ac:dyDescent="0.3">
      <c r="A1142" s="23">
        <v>45244</v>
      </c>
      <c r="B1142" t="s">
        <v>12</v>
      </c>
      <c r="C1142" t="s">
        <v>132</v>
      </c>
      <c r="D1142" t="s">
        <v>17</v>
      </c>
      <c r="E1142" t="s">
        <v>46</v>
      </c>
      <c r="F1142">
        <v>48800000</v>
      </c>
      <c r="G1142" t="s">
        <v>28</v>
      </c>
      <c r="H1142" t="s">
        <v>81</v>
      </c>
      <c r="I1142" t="s">
        <v>9</v>
      </c>
      <c r="L1142" t="s">
        <v>161</v>
      </c>
      <c r="M1142">
        <v>-48800000</v>
      </c>
    </row>
    <row r="1143" spans="1:13" x14ac:dyDescent="0.3">
      <c r="A1143" s="23">
        <v>45243</v>
      </c>
      <c r="B1143" t="s">
        <v>12</v>
      </c>
      <c r="C1143" t="s">
        <v>132</v>
      </c>
      <c r="D1143" t="s">
        <v>17</v>
      </c>
      <c r="E1143" t="s">
        <v>46</v>
      </c>
      <c r="F1143">
        <v>70500000</v>
      </c>
      <c r="G1143" t="s">
        <v>28</v>
      </c>
      <c r="H1143" t="s">
        <v>81</v>
      </c>
      <c r="I1143" t="s">
        <v>9</v>
      </c>
      <c r="L1143" t="s">
        <v>161</v>
      </c>
      <c r="M1143">
        <v>-70500000</v>
      </c>
    </row>
    <row r="1144" spans="1:13" x14ac:dyDescent="0.3">
      <c r="A1144" s="23">
        <v>45240</v>
      </c>
      <c r="B1144" t="s">
        <v>12</v>
      </c>
      <c r="C1144" t="s">
        <v>132</v>
      </c>
      <c r="D1144" t="s">
        <v>16</v>
      </c>
      <c r="E1144" t="s">
        <v>46</v>
      </c>
      <c r="F1144">
        <v>200000000</v>
      </c>
      <c r="G1144" t="s">
        <v>28</v>
      </c>
      <c r="H1144" t="s">
        <v>81</v>
      </c>
      <c r="I1144" t="s">
        <v>9</v>
      </c>
      <c r="L1144" t="s">
        <v>161</v>
      </c>
      <c r="M1144">
        <v>200000000</v>
      </c>
    </row>
    <row r="1145" spans="1:13" x14ac:dyDescent="0.3">
      <c r="A1145" s="23">
        <v>44562</v>
      </c>
      <c r="B1145" t="s">
        <v>12</v>
      </c>
      <c r="C1145" t="s">
        <v>132</v>
      </c>
      <c r="D1145" t="s">
        <v>16</v>
      </c>
      <c r="E1145" t="s">
        <v>37</v>
      </c>
      <c r="F1145">
        <v>14163.19</v>
      </c>
      <c r="G1145" t="s">
        <v>22</v>
      </c>
      <c r="H1145" t="s">
        <v>81</v>
      </c>
      <c r="I1145" t="s">
        <v>9</v>
      </c>
      <c r="L1145" t="s">
        <v>161</v>
      </c>
      <c r="M1145">
        <v>14163.19</v>
      </c>
    </row>
    <row r="1146" spans="1:13" x14ac:dyDescent="0.3">
      <c r="A1146" s="23">
        <v>44582</v>
      </c>
      <c r="B1146" t="s">
        <v>12</v>
      </c>
      <c r="C1146" t="s">
        <v>132</v>
      </c>
      <c r="D1146" t="s">
        <v>16</v>
      </c>
      <c r="E1146" t="s">
        <v>37</v>
      </c>
      <c r="F1146">
        <v>213.67</v>
      </c>
      <c r="G1146" t="s">
        <v>22</v>
      </c>
      <c r="H1146" t="s">
        <v>81</v>
      </c>
      <c r="I1146" t="s">
        <v>9</v>
      </c>
      <c r="L1146" t="s">
        <v>161</v>
      </c>
      <c r="M1146">
        <v>213.67</v>
      </c>
    </row>
    <row r="1147" spans="1:13" x14ac:dyDescent="0.3">
      <c r="A1147" s="23">
        <v>44586</v>
      </c>
      <c r="B1147" t="s">
        <v>12</v>
      </c>
      <c r="C1147" t="s">
        <v>132</v>
      </c>
      <c r="D1147" t="s">
        <v>17</v>
      </c>
      <c r="E1147" t="s">
        <v>37</v>
      </c>
      <c r="F1147">
        <v>14376.86</v>
      </c>
      <c r="G1147" t="s">
        <v>22</v>
      </c>
      <c r="H1147" t="s">
        <v>81</v>
      </c>
      <c r="I1147" t="s">
        <v>9</v>
      </c>
      <c r="L1147" t="s">
        <v>161</v>
      </c>
      <c r="M1147">
        <v>-14376.86</v>
      </c>
    </row>
    <row r="1148" spans="1:13" x14ac:dyDescent="0.3">
      <c r="A1148" s="23">
        <v>44819</v>
      </c>
      <c r="B1148" t="s">
        <v>12</v>
      </c>
      <c r="C1148" t="s">
        <v>132</v>
      </c>
      <c r="D1148" t="s">
        <v>16</v>
      </c>
      <c r="E1148" t="s">
        <v>37</v>
      </c>
      <c r="F1148">
        <v>201000000</v>
      </c>
      <c r="G1148" t="s">
        <v>22</v>
      </c>
      <c r="H1148" t="s">
        <v>81</v>
      </c>
      <c r="I1148" t="s">
        <v>9</v>
      </c>
      <c r="L1148" t="s">
        <v>161</v>
      </c>
      <c r="M1148">
        <v>201000000</v>
      </c>
    </row>
    <row r="1149" spans="1:13" x14ac:dyDescent="0.3">
      <c r="A1149" s="23">
        <v>44824</v>
      </c>
      <c r="B1149" t="s">
        <v>12</v>
      </c>
      <c r="C1149" t="s">
        <v>132</v>
      </c>
      <c r="D1149" t="s">
        <v>17</v>
      </c>
      <c r="E1149" t="s">
        <v>37</v>
      </c>
      <c r="F1149">
        <v>201000000</v>
      </c>
      <c r="G1149" t="s">
        <v>22</v>
      </c>
      <c r="H1149" t="s">
        <v>81</v>
      </c>
      <c r="I1149" t="s">
        <v>9</v>
      </c>
      <c r="L1149" t="s">
        <v>161</v>
      </c>
      <c r="M1149">
        <v>-201000000</v>
      </c>
    </row>
    <row r="1150" spans="1:13" x14ac:dyDescent="0.3">
      <c r="A1150" s="23">
        <v>44848</v>
      </c>
      <c r="B1150" t="s">
        <v>12</v>
      </c>
      <c r="C1150" t="s">
        <v>132</v>
      </c>
      <c r="D1150" t="s">
        <v>16</v>
      </c>
      <c r="E1150" t="s">
        <v>37</v>
      </c>
      <c r="F1150">
        <v>100000000</v>
      </c>
      <c r="G1150" t="s">
        <v>22</v>
      </c>
      <c r="H1150" t="s">
        <v>81</v>
      </c>
      <c r="I1150" t="s">
        <v>9</v>
      </c>
      <c r="L1150" t="s">
        <v>161</v>
      </c>
      <c r="M1150">
        <v>100000000</v>
      </c>
    </row>
    <row r="1151" spans="1:13" x14ac:dyDescent="0.3">
      <c r="A1151" s="23">
        <v>44855</v>
      </c>
      <c r="B1151" t="s">
        <v>12</v>
      </c>
      <c r="C1151" t="s">
        <v>132</v>
      </c>
      <c r="D1151" t="s">
        <v>17</v>
      </c>
      <c r="E1151" t="s">
        <v>37</v>
      </c>
      <c r="F1151">
        <v>100000000</v>
      </c>
      <c r="G1151" t="s">
        <v>22</v>
      </c>
      <c r="H1151" t="s">
        <v>81</v>
      </c>
      <c r="I1151" t="s">
        <v>9</v>
      </c>
      <c r="L1151" t="s">
        <v>161</v>
      </c>
      <c r="M1151">
        <v>-100000000</v>
      </c>
    </row>
    <row r="1152" spans="1:13" x14ac:dyDescent="0.3">
      <c r="A1152" s="23">
        <v>44858</v>
      </c>
      <c r="B1152" t="s">
        <v>12</v>
      </c>
      <c r="C1152" t="s">
        <v>132</v>
      </c>
      <c r="D1152" t="s">
        <v>16</v>
      </c>
      <c r="E1152" t="s">
        <v>37</v>
      </c>
      <c r="F1152">
        <v>80000000</v>
      </c>
      <c r="G1152" t="s">
        <v>22</v>
      </c>
      <c r="H1152" t="s">
        <v>81</v>
      </c>
      <c r="I1152" t="s">
        <v>9</v>
      </c>
      <c r="L1152" t="s">
        <v>161</v>
      </c>
      <c r="M1152">
        <v>80000000</v>
      </c>
    </row>
    <row r="1153" spans="1:13" x14ac:dyDescent="0.3">
      <c r="A1153" s="23">
        <v>44862</v>
      </c>
      <c r="B1153" t="s">
        <v>12</v>
      </c>
      <c r="C1153" t="s">
        <v>132</v>
      </c>
      <c r="D1153" t="s">
        <v>17</v>
      </c>
      <c r="E1153" t="s">
        <v>37</v>
      </c>
      <c r="F1153">
        <v>500000</v>
      </c>
      <c r="G1153" t="s">
        <v>22</v>
      </c>
      <c r="H1153" t="s">
        <v>81</v>
      </c>
      <c r="I1153" t="s">
        <v>9</v>
      </c>
      <c r="L1153" t="s">
        <v>161</v>
      </c>
      <c r="M1153">
        <v>-500000</v>
      </c>
    </row>
    <row r="1154" spans="1:13" x14ac:dyDescent="0.3">
      <c r="A1154" s="23">
        <v>44865</v>
      </c>
      <c r="B1154" t="s">
        <v>12</v>
      </c>
      <c r="C1154" t="s">
        <v>132</v>
      </c>
      <c r="D1154" t="s">
        <v>17</v>
      </c>
      <c r="E1154" t="s">
        <v>37</v>
      </c>
      <c r="F1154">
        <v>79500000</v>
      </c>
      <c r="G1154" t="s">
        <v>22</v>
      </c>
      <c r="H1154" t="s">
        <v>81</v>
      </c>
      <c r="I1154" t="s">
        <v>9</v>
      </c>
      <c r="L1154" t="s">
        <v>161</v>
      </c>
      <c r="M1154">
        <v>-79500000</v>
      </c>
    </row>
    <row r="1155" spans="1:13" x14ac:dyDescent="0.3">
      <c r="A1155" s="23">
        <v>44889</v>
      </c>
      <c r="B1155" t="s">
        <v>12</v>
      </c>
      <c r="C1155" t="s">
        <v>132</v>
      </c>
      <c r="D1155" t="s">
        <v>16</v>
      </c>
      <c r="E1155" t="s">
        <v>37</v>
      </c>
      <c r="F1155">
        <v>67300000</v>
      </c>
      <c r="G1155" t="s">
        <v>22</v>
      </c>
      <c r="H1155" t="s">
        <v>81</v>
      </c>
      <c r="I1155" t="s">
        <v>9</v>
      </c>
      <c r="L1155" t="s">
        <v>161</v>
      </c>
      <c r="M1155">
        <v>67300000</v>
      </c>
    </row>
    <row r="1156" spans="1:13" x14ac:dyDescent="0.3">
      <c r="A1156" s="23">
        <v>44890</v>
      </c>
      <c r="B1156" t="s">
        <v>12</v>
      </c>
      <c r="C1156" t="s">
        <v>132</v>
      </c>
      <c r="D1156" t="s">
        <v>17</v>
      </c>
      <c r="E1156" t="s">
        <v>37</v>
      </c>
      <c r="F1156">
        <v>24700000</v>
      </c>
      <c r="G1156" t="s">
        <v>22</v>
      </c>
      <c r="H1156" t="s">
        <v>81</v>
      </c>
      <c r="I1156" t="s">
        <v>9</v>
      </c>
      <c r="L1156" t="s">
        <v>161</v>
      </c>
      <c r="M1156">
        <v>-24700000</v>
      </c>
    </row>
    <row r="1157" spans="1:13" x14ac:dyDescent="0.3">
      <c r="A1157" s="23">
        <v>44893</v>
      </c>
      <c r="B1157" t="s">
        <v>12</v>
      </c>
      <c r="C1157" t="s">
        <v>132</v>
      </c>
      <c r="D1157" t="s">
        <v>17</v>
      </c>
      <c r="E1157" t="s">
        <v>37</v>
      </c>
      <c r="F1157">
        <v>42600000</v>
      </c>
      <c r="G1157" t="s">
        <v>22</v>
      </c>
      <c r="H1157" t="s">
        <v>81</v>
      </c>
      <c r="I1157" t="s">
        <v>9</v>
      </c>
      <c r="L1157" t="s">
        <v>161</v>
      </c>
      <c r="M1157">
        <v>-42600000</v>
      </c>
    </row>
    <row r="1158" spans="1:13" x14ac:dyDescent="0.3">
      <c r="A1158" s="23">
        <v>44897</v>
      </c>
      <c r="B1158" t="s">
        <v>12</v>
      </c>
      <c r="C1158" t="s">
        <v>132</v>
      </c>
      <c r="D1158" t="s">
        <v>16</v>
      </c>
      <c r="E1158" t="s">
        <v>37</v>
      </c>
      <c r="F1158">
        <v>10500000</v>
      </c>
      <c r="G1158" t="s">
        <v>22</v>
      </c>
      <c r="H1158" t="s">
        <v>81</v>
      </c>
      <c r="I1158" t="s">
        <v>9</v>
      </c>
      <c r="L1158" t="s">
        <v>161</v>
      </c>
      <c r="M1158">
        <v>10500000</v>
      </c>
    </row>
    <row r="1159" spans="1:13" x14ac:dyDescent="0.3">
      <c r="A1159" s="23">
        <v>44900</v>
      </c>
      <c r="B1159" t="s">
        <v>12</v>
      </c>
      <c r="C1159" t="s">
        <v>132</v>
      </c>
      <c r="D1159" t="s">
        <v>16</v>
      </c>
      <c r="E1159" t="s">
        <v>37</v>
      </c>
      <c r="F1159">
        <v>9000000</v>
      </c>
      <c r="G1159" t="s">
        <v>22</v>
      </c>
      <c r="H1159" t="s">
        <v>81</v>
      </c>
      <c r="I1159" t="s">
        <v>9</v>
      </c>
      <c r="L1159" t="s">
        <v>161</v>
      </c>
      <c r="M1159">
        <v>9000000</v>
      </c>
    </row>
    <row r="1160" spans="1:13" x14ac:dyDescent="0.3">
      <c r="A1160" s="23">
        <v>44901</v>
      </c>
      <c r="B1160" t="s">
        <v>12</v>
      </c>
      <c r="C1160" t="s">
        <v>132</v>
      </c>
      <c r="D1160" t="s">
        <v>17</v>
      </c>
      <c r="E1160" t="s">
        <v>37</v>
      </c>
      <c r="F1160">
        <v>2500000</v>
      </c>
      <c r="G1160" t="s">
        <v>22</v>
      </c>
      <c r="H1160" t="s">
        <v>81</v>
      </c>
      <c r="I1160" t="s">
        <v>9</v>
      </c>
      <c r="L1160" t="s">
        <v>161</v>
      </c>
      <c r="M1160">
        <v>-2500000</v>
      </c>
    </row>
    <row r="1161" spans="1:13" x14ac:dyDescent="0.3">
      <c r="A1161" s="23">
        <v>44902</v>
      </c>
      <c r="B1161" t="s">
        <v>12</v>
      </c>
      <c r="C1161" t="s">
        <v>132</v>
      </c>
      <c r="D1161" t="s">
        <v>16</v>
      </c>
      <c r="E1161" t="s">
        <v>37</v>
      </c>
      <c r="F1161">
        <v>39300000</v>
      </c>
      <c r="G1161" t="s">
        <v>22</v>
      </c>
      <c r="H1161" t="s">
        <v>81</v>
      </c>
      <c r="I1161" t="s">
        <v>9</v>
      </c>
      <c r="L1161" t="s">
        <v>161</v>
      </c>
      <c r="M1161">
        <v>39300000</v>
      </c>
    </row>
    <row r="1162" spans="1:13" x14ac:dyDescent="0.3">
      <c r="A1162" s="23">
        <v>44907</v>
      </c>
      <c r="B1162" t="s">
        <v>12</v>
      </c>
      <c r="C1162" t="s">
        <v>132</v>
      </c>
      <c r="D1162" t="s">
        <v>17</v>
      </c>
      <c r="E1162" t="s">
        <v>37</v>
      </c>
      <c r="F1162">
        <v>13800000</v>
      </c>
      <c r="G1162" t="s">
        <v>22</v>
      </c>
      <c r="H1162" t="s">
        <v>81</v>
      </c>
      <c r="I1162" t="s">
        <v>9</v>
      </c>
      <c r="L1162" t="s">
        <v>161</v>
      </c>
      <c r="M1162">
        <v>-13800000</v>
      </c>
    </row>
    <row r="1163" spans="1:13" x14ac:dyDescent="0.3">
      <c r="A1163" s="23">
        <v>44908</v>
      </c>
      <c r="B1163" t="s">
        <v>12</v>
      </c>
      <c r="C1163" t="s">
        <v>132</v>
      </c>
      <c r="D1163" t="s">
        <v>17</v>
      </c>
      <c r="E1163" t="s">
        <v>37</v>
      </c>
      <c r="F1163">
        <v>42500000</v>
      </c>
      <c r="G1163" t="s">
        <v>22</v>
      </c>
      <c r="H1163" t="s">
        <v>81</v>
      </c>
      <c r="I1163" t="s">
        <v>9</v>
      </c>
      <c r="L1163" t="s">
        <v>161</v>
      </c>
      <c r="M1163">
        <v>-42500000</v>
      </c>
    </row>
    <row r="1164" spans="1:13" x14ac:dyDescent="0.3">
      <c r="A1164" s="23">
        <v>44909</v>
      </c>
      <c r="B1164" t="s">
        <v>12</v>
      </c>
      <c r="C1164" t="s">
        <v>132</v>
      </c>
      <c r="D1164" t="s">
        <v>16</v>
      </c>
      <c r="E1164" t="s">
        <v>37</v>
      </c>
      <c r="F1164">
        <v>81500000</v>
      </c>
      <c r="G1164" t="s">
        <v>22</v>
      </c>
      <c r="H1164" t="s">
        <v>81</v>
      </c>
      <c r="I1164" t="s">
        <v>9</v>
      </c>
      <c r="L1164" t="s">
        <v>161</v>
      </c>
      <c r="M1164">
        <v>81500000</v>
      </c>
    </row>
    <row r="1165" spans="1:13" x14ac:dyDescent="0.3">
      <c r="A1165" s="23">
        <v>44911</v>
      </c>
      <c r="B1165" t="s">
        <v>12</v>
      </c>
      <c r="C1165" t="s">
        <v>132</v>
      </c>
      <c r="D1165" t="s">
        <v>17</v>
      </c>
      <c r="E1165" t="s">
        <v>37</v>
      </c>
      <c r="F1165">
        <v>2700000</v>
      </c>
      <c r="G1165" t="s">
        <v>22</v>
      </c>
      <c r="H1165" t="s">
        <v>81</v>
      </c>
      <c r="I1165" t="s">
        <v>9</v>
      </c>
      <c r="L1165" t="s">
        <v>161</v>
      </c>
      <c r="M1165">
        <v>-2700000</v>
      </c>
    </row>
    <row r="1166" spans="1:13" x14ac:dyDescent="0.3">
      <c r="A1166" s="23">
        <v>44914</v>
      </c>
      <c r="B1166" t="s">
        <v>12</v>
      </c>
      <c r="C1166" t="s">
        <v>132</v>
      </c>
      <c r="D1166" t="s">
        <v>17</v>
      </c>
      <c r="E1166" t="s">
        <v>37</v>
      </c>
      <c r="F1166">
        <v>50000000</v>
      </c>
      <c r="G1166" t="s">
        <v>22</v>
      </c>
      <c r="H1166" t="s">
        <v>81</v>
      </c>
      <c r="I1166" t="s">
        <v>9</v>
      </c>
      <c r="L1166" t="s">
        <v>161</v>
      </c>
      <c r="M1166">
        <v>-50000000</v>
      </c>
    </row>
    <row r="1167" spans="1:13" x14ac:dyDescent="0.3">
      <c r="A1167" s="23">
        <v>44915</v>
      </c>
      <c r="B1167" t="s">
        <v>12</v>
      </c>
      <c r="C1167" t="s">
        <v>132</v>
      </c>
      <c r="D1167" t="s">
        <v>16</v>
      </c>
      <c r="E1167" t="s">
        <v>37</v>
      </c>
      <c r="F1167">
        <v>112000000</v>
      </c>
      <c r="G1167" t="s">
        <v>22</v>
      </c>
      <c r="H1167" t="s">
        <v>81</v>
      </c>
      <c r="I1167" t="s">
        <v>9</v>
      </c>
      <c r="L1167" t="s">
        <v>161</v>
      </c>
      <c r="M1167">
        <v>112000000</v>
      </c>
    </row>
    <row r="1168" spans="1:13" x14ac:dyDescent="0.3">
      <c r="A1168" s="23">
        <v>44917</v>
      </c>
      <c r="B1168" t="s">
        <v>12</v>
      </c>
      <c r="C1168" t="s">
        <v>132</v>
      </c>
      <c r="D1168" t="s">
        <v>17</v>
      </c>
      <c r="E1168" t="s">
        <v>37</v>
      </c>
      <c r="F1168">
        <v>27800000</v>
      </c>
      <c r="G1168" t="s">
        <v>22</v>
      </c>
      <c r="H1168" t="s">
        <v>81</v>
      </c>
      <c r="I1168" t="s">
        <v>9</v>
      </c>
      <c r="L1168" t="s">
        <v>161</v>
      </c>
      <c r="M1168">
        <v>-27800000</v>
      </c>
    </row>
    <row r="1169" spans="1:13" x14ac:dyDescent="0.3">
      <c r="A1169" s="23">
        <v>44918</v>
      </c>
      <c r="B1169" t="s">
        <v>12</v>
      </c>
      <c r="C1169" t="s">
        <v>132</v>
      </c>
      <c r="D1169" t="s">
        <v>17</v>
      </c>
      <c r="E1169" t="s">
        <v>37</v>
      </c>
      <c r="F1169">
        <v>46200000</v>
      </c>
      <c r="G1169" t="s">
        <v>22</v>
      </c>
      <c r="H1169" t="s">
        <v>81</v>
      </c>
      <c r="I1169" t="s">
        <v>9</v>
      </c>
      <c r="L1169" t="s">
        <v>161</v>
      </c>
      <c r="M1169">
        <v>-46200000</v>
      </c>
    </row>
    <row r="1170" spans="1:13" x14ac:dyDescent="0.3">
      <c r="A1170" s="23">
        <v>44921</v>
      </c>
      <c r="B1170" t="s">
        <v>12</v>
      </c>
      <c r="C1170" t="s">
        <v>132</v>
      </c>
      <c r="D1170" t="s">
        <v>16</v>
      </c>
      <c r="E1170" t="s">
        <v>37</v>
      </c>
      <c r="F1170">
        <v>1773415.82</v>
      </c>
      <c r="G1170" t="s">
        <v>22</v>
      </c>
      <c r="H1170" t="s">
        <v>81</v>
      </c>
      <c r="I1170" t="s">
        <v>9</v>
      </c>
      <c r="J1170" t="s">
        <v>155</v>
      </c>
      <c r="L1170" t="s">
        <v>161</v>
      </c>
      <c r="M1170">
        <v>1773415.82</v>
      </c>
    </row>
    <row r="1171" spans="1:13" x14ac:dyDescent="0.3">
      <c r="A1171" s="23">
        <v>44922</v>
      </c>
      <c r="B1171" t="s">
        <v>12</v>
      </c>
      <c r="C1171" t="s">
        <v>132</v>
      </c>
      <c r="D1171" t="s">
        <v>17</v>
      </c>
      <c r="E1171" t="s">
        <v>37</v>
      </c>
      <c r="F1171">
        <v>50000000</v>
      </c>
      <c r="G1171" t="s">
        <v>22</v>
      </c>
      <c r="H1171" t="s">
        <v>81</v>
      </c>
      <c r="I1171" t="s">
        <v>9</v>
      </c>
      <c r="L1171" t="s">
        <v>161</v>
      </c>
      <c r="M1171">
        <v>-50000000</v>
      </c>
    </row>
    <row r="1172" spans="1:13" x14ac:dyDescent="0.3">
      <c r="A1172" s="23">
        <v>44923</v>
      </c>
      <c r="B1172" t="s">
        <v>12</v>
      </c>
      <c r="C1172" t="s">
        <v>132</v>
      </c>
      <c r="D1172" t="s">
        <v>17</v>
      </c>
      <c r="E1172" t="s">
        <v>37</v>
      </c>
      <c r="F1172">
        <v>1500000</v>
      </c>
      <c r="G1172" t="s">
        <v>22</v>
      </c>
      <c r="H1172" t="s">
        <v>81</v>
      </c>
      <c r="I1172" t="s">
        <v>9</v>
      </c>
      <c r="L1172" t="s">
        <v>161</v>
      </c>
      <c r="M1172">
        <v>-1500000</v>
      </c>
    </row>
    <row r="1173" spans="1:13" x14ac:dyDescent="0.3">
      <c r="A1173" s="23">
        <v>44937</v>
      </c>
      <c r="B1173" t="s">
        <v>12</v>
      </c>
      <c r="C1173" t="s">
        <v>132</v>
      </c>
      <c r="D1173" t="s">
        <v>17</v>
      </c>
      <c r="E1173" t="s">
        <v>37</v>
      </c>
      <c r="F1173">
        <v>17073415.82</v>
      </c>
      <c r="G1173" t="s">
        <v>22</v>
      </c>
      <c r="H1173" t="s">
        <v>81</v>
      </c>
      <c r="I1173" t="s">
        <v>9</v>
      </c>
      <c r="L1173" t="s">
        <v>161</v>
      </c>
      <c r="M1173">
        <v>-17073415.82</v>
      </c>
    </row>
    <row r="1174" spans="1:13" x14ac:dyDescent="0.3">
      <c r="A1174" s="23">
        <v>44943</v>
      </c>
      <c r="B1174" t="s">
        <v>12</v>
      </c>
      <c r="C1174" t="s">
        <v>132</v>
      </c>
      <c r="D1174" t="s">
        <v>16</v>
      </c>
      <c r="E1174" t="s">
        <v>37</v>
      </c>
      <c r="F1174">
        <v>75500000</v>
      </c>
      <c r="G1174" t="s">
        <v>22</v>
      </c>
      <c r="H1174" t="s">
        <v>81</v>
      </c>
      <c r="I1174" t="s">
        <v>9</v>
      </c>
      <c r="L1174" t="s">
        <v>161</v>
      </c>
      <c r="M1174">
        <v>75500000</v>
      </c>
    </row>
    <row r="1175" spans="1:13" x14ac:dyDescent="0.3">
      <c r="A1175" s="23">
        <v>44945</v>
      </c>
      <c r="B1175" t="s">
        <v>12</v>
      </c>
      <c r="C1175" t="s">
        <v>132</v>
      </c>
      <c r="D1175" t="s">
        <v>17</v>
      </c>
      <c r="E1175" t="s">
        <v>37</v>
      </c>
      <c r="F1175">
        <v>10000000</v>
      </c>
      <c r="G1175" t="s">
        <v>22</v>
      </c>
      <c r="H1175" t="s">
        <v>81</v>
      </c>
      <c r="I1175" t="s">
        <v>9</v>
      </c>
      <c r="L1175" t="s">
        <v>161</v>
      </c>
      <c r="M1175">
        <v>-10000000</v>
      </c>
    </row>
    <row r="1176" spans="1:13" x14ac:dyDescent="0.3">
      <c r="A1176" s="23">
        <v>44946</v>
      </c>
      <c r="B1176" t="s">
        <v>12</v>
      </c>
      <c r="C1176" t="s">
        <v>132</v>
      </c>
      <c r="D1176" t="s">
        <v>17</v>
      </c>
      <c r="E1176" t="s">
        <v>37</v>
      </c>
      <c r="F1176">
        <v>37500000</v>
      </c>
      <c r="G1176" t="s">
        <v>22</v>
      </c>
      <c r="H1176" t="s">
        <v>81</v>
      </c>
      <c r="I1176" t="s">
        <v>9</v>
      </c>
      <c r="L1176" t="s">
        <v>161</v>
      </c>
      <c r="M1176">
        <v>-37500000</v>
      </c>
    </row>
    <row r="1177" spans="1:13" x14ac:dyDescent="0.3">
      <c r="A1177" s="23">
        <v>44952</v>
      </c>
      <c r="B1177" t="s">
        <v>12</v>
      </c>
      <c r="C1177" t="s">
        <v>132</v>
      </c>
      <c r="D1177" t="s">
        <v>17</v>
      </c>
      <c r="E1177" t="s">
        <v>37</v>
      </c>
      <c r="F1177">
        <v>1033000</v>
      </c>
      <c r="G1177" t="s">
        <v>22</v>
      </c>
      <c r="H1177" t="s">
        <v>81</v>
      </c>
      <c r="I1177" t="s">
        <v>9</v>
      </c>
      <c r="L1177" t="s">
        <v>161</v>
      </c>
      <c r="M1177">
        <v>-1033000</v>
      </c>
    </row>
    <row r="1178" spans="1:13" x14ac:dyDescent="0.3">
      <c r="A1178" s="23">
        <v>44952</v>
      </c>
      <c r="B1178" t="s">
        <v>12</v>
      </c>
      <c r="C1178" t="s">
        <v>132</v>
      </c>
      <c r="D1178" t="s">
        <v>16</v>
      </c>
      <c r="E1178" t="s">
        <v>37</v>
      </c>
      <c r="F1178">
        <v>200000000</v>
      </c>
      <c r="G1178" t="s">
        <v>22</v>
      </c>
      <c r="H1178" t="s">
        <v>81</v>
      </c>
      <c r="I1178" t="s">
        <v>9</v>
      </c>
      <c r="L1178" t="s">
        <v>161</v>
      </c>
      <c r="M1178">
        <v>200000000</v>
      </c>
    </row>
    <row r="1179" spans="1:13" x14ac:dyDescent="0.3">
      <c r="A1179" s="23">
        <v>44956</v>
      </c>
      <c r="B1179" t="s">
        <v>12</v>
      </c>
      <c r="C1179" t="s">
        <v>132</v>
      </c>
      <c r="D1179" t="s">
        <v>17</v>
      </c>
      <c r="E1179" t="s">
        <v>37</v>
      </c>
      <c r="F1179">
        <v>62100000</v>
      </c>
      <c r="G1179" t="s">
        <v>22</v>
      </c>
      <c r="H1179" t="s">
        <v>81</v>
      </c>
      <c r="I1179" t="s">
        <v>9</v>
      </c>
      <c r="L1179" t="s">
        <v>161</v>
      </c>
      <c r="M1179">
        <v>-62100000</v>
      </c>
    </row>
    <row r="1180" spans="1:13" x14ac:dyDescent="0.3">
      <c r="A1180" s="23">
        <v>44960</v>
      </c>
      <c r="B1180" t="s">
        <v>12</v>
      </c>
      <c r="C1180" t="s">
        <v>132</v>
      </c>
      <c r="D1180" t="s">
        <v>17</v>
      </c>
      <c r="E1180" t="s">
        <v>37</v>
      </c>
      <c r="F1180">
        <v>164866999.99999997</v>
      </c>
      <c r="G1180" t="s">
        <v>22</v>
      </c>
      <c r="H1180" t="s">
        <v>81</v>
      </c>
      <c r="I1180" t="s">
        <v>9</v>
      </c>
      <c r="L1180" t="s">
        <v>161</v>
      </c>
      <c r="M1180">
        <v>-164867000</v>
      </c>
    </row>
    <row r="1181" spans="1:13" x14ac:dyDescent="0.3">
      <c r="A1181" s="23">
        <v>45433</v>
      </c>
      <c r="B1181" t="s">
        <v>12</v>
      </c>
      <c r="C1181" t="s">
        <v>132</v>
      </c>
      <c r="D1181" t="s">
        <v>17</v>
      </c>
      <c r="E1181" t="s">
        <v>37</v>
      </c>
      <c r="F1181">
        <v>515000000</v>
      </c>
      <c r="G1181" t="s">
        <v>22</v>
      </c>
      <c r="H1181" t="s">
        <v>81</v>
      </c>
      <c r="I1181" t="s">
        <v>9</v>
      </c>
      <c r="L1181" t="s">
        <v>161</v>
      </c>
      <c r="M1181">
        <v>-515000000</v>
      </c>
    </row>
    <row r="1182" spans="1:13" x14ac:dyDescent="0.3">
      <c r="A1182" s="23">
        <v>45418</v>
      </c>
      <c r="B1182" t="s">
        <v>12</v>
      </c>
      <c r="C1182" t="s">
        <v>132</v>
      </c>
      <c r="D1182" t="s">
        <v>16</v>
      </c>
      <c r="E1182" t="s">
        <v>37</v>
      </c>
      <c r="F1182">
        <v>515000000</v>
      </c>
      <c r="G1182" t="s">
        <v>22</v>
      </c>
      <c r="H1182" t="s">
        <v>81</v>
      </c>
      <c r="I1182" t="s">
        <v>9</v>
      </c>
      <c r="L1182" t="s">
        <v>161</v>
      </c>
      <c r="M1182">
        <v>515000000</v>
      </c>
    </row>
    <row r="1183" spans="1:13" x14ac:dyDescent="0.3">
      <c r="A1183" s="23">
        <v>45867</v>
      </c>
      <c r="B1183" t="s">
        <v>12</v>
      </c>
      <c r="C1183" t="s">
        <v>132</v>
      </c>
      <c r="D1183" t="s">
        <v>16</v>
      </c>
      <c r="E1183" t="s">
        <v>48</v>
      </c>
      <c r="F1183">
        <v>10000000</v>
      </c>
      <c r="G1183" t="s">
        <v>29</v>
      </c>
      <c r="H1183" t="s">
        <v>81</v>
      </c>
      <c r="I1183" t="s">
        <v>9</v>
      </c>
      <c r="L1183" t="s">
        <v>161</v>
      </c>
      <c r="M1183">
        <v>10000000</v>
      </c>
    </row>
    <row r="1184" spans="1:13" x14ac:dyDescent="0.3">
      <c r="A1184" s="23">
        <v>45863</v>
      </c>
      <c r="B1184" t="s">
        <v>12</v>
      </c>
      <c r="C1184" t="s">
        <v>132</v>
      </c>
      <c r="D1184" t="s">
        <v>16</v>
      </c>
      <c r="E1184" t="s">
        <v>48</v>
      </c>
      <c r="F1184">
        <v>8232088</v>
      </c>
      <c r="G1184" t="s">
        <v>29</v>
      </c>
      <c r="H1184" t="s">
        <v>81</v>
      </c>
      <c r="I1184" t="s">
        <v>9</v>
      </c>
      <c r="L1184" t="s">
        <v>161</v>
      </c>
      <c r="M1184">
        <v>8232088</v>
      </c>
    </row>
    <row r="1185" spans="1:13" x14ac:dyDescent="0.3">
      <c r="A1185" s="23">
        <v>45863</v>
      </c>
      <c r="B1185" t="s">
        <v>12</v>
      </c>
      <c r="C1185" t="s">
        <v>132</v>
      </c>
      <c r="D1185" t="s">
        <v>17</v>
      </c>
      <c r="E1185" t="s">
        <v>48</v>
      </c>
      <c r="F1185">
        <v>66100000</v>
      </c>
      <c r="G1185" t="s">
        <v>29</v>
      </c>
      <c r="H1185" t="s">
        <v>81</v>
      </c>
      <c r="I1185" t="s">
        <v>9</v>
      </c>
      <c r="L1185" t="s">
        <v>161</v>
      </c>
      <c r="M1185">
        <v>-66100000</v>
      </c>
    </row>
    <row r="1186" spans="1:13" x14ac:dyDescent="0.3">
      <c r="A1186" s="23">
        <v>45861</v>
      </c>
      <c r="B1186" t="s">
        <v>12</v>
      </c>
      <c r="C1186" t="s">
        <v>132</v>
      </c>
      <c r="D1186" t="s">
        <v>17</v>
      </c>
      <c r="E1186" t="s">
        <v>48</v>
      </c>
      <c r="F1186">
        <v>182000000</v>
      </c>
      <c r="G1186" t="s">
        <v>29</v>
      </c>
      <c r="H1186" t="s">
        <v>81</v>
      </c>
      <c r="I1186" t="s">
        <v>9</v>
      </c>
      <c r="L1186" t="s">
        <v>161</v>
      </c>
      <c r="M1186">
        <v>-182000000</v>
      </c>
    </row>
    <row r="1187" spans="1:13" x14ac:dyDescent="0.3">
      <c r="A1187" s="23">
        <v>45860</v>
      </c>
      <c r="B1187" t="s">
        <v>12</v>
      </c>
      <c r="C1187" t="s">
        <v>132</v>
      </c>
      <c r="D1187" t="s">
        <v>17</v>
      </c>
      <c r="E1187" t="s">
        <v>48</v>
      </c>
      <c r="F1187">
        <v>250100000</v>
      </c>
      <c r="G1187" t="s">
        <v>29</v>
      </c>
      <c r="H1187" t="s">
        <v>81</v>
      </c>
      <c r="I1187" t="s">
        <v>9</v>
      </c>
      <c r="L1187" t="s">
        <v>161</v>
      </c>
      <c r="M1187">
        <v>-250100000</v>
      </c>
    </row>
    <row r="1188" spans="1:13" x14ac:dyDescent="0.3">
      <c r="A1188" s="23">
        <v>45859</v>
      </c>
      <c r="B1188" t="s">
        <v>12</v>
      </c>
      <c r="C1188" t="s">
        <v>132</v>
      </c>
      <c r="D1188" t="s">
        <v>17</v>
      </c>
      <c r="E1188" t="s">
        <v>48</v>
      </c>
      <c r="F1188">
        <v>441200000</v>
      </c>
      <c r="G1188" t="s">
        <v>29</v>
      </c>
      <c r="H1188" t="s">
        <v>81</v>
      </c>
      <c r="I1188" t="s">
        <v>9</v>
      </c>
      <c r="L1188" t="s">
        <v>161</v>
      </c>
      <c r="M1188">
        <v>-441200000</v>
      </c>
    </row>
    <row r="1189" spans="1:13" x14ac:dyDescent="0.3">
      <c r="A1189" s="23">
        <v>45855</v>
      </c>
      <c r="B1189" t="s">
        <v>12</v>
      </c>
      <c r="C1189" t="s">
        <v>132</v>
      </c>
      <c r="D1189" t="s">
        <v>17</v>
      </c>
      <c r="E1189" t="s">
        <v>48</v>
      </c>
      <c r="F1189">
        <v>151000000</v>
      </c>
      <c r="G1189" t="s">
        <v>29</v>
      </c>
      <c r="H1189" t="s">
        <v>81</v>
      </c>
      <c r="I1189" t="s">
        <v>9</v>
      </c>
      <c r="L1189" t="s">
        <v>161</v>
      </c>
      <c r="M1189">
        <v>-151000000</v>
      </c>
    </row>
    <row r="1190" spans="1:13" x14ac:dyDescent="0.3">
      <c r="A1190" s="23">
        <v>45849</v>
      </c>
      <c r="B1190" t="s">
        <v>12</v>
      </c>
      <c r="C1190" t="s">
        <v>132</v>
      </c>
      <c r="D1190" t="s">
        <v>16</v>
      </c>
      <c r="E1190" t="s">
        <v>48</v>
      </c>
      <c r="F1190">
        <v>55749100</v>
      </c>
      <c r="G1190" t="s">
        <v>29</v>
      </c>
      <c r="H1190" t="s">
        <v>81</v>
      </c>
      <c r="I1190" t="s">
        <v>9</v>
      </c>
      <c r="L1190" t="s">
        <v>161</v>
      </c>
      <c r="M1190">
        <v>55749100</v>
      </c>
    </row>
    <row r="1191" spans="1:13" x14ac:dyDescent="0.3">
      <c r="A1191" s="23">
        <v>45848</v>
      </c>
      <c r="B1191" t="s">
        <v>12</v>
      </c>
      <c r="C1191" t="s">
        <v>132</v>
      </c>
      <c r="D1191" t="s">
        <v>17</v>
      </c>
      <c r="E1191" t="s">
        <v>48</v>
      </c>
      <c r="F1191">
        <v>713800000</v>
      </c>
      <c r="G1191" t="s">
        <v>29</v>
      </c>
      <c r="H1191" t="s">
        <v>81</v>
      </c>
      <c r="I1191" t="s">
        <v>9</v>
      </c>
      <c r="L1191" t="s">
        <v>161</v>
      </c>
      <c r="M1191">
        <v>-713800000</v>
      </c>
    </row>
    <row r="1192" spans="1:13" x14ac:dyDescent="0.3">
      <c r="A1192" s="23">
        <v>45845</v>
      </c>
      <c r="B1192" t="s">
        <v>12</v>
      </c>
      <c r="C1192" t="s">
        <v>132</v>
      </c>
      <c r="D1192" t="s">
        <v>17</v>
      </c>
      <c r="E1192" t="s">
        <v>48</v>
      </c>
      <c r="F1192">
        <v>1082100000</v>
      </c>
      <c r="G1192" t="s">
        <v>29</v>
      </c>
      <c r="H1192" t="s">
        <v>81</v>
      </c>
      <c r="I1192" t="s">
        <v>9</v>
      </c>
      <c r="L1192" t="s">
        <v>161</v>
      </c>
      <c r="M1192">
        <v>-1082100000</v>
      </c>
    </row>
    <row r="1193" spans="1:13" x14ac:dyDescent="0.3">
      <c r="A1193" s="23">
        <v>45842</v>
      </c>
      <c r="B1193" t="s">
        <v>12</v>
      </c>
      <c r="C1193" t="s">
        <v>132</v>
      </c>
      <c r="D1193" t="s">
        <v>17</v>
      </c>
      <c r="E1193" t="s">
        <v>48</v>
      </c>
      <c r="F1193">
        <v>519300000</v>
      </c>
      <c r="G1193" t="s">
        <v>29</v>
      </c>
      <c r="H1193" t="s">
        <v>81</v>
      </c>
      <c r="I1193" t="s">
        <v>9</v>
      </c>
      <c r="L1193" t="s">
        <v>161</v>
      </c>
      <c r="M1193">
        <v>-519300000</v>
      </c>
    </row>
    <row r="1194" spans="1:13" x14ac:dyDescent="0.3">
      <c r="A1194" s="23">
        <v>45838</v>
      </c>
      <c r="B1194" t="s">
        <v>12</v>
      </c>
      <c r="C1194" t="s">
        <v>132</v>
      </c>
      <c r="D1194" t="s">
        <v>17</v>
      </c>
      <c r="E1194" t="s">
        <v>48</v>
      </c>
      <c r="F1194">
        <v>669400000</v>
      </c>
      <c r="G1194" t="s">
        <v>29</v>
      </c>
      <c r="H1194" t="s">
        <v>81</v>
      </c>
      <c r="I1194" t="s">
        <v>9</v>
      </c>
      <c r="L1194" t="s">
        <v>161</v>
      </c>
      <c r="M1194">
        <v>-669400000</v>
      </c>
    </row>
    <row r="1195" spans="1:13" x14ac:dyDescent="0.3">
      <c r="A1195" s="23">
        <v>45835</v>
      </c>
      <c r="B1195" t="s">
        <v>12</v>
      </c>
      <c r="C1195" t="s">
        <v>132</v>
      </c>
      <c r="D1195" t="s">
        <v>17</v>
      </c>
      <c r="E1195" t="s">
        <v>48</v>
      </c>
      <c r="F1195">
        <v>1900000</v>
      </c>
      <c r="G1195" t="s">
        <v>29</v>
      </c>
      <c r="H1195" t="s">
        <v>81</v>
      </c>
      <c r="I1195" t="s">
        <v>9</v>
      </c>
      <c r="L1195" t="s">
        <v>161</v>
      </c>
      <c r="M1195">
        <v>-1900000</v>
      </c>
    </row>
    <row r="1196" spans="1:13" x14ac:dyDescent="0.3">
      <c r="A1196" s="23">
        <v>45832</v>
      </c>
      <c r="B1196" t="s">
        <v>12</v>
      </c>
      <c r="C1196" t="s">
        <v>132</v>
      </c>
      <c r="D1196" t="s">
        <v>17</v>
      </c>
      <c r="E1196" t="s">
        <v>48</v>
      </c>
      <c r="F1196">
        <v>244700000</v>
      </c>
      <c r="G1196" t="s">
        <v>29</v>
      </c>
      <c r="H1196" t="s">
        <v>81</v>
      </c>
      <c r="I1196" t="s">
        <v>9</v>
      </c>
      <c r="L1196" t="s">
        <v>161</v>
      </c>
      <c r="M1196">
        <v>-244700000</v>
      </c>
    </row>
    <row r="1197" spans="1:13" x14ac:dyDescent="0.3">
      <c r="A1197" s="23">
        <v>45831</v>
      </c>
      <c r="B1197" t="s">
        <v>12</v>
      </c>
      <c r="C1197" t="s">
        <v>132</v>
      </c>
      <c r="D1197" t="s">
        <v>17</v>
      </c>
      <c r="E1197" t="s">
        <v>48</v>
      </c>
      <c r="F1197">
        <v>710900000</v>
      </c>
      <c r="G1197" t="s">
        <v>29</v>
      </c>
      <c r="H1197" t="s">
        <v>81</v>
      </c>
      <c r="I1197" t="s">
        <v>9</v>
      </c>
      <c r="L1197" t="s">
        <v>161</v>
      </c>
      <c r="M1197">
        <v>-710900000</v>
      </c>
    </row>
    <row r="1198" spans="1:13" x14ac:dyDescent="0.3">
      <c r="A1198" s="23">
        <v>45827</v>
      </c>
      <c r="B1198" t="s">
        <v>12</v>
      </c>
      <c r="C1198" t="s">
        <v>132</v>
      </c>
      <c r="D1198" t="s">
        <v>16</v>
      </c>
      <c r="E1198" t="s">
        <v>48</v>
      </c>
      <c r="F1198">
        <v>86091700</v>
      </c>
      <c r="G1198" t="s">
        <v>29</v>
      </c>
      <c r="H1198" t="s">
        <v>81</v>
      </c>
      <c r="I1198" t="s">
        <v>9</v>
      </c>
      <c r="L1198" t="s">
        <v>161</v>
      </c>
      <c r="M1198">
        <v>86091700</v>
      </c>
    </row>
    <row r="1199" spans="1:13" x14ac:dyDescent="0.3">
      <c r="A1199" s="23">
        <v>45813</v>
      </c>
      <c r="B1199" t="s">
        <v>12</v>
      </c>
      <c r="C1199" t="s">
        <v>132</v>
      </c>
      <c r="D1199" t="s">
        <v>17</v>
      </c>
      <c r="E1199" t="s">
        <v>48</v>
      </c>
      <c r="F1199">
        <v>1458600000</v>
      </c>
      <c r="G1199" t="s">
        <v>29</v>
      </c>
      <c r="H1199" t="s">
        <v>81</v>
      </c>
      <c r="I1199" t="s">
        <v>9</v>
      </c>
      <c r="L1199" t="s">
        <v>161</v>
      </c>
      <c r="M1199">
        <v>-1458600000</v>
      </c>
    </row>
    <row r="1200" spans="1:13" x14ac:dyDescent="0.3">
      <c r="A1200" s="23">
        <v>44649</v>
      </c>
      <c r="B1200" t="s">
        <v>12</v>
      </c>
      <c r="C1200" t="s">
        <v>132</v>
      </c>
      <c r="D1200" t="s">
        <v>16</v>
      </c>
      <c r="E1200" t="s">
        <v>48</v>
      </c>
      <c r="F1200">
        <v>100600000</v>
      </c>
      <c r="G1200" t="s">
        <v>29</v>
      </c>
      <c r="H1200" t="s">
        <v>81</v>
      </c>
      <c r="I1200" t="s">
        <v>9</v>
      </c>
      <c r="L1200" t="s">
        <v>161</v>
      </c>
      <c r="M1200">
        <v>100600000</v>
      </c>
    </row>
    <row r="1201" spans="1:13" x14ac:dyDescent="0.3">
      <c r="A1201" s="23">
        <v>44650</v>
      </c>
      <c r="B1201" t="s">
        <v>12</v>
      </c>
      <c r="C1201" t="s">
        <v>132</v>
      </c>
      <c r="D1201" t="s">
        <v>16</v>
      </c>
      <c r="E1201" t="s">
        <v>48</v>
      </c>
      <c r="F1201">
        <v>32200000</v>
      </c>
      <c r="G1201" t="s">
        <v>29</v>
      </c>
      <c r="H1201" t="s">
        <v>81</v>
      </c>
      <c r="I1201" t="s">
        <v>9</v>
      </c>
      <c r="L1201" t="s">
        <v>161</v>
      </c>
      <c r="M1201">
        <v>32200000</v>
      </c>
    </row>
    <row r="1202" spans="1:13" x14ac:dyDescent="0.3">
      <c r="A1202" s="23">
        <v>45807</v>
      </c>
      <c r="B1202" t="s">
        <v>12</v>
      </c>
      <c r="C1202" t="s">
        <v>132</v>
      </c>
      <c r="D1202" t="s">
        <v>16</v>
      </c>
      <c r="E1202" t="s">
        <v>48</v>
      </c>
      <c r="F1202">
        <v>2000000000</v>
      </c>
      <c r="G1202" t="s">
        <v>29</v>
      </c>
      <c r="H1202" t="s">
        <v>81</v>
      </c>
      <c r="I1202" t="s">
        <v>9</v>
      </c>
      <c r="L1202" t="s">
        <v>161</v>
      </c>
      <c r="M1202">
        <v>2000000000</v>
      </c>
    </row>
    <row r="1203" spans="1:13" x14ac:dyDescent="0.3">
      <c r="A1203" s="23">
        <v>44652</v>
      </c>
      <c r="B1203" t="s">
        <v>12</v>
      </c>
      <c r="C1203" t="s">
        <v>132</v>
      </c>
      <c r="D1203" t="s">
        <v>17</v>
      </c>
      <c r="E1203" t="s">
        <v>48</v>
      </c>
      <c r="F1203">
        <v>4800000</v>
      </c>
      <c r="G1203" t="s">
        <v>29</v>
      </c>
      <c r="H1203" t="s">
        <v>81</v>
      </c>
      <c r="I1203" t="s">
        <v>9</v>
      </c>
      <c r="L1203" t="s">
        <v>161</v>
      </c>
      <c r="M1203">
        <v>-4800000</v>
      </c>
    </row>
    <row r="1204" spans="1:13" x14ac:dyDescent="0.3">
      <c r="A1204" s="23">
        <v>45806</v>
      </c>
      <c r="B1204" t="s">
        <v>12</v>
      </c>
      <c r="C1204" t="s">
        <v>132</v>
      </c>
      <c r="D1204" t="s">
        <v>17</v>
      </c>
      <c r="E1204" t="s">
        <v>48</v>
      </c>
      <c r="F1204">
        <v>77600000</v>
      </c>
      <c r="G1204" t="s">
        <v>29</v>
      </c>
      <c r="H1204" t="s">
        <v>81</v>
      </c>
      <c r="I1204" t="s">
        <v>9</v>
      </c>
      <c r="L1204" t="s">
        <v>161</v>
      </c>
      <c r="M1204">
        <v>-77600000</v>
      </c>
    </row>
    <row r="1205" spans="1:13" x14ac:dyDescent="0.3">
      <c r="A1205" s="23">
        <v>44655</v>
      </c>
      <c r="B1205" t="s">
        <v>12</v>
      </c>
      <c r="C1205" t="s">
        <v>132</v>
      </c>
      <c r="D1205" t="s">
        <v>17</v>
      </c>
      <c r="E1205" t="s">
        <v>48</v>
      </c>
      <c r="F1205">
        <v>110000000</v>
      </c>
      <c r="G1205" t="s">
        <v>29</v>
      </c>
      <c r="H1205" t="s">
        <v>81</v>
      </c>
      <c r="I1205" t="s">
        <v>9</v>
      </c>
      <c r="L1205" t="s">
        <v>161</v>
      </c>
      <c r="M1205">
        <v>-110000000</v>
      </c>
    </row>
    <row r="1206" spans="1:13" x14ac:dyDescent="0.3">
      <c r="A1206" s="23">
        <v>44658</v>
      </c>
      <c r="B1206" t="s">
        <v>12</v>
      </c>
      <c r="C1206" t="s">
        <v>132</v>
      </c>
      <c r="D1206" t="s">
        <v>17</v>
      </c>
      <c r="E1206" t="s">
        <v>48</v>
      </c>
      <c r="F1206">
        <v>2500000</v>
      </c>
      <c r="G1206" t="s">
        <v>29</v>
      </c>
      <c r="H1206" t="s">
        <v>81</v>
      </c>
      <c r="I1206" t="s">
        <v>9</v>
      </c>
      <c r="L1206" t="s">
        <v>161</v>
      </c>
      <c r="M1206">
        <v>-2500000</v>
      </c>
    </row>
    <row r="1207" spans="1:13" x14ac:dyDescent="0.3">
      <c r="A1207" s="23">
        <v>44659</v>
      </c>
      <c r="B1207" t="s">
        <v>12</v>
      </c>
      <c r="C1207" t="s">
        <v>132</v>
      </c>
      <c r="D1207" t="s">
        <v>17</v>
      </c>
      <c r="E1207" t="s">
        <v>48</v>
      </c>
      <c r="F1207">
        <v>1000000</v>
      </c>
      <c r="G1207" t="s">
        <v>29</v>
      </c>
      <c r="H1207" t="s">
        <v>81</v>
      </c>
      <c r="I1207" t="s">
        <v>9</v>
      </c>
      <c r="L1207" t="s">
        <v>161</v>
      </c>
      <c r="M1207">
        <v>-1000000</v>
      </c>
    </row>
    <row r="1208" spans="1:13" x14ac:dyDescent="0.3">
      <c r="A1208" s="23">
        <v>45804</v>
      </c>
      <c r="B1208" t="s">
        <v>12</v>
      </c>
      <c r="C1208" t="s">
        <v>132</v>
      </c>
      <c r="D1208" t="s">
        <v>16</v>
      </c>
      <c r="E1208" t="s">
        <v>48</v>
      </c>
      <c r="F1208">
        <v>34134000</v>
      </c>
      <c r="G1208" t="s">
        <v>29</v>
      </c>
      <c r="H1208" t="s">
        <v>81</v>
      </c>
      <c r="I1208" t="s">
        <v>9</v>
      </c>
      <c r="L1208" t="s">
        <v>161</v>
      </c>
      <c r="M1208">
        <v>34134000</v>
      </c>
    </row>
    <row r="1209" spans="1:13" x14ac:dyDescent="0.3">
      <c r="A1209" s="23">
        <v>45798</v>
      </c>
      <c r="B1209" t="s">
        <v>12</v>
      </c>
      <c r="C1209" t="s">
        <v>132</v>
      </c>
      <c r="D1209" t="s">
        <v>17</v>
      </c>
      <c r="E1209" t="s">
        <v>48</v>
      </c>
      <c r="F1209">
        <v>293200000</v>
      </c>
      <c r="G1209" t="s">
        <v>29</v>
      </c>
      <c r="H1209" t="s">
        <v>81</v>
      </c>
      <c r="I1209" t="s">
        <v>9</v>
      </c>
      <c r="L1209" t="s">
        <v>161</v>
      </c>
      <c r="M1209">
        <v>-293200000</v>
      </c>
    </row>
    <row r="1210" spans="1:13" x14ac:dyDescent="0.3">
      <c r="A1210" s="23">
        <v>44672</v>
      </c>
      <c r="B1210" t="s">
        <v>12</v>
      </c>
      <c r="C1210" t="s">
        <v>132</v>
      </c>
      <c r="D1210" t="s">
        <v>17</v>
      </c>
      <c r="E1210" t="s">
        <v>48</v>
      </c>
      <c r="F1210">
        <v>6700000</v>
      </c>
      <c r="G1210" t="s">
        <v>29</v>
      </c>
      <c r="H1210" t="s">
        <v>81</v>
      </c>
      <c r="I1210" t="s">
        <v>9</v>
      </c>
      <c r="L1210" t="s">
        <v>161</v>
      </c>
      <c r="M1210">
        <v>-6700000</v>
      </c>
    </row>
    <row r="1211" spans="1:13" x14ac:dyDescent="0.3">
      <c r="A1211" s="23">
        <v>45793</v>
      </c>
      <c r="B1211" t="s">
        <v>12</v>
      </c>
      <c r="C1211" t="s">
        <v>132</v>
      </c>
      <c r="D1211" t="s">
        <v>16</v>
      </c>
      <c r="E1211" t="s">
        <v>48</v>
      </c>
      <c r="F1211">
        <v>55205860</v>
      </c>
      <c r="G1211" t="s">
        <v>29</v>
      </c>
      <c r="H1211" t="s">
        <v>81</v>
      </c>
      <c r="I1211" t="s">
        <v>9</v>
      </c>
      <c r="L1211" t="s">
        <v>161</v>
      </c>
      <c r="M1211">
        <v>55205860</v>
      </c>
    </row>
    <row r="1212" spans="1:13" x14ac:dyDescent="0.3">
      <c r="A1212" s="23">
        <v>45792</v>
      </c>
      <c r="B1212" t="s">
        <v>12</v>
      </c>
      <c r="C1212" t="s">
        <v>132</v>
      </c>
      <c r="D1212" t="s">
        <v>16</v>
      </c>
      <c r="E1212" t="s">
        <v>48</v>
      </c>
      <c r="F1212">
        <v>209800000</v>
      </c>
      <c r="G1212" t="s">
        <v>29</v>
      </c>
      <c r="H1212" t="s">
        <v>81</v>
      </c>
      <c r="I1212" t="s">
        <v>9</v>
      </c>
      <c r="L1212" t="s">
        <v>161</v>
      </c>
      <c r="M1212">
        <v>209800000</v>
      </c>
    </row>
    <row r="1213" spans="1:13" x14ac:dyDescent="0.3">
      <c r="A1213" s="23">
        <v>44681</v>
      </c>
      <c r="B1213" t="s">
        <v>12</v>
      </c>
      <c r="C1213" t="s">
        <v>132</v>
      </c>
      <c r="D1213" t="s">
        <v>16</v>
      </c>
      <c r="E1213" t="s">
        <v>48</v>
      </c>
      <c r="F1213">
        <v>982579.07</v>
      </c>
      <c r="G1213" t="s">
        <v>29</v>
      </c>
      <c r="H1213" t="s">
        <v>81</v>
      </c>
      <c r="I1213" t="s">
        <v>9</v>
      </c>
      <c r="L1213" t="s">
        <v>161</v>
      </c>
      <c r="M1213">
        <v>982579.07</v>
      </c>
    </row>
    <row r="1214" spans="1:13" x14ac:dyDescent="0.3">
      <c r="A1214" s="23">
        <v>45790</v>
      </c>
      <c r="B1214" t="s">
        <v>12</v>
      </c>
      <c r="C1214" t="s">
        <v>132</v>
      </c>
      <c r="D1214" t="s">
        <v>16</v>
      </c>
      <c r="E1214" t="s">
        <v>48</v>
      </c>
      <c r="F1214">
        <v>402800000</v>
      </c>
      <c r="G1214" t="s">
        <v>29</v>
      </c>
      <c r="H1214" t="s">
        <v>81</v>
      </c>
      <c r="I1214" t="s">
        <v>9</v>
      </c>
      <c r="L1214" t="s">
        <v>161</v>
      </c>
      <c r="M1214">
        <v>402800000</v>
      </c>
    </row>
    <row r="1215" spans="1:13" x14ac:dyDescent="0.3">
      <c r="A1215" s="23">
        <v>45789</v>
      </c>
      <c r="B1215" t="s">
        <v>12</v>
      </c>
      <c r="C1215" t="s">
        <v>132</v>
      </c>
      <c r="D1215" t="s">
        <v>17</v>
      </c>
      <c r="E1215" t="s">
        <v>48</v>
      </c>
      <c r="F1215">
        <v>89000000</v>
      </c>
      <c r="G1215" t="s">
        <v>29</v>
      </c>
      <c r="H1215" t="s">
        <v>81</v>
      </c>
      <c r="I1215" t="s">
        <v>9</v>
      </c>
      <c r="L1215" t="s">
        <v>161</v>
      </c>
      <c r="M1215">
        <v>-89000000</v>
      </c>
    </row>
    <row r="1216" spans="1:13" x14ac:dyDescent="0.3">
      <c r="A1216" s="23">
        <v>45786</v>
      </c>
      <c r="B1216" t="s">
        <v>12</v>
      </c>
      <c r="C1216" t="s">
        <v>132</v>
      </c>
      <c r="D1216" t="s">
        <v>17</v>
      </c>
      <c r="E1216" t="s">
        <v>48</v>
      </c>
      <c r="F1216">
        <v>650400000</v>
      </c>
      <c r="G1216" t="s">
        <v>29</v>
      </c>
      <c r="H1216" t="s">
        <v>81</v>
      </c>
      <c r="I1216" t="s">
        <v>9</v>
      </c>
      <c r="L1216" t="s">
        <v>161</v>
      </c>
      <c r="M1216">
        <v>-650400000</v>
      </c>
    </row>
    <row r="1217" spans="1:13" x14ac:dyDescent="0.3">
      <c r="A1217" s="23">
        <v>45785</v>
      </c>
      <c r="B1217" t="s">
        <v>12</v>
      </c>
      <c r="C1217" t="s">
        <v>132</v>
      </c>
      <c r="D1217" t="s">
        <v>16</v>
      </c>
      <c r="E1217" t="s">
        <v>48</v>
      </c>
      <c r="F1217">
        <v>2269600000</v>
      </c>
      <c r="G1217" t="s">
        <v>29</v>
      </c>
      <c r="H1217" t="s">
        <v>81</v>
      </c>
      <c r="I1217" t="s">
        <v>9</v>
      </c>
      <c r="L1217" t="s">
        <v>161</v>
      </c>
      <c r="M1217">
        <v>2269600000</v>
      </c>
    </row>
    <row r="1218" spans="1:13" x14ac:dyDescent="0.3">
      <c r="A1218" s="23">
        <v>45784</v>
      </c>
      <c r="B1218" t="s">
        <v>12</v>
      </c>
      <c r="C1218" t="s">
        <v>132</v>
      </c>
      <c r="D1218" t="s">
        <v>16</v>
      </c>
      <c r="E1218" t="s">
        <v>48</v>
      </c>
      <c r="F1218">
        <v>548200000</v>
      </c>
      <c r="G1218" t="s">
        <v>29</v>
      </c>
      <c r="H1218" t="s">
        <v>81</v>
      </c>
      <c r="I1218" t="s">
        <v>9</v>
      </c>
      <c r="L1218" t="s">
        <v>161</v>
      </c>
      <c r="M1218">
        <v>548200000</v>
      </c>
    </row>
    <row r="1219" spans="1:13" x14ac:dyDescent="0.3">
      <c r="A1219" s="23">
        <v>45783</v>
      </c>
      <c r="B1219" t="s">
        <v>12</v>
      </c>
      <c r="C1219" t="s">
        <v>132</v>
      </c>
      <c r="D1219" t="s">
        <v>16</v>
      </c>
      <c r="E1219" t="s">
        <v>48</v>
      </c>
      <c r="F1219">
        <v>719300000</v>
      </c>
      <c r="G1219" t="s">
        <v>29</v>
      </c>
      <c r="H1219" t="s">
        <v>81</v>
      </c>
      <c r="I1219" t="s">
        <v>9</v>
      </c>
      <c r="L1219" t="s">
        <v>161</v>
      </c>
      <c r="M1219">
        <v>719300000</v>
      </c>
    </row>
    <row r="1220" spans="1:13" x14ac:dyDescent="0.3">
      <c r="A1220" s="23">
        <v>45777</v>
      </c>
      <c r="B1220" t="s">
        <v>12</v>
      </c>
      <c r="C1220" t="s">
        <v>132</v>
      </c>
      <c r="D1220" t="s">
        <v>17</v>
      </c>
      <c r="E1220" t="s">
        <v>48</v>
      </c>
      <c r="F1220">
        <v>2982200000</v>
      </c>
      <c r="G1220" t="s">
        <v>29</v>
      </c>
      <c r="H1220" t="s">
        <v>81</v>
      </c>
      <c r="I1220" t="s">
        <v>9</v>
      </c>
      <c r="L1220" t="s">
        <v>161</v>
      </c>
      <c r="M1220">
        <v>-2982200000</v>
      </c>
    </row>
    <row r="1221" spans="1:13" x14ac:dyDescent="0.3">
      <c r="A1221" s="23">
        <v>45776</v>
      </c>
      <c r="B1221" t="s">
        <v>12</v>
      </c>
      <c r="C1221" t="s">
        <v>132</v>
      </c>
      <c r="D1221" t="s">
        <v>17</v>
      </c>
      <c r="E1221" t="s">
        <v>48</v>
      </c>
      <c r="F1221">
        <v>46800000</v>
      </c>
      <c r="G1221" t="s">
        <v>29</v>
      </c>
      <c r="H1221" t="s">
        <v>81</v>
      </c>
      <c r="I1221" t="s">
        <v>9</v>
      </c>
      <c r="L1221" t="s">
        <v>161</v>
      </c>
      <c r="M1221">
        <v>-46800000</v>
      </c>
    </row>
    <row r="1222" spans="1:13" x14ac:dyDescent="0.3">
      <c r="A1222" s="23">
        <v>45775</v>
      </c>
      <c r="B1222" t="s">
        <v>12</v>
      </c>
      <c r="C1222" t="s">
        <v>132</v>
      </c>
      <c r="D1222" t="s">
        <v>17</v>
      </c>
      <c r="E1222" t="s">
        <v>48</v>
      </c>
      <c r="F1222">
        <v>3800000</v>
      </c>
      <c r="G1222" t="s">
        <v>29</v>
      </c>
      <c r="H1222" t="s">
        <v>81</v>
      </c>
      <c r="I1222" t="s">
        <v>9</v>
      </c>
      <c r="L1222" t="s">
        <v>161</v>
      </c>
      <c r="M1222">
        <v>-3800000</v>
      </c>
    </row>
    <row r="1223" spans="1:13" x14ac:dyDescent="0.3">
      <c r="A1223" s="23">
        <v>45771</v>
      </c>
      <c r="B1223" t="s">
        <v>12</v>
      </c>
      <c r="C1223" t="s">
        <v>132</v>
      </c>
      <c r="D1223" t="s">
        <v>17</v>
      </c>
      <c r="E1223" t="s">
        <v>48</v>
      </c>
      <c r="F1223">
        <v>13700000</v>
      </c>
      <c r="G1223" t="s">
        <v>29</v>
      </c>
      <c r="H1223" t="s">
        <v>81</v>
      </c>
      <c r="I1223" t="s">
        <v>9</v>
      </c>
      <c r="L1223" t="s">
        <v>161</v>
      </c>
      <c r="M1223">
        <v>-13700000</v>
      </c>
    </row>
    <row r="1224" spans="1:13" x14ac:dyDescent="0.3">
      <c r="A1224" s="23">
        <v>45770</v>
      </c>
      <c r="B1224" t="s">
        <v>12</v>
      </c>
      <c r="C1224" t="s">
        <v>132</v>
      </c>
      <c r="D1224" t="s">
        <v>16</v>
      </c>
      <c r="E1224" t="s">
        <v>48</v>
      </c>
      <c r="F1224">
        <v>321700000</v>
      </c>
      <c r="G1224" t="s">
        <v>29</v>
      </c>
      <c r="H1224" t="s">
        <v>81</v>
      </c>
      <c r="I1224" t="s">
        <v>9</v>
      </c>
      <c r="L1224" t="s">
        <v>161</v>
      </c>
      <c r="M1224">
        <v>321700000</v>
      </c>
    </row>
    <row r="1225" spans="1:13" x14ac:dyDescent="0.3">
      <c r="A1225" s="23">
        <v>45769</v>
      </c>
      <c r="B1225" t="s">
        <v>12</v>
      </c>
      <c r="C1225" t="s">
        <v>132</v>
      </c>
      <c r="D1225" t="s">
        <v>16</v>
      </c>
      <c r="E1225" t="s">
        <v>48</v>
      </c>
      <c r="F1225">
        <v>1462200000</v>
      </c>
      <c r="G1225" t="s">
        <v>29</v>
      </c>
      <c r="H1225" t="s">
        <v>81</v>
      </c>
      <c r="I1225" t="s">
        <v>9</v>
      </c>
      <c r="L1225" t="s">
        <v>161</v>
      </c>
      <c r="M1225">
        <v>1462200000</v>
      </c>
    </row>
    <row r="1226" spans="1:13" x14ac:dyDescent="0.3">
      <c r="A1226" s="23">
        <v>45769</v>
      </c>
      <c r="B1226" t="s">
        <v>12</v>
      </c>
      <c r="C1226" t="s">
        <v>132</v>
      </c>
      <c r="D1226" t="s">
        <v>16</v>
      </c>
      <c r="E1226" t="s">
        <v>48</v>
      </c>
      <c r="F1226">
        <v>33855040</v>
      </c>
      <c r="G1226" t="s">
        <v>29</v>
      </c>
      <c r="H1226" t="s">
        <v>81</v>
      </c>
      <c r="I1226" t="s">
        <v>9</v>
      </c>
      <c r="L1226" t="s">
        <v>161</v>
      </c>
      <c r="M1226">
        <v>33855040</v>
      </c>
    </row>
    <row r="1227" spans="1:13" x14ac:dyDescent="0.3">
      <c r="A1227" s="23">
        <v>45768</v>
      </c>
      <c r="B1227" t="s">
        <v>12</v>
      </c>
      <c r="C1227" t="s">
        <v>132</v>
      </c>
      <c r="D1227" t="s">
        <v>17</v>
      </c>
      <c r="E1227" t="s">
        <v>48</v>
      </c>
      <c r="F1227">
        <v>163300000</v>
      </c>
      <c r="G1227" t="s">
        <v>29</v>
      </c>
      <c r="H1227" t="s">
        <v>81</v>
      </c>
      <c r="I1227" t="s">
        <v>9</v>
      </c>
      <c r="L1227" t="s">
        <v>161</v>
      </c>
      <c r="M1227">
        <v>-163300000</v>
      </c>
    </row>
    <row r="1228" spans="1:13" x14ac:dyDescent="0.3">
      <c r="A1228" s="23">
        <v>44704</v>
      </c>
      <c r="B1228" t="s">
        <v>12</v>
      </c>
      <c r="C1228" t="s">
        <v>132</v>
      </c>
      <c r="D1228" t="s">
        <v>17</v>
      </c>
      <c r="E1228" t="s">
        <v>48</v>
      </c>
      <c r="F1228">
        <v>8782579.0700000003</v>
      </c>
      <c r="G1228" t="s">
        <v>29</v>
      </c>
      <c r="H1228" t="s">
        <v>81</v>
      </c>
      <c r="I1228" t="s">
        <v>9</v>
      </c>
      <c r="L1228" t="s">
        <v>161</v>
      </c>
      <c r="M1228">
        <v>-8782579.0700000003</v>
      </c>
    </row>
    <row r="1229" spans="1:13" x14ac:dyDescent="0.3">
      <c r="A1229" s="23">
        <v>45763</v>
      </c>
      <c r="B1229" t="s">
        <v>12</v>
      </c>
      <c r="C1229" t="s">
        <v>132</v>
      </c>
      <c r="D1229" t="s">
        <v>16</v>
      </c>
      <c r="E1229" t="s">
        <v>48</v>
      </c>
      <c r="F1229">
        <v>2000000000</v>
      </c>
      <c r="G1229" t="s">
        <v>29</v>
      </c>
      <c r="H1229" t="s">
        <v>81</v>
      </c>
      <c r="I1229" t="s">
        <v>9</v>
      </c>
      <c r="L1229" t="s">
        <v>161</v>
      </c>
      <c r="M1229">
        <v>2000000000</v>
      </c>
    </row>
    <row r="1230" spans="1:13" x14ac:dyDescent="0.3">
      <c r="A1230" s="23">
        <v>45762</v>
      </c>
      <c r="B1230" t="s">
        <v>12</v>
      </c>
      <c r="C1230" t="s">
        <v>132</v>
      </c>
      <c r="D1230" t="s">
        <v>16</v>
      </c>
      <c r="E1230" t="s">
        <v>48</v>
      </c>
      <c r="F1230">
        <v>400000000</v>
      </c>
      <c r="G1230" t="s">
        <v>29</v>
      </c>
      <c r="H1230" t="s">
        <v>81</v>
      </c>
      <c r="I1230" t="s">
        <v>9</v>
      </c>
      <c r="L1230" t="s">
        <v>161</v>
      </c>
      <c r="M1230">
        <v>400000000</v>
      </c>
    </row>
    <row r="1231" spans="1:13" x14ac:dyDescent="0.3">
      <c r="A1231" s="23">
        <v>45761</v>
      </c>
      <c r="B1231" t="s">
        <v>12</v>
      </c>
      <c r="C1231" t="s">
        <v>132</v>
      </c>
      <c r="D1231" t="s">
        <v>17</v>
      </c>
      <c r="E1231" t="s">
        <v>48</v>
      </c>
      <c r="F1231">
        <v>273700000</v>
      </c>
      <c r="G1231" t="s">
        <v>29</v>
      </c>
      <c r="H1231" t="s">
        <v>81</v>
      </c>
      <c r="I1231" t="s">
        <v>9</v>
      </c>
      <c r="L1231" t="s">
        <v>161</v>
      </c>
      <c r="M1231">
        <v>-273700000</v>
      </c>
    </row>
    <row r="1232" spans="1:13" x14ac:dyDescent="0.3">
      <c r="A1232" s="23">
        <v>45758</v>
      </c>
      <c r="B1232" t="s">
        <v>12</v>
      </c>
      <c r="C1232" t="s">
        <v>132</v>
      </c>
      <c r="D1232" t="s">
        <v>16</v>
      </c>
      <c r="E1232" t="s">
        <v>48</v>
      </c>
      <c r="F1232">
        <v>19800000</v>
      </c>
      <c r="G1232" t="s">
        <v>29</v>
      </c>
      <c r="H1232" t="s">
        <v>81</v>
      </c>
      <c r="I1232" t="s">
        <v>9</v>
      </c>
      <c r="L1232" t="s">
        <v>161</v>
      </c>
      <c r="M1232">
        <v>19800000</v>
      </c>
    </row>
    <row r="1233" spans="1:13" x14ac:dyDescent="0.3">
      <c r="A1233" s="23">
        <v>45757</v>
      </c>
      <c r="B1233" t="s">
        <v>12</v>
      </c>
      <c r="C1233" t="s">
        <v>132</v>
      </c>
      <c r="D1233" t="s">
        <v>17</v>
      </c>
      <c r="E1233" t="s">
        <v>48</v>
      </c>
      <c r="F1233">
        <v>1105000000</v>
      </c>
      <c r="G1233" t="s">
        <v>29</v>
      </c>
      <c r="H1233" t="s">
        <v>81</v>
      </c>
      <c r="I1233" t="s">
        <v>9</v>
      </c>
      <c r="L1233" t="s">
        <v>161</v>
      </c>
      <c r="M1233">
        <v>-1105000000</v>
      </c>
    </row>
    <row r="1234" spans="1:13" x14ac:dyDescent="0.3">
      <c r="A1234" s="23">
        <v>45755</v>
      </c>
      <c r="B1234" t="s">
        <v>12</v>
      </c>
      <c r="C1234" t="s">
        <v>132</v>
      </c>
      <c r="D1234" t="s">
        <v>17</v>
      </c>
      <c r="E1234" t="s">
        <v>48</v>
      </c>
      <c r="F1234">
        <v>26800000</v>
      </c>
      <c r="G1234" t="s">
        <v>29</v>
      </c>
      <c r="H1234" t="s">
        <v>81</v>
      </c>
      <c r="I1234" t="s">
        <v>9</v>
      </c>
      <c r="L1234" t="s">
        <v>161</v>
      </c>
      <c r="M1234">
        <v>-26800000</v>
      </c>
    </row>
    <row r="1235" spans="1:13" x14ac:dyDescent="0.3">
      <c r="A1235" s="23">
        <v>45754</v>
      </c>
      <c r="B1235" t="s">
        <v>12</v>
      </c>
      <c r="C1235" t="s">
        <v>132</v>
      </c>
      <c r="D1235" t="s">
        <v>17</v>
      </c>
      <c r="E1235" t="s">
        <v>48</v>
      </c>
      <c r="F1235">
        <v>258200000</v>
      </c>
      <c r="G1235" t="s">
        <v>29</v>
      </c>
      <c r="H1235" t="s">
        <v>81</v>
      </c>
      <c r="I1235" t="s">
        <v>9</v>
      </c>
      <c r="L1235" t="s">
        <v>161</v>
      </c>
      <c r="M1235">
        <v>-258200000</v>
      </c>
    </row>
    <row r="1236" spans="1:13" x14ac:dyDescent="0.3">
      <c r="A1236" s="23">
        <v>45751</v>
      </c>
      <c r="B1236" t="s">
        <v>12</v>
      </c>
      <c r="C1236" t="s">
        <v>132</v>
      </c>
      <c r="D1236" t="s">
        <v>17</v>
      </c>
      <c r="E1236" t="s">
        <v>48</v>
      </c>
      <c r="F1236">
        <v>13700000</v>
      </c>
      <c r="G1236" t="s">
        <v>29</v>
      </c>
      <c r="H1236" t="s">
        <v>81</v>
      </c>
      <c r="I1236" t="s">
        <v>9</v>
      </c>
      <c r="L1236" t="s">
        <v>161</v>
      </c>
      <c r="M1236">
        <v>-13700000</v>
      </c>
    </row>
    <row r="1237" spans="1:13" x14ac:dyDescent="0.3">
      <c r="A1237" s="23">
        <v>45744</v>
      </c>
      <c r="B1237" t="s">
        <v>12</v>
      </c>
      <c r="C1237" t="s">
        <v>132</v>
      </c>
      <c r="D1237" t="s">
        <v>17</v>
      </c>
      <c r="E1237" t="s">
        <v>48</v>
      </c>
      <c r="F1237">
        <v>280700000</v>
      </c>
      <c r="G1237" t="s">
        <v>29</v>
      </c>
      <c r="H1237" t="s">
        <v>81</v>
      </c>
      <c r="I1237" t="s">
        <v>9</v>
      </c>
      <c r="L1237" t="s">
        <v>161</v>
      </c>
      <c r="M1237">
        <v>-280700000</v>
      </c>
    </row>
    <row r="1238" spans="1:13" x14ac:dyDescent="0.3">
      <c r="A1238" s="23">
        <v>45743</v>
      </c>
      <c r="B1238" t="s">
        <v>12</v>
      </c>
      <c r="C1238" t="s">
        <v>132</v>
      </c>
      <c r="D1238" t="s">
        <v>16</v>
      </c>
      <c r="E1238" t="s">
        <v>48</v>
      </c>
      <c r="F1238">
        <v>7039970</v>
      </c>
      <c r="G1238" t="s">
        <v>29</v>
      </c>
      <c r="H1238" t="s">
        <v>81</v>
      </c>
      <c r="I1238" t="s">
        <v>9</v>
      </c>
      <c r="L1238" t="s">
        <v>161</v>
      </c>
      <c r="M1238">
        <v>7039970</v>
      </c>
    </row>
    <row r="1239" spans="1:13" x14ac:dyDescent="0.3">
      <c r="A1239" s="23">
        <v>45743</v>
      </c>
      <c r="B1239" t="s">
        <v>12</v>
      </c>
      <c r="C1239" t="s">
        <v>132</v>
      </c>
      <c r="D1239" t="s">
        <v>16</v>
      </c>
      <c r="E1239" t="s">
        <v>48</v>
      </c>
      <c r="F1239">
        <v>1782000000</v>
      </c>
      <c r="G1239" t="s">
        <v>29</v>
      </c>
      <c r="H1239" t="s">
        <v>81</v>
      </c>
      <c r="I1239" t="s">
        <v>9</v>
      </c>
      <c r="L1239" t="s">
        <v>161</v>
      </c>
      <c r="M1239">
        <v>1782000000</v>
      </c>
    </row>
    <row r="1240" spans="1:13" x14ac:dyDescent="0.3">
      <c r="A1240" s="23">
        <v>45737</v>
      </c>
      <c r="B1240" t="s">
        <v>12</v>
      </c>
      <c r="C1240" t="s">
        <v>132</v>
      </c>
      <c r="D1240" t="s">
        <v>17</v>
      </c>
      <c r="E1240" t="s">
        <v>48</v>
      </c>
      <c r="F1240">
        <v>47400000</v>
      </c>
      <c r="G1240" t="s">
        <v>29</v>
      </c>
      <c r="H1240" t="s">
        <v>81</v>
      </c>
      <c r="I1240" t="s">
        <v>9</v>
      </c>
      <c r="L1240" t="s">
        <v>161</v>
      </c>
      <c r="M1240">
        <v>-47400000</v>
      </c>
    </row>
    <row r="1241" spans="1:13" x14ac:dyDescent="0.3">
      <c r="A1241" s="23">
        <v>45733</v>
      </c>
      <c r="B1241" t="s">
        <v>12</v>
      </c>
      <c r="C1241" t="s">
        <v>132</v>
      </c>
      <c r="D1241" t="s">
        <v>17</v>
      </c>
      <c r="E1241" t="s">
        <v>48</v>
      </c>
      <c r="F1241">
        <v>300000</v>
      </c>
      <c r="G1241" t="s">
        <v>29</v>
      </c>
      <c r="H1241" t="s">
        <v>81</v>
      </c>
      <c r="I1241" t="s">
        <v>9</v>
      </c>
      <c r="L1241" t="s">
        <v>161</v>
      </c>
      <c r="M1241">
        <v>-300000</v>
      </c>
    </row>
    <row r="1242" spans="1:13" x14ac:dyDescent="0.3">
      <c r="A1242" s="23">
        <v>45733</v>
      </c>
      <c r="B1242" t="s">
        <v>12</v>
      </c>
      <c r="C1242" t="s">
        <v>132</v>
      </c>
      <c r="D1242" t="s">
        <v>17</v>
      </c>
      <c r="E1242" t="s">
        <v>48</v>
      </c>
      <c r="F1242">
        <v>18100000</v>
      </c>
      <c r="G1242" t="s">
        <v>29</v>
      </c>
      <c r="H1242" t="s">
        <v>81</v>
      </c>
      <c r="I1242" t="s">
        <v>9</v>
      </c>
      <c r="L1242" t="s">
        <v>161</v>
      </c>
      <c r="M1242">
        <v>-18100000</v>
      </c>
    </row>
    <row r="1243" spans="1:13" x14ac:dyDescent="0.3">
      <c r="A1243" s="23">
        <v>45730</v>
      </c>
      <c r="B1243" t="s">
        <v>12</v>
      </c>
      <c r="C1243" t="s">
        <v>132</v>
      </c>
      <c r="D1243" t="s">
        <v>17</v>
      </c>
      <c r="E1243" t="s">
        <v>48</v>
      </c>
      <c r="F1243">
        <v>5400000</v>
      </c>
      <c r="G1243" t="s">
        <v>29</v>
      </c>
      <c r="H1243" t="s">
        <v>81</v>
      </c>
      <c r="I1243" t="s">
        <v>9</v>
      </c>
      <c r="L1243" t="s">
        <v>161</v>
      </c>
      <c r="M1243">
        <v>-5400000</v>
      </c>
    </row>
    <row r="1244" spans="1:13" x14ac:dyDescent="0.3">
      <c r="A1244" s="23">
        <v>45728</v>
      </c>
      <c r="B1244" t="s">
        <v>12</v>
      </c>
      <c r="C1244" t="s">
        <v>132</v>
      </c>
      <c r="D1244" t="s">
        <v>17</v>
      </c>
      <c r="E1244" t="s">
        <v>48</v>
      </c>
      <c r="F1244">
        <v>31700000</v>
      </c>
      <c r="G1244" t="s">
        <v>29</v>
      </c>
      <c r="H1244" t="s">
        <v>81</v>
      </c>
      <c r="I1244" t="s">
        <v>9</v>
      </c>
      <c r="L1244" t="s">
        <v>161</v>
      </c>
      <c r="M1244">
        <v>-31700000</v>
      </c>
    </row>
    <row r="1245" spans="1:13" x14ac:dyDescent="0.3">
      <c r="A1245" s="23">
        <v>45722</v>
      </c>
      <c r="B1245" t="s">
        <v>12</v>
      </c>
      <c r="C1245" t="s">
        <v>132</v>
      </c>
      <c r="D1245" t="s">
        <v>17</v>
      </c>
      <c r="E1245" t="s">
        <v>48</v>
      </c>
      <c r="F1245">
        <v>290000000</v>
      </c>
      <c r="G1245" t="s">
        <v>29</v>
      </c>
      <c r="H1245" t="s">
        <v>81</v>
      </c>
      <c r="I1245" t="s">
        <v>9</v>
      </c>
      <c r="L1245" t="s">
        <v>161</v>
      </c>
      <c r="M1245">
        <v>-290000000</v>
      </c>
    </row>
    <row r="1246" spans="1:13" x14ac:dyDescent="0.3">
      <c r="A1246" s="23">
        <v>45721</v>
      </c>
      <c r="B1246" t="s">
        <v>12</v>
      </c>
      <c r="C1246" t="s">
        <v>132</v>
      </c>
      <c r="D1246" t="s">
        <v>17</v>
      </c>
      <c r="E1246" t="s">
        <v>48</v>
      </c>
      <c r="F1246">
        <v>350000000</v>
      </c>
      <c r="G1246" t="s">
        <v>29</v>
      </c>
      <c r="H1246" t="s">
        <v>81</v>
      </c>
      <c r="I1246" t="s">
        <v>9</v>
      </c>
      <c r="L1246" t="s">
        <v>161</v>
      </c>
      <c r="M1246">
        <v>-350000000</v>
      </c>
    </row>
    <row r="1247" spans="1:13" x14ac:dyDescent="0.3">
      <c r="A1247" s="23">
        <v>45716</v>
      </c>
      <c r="B1247" t="s">
        <v>12</v>
      </c>
      <c r="C1247" t="s">
        <v>132</v>
      </c>
      <c r="D1247" t="s">
        <v>16</v>
      </c>
      <c r="E1247" t="s">
        <v>48</v>
      </c>
      <c r="F1247">
        <v>20787694</v>
      </c>
      <c r="G1247" t="s">
        <v>29</v>
      </c>
      <c r="H1247" t="s">
        <v>81</v>
      </c>
      <c r="I1247" t="s">
        <v>9</v>
      </c>
      <c r="L1247" t="s">
        <v>161</v>
      </c>
      <c r="M1247">
        <v>20787694</v>
      </c>
    </row>
    <row r="1248" spans="1:13" x14ac:dyDescent="0.3">
      <c r="A1248" s="23">
        <v>45716</v>
      </c>
      <c r="B1248" t="s">
        <v>12</v>
      </c>
      <c r="C1248" t="s">
        <v>132</v>
      </c>
      <c r="D1248" t="s">
        <v>17</v>
      </c>
      <c r="E1248" t="s">
        <v>48</v>
      </c>
      <c r="F1248">
        <v>800000000</v>
      </c>
      <c r="G1248" t="s">
        <v>29</v>
      </c>
      <c r="H1248" t="s">
        <v>81</v>
      </c>
      <c r="I1248" t="s">
        <v>9</v>
      </c>
      <c r="L1248" t="s">
        <v>161</v>
      </c>
      <c r="M1248">
        <v>-800000000</v>
      </c>
    </row>
    <row r="1249" spans="1:13" x14ac:dyDescent="0.3">
      <c r="A1249" s="23">
        <v>45716</v>
      </c>
      <c r="B1249" t="s">
        <v>12</v>
      </c>
      <c r="C1249" t="s">
        <v>132</v>
      </c>
      <c r="D1249" t="s">
        <v>16</v>
      </c>
      <c r="E1249" t="s">
        <v>48</v>
      </c>
      <c r="F1249">
        <v>621100000</v>
      </c>
      <c r="G1249" t="s">
        <v>29</v>
      </c>
      <c r="H1249" t="s">
        <v>81</v>
      </c>
      <c r="I1249" t="s">
        <v>9</v>
      </c>
      <c r="L1249" t="s">
        <v>161</v>
      </c>
      <c r="M1249">
        <v>621100000</v>
      </c>
    </row>
    <row r="1250" spans="1:13" x14ac:dyDescent="0.3">
      <c r="A1250" s="23">
        <v>45715</v>
      </c>
      <c r="B1250" t="s">
        <v>12</v>
      </c>
      <c r="C1250" t="s">
        <v>132</v>
      </c>
      <c r="D1250" t="s">
        <v>17</v>
      </c>
      <c r="E1250" t="s">
        <v>48</v>
      </c>
      <c r="F1250">
        <v>578000000</v>
      </c>
      <c r="G1250" t="s">
        <v>29</v>
      </c>
      <c r="H1250" t="s">
        <v>81</v>
      </c>
      <c r="I1250" t="s">
        <v>9</v>
      </c>
      <c r="L1250" t="s">
        <v>161</v>
      </c>
      <c r="M1250">
        <v>-578000000</v>
      </c>
    </row>
    <row r="1251" spans="1:13" x14ac:dyDescent="0.3">
      <c r="A1251" s="23">
        <v>45706</v>
      </c>
      <c r="B1251" t="s">
        <v>12</v>
      </c>
      <c r="C1251" t="s">
        <v>132</v>
      </c>
      <c r="D1251" t="s">
        <v>16</v>
      </c>
      <c r="E1251" t="s">
        <v>48</v>
      </c>
      <c r="F1251">
        <v>1100000000</v>
      </c>
      <c r="G1251" t="s">
        <v>29</v>
      </c>
      <c r="H1251" t="s">
        <v>81</v>
      </c>
      <c r="I1251" t="s">
        <v>9</v>
      </c>
      <c r="L1251" t="s">
        <v>161</v>
      </c>
      <c r="M1251">
        <v>1100000000</v>
      </c>
    </row>
    <row r="1252" spans="1:13" x14ac:dyDescent="0.3">
      <c r="A1252" s="23">
        <v>45702</v>
      </c>
      <c r="B1252" t="s">
        <v>12</v>
      </c>
      <c r="C1252" t="s">
        <v>132</v>
      </c>
      <c r="D1252" t="s">
        <v>17</v>
      </c>
      <c r="E1252" t="s">
        <v>48</v>
      </c>
      <c r="F1252">
        <v>301100000</v>
      </c>
      <c r="G1252" t="s">
        <v>29</v>
      </c>
      <c r="H1252" t="s">
        <v>81</v>
      </c>
      <c r="I1252" t="s">
        <v>9</v>
      </c>
      <c r="L1252" t="s">
        <v>161</v>
      </c>
      <c r="M1252">
        <v>-301100000</v>
      </c>
    </row>
    <row r="1253" spans="1:13" x14ac:dyDescent="0.3">
      <c r="A1253" s="23">
        <v>45701</v>
      </c>
      <c r="B1253" t="s">
        <v>12</v>
      </c>
      <c r="C1253" t="s">
        <v>132</v>
      </c>
      <c r="D1253" t="s">
        <v>16</v>
      </c>
      <c r="E1253" t="s">
        <v>48</v>
      </c>
      <c r="F1253">
        <v>900000000</v>
      </c>
      <c r="G1253" t="s">
        <v>29</v>
      </c>
      <c r="H1253" t="s">
        <v>81</v>
      </c>
      <c r="I1253" t="s">
        <v>9</v>
      </c>
      <c r="L1253" t="s">
        <v>161</v>
      </c>
      <c r="M1253">
        <v>900000000</v>
      </c>
    </row>
    <row r="1254" spans="1:13" x14ac:dyDescent="0.3">
      <c r="A1254" s="23">
        <v>45700</v>
      </c>
      <c r="B1254" t="s">
        <v>12</v>
      </c>
      <c r="C1254" t="s">
        <v>132</v>
      </c>
      <c r="D1254" t="s">
        <v>16</v>
      </c>
      <c r="E1254" t="s">
        <v>48</v>
      </c>
      <c r="F1254">
        <v>40100000</v>
      </c>
      <c r="G1254" t="s">
        <v>29</v>
      </c>
      <c r="H1254" t="s">
        <v>81</v>
      </c>
      <c r="I1254" t="s">
        <v>9</v>
      </c>
      <c r="L1254" t="s">
        <v>161</v>
      </c>
      <c r="M1254">
        <v>40100000</v>
      </c>
    </row>
    <row r="1255" spans="1:13" x14ac:dyDescent="0.3">
      <c r="A1255" s="23">
        <v>45695</v>
      </c>
      <c r="B1255" t="s">
        <v>12</v>
      </c>
      <c r="C1255" t="s">
        <v>132</v>
      </c>
      <c r="D1255" t="s">
        <v>16</v>
      </c>
      <c r="E1255" t="s">
        <v>48</v>
      </c>
      <c r="F1255">
        <v>3490000</v>
      </c>
      <c r="G1255" t="s">
        <v>29</v>
      </c>
      <c r="H1255" t="s">
        <v>81</v>
      </c>
      <c r="I1255" t="s">
        <v>9</v>
      </c>
      <c r="L1255" t="s">
        <v>161</v>
      </c>
      <c r="M1255">
        <v>3490000</v>
      </c>
    </row>
    <row r="1256" spans="1:13" x14ac:dyDescent="0.3">
      <c r="A1256" s="23">
        <v>45695</v>
      </c>
      <c r="B1256" t="s">
        <v>12</v>
      </c>
      <c r="C1256" t="s">
        <v>132</v>
      </c>
      <c r="D1256" t="s">
        <v>16</v>
      </c>
      <c r="E1256" t="s">
        <v>48</v>
      </c>
      <c r="F1256">
        <v>45600000</v>
      </c>
      <c r="G1256" t="s">
        <v>29</v>
      </c>
      <c r="H1256" t="s">
        <v>81</v>
      </c>
      <c r="I1256" t="s">
        <v>9</v>
      </c>
      <c r="L1256" t="s">
        <v>161</v>
      </c>
      <c r="M1256">
        <v>45600000</v>
      </c>
    </row>
    <row r="1257" spans="1:13" x14ac:dyDescent="0.3">
      <c r="A1257" s="23">
        <v>45684</v>
      </c>
      <c r="B1257" t="s">
        <v>12</v>
      </c>
      <c r="C1257" t="s">
        <v>132</v>
      </c>
      <c r="D1257" t="s">
        <v>17</v>
      </c>
      <c r="E1257" t="s">
        <v>48</v>
      </c>
      <c r="F1257">
        <v>96600000</v>
      </c>
      <c r="G1257" t="s">
        <v>29</v>
      </c>
      <c r="H1257" t="s">
        <v>81</v>
      </c>
      <c r="I1257" t="s">
        <v>9</v>
      </c>
      <c r="L1257" t="s">
        <v>161</v>
      </c>
      <c r="M1257">
        <v>-96600000</v>
      </c>
    </row>
    <row r="1258" spans="1:13" x14ac:dyDescent="0.3">
      <c r="A1258" s="23">
        <v>44767</v>
      </c>
      <c r="B1258" t="s">
        <v>12</v>
      </c>
      <c r="C1258" t="s">
        <v>132</v>
      </c>
      <c r="D1258" t="s">
        <v>16</v>
      </c>
      <c r="E1258" t="s">
        <v>48</v>
      </c>
      <c r="F1258">
        <v>125300000</v>
      </c>
      <c r="G1258" t="s">
        <v>29</v>
      </c>
      <c r="H1258" t="s">
        <v>81</v>
      </c>
      <c r="I1258" t="s">
        <v>9</v>
      </c>
      <c r="L1258" t="s">
        <v>161</v>
      </c>
      <c r="M1258">
        <v>125300000</v>
      </c>
    </row>
    <row r="1259" spans="1:13" x14ac:dyDescent="0.3">
      <c r="A1259" s="23">
        <v>44768</v>
      </c>
      <c r="B1259" t="s">
        <v>12</v>
      </c>
      <c r="C1259" t="s">
        <v>132</v>
      </c>
      <c r="D1259" t="s">
        <v>17</v>
      </c>
      <c r="E1259" t="s">
        <v>48</v>
      </c>
      <c r="F1259">
        <v>125300000</v>
      </c>
      <c r="G1259" t="s">
        <v>29</v>
      </c>
      <c r="H1259" t="s">
        <v>81</v>
      </c>
      <c r="I1259" t="s">
        <v>9</v>
      </c>
      <c r="L1259" t="s">
        <v>161</v>
      </c>
      <c r="M1259">
        <v>-125300000</v>
      </c>
    </row>
    <row r="1260" spans="1:13" x14ac:dyDescent="0.3">
      <c r="A1260" s="23">
        <v>45678</v>
      </c>
      <c r="B1260" t="s">
        <v>12</v>
      </c>
      <c r="C1260" t="s">
        <v>132</v>
      </c>
      <c r="D1260" t="s">
        <v>17</v>
      </c>
      <c r="E1260" t="s">
        <v>48</v>
      </c>
      <c r="F1260">
        <v>350000000</v>
      </c>
      <c r="G1260" t="s">
        <v>29</v>
      </c>
      <c r="H1260" t="s">
        <v>81</v>
      </c>
      <c r="I1260" t="s">
        <v>9</v>
      </c>
      <c r="L1260" t="s">
        <v>161</v>
      </c>
      <c r="M1260">
        <v>-350000000</v>
      </c>
    </row>
    <row r="1261" spans="1:13" x14ac:dyDescent="0.3">
      <c r="A1261" s="23">
        <v>44774</v>
      </c>
      <c r="B1261" t="s">
        <v>12</v>
      </c>
      <c r="C1261" t="s">
        <v>132</v>
      </c>
      <c r="D1261" t="s">
        <v>16</v>
      </c>
      <c r="E1261" t="s">
        <v>48</v>
      </c>
      <c r="F1261">
        <v>100000000</v>
      </c>
      <c r="G1261" t="s">
        <v>29</v>
      </c>
      <c r="H1261" t="s">
        <v>81</v>
      </c>
      <c r="I1261" t="s">
        <v>9</v>
      </c>
      <c r="L1261" t="s">
        <v>161</v>
      </c>
      <c r="M1261">
        <v>100000000</v>
      </c>
    </row>
    <row r="1262" spans="1:13" x14ac:dyDescent="0.3">
      <c r="A1262" s="23">
        <v>44776</v>
      </c>
      <c r="B1262" t="s">
        <v>12</v>
      </c>
      <c r="C1262" t="s">
        <v>132</v>
      </c>
      <c r="D1262" t="s">
        <v>17</v>
      </c>
      <c r="E1262" t="s">
        <v>48</v>
      </c>
      <c r="F1262">
        <v>69300000</v>
      </c>
      <c r="G1262" t="s">
        <v>29</v>
      </c>
      <c r="H1262" t="s">
        <v>81</v>
      </c>
      <c r="I1262" t="s">
        <v>9</v>
      </c>
      <c r="L1262" t="s">
        <v>161</v>
      </c>
      <c r="M1262">
        <v>-69300000</v>
      </c>
    </row>
    <row r="1263" spans="1:13" x14ac:dyDescent="0.3">
      <c r="A1263" s="23">
        <v>44777</v>
      </c>
      <c r="B1263" t="s">
        <v>12</v>
      </c>
      <c r="C1263" t="s">
        <v>132</v>
      </c>
      <c r="D1263" t="s">
        <v>17</v>
      </c>
      <c r="E1263" t="s">
        <v>48</v>
      </c>
      <c r="F1263">
        <v>30300000</v>
      </c>
      <c r="G1263" t="s">
        <v>29</v>
      </c>
      <c r="H1263" t="s">
        <v>81</v>
      </c>
      <c r="I1263" t="s">
        <v>9</v>
      </c>
      <c r="L1263" t="s">
        <v>161</v>
      </c>
      <c r="M1263">
        <v>-30300000</v>
      </c>
    </row>
    <row r="1264" spans="1:13" x14ac:dyDescent="0.3">
      <c r="A1264" s="23">
        <v>45674</v>
      </c>
      <c r="B1264" t="s">
        <v>12</v>
      </c>
      <c r="C1264" t="s">
        <v>132</v>
      </c>
      <c r="D1264" t="s">
        <v>16</v>
      </c>
      <c r="E1264" t="s">
        <v>48</v>
      </c>
      <c r="F1264">
        <v>192400000</v>
      </c>
      <c r="G1264" t="s">
        <v>29</v>
      </c>
      <c r="H1264" t="s">
        <v>81</v>
      </c>
      <c r="I1264" t="s">
        <v>9</v>
      </c>
      <c r="L1264" t="s">
        <v>161</v>
      </c>
      <c r="M1264">
        <v>192400000</v>
      </c>
    </row>
    <row r="1265" spans="1:13" x14ac:dyDescent="0.3">
      <c r="A1265" s="23">
        <v>45674</v>
      </c>
      <c r="B1265" t="s">
        <v>12</v>
      </c>
      <c r="C1265" t="s">
        <v>132</v>
      </c>
      <c r="D1265" t="s">
        <v>16</v>
      </c>
      <c r="E1265" t="s">
        <v>48</v>
      </c>
      <c r="F1265">
        <v>2695136</v>
      </c>
      <c r="G1265" t="s">
        <v>29</v>
      </c>
      <c r="H1265" t="s">
        <v>81</v>
      </c>
      <c r="I1265" t="s">
        <v>9</v>
      </c>
      <c r="L1265" t="s">
        <v>161</v>
      </c>
      <c r="M1265">
        <v>2695136</v>
      </c>
    </row>
    <row r="1266" spans="1:13" x14ac:dyDescent="0.3">
      <c r="A1266" s="23">
        <v>44783</v>
      </c>
      <c r="B1266" t="s">
        <v>12</v>
      </c>
      <c r="C1266" t="s">
        <v>132</v>
      </c>
      <c r="D1266" t="s">
        <v>16</v>
      </c>
      <c r="E1266" t="s">
        <v>48</v>
      </c>
      <c r="F1266">
        <v>100000000</v>
      </c>
      <c r="G1266" t="s">
        <v>29</v>
      </c>
      <c r="H1266" t="s">
        <v>81</v>
      </c>
      <c r="I1266" t="s">
        <v>9</v>
      </c>
      <c r="L1266" t="s">
        <v>161</v>
      </c>
      <c r="M1266">
        <v>100000000</v>
      </c>
    </row>
    <row r="1267" spans="1:13" x14ac:dyDescent="0.3">
      <c r="A1267" s="23">
        <v>45673</v>
      </c>
      <c r="B1267" t="s">
        <v>12</v>
      </c>
      <c r="C1267" t="s">
        <v>132</v>
      </c>
      <c r="D1267" t="s">
        <v>17</v>
      </c>
      <c r="E1267" t="s">
        <v>48</v>
      </c>
      <c r="F1267">
        <v>134000000</v>
      </c>
      <c r="G1267" t="s">
        <v>29</v>
      </c>
      <c r="H1267" t="s">
        <v>81</v>
      </c>
      <c r="I1267" t="s">
        <v>9</v>
      </c>
      <c r="L1267" t="s">
        <v>161</v>
      </c>
      <c r="M1267">
        <v>-134000000</v>
      </c>
    </row>
    <row r="1268" spans="1:13" x14ac:dyDescent="0.3">
      <c r="A1268" s="23">
        <v>44784</v>
      </c>
      <c r="B1268" t="s">
        <v>12</v>
      </c>
      <c r="C1268" t="s">
        <v>132</v>
      </c>
      <c r="D1268" t="s">
        <v>17</v>
      </c>
      <c r="E1268" t="s">
        <v>48</v>
      </c>
      <c r="F1268">
        <v>95100000</v>
      </c>
      <c r="G1268" t="s">
        <v>29</v>
      </c>
      <c r="H1268" t="s">
        <v>81</v>
      </c>
      <c r="I1268" t="s">
        <v>9</v>
      </c>
      <c r="L1268" t="s">
        <v>161</v>
      </c>
      <c r="M1268">
        <v>-95100000</v>
      </c>
    </row>
    <row r="1269" spans="1:13" x14ac:dyDescent="0.3">
      <c r="A1269" s="23">
        <v>45672</v>
      </c>
      <c r="B1269" t="s">
        <v>12</v>
      </c>
      <c r="C1269" t="s">
        <v>132</v>
      </c>
      <c r="D1269" t="s">
        <v>16</v>
      </c>
      <c r="E1269" t="s">
        <v>48</v>
      </c>
      <c r="F1269">
        <v>180000000</v>
      </c>
      <c r="G1269" t="s">
        <v>29</v>
      </c>
      <c r="H1269" t="s">
        <v>81</v>
      </c>
      <c r="I1269" t="s">
        <v>9</v>
      </c>
      <c r="L1269" t="s">
        <v>161</v>
      </c>
      <c r="M1269">
        <v>180000000</v>
      </c>
    </row>
    <row r="1270" spans="1:13" x14ac:dyDescent="0.3">
      <c r="A1270" s="23">
        <v>45671</v>
      </c>
      <c r="B1270" t="s">
        <v>12</v>
      </c>
      <c r="C1270" t="s">
        <v>132</v>
      </c>
      <c r="D1270" t="s">
        <v>17</v>
      </c>
      <c r="E1270" t="s">
        <v>48</v>
      </c>
      <c r="F1270">
        <v>400000000</v>
      </c>
      <c r="G1270" t="s">
        <v>29</v>
      </c>
      <c r="H1270" t="s">
        <v>81</v>
      </c>
      <c r="I1270" t="s">
        <v>9</v>
      </c>
      <c r="L1270" t="s">
        <v>161</v>
      </c>
      <c r="M1270">
        <v>-400000000</v>
      </c>
    </row>
    <row r="1271" spans="1:13" x14ac:dyDescent="0.3">
      <c r="A1271" s="23">
        <v>44789</v>
      </c>
      <c r="B1271" t="s">
        <v>12</v>
      </c>
      <c r="C1271" t="s">
        <v>132</v>
      </c>
      <c r="D1271" t="s">
        <v>17</v>
      </c>
      <c r="E1271" t="s">
        <v>48</v>
      </c>
      <c r="F1271">
        <v>5300000</v>
      </c>
      <c r="G1271" t="s">
        <v>29</v>
      </c>
      <c r="H1271" t="s">
        <v>81</v>
      </c>
      <c r="I1271" t="s">
        <v>9</v>
      </c>
      <c r="L1271" t="s">
        <v>161</v>
      </c>
      <c r="M1271">
        <v>-5300000</v>
      </c>
    </row>
    <row r="1272" spans="1:13" x14ac:dyDescent="0.3">
      <c r="A1272" s="23">
        <v>45670</v>
      </c>
      <c r="B1272" t="s">
        <v>12</v>
      </c>
      <c r="C1272" t="s">
        <v>132</v>
      </c>
      <c r="D1272" t="s">
        <v>16</v>
      </c>
      <c r="E1272" t="s">
        <v>48</v>
      </c>
      <c r="F1272">
        <v>200000000</v>
      </c>
      <c r="G1272" t="s">
        <v>29</v>
      </c>
      <c r="H1272" t="s">
        <v>81</v>
      </c>
      <c r="I1272" t="s">
        <v>9</v>
      </c>
      <c r="L1272" t="s">
        <v>161</v>
      </c>
      <c r="M1272">
        <v>200000000</v>
      </c>
    </row>
    <row r="1273" spans="1:13" x14ac:dyDescent="0.3">
      <c r="A1273" s="23">
        <v>45667</v>
      </c>
      <c r="B1273" t="s">
        <v>12</v>
      </c>
      <c r="C1273" t="s">
        <v>132</v>
      </c>
      <c r="D1273" t="s">
        <v>16</v>
      </c>
      <c r="E1273" t="s">
        <v>48</v>
      </c>
      <c r="F1273">
        <v>500000000</v>
      </c>
      <c r="G1273" t="s">
        <v>29</v>
      </c>
      <c r="H1273" t="s">
        <v>81</v>
      </c>
      <c r="I1273" t="s">
        <v>9</v>
      </c>
      <c r="L1273" t="s">
        <v>161</v>
      </c>
      <c r="M1273">
        <v>500000000</v>
      </c>
    </row>
    <row r="1274" spans="1:13" x14ac:dyDescent="0.3">
      <c r="A1274" s="23">
        <v>45656</v>
      </c>
      <c r="B1274" t="s">
        <v>12</v>
      </c>
      <c r="C1274" t="s">
        <v>132</v>
      </c>
      <c r="D1274" t="s">
        <v>17</v>
      </c>
      <c r="E1274" t="s">
        <v>48</v>
      </c>
      <c r="F1274">
        <v>669663760</v>
      </c>
      <c r="G1274" t="s">
        <v>29</v>
      </c>
      <c r="H1274" t="s">
        <v>81</v>
      </c>
      <c r="I1274" t="s">
        <v>9</v>
      </c>
      <c r="L1274" t="s">
        <v>161</v>
      </c>
      <c r="M1274">
        <v>-669663760</v>
      </c>
    </row>
    <row r="1275" spans="1:13" x14ac:dyDescent="0.3">
      <c r="A1275" s="23">
        <v>45649</v>
      </c>
      <c r="B1275" t="s">
        <v>12</v>
      </c>
      <c r="C1275" t="s">
        <v>132</v>
      </c>
      <c r="D1275" t="s">
        <v>16</v>
      </c>
      <c r="E1275" t="s">
        <v>48</v>
      </c>
      <c r="F1275">
        <v>500000000</v>
      </c>
      <c r="G1275" t="s">
        <v>29</v>
      </c>
      <c r="H1275" t="s">
        <v>81</v>
      </c>
      <c r="I1275" t="s">
        <v>9</v>
      </c>
      <c r="L1275" t="s">
        <v>161</v>
      </c>
      <c r="M1275">
        <v>500000000</v>
      </c>
    </row>
    <row r="1276" spans="1:13" x14ac:dyDescent="0.3">
      <c r="A1276" s="23">
        <v>45646</v>
      </c>
      <c r="B1276" t="s">
        <v>12</v>
      </c>
      <c r="C1276" t="s">
        <v>132</v>
      </c>
      <c r="D1276" t="s">
        <v>17</v>
      </c>
      <c r="E1276" t="s">
        <v>48</v>
      </c>
      <c r="F1276">
        <v>100000000</v>
      </c>
      <c r="G1276" t="s">
        <v>29</v>
      </c>
      <c r="H1276" t="s">
        <v>81</v>
      </c>
      <c r="I1276" t="s">
        <v>9</v>
      </c>
      <c r="L1276" t="s">
        <v>161</v>
      </c>
      <c r="M1276">
        <v>-100000000</v>
      </c>
    </row>
    <row r="1277" spans="1:13" x14ac:dyDescent="0.3">
      <c r="A1277" s="23">
        <v>45645</v>
      </c>
      <c r="B1277" t="s">
        <v>12</v>
      </c>
      <c r="C1277" t="s">
        <v>132</v>
      </c>
      <c r="D1277" t="s">
        <v>16</v>
      </c>
      <c r="E1277" t="s">
        <v>48</v>
      </c>
      <c r="F1277">
        <v>250000000</v>
      </c>
      <c r="G1277" t="s">
        <v>29</v>
      </c>
      <c r="H1277" t="s">
        <v>81</v>
      </c>
      <c r="I1277" t="s">
        <v>9</v>
      </c>
      <c r="L1277" t="s">
        <v>161</v>
      </c>
      <c r="M1277">
        <v>250000000</v>
      </c>
    </row>
    <row r="1278" spans="1:13" x14ac:dyDescent="0.3">
      <c r="A1278" s="23">
        <v>45643</v>
      </c>
      <c r="B1278" t="s">
        <v>12</v>
      </c>
      <c r="C1278" t="s">
        <v>132</v>
      </c>
      <c r="D1278" t="s">
        <v>17</v>
      </c>
      <c r="E1278" t="s">
        <v>48</v>
      </c>
      <c r="F1278">
        <v>50000000</v>
      </c>
      <c r="G1278" t="s">
        <v>29</v>
      </c>
      <c r="H1278" t="s">
        <v>81</v>
      </c>
      <c r="I1278" t="s">
        <v>9</v>
      </c>
      <c r="L1278" t="s">
        <v>161</v>
      </c>
      <c r="M1278">
        <v>-50000000</v>
      </c>
    </row>
    <row r="1279" spans="1:13" x14ac:dyDescent="0.3">
      <c r="A1279" s="23">
        <v>45642</v>
      </c>
      <c r="B1279" t="s">
        <v>12</v>
      </c>
      <c r="C1279" t="s">
        <v>132</v>
      </c>
      <c r="D1279" t="s">
        <v>17</v>
      </c>
      <c r="E1279" t="s">
        <v>48</v>
      </c>
      <c r="F1279">
        <v>50000000</v>
      </c>
      <c r="G1279" t="s">
        <v>29</v>
      </c>
      <c r="H1279" t="s">
        <v>81</v>
      </c>
      <c r="I1279" t="s">
        <v>9</v>
      </c>
      <c r="L1279" t="s">
        <v>161</v>
      </c>
      <c r="M1279">
        <v>-50000000</v>
      </c>
    </row>
    <row r="1280" spans="1:13" x14ac:dyDescent="0.3">
      <c r="A1280" s="23">
        <v>45639</v>
      </c>
      <c r="B1280" t="s">
        <v>12</v>
      </c>
      <c r="C1280" t="s">
        <v>132</v>
      </c>
      <c r="D1280" t="s">
        <v>16</v>
      </c>
      <c r="E1280" t="s">
        <v>48</v>
      </c>
      <c r="F1280">
        <v>100000000</v>
      </c>
      <c r="G1280" t="s">
        <v>29</v>
      </c>
      <c r="H1280" t="s">
        <v>81</v>
      </c>
      <c r="I1280" t="s">
        <v>9</v>
      </c>
      <c r="L1280" t="s">
        <v>161</v>
      </c>
      <c r="M1280">
        <v>100000000</v>
      </c>
    </row>
    <row r="1281" spans="1:13" x14ac:dyDescent="0.3">
      <c r="A1281" s="23">
        <v>45638</v>
      </c>
      <c r="B1281" t="s">
        <v>12</v>
      </c>
      <c r="C1281" t="s">
        <v>132</v>
      </c>
      <c r="D1281" t="s">
        <v>17</v>
      </c>
      <c r="E1281" t="s">
        <v>48</v>
      </c>
      <c r="F1281">
        <v>19100000</v>
      </c>
      <c r="G1281" t="s">
        <v>29</v>
      </c>
      <c r="H1281" t="s">
        <v>81</v>
      </c>
      <c r="I1281" t="s">
        <v>9</v>
      </c>
      <c r="L1281" t="s">
        <v>161</v>
      </c>
      <c r="M1281">
        <v>-19100000</v>
      </c>
    </row>
    <row r="1282" spans="1:13" x14ac:dyDescent="0.3">
      <c r="A1282" s="23">
        <v>45631</v>
      </c>
      <c r="B1282" t="s">
        <v>12</v>
      </c>
      <c r="C1282" t="s">
        <v>132</v>
      </c>
      <c r="D1282" t="s">
        <v>17</v>
      </c>
      <c r="E1282" t="s">
        <v>48</v>
      </c>
      <c r="F1282">
        <v>50000000</v>
      </c>
      <c r="G1282" t="s">
        <v>29</v>
      </c>
      <c r="H1282" t="s">
        <v>81</v>
      </c>
      <c r="I1282" t="s">
        <v>9</v>
      </c>
      <c r="L1282" t="s">
        <v>161</v>
      </c>
      <c r="M1282">
        <v>-50000000</v>
      </c>
    </row>
    <row r="1283" spans="1:13" x14ac:dyDescent="0.3">
      <c r="A1283" s="23">
        <v>45630</v>
      </c>
      <c r="B1283" t="s">
        <v>12</v>
      </c>
      <c r="C1283" t="s">
        <v>132</v>
      </c>
      <c r="D1283" t="s">
        <v>16</v>
      </c>
      <c r="E1283" t="s">
        <v>48</v>
      </c>
      <c r="F1283">
        <v>6881256</v>
      </c>
      <c r="G1283" t="s">
        <v>29</v>
      </c>
      <c r="H1283" t="s">
        <v>81</v>
      </c>
      <c r="I1283" t="s">
        <v>9</v>
      </c>
      <c r="L1283" t="s">
        <v>161</v>
      </c>
      <c r="M1283">
        <v>6881256</v>
      </c>
    </row>
    <row r="1284" spans="1:13" x14ac:dyDescent="0.3">
      <c r="A1284" s="23">
        <v>45630</v>
      </c>
      <c r="B1284" t="s">
        <v>12</v>
      </c>
      <c r="C1284" t="s">
        <v>132</v>
      </c>
      <c r="D1284" t="s">
        <v>17</v>
      </c>
      <c r="E1284" t="s">
        <v>48</v>
      </c>
      <c r="F1284">
        <v>50000000</v>
      </c>
      <c r="G1284" t="s">
        <v>29</v>
      </c>
      <c r="H1284" t="s">
        <v>81</v>
      </c>
      <c r="I1284" t="s">
        <v>9</v>
      </c>
      <c r="L1284" t="s">
        <v>161</v>
      </c>
      <c r="M1284">
        <v>-50000000</v>
      </c>
    </row>
    <row r="1285" spans="1:13" x14ac:dyDescent="0.3">
      <c r="A1285" s="23">
        <v>45629</v>
      </c>
      <c r="B1285" t="s">
        <v>12</v>
      </c>
      <c r="C1285" t="s">
        <v>132</v>
      </c>
      <c r="D1285" t="s">
        <v>17</v>
      </c>
      <c r="E1285" t="s">
        <v>48</v>
      </c>
      <c r="F1285">
        <v>100000000</v>
      </c>
      <c r="G1285" t="s">
        <v>29</v>
      </c>
      <c r="H1285" t="s">
        <v>81</v>
      </c>
      <c r="I1285" t="s">
        <v>9</v>
      </c>
      <c r="L1285" t="s">
        <v>161</v>
      </c>
      <c r="M1285">
        <v>-100000000</v>
      </c>
    </row>
    <row r="1286" spans="1:13" x14ac:dyDescent="0.3">
      <c r="A1286" s="23">
        <v>45625</v>
      </c>
      <c r="B1286" t="s">
        <v>12</v>
      </c>
      <c r="C1286" t="s">
        <v>132</v>
      </c>
      <c r="D1286" t="s">
        <v>17</v>
      </c>
      <c r="E1286" t="s">
        <v>48</v>
      </c>
      <c r="F1286">
        <v>200000000</v>
      </c>
      <c r="G1286" t="s">
        <v>29</v>
      </c>
      <c r="H1286" t="s">
        <v>81</v>
      </c>
      <c r="I1286" t="s">
        <v>9</v>
      </c>
      <c r="L1286" t="s">
        <v>161</v>
      </c>
      <c r="M1286">
        <v>-200000000</v>
      </c>
    </row>
    <row r="1287" spans="1:13" x14ac:dyDescent="0.3">
      <c r="A1287" s="23">
        <v>44839</v>
      </c>
      <c r="B1287" t="s">
        <v>12</v>
      </c>
      <c r="C1287" t="s">
        <v>132</v>
      </c>
      <c r="D1287" t="s">
        <v>16</v>
      </c>
      <c r="E1287" t="s">
        <v>48</v>
      </c>
      <c r="F1287">
        <v>68300000</v>
      </c>
      <c r="G1287" t="s">
        <v>29</v>
      </c>
      <c r="H1287" t="s">
        <v>81</v>
      </c>
      <c r="I1287" t="s">
        <v>9</v>
      </c>
      <c r="L1287" t="s">
        <v>161</v>
      </c>
      <c r="M1287">
        <v>68300000</v>
      </c>
    </row>
    <row r="1288" spans="1:13" x14ac:dyDescent="0.3">
      <c r="A1288" s="23">
        <v>44840</v>
      </c>
      <c r="B1288" t="s">
        <v>12</v>
      </c>
      <c r="C1288" t="s">
        <v>132</v>
      </c>
      <c r="D1288" t="s">
        <v>17</v>
      </c>
      <c r="E1288" t="s">
        <v>48</v>
      </c>
      <c r="F1288">
        <v>48500000</v>
      </c>
      <c r="G1288" t="s">
        <v>29</v>
      </c>
      <c r="H1288" t="s">
        <v>81</v>
      </c>
      <c r="I1288" t="s">
        <v>9</v>
      </c>
      <c r="L1288" t="s">
        <v>161</v>
      </c>
      <c r="M1288">
        <v>-48500000</v>
      </c>
    </row>
    <row r="1289" spans="1:13" x14ac:dyDescent="0.3">
      <c r="A1289" s="23">
        <v>44845</v>
      </c>
      <c r="B1289" t="s">
        <v>12</v>
      </c>
      <c r="C1289" t="s">
        <v>132</v>
      </c>
      <c r="D1289" t="s">
        <v>17</v>
      </c>
      <c r="E1289" t="s">
        <v>48</v>
      </c>
      <c r="F1289">
        <v>19800000.000000007</v>
      </c>
      <c r="G1289" t="s">
        <v>29</v>
      </c>
      <c r="H1289" t="s">
        <v>81</v>
      </c>
      <c r="I1289" t="s">
        <v>9</v>
      </c>
      <c r="L1289" t="s">
        <v>161</v>
      </c>
      <c r="M1289">
        <v>-19800000</v>
      </c>
    </row>
    <row r="1290" spans="1:13" x14ac:dyDescent="0.3">
      <c r="A1290" s="23">
        <v>45623</v>
      </c>
      <c r="B1290" t="s">
        <v>12</v>
      </c>
      <c r="C1290" t="s">
        <v>132</v>
      </c>
      <c r="D1290" t="s">
        <v>16</v>
      </c>
      <c r="E1290" t="s">
        <v>48</v>
      </c>
      <c r="F1290">
        <v>372700000</v>
      </c>
      <c r="G1290" t="s">
        <v>29</v>
      </c>
      <c r="H1290" t="s">
        <v>81</v>
      </c>
      <c r="I1290" t="s">
        <v>9</v>
      </c>
      <c r="L1290" t="s">
        <v>161</v>
      </c>
      <c r="M1290">
        <v>372700000</v>
      </c>
    </row>
    <row r="1291" spans="1:13" x14ac:dyDescent="0.3">
      <c r="A1291" s="23">
        <v>45621</v>
      </c>
      <c r="B1291" t="s">
        <v>12</v>
      </c>
      <c r="C1291" t="s">
        <v>132</v>
      </c>
      <c r="D1291" t="s">
        <v>17</v>
      </c>
      <c r="E1291" t="s">
        <v>48</v>
      </c>
      <c r="F1291">
        <v>120000000</v>
      </c>
      <c r="G1291" t="s">
        <v>29</v>
      </c>
      <c r="H1291" t="s">
        <v>81</v>
      </c>
      <c r="I1291" t="s">
        <v>9</v>
      </c>
      <c r="L1291" t="s">
        <v>161</v>
      </c>
      <c r="M1291">
        <v>-120000000</v>
      </c>
    </row>
    <row r="1292" spans="1:13" x14ac:dyDescent="0.3">
      <c r="A1292" s="23">
        <v>45617</v>
      </c>
      <c r="B1292" t="s">
        <v>12</v>
      </c>
      <c r="C1292" t="s">
        <v>132</v>
      </c>
      <c r="D1292" t="s">
        <v>17</v>
      </c>
      <c r="E1292" t="s">
        <v>48</v>
      </c>
      <c r="F1292">
        <v>200000000</v>
      </c>
      <c r="G1292" t="s">
        <v>29</v>
      </c>
      <c r="H1292" t="s">
        <v>81</v>
      </c>
      <c r="I1292" t="s">
        <v>9</v>
      </c>
      <c r="L1292" t="s">
        <v>161</v>
      </c>
      <c r="M1292">
        <v>-200000000</v>
      </c>
    </row>
    <row r="1293" spans="1:13" x14ac:dyDescent="0.3">
      <c r="A1293" s="23">
        <v>45615</v>
      </c>
      <c r="B1293" t="s">
        <v>12</v>
      </c>
      <c r="C1293" t="s">
        <v>132</v>
      </c>
      <c r="D1293" t="s">
        <v>17</v>
      </c>
      <c r="E1293" t="s">
        <v>48</v>
      </c>
      <c r="F1293">
        <v>190300000</v>
      </c>
      <c r="G1293" t="s">
        <v>29</v>
      </c>
      <c r="H1293" t="s">
        <v>81</v>
      </c>
      <c r="I1293" t="s">
        <v>9</v>
      </c>
      <c r="L1293" t="s">
        <v>161</v>
      </c>
      <c r="M1293">
        <v>-190300000</v>
      </c>
    </row>
    <row r="1294" spans="1:13" x14ac:dyDescent="0.3">
      <c r="A1294" s="23">
        <v>45608</v>
      </c>
      <c r="B1294" t="s">
        <v>12</v>
      </c>
      <c r="C1294" t="s">
        <v>132</v>
      </c>
      <c r="D1294" t="s">
        <v>16</v>
      </c>
      <c r="E1294" t="s">
        <v>48</v>
      </c>
      <c r="F1294">
        <v>525200000</v>
      </c>
      <c r="G1294" t="s">
        <v>29</v>
      </c>
      <c r="H1294" t="s">
        <v>81</v>
      </c>
      <c r="I1294" t="s">
        <v>9</v>
      </c>
      <c r="L1294" t="s">
        <v>161</v>
      </c>
      <c r="M1294">
        <v>525200000</v>
      </c>
    </row>
    <row r="1295" spans="1:13" x14ac:dyDescent="0.3">
      <c r="A1295" s="23">
        <v>45607</v>
      </c>
      <c r="B1295" t="s">
        <v>12</v>
      </c>
      <c r="C1295" t="s">
        <v>132</v>
      </c>
      <c r="D1295" t="s">
        <v>16</v>
      </c>
      <c r="E1295" t="s">
        <v>48</v>
      </c>
      <c r="F1295">
        <v>1092468</v>
      </c>
      <c r="G1295" t="s">
        <v>29</v>
      </c>
      <c r="H1295" t="s">
        <v>81</v>
      </c>
      <c r="I1295" t="s">
        <v>9</v>
      </c>
      <c r="L1295" t="s">
        <v>161</v>
      </c>
      <c r="M1295">
        <v>1092468</v>
      </c>
    </row>
    <row r="1296" spans="1:13" x14ac:dyDescent="0.3">
      <c r="A1296" s="23">
        <v>44875</v>
      </c>
      <c r="B1296" t="s">
        <v>12</v>
      </c>
      <c r="C1296" t="s">
        <v>132</v>
      </c>
      <c r="D1296" t="s">
        <v>16</v>
      </c>
      <c r="E1296" t="s">
        <v>48</v>
      </c>
      <c r="F1296">
        <v>305600000</v>
      </c>
      <c r="G1296" t="s">
        <v>29</v>
      </c>
      <c r="H1296" t="s">
        <v>81</v>
      </c>
      <c r="I1296" t="s">
        <v>9</v>
      </c>
      <c r="L1296" t="s">
        <v>161</v>
      </c>
      <c r="M1296">
        <v>305600000</v>
      </c>
    </row>
    <row r="1297" spans="1:13" x14ac:dyDescent="0.3">
      <c r="A1297" s="23">
        <v>44876</v>
      </c>
      <c r="B1297" t="s">
        <v>12</v>
      </c>
      <c r="C1297" t="s">
        <v>132</v>
      </c>
      <c r="D1297" t="s">
        <v>17</v>
      </c>
      <c r="E1297" t="s">
        <v>48</v>
      </c>
      <c r="F1297">
        <v>56000000</v>
      </c>
      <c r="G1297" t="s">
        <v>29</v>
      </c>
      <c r="H1297" t="s">
        <v>81</v>
      </c>
      <c r="I1297" t="s">
        <v>9</v>
      </c>
      <c r="L1297" t="s">
        <v>161</v>
      </c>
      <c r="M1297">
        <v>-56000000</v>
      </c>
    </row>
    <row r="1298" spans="1:13" x14ac:dyDescent="0.3">
      <c r="A1298" s="23">
        <v>44879</v>
      </c>
      <c r="B1298" t="s">
        <v>12</v>
      </c>
      <c r="C1298" t="s">
        <v>132</v>
      </c>
      <c r="D1298" t="s">
        <v>17</v>
      </c>
      <c r="E1298" t="s">
        <v>48</v>
      </c>
      <c r="F1298">
        <v>150700000</v>
      </c>
      <c r="G1298" t="s">
        <v>29</v>
      </c>
      <c r="H1298" t="s">
        <v>81</v>
      </c>
      <c r="I1298" t="s">
        <v>9</v>
      </c>
      <c r="L1298" t="s">
        <v>161</v>
      </c>
      <c r="M1298">
        <v>-150700000</v>
      </c>
    </row>
    <row r="1299" spans="1:13" x14ac:dyDescent="0.3">
      <c r="A1299" s="23">
        <v>44880</v>
      </c>
      <c r="B1299" t="s">
        <v>12</v>
      </c>
      <c r="C1299" t="s">
        <v>132</v>
      </c>
      <c r="D1299" t="s">
        <v>17</v>
      </c>
      <c r="E1299" t="s">
        <v>48</v>
      </c>
      <c r="F1299">
        <v>26300000</v>
      </c>
      <c r="G1299" t="s">
        <v>29</v>
      </c>
      <c r="H1299" t="s">
        <v>81</v>
      </c>
      <c r="I1299" t="s">
        <v>9</v>
      </c>
      <c r="L1299" t="s">
        <v>161</v>
      </c>
      <c r="M1299">
        <v>-26300000</v>
      </c>
    </row>
    <row r="1300" spans="1:13" x14ac:dyDescent="0.3">
      <c r="A1300" s="23">
        <v>44881</v>
      </c>
      <c r="B1300" t="s">
        <v>12</v>
      </c>
      <c r="C1300" t="s">
        <v>132</v>
      </c>
      <c r="D1300" t="s">
        <v>17</v>
      </c>
      <c r="E1300" t="s">
        <v>48</v>
      </c>
      <c r="F1300">
        <v>69000000</v>
      </c>
      <c r="G1300" t="s">
        <v>29</v>
      </c>
      <c r="H1300" t="s">
        <v>81</v>
      </c>
      <c r="I1300" t="s">
        <v>9</v>
      </c>
      <c r="L1300" t="s">
        <v>161</v>
      </c>
      <c r="M1300">
        <v>-69000000</v>
      </c>
    </row>
    <row r="1301" spans="1:13" x14ac:dyDescent="0.3">
      <c r="A1301" s="23">
        <v>44894</v>
      </c>
      <c r="B1301" t="s">
        <v>12</v>
      </c>
      <c r="C1301" t="s">
        <v>132</v>
      </c>
      <c r="D1301" t="s">
        <v>16</v>
      </c>
      <c r="E1301" t="s">
        <v>48</v>
      </c>
      <c r="F1301">
        <v>128700000</v>
      </c>
      <c r="G1301" t="s">
        <v>29</v>
      </c>
      <c r="H1301" t="s">
        <v>81</v>
      </c>
      <c r="I1301" t="s">
        <v>9</v>
      </c>
      <c r="L1301" t="s">
        <v>161</v>
      </c>
      <c r="M1301">
        <v>128700000</v>
      </c>
    </row>
    <row r="1302" spans="1:13" x14ac:dyDescent="0.3">
      <c r="A1302" s="23">
        <v>44895</v>
      </c>
      <c r="B1302" t="s">
        <v>12</v>
      </c>
      <c r="C1302" t="s">
        <v>132</v>
      </c>
      <c r="D1302" t="s">
        <v>17</v>
      </c>
      <c r="E1302" t="s">
        <v>48</v>
      </c>
      <c r="F1302">
        <v>103600000</v>
      </c>
      <c r="G1302" t="s">
        <v>29</v>
      </c>
      <c r="H1302" t="s">
        <v>81</v>
      </c>
      <c r="I1302" t="s">
        <v>9</v>
      </c>
      <c r="L1302" t="s">
        <v>161</v>
      </c>
      <c r="M1302">
        <v>-103600000</v>
      </c>
    </row>
    <row r="1303" spans="1:13" x14ac:dyDescent="0.3">
      <c r="A1303" s="23">
        <v>44896</v>
      </c>
      <c r="B1303" t="s">
        <v>12</v>
      </c>
      <c r="C1303" t="s">
        <v>132</v>
      </c>
      <c r="D1303" t="s">
        <v>17</v>
      </c>
      <c r="E1303" t="s">
        <v>48</v>
      </c>
      <c r="F1303">
        <v>23000000</v>
      </c>
      <c r="G1303" t="s">
        <v>29</v>
      </c>
      <c r="H1303" t="s">
        <v>81</v>
      </c>
      <c r="I1303" t="s">
        <v>9</v>
      </c>
      <c r="L1303" t="s">
        <v>161</v>
      </c>
      <c r="M1303">
        <v>-23000000</v>
      </c>
    </row>
    <row r="1304" spans="1:13" x14ac:dyDescent="0.3">
      <c r="A1304" s="23">
        <v>45582</v>
      </c>
      <c r="B1304" t="s">
        <v>12</v>
      </c>
      <c r="C1304" t="s">
        <v>132</v>
      </c>
      <c r="D1304" t="s">
        <v>16</v>
      </c>
      <c r="E1304" t="s">
        <v>48</v>
      </c>
      <c r="F1304">
        <v>1717036</v>
      </c>
      <c r="G1304" t="s">
        <v>29</v>
      </c>
      <c r="H1304" t="s">
        <v>81</v>
      </c>
      <c r="I1304" t="s">
        <v>9</v>
      </c>
      <c r="L1304" t="s">
        <v>161</v>
      </c>
      <c r="M1304">
        <v>1717036</v>
      </c>
    </row>
    <row r="1305" spans="1:13" x14ac:dyDescent="0.3">
      <c r="A1305" s="23">
        <v>44908</v>
      </c>
      <c r="B1305" t="s">
        <v>12</v>
      </c>
      <c r="C1305" t="s">
        <v>132</v>
      </c>
      <c r="D1305" t="s">
        <v>17</v>
      </c>
      <c r="E1305" t="s">
        <v>48</v>
      </c>
      <c r="F1305">
        <v>5700000</v>
      </c>
      <c r="G1305" t="s">
        <v>29</v>
      </c>
      <c r="H1305" t="s">
        <v>81</v>
      </c>
      <c r="I1305" t="s">
        <v>9</v>
      </c>
      <c r="L1305" t="s">
        <v>161</v>
      </c>
      <c r="M1305">
        <v>-5700000</v>
      </c>
    </row>
    <row r="1306" spans="1:13" x14ac:dyDescent="0.3">
      <c r="A1306" s="23">
        <v>45574</v>
      </c>
      <c r="B1306" t="s">
        <v>12</v>
      </c>
      <c r="C1306" t="s">
        <v>132</v>
      </c>
      <c r="D1306" t="s">
        <v>17</v>
      </c>
      <c r="E1306" t="s">
        <v>48</v>
      </c>
      <c r="F1306">
        <v>100000000</v>
      </c>
      <c r="G1306" t="s">
        <v>29</v>
      </c>
      <c r="H1306" t="s">
        <v>81</v>
      </c>
      <c r="I1306" t="s">
        <v>9</v>
      </c>
      <c r="L1306" t="s">
        <v>161</v>
      </c>
      <c r="M1306">
        <v>-100000000</v>
      </c>
    </row>
    <row r="1307" spans="1:13" x14ac:dyDescent="0.3">
      <c r="A1307" s="23">
        <v>45573</v>
      </c>
      <c r="B1307" t="s">
        <v>12</v>
      </c>
      <c r="C1307" t="s">
        <v>132</v>
      </c>
      <c r="D1307" t="s">
        <v>17</v>
      </c>
      <c r="E1307" t="s">
        <v>48</v>
      </c>
      <c r="F1307">
        <v>20000000</v>
      </c>
      <c r="G1307" t="s">
        <v>29</v>
      </c>
      <c r="H1307" t="s">
        <v>81</v>
      </c>
      <c r="I1307" t="s">
        <v>9</v>
      </c>
      <c r="L1307" t="s">
        <v>161</v>
      </c>
      <c r="M1307">
        <v>-20000000</v>
      </c>
    </row>
    <row r="1308" spans="1:13" x14ac:dyDescent="0.3">
      <c r="A1308" s="23">
        <v>44915</v>
      </c>
      <c r="B1308" t="s">
        <v>12</v>
      </c>
      <c r="C1308" t="s">
        <v>132</v>
      </c>
      <c r="D1308" t="s">
        <v>16</v>
      </c>
      <c r="E1308" t="s">
        <v>48</v>
      </c>
      <c r="F1308">
        <v>151000000</v>
      </c>
      <c r="G1308" t="s">
        <v>29</v>
      </c>
      <c r="H1308" t="s">
        <v>81</v>
      </c>
      <c r="I1308" t="s">
        <v>9</v>
      </c>
      <c r="L1308" t="s">
        <v>161</v>
      </c>
      <c r="M1308">
        <v>151000000</v>
      </c>
    </row>
    <row r="1309" spans="1:13" x14ac:dyDescent="0.3">
      <c r="A1309" s="23">
        <v>44917</v>
      </c>
      <c r="B1309" t="s">
        <v>12</v>
      </c>
      <c r="C1309" t="s">
        <v>132</v>
      </c>
      <c r="D1309" t="s">
        <v>17</v>
      </c>
      <c r="E1309" t="s">
        <v>48</v>
      </c>
      <c r="F1309">
        <v>32800000</v>
      </c>
      <c r="G1309" t="s">
        <v>29</v>
      </c>
      <c r="H1309" t="s">
        <v>81</v>
      </c>
      <c r="I1309" t="s">
        <v>9</v>
      </c>
      <c r="L1309" t="s">
        <v>161</v>
      </c>
      <c r="M1309">
        <v>-32800000</v>
      </c>
    </row>
    <row r="1310" spans="1:13" x14ac:dyDescent="0.3">
      <c r="A1310" s="23">
        <v>44921</v>
      </c>
      <c r="B1310" t="s">
        <v>12</v>
      </c>
      <c r="C1310" t="s">
        <v>132</v>
      </c>
      <c r="D1310" t="s">
        <v>16</v>
      </c>
      <c r="E1310" t="s">
        <v>48</v>
      </c>
      <c r="F1310">
        <v>700408</v>
      </c>
      <c r="G1310" t="s">
        <v>29</v>
      </c>
      <c r="H1310" t="s">
        <v>81</v>
      </c>
      <c r="I1310" t="s">
        <v>9</v>
      </c>
      <c r="J1310" t="s">
        <v>155</v>
      </c>
      <c r="L1310" t="s">
        <v>161</v>
      </c>
      <c r="M1310">
        <v>700408</v>
      </c>
    </row>
    <row r="1311" spans="1:13" x14ac:dyDescent="0.3">
      <c r="A1311" s="23">
        <v>45567</v>
      </c>
      <c r="B1311" t="s">
        <v>12</v>
      </c>
      <c r="C1311" t="s">
        <v>132</v>
      </c>
      <c r="D1311" t="s">
        <v>16</v>
      </c>
      <c r="E1311" t="s">
        <v>48</v>
      </c>
      <c r="F1311">
        <v>150500000</v>
      </c>
      <c r="G1311" t="s">
        <v>29</v>
      </c>
      <c r="H1311" t="s">
        <v>81</v>
      </c>
      <c r="I1311" t="s">
        <v>9</v>
      </c>
      <c r="L1311" t="s">
        <v>161</v>
      </c>
      <c r="M1311">
        <v>150500000</v>
      </c>
    </row>
    <row r="1312" spans="1:13" x14ac:dyDescent="0.3">
      <c r="A1312" s="23">
        <v>44921</v>
      </c>
      <c r="B1312" t="s">
        <v>12</v>
      </c>
      <c r="C1312" t="s">
        <v>132</v>
      </c>
      <c r="D1312" t="s">
        <v>17</v>
      </c>
      <c r="E1312" t="s">
        <v>48</v>
      </c>
      <c r="F1312">
        <v>72500000</v>
      </c>
      <c r="G1312" t="s">
        <v>29</v>
      </c>
      <c r="H1312" t="s">
        <v>81</v>
      </c>
      <c r="I1312" t="s">
        <v>9</v>
      </c>
      <c r="L1312" t="s">
        <v>161</v>
      </c>
      <c r="M1312">
        <v>-72500000</v>
      </c>
    </row>
    <row r="1313" spans="1:13" x14ac:dyDescent="0.3">
      <c r="A1313" s="23">
        <v>45566</v>
      </c>
      <c r="B1313" t="s">
        <v>12</v>
      </c>
      <c r="C1313" t="s">
        <v>132</v>
      </c>
      <c r="D1313" t="s">
        <v>17</v>
      </c>
      <c r="E1313" t="s">
        <v>48</v>
      </c>
      <c r="F1313">
        <v>200000000</v>
      </c>
      <c r="G1313" t="s">
        <v>29</v>
      </c>
      <c r="H1313" t="s">
        <v>81</v>
      </c>
      <c r="I1313" t="s">
        <v>9</v>
      </c>
      <c r="L1313" t="s">
        <v>161</v>
      </c>
      <c r="M1313">
        <v>-200000000</v>
      </c>
    </row>
    <row r="1314" spans="1:13" x14ac:dyDescent="0.3">
      <c r="A1314" s="23">
        <v>44925</v>
      </c>
      <c r="B1314" t="s">
        <v>12</v>
      </c>
      <c r="C1314" t="s">
        <v>132</v>
      </c>
      <c r="D1314" t="s">
        <v>17</v>
      </c>
      <c r="E1314" t="s">
        <v>48</v>
      </c>
      <c r="F1314">
        <v>35000000</v>
      </c>
      <c r="G1314" t="s">
        <v>29</v>
      </c>
      <c r="H1314" t="s">
        <v>81</v>
      </c>
      <c r="I1314" t="s">
        <v>9</v>
      </c>
      <c r="L1314" t="s">
        <v>161</v>
      </c>
      <c r="M1314">
        <v>-35000000</v>
      </c>
    </row>
    <row r="1315" spans="1:13" x14ac:dyDescent="0.3">
      <c r="A1315" s="23">
        <v>45565</v>
      </c>
      <c r="B1315" t="s">
        <v>12</v>
      </c>
      <c r="C1315" t="s">
        <v>132</v>
      </c>
      <c r="D1315" t="s">
        <v>16</v>
      </c>
      <c r="E1315" t="s">
        <v>48</v>
      </c>
      <c r="F1315">
        <v>3800000</v>
      </c>
      <c r="G1315" t="s">
        <v>29</v>
      </c>
      <c r="H1315" t="s">
        <v>81</v>
      </c>
      <c r="I1315" t="s">
        <v>9</v>
      </c>
      <c r="L1315" t="s">
        <v>161</v>
      </c>
      <c r="M1315">
        <v>3800000</v>
      </c>
    </row>
    <row r="1316" spans="1:13" x14ac:dyDescent="0.3">
      <c r="A1316" s="23">
        <v>44938</v>
      </c>
      <c r="B1316" t="s">
        <v>12</v>
      </c>
      <c r="C1316" t="s">
        <v>132</v>
      </c>
      <c r="D1316" t="s">
        <v>17</v>
      </c>
      <c r="E1316" t="s">
        <v>48</v>
      </c>
      <c r="F1316">
        <v>11400408</v>
      </c>
      <c r="G1316" t="s">
        <v>29</v>
      </c>
      <c r="H1316" t="s">
        <v>81</v>
      </c>
      <c r="I1316" t="s">
        <v>9</v>
      </c>
      <c r="L1316" t="s">
        <v>161</v>
      </c>
      <c r="M1316">
        <v>-11400408</v>
      </c>
    </row>
    <row r="1317" spans="1:13" x14ac:dyDescent="0.3">
      <c r="A1317" s="23">
        <v>45547</v>
      </c>
      <c r="B1317" t="s">
        <v>12</v>
      </c>
      <c r="C1317" t="s">
        <v>132</v>
      </c>
      <c r="D1317" t="s">
        <v>16</v>
      </c>
      <c r="E1317" t="s">
        <v>48</v>
      </c>
      <c r="F1317">
        <v>200000000</v>
      </c>
      <c r="G1317" t="s">
        <v>29</v>
      </c>
      <c r="H1317" t="s">
        <v>81</v>
      </c>
      <c r="I1317" t="s">
        <v>9</v>
      </c>
      <c r="L1317" t="s">
        <v>161</v>
      </c>
      <c r="M1317">
        <v>200000000</v>
      </c>
    </row>
    <row r="1318" spans="1:13" x14ac:dyDescent="0.3">
      <c r="A1318" s="23">
        <v>44960</v>
      </c>
      <c r="B1318" t="s">
        <v>12</v>
      </c>
      <c r="C1318" t="s">
        <v>132</v>
      </c>
      <c r="D1318" t="s">
        <v>16</v>
      </c>
      <c r="E1318" t="s">
        <v>48</v>
      </c>
      <c r="F1318">
        <v>269000000</v>
      </c>
      <c r="G1318" t="s">
        <v>29</v>
      </c>
      <c r="H1318" t="s">
        <v>81</v>
      </c>
      <c r="I1318" t="s">
        <v>9</v>
      </c>
      <c r="L1318" t="s">
        <v>161</v>
      </c>
      <c r="M1318">
        <v>269000000</v>
      </c>
    </row>
    <row r="1319" spans="1:13" x14ac:dyDescent="0.3">
      <c r="A1319" s="23">
        <v>45538</v>
      </c>
      <c r="B1319" t="s">
        <v>12</v>
      </c>
      <c r="C1319" t="s">
        <v>132</v>
      </c>
      <c r="D1319" t="s">
        <v>16</v>
      </c>
      <c r="E1319" t="s">
        <v>48</v>
      </c>
      <c r="F1319">
        <v>4881000</v>
      </c>
      <c r="G1319" t="s">
        <v>29</v>
      </c>
      <c r="H1319" t="s">
        <v>81</v>
      </c>
      <c r="I1319" t="s">
        <v>9</v>
      </c>
      <c r="L1319" t="s">
        <v>161</v>
      </c>
      <c r="M1319">
        <v>4881000</v>
      </c>
    </row>
    <row r="1320" spans="1:13" x14ac:dyDescent="0.3">
      <c r="A1320" s="23">
        <v>44963</v>
      </c>
      <c r="B1320" t="s">
        <v>12</v>
      </c>
      <c r="C1320" t="s">
        <v>132</v>
      </c>
      <c r="D1320" t="s">
        <v>17</v>
      </c>
      <c r="E1320" t="s">
        <v>48</v>
      </c>
      <c r="F1320">
        <v>269000000</v>
      </c>
      <c r="G1320" t="s">
        <v>29</v>
      </c>
      <c r="H1320" t="s">
        <v>81</v>
      </c>
      <c r="I1320" t="s">
        <v>9</v>
      </c>
      <c r="L1320" t="s">
        <v>161</v>
      </c>
      <c r="M1320">
        <v>-269000000</v>
      </c>
    </row>
    <row r="1321" spans="1:13" x14ac:dyDescent="0.3">
      <c r="A1321" s="23">
        <v>45531</v>
      </c>
      <c r="B1321" t="s">
        <v>12</v>
      </c>
      <c r="C1321" t="s">
        <v>132</v>
      </c>
      <c r="D1321" t="s">
        <v>17</v>
      </c>
      <c r="E1321" t="s">
        <v>48</v>
      </c>
      <c r="F1321">
        <v>45000000</v>
      </c>
      <c r="G1321" t="s">
        <v>29</v>
      </c>
      <c r="H1321" t="s">
        <v>81</v>
      </c>
      <c r="I1321" t="s">
        <v>9</v>
      </c>
      <c r="L1321" t="s">
        <v>161</v>
      </c>
      <c r="M1321">
        <v>-45000000</v>
      </c>
    </row>
    <row r="1322" spans="1:13" x14ac:dyDescent="0.3">
      <c r="A1322" s="23">
        <v>45527</v>
      </c>
      <c r="B1322" t="s">
        <v>12</v>
      </c>
      <c r="C1322" t="s">
        <v>132</v>
      </c>
      <c r="D1322" t="s">
        <v>17</v>
      </c>
      <c r="E1322" t="s">
        <v>48</v>
      </c>
      <c r="F1322">
        <v>150000000</v>
      </c>
      <c r="G1322" t="s">
        <v>29</v>
      </c>
      <c r="H1322" t="s">
        <v>81</v>
      </c>
      <c r="I1322" t="s">
        <v>9</v>
      </c>
      <c r="L1322" t="s">
        <v>161</v>
      </c>
      <c r="M1322">
        <v>-150000000</v>
      </c>
    </row>
    <row r="1323" spans="1:13" x14ac:dyDescent="0.3">
      <c r="A1323" s="23">
        <v>45526</v>
      </c>
      <c r="B1323" t="s">
        <v>12</v>
      </c>
      <c r="C1323" t="s">
        <v>132</v>
      </c>
      <c r="D1323" t="s">
        <v>17</v>
      </c>
      <c r="E1323" t="s">
        <v>48</v>
      </c>
      <c r="F1323">
        <v>41800000</v>
      </c>
      <c r="G1323" t="s">
        <v>29</v>
      </c>
      <c r="H1323" t="s">
        <v>81</v>
      </c>
      <c r="I1323" t="s">
        <v>9</v>
      </c>
      <c r="L1323" t="s">
        <v>161</v>
      </c>
      <c r="M1323">
        <v>-41800000</v>
      </c>
    </row>
    <row r="1324" spans="1:13" x14ac:dyDescent="0.3">
      <c r="A1324" s="23">
        <v>45524</v>
      </c>
      <c r="B1324" t="s">
        <v>12</v>
      </c>
      <c r="C1324" t="s">
        <v>132</v>
      </c>
      <c r="D1324" t="s">
        <v>17</v>
      </c>
      <c r="E1324" t="s">
        <v>48</v>
      </c>
      <c r="F1324">
        <v>100000000</v>
      </c>
      <c r="G1324" t="s">
        <v>29</v>
      </c>
      <c r="H1324" t="s">
        <v>81</v>
      </c>
      <c r="I1324" t="s">
        <v>9</v>
      </c>
      <c r="L1324" t="s">
        <v>161</v>
      </c>
      <c r="M1324">
        <v>-100000000</v>
      </c>
    </row>
    <row r="1325" spans="1:13" x14ac:dyDescent="0.3">
      <c r="A1325" s="23">
        <v>45001</v>
      </c>
      <c r="B1325" t="s">
        <v>12</v>
      </c>
      <c r="C1325" t="s">
        <v>132</v>
      </c>
      <c r="D1325" t="s">
        <v>16</v>
      </c>
      <c r="E1325" t="s">
        <v>48</v>
      </c>
      <c r="F1325">
        <v>235600000</v>
      </c>
      <c r="G1325" t="s">
        <v>29</v>
      </c>
      <c r="H1325" t="s">
        <v>81</v>
      </c>
      <c r="I1325" t="s">
        <v>9</v>
      </c>
      <c r="L1325" t="s">
        <v>161</v>
      </c>
      <c r="M1325">
        <v>235600000</v>
      </c>
    </row>
    <row r="1326" spans="1:13" x14ac:dyDescent="0.3">
      <c r="A1326" s="23">
        <v>45517</v>
      </c>
      <c r="B1326" t="s">
        <v>12</v>
      </c>
      <c r="C1326" t="s">
        <v>132</v>
      </c>
      <c r="D1326" t="s">
        <v>16</v>
      </c>
      <c r="E1326" t="s">
        <v>48</v>
      </c>
      <c r="F1326">
        <v>221000000</v>
      </c>
      <c r="G1326" t="s">
        <v>29</v>
      </c>
      <c r="H1326" t="s">
        <v>81</v>
      </c>
      <c r="I1326" t="s">
        <v>9</v>
      </c>
      <c r="L1326" t="s">
        <v>161</v>
      </c>
      <c r="M1326">
        <v>221000000</v>
      </c>
    </row>
    <row r="1327" spans="1:13" x14ac:dyDescent="0.3">
      <c r="A1327" s="23">
        <v>45006</v>
      </c>
      <c r="B1327" t="s">
        <v>12</v>
      </c>
      <c r="C1327" t="s">
        <v>132</v>
      </c>
      <c r="D1327" t="s">
        <v>17</v>
      </c>
      <c r="E1327" t="s">
        <v>48</v>
      </c>
      <c r="F1327">
        <v>11600000</v>
      </c>
      <c r="G1327" t="s">
        <v>29</v>
      </c>
      <c r="H1327" t="s">
        <v>81</v>
      </c>
      <c r="I1327" t="s">
        <v>9</v>
      </c>
      <c r="L1327" t="s">
        <v>161</v>
      </c>
      <c r="M1327">
        <v>-11600000</v>
      </c>
    </row>
    <row r="1328" spans="1:13" x14ac:dyDescent="0.3">
      <c r="A1328" s="23">
        <v>45012</v>
      </c>
      <c r="B1328" t="s">
        <v>12</v>
      </c>
      <c r="C1328" t="s">
        <v>132</v>
      </c>
      <c r="D1328" t="s">
        <v>17</v>
      </c>
      <c r="E1328" t="s">
        <v>48</v>
      </c>
      <c r="F1328">
        <v>50000000</v>
      </c>
      <c r="G1328" t="s">
        <v>29</v>
      </c>
      <c r="H1328" t="s">
        <v>81</v>
      </c>
      <c r="I1328" t="s">
        <v>9</v>
      </c>
      <c r="L1328" t="s">
        <v>161</v>
      </c>
      <c r="M1328">
        <v>-50000000</v>
      </c>
    </row>
    <row r="1329" spans="1:13" x14ac:dyDescent="0.3">
      <c r="A1329" s="23">
        <v>45013</v>
      </c>
      <c r="B1329" t="s">
        <v>12</v>
      </c>
      <c r="C1329" t="s">
        <v>132</v>
      </c>
      <c r="D1329" t="s">
        <v>17</v>
      </c>
      <c r="E1329" t="s">
        <v>48</v>
      </c>
      <c r="F1329">
        <v>150000000</v>
      </c>
      <c r="G1329" t="s">
        <v>29</v>
      </c>
      <c r="H1329" t="s">
        <v>81</v>
      </c>
      <c r="I1329" t="s">
        <v>9</v>
      </c>
      <c r="L1329" t="s">
        <v>161</v>
      </c>
      <c r="M1329">
        <v>-150000000</v>
      </c>
    </row>
    <row r="1330" spans="1:13" x14ac:dyDescent="0.3">
      <c r="A1330" s="23">
        <v>45504</v>
      </c>
      <c r="B1330" t="s">
        <v>12</v>
      </c>
      <c r="C1330" t="s">
        <v>132</v>
      </c>
      <c r="D1330" t="s">
        <v>16</v>
      </c>
      <c r="E1330" t="s">
        <v>48</v>
      </c>
      <c r="F1330">
        <v>27932000</v>
      </c>
      <c r="G1330" t="s">
        <v>29</v>
      </c>
      <c r="H1330" t="s">
        <v>81</v>
      </c>
      <c r="I1330" t="s">
        <v>9</v>
      </c>
      <c r="L1330" t="s">
        <v>161</v>
      </c>
      <c r="M1330">
        <v>27932000</v>
      </c>
    </row>
    <row r="1331" spans="1:13" x14ac:dyDescent="0.3">
      <c r="A1331" s="23">
        <v>45504</v>
      </c>
      <c r="B1331" t="s">
        <v>12</v>
      </c>
      <c r="C1331" t="s">
        <v>132</v>
      </c>
      <c r="D1331" t="s">
        <v>17</v>
      </c>
      <c r="E1331" t="s">
        <v>48</v>
      </c>
      <c r="F1331">
        <v>59000000</v>
      </c>
      <c r="G1331" t="s">
        <v>29</v>
      </c>
      <c r="H1331" t="s">
        <v>81</v>
      </c>
      <c r="I1331" t="s">
        <v>9</v>
      </c>
      <c r="L1331" t="s">
        <v>161</v>
      </c>
      <c r="M1331">
        <v>-59000000</v>
      </c>
    </row>
    <row r="1332" spans="1:13" x14ac:dyDescent="0.3">
      <c r="A1332" s="23">
        <v>45020</v>
      </c>
      <c r="B1332" t="s">
        <v>12</v>
      </c>
      <c r="C1332" t="s">
        <v>132</v>
      </c>
      <c r="D1332" t="s">
        <v>16</v>
      </c>
      <c r="E1332" t="s">
        <v>48</v>
      </c>
      <c r="F1332">
        <v>4800000</v>
      </c>
      <c r="G1332" t="s">
        <v>29</v>
      </c>
      <c r="H1332" t="s">
        <v>81</v>
      </c>
      <c r="I1332" t="s">
        <v>9</v>
      </c>
      <c r="L1332" t="s">
        <v>161</v>
      </c>
      <c r="M1332">
        <v>4800000</v>
      </c>
    </row>
    <row r="1333" spans="1:13" x14ac:dyDescent="0.3">
      <c r="A1333" s="23">
        <v>45020</v>
      </c>
      <c r="B1333" t="s">
        <v>12</v>
      </c>
      <c r="C1333" t="s">
        <v>132</v>
      </c>
      <c r="D1333" t="s">
        <v>17</v>
      </c>
      <c r="E1333" t="s">
        <v>48</v>
      </c>
      <c r="F1333">
        <v>28800000</v>
      </c>
      <c r="G1333" t="s">
        <v>29</v>
      </c>
      <c r="H1333" t="s">
        <v>81</v>
      </c>
      <c r="I1333" t="s">
        <v>9</v>
      </c>
      <c r="L1333" t="s">
        <v>161</v>
      </c>
      <c r="M1333">
        <v>-28800000</v>
      </c>
    </row>
    <row r="1334" spans="1:13" x14ac:dyDescent="0.3">
      <c r="A1334" s="23">
        <v>45502</v>
      </c>
      <c r="B1334" t="s">
        <v>12</v>
      </c>
      <c r="C1334" t="s">
        <v>132</v>
      </c>
      <c r="D1334" t="s">
        <v>16</v>
      </c>
      <c r="E1334" t="s">
        <v>48</v>
      </c>
      <c r="F1334">
        <v>18400000</v>
      </c>
      <c r="G1334" t="s">
        <v>29</v>
      </c>
      <c r="H1334" t="s">
        <v>81</v>
      </c>
      <c r="I1334" t="s">
        <v>9</v>
      </c>
      <c r="L1334" t="s">
        <v>161</v>
      </c>
      <c r="M1334">
        <v>18400000</v>
      </c>
    </row>
    <row r="1335" spans="1:13" x14ac:dyDescent="0.3">
      <c r="A1335" s="23">
        <v>45490</v>
      </c>
      <c r="B1335" t="s">
        <v>12</v>
      </c>
      <c r="C1335" t="s">
        <v>132</v>
      </c>
      <c r="D1335" t="s">
        <v>17</v>
      </c>
      <c r="E1335" t="s">
        <v>48</v>
      </c>
      <c r="F1335">
        <v>3100000</v>
      </c>
      <c r="G1335" t="s">
        <v>29</v>
      </c>
      <c r="H1335" t="s">
        <v>81</v>
      </c>
      <c r="I1335" t="s">
        <v>9</v>
      </c>
      <c r="L1335" t="s">
        <v>161</v>
      </c>
      <c r="M1335">
        <v>-3100000</v>
      </c>
    </row>
    <row r="1336" spans="1:13" x14ac:dyDescent="0.3">
      <c r="A1336" s="23">
        <v>45481</v>
      </c>
      <c r="B1336" t="s">
        <v>12</v>
      </c>
      <c r="C1336" t="s">
        <v>132</v>
      </c>
      <c r="D1336" t="s">
        <v>17</v>
      </c>
      <c r="E1336" t="s">
        <v>48</v>
      </c>
      <c r="F1336">
        <v>1070000000</v>
      </c>
      <c r="G1336" t="s">
        <v>29</v>
      </c>
      <c r="H1336" t="s">
        <v>81</v>
      </c>
      <c r="I1336" t="s">
        <v>9</v>
      </c>
      <c r="L1336" t="s">
        <v>161</v>
      </c>
      <c r="M1336">
        <v>-1070000000</v>
      </c>
    </row>
    <row r="1337" spans="1:13" x14ac:dyDescent="0.3">
      <c r="A1337" s="23">
        <v>45469</v>
      </c>
      <c r="B1337" t="s">
        <v>12</v>
      </c>
      <c r="C1337" t="s">
        <v>132</v>
      </c>
      <c r="D1337" t="s">
        <v>16</v>
      </c>
      <c r="E1337" t="s">
        <v>48</v>
      </c>
      <c r="F1337">
        <v>0</v>
      </c>
      <c r="G1337" t="s">
        <v>29</v>
      </c>
      <c r="H1337" t="s">
        <v>81</v>
      </c>
      <c r="I1337" t="s">
        <v>9</v>
      </c>
      <c r="L1337" t="s">
        <v>161</v>
      </c>
      <c r="M1337">
        <v>0</v>
      </c>
    </row>
    <row r="1338" spans="1:13" x14ac:dyDescent="0.3">
      <c r="A1338" s="23">
        <v>45055</v>
      </c>
      <c r="B1338" t="s">
        <v>12</v>
      </c>
      <c r="C1338" t="s">
        <v>132</v>
      </c>
      <c r="D1338" t="s">
        <v>16</v>
      </c>
      <c r="E1338" t="s">
        <v>48</v>
      </c>
      <c r="F1338">
        <v>440000000</v>
      </c>
      <c r="G1338" t="s">
        <v>29</v>
      </c>
      <c r="H1338" t="s">
        <v>81</v>
      </c>
      <c r="I1338" t="s">
        <v>9</v>
      </c>
      <c r="L1338" t="s">
        <v>161</v>
      </c>
      <c r="M1338">
        <v>440000000</v>
      </c>
    </row>
    <row r="1339" spans="1:13" x14ac:dyDescent="0.3">
      <c r="A1339" s="23">
        <v>45467</v>
      </c>
      <c r="B1339" t="s">
        <v>12</v>
      </c>
      <c r="C1339" t="s">
        <v>132</v>
      </c>
      <c r="D1339" t="s">
        <v>17</v>
      </c>
      <c r="E1339" t="s">
        <v>48</v>
      </c>
      <c r="F1339">
        <v>307100000</v>
      </c>
      <c r="G1339" t="s">
        <v>29</v>
      </c>
      <c r="H1339" t="s">
        <v>81</v>
      </c>
      <c r="I1339" t="s">
        <v>9</v>
      </c>
      <c r="L1339" t="s">
        <v>161</v>
      </c>
      <c r="M1339">
        <v>-307100000</v>
      </c>
    </row>
    <row r="1340" spans="1:13" x14ac:dyDescent="0.3">
      <c r="A1340" s="23">
        <v>45056</v>
      </c>
      <c r="B1340" t="s">
        <v>12</v>
      </c>
      <c r="C1340" t="s">
        <v>132</v>
      </c>
      <c r="D1340" t="s">
        <v>17</v>
      </c>
      <c r="E1340" t="s">
        <v>48</v>
      </c>
      <c r="F1340">
        <v>440000000</v>
      </c>
      <c r="G1340" t="s">
        <v>29</v>
      </c>
      <c r="H1340" t="s">
        <v>81</v>
      </c>
      <c r="I1340" t="s">
        <v>9</v>
      </c>
      <c r="L1340" t="s">
        <v>161</v>
      </c>
      <c r="M1340">
        <v>-440000000</v>
      </c>
    </row>
    <row r="1341" spans="1:13" x14ac:dyDescent="0.3">
      <c r="A1341" s="23">
        <v>45460</v>
      </c>
      <c r="B1341" t="s">
        <v>12</v>
      </c>
      <c r="C1341" t="s">
        <v>132</v>
      </c>
      <c r="D1341" t="s">
        <v>16</v>
      </c>
      <c r="E1341" t="s">
        <v>48</v>
      </c>
      <c r="F1341">
        <v>10960000</v>
      </c>
      <c r="G1341" t="s">
        <v>29</v>
      </c>
      <c r="H1341" t="s">
        <v>81</v>
      </c>
      <c r="I1341" t="s">
        <v>9</v>
      </c>
      <c r="L1341" t="s">
        <v>161</v>
      </c>
      <c r="M1341">
        <v>10960000</v>
      </c>
    </row>
    <row r="1342" spans="1:13" x14ac:dyDescent="0.3">
      <c r="A1342" s="23">
        <v>45453</v>
      </c>
      <c r="B1342" t="s">
        <v>12</v>
      </c>
      <c r="C1342" t="s">
        <v>132</v>
      </c>
      <c r="D1342" t="s">
        <v>16</v>
      </c>
      <c r="E1342" t="s">
        <v>48</v>
      </c>
      <c r="F1342">
        <v>1500000000</v>
      </c>
      <c r="G1342" t="s">
        <v>29</v>
      </c>
      <c r="H1342" t="s">
        <v>81</v>
      </c>
      <c r="I1342" t="s">
        <v>9</v>
      </c>
      <c r="L1342" t="s">
        <v>161</v>
      </c>
      <c r="M1342">
        <v>1500000000</v>
      </c>
    </row>
    <row r="1343" spans="1:13" x14ac:dyDescent="0.3">
      <c r="A1343" s="23">
        <v>45091</v>
      </c>
      <c r="B1343" t="s">
        <v>12</v>
      </c>
      <c r="C1343" t="s">
        <v>132</v>
      </c>
      <c r="D1343" t="s">
        <v>16</v>
      </c>
      <c r="E1343" t="s">
        <v>48</v>
      </c>
      <c r="F1343">
        <v>2041139.07</v>
      </c>
      <c r="G1343" t="s">
        <v>29</v>
      </c>
      <c r="H1343" t="s">
        <v>81</v>
      </c>
      <c r="I1343" t="s">
        <v>9</v>
      </c>
      <c r="J1343" t="s">
        <v>155</v>
      </c>
      <c r="L1343" t="s">
        <v>161</v>
      </c>
      <c r="M1343">
        <v>2041139.07</v>
      </c>
    </row>
    <row r="1344" spans="1:13" x14ac:dyDescent="0.3">
      <c r="A1344" s="23">
        <v>45099</v>
      </c>
      <c r="B1344" t="s">
        <v>12</v>
      </c>
      <c r="C1344" t="s">
        <v>132</v>
      </c>
      <c r="D1344" t="s">
        <v>17</v>
      </c>
      <c r="E1344" t="s">
        <v>48</v>
      </c>
      <c r="F1344">
        <v>2041139.0699999928</v>
      </c>
      <c r="G1344" t="s">
        <v>29</v>
      </c>
      <c r="H1344" t="s">
        <v>81</v>
      </c>
      <c r="I1344" t="s">
        <v>9</v>
      </c>
      <c r="L1344" t="s">
        <v>161</v>
      </c>
      <c r="M1344">
        <v>-2041139.07</v>
      </c>
    </row>
    <row r="1345" spans="1:13" x14ac:dyDescent="0.3">
      <c r="A1345" s="23">
        <v>45128</v>
      </c>
      <c r="B1345" t="s">
        <v>12</v>
      </c>
      <c r="C1345" t="s">
        <v>132</v>
      </c>
      <c r="D1345" t="s">
        <v>16</v>
      </c>
      <c r="E1345" t="s">
        <v>48</v>
      </c>
      <c r="F1345">
        <v>70200000</v>
      </c>
      <c r="G1345" t="s">
        <v>29</v>
      </c>
      <c r="H1345" t="s">
        <v>81</v>
      </c>
      <c r="I1345" t="s">
        <v>9</v>
      </c>
      <c r="L1345" t="s">
        <v>161</v>
      </c>
      <c r="M1345">
        <v>70200000</v>
      </c>
    </row>
    <row r="1346" spans="1:13" x14ac:dyDescent="0.3">
      <c r="A1346" s="23">
        <v>45131</v>
      </c>
      <c r="B1346" t="s">
        <v>12</v>
      </c>
      <c r="C1346" t="s">
        <v>132</v>
      </c>
      <c r="D1346" t="s">
        <v>17</v>
      </c>
      <c r="E1346" t="s">
        <v>48</v>
      </c>
      <c r="F1346">
        <v>52500000</v>
      </c>
      <c r="G1346" t="s">
        <v>29</v>
      </c>
      <c r="H1346" t="s">
        <v>81</v>
      </c>
      <c r="I1346" t="s">
        <v>9</v>
      </c>
      <c r="L1346" t="s">
        <v>161</v>
      </c>
      <c r="M1346">
        <v>-52500000</v>
      </c>
    </row>
    <row r="1347" spans="1:13" x14ac:dyDescent="0.3">
      <c r="A1347" s="23">
        <v>45132</v>
      </c>
      <c r="B1347" t="s">
        <v>12</v>
      </c>
      <c r="C1347" t="s">
        <v>132</v>
      </c>
      <c r="D1347" t="s">
        <v>16</v>
      </c>
      <c r="E1347" t="s">
        <v>48</v>
      </c>
      <c r="F1347">
        <v>951875.08</v>
      </c>
      <c r="G1347" t="s">
        <v>29</v>
      </c>
      <c r="H1347" t="s">
        <v>81</v>
      </c>
      <c r="I1347" t="s">
        <v>9</v>
      </c>
      <c r="J1347" t="s">
        <v>155</v>
      </c>
      <c r="L1347" t="s">
        <v>161</v>
      </c>
      <c r="M1347">
        <v>951875.08</v>
      </c>
    </row>
    <row r="1348" spans="1:13" x14ac:dyDescent="0.3">
      <c r="A1348" s="23">
        <v>45134</v>
      </c>
      <c r="B1348" t="s">
        <v>12</v>
      </c>
      <c r="C1348" t="s">
        <v>132</v>
      </c>
      <c r="D1348" t="s">
        <v>17</v>
      </c>
      <c r="E1348" t="s">
        <v>48</v>
      </c>
      <c r="F1348">
        <v>18651875.079999998</v>
      </c>
      <c r="G1348" t="s">
        <v>29</v>
      </c>
      <c r="H1348" t="s">
        <v>81</v>
      </c>
      <c r="I1348" t="s">
        <v>9</v>
      </c>
      <c r="L1348" t="s">
        <v>161</v>
      </c>
      <c r="M1348">
        <v>-18651875.079999998</v>
      </c>
    </row>
    <row r="1349" spans="1:13" x14ac:dyDescent="0.3">
      <c r="A1349" s="23">
        <v>45142</v>
      </c>
      <c r="B1349" t="s">
        <v>12</v>
      </c>
      <c r="C1349" t="s">
        <v>132</v>
      </c>
      <c r="D1349" t="s">
        <v>16</v>
      </c>
      <c r="E1349" t="s">
        <v>48</v>
      </c>
      <c r="F1349">
        <v>3200000</v>
      </c>
      <c r="G1349" t="s">
        <v>29</v>
      </c>
      <c r="H1349" t="s">
        <v>81</v>
      </c>
      <c r="I1349" t="s">
        <v>9</v>
      </c>
      <c r="L1349" t="s">
        <v>161</v>
      </c>
      <c r="M1349">
        <v>3200000</v>
      </c>
    </row>
    <row r="1350" spans="1:13" x14ac:dyDescent="0.3">
      <c r="A1350" s="23">
        <v>45145</v>
      </c>
      <c r="B1350" t="s">
        <v>12</v>
      </c>
      <c r="C1350" t="s">
        <v>132</v>
      </c>
      <c r="D1350" t="s">
        <v>17</v>
      </c>
      <c r="E1350" t="s">
        <v>48</v>
      </c>
      <c r="F1350">
        <v>3200000</v>
      </c>
      <c r="G1350" t="s">
        <v>29</v>
      </c>
      <c r="H1350" t="s">
        <v>81</v>
      </c>
      <c r="I1350" t="s">
        <v>9</v>
      </c>
      <c r="L1350" t="s">
        <v>161</v>
      </c>
      <c r="M1350">
        <v>-3200000</v>
      </c>
    </row>
    <row r="1351" spans="1:13" x14ac:dyDescent="0.3">
      <c r="A1351" s="23">
        <v>45146</v>
      </c>
      <c r="B1351" t="s">
        <v>12</v>
      </c>
      <c r="C1351" t="s">
        <v>132</v>
      </c>
      <c r="D1351" t="s">
        <v>16</v>
      </c>
      <c r="E1351" t="s">
        <v>48</v>
      </c>
      <c r="F1351">
        <v>150000000</v>
      </c>
      <c r="G1351" t="s">
        <v>29</v>
      </c>
      <c r="H1351" t="s">
        <v>81</v>
      </c>
      <c r="I1351" t="s">
        <v>9</v>
      </c>
      <c r="L1351" t="s">
        <v>161</v>
      </c>
      <c r="M1351">
        <v>150000000</v>
      </c>
    </row>
    <row r="1352" spans="1:13" x14ac:dyDescent="0.3">
      <c r="A1352" s="23">
        <v>45148</v>
      </c>
      <c r="B1352" t="s">
        <v>12</v>
      </c>
      <c r="C1352" t="s">
        <v>132</v>
      </c>
      <c r="D1352" t="s">
        <v>16</v>
      </c>
      <c r="E1352" t="s">
        <v>48</v>
      </c>
      <c r="F1352">
        <v>334551.49</v>
      </c>
      <c r="G1352" t="s">
        <v>29</v>
      </c>
      <c r="H1352" t="s">
        <v>81</v>
      </c>
      <c r="I1352" t="s">
        <v>9</v>
      </c>
      <c r="L1352" t="s">
        <v>161</v>
      </c>
      <c r="M1352">
        <v>334551.49</v>
      </c>
    </row>
    <row r="1353" spans="1:13" x14ac:dyDescent="0.3">
      <c r="A1353" s="23">
        <v>45148</v>
      </c>
      <c r="B1353" t="s">
        <v>12</v>
      </c>
      <c r="C1353" t="s">
        <v>132</v>
      </c>
      <c r="D1353" t="s">
        <v>17</v>
      </c>
      <c r="E1353" t="s">
        <v>48</v>
      </c>
      <c r="F1353">
        <v>130000000</v>
      </c>
      <c r="G1353" t="s">
        <v>29</v>
      </c>
      <c r="H1353" t="s">
        <v>81</v>
      </c>
      <c r="I1353" t="s">
        <v>9</v>
      </c>
      <c r="L1353" t="s">
        <v>161</v>
      </c>
      <c r="M1353">
        <v>-130000000</v>
      </c>
    </row>
    <row r="1354" spans="1:13" x14ac:dyDescent="0.3">
      <c r="A1354" s="23">
        <v>45152</v>
      </c>
      <c r="B1354" t="s">
        <v>12</v>
      </c>
      <c r="C1354" t="s">
        <v>132</v>
      </c>
      <c r="D1354" t="s">
        <v>17</v>
      </c>
      <c r="E1354" t="s">
        <v>48</v>
      </c>
      <c r="F1354">
        <v>20334551.489999998</v>
      </c>
      <c r="G1354" t="s">
        <v>29</v>
      </c>
      <c r="H1354" t="s">
        <v>81</v>
      </c>
      <c r="I1354" t="s">
        <v>9</v>
      </c>
      <c r="L1354" t="s">
        <v>161</v>
      </c>
      <c r="M1354">
        <v>-20334551.489999998</v>
      </c>
    </row>
    <row r="1355" spans="1:13" x14ac:dyDescent="0.3">
      <c r="A1355" s="23">
        <v>45288</v>
      </c>
      <c r="B1355" t="s">
        <v>12</v>
      </c>
      <c r="C1355" t="s">
        <v>132</v>
      </c>
      <c r="D1355" t="s">
        <v>17</v>
      </c>
      <c r="E1355" t="s">
        <v>48</v>
      </c>
      <c r="F1355">
        <v>37539256</v>
      </c>
      <c r="G1355" t="s">
        <v>29</v>
      </c>
      <c r="H1355" t="s">
        <v>81</v>
      </c>
      <c r="I1355" t="s">
        <v>9</v>
      </c>
      <c r="L1355" t="s">
        <v>161</v>
      </c>
      <c r="M1355">
        <v>-37539256</v>
      </c>
    </row>
    <row r="1356" spans="1:13" x14ac:dyDescent="0.3">
      <c r="A1356" s="23">
        <v>45282</v>
      </c>
      <c r="B1356" t="s">
        <v>12</v>
      </c>
      <c r="C1356" t="s">
        <v>132</v>
      </c>
      <c r="D1356" t="s">
        <v>16</v>
      </c>
      <c r="E1356" t="s">
        <v>48</v>
      </c>
      <c r="F1356">
        <v>4539256</v>
      </c>
      <c r="G1356" t="s">
        <v>29</v>
      </c>
      <c r="H1356" t="s">
        <v>81</v>
      </c>
      <c r="I1356" t="s">
        <v>9</v>
      </c>
      <c r="L1356" t="s">
        <v>161</v>
      </c>
      <c r="M1356">
        <v>4539256</v>
      </c>
    </row>
    <row r="1357" spans="1:13" x14ac:dyDescent="0.3">
      <c r="A1357" s="23">
        <v>45282</v>
      </c>
      <c r="B1357" t="s">
        <v>12</v>
      </c>
      <c r="C1357" t="s">
        <v>132</v>
      </c>
      <c r="D1357" t="s">
        <v>17</v>
      </c>
      <c r="E1357" t="s">
        <v>48</v>
      </c>
      <c r="F1357">
        <v>9500000</v>
      </c>
      <c r="G1357" t="s">
        <v>29</v>
      </c>
      <c r="H1357" t="s">
        <v>81</v>
      </c>
      <c r="I1357" t="s">
        <v>9</v>
      </c>
      <c r="L1357" t="s">
        <v>161</v>
      </c>
      <c r="M1357">
        <v>-9500000</v>
      </c>
    </row>
    <row r="1358" spans="1:13" x14ac:dyDescent="0.3">
      <c r="A1358" s="23">
        <v>45279</v>
      </c>
      <c r="B1358" t="s">
        <v>12</v>
      </c>
      <c r="C1358" t="s">
        <v>132</v>
      </c>
      <c r="D1358" t="s">
        <v>17</v>
      </c>
      <c r="E1358" t="s">
        <v>48</v>
      </c>
      <c r="F1358">
        <v>1157500000</v>
      </c>
      <c r="G1358" t="s">
        <v>29</v>
      </c>
      <c r="H1358" t="s">
        <v>81</v>
      </c>
      <c r="I1358" t="s">
        <v>9</v>
      </c>
      <c r="L1358" t="s">
        <v>161</v>
      </c>
      <c r="M1358">
        <v>-1157500000</v>
      </c>
    </row>
    <row r="1359" spans="1:13" x14ac:dyDescent="0.3">
      <c r="A1359" s="23">
        <v>45278</v>
      </c>
      <c r="B1359" t="s">
        <v>12</v>
      </c>
      <c r="C1359" t="s">
        <v>132</v>
      </c>
      <c r="D1359" t="s">
        <v>16</v>
      </c>
      <c r="E1359" t="s">
        <v>48</v>
      </c>
      <c r="F1359">
        <v>1200000000</v>
      </c>
      <c r="G1359" t="s">
        <v>29</v>
      </c>
      <c r="H1359" t="s">
        <v>81</v>
      </c>
      <c r="I1359" t="s">
        <v>9</v>
      </c>
      <c r="L1359" t="s">
        <v>161</v>
      </c>
      <c r="M1359">
        <v>1200000000</v>
      </c>
    </row>
    <row r="1360" spans="1:13" x14ac:dyDescent="0.3">
      <c r="A1360" s="23">
        <v>45244</v>
      </c>
      <c r="B1360" t="s">
        <v>12</v>
      </c>
      <c r="C1360" t="s">
        <v>132</v>
      </c>
      <c r="D1360" t="s">
        <v>17</v>
      </c>
      <c r="E1360" t="s">
        <v>48</v>
      </c>
      <c r="F1360">
        <v>106900000</v>
      </c>
      <c r="G1360" t="s">
        <v>29</v>
      </c>
      <c r="H1360" t="s">
        <v>81</v>
      </c>
      <c r="I1360" t="s">
        <v>9</v>
      </c>
      <c r="L1360" t="s">
        <v>161</v>
      </c>
      <c r="M1360">
        <v>-106900000</v>
      </c>
    </row>
    <row r="1361" spans="1:13" x14ac:dyDescent="0.3">
      <c r="A1361" s="23">
        <v>45240</v>
      </c>
      <c r="B1361" t="s">
        <v>12</v>
      </c>
      <c r="C1361" t="s">
        <v>132</v>
      </c>
      <c r="D1361" t="s">
        <v>16</v>
      </c>
      <c r="E1361" t="s">
        <v>48</v>
      </c>
      <c r="F1361">
        <v>106900000</v>
      </c>
      <c r="G1361" t="s">
        <v>29</v>
      </c>
      <c r="H1361" t="s">
        <v>81</v>
      </c>
      <c r="I1361" t="s">
        <v>9</v>
      </c>
      <c r="L1361" t="s">
        <v>161</v>
      </c>
      <c r="M1361">
        <v>106900000</v>
      </c>
    </row>
    <row r="1362" spans="1:13" x14ac:dyDescent="0.3">
      <c r="A1362" s="23">
        <v>45877</v>
      </c>
      <c r="B1362" t="s">
        <v>12</v>
      </c>
      <c r="C1362" t="s">
        <v>132</v>
      </c>
      <c r="D1362" t="s">
        <v>17</v>
      </c>
      <c r="E1362" t="s">
        <v>43</v>
      </c>
      <c r="F1362">
        <v>148700000</v>
      </c>
      <c r="G1362" t="s">
        <v>23</v>
      </c>
      <c r="H1362" t="s">
        <v>81</v>
      </c>
      <c r="I1362" t="s">
        <v>9</v>
      </c>
      <c r="L1362" t="s">
        <v>161</v>
      </c>
      <c r="M1362">
        <v>-148700000</v>
      </c>
    </row>
    <row r="1363" spans="1:13" x14ac:dyDescent="0.3">
      <c r="A1363" s="23">
        <v>45877</v>
      </c>
      <c r="B1363" t="s">
        <v>12</v>
      </c>
      <c r="C1363" t="s">
        <v>132</v>
      </c>
      <c r="D1363" t="s">
        <v>17</v>
      </c>
      <c r="E1363" t="s">
        <v>43</v>
      </c>
      <c r="F1363">
        <v>30600000</v>
      </c>
      <c r="G1363" t="s">
        <v>23</v>
      </c>
      <c r="H1363" t="s">
        <v>81</v>
      </c>
      <c r="I1363" t="s">
        <v>9</v>
      </c>
      <c r="L1363" t="s">
        <v>161</v>
      </c>
      <c r="M1363">
        <v>-30600000</v>
      </c>
    </row>
    <row r="1364" spans="1:13" x14ac:dyDescent="0.3">
      <c r="A1364" s="23">
        <v>45875</v>
      </c>
      <c r="B1364" t="s">
        <v>12</v>
      </c>
      <c r="C1364" t="s">
        <v>132</v>
      </c>
      <c r="D1364" t="s">
        <v>17</v>
      </c>
      <c r="E1364" t="s">
        <v>43</v>
      </c>
      <c r="F1364">
        <v>1468800000</v>
      </c>
      <c r="G1364" t="s">
        <v>23</v>
      </c>
      <c r="H1364" t="s">
        <v>81</v>
      </c>
      <c r="I1364" t="s">
        <v>9</v>
      </c>
      <c r="L1364" t="s">
        <v>161</v>
      </c>
      <c r="M1364">
        <v>-1468800000</v>
      </c>
    </row>
    <row r="1365" spans="1:13" x14ac:dyDescent="0.3">
      <c r="A1365" s="23">
        <v>44563</v>
      </c>
      <c r="B1365" t="s">
        <v>12</v>
      </c>
      <c r="C1365" t="s">
        <v>132</v>
      </c>
      <c r="D1365" t="s">
        <v>17</v>
      </c>
      <c r="E1365" t="s">
        <v>43</v>
      </c>
      <c r="F1365">
        <v>81100000</v>
      </c>
      <c r="G1365" t="s">
        <v>23</v>
      </c>
      <c r="H1365" t="s">
        <v>81</v>
      </c>
      <c r="I1365" t="s">
        <v>9</v>
      </c>
      <c r="L1365" t="s">
        <v>161</v>
      </c>
      <c r="M1365">
        <v>-81100000</v>
      </c>
    </row>
    <row r="1366" spans="1:13" x14ac:dyDescent="0.3">
      <c r="A1366" s="23">
        <v>45874</v>
      </c>
      <c r="B1366" t="s">
        <v>12</v>
      </c>
      <c r="C1366" t="s">
        <v>132</v>
      </c>
      <c r="D1366" t="s">
        <v>17</v>
      </c>
      <c r="E1366" t="s">
        <v>43</v>
      </c>
      <c r="F1366">
        <v>213400000</v>
      </c>
      <c r="G1366" t="s">
        <v>23</v>
      </c>
      <c r="H1366" t="s">
        <v>81</v>
      </c>
      <c r="I1366" t="s">
        <v>9</v>
      </c>
      <c r="L1366" t="s">
        <v>161</v>
      </c>
      <c r="M1366">
        <v>-213400000</v>
      </c>
    </row>
    <row r="1367" spans="1:13" x14ac:dyDescent="0.3">
      <c r="A1367" s="23">
        <v>45874</v>
      </c>
      <c r="B1367" t="s">
        <v>12</v>
      </c>
      <c r="C1367" t="s">
        <v>132</v>
      </c>
      <c r="D1367" t="s">
        <v>17</v>
      </c>
      <c r="E1367" t="s">
        <v>43</v>
      </c>
      <c r="F1367">
        <v>500000000</v>
      </c>
      <c r="G1367" t="s">
        <v>23</v>
      </c>
      <c r="H1367" t="s">
        <v>81</v>
      </c>
      <c r="I1367" t="s">
        <v>9</v>
      </c>
      <c r="L1367" t="s">
        <v>161</v>
      </c>
      <c r="M1367">
        <v>-500000000</v>
      </c>
    </row>
    <row r="1368" spans="1:13" x14ac:dyDescent="0.3">
      <c r="A1368" s="23">
        <v>45873</v>
      </c>
      <c r="B1368" t="s">
        <v>12</v>
      </c>
      <c r="C1368" t="s">
        <v>132</v>
      </c>
      <c r="D1368" t="s">
        <v>17</v>
      </c>
      <c r="E1368" t="s">
        <v>43</v>
      </c>
      <c r="F1368">
        <v>517400000</v>
      </c>
      <c r="G1368" t="s">
        <v>23</v>
      </c>
      <c r="H1368" t="s">
        <v>81</v>
      </c>
      <c r="I1368" t="s">
        <v>9</v>
      </c>
      <c r="L1368" t="s">
        <v>161</v>
      </c>
      <c r="M1368">
        <v>-517400000</v>
      </c>
    </row>
    <row r="1369" spans="1:13" x14ac:dyDescent="0.3">
      <c r="A1369" s="23">
        <v>45870</v>
      </c>
      <c r="B1369" t="s">
        <v>12</v>
      </c>
      <c r="C1369" t="s">
        <v>132</v>
      </c>
      <c r="D1369" t="s">
        <v>17</v>
      </c>
      <c r="E1369" t="s">
        <v>43</v>
      </c>
      <c r="F1369">
        <v>815000000</v>
      </c>
      <c r="G1369" t="s">
        <v>23</v>
      </c>
      <c r="H1369" t="s">
        <v>81</v>
      </c>
      <c r="I1369" t="s">
        <v>9</v>
      </c>
      <c r="L1369" t="s">
        <v>161</v>
      </c>
      <c r="M1369">
        <v>-815000000</v>
      </c>
    </row>
    <row r="1370" spans="1:13" x14ac:dyDescent="0.3">
      <c r="A1370" s="23">
        <v>45869</v>
      </c>
      <c r="B1370" t="s">
        <v>12</v>
      </c>
      <c r="C1370" t="s">
        <v>132</v>
      </c>
      <c r="D1370" t="s">
        <v>17</v>
      </c>
      <c r="E1370" t="s">
        <v>43</v>
      </c>
      <c r="F1370">
        <v>1560800000</v>
      </c>
      <c r="G1370" t="s">
        <v>23</v>
      </c>
      <c r="H1370" t="s">
        <v>81</v>
      </c>
      <c r="I1370" t="s">
        <v>9</v>
      </c>
      <c r="L1370" t="s">
        <v>161</v>
      </c>
      <c r="M1370">
        <v>-1560800000</v>
      </c>
    </row>
    <row r="1371" spans="1:13" x14ac:dyDescent="0.3">
      <c r="A1371" s="23">
        <v>45868</v>
      </c>
      <c r="B1371" t="s">
        <v>12</v>
      </c>
      <c r="C1371" t="s">
        <v>132</v>
      </c>
      <c r="D1371" t="s">
        <v>16</v>
      </c>
      <c r="E1371" t="s">
        <v>43</v>
      </c>
      <c r="F1371">
        <v>6045800000</v>
      </c>
      <c r="G1371" t="s">
        <v>23</v>
      </c>
      <c r="H1371" t="s">
        <v>81</v>
      </c>
      <c r="I1371" t="s">
        <v>9</v>
      </c>
      <c r="L1371" t="s">
        <v>161</v>
      </c>
      <c r="M1371">
        <v>6045800000</v>
      </c>
    </row>
    <row r="1372" spans="1:13" x14ac:dyDescent="0.3">
      <c r="A1372" s="23">
        <v>44573</v>
      </c>
      <c r="B1372" t="s">
        <v>12</v>
      </c>
      <c r="C1372" t="s">
        <v>132</v>
      </c>
      <c r="D1372" t="s">
        <v>16</v>
      </c>
      <c r="E1372" t="s">
        <v>43</v>
      </c>
      <c r="F1372">
        <v>270700000</v>
      </c>
      <c r="G1372" t="s">
        <v>23</v>
      </c>
      <c r="H1372" t="s">
        <v>81</v>
      </c>
      <c r="I1372" t="s">
        <v>9</v>
      </c>
      <c r="L1372" t="s">
        <v>161</v>
      </c>
      <c r="M1372">
        <v>270700000</v>
      </c>
    </row>
    <row r="1373" spans="1:13" x14ac:dyDescent="0.3">
      <c r="A1373" s="23">
        <v>45865</v>
      </c>
      <c r="B1373" t="s">
        <v>12</v>
      </c>
      <c r="C1373" t="s">
        <v>132</v>
      </c>
      <c r="D1373" t="s">
        <v>17</v>
      </c>
      <c r="E1373" t="s">
        <v>43</v>
      </c>
      <c r="F1373">
        <v>104500000</v>
      </c>
      <c r="G1373" t="s">
        <v>23</v>
      </c>
      <c r="H1373" t="s">
        <v>81</v>
      </c>
      <c r="I1373" t="s">
        <v>9</v>
      </c>
      <c r="L1373" t="s">
        <v>161</v>
      </c>
      <c r="M1373">
        <v>-104500000</v>
      </c>
    </row>
    <row r="1374" spans="1:13" x14ac:dyDescent="0.3">
      <c r="A1374" s="23">
        <v>44574</v>
      </c>
      <c r="B1374" t="s">
        <v>12</v>
      </c>
      <c r="C1374" t="s">
        <v>132</v>
      </c>
      <c r="D1374" t="s">
        <v>17</v>
      </c>
      <c r="E1374" t="s">
        <v>43</v>
      </c>
      <c r="F1374">
        <v>38500000</v>
      </c>
      <c r="G1374" t="s">
        <v>23</v>
      </c>
      <c r="H1374" t="s">
        <v>81</v>
      </c>
      <c r="I1374" t="s">
        <v>9</v>
      </c>
      <c r="L1374" t="s">
        <v>161</v>
      </c>
      <c r="M1374">
        <v>-38500000</v>
      </c>
    </row>
    <row r="1375" spans="1:13" x14ac:dyDescent="0.3">
      <c r="A1375" s="23">
        <v>45863</v>
      </c>
      <c r="B1375" t="s">
        <v>12</v>
      </c>
      <c r="C1375" t="s">
        <v>132</v>
      </c>
      <c r="D1375" t="s">
        <v>16</v>
      </c>
      <c r="E1375" t="s">
        <v>43</v>
      </c>
      <c r="F1375">
        <v>10658501</v>
      </c>
      <c r="G1375" t="s">
        <v>23</v>
      </c>
      <c r="H1375" t="s">
        <v>81</v>
      </c>
      <c r="I1375" t="s">
        <v>9</v>
      </c>
      <c r="L1375" t="s">
        <v>161</v>
      </c>
      <c r="M1375">
        <v>10658501</v>
      </c>
    </row>
    <row r="1376" spans="1:13" x14ac:dyDescent="0.3">
      <c r="A1376" s="23">
        <v>44575</v>
      </c>
      <c r="B1376" t="s">
        <v>12</v>
      </c>
      <c r="C1376" t="s">
        <v>132</v>
      </c>
      <c r="D1376" t="s">
        <v>17</v>
      </c>
      <c r="E1376" t="s">
        <v>43</v>
      </c>
      <c r="F1376">
        <v>49300000</v>
      </c>
      <c r="G1376" t="s">
        <v>23</v>
      </c>
      <c r="H1376" t="s">
        <v>81</v>
      </c>
      <c r="I1376" t="s">
        <v>9</v>
      </c>
      <c r="L1376" t="s">
        <v>161</v>
      </c>
      <c r="M1376">
        <v>-49300000</v>
      </c>
    </row>
    <row r="1377" spans="1:13" x14ac:dyDescent="0.3">
      <c r="A1377" s="23">
        <v>44578</v>
      </c>
      <c r="B1377" t="s">
        <v>12</v>
      </c>
      <c r="C1377" t="s">
        <v>132</v>
      </c>
      <c r="D1377" t="s">
        <v>17</v>
      </c>
      <c r="E1377" t="s">
        <v>43</v>
      </c>
      <c r="F1377">
        <v>43600000</v>
      </c>
      <c r="G1377" t="s">
        <v>23</v>
      </c>
      <c r="H1377" t="s">
        <v>81</v>
      </c>
      <c r="I1377" t="s">
        <v>9</v>
      </c>
      <c r="L1377" t="s">
        <v>161</v>
      </c>
      <c r="M1377">
        <v>-43600000</v>
      </c>
    </row>
    <row r="1378" spans="1:13" x14ac:dyDescent="0.3">
      <c r="A1378" s="23">
        <v>44579</v>
      </c>
      <c r="B1378" t="s">
        <v>12</v>
      </c>
      <c r="C1378" t="s">
        <v>132</v>
      </c>
      <c r="D1378" t="s">
        <v>17</v>
      </c>
      <c r="E1378" t="s">
        <v>43</v>
      </c>
      <c r="F1378">
        <v>28400000</v>
      </c>
      <c r="G1378" t="s">
        <v>23</v>
      </c>
      <c r="H1378" t="s">
        <v>81</v>
      </c>
      <c r="I1378" t="s">
        <v>9</v>
      </c>
      <c r="L1378" t="s">
        <v>161</v>
      </c>
      <c r="M1378">
        <v>-28400000</v>
      </c>
    </row>
    <row r="1379" spans="1:13" x14ac:dyDescent="0.3">
      <c r="A1379" s="23">
        <v>44580</v>
      </c>
      <c r="B1379" t="s">
        <v>12</v>
      </c>
      <c r="C1379" t="s">
        <v>132</v>
      </c>
      <c r="D1379" t="s">
        <v>17</v>
      </c>
      <c r="E1379" t="s">
        <v>43</v>
      </c>
      <c r="F1379">
        <v>28300000</v>
      </c>
      <c r="G1379" t="s">
        <v>23</v>
      </c>
      <c r="H1379" t="s">
        <v>81</v>
      </c>
      <c r="I1379" t="s">
        <v>9</v>
      </c>
      <c r="L1379" t="s">
        <v>161</v>
      </c>
      <c r="M1379">
        <v>-28300000</v>
      </c>
    </row>
    <row r="1380" spans="1:13" x14ac:dyDescent="0.3">
      <c r="A1380" s="23">
        <v>44581</v>
      </c>
      <c r="B1380" t="s">
        <v>12</v>
      </c>
      <c r="C1380" t="s">
        <v>132</v>
      </c>
      <c r="D1380" t="s">
        <v>17</v>
      </c>
      <c r="E1380" t="s">
        <v>43</v>
      </c>
      <c r="F1380">
        <v>27700000</v>
      </c>
      <c r="G1380" t="s">
        <v>23</v>
      </c>
      <c r="H1380" t="s">
        <v>81</v>
      </c>
      <c r="I1380" t="s">
        <v>9</v>
      </c>
      <c r="L1380" t="s">
        <v>161</v>
      </c>
      <c r="M1380">
        <v>-27700000</v>
      </c>
    </row>
    <row r="1381" spans="1:13" x14ac:dyDescent="0.3">
      <c r="A1381" s="23">
        <v>45862</v>
      </c>
      <c r="B1381" t="s">
        <v>12</v>
      </c>
      <c r="C1381" t="s">
        <v>132</v>
      </c>
      <c r="D1381" t="s">
        <v>17</v>
      </c>
      <c r="E1381" t="s">
        <v>43</v>
      </c>
      <c r="F1381">
        <v>200000000</v>
      </c>
      <c r="G1381" t="s">
        <v>23</v>
      </c>
      <c r="H1381" t="s">
        <v>81</v>
      </c>
      <c r="I1381" t="s">
        <v>9</v>
      </c>
      <c r="L1381" t="s">
        <v>161</v>
      </c>
      <c r="M1381">
        <v>-200000000</v>
      </c>
    </row>
    <row r="1382" spans="1:13" x14ac:dyDescent="0.3">
      <c r="A1382" s="23">
        <v>44582</v>
      </c>
      <c r="B1382" t="s">
        <v>12</v>
      </c>
      <c r="C1382" t="s">
        <v>132</v>
      </c>
      <c r="D1382" t="s">
        <v>16</v>
      </c>
      <c r="E1382" t="s">
        <v>43</v>
      </c>
      <c r="F1382">
        <v>1152454.44</v>
      </c>
      <c r="G1382" t="s">
        <v>23</v>
      </c>
      <c r="H1382" t="s">
        <v>81</v>
      </c>
      <c r="I1382" t="s">
        <v>9</v>
      </c>
      <c r="L1382" t="s">
        <v>161</v>
      </c>
      <c r="M1382">
        <v>1152454.44</v>
      </c>
    </row>
    <row r="1383" spans="1:13" x14ac:dyDescent="0.3">
      <c r="A1383" s="23">
        <v>45861</v>
      </c>
      <c r="B1383" t="s">
        <v>12</v>
      </c>
      <c r="C1383" t="s">
        <v>132</v>
      </c>
      <c r="D1383" t="s">
        <v>17</v>
      </c>
      <c r="E1383" t="s">
        <v>43</v>
      </c>
      <c r="F1383">
        <v>400000000</v>
      </c>
      <c r="G1383" t="s">
        <v>23</v>
      </c>
      <c r="H1383" t="s">
        <v>81</v>
      </c>
      <c r="I1383" t="s">
        <v>9</v>
      </c>
      <c r="L1383" t="s">
        <v>161</v>
      </c>
      <c r="M1383">
        <v>-400000000</v>
      </c>
    </row>
    <row r="1384" spans="1:13" x14ac:dyDescent="0.3">
      <c r="A1384" s="23">
        <v>44582</v>
      </c>
      <c r="B1384" t="s">
        <v>12</v>
      </c>
      <c r="C1384" t="s">
        <v>132</v>
      </c>
      <c r="D1384" t="s">
        <v>17</v>
      </c>
      <c r="E1384" t="s">
        <v>43</v>
      </c>
      <c r="F1384">
        <v>34200000</v>
      </c>
      <c r="G1384" t="s">
        <v>23</v>
      </c>
      <c r="H1384" t="s">
        <v>81</v>
      </c>
      <c r="I1384" t="s">
        <v>9</v>
      </c>
      <c r="L1384" t="s">
        <v>161</v>
      </c>
      <c r="M1384">
        <v>-34200000</v>
      </c>
    </row>
    <row r="1385" spans="1:13" x14ac:dyDescent="0.3">
      <c r="A1385" s="23">
        <v>45859</v>
      </c>
      <c r="B1385" t="s">
        <v>12</v>
      </c>
      <c r="C1385" t="s">
        <v>132</v>
      </c>
      <c r="D1385" t="s">
        <v>17</v>
      </c>
      <c r="E1385" t="s">
        <v>43</v>
      </c>
      <c r="F1385">
        <v>521500000</v>
      </c>
      <c r="G1385" t="s">
        <v>23</v>
      </c>
      <c r="H1385" t="s">
        <v>81</v>
      </c>
      <c r="I1385" t="s">
        <v>9</v>
      </c>
      <c r="L1385" t="s">
        <v>161</v>
      </c>
      <c r="M1385">
        <v>-521500000</v>
      </c>
    </row>
    <row r="1386" spans="1:13" x14ac:dyDescent="0.3">
      <c r="A1386" s="23">
        <v>44585</v>
      </c>
      <c r="B1386" t="s">
        <v>12</v>
      </c>
      <c r="C1386" t="s">
        <v>132</v>
      </c>
      <c r="D1386" t="s">
        <v>17</v>
      </c>
      <c r="E1386" t="s">
        <v>43</v>
      </c>
      <c r="F1386">
        <v>9800000</v>
      </c>
      <c r="G1386" t="s">
        <v>23</v>
      </c>
      <c r="H1386" t="s">
        <v>81</v>
      </c>
      <c r="I1386" t="s">
        <v>9</v>
      </c>
      <c r="L1386" t="s">
        <v>161</v>
      </c>
      <c r="M1386">
        <v>-9800000</v>
      </c>
    </row>
    <row r="1387" spans="1:13" x14ac:dyDescent="0.3">
      <c r="A1387" s="23">
        <v>44586</v>
      </c>
      <c r="B1387" t="s">
        <v>12</v>
      </c>
      <c r="C1387" t="s">
        <v>132</v>
      </c>
      <c r="D1387" t="s">
        <v>17</v>
      </c>
      <c r="E1387" t="s">
        <v>43</v>
      </c>
      <c r="F1387">
        <v>12052454.439999999</v>
      </c>
      <c r="G1387" t="s">
        <v>23</v>
      </c>
      <c r="H1387" t="s">
        <v>81</v>
      </c>
      <c r="I1387" t="s">
        <v>9</v>
      </c>
      <c r="L1387" t="s">
        <v>161</v>
      </c>
      <c r="M1387">
        <v>-12052454.439999999</v>
      </c>
    </row>
    <row r="1388" spans="1:13" x14ac:dyDescent="0.3">
      <c r="A1388" s="23">
        <v>44587</v>
      </c>
      <c r="B1388" t="s">
        <v>12</v>
      </c>
      <c r="C1388" t="s">
        <v>132</v>
      </c>
      <c r="D1388" t="s">
        <v>16</v>
      </c>
      <c r="E1388" t="s">
        <v>43</v>
      </c>
      <c r="F1388">
        <v>261500000</v>
      </c>
      <c r="G1388" t="s">
        <v>23</v>
      </c>
      <c r="H1388" t="s">
        <v>81</v>
      </c>
      <c r="I1388" t="s">
        <v>9</v>
      </c>
      <c r="L1388" t="s">
        <v>161</v>
      </c>
      <c r="M1388">
        <v>261500000</v>
      </c>
    </row>
    <row r="1389" spans="1:13" x14ac:dyDescent="0.3">
      <c r="A1389" s="23">
        <v>44588</v>
      </c>
      <c r="B1389" t="s">
        <v>12</v>
      </c>
      <c r="C1389" t="s">
        <v>132</v>
      </c>
      <c r="D1389" t="s">
        <v>17</v>
      </c>
      <c r="E1389" t="s">
        <v>43</v>
      </c>
      <c r="F1389">
        <v>8100000</v>
      </c>
      <c r="G1389" t="s">
        <v>23</v>
      </c>
      <c r="H1389" t="s">
        <v>81</v>
      </c>
      <c r="I1389" t="s">
        <v>9</v>
      </c>
      <c r="L1389" t="s">
        <v>161</v>
      </c>
      <c r="M1389">
        <v>-8100000</v>
      </c>
    </row>
    <row r="1390" spans="1:13" x14ac:dyDescent="0.3">
      <c r="A1390" s="23">
        <v>44589</v>
      </c>
      <c r="B1390" t="s">
        <v>12</v>
      </c>
      <c r="C1390" t="s">
        <v>132</v>
      </c>
      <c r="D1390" t="s">
        <v>17</v>
      </c>
      <c r="E1390" t="s">
        <v>43</v>
      </c>
      <c r="F1390">
        <v>19400000</v>
      </c>
      <c r="G1390" t="s">
        <v>23</v>
      </c>
      <c r="H1390" t="s">
        <v>81</v>
      </c>
      <c r="I1390" t="s">
        <v>9</v>
      </c>
      <c r="L1390" t="s">
        <v>161</v>
      </c>
      <c r="M1390">
        <v>-19400000</v>
      </c>
    </row>
    <row r="1391" spans="1:13" x14ac:dyDescent="0.3">
      <c r="A1391" s="23">
        <v>45849</v>
      </c>
      <c r="B1391" t="s">
        <v>12</v>
      </c>
      <c r="C1391" t="s">
        <v>132</v>
      </c>
      <c r="D1391" t="s">
        <v>16</v>
      </c>
      <c r="E1391" t="s">
        <v>43</v>
      </c>
      <c r="F1391">
        <v>177508147</v>
      </c>
      <c r="G1391" t="s">
        <v>23</v>
      </c>
      <c r="H1391" t="s">
        <v>81</v>
      </c>
      <c r="I1391" t="s">
        <v>9</v>
      </c>
      <c r="L1391" t="s">
        <v>161</v>
      </c>
      <c r="M1391">
        <v>177508147</v>
      </c>
    </row>
    <row r="1392" spans="1:13" x14ac:dyDescent="0.3">
      <c r="A1392" s="23">
        <v>44592</v>
      </c>
      <c r="B1392" t="s">
        <v>12</v>
      </c>
      <c r="C1392" t="s">
        <v>132</v>
      </c>
      <c r="D1392" t="s">
        <v>17</v>
      </c>
      <c r="E1392" t="s">
        <v>43</v>
      </c>
      <c r="F1392">
        <v>41300000</v>
      </c>
      <c r="G1392" t="s">
        <v>23</v>
      </c>
      <c r="H1392" t="s">
        <v>81</v>
      </c>
      <c r="I1392" t="s">
        <v>9</v>
      </c>
      <c r="L1392" t="s">
        <v>161</v>
      </c>
      <c r="M1392">
        <v>-41300000</v>
      </c>
    </row>
    <row r="1393" spans="1:13" x14ac:dyDescent="0.3">
      <c r="A1393" s="23">
        <v>44592</v>
      </c>
      <c r="B1393" t="s">
        <v>12</v>
      </c>
      <c r="C1393" t="s">
        <v>132</v>
      </c>
      <c r="D1393" t="s">
        <v>16</v>
      </c>
      <c r="E1393" t="s">
        <v>43</v>
      </c>
      <c r="F1393">
        <v>988888.49</v>
      </c>
      <c r="G1393" t="s">
        <v>23</v>
      </c>
      <c r="H1393" t="s">
        <v>81</v>
      </c>
      <c r="I1393" t="s">
        <v>9</v>
      </c>
      <c r="L1393" t="s">
        <v>161</v>
      </c>
      <c r="M1393">
        <v>988888.49</v>
      </c>
    </row>
    <row r="1394" spans="1:13" x14ac:dyDescent="0.3">
      <c r="A1394" s="23">
        <v>45849</v>
      </c>
      <c r="B1394" t="s">
        <v>12</v>
      </c>
      <c r="C1394" t="s">
        <v>132</v>
      </c>
      <c r="D1394" t="s">
        <v>17</v>
      </c>
      <c r="E1394" t="s">
        <v>43</v>
      </c>
      <c r="F1394">
        <v>842500000</v>
      </c>
      <c r="G1394" t="s">
        <v>23</v>
      </c>
      <c r="H1394" t="s">
        <v>81</v>
      </c>
      <c r="I1394" t="s">
        <v>9</v>
      </c>
      <c r="L1394" t="s">
        <v>161</v>
      </c>
      <c r="M1394">
        <v>-842500000</v>
      </c>
    </row>
    <row r="1395" spans="1:13" x14ac:dyDescent="0.3">
      <c r="A1395" s="23">
        <v>44594</v>
      </c>
      <c r="B1395" t="s">
        <v>12</v>
      </c>
      <c r="C1395" t="s">
        <v>132</v>
      </c>
      <c r="D1395" t="s">
        <v>17</v>
      </c>
      <c r="E1395" t="s">
        <v>43</v>
      </c>
      <c r="F1395">
        <v>5600000</v>
      </c>
      <c r="G1395" t="s">
        <v>23</v>
      </c>
      <c r="H1395" t="s">
        <v>81</v>
      </c>
      <c r="I1395" t="s">
        <v>9</v>
      </c>
      <c r="L1395" t="s">
        <v>161</v>
      </c>
      <c r="M1395">
        <v>-5600000</v>
      </c>
    </row>
    <row r="1396" spans="1:13" x14ac:dyDescent="0.3">
      <c r="A1396" s="23">
        <v>44595</v>
      </c>
      <c r="B1396" t="s">
        <v>12</v>
      </c>
      <c r="C1396" t="s">
        <v>132</v>
      </c>
      <c r="D1396" t="s">
        <v>17</v>
      </c>
      <c r="E1396" t="s">
        <v>43</v>
      </c>
      <c r="F1396">
        <v>29800000</v>
      </c>
      <c r="G1396" t="s">
        <v>23</v>
      </c>
      <c r="H1396" t="s">
        <v>81</v>
      </c>
      <c r="I1396" t="s">
        <v>9</v>
      </c>
      <c r="L1396" t="s">
        <v>161</v>
      </c>
      <c r="M1396">
        <v>-29800000</v>
      </c>
    </row>
    <row r="1397" spans="1:13" x14ac:dyDescent="0.3">
      <c r="A1397" s="23">
        <v>45848</v>
      </c>
      <c r="B1397" t="s">
        <v>12</v>
      </c>
      <c r="C1397" t="s">
        <v>132</v>
      </c>
      <c r="D1397" t="s">
        <v>17</v>
      </c>
      <c r="E1397" t="s">
        <v>43</v>
      </c>
      <c r="F1397">
        <v>900000000</v>
      </c>
      <c r="G1397" t="s">
        <v>23</v>
      </c>
      <c r="H1397" t="s">
        <v>81</v>
      </c>
      <c r="I1397" t="s">
        <v>9</v>
      </c>
      <c r="L1397" t="s">
        <v>161</v>
      </c>
      <c r="M1397">
        <v>-900000000</v>
      </c>
    </row>
    <row r="1398" spans="1:13" x14ac:dyDescent="0.3">
      <c r="A1398" s="23">
        <v>44596</v>
      </c>
      <c r="B1398" t="s">
        <v>12</v>
      </c>
      <c r="C1398" t="s">
        <v>132</v>
      </c>
      <c r="D1398" t="s">
        <v>17</v>
      </c>
      <c r="E1398" t="s">
        <v>43</v>
      </c>
      <c r="F1398">
        <v>12000000</v>
      </c>
      <c r="G1398" t="s">
        <v>23</v>
      </c>
      <c r="H1398" t="s">
        <v>81</v>
      </c>
      <c r="I1398" t="s">
        <v>9</v>
      </c>
      <c r="L1398" t="s">
        <v>161</v>
      </c>
      <c r="M1398">
        <v>-12000000</v>
      </c>
    </row>
    <row r="1399" spans="1:13" x14ac:dyDescent="0.3">
      <c r="A1399" s="23">
        <v>44596</v>
      </c>
      <c r="B1399" t="s">
        <v>12</v>
      </c>
      <c r="C1399" t="s">
        <v>132</v>
      </c>
      <c r="D1399" t="s">
        <v>17</v>
      </c>
      <c r="E1399" t="s">
        <v>43</v>
      </c>
      <c r="F1399">
        <v>1000000</v>
      </c>
      <c r="G1399" t="s">
        <v>23</v>
      </c>
      <c r="H1399" t="s">
        <v>81</v>
      </c>
      <c r="I1399" t="s">
        <v>9</v>
      </c>
      <c r="L1399" t="s">
        <v>161</v>
      </c>
      <c r="M1399">
        <v>-1000000</v>
      </c>
    </row>
    <row r="1400" spans="1:13" x14ac:dyDescent="0.3">
      <c r="A1400" s="23">
        <v>44596</v>
      </c>
      <c r="B1400" t="s">
        <v>12</v>
      </c>
      <c r="C1400" t="s">
        <v>132</v>
      </c>
      <c r="D1400" t="s">
        <v>17</v>
      </c>
      <c r="E1400" t="s">
        <v>43</v>
      </c>
      <c r="F1400">
        <v>2700000</v>
      </c>
      <c r="G1400" t="s">
        <v>23</v>
      </c>
      <c r="H1400" t="s">
        <v>81</v>
      </c>
      <c r="I1400" t="s">
        <v>9</v>
      </c>
      <c r="L1400" t="s">
        <v>161</v>
      </c>
      <c r="M1400">
        <v>-2700000</v>
      </c>
    </row>
    <row r="1401" spans="1:13" x14ac:dyDescent="0.3">
      <c r="A1401" s="23">
        <v>44599</v>
      </c>
      <c r="B1401" t="s">
        <v>12</v>
      </c>
      <c r="C1401" t="s">
        <v>132</v>
      </c>
      <c r="D1401" t="s">
        <v>17</v>
      </c>
      <c r="E1401" t="s">
        <v>43</v>
      </c>
      <c r="F1401">
        <v>19600000</v>
      </c>
      <c r="G1401" t="s">
        <v>23</v>
      </c>
      <c r="H1401" t="s">
        <v>81</v>
      </c>
      <c r="I1401" t="s">
        <v>9</v>
      </c>
      <c r="L1401" t="s">
        <v>161</v>
      </c>
      <c r="M1401">
        <v>-19600000</v>
      </c>
    </row>
    <row r="1402" spans="1:13" x14ac:dyDescent="0.3">
      <c r="A1402" s="23">
        <v>44600</v>
      </c>
      <c r="B1402" t="s">
        <v>12</v>
      </c>
      <c r="C1402" t="s">
        <v>132</v>
      </c>
      <c r="D1402" t="s">
        <v>17</v>
      </c>
      <c r="E1402" t="s">
        <v>43</v>
      </c>
      <c r="F1402">
        <v>1500000</v>
      </c>
      <c r="G1402" t="s">
        <v>23</v>
      </c>
      <c r="H1402" t="s">
        <v>81</v>
      </c>
      <c r="I1402" t="s">
        <v>9</v>
      </c>
      <c r="L1402" t="s">
        <v>161</v>
      </c>
      <c r="M1402">
        <v>-1500000</v>
      </c>
    </row>
    <row r="1403" spans="1:13" x14ac:dyDescent="0.3">
      <c r="A1403" s="23">
        <v>44600</v>
      </c>
      <c r="B1403" t="s">
        <v>12</v>
      </c>
      <c r="C1403" t="s">
        <v>132</v>
      </c>
      <c r="D1403" t="s">
        <v>17</v>
      </c>
      <c r="E1403" t="s">
        <v>43</v>
      </c>
      <c r="F1403">
        <v>4600000</v>
      </c>
      <c r="G1403" t="s">
        <v>23</v>
      </c>
      <c r="H1403" t="s">
        <v>81</v>
      </c>
      <c r="I1403" t="s">
        <v>9</v>
      </c>
      <c r="L1403" t="s">
        <v>161</v>
      </c>
      <c r="M1403">
        <v>-4600000</v>
      </c>
    </row>
    <row r="1404" spans="1:13" x14ac:dyDescent="0.3">
      <c r="A1404" s="23">
        <v>44602</v>
      </c>
      <c r="B1404" t="s">
        <v>12</v>
      </c>
      <c r="C1404" t="s">
        <v>132</v>
      </c>
      <c r="D1404" t="s">
        <v>16</v>
      </c>
      <c r="E1404" t="s">
        <v>43</v>
      </c>
      <c r="F1404">
        <v>12700000</v>
      </c>
      <c r="G1404" t="s">
        <v>23</v>
      </c>
      <c r="H1404" t="s">
        <v>81</v>
      </c>
      <c r="I1404" t="s">
        <v>9</v>
      </c>
      <c r="L1404" t="s">
        <v>161</v>
      </c>
      <c r="M1404">
        <v>12700000</v>
      </c>
    </row>
    <row r="1405" spans="1:13" x14ac:dyDescent="0.3">
      <c r="A1405" s="23">
        <v>44609</v>
      </c>
      <c r="B1405" t="s">
        <v>12</v>
      </c>
      <c r="C1405" t="s">
        <v>132</v>
      </c>
      <c r="D1405" t="s">
        <v>16</v>
      </c>
      <c r="E1405" t="s">
        <v>43</v>
      </c>
      <c r="F1405">
        <v>47400000</v>
      </c>
      <c r="G1405" t="s">
        <v>23</v>
      </c>
      <c r="H1405" t="s">
        <v>81</v>
      </c>
      <c r="I1405" t="s">
        <v>9</v>
      </c>
      <c r="L1405" t="s">
        <v>161</v>
      </c>
      <c r="M1405">
        <v>47400000</v>
      </c>
    </row>
    <row r="1406" spans="1:13" x14ac:dyDescent="0.3">
      <c r="A1406" s="23">
        <v>45842</v>
      </c>
      <c r="B1406" t="s">
        <v>12</v>
      </c>
      <c r="C1406" t="s">
        <v>132</v>
      </c>
      <c r="D1406" t="s">
        <v>17</v>
      </c>
      <c r="E1406" t="s">
        <v>43</v>
      </c>
      <c r="F1406">
        <v>12600000</v>
      </c>
      <c r="G1406" t="s">
        <v>23</v>
      </c>
      <c r="H1406" t="s">
        <v>81</v>
      </c>
      <c r="I1406" t="s">
        <v>9</v>
      </c>
      <c r="L1406" t="s">
        <v>161</v>
      </c>
      <c r="M1406">
        <v>-12600000</v>
      </c>
    </row>
    <row r="1407" spans="1:13" x14ac:dyDescent="0.3">
      <c r="A1407" s="23">
        <v>45842</v>
      </c>
      <c r="B1407" t="s">
        <v>12</v>
      </c>
      <c r="C1407" t="s">
        <v>132</v>
      </c>
      <c r="D1407" t="s">
        <v>17</v>
      </c>
      <c r="E1407" t="s">
        <v>43</v>
      </c>
      <c r="F1407">
        <v>12600000</v>
      </c>
      <c r="G1407" t="s">
        <v>23</v>
      </c>
      <c r="H1407" t="s">
        <v>81</v>
      </c>
      <c r="I1407" t="s">
        <v>9</v>
      </c>
      <c r="L1407" t="s">
        <v>161</v>
      </c>
      <c r="M1407">
        <v>-12600000</v>
      </c>
    </row>
    <row r="1408" spans="1:13" x14ac:dyDescent="0.3">
      <c r="A1408" s="23">
        <v>44613</v>
      </c>
      <c r="B1408" t="s">
        <v>12</v>
      </c>
      <c r="C1408" t="s">
        <v>132</v>
      </c>
      <c r="D1408" t="s">
        <v>17</v>
      </c>
      <c r="E1408" t="s">
        <v>43</v>
      </c>
      <c r="F1408">
        <v>17700000</v>
      </c>
      <c r="G1408" t="s">
        <v>23</v>
      </c>
      <c r="H1408" t="s">
        <v>81</v>
      </c>
      <c r="I1408" t="s">
        <v>9</v>
      </c>
      <c r="L1408" t="s">
        <v>161</v>
      </c>
      <c r="M1408">
        <v>-17700000</v>
      </c>
    </row>
    <row r="1409" spans="1:13" x14ac:dyDescent="0.3">
      <c r="A1409" s="23">
        <v>44613</v>
      </c>
      <c r="B1409" t="s">
        <v>12</v>
      </c>
      <c r="C1409" t="s">
        <v>132</v>
      </c>
      <c r="D1409" t="s">
        <v>17</v>
      </c>
      <c r="E1409" t="s">
        <v>43</v>
      </c>
      <c r="F1409">
        <v>1000000</v>
      </c>
      <c r="G1409" t="s">
        <v>23</v>
      </c>
      <c r="H1409" t="s">
        <v>81</v>
      </c>
      <c r="I1409" t="s">
        <v>9</v>
      </c>
      <c r="L1409" t="s">
        <v>161</v>
      </c>
      <c r="M1409">
        <v>-1000000</v>
      </c>
    </row>
    <row r="1410" spans="1:13" x14ac:dyDescent="0.3">
      <c r="A1410" s="23">
        <v>45841</v>
      </c>
      <c r="B1410" t="s">
        <v>12</v>
      </c>
      <c r="C1410" t="s">
        <v>132</v>
      </c>
      <c r="D1410" t="s">
        <v>17</v>
      </c>
      <c r="E1410" t="s">
        <v>43</v>
      </c>
      <c r="F1410">
        <v>2094000000</v>
      </c>
      <c r="G1410" t="s">
        <v>23</v>
      </c>
      <c r="H1410" t="s">
        <v>81</v>
      </c>
      <c r="I1410" t="s">
        <v>9</v>
      </c>
      <c r="L1410" t="s">
        <v>161</v>
      </c>
      <c r="M1410">
        <v>-2094000000</v>
      </c>
    </row>
    <row r="1411" spans="1:13" x14ac:dyDescent="0.3">
      <c r="A1411" s="23">
        <v>45840</v>
      </c>
      <c r="B1411" t="s">
        <v>12</v>
      </c>
      <c r="C1411" t="s">
        <v>132</v>
      </c>
      <c r="D1411" t="s">
        <v>16</v>
      </c>
      <c r="E1411" t="s">
        <v>43</v>
      </c>
      <c r="F1411">
        <v>2583100000</v>
      </c>
      <c r="G1411" t="s">
        <v>23</v>
      </c>
      <c r="H1411" t="s">
        <v>81</v>
      </c>
      <c r="I1411" t="s">
        <v>9</v>
      </c>
      <c r="L1411" t="s">
        <v>161</v>
      </c>
      <c r="M1411">
        <v>2583100000</v>
      </c>
    </row>
    <row r="1412" spans="1:13" x14ac:dyDescent="0.3">
      <c r="A1412" s="23">
        <v>44617</v>
      </c>
      <c r="B1412" t="s">
        <v>12</v>
      </c>
      <c r="C1412" t="s">
        <v>132</v>
      </c>
      <c r="D1412" t="s">
        <v>17</v>
      </c>
      <c r="E1412" t="s">
        <v>43</v>
      </c>
      <c r="F1412">
        <v>29200000</v>
      </c>
      <c r="G1412" t="s">
        <v>23</v>
      </c>
      <c r="H1412" t="s">
        <v>81</v>
      </c>
      <c r="I1412" t="s">
        <v>9</v>
      </c>
      <c r="L1412" t="s">
        <v>161</v>
      </c>
      <c r="M1412">
        <v>-29200000</v>
      </c>
    </row>
    <row r="1413" spans="1:13" x14ac:dyDescent="0.3">
      <c r="A1413" s="23">
        <v>44620</v>
      </c>
      <c r="B1413" t="s">
        <v>12</v>
      </c>
      <c r="C1413" t="s">
        <v>132</v>
      </c>
      <c r="D1413" t="s">
        <v>16</v>
      </c>
      <c r="E1413" t="s">
        <v>43</v>
      </c>
      <c r="F1413">
        <v>1218897.3</v>
      </c>
      <c r="G1413" t="s">
        <v>23</v>
      </c>
      <c r="H1413" t="s">
        <v>81</v>
      </c>
      <c r="I1413" t="s">
        <v>9</v>
      </c>
      <c r="L1413" t="s">
        <v>161</v>
      </c>
      <c r="M1413">
        <v>1218897.3</v>
      </c>
    </row>
    <row r="1414" spans="1:13" x14ac:dyDescent="0.3">
      <c r="A1414" s="23">
        <v>45839</v>
      </c>
      <c r="B1414" t="s">
        <v>12</v>
      </c>
      <c r="C1414" t="s">
        <v>132</v>
      </c>
      <c r="D1414" t="s">
        <v>17</v>
      </c>
      <c r="E1414" t="s">
        <v>43</v>
      </c>
      <c r="F1414">
        <v>2750000000</v>
      </c>
      <c r="G1414" t="s">
        <v>23</v>
      </c>
      <c r="H1414" t="s">
        <v>81</v>
      </c>
      <c r="I1414" t="s">
        <v>9</v>
      </c>
      <c r="L1414" t="s">
        <v>161</v>
      </c>
      <c r="M1414">
        <v>-2750000000</v>
      </c>
    </row>
    <row r="1415" spans="1:13" x14ac:dyDescent="0.3">
      <c r="A1415" s="23">
        <v>45838</v>
      </c>
      <c r="B1415" t="s">
        <v>12</v>
      </c>
      <c r="C1415" t="s">
        <v>132</v>
      </c>
      <c r="D1415" t="s">
        <v>17</v>
      </c>
      <c r="E1415" t="s">
        <v>43</v>
      </c>
      <c r="F1415">
        <v>500000000</v>
      </c>
      <c r="G1415" t="s">
        <v>23</v>
      </c>
      <c r="H1415" t="s">
        <v>81</v>
      </c>
      <c r="I1415" t="s">
        <v>9</v>
      </c>
      <c r="L1415" t="s">
        <v>161</v>
      </c>
      <c r="M1415">
        <v>-500000000</v>
      </c>
    </row>
    <row r="1416" spans="1:13" x14ac:dyDescent="0.3">
      <c r="A1416" s="23">
        <v>44622</v>
      </c>
      <c r="B1416" t="s">
        <v>12</v>
      </c>
      <c r="C1416" t="s">
        <v>132</v>
      </c>
      <c r="D1416" t="s">
        <v>17</v>
      </c>
      <c r="E1416" t="s">
        <v>43</v>
      </c>
      <c r="F1416">
        <v>26600000</v>
      </c>
      <c r="G1416" t="s">
        <v>23</v>
      </c>
      <c r="H1416" t="s">
        <v>81</v>
      </c>
      <c r="I1416" t="s">
        <v>9</v>
      </c>
      <c r="L1416" t="s">
        <v>161</v>
      </c>
      <c r="M1416">
        <v>-26600000</v>
      </c>
    </row>
    <row r="1417" spans="1:13" x14ac:dyDescent="0.3">
      <c r="A1417" s="23">
        <v>44624</v>
      </c>
      <c r="B1417" t="s">
        <v>12</v>
      </c>
      <c r="C1417" t="s">
        <v>132</v>
      </c>
      <c r="D1417" t="s">
        <v>16</v>
      </c>
      <c r="E1417" t="s">
        <v>43</v>
      </c>
      <c r="F1417">
        <v>11800000</v>
      </c>
      <c r="G1417" t="s">
        <v>23</v>
      </c>
      <c r="H1417" t="s">
        <v>81</v>
      </c>
      <c r="I1417" t="s">
        <v>9</v>
      </c>
      <c r="L1417" t="s">
        <v>161</v>
      </c>
      <c r="M1417">
        <v>11800000</v>
      </c>
    </row>
    <row r="1418" spans="1:13" x14ac:dyDescent="0.3">
      <c r="A1418" s="23">
        <v>44627</v>
      </c>
      <c r="B1418" t="s">
        <v>12</v>
      </c>
      <c r="C1418" t="s">
        <v>132</v>
      </c>
      <c r="D1418" t="s">
        <v>16</v>
      </c>
      <c r="E1418" t="s">
        <v>43</v>
      </c>
      <c r="F1418">
        <v>22400000</v>
      </c>
      <c r="G1418" t="s">
        <v>23</v>
      </c>
      <c r="H1418" t="s">
        <v>81</v>
      </c>
      <c r="I1418" t="s">
        <v>9</v>
      </c>
      <c r="L1418" t="s">
        <v>161</v>
      </c>
      <c r="M1418">
        <v>22400000</v>
      </c>
    </row>
    <row r="1419" spans="1:13" x14ac:dyDescent="0.3">
      <c r="A1419" s="23">
        <v>44628</v>
      </c>
      <c r="B1419" t="s">
        <v>12</v>
      </c>
      <c r="C1419" t="s">
        <v>132</v>
      </c>
      <c r="D1419" t="s">
        <v>17</v>
      </c>
      <c r="E1419" t="s">
        <v>43</v>
      </c>
      <c r="F1419">
        <v>7100000</v>
      </c>
      <c r="G1419" t="s">
        <v>23</v>
      </c>
      <c r="H1419" t="s">
        <v>81</v>
      </c>
      <c r="I1419" t="s">
        <v>9</v>
      </c>
      <c r="L1419" t="s">
        <v>161</v>
      </c>
      <c r="M1419">
        <v>-7100000</v>
      </c>
    </row>
    <row r="1420" spans="1:13" x14ac:dyDescent="0.3">
      <c r="A1420" s="23">
        <v>44629</v>
      </c>
      <c r="B1420" t="s">
        <v>12</v>
      </c>
      <c r="C1420" t="s">
        <v>132</v>
      </c>
      <c r="D1420" t="s">
        <v>16</v>
      </c>
      <c r="E1420" t="s">
        <v>43</v>
      </c>
      <c r="F1420">
        <v>25100000</v>
      </c>
      <c r="G1420" t="s">
        <v>23</v>
      </c>
      <c r="H1420" t="s">
        <v>81</v>
      </c>
      <c r="I1420" t="s">
        <v>9</v>
      </c>
      <c r="L1420" t="s">
        <v>161</v>
      </c>
      <c r="M1420">
        <v>25100000</v>
      </c>
    </row>
    <row r="1421" spans="1:13" x14ac:dyDescent="0.3">
      <c r="A1421" s="23">
        <v>44630</v>
      </c>
      <c r="B1421" t="s">
        <v>12</v>
      </c>
      <c r="C1421" t="s">
        <v>132</v>
      </c>
      <c r="D1421" t="s">
        <v>17</v>
      </c>
      <c r="E1421" t="s">
        <v>43</v>
      </c>
      <c r="F1421">
        <v>50200000</v>
      </c>
      <c r="G1421" t="s">
        <v>23</v>
      </c>
      <c r="H1421" t="s">
        <v>81</v>
      </c>
      <c r="I1421" t="s">
        <v>9</v>
      </c>
      <c r="L1421" t="s">
        <v>161</v>
      </c>
      <c r="M1421">
        <v>-50200000</v>
      </c>
    </row>
    <row r="1422" spans="1:13" x14ac:dyDescent="0.3">
      <c r="A1422" s="23">
        <v>44631</v>
      </c>
      <c r="B1422" t="s">
        <v>12</v>
      </c>
      <c r="C1422" t="s">
        <v>132</v>
      </c>
      <c r="D1422" t="s">
        <v>17</v>
      </c>
      <c r="E1422" t="s">
        <v>43</v>
      </c>
      <c r="F1422">
        <v>700000</v>
      </c>
      <c r="G1422" t="s">
        <v>23</v>
      </c>
      <c r="H1422" t="s">
        <v>81</v>
      </c>
      <c r="I1422" t="s">
        <v>9</v>
      </c>
      <c r="L1422" t="s">
        <v>161</v>
      </c>
      <c r="M1422">
        <v>-700000</v>
      </c>
    </row>
    <row r="1423" spans="1:13" x14ac:dyDescent="0.3">
      <c r="A1423" s="23">
        <v>44631</v>
      </c>
      <c r="B1423" t="s">
        <v>12</v>
      </c>
      <c r="C1423" t="s">
        <v>132</v>
      </c>
      <c r="D1423" t="s">
        <v>17</v>
      </c>
      <c r="E1423" t="s">
        <v>43</v>
      </c>
      <c r="F1423">
        <v>15000000</v>
      </c>
      <c r="G1423" t="s">
        <v>23</v>
      </c>
      <c r="H1423" t="s">
        <v>81</v>
      </c>
      <c r="I1423" t="s">
        <v>9</v>
      </c>
      <c r="L1423" t="s">
        <v>161</v>
      </c>
      <c r="M1423">
        <v>-15000000</v>
      </c>
    </row>
    <row r="1424" spans="1:13" x14ac:dyDescent="0.3">
      <c r="A1424" s="23">
        <v>44634</v>
      </c>
      <c r="B1424" t="s">
        <v>12</v>
      </c>
      <c r="C1424" t="s">
        <v>132</v>
      </c>
      <c r="D1424" t="s">
        <v>17</v>
      </c>
      <c r="E1424" t="s">
        <v>43</v>
      </c>
      <c r="F1424">
        <v>8700000</v>
      </c>
      <c r="G1424" t="s">
        <v>23</v>
      </c>
      <c r="H1424" t="s">
        <v>81</v>
      </c>
      <c r="I1424" t="s">
        <v>9</v>
      </c>
      <c r="L1424" t="s">
        <v>161</v>
      </c>
      <c r="M1424">
        <v>-8700000</v>
      </c>
    </row>
    <row r="1425" spans="1:13" x14ac:dyDescent="0.3">
      <c r="A1425" s="23">
        <v>44635</v>
      </c>
      <c r="B1425" t="s">
        <v>12</v>
      </c>
      <c r="C1425" t="s">
        <v>132</v>
      </c>
      <c r="D1425" t="s">
        <v>16</v>
      </c>
      <c r="E1425" t="s">
        <v>43</v>
      </c>
      <c r="F1425">
        <v>87200000</v>
      </c>
      <c r="G1425" t="s">
        <v>23</v>
      </c>
      <c r="H1425" t="s">
        <v>81</v>
      </c>
      <c r="I1425" t="s">
        <v>9</v>
      </c>
      <c r="L1425" t="s">
        <v>161</v>
      </c>
      <c r="M1425">
        <v>87200000</v>
      </c>
    </row>
    <row r="1426" spans="1:13" x14ac:dyDescent="0.3">
      <c r="A1426" s="23">
        <v>44636</v>
      </c>
      <c r="B1426" t="s">
        <v>12</v>
      </c>
      <c r="C1426" t="s">
        <v>132</v>
      </c>
      <c r="D1426" t="s">
        <v>17</v>
      </c>
      <c r="E1426" t="s">
        <v>43</v>
      </c>
      <c r="F1426">
        <v>11000000</v>
      </c>
      <c r="G1426" t="s">
        <v>23</v>
      </c>
      <c r="H1426" t="s">
        <v>81</v>
      </c>
      <c r="I1426" t="s">
        <v>9</v>
      </c>
      <c r="L1426" t="s">
        <v>161</v>
      </c>
      <c r="M1426">
        <v>-11000000</v>
      </c>
    </row>
    <row r="1427" spans="1:13" x14ac:dyDescent="0.3">
      <c r="A1427" s="23">
        <v>44638</v>
      </c>
      <c r="B1427" t="s">
        <v>12</v>
      </c>
      <c r="C1427" t="s">
        <v>132</v>
      </c>
      <c r="D1427" t="s">
        <v>17</v>
      </c>
      <c r="E1427" t="s">
        <v>43</v>
      </c>
      <c r="F1427">
        <v>45500000</v>
      </c>
      <c r="G1427" t="s">
        <v>23</v>
      </c>
      <c r="H1427" t="s">
        <v>81</v>
      </c>
      <c r="I1427" t="s">
        <v>9</v>
      </c>
      <c r="L1427" t="s">
        <v>161</v>
      </c>
      <c r="M1427">
        <v>-45500000</v>
      </c>
    </row>
    <row r="1428" spans="1:13" x14ac:dyDescent="0.3">
      <c r="A1428" s="23">
        <v>44638</v>
      </c>
      <c r="B1428" t="s">
        <v>12</v>
      </c>
      <c r="C1428" t="s">
        <v>132</v>
      </c>
      <c r="D1428" t="s">
        <v>17</v>
      </c>
      <c r="E1428" t="s">
        <v>43</v>
      </c>
      <c r="F1428">
        <v>6700000</v>
      </c>
      <c r="G1428" t="s">
        <v>23</v>
      </c>
      <c r="H1428" t="s">
        <v>81</v>
      </c>
      <c r="I1428" t="s">
        <v>9</v>
      </c>
      <c r="L1428" t="s">
        <v>161</v>
      </c>
      <c r="M1428">
        <v>-6700000</v>
      </c>
    </row>
    <row r="1429" spans="1:13" x14ac:dyDescent="0.3">
      <c r="A1429" s="23">
        <v>44641</v>
      </c>
      <c r="B1429" t="s">
        <v>12</v>
      </c>
      <c r="C1429" t="s">
        <v>132</v>
      </c>
      <c r="D1429" t="s">
        <v>17</v>
      </c>
      <c r="E1429" t="s">
        <v>43</v>
      </c>
      <c r="F1429">
        <v>20000000</v>
      </c>
      <c r="G1429" t="s">
        <v>23</v>
      </c>
      <c r="H1429" t="s">
        <v>81</v>
      </c>
      <c r="I1429" t="s">
        <v>9</v>
      </c>
      <c r="L1429" t="s">
        <v>161</v>
      </c>
      <c r="M1429">
        <v>-20000000</v>
      </c>
    </row>
    <row r="1430" spans="1:13" x14ac:dyDescent="0.3">
      <c r="A1430" s="23">
        <v>44642</v>
      </c>
      <c r="B1430" t="s">
        <v>12</v>
      </c>
      <c r="C1430" t="s">
        <v>132</v>
      </c>
      <c r="D1430" t="s">
        <v>16</v>
      </c>
      <c r="E1430" t="s">
        <v>43</v>
      </c>
      <c r="F1430">
        <v>124900000</v>
      </c>
      <c r="G1430" t="s">
        <v>23</v>
      </c>
      <c r="H1430" t="s">
        <v>81</v>
      </c>
      <c r="I1430" t="s">
        <v>9</v>
      </c>
      <c r="L1430" t="s">
        <v>161</v>
      </c>
      <c r="M1430">
        <v>124900000</v>
      </c>
    </row>
    <row r="1431" spans="1:13" x14ac:dyDescent="0.3">
      <c r="A1431" s="23">
        <v>44643</v>
      </c>
      <c r="B1431" t="s">
        <v>12</v>
      </c>
      <c r="C1431" t="s">
        <v>132</v>
      </c>
      <c r="D1431" t="s">
        <v>17</v>
      </c>
      <c r="E1431" t="s">
        <v>43</v>
      </c>
      <c r="F1431">
        <v>37600000</v>
      </c>
      <c r="G1431" t="s">
        <v>23</v>
      </c>
      <c r="H1431" t="s">
        <v>81</v>
      </c>
      <c r="I1431" t="s">
        <v>9</v>
      </c>
      <c r="L1431" t="s">
        <v>161</v>
      </c>
      <c r="M1431">
        <v>-37600000</v>
      </c>
    </row>
    <row r="1432" spans="1:13" x14ac:dyDescent="0.3">
      <c r="A1432" s="23">
        <v>45814</v>
      </c>
      <c r="B1432" t="s">
        <v>12</v>
      </c>
      <c r="C1432" t="s">
        <v>132</v>
      </c>
      <c r="D1432" t="s">
        <v>17</v>
      </c>
      <c r="E1432" t="s">
        <v>43</v>
      </c>
      <c r="F1432">
        <v>19500000</v>
      </c>
      <c r="G1432" t="s">
        <v>23</v>
      </c>
      <c r="H1432" t="s">
        <v>81</v>
      </c>
      <c r="I1432" t="s">
        <v>9</v>
      </c>
      <c r="L1432" t="s">
        <v>161</v>
      </c>
      <c r="M1432">
        <v>-19500000</v>
      </c>
    </row>
    <row r="1433" spans="1:13" x14ac:dyDescent="0.3">
      <c r="A1433" s="23">
        <v>44648</v>
      </c>
      <c r="B1433" t="s">
        <v>12</v>
      </c>
      <c r="C1433" t="s">
        <v>132</v>
      </c>
      <c r="D1433" t="s">
        <v>17</v>
      </c>
      <c r="E1433" t="s">
        <v>43</v>
      </c>
      <c r="F1433">
        <v>10400000</v>
      </c>
      <c r="G1433" t="s">
        <v>23</v>
      </c>
      <c r="H1433" t="s">
        <v>81</v>
      </c>
      <c r="I1433" t="s">
        <v>9</v>
      </c>
      <c r="L1433" t="s">
        <v>161</v>
      </c>
      <c r="M1433">
        <v>-10400000</v>
      </c>
    </row>
    <row r="1434" spans="1:13" x14ac:dyDescent="0.3">
      <c r="A1434" s="23">
        <v>44649</v>
      </c>
      <c r="B1434" t="s">
        <v>12</v>
      </c>
      <c r="C1434" t="s">
        <v>132</v>
      </c>
      <c r="D1434" t="s">
        <v>16</v>
      </c>
      <c r="E1434" t="s">
        <v>43</v>
      </c>
      <c r="F1434">
        <v>13800000</v>
      </c>
      <c r="G1434" t="s">
        <v>23</v>
      </c>
      <c r="H1434" t="s">
        <v>81</v>
      </c>
      <c r="I1434" t="s">
        <v>9</v>
      </c>
      <c r="L1434" t="s">
        <v>161</v>
      </c>
      <c r="M1434">
        <v>13800000</v>
      </c>
    </row>
    <row r="1435" spans="1:13" x14ac:dyDescent="0.3">
      <c r="A1435" s="23">
        <v>44650</v>
      </c>
      <c r="B1435" t="s">
        <v>12</v>
      </c>
      <c r="C1435" t="s">
        <v>132</v>
      </c>
      <c r="D1435" t="s">
        <v>16</v>
      </c>
      <c r="E1435" t="s">
        <v>43</v>
      </c>
      <c r="F1435">
        <v>38000000</v>
      </c>
      <c r="G1435" t="s">
        <v>23</v>
      </c>
      <c r="H1435" t="s">
        <v>81</v>
      </c>
      <c r="I1435" t="s">
        <v>9</v>
      </c>
      <c r="L1435" t="s">
        <v>161</v>
      </c>
      <c r="M1435">
        <v>38000000</v>
      </c>
    </row>
    <row r="1436" spans="1:13" x14ac:dyDescent="0.3">
      <c r="A1436" s="23">
        <v>45812</v>
      </c>
      <c r="B1436" t="s">
        <v>12</v>
      </c>
      <c r="C1436" t="s">
        <v>132</v>
      </c>
      <c r="D1436" t="s">
        <v>17</v>
      </c>
      <c r="E1436" t="s">
        <v>43</v>
      </c>
      <c r="F1436">
        <v>747800000</v>
      </c>
      <c r="G1436" t="s">
        <v>23</v>
      </c>
      <c r="H1436" t="s">
        <v>81</v>
      </c>
      <c r="I1436" t="s">
        <v>9</v>
      </c>
      <c r="L1436" t="s">
        <v>161</v>
      </c>
      <c r="M1436">
        <v>-747800000</v>
      </c>
    </row>
    <row r="1437" spans="1:13" x14ac:dyDescent="0.3">
      <c r="A1437" s="23">
        <v>45807</v>
      </c>
      <c r="B1437" t="s">
        <v>12</v>
      </c>
      <c r="C1437" t="s">
        <v>132</v>
      </c>
      <c r="D1437" t="s">
        <v>16</v>
      </c>
      <c r="E1437" t="s">
        <v>43</v>
      </c>
      <c r="F1437">
        <v>2500000000</v>
      </c>
      <c r="G1437" t="s">
        <v>23</v>
      </c>
      <c r="H1437" t="s">
        <v>81</v>
      </c>
      <c r="I1437" t="s">
        <v>9</v>
      </c>
      <c r="L1437" t="s">
        <v>161</v>
      </c>
      <c r="M1437">
        <v>2500000000</v>
      </c>
    </row>
    <row r="1438" spans="1:13" x14ac:dyDescent="0.3">
      <c r="A1438" s="23">
        <v>44655</v>
      </c>
      <c r="B1438" t="s">
        <v>12</v>
      </c>
      <c r="C1438" t="s">
        <v>132</v>
      </c>
      <c r="D1438" t="s">
        <v>17</v>
      </c>
      <c r="E1438" t="s">
        <v>43</v>
      </c>
      <c r="F1438">
        <v>110000000</v>
      </c>
      <c r="G1438" t="s">
        <v>23</v>
      </c>
      <c r="H1438" t="s">
        <v>81</v>
      </c>
      <c r="I1438" t="s">
        <v>9</v>
      </c>
      <c r="L1438" t="s">
        <v>161</v>
      </c>
      <c r="M1438">
        <v>-110000000</v>
      </c>
    </row>
    <row r="1439" spans="1:13" x14ac:dyDescent="0.3">
      <c r="A1439" s="23">
        <v>44658</v>
      </c>
      <c r="B1439" t="s">
        <v>12</v>
      </c>
      <c r="C1439" t="s">
        <v>132</v>
      </c>
      <c r="D1439" t="s">
        <v>17</v>
      </c>
      <c r="E1439" t="s">
        <v>43</v>
      </c>
      <c r="F1439">
        <v>7200000</v>
      </c>
      <c r="G1439" t="s">
        <v>23</v>
      </c>
      <c r="H1439" t="s">
        <v>81</v>
      </c>
      <c r="I1439" t="s">
        <v>9</v>
      </c>
      <c r="L1439" t="s">
        <v>161</v>
      </c>
      <c r="M1439">
        <v>-7200000</v>
      </c>
    </row>
    <row r="1440" spans="1:13" x14ac:dyDescent="0.3">
      <c r="A1440" s="23">
        <v>44659</v>
      </c>
      <c r="B1440" t="s">
        <v>12</v>
      </c>
      <c r="C1440" t="s">
        <v>132</v>
      </c>
      <c r="D1440" t="s">
        <v>17</v>
      </c>
      <c r="E1440" t="s">
        <v>43</v>
      </c>
      <c r="F1440">
        <v>3000000</v>
      </c>
      <c r="G1440" t="s">
        <v>23</v>
      </c>
      <c r="H1440" t="s">
        <v>81</v>
      </c>
      <c r="I1440" t="s">
        <v>9</v>
      </c>
      <c r="L1440" t="s">
        <v>161</v>
      </c>
      <c r="M1440">
        <v>-3000000</v>
      </c>
    </row>
    <row r="1441" spans="1:13" x14ac:dyDescent="0.3">
      <c r="A1441" s="23">
        <v>44659</v>
      </c>
      <c r="B1441" t="s">
        <v>12</v>
      </c>
      <c r="C1441" t="s">
        <v>132</v>
      </c>
      <c r="D1441" t="s">
        <v>16</v>
      </c>
      <c r="E1441" t="s">
        <v>43</v>
      </c>
      <c r="F1441">
        <v>10000000</v>
      </c>
      <c r="G1441" t="s">
        <v>23</v>
      </c>
      <c r="H1441" t="s">
        <v>81</v>
      </c>
      <c r="I1441" t="s">
        <v>9</v>
      </c>
      <c r="L1441" t="s">
        <v>161</v>
      </c>
      <c r="M1441">
        <v>10000000</v>
      </c>
    </row>
    <row r="1442" spans="1:13" x14ac:dyDescent="0.3">
      <c r="A1442" s="23">
        <v>45804</v>
      </c>
      <c r="B1442" t="s">
        <v>12</v>
      </c>
      <c r="C1442" t="s">
        <v>132</v>
      </c>
      <c r="D1442" t="s">
        <v>16</v>
      </c>
      <c r="E1442" t="s">
        <v>43</v>
      </c>
      <c r="F1442">
        <v>129121000</v>
      </c>
      <c r="G1442" t="s">
        <v>23</v>
      </c>
      <c r="H1442" t="s">
        <v>81</v>
      </c>
      <c r="I1442" t="s">
        <v>9</v>
      </c>
      <c r="L1442" t="s">
        <v>161</v>
      </c>
      <c r="M1442">
        <v>129121000</v>
      </c>
    </row>
    <row r="1443" spans="1:13" x14ac:dyDescent="0.3">
      <c r="A1443" s="23">
        <v>44663</v>
      </c>
      <c r="B1443" t="s">
        <v>12</v>
      </c>
      <c r="C1443" t="s">
        <v>132</v>
      </c>
      <c r="D1443" t="s">
        <v>16</v>
      </c>
      <c r="E1443" t="s">
        <v>43</v>
      </c>
      <c r="F1443">
        <v>29600000</v>
      </c>
      <c r="G1443" t="s">
        <v>23</v>
      </c>
      <c r="H1443" t="s">
        <v>81</v>
      </c>
      <c r="I1443" t="s">
        <v>9</v>
      </c>
      <c r="L1443" t="s">
        <v>161</v>
      </c>
      <c r="M1443">
        <v>29600000</v>
      </c>
    </row>
    <row r="1444" spans="1:13" x14ac:dyDescent="0.3">
      <c r="A1444" s="23">
        <v>44669</v>
      </c>
      <c r="B1444" t="s">
        <v>12</v>
      </c>
      <c r="C1444" t="s">
        <v>132</v>
      </c>
      <c r="D1444" t="s">
        <v>16</v>
      </c>
      <c r="E1444" t="s">
        <v>43</v>
      </c>
      <c r="F1444">
        <v>6800000</v>
      </c>
      <c r="G1444" t="s">
        <v>23</v>
      </c>
      <c r="H1444" t="s">
        <v>81</v>
      </c>
      <c r="I1444" t="s">
        <v>9</v>
      </c>
      <c r="L1444" t="s">
        <v>161</v>
      </c>
      <c r="M1444">
        <v>6800000</v>
      </c>
    </row>
    <row r="1445" spans="1:13" x14ac:dyDescent="0.3">
      <c r="A1445" s="23">
        <v>45793</v>
      </c>
      <c r="B1445" t="s">
        <v>12</v>
      </c>
      <c r="C1445" t="s">
        <v>132</v>
      </c>
      <c r="D1445" t="s">
        <v>17</v>
      </c>
      <c r="E1445" t="s">
        <v>43</v>
      </c>
      <c r="F1445">
        <v>175800000</v>
      </c>
      <c r="G1445" t="s">
        <v>23</v>
      </c>
      <c r="H1445" t="s">
        <v>81</v>
      </c>
      <c r="I1445" t="s">
        <v>9</v>
      </c>
      <c r="L1445" t="s">
        <v>161</v>
      </c>
      <c r="M1445">
        <v>-175800000</v>
      </c>
    </row>
    <row r="1446" spans="1:13" x14ac:dyDescent="0.3">
      <c r="A1446" s="23">
        <v>45792</v>
      </c>
      <c r="B1446" t="s">
        <v>12</v>
      </c>
      <c r="C1446" t="s">
        <v>132</v>
      </c>
      <c r="D1446" t="s">
        <v>17</v>
      </c>
      <c r="E1446" t="s">
        <v>43</v>
      </c>
      <c r="F1446">
        <v>2600000</v>
      </c>
      <c r="G1446" t="s">
        <v>23</v>
      </c>
      <c r="H1446" t="s">
        <v>81</v>
      </c>
      <c r="I1446" t="s">
        <v>9</v>
      </c>
      <c r="L1446" t="s">
        <v>161</v>
      </c>
      <c r="M1446">
        <v>-2600000</v>
      </c>
    </row>
    <row r="1447" spans="1:13" x14ac:dyDescent="0.3">
      <c r="A1447" s="23">
        <v>44681</v>
      </c>
      <c r="B1447" t="s">
        <v>12</v>
      </c>
      <c r="C1447" t="s">
        <v>132</v>
      </c>
      <c r="D1447" t="s">
        <v>16</v>
      </c>
      <c r="E1447" t="s">
        <v>43</v>
      </c>
      <c r="F1447">
        <v>3204286.06</v>
      </c>
      <c r="G1447" t="s">
        <v>23</v>
      </c>
      <c r="H1447" t="s">
        <v>81</v>
      </c>
      <c r="I1447" t="s">
        <v>9</v>
      </c>
      <c r="L1447" t="s">
        <v>161</v>
      </c>
      <c r="M1447">
        <v>3204286.06</v>
      </c>
    </row>
    <row r="1448" spans="1:13" x14ac:dyDescent="0.3">
      <c r="A1448" s="23">
        <v>44683</v>
      </c>
      <c r="B1448" t="s">
        <v>12</v>
      </c>
      <c r="C1448" t="s">
        <v>132</v>
      </c>
      <c r="D1448" t="s">
        <v>17</v>
      </c>
      <c r="E1448" t="s">
        <v>43</v>
      </c>
      <c r="F1448">
        <v>36500000</v>
      </c>
      <c r="G1448" t="s">
        <v>23</v>
      </c>
      <c r="H1448" t="s">
        <v>81</v>
      </c>
      <c r="I1448" t="s">
        <v>9</v>
      </c>
      <c r="L1448" t="s">
        <v>161</v>
      </c>
      <c r="M1448">
        <v>-36500000</v>
      </c>
    </row>
    <row r="1449" spans="1:13" x14ac:dyDescent="0.3">
      <c r="A1449" s="23">
        <v>44684</v>
      </c>
      <c r="B1449" t="s">
        <v>12</v>
      </c>
      <c r="C1449" t="s">
        <v>132</v>
      </c>
      <c r="D1449" t="s">
        <v>16</v>
      </c>
      <c r="E1449" t="s">
        <v>43</v>
      </c>
      <c r="F1449">
        <v>76000000</v>
      </c>
      <c r="G1449" t="s">
        <v>23</v>
      </c>
      <c r="H1449" t="s">
        <v>81</v>
      </c>
      <c r="I1449" t="s">
        <v>9</v>
      </c>
      <c r="L1449" t="s">
        <v>161</v>
      </c>
      <c r="M1449">
        <v>76000000</v>
      </c>
    </row>
    <row r="1450" spans="1:13" x14ac:dyDescent="0.3">
      <c r="A1450" s="23">
        <v>44685</v>
      </c>
      <c r="B1450" t="s">
        <v>12</v>
      </c>
      <c r="C1450" t="s">
        <v>132</v>
      </c>
      <c r="D1450" t="s">
        <v>17</v>
      </c>
      <c r="E1450" t="s">
        <v>43</v>
      </c>
      <c r="F1450">
        <v>48900000</v>
      </c>
      <c r="G1450" t="s">
        <v>23</v>
      </c>
      <c r="H1450" t="s">
        <v>81</v>
      </c>
      <c r="I1450" t="s">
        <v>9</v>
      </c>
      <c r="L1450" t="s">
        <v>161</v>
      </c>
      <c r="M1450">
        <v>-48900000</v>
      </c>
    </row>
    <row r="1451" spans="1:13" x14ac:dyDescent="0.3">
      <c r="A1451" s="23">
        <v>44687</v>
      </c>
      <c r="B1451" t="s">
        <v>12</v>
      </c>
      <c r="C1451" t="s">
        <v>132</v>
      </c>
      <c r="D1451" t="s">
        <v>17</v>
      </c>
      <c r="E1451" t="s">
        <v>43</v>
      </c>
      <c r="F1451">
        <v>26900000</v>
      </c>
      <c r="G1451" t="s">
        <v>23</v>
      </c>
      <c r="H1451" t="s">
        <v>81</v>
      </c>
      <c r="I1451" t="s">
        <v>9</v>
      </c>
      <c r="L1451" t="s">
        <v>161</v>
      </c>
      <c r="M1451">
        <v>-26900000</v>
      </c>
    </row>
    <row r="1452" spans="1:13" x14ac:dyDescent="0.3">
      <c r="A1452" s="23">
        <v>45786</v>
      </c>
      <c r="B1452" t="s">
        <v>12</v>
      </c>
      <c r="C1452" t="s">
        <v>132</v>
      </c>
      <c r="D1452" t="s">
        <v>17</v>
      </c>
      <c r="E1452" t="s">
        <v>43</v>
      </c>
      <c r="F1452">
        <v>20700000</v>
      </c>
      <c r="G1452" t="s">
        <v>23</v>
      </c>
      <c r="H1452" t="s">
        <v>81</v>
      </c>
      <c r="I1452" t="s">
        <v>9</v>
      </c>
      <c r="L1452" t="s">
        <v>161</v>
      </c>
      <c r="M1452">
        <v>-20700000</v>
      </c>
    </row>
    <row r="1453" spans="1:13" x14ac:dyDescent="0.3">
      <c r="A1453" s="23">
        <v>44690</v>
      </c>
      <c r="B1453" t="s">
        <v>12</v>
      </c>
      <c r="C1453" t="s">
        <v>132</v>
      </c>
      <c r="D1453" t="s">
        <v>17</v>
      </c>
      <c r="E1453" t="s">
        <v>43</v>
      </c>
      <c r="F1453">
        <v>20000000</v>
      </c>
      <c r="G1453" t="s">
        <v>23</v>
      </c>
      <c r="H1453" t="s">
        <v>81</v>
      </c>
      <c r="I1453" t="s">
        <v>9</v>
      </c>
      <c r="L1453" t="s">
        <v>161</v>
      </c>
      <c r="M1453">
        <v>-20000000</v>
      </c>
    </row>
    <row r="1454" spans="1:13" x14ac:dyDescent="0.3">
      <c r="A1454" s="23">
        <v>44691</v>
      </c>
      <c r="B1454" t="s">
        <v>12</v>
      </c>
      <c r="C1454" t="s">
        <v>132</v>
      </c>
      <c r="D1454" t="s">
        <v>16</v>
      </c>
      <c r="E1454" t="s">
        <v>43</v>
      </c>
      <c r="F1454">
        <v>83100000</v>
      </c>
      <c r="G1454" t="s">
        <v>23</v>
      </c>
      <c r="H1454" t="s">
        <v>81</v>
      </c>
      <c r="I1454" t="s">
        <v>9</v>
      </c>
      <c r="L1454" t="s">
        <v>161</v>
      </c>
      <c r="M1454">
        <v>83100000</v>
      </c>
    </row>
    <row r="1455" spans="1:13" x14ac:dyDescent="0.3">
      <c r="A1455" s="23">
        <v>45782</v>
      </c>
      <c r="B1455" t="s">
        <v>12</v>
      </c>
      <c r="C1455" t="s">
        <v>132</v>
      </c>
      <c r="D1455" t="s">
        <v>17</v>
      </c>
      <c r="E1455" t="s">
        <v>43</v>
      </c>
      <c r="F1455">
        <v>633600000</v>
      </c>
      <c r="G1455" t="s">
        <v>23</v>
      </c>
      <c r="H1455" t="s">
        <v>81</v>
      </c>
      <c r="I1455" t="s">
        <v>9</v>
      </c>
      <c r="L1455" t="s">
        <v>161</v>
      </c>
      <c r="M1455">
        <v>-633600000</v>
      </c>
    </row>
    <row r="1456" spans="1:13" x14ac:dyDescent="0.3">
      <c r="A1456" s="23">
        <v>44692</v>
      </c>
      <c r="B1456" t="s">
        <v>12</v>
      </c>
      <c r="C1456" t="s">
        <v>132</v>
      </c>
      <c r="D1456" t="s">
        <v>17</v>
      </c>
      <c r="E1456" t="s">
        <v>43</v>
      </c>
      <c r="F1456">
        <v>26500000</v>
      </c>
      <c r="G1456" t="s">
        <v>23</v>
      </c>
      <c r="H1456" t="s">
        <v>81</v>
      </c>
      <c r="I1456" t="s">
        <v>9</v>
      </c>
      <c r="L1456" t="s">
        <v>161</v>
      </c>
      <c r="M1456">
        <v>-26500000</v>
      </c>
    </row>
    <row r="1457" spans="1:13" x14ac:dyDescent="0.3">
      <c r="A1457" s="23">
        <v>44694</v>
      </c>
      <c r="B1457" t="s">
        <v>12</v>
      </c>
      <c r="C1457" t="s">
        <v>132</v>
      </c>
      <c r="D1457" t="s">
        <v>16</v>
      </c>
      <c r="E1457" t="s">
        <v>43</v>
      </c>
      <c r="F1457">
        <v>7200000</v>
      </c>
      <c r="G1457" t="s">
        <v>23</v>
      </c>
      <c r="H1457" t="s">
        <v>81</v>
      </c>
      <c r="I1457" t="s">
        <v>9</v>
      </c>
      <c r="L1457" t="s">
        <v>161</v>
      </c>
      <c r="M1457">
        <v>7200000</v>
      </c>
    </row>
    <row r="1458" spans="1:13" x14ac:dyDescent="0.3">
      <c r="A1458" s="23">
        <v>44694</v>
      </c>
      <c r="B1458" t="s">
        <v>12</v>
      </c>
      <c r="C1458" t="s">
        <v>132</v>
      </c>
      <c r="D1458" t="s">
        <v>17</v>
      </c>
      <c r="E1458" t="s">
        <v>43</v>
      </c>
      <c r="F1458">
        <v>62612071.850000001</v>
      </c>
      <c r="G1458" t="s">
        <v>23</v>
      </c>
      <c r="H1458" t="s">
        <v>81</v>
      </c>
      <c r="I1458" t="s">
        <v>9</v>
      </c>
      <c r="L1458" t="s">
        <v>161</v>
      </c>
      <c r="M1458">
        <v>-62612071.850000001</v>
      </c>
    </row>
    <row r="1459" spans="1:13" x14ac:dyDescent="0.3">
      <c r="A1459" s="23">
        <v>44697</v>
      </c>
      <c r="B1459" t="s">
        <v>12</v>
      </c>
      <c r="C1459" t="s">
        <v>132</v>
      </c>
      <c r="D1459" t="s">
        <v>16</v>
      </c>
      <c r="E1459" t="s">
        <v>43</v>
      </c>
      <c r="F1459">
        <v>151000000</v>
      </c>
      <c r="G1459" t="s">
        <v>23</v>
      </c>
      <c r="H1459" t="s">
        <v>81</v>
      </c>
      <c r="I1459" t="s">
        <v>9</v>
      </c>
      <c r="L1459" t="s">
        <v>161</v>
      </c>
      <c r="M1459">
        <v>151000000</v>
      </c>
    </row>
    <row r="1460" spans="1:13" x14ac:dyDescent="0.3">
      <c r="A1460" s="23">
        <v>44698</v>
      </c>
      <c r="B1460" t="s">
        <v>12</v>
      </c>
      <c r="C1460" t="s">
        <v>132</v>
      </c>
      <c r="D1460" t="s">
        <v>17</v>
      </c>
      <c r="E1460" t="s">
        <v>43</v>
      </c>
      <c r="F1460">
        <v>36800000</v>
      </c>
      <c r="G1460" t="s">
        <v>23</v>
      </c>
      <c r="H1460" t="s">
        <v>81</v>
      </c>
      <c r="I1460" t="s">
        <v>9</v>
      </c>
      <c r="L1460" t="s">
        <v>161</v>
      </c>
      <c r="M1460">
        <v>-36800000</v>
      </c>
    </row>
    <row r="1461" spans="1:13" x14ac:dyDescent="0.3">
      <c r="A1461" s="23">
        <v>45769</v>
      </c>
      <c r="B1461" t="s">
        <v>12</v>
      </c>
      <c r="C1461" t="s">
        <v>132</v>
      </c>
      <c r="D1461" t="s">
        <v>16</v>
      </c>
      <c r="E1461" t="s">
        <v>43</v>
      </c>
      <c r="F1461">
        <v>30995902</v>
      </c>
      <c r="G1461" t="s">
        <v>23</v>
      </c>
      <c r="H1461" t="s">
        <v>81</v>
      </c>
      <c r="I1461" t="s">
        <v>9</v>
      </c>
      <c r="L1461" t="s">
        <v>161</v>
      </c>
      <c r="M1461">
        <v>30995902</v>
      </c>
    </row>
    <row r="1462" spans="1:13" x14ac:dyDescent="0.3">
      <c r="A1462" s="23">
        <v>44701</v>
      </c>
      <c r="B1462" t="s">
        <v>12</v>
      </c>
      <c r="C1462" t="s">
        <v>132</v>
      </c>
      <c r="D1462" t="s">
        <v>17</v>
      </c>
      <c r="E1462" t="s">
        <v>43</v>
      </c>
      <c r="F1462">
        <v>40500000</v>
      </c>
      <c r="G1462" t="s">
        <v>23</v>
      </c>
      <c r="H1462" t="s">
        <v>81</v>
      </c>
      <c r="I1462" t="s">
        <v>9</v>
      </c>
      <c r="L1462" t="s">
        <v>161</v>
      </c>
      <c r="M1462">
        <v>-40500000</v>
      </c>
    </row>
    <row r="1463" spans="1:13" x14ac:dyDescent="0.3">
      <c r="A1463" s="23">
        <v>44704</v>
      </c>
      <c r="B1463" t="s">
        <v>12</v>
      </c>
      <c r="C1463" t="s">
        <v>132</v>
      </c>
      <c r="D1463" t="s">
        <v>17</v>
      </c>
      <c r="E1463" t="s">
        <v>43</v>
      </c>
      <c r="F1463">
        <v>80900000</v>
      </c>
      <c r="G1463" t="s">
        <v>23</v>
      </c>
      <c r="H1463" t="s">
        <v>81</v>
      </c>
      <c r="I1463" t="s">
        <v>9</v>
      </c>
      <c r="L1463" t="s">
        <v>161</v>
      </c>
      <c r="M1463">
        <v>-80900000</v>
      </c>
    </row>
    <row r="1464" spans="1:13" x14ac:dyDescent="0.3">
      <c r="A1464" s="23">
        <v>45763</v>
      </c>
      <c r="B1464" t="s">
        <v>12</v>
      </c>
      <c r="C1464" t="s">
        <v>132</v>
      </c>
      <c r="D1464" t="s">
        <v>16</v>
      </c>
      <c r="E1464" t="s">
        <v>43</v>
      </c>
      <c r="F1464">
        <v>3865600000</v>
      </c>
      <c r="G1464" t="s">
        <v>23</v>
      </c>
      <c r="H1464" t="s">
        <v>81</v>
      </c>
      <c r="I1464" t="s">
        <v>9</v>
      </c>
      <c r="L1464" t="s">
        <v>161</v>
      </c>
      <c r="M1464">
        <v>3865600000</v>
      </c>
    </row>
    <row r="1465" spans="1:13" x14ac:dyDescent="0.3">
      <c r="A1465" s="23">
        <v>45762</v>
      </c>
      <c r="B1465" t="s">
        <v>12</v>
      </c>
      <c r="C1465" t="s">
        <v>132</v>
      </c>
      <c r="D1465" t="s">
        <v>16</v>
      </c>
      <c r="E1465" t="s">
        <v>43</v>
      </c>
      <c r="F1465">
        <v>400000000</v>
      </c>
      <c r="G1465" t="s">
        <v>23</v>
      </c>
      <c r="H1465" t="s">
        <v>81</v>
      </c>
      <c r="I1465" t="s">
        <v>9</v>
      </c>
      <c r="L1465" t="s">
        <v>161</v>
      </c>
      <c r="M1465">
        <v>400000000</v>
      </c>
    </row>
    <row r="1466" spans="1:13" x14ac:dyDescent="0.3">
      <c r="A1466" s="23">
        <v>44705</v>
      </c>
      <c r="B1466" t="s">
        <v>12</v>
      </c>
      <c r="C1466" t="s">
        <v>132</v>
      </c>
      <c r="D1466" t="s">
        <v>16</v>
      </c>
      <c r="E1466" t="s">
        <v>43</v>
      </c>
      <c r="F1466">
        <v>156600000</v>
      </c>
      <c r="G1466" t="s">
        <v>23</v>
      </c>
      <c r="H1466" t="s">
        <v>81</v>
      </c>
      <c r="I1466" t="s">
        <v>9</v>
      </c>
      <c r="L1466" t="s">
        <v>161</v>
      </c>
      <c r="M1466">
        <v>156600000</v>
      </c>
    </row>
    <row r="1467" spans="1:13" x14ac:dyDescent="0.3">
      <c r="A1467" s="23">
        <v>44707</v>
      </c>
      <c r="B1467" t="s">
        <v>12</v>
      </c>
      <c r="C1467" t="s">
        <v>132</v>
      </c>
      <c r="D1467" t="s">
        <v>17</v>
      </c>
      <c r="E1467" t="s">
        <v>43</v>
      </c>
      <c r="F1467">
        <v>39600000</v>
      </c>
      <c r="G1467" t="s">
        <v>23</v>
      </c>
      <c r="H1467" t="s">
        <v>81</v>
      </c>
      <c r="I1467" t="s">
        <v>9</v>
      </c>
      <c r="L1467" t="s">
        <v>161</v>
      </c>
      <c r="M1467">
        <v>-39600000</v>
      </c>
    </row>
    <row r="1468" spans="1:13" x14ac:dyDescent="0.3">
      <c r="A1468" s="23">
        <v>45757</v>
      </c>
      <c r="B1468" t="s">
        <v>12</v>
      </c>
      <c r="C1468" t="s">
        <v>132</v>
      </c>
      <c r="D1468" t="s">
        <v>17</v>
      </c>
      <c r="E1468" t="s">
        <v>43</v>
      </c>
      <c r="F1468">
        <v>470700000</v>
      </c>
      <c r="G1468" t="s">
        <v>23</v>
      </c>
      <c r="H1468" t="s">
        <v>81</v>
      </c>
      <c r="I1468" t="s">
        <v>9</v>
      </c>
      <c r="L1468" t="s">
        <v>161</v>
      </c>
      <c r="M1468">
        <v>-470700000</v>
      </c>
    </row>
    <row r="1469" spans="1:13" x14ac:dyDescent="0.3">
      <c r="A1469" s="23">
        <v>44708</v>
      </c>
      <c r="B1469" t="s">
        <v>12</v>
      </c>
      <c r="C1469" t="s">
        <v>132</v>
      </c>
      <c r="D1469" t="s">
        <v>17</v>
      </c>
      <c r="E1469" t="s">
        <v>43</v>
      </c>
      <c r="F1469">
        <v>4500000</v>
      </c>
      <c r="G1469" t="s">
        <v>23</v>
      </c>
      <c r="H1469" t="s">
        <v>81</v>
      </c>
      <c r="I1469" t="s">
        <v>9</v>
      </c>
      <c r="L1469" t="s">
        <v>161</v>
      </c>
      <c r="M1469">
        <v>-4500000</v>
      </c>
    </row>
    <row r="1470" spans="1:13" x14ac:dyDescent="0.3">
      <c r="A1470" s="23">
        <v>45757</v>
      </c>
      <c r="B1470" t="s">
        <v>12</v>
      </c>
      <c r="C1470" t="s">
        <v>132</v>
      </c>
      <c r="D1470" t="s">
        <v>17</v>
      </c>
      <c r="E1470" t="s">
        <v>43</v>
      </c>
      <c r="F1470">
        <v>3000000000</v>
      </c>
      <c r="G1470" t="s">
        <v>23</v>
      </c>
      <c r="H1470" t="s">
        <v>81</v>
      </c>
      <c r="I1470" t="s">
        <v>9</v>
      </c>
      <c r="L1470" t="s">
        <v>161</v>
      </c>
      <c r="M1470">
        <v>-3000000000</v>
      </c>
    </row>
    <row r="1471" spans="1:13" x14ac:dyDescent="0.3">
      <c r="A1471" s="23">
        <v>44711</v>
      </c>
      <c r="B1471" t="s">
        <v>12</v>
      </c>
      <c r="C1471" t="s">
        <v>132</v>
      </c>
      <c r="D1471" t="s">
        <v>17</v>
      </c>
      <c r="E1471" t="s">
        <v>43</v>
      </c>
      <c r="F1471">
        <v>15000000</v>
      </c>
      <c r="G1471" t="s">
        <v>23</v>
      </c>
      <c r="H1471" t="s">
        <v>81</v>
      </c>
      <c r="I1471" t="s">
        <v>9</v>
      </c>
      <c r="L1471" t="s">
        <v>161</v>
      </c>
      <c r="M1471">
        <v>-15000000</v>
      </c>
    </row>
    <row r="1472" spans="1:13" x14ac:dyDescent="0.3">
      <c r="A1472" s="23">
        <v>44712</v>
      </c>
      <c r="B1472" t="s">
        <v>12</v>
      </c>
      <c r="C1472" t="s">
        <v>132</v>
      </c>
      <c r="D1472" t="s">
        <v>16</v>
      </c>
      <c r="E1472" t="s">
        <v>43</v>
      </c>
      <c r="F1472">
        <v>175800000</v>
      </c>
      <c r="G1472" t="s">
        <v>23</v>
      </c>
      <c r="H1472" t="s">
        <v>81</v>
      </c>
      <c r="I1472" t="s">
        <v>9</v>
      </c>
      <c r="L1472" t="s">
        <v>161</v>
      </c>
      <c r="M1472">
        <v>175800000</v>
      </c>
    </row>
    <row r="1473" spans="1:13" x14ac:dyDescent="0.3">
      <c r="A1473" s="23">
        <v>45756</v>
      </c>
      <c r="B1473" t="s">
        <v>12</v>
      </c>
      <c r="C1473" t="s">
        <v>132</v>
      </c>
      <c r="D1473" t="s">
        <v>16</v>
      </c>
      <c r="E1473" t="s">
        <v>43</v>
      </c>
      <c r="F1473">
        <v>2000000000</v>
      </c>
      <c r="G1473" t="s">
        <v>23</v>
      </c>
      <c r="H1473" t="s">
        <v>81</v>
      </c>
      <c r="I1473" t="s">
        <v>9</v>
      </c>
      <c r="L1473" t="s">
        <v>161</v>
      </c>
      <c r="M1473">
        <v>2000000000</v>
      </c>
    </row>
    <row r="1474" spans="1:13" x14ac:dyDescent="0.3">
      <c r="A1474" s="23">
        <v>44713</v>
      </c>
      <c r="B1474" t="s">
        <v>12</v>
      </c>
      <c r="C1474" t="s">
        <v>132</v>
      </c>
      <c r="D1474" t="s">
        <v>16</v>
      </c>
      <c r="E1474" t="s">
        <v>43</v>
      </c>
      <c r="F1474">
        <v>66100000</v>
      </c>
      <c r="G1474" t="s">
        <v>23</v>
      </c>
      <c r="H1474" t="s">
        <v>81</v>
      </c>
      <c r="I1474" t="s">
        <v>9</v>
      </c>
      <c r="L1474" t="s">
        <v>161</v>
      </c>
      <c r="M1474">
        <v>66100000</v>
      </c>
    </row>
    <row r="1475" spans="1:13" x14ac:dyDescent="0.3">
      <c r="A1475" s="23">
        <v>45751</v>
      </c>
      <c r="B1475" t="s">
        <v>12</v>
      </c>
      <c r="C1475" t="s">
        <v>132</v>
      </c>
      <c r="D1475" t="s">
        <v>17</v>
      </c>
      <c r="E1475" t="s">
        <v>43</v>
      </c>
      <c r="F1475">
        <v>26300000</v>
      </c>
      <c r="G1475" t="s">
        <v>23</v>
      </c>
      <c r="H1475" t="s">
        <v>81</v>
      </c>
      <c r="I1475" t="s">
        <v>9</v>
      </c>
      <c r="L1475" t="s">
        <v>161</v>
      </c>
      <c r="M1475">
        <v>-26300000</v>
      </c>
    </row>
    <row r="1476" spans="1:13" x14ac:dyDescent="0.3">
      <c r="A1476" s="23">
        <v>44715</v>
      </c>
      <c r="B1476" t="s">
        <v>12</v>
      </c>
      <c r="C1476" t="s">
        <v>132</v>
      </c>
      <c r="D1476" t="s">
        <v>17</v>
      </c>
      <c r="E1476" t="s">
        <v>43</v>
      </c>
      <c r="F1476">
        <v>300000000</v>
      </c>
      <c r="G1476" t="s">
        <v>23</v>
      </c>
      <c r="H1476" t="s">
        <v>81</v>
      </c>
      <c r="I1476" t="s">
        <v>9</v>
      </c>
      <c r="L1476" t="s">
        <v>161</v>
      </c>
      <c r="M1476">
        <v>-300000000</v>
      </c>
    </row>
    <row r="1477" spans="1:13" x14ac:dyDescent="0.3">
      <c r="A1477" s="23">
        <v>44718</v>
      </c>
      <c r="B1477" t="s">
        <v>12</v>
      </c>
      <c r="C1477" t="s">
        <v>132</v>
      </c>
      <c r="D1477" t="s">
        <v>17</v>
      </c>
      <c r="E1477" t="s">
        <v>43</v>
      </c>
      <c r="F1477">
        <v>24500000</v>
      </c>
      <c r="G1477" t="s">
        <v>23</v>
      </c>
      <c r="H1477" t="s">
        <v>81</v>
      </c>
      <c r="I1477" t="s">
        <v>9</v>
      </c>
      <c r="L1477" t="s">
        <v>161</v>
      </c>
      <c r="M1477">
        <v>-24500000</v>
      </c>
    </row>
    <row r="1478" spans="1:13" x14ac:dyDescent="0.3">
      <c r="A1478" s="23">
        <v>45743</v>
      </c>
      <c r="B1478" t="s">
        <v>12</v>
      </c>
      <c r="C1478" t="s">
        <v>132</v>
      </c>
      <c r="D1478" t="s">
        <v>16</v>
      </c>
      <c r="E1478" t="s">
        <v>43</v>
      </c>
      <c r="F1478">
        <v>474200000</v>
      </c>
      <c r="G1478" t="s">
        <v>23</v>
      </c>
      <c r="H1478" t="s">
        <v>81</v>
      </c>
      <c r="I1478" t="s">
        <v>9</v>
      </c>
      <c r="L1478" t="s">
        <v>161</v>
      </c>
      <c r="M1478">
        <v>474200000</v>
      </c>
    </row>
    <row r="1479" spans="1:13" x14ac:dyDescent="0.3">
      <c r="A1479" s="23">
        <v>44721</v>
      </c>
      <c r="B1479" t="s">
        <v>12</v>
      </c>
      <c r="C1479" t="s">
        <v>132</v>
      </c>
      <c r="D1479" t="s">
        <v>16</v>
      </c>
      <c r="E1479" t="s">
        <v>43</v>
      </c>
      <c r="F1479">
        <v>105400000</v>
      </c>
      <c r="G1479" t="s">
        <v>23</v>
      </c>
      <c r="H1479" t="s">
        <v>81</v>
      </c>
      <c r="I1479" t="s">
        <v>9</v>
      </c>
      <c r="L1479" t="s">
        <v>161</v>
      </c>
      <c r="M1479">
        <v>105400000</v>
      </c>
    </row>
    <row r="1480" spans="1:13" x14ac:dyDescent="0.3">
      <c r="A1480" s="23">
        <v>45736</v>
      </c>
      <c r="B1480" t="s">
        <v>12</v>
      </c>
      <c r="C1480" t="s">
        <v>132</v>
      </c>
      <c r="D1480" t="s">
        <v>16</v>
      </c>
      <c r="E1480" t="s">
        <v>43</v>
      </c>
      <c r="F1480">
        <v>1000000000</v>
      </c>
      <c r="G1480" t="s">
        <v>23</v>
      </c>
      <c r="H1480" t="s">
        <v>81</v>
      </c>
      <c r="I1480" t="s">
        <v>9</v>
      </c>
      <c r="L1480" t="s">
        <v>161</v>
      </c>
      <c r="M1480">
        <v>1000000000</v>
      </c>
    </row>
    <row r="1481" spans="1:13" x14ac:dyDescent="0.3">
      <c r="A1481" s="23">
        <v>44725</v>
      </c>
      <c r="B1481" t="s">
        <v>12</v>
      </c>
      <c r="C1481" t="s">
        <v>132</v>
      </c>
      <c r="D1481" t="s">
        <v>17</v>
      </c>
      <c r="E1481" t="s">
        <v>43</v>
      </c>
      <c r="F1481">
        <v>60000000</v>
      </c>
      <c r="G1481" t="s">
        <v>23</v>
      </c>
      <c r="H1481" t="s">
        <v>81</v>
      </c>
      <c r="I1481" t="s">
        <v>9</v>
      </c>
      <c r="L1481" t="s">
        <v>161</v>
      </c>
      <c r="M1481">
        <v>-60000000</v>
      </c>
    </row>
    <row r="1482" spans="1:13" x14ac:dyDescent="0.3">
      <c r="A1482" s="23">
        <v>44726</v>
      </c>
      <c r="B1482" t="s">
        <v>12</v>
      </c>
      <c r="C1482" t="s">
        <v>132</v>
      </c>
      <c r="D1482" t="s">
        <v>16</v>
      </c>
      <c r="E1482" t="s">
        <v>43</v>
      </c>
      <c r="F1482">
        <v>223500000</v>
      </c>
      <c r="G1482" t="s">
        <v>23</v>
      </c>
      <c r="H1482" t="s">
        <v>81</v>
      </c>
      <c r="I1482" t="s">
        <v>9</v>
      </c>
      <c r="L1482" t="s">
        <v>161</v>
      </c>
      <c r="M1482">
        <v>223500000</v>
      </c>
    </row>
    <row r="1483" spans="1:13" x14ac:dyDescent="0.3">
      <c r="A1483" s="23">
        <v>44728</v>
      </c>
      <c r="B1483" t="s">
        <v>12</v>
      </c>
      <c r="C1483" t="s">
        <v>132</v>
      </c>
      <c r="D1483" t="s">
        <v>17</v>
      </c>
      <c r="E1483" t="s">
        <v>43</v>
      </c>
      <c r="F1483">
        <v>90500000</v>
      </c>
      <c r="G1483" t="s">
        <v>23</v>
      </c>
      <c r="H1483" t="s">
        <v>81</v>
      </c>
      <c r="I1483" t="s">
        <v>9</v>
      </c>
      <c r="L1483" t="s">
        <v>161</v>
      </c>
      <c r="M1483">
        <v>-90500000</v>
      </c>
    </row>
    <row r="1484" spans="1:13" x14ac:dyDescent="0.3">
      <c r="A1484" s="23">
        <v>44733</v>
      </c>
      <c r="B1484" t="s">
        <v>12</v>
      </c>
      <c r="C1484" t="s">
        <v>132</v>
      </c>
      <c r="D1484" t="s">
        <v>17</v>
      </c>
      <c r="E1484" t="s">
        <v>43</v>
      </c>
      <c r="F1484">
        <v>159000000</v>
      </c>
      <c r="G1484" t="s">
        <v>23</v>
      </c>
      <c r="H1484" t="s">
        <v>81</v>
      </c>
      <c r="I1484" t="s">
        <v>9</v>
      </c>
      <c r="L1484" t="s">
        <v>161</v>
      </c>
      <c r="M1484">
        <v>-159000000</v>
      </c>
    </row>
    <row r="1485" spans="1:13" x14ac:dyDescent="0.3">
      <c r="A1485" s="23">
        <v>44734</v>
      </c>
      <c r="B1485" t="s">
        <v>12</v>
      </c>
      <c r="C1485" t="s">
        <v>132</v>
      </c>
      <c r="D1485" t="s">
        <v>16</v>
      </c>
      <c r="E1485" t="s">
        <v>43</v>
      </c>
      <c r="F1485">
        <v>180200000</v>
      </c>
      <c r="G1485" t="s">
        <v>23</v>
      </c>
      <c r="H1485" t="s">
        <v>81</v>
      </c>
      <c r="I1485" t="s">
        <v>9</v>
      </c>
      <c r="L1485" t="s">
        <v>161</v>
      </c>
      <c r="M1485">
        <v>180200000</v>
      </c>
    </row>
    <row r="1486" spans="1:13" x14ac:dyDescent="0.3">
      <c r="A1486" s="23">
        <v>44735</v>
      </c>
      <c r="B1486" t="s">
        <v>12</v>
      </c>
      <c r="C1486" t="s">
        <v>132</v>
      </c>
      <c r="D1486" t="s">
        <v>17</v>
      </c>
      <c r="E1486" t="s">
        <v>43</v>
      </c>
      <c r="F1486">
        <v>63500000</v>
      </c>
      <c r="G1486" t="s">
        <v>23</v>
      </c>
      <c r="H1486" t="s">
        <v>81</v>
      </c>
      <c r="I1486" t="s">
        <v>9</v>
      </c>
      <c r="L1486" t="s">
        <v>161</v>
      </c>
      <c r="M1486">
        <v>-63500000</v>
      </c>
    </row>
    <row r="1487" spans="1:13" x14ac:dyDescent="0.3">
      <c r="A1487" s="23">
        <v>45722</v>
      </c>
      <c r="B1487" t="s">
        <v>12</v>
      </c>
      <c r="C1487" t="s">
        <v>132</v>
      </c>
      <c r="D1487" t="s">
        <v>17</v>
      </c>
      <c r="E1487" t="s">
        <v>43</v>
      </c>
      <c r="F1487">
        <v>156000000</v>
      </c>
      <c r="G1487" t="s">
        <v>23</v>
      </c>
      <c r="H1487" t="s">
        <v>81</v>
      </c>
      <c r="I1487" t="s">
        <v>9</v>
      </c>
      <c r="L1487" t="s">
        <v>161</v>
      </c>
      <c r="M1487">
        <v>-156000000</v>
      </c>
    </row>
    <row r="1488" spans="1:13" x14ac:dyDescent="0.3">
      <c r="A1488" s="23">
        <v>45716</v>
      </c>
      <c r="B1488" t="s">
        <v>12</v>
      </c>
      <c r="C1488" t="s">
        <v>132</v>
      </c>
      <c r="D1488" t="s">
        <v>16</v>
      </c>
      <c r="E1488" t="s">
        <v>43</v>
      </c>
      <c r="F1488">
        <v>29610922</v>
      </c>
      <c r="G1488" t="s">
        <v>23</v>
      </c>
      <c r="H1488" t="s">
        <v>81</v>
      </c>
      <c r="I1488" t="s">
        <v>9</v>
      </c>
      <c r="L1488" t="s">
        <v>161</v>
      </c>
      <c r="M1488">
        <v>29610922</v>
      </c>
    </row>
    <row r="1489" spans="1:13" x14ac:dyDescent="0.3">
      <c r="A1489" s="23">
        <v>44736</v>
      </c>
      <c r="B1489" t="s">
        <v>12</v>
      </c>
      <c r="C1489" t="s">
        <v>132</v>
      </c>
      <c r="D1489" t="s">
        <v>17</v>
      </c>
      <c r="E1489" t="s">
        <v>43</v>
      </c>
      <c r="F1489">
        <v>82300000</v>
      </c>
      <c r="G1489" t="s">
        <v>23</v>
      </c>
      <c r="H1489" t="s">
        <v>81</v>
      </c>
      <c r="I1489" t="s">
        <v>9</v>
      </c>
      <c r="L1489" t="s">
        <v>161</v>
      </c>
      <c r="M1489">
        <v>-82300000</v>
      </c>
    </row>
    <row r="1490" spans="1:13" x14ac:dyDescent="0.3">
      <c r="A1490" s="23">
        <v>44739</v>
      </c>
      <c r="B1490" t="s">
        <v>12</v>
      </c>
      <c r="C1490" t="s">
        <v>132</v>
      </c>
      <c r="D1490" t="s">
        <v>17</v>
      </c>
      <c r="E1490" t="s">
        <v>43</v>
      </c>
      <c r="F1490">
        <v>18200000</v>
      </c>
      <c r="G1490" t="s">
        <v>23</v>
      </c>
      <c r="H1490" t="s">
        <v>81</v>
      </c>
      <c r="I1490" t="s">
        <v>9</v>
      </c>
      <c r="L1490" t="s">
        <v>161</v>
      </c>
      <c r="M1490">
        <v>-18200000</v>
      </c>
    </row>
    <row r="1491" spans="1:13" x14ac:dyDescent="0.3">
      <c r="A1491" s="23">
        <v>45716</v>
      </c>
      <c r="B1491" t="s">
        <v>12</v>
      </c>
      <c r="C1491" t="s">
        <v>132</v>
      </c>
      <c r="D1491" t="s">
        <v>17</v>
      </c>
      <c r="E1491" t="s">
        <v>43</v>
      </c>
      <c r="F1491">
        <v>800000000</v>
      </c>
      <c r="G1491" t="s">
        <v>23</v>
      </c>
      <c r="H1491" t="s">
        <v>81</v>
      </c>
      <c r="I1491" t="s">
        <v>9</v>
      </c>
      <c r="L1491" t="s">
        <v>161</v>
      </c>
      <c r="M1491">
        <v>-800000000</v>
      </c>
    </row>
    <row r="1492" spans="1:13" x14ac:dyDescent="0.3">
      <c r="A1492" s="23">
        <v>44740</v>
      </c>
      <c r="B1492" t="s">
        <v>12</v>
      </c>
      <c r="C1492" t="s">
        <v>132</v>
      </c>
      <c r="D1492" t="s">
        <v>17</v>
      </c>
      <c r="E1492" t="s">
        <v>43</v>
      </c>
      <c r="F1492">
        <v>30000000</v>
      </c>
      <c r="G1492" t="s">
        <v>23</v>
      </c>
      <c r="H1492" t="s">
        <v>81</v>
      </c>
      <c r="I1492" t="s">
        <v>9</v>
      </c>
      <c r="L1492" t="s">
        <v>161</v>
      </c>
      <c r="M1492">
        <v>-30000000</v>
      </c>
    </row>
    <row r="1493" spans="1:13" x14ac:dyDescent="0.3">
      <c r="A1493" s="23">
        <v>45715</v>
      </c>
      <c r="B1493" t="s">
        <v>12</v>
      </c>
      <c r="C1493" t="s">
        <v>132</v>
      </c>
      <c r="D1493" t="s">
        <v>17</v>
      </c>
      <c r="E1493" t="s">
        <v>43</v>
      </c>
      <c r="F1493">
        <v>1000000000</v>
      </c>
      <c r="G1493" t="s">
        <v>23</v>
      </c>
      <c r="H1493" t="s">
        <v>81</v>
      </c>
      <c r="I1493" t="s">
        <v>9</v>
      </c>
      <c r="L1493" t="s">
        <v>161</v>
      </c>
      <c r="M1493">
        <v>-1000000000</v>
      </c>
    </row>
    <row r="1494" spans="1:13" x14ac:dyDescent="0.3">
      <c r="A1494" s="23">
        <v>44741</v>
      </c>
      <c r="B1494" t="s">
        <v>12</v>
      </c>
      <c r="C1494" t="s">
        <v>132</v>
      </c>
      <c r="D1494" t="s">
        <v>17</v>
      </c>
      <c r="E1494" t="s">
        <v>43</v>
      </c>
      <c r="F1494">
        <v>20500000</v>
      </c>
      <c r="G1494" t="s">
        <v>23</v>
      </c>
      <c r="H1494" t="s">
        <v>81</v>
      </c>
      <c r="I1494" t="s">
        <v>9</v>
      </c>
      <c r="L1494" t="s">
        <v>161</v>
      </c>
      <c r="M1494">
        <v>-20500000</v>
      </c>
    </row>
    <row r="1495" spans="1:13" x14ac:dyDescent="0.3">
      <c r="A1495" s="23">
        <v>45706</v>
      </c>
      <c r="B1495" t="s">
        <v>12</v>
      </c>
      <c r="C1495" t="s">
        <v>132</v>
      </c>
      <c r="D1495" t="s">
        <v>16</v>
      </c>
      <c r="E1495" t="s">
        <v>43</v>
      </c>
      <c r="F1495">
        <v>1100000000</v>
      </c>
      <c r="G1495" t="s">
        <v>23</v>
      </c>
      <c r="H1495" t="s">
        <v>81</v>
      </c>
      <c r="I1495" t="s">
        <v>9</v>
      </c>
      <c r="L1495" t="s">
        <v>161</v>
      </c>
      <c r="M1495">
        <v>1100000000</v>
      </c>
    </row>
    <row r="1496" spans="1:13" x14ac:dyDescent="0.3">
      <c r="A1496" s="23">
        <v>44749</v>
      </c>
      <c r="B1496" t="s">
        <v>12</v>
      </c>
      <c r="C1496" t="s">
        <v>132</v>
      </c>
      <c r="D1496" t="s">
        <v>16</v>
      </c>
      <c r="E1496" t="s">
        <v>43</v>
      </c>
      <c r="F1496">
        <v>150000000</v>
      </c>
      <c r="G1496" t="s">
        <v>23</v>
      </c>
      <c r="H1496" t="s">
        <v>81</v>
      </c>
      <c r="I1496" t="s">
        <v>9</v>
      </c>
      <c r="L1496" t="s">
        <v>161</v>
      </c>
      <c r="M1496">
        <v>150000000</v>
      </c>
    </row>
    <row r="1497" spans="1:13" x14ac:dyDescent="0.3">
      <c r="A1497" s="23">
        <v>45701</v>
      </c>
      <c r="B1497" t="s">
        <v>12</v>
      </c>
      <c r="C1497" t="s">
        <v>132</v>
      </c>
      <c r="D1497" t="s">
        <v>16</v>
      </c>
      <c r="E1497" t="s">
        <v>43</v>
      </c>
      <c r="F1497">
        <v>500600000</v>
      </c>
      <c r="G1497" t="s">
        <v>23</v>
      </c>
      <c r="H1497" t="s">
        <v>81</v>
      </c>
      <c r="I1497" t="s">
        <v>9</v>
      </c>
      <c r="L1497" t="s">
        <v>161</v>
      </c>
      <c r="M1497">
        <v>500600000</v>
      </c>
    </row>
    <row r="1498" spans="1:13" x14ac:dyDescent="0.3">
      <c r="A1498" s="23">
        <v>44750</v>
      </c>
      <c r="B1498" t="s">
        <v>12</v>
      </c>
      <c r="C1498" t="s">
        <v>132</v>
      </c>
      <c r="D1498" t="s">
        <v>17</v>
      </c>
      <c r="E1498" t="s">
        <v>43</v>
      </c>
      <c r="F1498">
        <v>10000000</v>
      </c>
      <c r="G1498" t="s">
        <v>23</v>
      </c>
      <c r="H1498" t="s">
        <v>81</v>
      </c>
      <c r="I1498" t="s">
        <v>9</v>
      </c>
      <c r="L1498" t="s">
        <v>161</v>
      </c>
      <c r="M1498">
        <v>-10000000</v>
      </c>
    </row>
    <row r="1499" spans="1:13" x14ac:dyDescent="0.3">
      <c r="A1499" s="23">
        <v>44750</v>
      </c>
      <c r="B1499" t="s">
        <v>12</v>
      </c>
      <c r="C1499" t="s">
        <v>132</v>
      </c>
      <c r="D1499" t="s">
        <v>16</v>
      </c>
      <c r="E1499" t="s">
        <v>43</v>
      </c>
      <c r="F1499">
        <v>4720780.21</v>
      </c>
      <c r="G1499" t="s">
        <v>23</v>
      </c>
      <c r="H1499" t="s">
        <v>81</v>
      </c>
      <c r="I1499" t="s">
        <v>9</v>
      </c>
      <c r="J1499" t="s">
        <v>155</v>
      </c>
      <c r="L1499" t="s">
        <v>161</v>
      </c>
      <c r="M1499">
        <v>4720780.21</v>
      </c>
    </row>
    <row r="1500" spans="1:13" x14ac:dyDescent="0.3">
      <c r="A1500" s="23">
        <v>44753</v>
      </c>
      <c r="B1500" t="s">
        <v>12</v>
      </c>
      <c r="C1500" t="s">
        <v>132</v>
      </c>
      <c r="D1500" t="s">
        <v>17</v>
      </c>
      <c r="E1500" t="s">
        <v>43</v>
      </c>
      <c r="F1500">
        <v>89000000</v>
      </c>
      <c r="G1500" t="s">
        <v>23</v>
      </c>
      <c r="H1500" t="s">
        <v>81</v>
      </c>
      <c r="I1500" t="s">
        <v>9</v>
      </c>
      <c r="L1500" t="s">
        <v>161</v>
      </c>
      <c r="M1500">
        <v>-89000000</v>
      </c>
    </row>
    <row r="1501" spans="1:13" x14ac:dyDescent="0.3">
      <c r="A1501" s="23">
        <v>45698</v>
      </c>
      <c r="B1501" t="s">
        <v>12</v>
      </c>
      <c r="C1501" t="s">
        <v>132</v>
      </c>
      <c r="D1501" t="s">
        <v>17</v>
      </c>
      <c r="E1501" t="s">
        <v>43</v>
      </c>
      <c r="F1501">
        <v>400000000</v>
      </c>
      <c r="G1501" t="s">
        <v>23</v>
      </c>
      <c r="H1501" t="s">
        <v>81</v>
      </c>
      <c r="I1501" t="s">
        <v>9</v>
      </c>
      <c r="L1501" t="s">
        <v>161</v>
      </c>
      <c r="M1501">
        <v>-400000000</v>
      </c>
    </row>
    <row r="1502" spans="1:13" x14ac:dyDescent="0.3">
      <c r="A1502" s="23">
        <v>45695</v>
      </c>
      <c r="B1502" t="s">
        <v>12</v>
      </c>
      <c r="C1502" t="s">
        <v>132</v>
      </c>
      <c r="D1502" t="s">
        <v>16</v>
      </c>
      <c r="E1502" t="s">
        <v>43</v>
      </c>
      <c r="F1502">
        <v>4020000</v>
      </c>
      <c r="G1502" t="s">
        <v>23</v>
      </c>
      <c r="H1502" t="s">
        <v>81</v>
      </c>
      <c r="I1502" t="s">
        <v>9</v>
      </c>
      <c r="L1502" t="s">
        <v>161</v>
      </c>
      <c r="M1502">
        <v>4020000</v>
      </c>
    </row>
    <row r="1503" spans="1:13" x14ac:dyDescent="0.3">
      <c r="A1503" s="23">
        <v>44760</v>
      </c>
      <c r="B1503" t="s">
        <v>12</v>
      </c>
      <c r="C1503" t="s">
        <v>132</v>
      </c>
      <c r="D1503" t="s">
        <v>16</v>
      </c>
      <c r="E1503" t="s">
        <v>43</v>
      </c>
      <c r="F1503">
        <v>885740.32</v>
      </c>
      <c r="G1503" t="s">
        <v>23</v>
      </c>
      <c r="H1503" t="s">
        <v>81</v>
      </c>
      <c r="I1503" t="s">
        <v>9</v>
      </c>
      <c r="J1503" t="s">
        <v>155</v>
      </c>
      <c r="L1503" t="s">
        <v>161</v>
      </c>
      <c r="M1503">
        <v>885740.32</v>
      </c>
    </row>
    <row r="1504" spans="1:13" x14ac:dyDescent="0.3">
      <c r="A1504" s="23">
        <v>45693</v>
      </c>
      <c r="B1504" t="s">
        <v>12</v>
      </c>
      <c r="C1504" t="s">
        <v>132</v>
      </c>
      <c r="D1504" t="s">
        <v>16</v>
      </c>
      <c r="E1504" t="s">
        <v>43</v>
      </c>
      <c r="F1504">
        <v>404200000</v>
      </c>
      <c r="G1504" t="s">
        <v>23</v>
      </c>
      <c r="H1504" t="s">
        <v>81</v>
      </c>
      <c r="I1504" t="s">
        <v>9</v>
      </c>
      <c r="L1504" t="s">
        <v>161</v>
      </c>
      <c r="M1504">
        <v>404200000</v>
      </c>
    </row>
    <row r="1505" spans="1:13" x14ac:dyDescent="0.3">
      <c r="A1505" s="23">
        <v>44760</v>
      </c>
      <c r="B1505" t="s">
        <v>12</v>
      </c>
      <c r="C1505" t="s">
        <v>132</v>
      </c>
      <c r="D1505" t="s">
        <v>16</v>
      </c>
      <c r="E1505" t="s">
        <v>43</v>
      </c>
      <c r="F1505">
        <v>44800000</v>
      </c>
      <c r="G1505" t="s">
        <v>23</v>
      </c>
      <c r="H1505" t="s">
        <v>81</v>
      </c>
      <c r="I1505" t="s">
        <v>9</v>
      </c>
      <c r="L1505" t="s">
        <v>161</v>
      </c>
      <c r="M1505">
        <v>44800000</v>
      </c>
    </row>
    <row r="1506" spans="1:13" x14ac:dyDescent="0.3">
      <c r="A1506" s="23">
        <v>44760</v>
      </c>
      <c r="B1506" t="s">
        <v>12</v>
      </c>
      <c r="C1506" t="s">
        <v>132</v>
      </c>
      <c r="D1506" t="s">
        <v>17</v>
      </c>
      <c r="E1506" t="s">
        <v>43</v>
      </c>
      <c r="F1506">
        <v>3000000</v>
      </c>
      <c r="G1506" t="s">
        <v>23</v>
      </c>
      <c r="H1506" t="s">
        <v>81</v>
      </c>
      <c r="I1506" t="s">
        <v>9</v>
      </c>
      <c r="L1506" t="s">
        <v>161</v>
      </c>
      <c r="M1506">
        <v>-3000000</v>
      </c>
    </row>
    <row r="1507" spans="1:13" x14ac:dyDescent="0.3">
      <c r="A1507" s="23">
        <v>44761</v>
      </c>
      <c r="B1507" t="s">
        <v>12</v>
      </c>
      <c r="C1507" t="s">
        <v>132</v>
      </c>
      <c r="D1507" t="s">
        <v>17</v>
      </c>
      <c r="E1507" t="s">
        <v>43</v>
      </c>
      <c r="F1507">
        <v>51500000</v>
      </c>
      <c r="G1507" t="s">
        <v>23</v>
      </c>
      <c r="H1507" t="s">
        <v>81</v>
      </c>
      <c r="I1507" t="s">
        <v>9</v>
      </c>
      <c r="L1507" t="s">
        <v>161</v>
      </c>
      <c r="M1507">
        <v>-51500000</v>
      </c>
    </row>
    <row r="1508" spans="1:13" x14ac:dyDescent="0.3">
      <c r="A1508" s="23">
        <v>44762</v>
      </c>
      <c r="B1508" t="s">
        <v>12</v>
      </c>
      <c r="C1508" t="s">
        <v>132</v>
      </c>
      <c r="D1508" t="s">
        <v>17</v>
      </c>
      <c r="E1508" t="s">
        <v>43</v>
      </c>
      <c r="F1508">
        <v>24700000</v>
      </c>
      <c r="G1508" t="s">
        <v>23</v>
      </c>
      <c r="H1508" t="s">
        <v>81</v>
      </c>
      <c r="I1508" t="s">
        <v>9</v>
      </c>
      <c r="L1508" t="s">
        <v>161</v>
      </c>
      <c r="M1508">
        <v>-24700000</v>
      </c>
    </row>
    <row r="1509" spans="1:13" x14ac:dyDescent="0.3">
      <c r="A1509" s="23">
        <v>44763</v>
      </c>
      <c r="B1509" t="s">
        <v>12</v>
      </c>
      <c r="C1509" t="s">
        <v>132</v>
      </c>
      <c r="D1509" t="s">
        <v>17</v>
      </c>
      <c r="E1509" t="s">
        <v>43</v>
      </c>
      <c r="F1509">
        <v>21500000</v>
      </c>
      <c r="G1509" t="s">
        <v>23</v>
      </c>
      <c r="H1509" t="s">
        <v>81</v>
      </c>
      <c r="I1509" t="s">
        <v>9</v>
      </c>
      <c r="L1509" t="s">
        <v>161</v>
      </c>
      <c r="M1509">
        <v>-21500000</v>
      </c>
    </row>
    <row r="1510" spans="1:13" x14ac:dyDescent="0.3">
      <c r="A1510" s="23">
        <v>45685</v>
      </c>
      <c r="B1510" t="s">
        <v>12</v>
      </c>
      <c r="C1510" t="s">
        <v>132</v>
      </c>
      <c r="D1510" t="s">
        <v>16</v>
      </c>
      <c r="E1510" t="s">
        <v>43</v>
      </c>
      <c r="F1510">
        <v>500000000</v>
      </c>
      <c r="G1510" t="s">
        <v>23</v>
      </c>
      <c r="H1510" t="s">
        <v>81</v>
      </c>
      <c r="I1510" t="s">
        <v>9</v>
      </c>
      <c r="L1510" t="s">
        <v>161</v>
      </c>
      <c r="M1510">
        <v>500000000</v>
      </c>
    </row>
    <row r="1511" spans="1:13" x14ac:dyDescent="0.3">
      <c r="A1511" s="23">
        <v>44764</v>
      </c>
      <c r="B1511" t="s">
        <v>12</v>
      </c>
      <c r="C1511" t="s">
        <v>132</v>
      </c>
      <c r="D1511" t="s">
        <v>16</v>
      </c>
      <c r="E1511" t="s">
        <v>43</v>
      </c>
      <c r="F1511">
        <v>186072.68</v>
      </c>
      <c r="G1511" t="s">
        <v>23</v>
      </c>
      <c r="H1511" t="s">
        <v>81</v>
      </c>
      <c r="I1511" t="s">
        <v>9</v>
      </c>
      <c r="J1511" t="s">
        <v>155</v>
      </c>
      <c r="L1511" t="s">
        <v>161</v>
      </c>
      <c r="M1511">
        <v>186072.68</v>
      </c>
    </row>
    <row r="1512" spans="1:13" x14ac:dyDescent="0.3">
      <c r="A1512" s="23">
        <v>44767</v>
      </c>
      <c r="B1512" t="s">
        <v>12</v>
      </c>
      <c r="C1512" t="s">
        <v>132</v>
      </c>
      <c r="D1512" t="s">
        <v>16</v>
      </c>
      <c r="E1512" t="s">
        <v>43</v>
      </c>
      <c r="F1512">
        <v>150000000</v>
      </c>
      <c r="G1512" t="s">
        <v>23</v>
      </c>
      <c r="H1512" t="s">
        <v>81</v>
      </c>
      <c r="I1512" t="s">
        <v>9</v>
      </c>
      <c r="L1512" t="s">
        <v>161</v>
      </c>
      <c r="M1512">
        <v>150000000</v>
      </c>
    </row>
    <row r="1513" spans="1:13" x14ac:dyDescent="0.3">
      <c r="A1513" s="23">
        <v>44768</v>
      </c>
      <c r="B1513" t="s">
        <v>12</v>
      </c>
      <c r="C1513" t="s">
        <v>132</v>
      </c>
      <c r="D1513" t="s">
        <v>17</v>
      </c>
      <c r="E1513" t="s">
        <v>43</v>
      </c>
      <c r="F1513">
        <v>110200000</v>
      </c>
      <c r="G1513" t="s">
        <v>23</v>
      </c>
      <c r="H1513" t="s">
        <v>81</v>
      </c>
      <c r="I1513" t="s">
        <v>9</v>
      </c>
      <c r="L1513" t="s">
        <v>161</v>
      </c>
      <c r="M1513">
        <v>-110200000</v>
      </c>
    </row>
    <row r="1514" spans="1:13" x14ac:dyDescent="0.3">
      <c r="A1514" s="23">
        <v>45680</v>
      </c>
      <c r="B1514" t="s">
        <v>12</v>
      </c>
      <c r="C1514" t="s">
        <v>132</v>
      </c>
      <c r="D1514" t="s">
        <v>17</v>
      </c>
      <c r="E1514" t="s">
        <v>43</v>
      </c>
      <c r="F1514">
        <v>100000000</v>
      </c>
      <c r="G1514" t="s">
        <v>23</v>
      </c>
      <c r="H1514" t="s">
        <v>81</v>
      </c>
      <c r="I1514" t="s">
        <v>9</v>
      </c>
      <c r="L1514" t="s">
        <v>161</v>
      </c>
      <c r="M1514">
        <v>-100000000</v>
      </c>
    </row>
    <row r="1515" spans="1:13" x14ac:dyDescent="0.3">
      <c r="A1515" s="23">
        <v>44769</v>
      </c>
      <c r="B1515" t="s">
        <v>12</v>
      </c>
      <c r="C1515" t="s">
        <v>132</v>
      </c>
      <c r="D1515" t="s">
        <v>17</v>
      </c>
      <c r="E1515" t="s">
        <v>43</v>
      </c>
      <c r="F1515">
        <v>40692593.210000023</v>
      </c>
      <c r="G1515" t="s">
        <v>23</v>
      </c>
      <c r="H1515" t="s">
        <v>81</v>
      </c>
      <c r="I1515" t="s">
        <v>9</v>
      </c>
      <c r="L1515" t="s">
        <v>161</v>
      </c>
      <c r="M1515">
        <v>-40692593.210000001</v>
      </c>
    </row>
    <row r="1516" spans="1:13" x14ac:dyDescent="0.3">
      <c r="A1516" s="23">
        <v>44770</v>
      </c>
      <c r="B1516" t="s">
        <v>12</v>
      </c>
      <c r="C1516" t="s">
        <v>132</v>
      </c>
      <c r="D1516" t="s">
        <v>16</v>
      </c>
      <c r="E1516" t="s">
        <v>43</v>
      </c>
      <c r="F1516">
        <v>35400000</v>
      </c>
      <c r="G1516" t="s">
        <v>23</v>
      </c>
      <c r="H1516" t="s">
        <v>81</v>
      </c>
      <c r="I1516" t="s">
        <v>9</v>
      </c>
      <c r="L1516" t="s">
        <v>161</v>
      </c>
      <c r="M1516">
        <v>35400000</v>
      </c>
    </row>
    <row r="1517" spans="1:13" x14ac:dyDescent="0.3">
      <c r="A1517" s="23">
        <v>44771</v>
      </c>
      <c r="B1517" t="s">
        <v>12</v>
      </c>
      <c r="C1517" t="s">
        <v>132</v>
      </c>
      <c r="D1517" t="s">
        <v>17</v>
      </c>
      <c r="E1517" t="s">
        <v>43</v>
      </c>
      <c r="F1517">
        <v>35400000</v>
      </c>
      <c r="G1517" t="s">
        <v>23</v>
      </c>
      <c r="H1517" t="s">
        <v>81</v>
      </c>
      <c r="I1517" t="s">
        <v>9</v>
      </c>
      <c r="L1517" t="s">
        <v>161</v>
      </c>
      <c r="M1517">
        <v>-35400000</v>
      </c>
    </row>
    <row r="1518" spans="1:13" x14ac:dyDescent="0.3">
      <c r="A1518" s="23">
        <v>45678</v>
      </c>
      <c r="B1518" t="s">
        <v>12</v>
      </c>
      <c r="C1518" t="s">
        <v>132</v>
      </c>
      <c r="D1518" t="s">
        <v>17</v>
      </c>
      <c r="E1518" t="s">
        <v>43</v>
      </c>
      <c r="F1518">
        <v>250000000</v>
      </c>
      <c r="G1518" t="s">
        <v>23</v>
      </c>
      <c r="H1518" t="s">
        <v>81</v>
      </c>
      <c r="I1518" t="s">
        <v>9</v>
      </c>
      <c r="L1518" t="s">
        <v>161</v>
      </c>
      <c r="M1518">
        <v>-250000000</v>
      </c>
    </row>
    <row r="1519" spans="1:13" x14ac:dyDescent="0.3">
      <c r="A1519" s="23">
        <v>44774</v>
      </c>
      <c r="B1519" t="s">
        <v>12</v>
      </c>
      <c r="C1519" t="s">
        <v>132</v>
      </c>
      <c r="D1519" t="s">
        <v>16</v>
      </c>
      <c r="E1519" t="s">
        <v>43</v>
      </c>
      <c r="F1519">
        <v>111800000</v>
      </c>
      <c r="G1519" t="s">
        <v>23</v>
      </c>
      <c r="H1519" t="s">
        <v>81</v>
      </c>
      <c r="I1519" t="s">
        <v>9</v>
      </c>
      <c r="L1519" t="s">
        <v>161</v>
      </c>
      <c r="M1519">
        <v>111800000</v>
      </c>
    </row>
    <row r="1520" spans="1:13" x14ac:dyDescent="0.3">
      <c r="A1520" s="23">
        <v>45677</v>
      </c>
      <c r="B1520" t="s">
        <v>12</v>
      </c>
      <c r="C1520" t="s">
        <v>132</v>
      </c>
      <c r="D1520" t="s">
        <v>17</v>
      </c>
      <c r="E1520" t="s">
        <v>43</v>
      </c>
      <c r="F1520">
        <v>150000000</v>
      </c>
      <c r="G1520" t="s">
        <v>23</v>
      </c>
      <c r="H1520" t="s">
        <v>81</v>
      </c>
      <c r="I1520" t="s">
        <v>9</v>
      </c>
      <c r="L1520" t="s">
        <v>161</v>
      </c>
      <c r="M1520">
        <v>-150000000</v>
      </c>
    </row>
    <row r="1521" spans="1:13" x14ac:dyDescent="0.3">
      <c r="A1521" s="23">
        <v>44776</v>
      </c>
      <c r="B1521" t="s">
        <v>12</v>
      </c>
      <c r="C1521" t="s">
        <v>132</v>
      </c>
      <c r="D1521" t="s">
        <v>17</v>
      </c>
      <c r="E1521" t="s">
        <v>43</v>
      </c>
      <c r="F1521">
        <v>100000000</v>
      </c>
      <c r="G1521" t="s">
        <v>23</v>
      </c>
      <c r="H1521" t="s">
        <v>81</v>
      </c>
      <c r="I1521" t="s">
        <v>9</v>
      </c>
      <c r="L1521" t="s">
        <v>161</v>
      </c>
      <c r="M1521">
        <v>-100000000</v>
      </c>
    </row>
    <row r="1522" spans="1:13" x14ac:dyDescent="0.3">
      <c r="A1522" s="23">
        <v>45674</v>
      </c>
      <c r="B1522" t="s">
        <v>12</v>
      </c>
      <c r="C1522" t="s">
        <v>132</v>
      </c>
      <c r="D1522" t="s">
        <v>16</v>
      </c>
      <c r="E1522" t="s">
        <v>43</v>
      </c>
      <c r="F1522">
        <v>200000000</v>
      </c>
      <c r="G1522" t="s">
        <v>23</v>
      </c>
      <c r="H1522" t="s">
        <v>81</v>
      </c>
      <c r="I1522" t="s">
        <v>9</v>
      </c>
      <c r="L1522" t="s">
        <v>161</v>
      </c>
      <c r="M1522">
        <v>200000000</v>
      </c>
    </row>
    <row r="1523" spans="1:13" x14ac:dyDescent="0.3">
      <c r="A1523" s="23">
        <v>44778</v>
      </c>
      <c r="B1523" t="s">
        <v>12</v>
      </c>
      <c r="C1523" t="s">
        <v>132</v>
      </c>
      <c r="D1523" t="s">
        <v>17</v>
      </c>
      <c r="E1523" t="s">
        <v>43</v>
      </c>
      <c r="F1523">
        <v>3000000</v>
      </c>
      <c r="G1523" t="s">
        <v>23</v>
      </c>
      <c r="H1523" t="s">
        <v>81</v>
      </c>
      <c r="I1523" t="s">
        <v>9</v>
      </c>
      <c r="L1523" t="s">
        <v>161</v>
      </c>
      <c r="M1523">
        <v>-3000000</v>
      </c>
    </row>
    <row r="1524" spans="1:13" x14ac:dyDescent="0.3">
      <c r="A1524" s="23">
        <v>44781</v>
      </c>
      <c r="B1524" t="s">
        <v>12</v>
      </c>
      <c r="C1524" t="s">
        <v>132</v>
      </c>
      <c r="D1524" t="s">
        <v>16</v>
      </c>
      <c r="E1524" t="s">
        <v>43</v>
      </c>
      <c r="F1524">
        <v>60900000</v>
      </c>
      <c r="G1524" t="s">
        <v>23</v>
      </c>
      <c r="H1524" t="s">
        <v>81</v>
      </c>
      <c r="I1524" t="s">
        <v>9</v>
      </c>
      <c r="L1524" t="s">
        <v>161</v>
      </c>
      <c r="M1524">
        <v>60900000</v>
      </c>
    </row>
    <row r="1525" spans="1:13" x14ac:dyDescent="0.3">
      <c r="A1525" s="23">
        <v>44782</v>
      </c>
      <c r="B1525" t="s">
        <v>12</v>
      </c>
      <c r="C1525" t="s">
        <v>132</v>
      </c>
      <c r="D1525" t="s">
        <v>17</v>
      </c>
      <c r="E1525" t="s">
        <v>43</v>
      </c>
      <c r="F1525">
        <v>6200000</v>
      </c>
      <c r="G1525" t="s">
        <v>23</v>
      </c>
      <c r="H1525" t="s">
        <v>81</v>
      </c>
      <c r="I1525" t="s">
        <v>9</v>
      </c>
      <c r="L1525" t="s">
        <v>161</v>
      </c>
      <c r="M1525">
        <v>-6200000</v>
      </c>
    </row>
    <row r="1526" spans="1:13" x14ac:dyDescent="0.3">
      <c r="A1526" s="23">
        <v>44783</v>
      </c>
      <c r="B1526" t="s">
        <v>12</v>
      </c>
      <c r="C1526" t="s">
        <v>132</v>
      </c>
      <c r="D1526" t="s">
        <v>16</v>
      </c>
      <c r="E1526" t="s">
        <v>43</v>
      </c>
      <c r="F1526">
        <v>24000000</v>
      </c>
      <c r="G1526" t="s">
        <v>23</v>
      </c>
      <c r="H1526" t="s">
        <v>81</v>
      </c>
      <c r="I1526" t="s">
        <v>9</v>
      </c>
      <c r="L1526" t="s">
        <v>161</v>
      </c>
      <c r="M1526">
        <v>24000000</v>
      </c>
    </row>
    <row r="1527" spans="1:13" x14ac:dyDescent="0.3">
      <c r="A1527" s="23">
        <v>44785</v>
      </c>
      <c r="B1527" t="s">
        <v>12</v>
      </c>
      <c r="C1527" t="s">
        <v>132</v>
      </c>
      <c r="D1527" t="s">
        <v>17</v>
      </c>
      <c r="E1527" t="s">
        <v>43</v>
      </c>
      <c r="F1527">
        <v>44600000</v>
      </c>
      <c r="G1527" t="s">
        <v>23</v>
      </c>
      <c r="H1527" t="s">
        <v>81</v>
      </c>
      <c r="I1527" t="s">
        <v>9</v>
      </c>
      <c r="L1527" t="s">
        <v>161</v>
      </c>
      <c r="M1527">
        <v>-44600000</v>
      </c>
    </row>
    <row r="1528" spans="1:13" x14ac:dyDescent="0.3">
      <c r="A1528" s="23">
        <v>44789</v>
      </c>
      <c r="B1528" t="s">
        <v>12</v>
      </c>
      <c r="C1528" t="s">
        <v>132</v>
      </c>
      <c r="D1528" t="s">
        <v>17</v>
      </c>
      <c r="E1528" t="s">
        <v>43</v>
      </c>
      <c r="F1528">
        <v>4900000</v>
      </c>
      <c r="G1528" t="s">
        <v>23</v>
      </c>
      <c r="H1528" t="s">
        <v>81</v>
      </c>
      <c r="I1528" t="s">
        <v>9</v>
      </c>
      <c r="L1528" t="s">
        <v>161</v>
      </c>
      <c r="M1528">
        <v>-4900000</v>
      </c>
    </row>
    <row r="1529" spans="1:13" x14ac:dyDescent="0.3">
      <c r="A1529" s="23">
        <v>44791</v>
      </c>
      <c r="B1529" t="s">
        <v>12</v>
      </c>
      <c r="C1529" t="s">
        <v>132</v>
      </c>
      <c r="D1529" t="s">
        <v>17</v>
      </c>
      <c r="E1529" t="s">
        <v>43</v>
      </c>
      <c r="F1529">
        <v>22800000</v>
      </c>
      <c r="G1529" t="s">
        <v>23</v>
      </c>
      <c r="H1529" t="s">
        <v>81</v>
      </c>
      <c r="I1529" t="s">
        <v>9</v>
      </c>
      <c r="L1529" t="s">
        <v>161</v>
      </c>
      <c r="M1529">
        <v>-22800000</v>
      </c>
    </row>
    <row r="1530" spans="1:13" x14ac:dyDescent="0.3">
      <c r="A1530" s="23">
        <v>45667</v>
      </c>
      <c r="B1530" t="s">
        <v>12</v>
      </c>
      <c r="C1530" t="s">
        <v>132</v>
      </c>
      <c r="D1530" t="s">
        <v>16</v>
      </c>
      <c r="E1530" t="s">
        <v>43</v>
      </c>
      <c r="F1530">
        <v>400000000</v>
      </c>
      <c r="G1530" t="s">
        <v>23</v>
      </c>
      <c r="H1530" t="s">
        <v>81</v>
      </c>
      <c r="I1530" t="s">
        <v>9</v>
      </c>
      <c r="L1530" t="s">
        <v>161</v>
      </c>
      <c r="M1530">
        <v>400000000</v>
      </c>
    </row>
    <row r="1531" spans="1:13" x14ac:dyDescent="0.3">
      <c r="A1531" s="23">
        <v>44792</v>
      </c>
      <c r="B1531" t="s">
        <v>12</v>
      </c>
      <c r="C1531" t="s">
        <v>132</v>
      </c>
      <c r="D1531" t="s">
        <v>17</v>
      </c>
      <c r="E1531" t="s">
        <v>43</v>
      </c>
      <c r="F1531">
        <v>15200000</v>
      </c>
      <c r="G1531" t="s">
        <v>23</v>
      </c>
      <c r="H1531" t="s">
        <v>81</v>
      </c>
      <c r="I1531" t="s">
        <v>9</v>
      </c>
      <c r="L1531" t="s">
        <v>161</v>
      </c>
      <c r="M1531">
        <v>-15200000</v>
      </c>
    </row>
    <row r="1532" spans="1:13" x14ac:dyDescent="0.3">
      <c r="A1532" s="23">
        <v>45666</v>
      </c>
      <c r="B1532" t="s">
        <v>12</v>
      </c>
      <c r="C1532" t="s">
        <v>132</v>
      </c>
      <c r="D1532" t="s">
        <v>17</v>
      </c>
      <c r="E1532" t="s">
        <v>43</v>
      </c>
      <c r="F1532">
        <v>7700000</v>
      </c>
      <c r="G1532" t="s">
        <v>23</v>
      </c>
      <c r="H1532" t="s">
        <v>81</v>
      </c>
      <c r="I1532" t="s">
        <v>9</v>
      </c>
      <c r="L1532" t="s">
        <v>161</v>
      </c>
      <c r="M1532">
        <v>-7700000</v>
      </c>
    </row>
    <row r="1533" spans="1:13" x14ac:dyDescent="0.3">
      <c r="A1533" s="23">
        <v>45664</v>
      </c>
      <c r="B1533" t="s">
        <v>12</v>
      </c>
      <c r="C1533" t="s">
        <v>132</v>
      </c>
      <c r="D1533" t="s">
        <v>17</v>
      </c>
      <c r="E1533" t="s">
        <v>43</v>
      </c>
      <c r="F1533">
        <v>50000000</v>
      </c>
      <c r="G1533" t="s">
        <v>23</v>
      </c>
      <c r="H1533" t="s">
        <v>81</v>
      </c>
      <c r="I1533" t="s">
        <v>9</v>
      </c>
      <c r="L1533" t="s">
        <v>161</v>
      </c>
      <c r="M1533">
        <v>-50000000</v>
      </c>
    </row>
    <row r="1534" spans="1:13" x14ac:dyDescent="0.3">
      <c r="A1534" s="23">
        <v>44796</v>
      </c>
      <c r="B1534" t="s">
        <v>12</v>
      </c>
      <c r="C1534" t="s">
        <v>132</v>
      </c>
      <c r="D1534" t="s">
        <v>16</v>
      </c>
      <c r="E1534" t="s">
        <v>43</v>
      </c>
      <c r="F1534">
        <v>52400000</v>
      </c>
      <c r="G1534" t="s">
        <v>23</v>
      </c>
      <c r="H1534" t="s">
        <v>81</v>
      </c>
      <c r="I1534" t="s">
        <v>9</v>
      </c>
      <c r="L1534" t="s">
        <v>161</v>
      </c>
      <c r="M1534">
        <v>52400000</v>
      </c>
    </row>
    <row r="1535" spans="1:13" x14ac:dyDescent="0.3">
      <c r="A1535" s="23">
        <v>45663</v>
      </c>
      <c r="B1535" t="s">
        <v>12</v>
      </c>
      <c r="C1535" t="s">
        <v>132</v>
      </c>
      <c r="D1535" t="s">
        <v>16</v>
      </c>
      <c r="E1535" t="s">
        <v>43</v>
      </c>
      <c r="F1535">
        <v>78700000</v>
      </c>
      <c r="G1535" t="s">
        <v>23</v>
      </c>
      <c r="H1535" t="s">
        <v>81</v>
      </c>
      <c r="I1535" t="s">
        <v>9</v>
      </c>
      <c r="L1535" t="s">
        <v>161</v>
      </c>
      <c r="M1535">
        <v>78700000</v>
      </c>
    </row>
    <row r="1536" spans="1:13" x14ac:dyDescent="0.3">
      <c r="A1536" s="23">
        <v>44797</v>
      </c>
      <c r="B1536" t="s">
        <v>12</v>
      </c>
      <c r="C1536" t="s">
        <v>132</v>
      </c>
      <c r="D1536" t="s">
        <v>17</v>
      </c>
      <c r="E1536" t="s">
        <v>43</v>
      </c>
      <c r="F1536">
        <v>50000000</v>
      </c>
      <c r="G1536" t="s">
        <v>23</v>
      </c>
      <c r="H1536" t="s">
        <v>81</v>
      </c>
      <c r="I1536" t="s">
        <v>9</v>
      </c>
      <c r="L1536" t="s">
        <v>161</v>
      </c>
      <c r="M1536">
        <v>-50000000</v>
      </c>
    </row>
    <row r="1537" spans="1:13" x14ac:dyDescent="0.3">
      <c r="A1537" s="23">
        <v>45656</v>
      </c>
      <c r="B1537" t="s">
        <v>12</v>
      </c>
      <c r="C1537" t="s">
        <v>132</v>
      </c>
      <c r="D1537" t="s">
        <v>17</v>
      </c>
      <c r="E1537" t="s">
        <v>43</v>
      </c>
      <c r="F1537">
        <v>381537973</v>
      </c>
      <c r="G1537" t="s">
        <v>23</v>
      </c>
      <c r="H1537" t="s">
        <v>81</v>
      </c>
      <c r="I1537" t="s">
        <v>9</v>
      </c>
      <c r="L1537" t="s">
        <v>161</v>
      </c>
      <c r="M1537">
        <v>-381537973</v>
      </c>
    </row>
    <row r="1538" spans="1:13" x14ac:dyDescent="0.3">
      <c r="A1538" s="23">
        <v>44802</v>
      </c>
      <c r="B1538" t="s">
        <v>12</v>
      </c>
      <c r="C1538" t="s">
        <v>132</v>
      </c>
      <c r="D1538" t="s">
        <v>16</v>
      </c>
      <c r="E1538" t="s">
        <v>43</v>
      </c>
      <c r="F1538">
        <v>56300000</v>
      </c>
      <c r="G1538" t="s">
        <v>23</v>
      </c>
      <c r="H1538" t="s">
        <v>81</v>
      </c>
      <c r="I1538" t="s">
        <v>9</v>
      </c>
      <c r="L1538" t="s">
        <v>161</v>
      </c>
      <c r="M1538">
        <v>56300000</v>
      </c>
    </row>
    <row r="1539" spans="1:13" x14ac:dyDescent="0.3">
      <c r="A1539" s="23">
        <v>44803</v>
      </c>
      <c r="B1539" t="s">
        <v>12</v>
      </c>
      <c r="C1539" t="s">
        <v>132</v>
      </c>
      <c r="D1539" t="s">
        <v>16</v>
      </c>
      <c r="E1539" t="s">
        <v>43</v>
      </c>
      <c r="F1539">
        <v>177021.74</v>
      </c>
      <c r="G1539" t="s">
        <v>23</v>
      </c>
      <c r="H1539" t="s">
        <v>81</v>
      </c>
      <c r="I1539" t="s">
        <v>9</v>
      </c>
      <c r="L1539" t="s">
        <v>161</v>
      </c>
      <c r="M1539">
        <v>177021.74</v>
      </c>
    </row>
    <row r="1540" spans="1:13" x14ac:dyDescent="0.3">
      <c r="A1540" s="23">
        <v>45653</v>
      </c>
      <c r="B1540" t="s">
        <v>12</v>
      </c>
      <c r="C1540" t="s">
        <v>132</v>
      </c>
      <c r="D1540" t="s">
        <v>17</v>
      </c>
      <c r="E1540" t="s">
        <v>43</v>
      </c>
      <c r="F1540">
        <v>405200000</v>
      </c>
      <c r="G1540" t="s">
        <v>23</v>
      </c>
      <c r="H1540" t="s">
        <v>81</v>
      </c>
      <c r="I1540" t="s">
        <v>9</v>
      </c>
      <c r="L1540" t="s">
        <v>161</v>
      </c>
      <c r="M1540">
        <v>-405200000</v>
      </c>
    </row>
    <row r="1541" spans="1:13" x14ac:dyDescent="0.3">
      <c r="A1541" s="23">
        <v>44805</v>
      </c>
      <c r="B1541" t="s">
        <v>12</v>
      </c>
      <c r="C1541" t="s">
        <v>132</v>
      </c>
      <c r="D1541" t="s">
        <v>17</v>
      </c>
      <c r="E1541" t="s">
        <v>43</v>
      </c>
      <c r="F1541">
        <v>58877021.73999998</v>
      </c>
      <c r="G1541" t="s">
        <v>23</v>
      </c>
      <c r="H1541" t="s">
        <v>81</v>
      </c>
      <c r="I1541" t="s">
        <v>9</v>
      </c>
      <c r="L1541" t="s">
        <v>161</v>
      </c>
      <c r="M1541">
        <v>-58877021.740000002</v>
      </c>
    </row>
    <row r="1542" spans="1:13" x14ac:dyDescent="0.3">
      <c r="A1542" s="23">
        <v>45649</v>
      </c>
      <c r="B1542" t="s">
        <v>12</v>
      </c>
      <c r="C1542" t="s">
        <v>132</v>
      </c>
      <c r="D1542" t="s">
        <v>16</v>
      </c>
      <c r="E1542" t="s">
        <v>43</v>
      </c>
      <c r="F1542">
        <v>500000000</v>
      </c>
      <c r="G1542" t="s">
        <v>23</v>
      </c>
      <c r="H1542" t="s">
        <v>81</v>
      </c>
      <c r="I1542" t="s">
        <v>9</v>
      </c>
      <c r="L1542" t="s">
        <v>161</v>
      </c>
      <c r="M1542">
        <v>500000000</v>
      </c>
    </row>
    <row r="1543" spans="1:13" x14ac:dyDescent="0.3">
      <c r="A1543" s="23">
        <v>45645</v>
      </c>
      <c r="B1543" t="s">
        <v>12</v>
      </c>
      <c r="C1543" t="s">
        <v>132</v>
      </c>
      <c r="D1543" t="s">
        <v>16</v>
      </c>
      <c r="E1543" t="s">
        <v>43</v>
      </c>
      <c r="F1543">
        <v>250000000</v>
      </c>
      <c r="G1543" t="s">
        <v>23</v>
      </c>
      <c r="H1543" t="s">
        <v>81</v>
      </c>
      <c r="I1543" t="s">
        <v>9</v>
      </c>
      <c r="L1543" t="s">
        <v>161</v>
      </c>
      <c r="M1543">
        <v>250000000</v>
      </c>
    </row>
    <row r="1544" spans="1:13" x14ac:dyDescent="0.3">
      <c r="A1544" s="23">
        <v>44819</v>
      </c>
      <c r="B1544" t="s">
        <v>12</v>
      </c>
      <c r="C1544" t="s">
        <v>132</v>
      </c>
      <c r="D1544" t="s">
        <v>16</v>
      </c>
      <c r="E1544" t="s">
        <v>43</v>
      </c>
      <c r="F1544">
        <v>249800000</v>
      </c>
      <c r="G1544" t="s">
        <v>23</v>
      </c>
      <c r="H1544" t="s">
        <v>81</v>
      </c>
      <c r="I1544" t="s">
        <v>9</v>
      </c>
      <c r="L1544" t="s">
        <v>161</v>
      </c>
      <c r="M1544">
        <v>249800000</v>
      </c>
    </row>
    <row r="1545" spans="1:13" x14ac:dyDescent="0.3">
      <c r="A1545" s="23">
        <v>44820</v>
      </c>
      <c r="B1545" t="s">
        <v>12</v>
      </c>
      <c r="C1545" t="s">
        <v>132</v>
      </c>
      <c r="D1545" t="s">
        <v>16</v>
      </c>
      <c r="E1545" t="s">
        <v>43</v>
      </c>
      <c r="F1545">
        <v>8400000</v>
      </c>
      <c r="G1545" t="s">
        <v>23</v>
      </c>
      <c r="H1545" t="s">
        <v>81</v>
      </c>
      <c r="I1545" t="s">
        <v>9</v>
      </c>
      <c r="L1545" t="s">
        <v>161</v>
      </c>
      <c r="M1545">
        <v>8400000</v>
      </c>
    </row>
    <row r="1546" spans="1:13" x14ac:dyDescent="0.3">
      <c r="A1546" s="23">
        <v>44823</v>
      </c>
      <c r="B1546" t="s">
        <v>12</v>
      </c>
      <c r="C1546" t="s">
        <v>132</v>
      </c>
      <c r="D1546" t="s">
        <v>17</v>
      </c>
      <c r="E1546" t="s">
        <v>43</v>
      </c>
      <c r="F1546">
        <v>54000000</v>
      </c>
      <c r="G1546" t="s">
        <v>23</v>
      </c>
      <c r="H1546" t="s">
        <v>81</v>
      </c>
      <c r="I1546" t="s">
        <v>9</v>
      </c>
      <c r="L1546" t="s">
        <v>161</v>
      </c>
      <c r="M1546">
        <v>-54000000</v>
      </c>
    </row>
    <row r="1547" spans="1:13" x14ac:dyDescent="0.3">
      <c r="A1547" s="23">
        <v>45637</v>
      </c>
      <c r="B1547" t="s">
        <v>12</v>
      </c>
      <c r="C1547" t="s">
        <v>132</v>
      </c>
      <c r="D1547" t="s">
        <v>16</v>
      </c>
      <c r="E1547" t="s">
        <v>43</v>
      </c>
      <c r="F1547">
        <v>7400000</v>
      </c>
      <c r="G1547" t="s">
        <v>23</v>
      </c>
      <c r="H1547" t="s">
        <v>81</v>
      </c>
      <c r="I1547" t="s">
        <v>9</v>
      </c>
      <c r="L1547" t="s">
        <v>161</v>
      </c>
      <c r="M1547">
        <v>7400000</v>
      </c>
    </row>
    <row r="1548" spans="1:13" x14ac:dyDescent="0.3">
      <c r="A1548" s="23">
        <v>44824</v>
      </c>
      <c r="B1548" t="s">
        <v>12</v>
      </c>
      <c r="C1548" t="s">
        <v>132</v>
      </c>
      <c r="D1548" t="s">
        <v>17</v>
      </c>
      <c r="E1548" t="s">
        <v>43</v>
      </c>
      <c r="F1548">
        <v>157500000</v>
      </c>
      <c r="G1548" t="s">
        <v>23</v>
      </c>
      <c r="H1548" t="s">
        <v>81</v>
      </c>
      <c r="I1548" t="s">
        <v>9</v>
      </c>
      <c r="L1548" t="s">
        <v>161</v>
      </c>
      <c r="M1548">
        <v>-157500000</v>
      </c>
    </row>
    <row r="1549" spans="1:13" x14ac:dyDescent="0.3">
      <c r="A1549" s="23">
        <v>44825</v>
      </c>
      <c r="B1549" t="s">
        <v>12</v>
      </c>
      <c r="C1549" t="s">
        <v>132</v>
      </c>
      <c r="D1549" t="s">
        <v>16</v>
      </c>
      <c r="E1549" t="s">
        <v>43</v>
      </c>
      <c r="F1549">
        <v>51200000</v>
      </c>
      <c r="G1549" t="s">
        <v>23</v>
      </c>
      <c r="H1549" t="s">
        <v>81</v>
      </c>
      <c r="I1549" t="s">
        <v>9</v>
      </c>
      <c r="L1549" t="s">
        <v>161</v>
      </c>
      <c r="M1549">
        <v>51200000</v>
      </c>
    </row>
    <row r="1550" spans="1:13" x14ac:dyDescent="0.3">
      <c r="A1550" s="23">
        <v>45636</v>
      </c>
      <c r="B1550" t="s">
        <v>12</v>
      </c>
      <c r="C1550" t="s">
        <v>132</v>
      </c>
      <c r="D1550" t="s">
        <v>17</v>
      </c>
      <c r="E1550" t="s">
        <v>43</v>
      </c>
      <c r="F1550">
        <v>13500000</v>
      </c>
      <c r="G1550" t="s">
        <v>23</v>
      </c>
      <c r="H1550" t="s">
        <v>81</v>
      </c>
      <c r="I1550" t="s">
        <v>9</v>
      </c>
      <c r="L1550" t="s">
        <v>161</v>
      </c>
      <c r="M1550">
        <v>-13500000</v>
      </c>
    </row>
    <row r="1551" spans="1:13" x14ac:dyDescent="0.3">
      <c r="A1551" s="23">
        <v>44826</v>
      </c>
      <c r="B1551" t="s">
        <v>12</v>
      </c>
      <c r="C1551" t="s">
        <v>132</v>
      </c>
      <c r="D1551" t="s">
        <v>17</v>
      </c>
      <c r="E1551" t="s">
        <v>43</v>
      </c>
      <c r="F1551">
        <v>58000000</v>
      </c>
      <c r="G1551" t="s">
        <v>23</v>
      </c>
      <c r="H1551" t="s">
        <v>81</v>
      </c>
      <c r="I1551" t="s">
        <v>9</v>
      </c>
      <c r="L1551" t="s">
        <v>161</v>
      </c>
      <c r="M1551">
        <v>-58000000</v>
      </c>
    </row>
    <row r="1552" spans="1:13" x14ac:dyDescent="0.3">
      <c r="A1552" s="23">
        <v>45632</v>
      </c>
      <c r="B1552" t="s">
        <v>12</v>
      </c>
      <c r="C1552" t="s">
        <v>132</v>
      </c>
      <c r="D1552" t="s">
        <v>17</v>
      </c>
      <c r="E1552" t="s">
        <v>43</v>
      </c>
      <c r="F1552">
        <v>16800000</v>
      </c>
      <c r="G1552" t="s">
        <v>23</v>
      </c>
      <c r="H1552" t="s">
        <v>81</v>
      </c>
      <c r="I1552" t="s">
        <v>9</v>
      </c>
      <c r="L1552" t="s">
        <v>161</v>
      </c>
      <c r="M1552">
        <v>-16800000</v>
      </c>
    </row>
    <row r="1553" spans="1:13" x14ac:dyDescent="0.3">
      <c r="A1553" s="23">
        <v>44827</v>
      </c>
      <c r="B1553" t="s">
        <v>12</v>
      </c>
      <c r="C1553" t="s">
        <v>132</v>
      </c>
      <c r="D1553" t="s">
        <v>17</v>
      </c>
      <c r="E1553" t="s">
        <v>43</v>
      </c>
      <c r="F1553">
        <v>39900000</v>
      </c>
      <c r="G1553" t="s">
        <v>23</v>
      </c>
      <c r="H1553" t="s">
        <v>81</v>
      </c>
      <c r="I1553" t="s">
        <v>9</v>
      </c>
      <c r="L1553" t="s">
        <v>161</v>
      </c>
      <c r="M1553">
        <v>-39900000</v>
      </c>
    </row>
    <row r="1554" spans="1:13" x14ac:dyDescent="0.3">
      <c r="A1554" s="23">
        <v>45630</v>
      </c>
      <c r="B1554" t="s">
        <v>12</v>
      </c>
      <c r="C1554" t="s">
        <v>132</v>
      </c>
      <c r="D1554" t="s">
        <v>16</v>
      </c>
      <c r="E1554" t="s">
        <v>43</v>
      </c>
      <c r="F1554">
        <v>7363460</v>
      </c>
      <c r="G1554" t="s">
        <v>23</v>
      </c>
      <c r="H1554" t="s">
        <v>81</v>
      </c>
      <c r="I1554" t="s">
        <v>9</v>
      </c>
      <c r="L1554" t="s">
        <v>161</v>
      </c>
      <c r="M1554">
        <v>7363460</v>
      </c>
    </row>
    <row r="1555" spans="1:13" x14ac:dyDescent="0.3">
      <c r="A1555" s="23">
        <v>45630</v>
      </c>
      <c r="B1555" t="s">
        <v>12</v>
      </c>
      <c r="C1555" t="s">
        <v>132</v>
      </c>
      <c r="D1555" t="s">
        <v>17</v>
      </c>
      <c r="E1555" t="s">
        <v>43</v>
      </c>
      <c r="F1555">
        <v>8200000</v>
      </c>
      <c r="G1555" t="s">
        <v>23</v>
      </c>
      <c r="H1555" t="s">
        <v>81</v>
      </c>
      <c r="I1555" t="s">
        <v>9</v>
      </c>
      <c r="L1555" t="s">
        <v>161</v>
      </c>
      <c r="M1555">
        <v>-8200000</v>
      </c>
    </row>
    <row r="1556" spans="1:13" x14ac:dyDescent="0.3">
      <c r="A1556" s="23">
        <v>45628</v>
      </c>
      <c r="B1556" t="s">
        <v>12</v>
      </c>
      <c r="C1556" t="s">
        <v>132</v>
      </c>
      <c r="D1556" t="s">
        <v>17</v>
      </c>
      <c r="E1556" t="s">
        <v>43</v>
      </c>
      <c r="F1556">
        <v>166000000</v>
      </c>
      <c r="G1556" t="s">
        <v>23</v>
      </c>
      <c r="H1556" t="s">
        <v>81</v>
      </c>
      <c r="I1556" t="s">
        <v>9</v>
      </c>
      <c r="L1556" t="s">
        <v>161</v>
      </c>
      <c r="M1556">
        <v>-166000000</v>
      </c>
    </row>
    <row r="1557" spans="1:13" x14ac:dyDescent="0.3">
      <c r="A1557" s="23">
        <v>44839</v>
      </c>
      <c r="B1557" t="s">
        <v>12</v>
      </c>
      <c r="C1557" t="s">
        <v>132</v>
      </c>
      <c r="D1557" t="s">
        <v>16</v>
      </c>
      <c r="E1557" t="s">
        <v>43</v>
      </c>
      <c r="F1557">
        <v>69900000</v>
      </c>
      <c r="G1557" t="s">
        <v>23</v>
      </c>
      <c r="H1557" t="s">
        <v>81</v>
      </c>
      <c r="I1557" t="s">
        <v>9</v>
      </c>
      <c r="L1557" t="s">
        <v>161</v>
      </c>
      <c r="M1557">
        <v>69900000</v>
      </c>
    </row>
    <row r="1558" spans="1:13" x14ac:dyDescent="0.3">
      <c r="A1558" s="23">
        <v>45625</v>
      </c>
      <c r="B1558" t="s">
        <v>12</v>
      </c>
      <c r="C1558" t="s">
        <v>132</v>
      </c>
      <c r="D1558" t="s">
        <v>17</v>
      </c>
      <c r="E1558" t="s">
        <v>43</v>
      </c>
      <c r="F1558">
        <v>300000000</v>
      </c>
      <c r="G1558" t="s">
        <v>23</v>
      </c>
      <c r="H1558" t="s">
        <v>81</v>
      </c>
      <c r="I1558" t="s">
        <v>9</v>
      </c>
      <c r="L1558" t="s">
        <v>161</v>
      </c>
      <c r="M1558">
        <v>-300000000</v>
      </c>
    </row>
    <row r="1559" spans="1:13" x14ac:dyDescent="0.3">
      <c r="A1559" s="23">
        <v>44845</v>
      </c>
      <c r="B1559" t="s">
        <v>12</v>
      </c>
      <c r="C1559" t="s">
        <v>132</v>
      </c>
      <c r="D1559" t="s">
        <v>17</v>
      </c>
      <c r="E1559" t="s">
        <v>43</v>
      </c>
      <c r="F1559">
        <v>69900000.00000003</v>
      </c>
      <c r="G1559" t="s">
        <v>23</v>
      </c>
      <c r="H1559" t="s">
        <v>81</v>
      </c>
      <c r="I1559" t="s">
        <v>9</v>
      </c>
      <c r="L1559" t="s">
        <v>161</v>
      </c>
      <c r="M1559">
        <v>-69900000</v>
      </c>
    </row>
    <row r="1560" spans="1:13" x14ac:dyDescent="0.3">
      <c r="A1560" s="23">
        <v>45623</v>
      </c>
      <c r="B1560" t="s">
        <v>12</v>
      </c>
      <c r="C1560" t="s">
        <v>132</v>
      </c>
      <c r="D1560" t="s">
        <v>16</v>
      </c>
      <c r="E1560" t="s">
        <v>43</v>
      </c>
      <c r="F1560">
        <v>400000000</v>
      </c>
      <c r="G1560" t="s">
        <v>23</v>
      </c>
      <c r="H1560" t="s">
        <v>81</v>
      </c>
      <c r="I1560" t="s">
        <v>9</v>
      </c>
      <c r="L1560" t="s">
        <v>161</v>
      </c>
      <c r="M1560">
        <v>400000000</v>
      </c>
    </row>
    <row r="1561" spans="1:13" x14ac:dyDescent="0.3">
      <c r="A1561" s="23">
        <v>45621</v>
      </c>
      <c r="B1561" t="s">
        <v>12</v>
      </c>
      <c r="C1561" t="s">
        <v>132</v>
      </c>
      <c r="D1561" t="s">
        <v>17</v>
      </c>
      <c r="E1561" t="s">
        <v>43</v>
      </c>
      <c r="F1561">
        <v>250000000</v>
      </c>
      <c r="G1561" t="s">
        <v>23</v>
      </c>
      <c r="H1561" t="s">
        <v>81</v>
      </c>
      <c r="I1561" t="s">
        <v>9</v>
      </c>
      <c r="L1561" t="s">
        <v>161</v>
      </c>
      <c r="M1561">
        <v>-250000000</v>
      </c>
    </row>
    <row r="1562" spans="1:13" x14ac:dyDescent="0.3">
      <c r="A1562" s="23">
        <v>45618</v>
      </c>
      <c r="B1562" t="s">
        <v>12</v>
      </c>
      <c r="C1562" t="s">
        <v>132</v>
      </c>
      <c r="D1562" t="s">
        <v>16</v>
      </c>
      <c r="E1562" t="s">
        <v>43</v>
      </c>
      <c r="F1562">
        <v>200500000</v>
      </c>
      <c r="G1562" t="s">
        <v>23</v>
      </c>
      <c r="H1562" t="s">
        <v>81</v>
      </c>
      <c r="I1562" t="s">
        <v>9</v>
      </c>
      <c r="L1562" t="s">
        <v>161</v>
      </c>
      <c r="M1562">
        <v>200500000</v>
      </c>
    </row>
    <row r="1563" spans="1:13" x14ac:dyDescent="0.3">
      <c r="A1563" s="23">
        <v>44852</v>
      </c>
      <c r="B1563" t="s">
        <v>12</v>
      </c>
      <c r="C1563" t="s">
        <v>132</v>
      </c>
      <c r="D1563" t="s">
        <v>16</v>
      </c>
      <c r="E1563" t="s">
        <v>43</v>
      </c>
      <c r="F1563">
        <v>34600000</v>
      </c>
      <c r="G1563" t="s">
        <v>23</v>
      </c>
      <c r="H1563" t="s">
        <v>81</v>
      </c>
      <c r="I1563" t="s">
        <v>9</v>
      </c>
      <c r="L1563" t="s">
        <v>161</v>
      </c>
      <c r="M1563">
        <v>34600000</v>
      </c>
    </row>
    <row r="1564" spans="1:13" x14ac:dyDescent="0.3">
      <c r="A1564" s="23">
        <v>45617</v>
      </c>
      <c r="B1564" t="s">
        <v>12</v>
      </c>
      <c r="C1564" t="s">
        <v>132</v>
      </c>
      <c r="D1564" t="s">
        <v>17</v>
      </c>
      <c r="E1564" t="s">
        <v>43</v>
      </c>
      <c r="F1564">
        <v>200000000</v>
      </c>
      <c r="G1564" t="s">
        <v>23</v>
      </c>
      <c r="H1564" t="s">
        <v>81</v>
      </c>
      <c r="I1564" t="s">
        <v>9</v>
      </c>
      <c r="L1564" t="s">
        <v>161</v>
      </c>
      <c r="M1564">
        <v>-200000000</v>
      </c>
    </row>
    <row r="1565" spans="1:13" x14ac:dyDescent="0.3">
      <c r="A1565" s="23">
        <v>44855</v>
      </c>
      <c r="B1565" t="s">
        <v>12</v>
      </c>
      <c r="C1565" t="s">
        <v>132</v>
      </c>
      <c r="D1565" t="s">
        <v>17</v>
      </c>
      <c r="E1565" t="s">
        <v>43</v>
      </c>
      <c r="F1565">
        <v>27000000</v>
      </c>
      <c r="G1565" t="s">
        <v>23</v>
      </c>
      <c r="H1565" t="s">
        <v>81</v>
      </c>
      <c r="I1565" t="s">
        <v>9</v>
      </c>
      <c r="L1565" t="s">
        <v>161</v>
      </c>
      <c r="M1565">
        <v>-27000000</v>
      </c>
    </row>
    <row r="1566" spans="1:13" x14ac:dyDescent="0.3">
      <c r="A1566" s="23">
        <v>44858</v>
      </c>
      <c r="B1566" t="s">
        <v>12</v>
      </c>
      <c r="C1566" t="s">
        <v>132</v>
      </c>
      <c r="D1566" t="s">
        <v>16</v>
      </c>
      <c r="E1566" t="s">
        <v>43</v>
      </c>
      <c r="F1566">
        <v>102000000</v>
      </c>
      <c r="G1566" t="s">
        <v>23</v>
      </c>
      <c r="H1566" t="s">
        <v>81</v>
      </c>
      <c r="I1566" t="s">
        <v>9</v>
      </c>
      <c r="L1566" t="s">
        <v>161</v>
      </c>
      <c r="M1566">
        <v>102000000</v>
      </c>
    </row>
    <row r="1567" spans="1:13" x14ac:dyDescent="0.3">
      <c r="A1567" s="23">
        <v>45611</v>
      </c>
      <c r="B1567" t="s">
        <v>12</v>
      </c>
      <c r="C1567" t="s">
        <v>132</v>
      </c>
      <c r="D1567" t="s">
        <v>17</v>
      </c>
      <c r="E1567" t="s">
        <v>43</v>
      </c>
      <c r="F1567">
        <v>226200000</v>
      </c>
      <c r="G1567" t="s">
        <v>23</v>
      </c>
      <c r="H1567" t="s">
        <v>81</v>
      </c>
      <c r="I1567" t="s">
        <v>9</v>
      </c>
      <c r="L1567" t="s">
        <v>161</v>
      </c>
      <c r="M1567">
        <v>-226200000</v>
      </c>
    </row>
    <row r="1568" spans="1:13" x14ac:dyDescent="0.3">
      <c r="A1568" s="23">
        <v>44859</v>
      </c>
      <c r="B1568" t="s">
        <v>12</v>
      </c>
      <c r="C1568" t="s">
        <v>132</v>
      </c>
      <c r="D1568" t="s">
        <v>17</v>
      </c>
      <c r="E1568" t="s">
        <v>43</v>
      </c>
      <c r="F1568">
        <v>29000000</v>
      </c>
      <c r="G1568" t="s">
        <v>23</v>
      </c>
      <c r="H1568" t="s">
        <v>81</v>
      </c>
      <c r="I1568" t="s">
        <v>9</v>
      </c>
      <c r="L1568" t="s">
        <v>161</v>
      </c>
      <c r="M1568">
        <v>-29000000</v>
      </c>
    </row>
    <row r="1569" spans="1:13" x14ac:dyDescent="0.3">
      <c r="A1569" s="23">
        <v>45610</v>
      </c>
      <c r="B1569" t="s">
        <v>12</v>
      </c>
      <c r="C1569" t="s">
        <v>132</v>
      </c>
      <c r="D1569" t="s">
        <v>17</v>
      </c>
      <c r="E1569" t="s">
        <v>43</v>
      </c>
      <c r="F1569">
        <v>250000000</v>
      </c>
      <c r="G1569" t="s">
        <v>23</v>
      </c>
      <c r="H1569" t="s">
        <v>81</v>
      </c>
      <c r="I1569" t="s">
        <v>9</v>
      </c>
      <c r="L1569" t="s">
        <v>161</v>
      </c>
      <c r="M1569">
        <v>-250000000</v>
      </c>
    </row>
    <row r="1570" spans="1:13" x14ac:dyDescent="0.3">
      <c r="A1570" s="23">
        <v>44860</v>
      </c>
      <c r="B1570" t="s">
        <v>12</v>
      </c>
      <c r="C1570" t="s">
        <v>132</v>
      </c>
      <c r="D1570" t="s">
        <v>17</v>
      </c>
      <c r="E1570" t="s">
        <v>43</v>
      </c>
      <c r="F1570">
        <v>39700000</v>
      </c>
      <c r="G1570" t="s">
        <v>23</v>
      </c>
      <c r="H1570" t="s">
        <v>81</v>
      </c>
      <c r="I1570" t="s">
        <v>9</v>
      </c>
      <c r="L1570" t="s">
        <v>161</v>
      </c>
      <c r="M1570">
        <v>-39700000</v>
      </c>
    </row>
    <row r="1571" spans="1:13" x14ac:dyDescent="0.3">
      <c r="A1571" s="23">
        <v>45609</v>
      </c>
      <c r="B1571" t="s">
        <v>12</v>
      </c>
      <c r="C1571" t="s">
        <v>132</v>
      </c>
      <c r="D1571" t="s">
        <v>17</v>
      </c>
      <c r="E1571" t="s">
        <v>43</v>
      </c>
      <c r="F1571">
        <v>200000000</v>
      </c>
      <c r="G1571" t="s">
        <v>23</v>
      </c>
      <c r="H1571" t="s">
        <v>81</v>
      </c>
      <c r="I1571" t="s">
        <v>9</v>
      </c>
      <c r="L1571" t="s">
        <v>161</v>
      </c>
      <c r="M1571">
        <v>-200000000</v>
      </c>
    </row>
    <row r="1572" spans="1:13" x14ac:dyDescent="0.3">
      <c r="A1572" s="23">
        <v>44861</v>
      </c>
      <c r="B1572" t="s">
        <v>12</v>
      </c>
      <c r="C1572" t="s">
        <v>132</v>
      </c>
      <c r="D1572" t="s">
        <v>16</v>
      </c>
      <c r="E1572" t="s">
        <v>43</v>
      </c>
      <c r="F1572">
        <v>167000000</v>
      </c>
      <c r="G1572" t="s">
        <v>23</v>
      </c>
      <c r="H1572" t="s">
        <v>81</v>
      </c>
      <c r="I1572" t="s">
        <v>9</v>
      </c>
      <c r="L1572" t="s">
        <v>161</v>
      </c>
      <c r="M1572">
        <v>167000000</v>
      </c>
    </row>
    <row r="1573" spans="1:13" x14ac:dyDescent="0.3">
      <c r="A1573" s="23">
        <v>44862</v>
      </c>
      <c r="B1573" t="s">
        <v>12</v>
      </c>
      <c r="C1573" t="s">
        <v>132</v>
      </c>
      <c r="D1573" t="s">
        <v>17</v>
      </c>
      <c r="E1573" t="s">
        <v>43</v>
      </c>
      <c r="F1573">
        <v>100700000</v>
      </c>
      <c r="G1573" t="s">
        <v>23</v>
      </c>
      <c r="H1573" t="s">
        <v>81</v>
      </c>
      <c r="I1573" t="s">
        <v>9</v>
      </c>
      <c r="L1573" t="s">
        <v>161</v>
      </c>
      <c r="M1573">
        <v>-100700000</v>
      </c>
    </row>
    <row r="1574" spans="1:13" x14ac:dyDescent="0.3">
      <c r="A1574" s="23">
        <v>44865</v>
      </c>
      <c r="B1574" t="s">
        <v>12</v>
      </c>
      <c r="C1574" t="s">
        <v>132</v>
      </c>
      <c r="D1574" t="s">
        <v>17</v>
      </c>
      <c r="E1574" t="s">
        <v>43</v>
      </c>
      <c r="F1574">
        <v>107200000</v>
      </c>
      <c r="G1574" t="s">
        <v>23</v>
      </c>
      <c r="H1574" t="s">
        <v>81</v>
      </c>
      <c r="I1574" t="s">
        <v>9</v>
      </c>
      <c r="L1574" t="s">
        <v>161</v>
      </c>
      <c r="M1574">
        <v>-107200000</v>
      </c>
    </row>
    <row r="1575" spans="1:13" x14ac:dyDescent="0.3">
      <c r="A1575" s="23">
        <v>45608</v>
      </c>
      <c r="B1575" t="s">
        <v>12</v>
      </c>
      <c r="C1575" t="s">
        <v>132</v>
      </c>
      <c r="D1575" t="s">
        <v>16</v>
      </c>
      <c r="E1575" t="s">
        <v>43</v>
      </c>
      <c r="F1575">
        <v>1000000000</v>
      </c>
      <c r="G1575" t="s">
        <v>23</v>
      </c>
      <c r="H1575" t="s">
        <v>81</v>
      </c>
      <c r="I1575" t="s">
        <v>9</v>
      </c>
      <c r="L1575" t="s">
        <v>161</v>
      </c>
      <c r="M1575">
        <v>1000000000</v>
      </c>
    </row>
    <row r="1576" spans="1:13" x14ac:dyDescent="0.3">
      <c r="A1576" s="23">
        <v>45607</v>
      </c>
      <c r="B1576" t="s">
        <v>12</v>
      </c>
      <c r="C1576" t="s">
        <v>132</v>
      </c>
      <c r="D1576" t="s">
        <v>16</v>
      </c>
      <c r="E1576" t="s">
        <v>43</v>
      </c>
      <c r="F1576">
        <v>13026513</v>
      </c>
      <c r="G1576" t="s">
        <v>23</v>
      </c>
      <c r="H1576" t="s">
        <v>81</v>
      </c>
      <c r="I1576" t="s">
        <v>9</v>
      </c>
      <c r="L1576" t="s">
        <v>161</v>
      </c>
      <c r="M1576">
        <v>13026513</v>
      </c>
    </row>
    <row r="1577" spans="1:13" x14ac:dyDescent="0.3">
      <c r="A1577" s="23">
        <v>45604</v>
      </c>
      <c r="B1577" t="s">
        <v>12</v>
      </c>
      <c r="C1577" t="s">
        <v>132</v>
      </c>
      <c r="D1577" t="s">
        <v>17</v>
      </c>
      <c r="E1577" t="s">
        <v>43</v>
      </c>
      <c r="F1577">
        <v>100000000</v>
      </c>
      <c r="G1577" t="s">
        <v>23</v>
      </c>
      <c r="H1577" t="s">
        <v>81</v>
      </c>
      <c r="I1577" t="s">
        <v>9</v>
      </c>
      <c r="L1577" t="s">
        <v>161</v>
      </c>
      <c r="M1577">
        <v>-100000000</v>
      </c>
    </row>
    <row r="1578" spans="1:13" x14ac:dyDescent="0.3">
      <c r="A1578" s="23">
        <v>45603</v>
      </c>
      <c r="B1578" t="s">
        <v>12</v>
      </c>
      <c r="C1578" t="s">
        <v>132</v>
      </c>
      <c r="D1578" t="s">
        <v>16</v>
      </c>
      <c r="E1578" t="s">
        <v>43</v>
      </c>
      <c r="F1578">
        <v>55500000</v>
      </c>
      <c r="G1578" t="s">
        <v>23</v>
      </c>
      <c r="H1578" t="s">
        <v>81</v>
      </c>
      <c r="I1578" t="s">
        <v>9</v>
      </c>
      <c r="L1578" t="s">
        <v>161</v>
      </c>
      <c r="M1578">
        <v>55500000</v>
      </c>
    </row>
    <row r="1579" spans="1:13" x14ac:dyDescent="0.3">
      <c r="A1579" s="23">
        <v>45302</v>
      </c>
      <c r="B1579" t="s">
        <v>12</v>
      </c>
      <c r="C1579" t="s">
        <v>132</v>
      </c>
      <c r="D1579" t="s">
        <v>17</v>
      </c>
      <c r="E1579" t="s">
        <v>43</v>
      </c>
      <c r="F1579">
        <v>67300000</v>
      </c>
      <c r="G1579" t="s">
        <v>23</v>
      </c>
      <c r="H1579" t="s">
        <v>81</v>
      </c>
      <c r="I1579" t="s">
        <v>9</v>
      </c>
      <c r="L1579" t="s">
        <v>161</v>
      </c>
      <c r="M1579">
        <v>-67300000</v>
      </c>
    </row>
    <row r="1580" spans="1:13" x14ac:dyDescent="0.3">
      <c r="A1580" s="23">
        <v>45596</v>
      </c>
      <c r="B1580" t="s">
        <v>12</v>
      </c>
      <c r="C1580" t="s">
        <v>132</v>
      </c>
      <c r="D1580" t="s">
        <v>16</v>
      </c>
      <c r="E1580" t="s">
        <v>43</v>
      </c>
      <c r="F1580">
        <v>100000000</v>
      </c>
      <c r="G1580" t="s">
        <v>23</v>
      </c>
      <c r="H1580" t="s">
        <v>81</v>
      </c>
      <c r="I1580" t="s">
        <v>9</v>
      </c>
      <c r="L1580" t="s">
        <v>161</v>
      </c>
      <c r="M1580">
        <v>100000000</v>
      </c>
    </row>
    <row r="1581" spans="1:13" x14ac:dyDescent="0.3">
      <c r="A1581" s="23">
        <v>45591</v>
      </c>
      <c r="B1581" t="s">
        <v>12</v>
      </c>
      <c r="C1581" t="s">
        <v>132</v>
      </c>
      <c r="D1581" t="s">
        <v>17</v>
      </c>
      <c r="E1581" t="s">
        <v>43</v>
      </c>
      <c r="F1581">
        <v>150000000</v>
      </c>
      <c r="G1581" t="s">
        <v>23</v>
      </c>
      <c r="H1581" t="s">
        <v>81</v>
      </c>
      <c r="I1581" t="s">
        <v>9</v>
      </c>
      <c r="L1581" t="s">
        <v>161</v>
      </c>
      <c r="M1581">
        <v>-150000000</v>
      </c>
    </row>
    <row r="1582" spans="1:13" x14ac:dyDescent="0.3">
      <c r="A1582" s="23">
        <v>45589</v>
      </c>
      <c r="B1582" t="s">
        <v>12</v>
      </c>
      <c r="C1582" t="s">
        <v>132</v>
      </c>
      <c r="D1582" t="s">
        <v>17</v>
      </c>
      <c r="E1582" t="s">
        <v>43</v>
      </c>
      <c r="F1582">
        <v>100000000</v>
      </c>
      <c r="G1582" t="s">
        <v>23</v>
      </c>
      <c r="H1582" t="s">
        <v>81</v>
      </c>
      <c r="I1582" t="s">
        <v>9</v>
      </c>
      <c r="L1582" t="s">
        <v>161</v>
      </c>
      <c r="M1582">
        <v>-100000000</v>
      </c>
    </row>
    <row r="1583" spans="1:13" x14ac:dyDescent="0.3">
      <c r="A1583" s="23">
        <v>45587</v>
      </c>
      <c r="B1583" t="s">
        <v>12</v>
      </c>
      <c r="C1583" t="s">
        <v>132</v>
      </c>
      <c r="D1583" t="s">
        <v>17</v>
      </c>
      <c r="E1583" t="s">
        <v>43</v>
      </c>
      <c r="F1583">
        <v>220000000</v>
      </c>
      <c r="G1583" t="s">
        <v>23</v>
      </c>
      <c r="H1583" t="s">
        <v>81</v>
      </c>
      <c r="I1583" t="s">
        <v>9</v>
      </c>
      <c r="L1583" t="s">
        <v>161</v>
      </c>
      <c r="M1583">
        <v>-220000000</v>
      </c>
    </row>
    <row r="1584" spans="1:13" x14ac:dyDescent="0.3">
      <c r="A1584" s="23">
        <v>45586</v>
      </c>
      <c r="B1584" t="s">
        <v>12</v>
      </c>
      <c r="C1584" t="s">
        <v>132</v>
      </c>
      <c r="D1584" t="s">
        <v>17</v>
      </c>
      <c r="E1584" t="s">
        <v>43</v>
      </c>
      <c r="F1584">
        <v>200000000</v>
      </c>
      <c r="G1584" t="s">
        <v>23</v>
      </c>
      <c r="H1584" t="s">
        <v>81</v>
      </c>
      <c r="I1584" t="s">
        <v>9</v>
      </c>
      <c r="L1584" t="s">
        <v>161</v>
      </c>
      <c r="M1584">
        <v>-200000000</v>
      </c>
    </row>
    <row r="1585" spans="1:13" x14ac:dyDescent="0.3">
      <c r="A1585" s="23">
        <v>45583</v>
      </c>
      <c r="B1585" t="s">
        <v>12</v>
      </c>
      <c r="C1585" t="s">
        <v>132</v>
      </c>
      <c r="D1585" t="s">
        <v>16</v>
      </c>
      <c r="E1585" t="s">
        <v>43</v>
      </c>
      <c r="F1585">
        <v>700000000</v>
      </c>
      <c r="G1585" t="s">
        <v>23</v>
      </c>
      <c r="H1585" t="s">
        <v>81</v>
      </c>
      <c r="I1585" t="s">
        <v>9</v>
      </c>
      <c r="L1585" t="s">
        <v>161</v>
      </c>
      <c r="M1585">
        <v>700000000</v>
      </c>
    </row>
    <row r="1586" spans="1:13" x14ac:dyDescent="0.3">
      <c r="A1586" s="23">
        <v>44900</v>
      </c>
      <c r="B1586" t="s">
        <v>12</v>
      </c>
      <c r="C1586" t="s">
        <v>132</v>
      </c>
      <c r="D1586" t="s">
        <v>16</v>
      </c>
      <c r="E1586" t="s">
        <v>43</v>
      </c>
      <c r="F1586">
        <v>31000000</v>
      </c>
      <c r="G1586" t="s">
        <v>23</v>
      </c>
      <c r="H1586" t="s">
        <v>81</v>
      </c>
      <c r="I1586" t="s">
        <v>9</v>
      </c>
      <c r="L1586" t="s">
        <v>161</v>
      </c>
      <c r="M1586">
        <v>31000000</v>
      </c>
    </row>
    <row r="1587" spans="1:13" x14ac:dyDescent="0.3">
      <c r="A1587" s="23">
        <v>44902</v>
      </c>
      <c r="B1587" t="s">
        <v>12</v>
      </c>
      <c r="C1587" t="s">
        <v>132</v>
      </c>
      <c r="D1587" t="s">
        <v>16</v>
      </c>
      <c r="E1587" t="s">
        <v>43</v>
      </c>
      <c r="F1587">
        <v>80800000</v>
      </c>
      <c r="G1587" t="s">
        <v>23</v>
      </c>
      <c r="H1587" t="s">
        <v>81</v>
      </c>
      <c r="I1587" t="s">
        <v>9</v>
      </c>
      <c r="L1587" t="s">
        <v>161</v>
      </c>
      <c r="M1587">
        <v>80800000</v>
      </c>
    </row>
    <row r="1588" spans="1:13" x14ac:dyDescent="0.3">
      <c r="A1588" s="23">
        <v>44907</v>
      </c>
      <c r="B1588" t="s">
        <v>12</v>
      </c>
      <c r="C1588" t="s">
        <v>132</v>
      </c>
      <c r="D1588" t="s">
        <v>17</v>
      </c>
      <c r="E1588" t="s">
        <v>43</v>
      </c>
      <c r="F1588">
        <v>100000000</v>
      </c>
      <c r="G1588" t="s">
        <v>23</v>
      </c>
      <c r="H1588" t="s">
        <v>81</v>
      </c>
      <c r="I1588" t="s">
        <v>9</v>
      </c>
      <c r="L1588" t="s">
        <v>161</v>
      </c>
      <c r="M1588">
        <v>-100000000</v>
      </c>
    </row>
    <row r="1589" spans="1:13" x14ac:dyDescent="0.3">
      <c r="A1589" s="23">
        <v>44908</v>
      </c>
      <c r="B1589" t="s">
        <v>12</v>
      </c>
      <c r="C1589" t="s">
        <v>132</v>
      </c>
      <c r="D1589" t="s">
        <v>17</v>
      </c>
      <c r="E1589" t="s">
        <v>43</v>
      </c>
      <c r="F1589">
        <v>11800000</v>
      </c>
      <c r="G1589" t="s">
        <v>23</v>
      </c>
      <c r="H1589" t="s">
        <v>81</v>
      </c>
      <c r="I1589" t="s">
        <v>9</v>
      </c>
      <c r="L1589" t="s">
        <v>161</v>
      </c>
      <c r="M1589">
        <v>-11800000</v>
      </c>
    </row>
    <row r="1590" spans="1:13" x14ac:dyDescent="0.3">
      <c r="A1590" s="23">
        <v>44909</v>
      </c>
      <c r="B1590" t="s">
        <v>12</v>
      </c>
      <c r="C1590" t="s">
        <v>132</v>
      </c>
      <c r="D1590" t="s">
        <v>16</v>
      </c>
      <c r="E1590" t="s">
        <v>43</v>
      </c>
      <c r="F1590">
        <v>89100000</v>
      </c>
      <c r="G1590" t="s">
        <v>23</v>
      </c>
      <c r="H1590" t="s">
        <v>81</v>
      </c>
      <c r="I1590" t="s">
        <v>9</v>
      </c>
      <c r="L1590" t="s">
        <v>161</v>
      </c>
      <c r="M1590">
        <v>89100000</v>
      </c>
    </row>
    <row r="1591" spans="1:13" x14ac:dyDescent="0.3">
      <c r="A1591" s="23">
        <v>45574</v>
      </c>
      <c r="B1591" t="s">
        <v>12</v>
      </c>
      <c r="C1591" t="s">
        <v>132</v>
      </c>
      <c r="D1591" t="s">
        <v>17</v>
      </c>
      <c r="E1591" t="s">
        <v>43</v>
      </c>
      <c r="F1591">
        <v>100000000</v>
      </c>
      <c r="G1591" t="s">
        <v>23</v>
      </c>
      <c r="H1591" t="s">
        <v>81</v>
      </c>
      <c r="I1591" t="s">
        <v>9</v>
      </c>
      <c r="L1591" t="s">
        <v>161</v>
      </c>
      <c r="M1591">
        <v>-100000000</v>
      </c>
    </row>
    <row r="1592" spans="1:13" x14ac:dyDescent="0.3">
      <c r="A1592" s="23">
        <v>44914</v>
      </c>
      <c r="B1592" t="s">
        <v>12</v>
      </c>
      <c r="C1592" t="s">
        <v>132</v>
      </c>
      <c r="D1592" t="s">
        <v>17</v>
      </c>
      <c r="E1592" t="s">
        <v>43</v>
      </c>
      <c r="F1592">
        <v>55000000</v>
      </c>
      <c r="G1592" t="s">
        <v>23</v>
      </c>
      <c r="H1592" t="s">
        <v>81</v>
      </c>
      <c r="I1592" t="s">
        <v>9</v>
      </c>
      <c r="L1592" t="s">
        <v>161</v>
      </c>
      <c r="M1592">
        <v>-55000000</v>
      </c>
    </row>
    <row r="1593" spans="1:13" x14ac:dyDescent="0.3">
      <c r="A1593" s="23">
        <v>45572</v>
      </c>
      <c r="B1593" t="s">
        <v>12</v>
      </c>
      <c r="C1593" t="s">
        <v>132</v>
      </c>
      <c r="D1593" t="s">
        <v>17</v>
      </c>
      <c r="E1593" t="s">
        <v>43</v>
      </c>
      <c r="F1593">
        <v>100000000</v>
      </c>
      <c r="G1593" t="s">
        <v>23</v>
      </c>
      <c r="H1593" t="s">
        <v>81</v>
      </c>
      <c r="I1593" t="s">
        <v>9</v>
      </c>
      <c r="L1593" t="s">
        <v>161</v>
      </c>
      <c r="M1593">
        <v>-100000000</v>
      </c>
    </row>
    <row r="1594" spans="1:13" x14ac:dyDescent="0.3">
      <c r="A1594" s="23">
        <v>44915</v>
      </c>
      <c r="B1594" t="s">
        <v>12</v>
      </c>
      <c r="C1594" t="s">
        <v>132</v>
      </c>
      <c r="D1594" t="s">
        <v>16</v>
      </c>
      <c r="E1594" t="s">
        <v>43</v>
      </c>
      <c r="F1594">
        <v>100000000</v>
      </c>
      <c r="G1594" t="s">
        <v>23</v>
      </c>
      <c r="H1594" t="s">
        <v>81</v>
      </c>
      <c r="I1594" t="s">
        <v>9</v>
      </c>
      <c r="L1594" t="s">
        <v>161</v>
      </c>
      <c r="M1594">
        <v>100000000</v>
      </c>
    </row>
    <row r="1595" spans="1:13" x14ac:dyDescent="0.3">
      <c r="A1595" s="23">
        <v>45569</v>
      </c>
      <c r="B1595" t="s">
        <v>12</v>
      </c>
      <c r="C1595" t="s">
        <v>132</v>
      </c>
      <c r="D1595" t="s">
        <v>17</v>
      </c>
      <c r="E1595" t="s">
        <v>43</v>
      </c>
      <c r="F1595">
        <v>200000000</v>
      </c>
      <c r="G1595" t="s">
        <v>23</v>
      </c>
      <c r="H1595" t="s">
        <v>81</v>
      </c>
      <c r="I1595" t="s">
        <v>9</v>
      </c>
      <c r="L1595" t="s">
        <v>161</v>
      </c>
      <c r="M1595">
        <v>-200000000</v>
      </c>
    </row>
    <row r="1596" spans="1:13" x14ac:dyDescent="0.3">
      <c r="A1596" s="23">
        <v>44917</v>
      </c>
      <c r="B1596" t="s">
        <v>12</v>
      </c>
      <c r="C1596" t="s">
        <v>132</v>
      </c>
      <c r="D1596" t="s">
        <v>17</v>
      </c>
      <c r="E1596" t="s">
        <v>43</v>
      </c>
      <c r="F1596">
        <v>25400000</v>
      </c>
      <c r="G1596" t="s">
        <v>23</v>
      </c>
      <c r="H1596" t="s">
        <v>81</v>
      </c>
      <c r="I1596" t="s">
        <v>9</v>
      </c>
      <c r="L1596" t="s">
        <v>161</v>
      </c>
      <c r="M1596">
        <v>-25400000</v>
      </c>
    </row>
    <row r="1597" spans="1:13" x14ac:dyDescent="0.3">
      <c r="A1597" s="23">
        <v>44921</v>
      </c>
      <c r="B1597" t="s">
        <v>12</v>
      </c>
      <c r="C1597" t="s">
        <v>132</v>
      </c>
      <c r="D1597" t="s">
        <v>16</v>
      </c>
      <c r="E1597" t="s">
        <v>43</v>
      </c>
      <c r="F1597">
        <v>1445082.14</v>
      </c>
      <c r="G1597" t="s">
        <v>23</v>
      </c>
      <c r="H1597" t="s">
        <v>81</v>
      </c>
      <c r="I1597" t="s">
        <v>9</v>
      </c>
      <c r="J1597" t="s">
        <v>155</v>
      </c>
      <c r="L1597" t="s">
        <v>161</v>
      </c>
      <c r="M1597">
        <v>1445082.14</v>
      </c>
    </row>
    <row r="1598" spans="1:13" x14ac:dyDescent="0.3">
      <c r="A1598" s="23">
        <v>45568</v>
      </c>
      <c r="B1598" t="s">
        <v>12</v>
      </c>
      <c r="C1598" t="s">
        <v>132</v>
      </c>
      <c r="D1598" t="s">
        <v>17</v>
      </c>
      <c r="E1598" t="s">
        <v>43</v>
      </c>
      <c r="F1598">
        <v>300000000</v>
      </c>
      <c r="G1598" t="s">
        <v>23</v>
      </c>
      <c r="H1598" t="s">
        <v>81</v>
      </c>
      <c r="I1598" t="s">
        <v>9</v>
      </c>
      <c r="L1598" t="s">
        <v>161</v>
      </c>
      <c r="M1598">
        <v>-300000000</v>
      </c>
    </row>
    <row r="1599" spans="1:13" x14ac:dyDescent="0.3">
      <c r="A1599" s="23">
        <v>45567</v>
      </c>
      <c r="B1599" t="s">
        <v>12</v>
      </c>
      <c r="C1599" t="s">
        <v>132</v>
      </c>
      <c r="D1599" t="s">
        <v>16</v>
      </c>
      <c r="E1599" t="s">
        <v>43</v>
      </c>
      <c r="F1599">
        <v>600000000</v>
      </c>
      <c r="G1599" t="s">
        <v>23</v>
      </c>
      <c r="H1599" t="s">
        <v>81</v>
      </c>
      <c r="I1599" t="s">
        <v>9</v>
      </c>
      <c r="L1599" t="s">
        <v>161</v>
      </c>
      <c r="M1599">
        <v>600000000</v>
      </c>
    </row>
    <row r="1600" spans="1:13" x14ac:dyDescent="0.3">
      <c r="A1600" s="23">
        <v>44921</v>
      </c>
      <c r="B1600" t="s">
        <v>12</v>
      </c>
      <c r="C1600" t="s">
        <v>132</v>
      </c>
      <c r="D1600" t="s">
        <v>17</v>
      </c>
      <c r="E1600" t="s">
        <v>43</v>
      </c>
      <c r="F1600">
        <v>67000000</v>
      </c>
      <c r="G1600" t="s">
        <v>23</v>
      </c>
      <c r="H1600" t="s">
        <v>81</v>
      </c>
      <c r="I1600" t="s">
        <v>9</v>
      </c>
      <c r="L1600" t="s">
        <v>161</v>
      </c>
      <c r="M1600">
        <v>-67000000</v>
      </c>
    </row>
    <row r="1601" spans="1:13" x14ac:dyDescent="0.3">
      <c r="A1601" s="23">
        <v>44924</v>
      </c>
      <c r="B1601" t="s">
        <v>12</v>
      </c>
      <c r="C1601" t="s">
        <v>132</v>
      </c>
      <c r="D1601" t="s">
        <v>17</v>
      </c>
      <c r="E1601" t="s">
        <v>43</v>
      </c>
      <c r="F1601">
        <v>28600000</v>
      </c>
      <c r="G1601" t="s">
        <v>23</v>
      </c>
      <c r="H1601" t="s">
        <v>81</v>
      </c>
      <c r="I1601" t="s">
        <v>9</v>
      </c>
      <c r="L1601" t="s">
        <v>161</v>
      </c>
      <c r="M1601">
        <v>-28600000</v>
      </c>
    </row>
    <row r="1602" spans="1:13" x14ac:dyDescent="0.3">
      <c r="A1602" s="23">
        <v>45565</v>
      </c>
      <c r="B1602" t="s">
        <v>12</v>
      </c>
      <c r="C1602" t="s">
        <v>132</v>
      </c>
      <c r="D1602" t="s">
        <v>17</v>
      </c>
      <c r="E1602" t="s">
        <v>43</v>
      </c>
      <c r="F1602">
        <v>300000000</v>
      </c>
      <c r="G1602" t="s">
        <v>23</v>
      </c>
      <c r="H1602" t="s">
        <v>81</v>
      </c>
      <c r="I1602" t="s">
        <v>9</v>
      </c>
      <c r="L1602" t="s">
        <v>161</v>
      </c>
      <c r="M1602">
        <v>-300000000</v>
      </c>
    </row>
    <row r="1603" spans="1:13" x14ac:dyDescent="0.3">
      <c r="A1603" s="23">
        <v>44928</v>
      </c>
      <c r="B1603" t="s">
        <v>12</v>
      </c>
      <c r="C1603" t="s">
        <v>132</v>
      </c>
      <c r="D1603" t="s">
        <v>16</v>
      </c>
      <c r="E1603" t="s">
        <v>43</v>
      </c>
      <c r="F1603">
        <v>46500000</v>
      </c>
      <c r="G1603" t="s">
        <v>23</v>
      </c>
      <c r="H1603" t="s">
        <v>81</v>
      </c>
      <c r="I1603" t="s">
        <v>9</v>
      </c>
      <c r="L1603" t="s">
        <v>161</v>
      </c>
      <c r="M1603">
        <v>46500000</v>
      </c>
    </row>
    <row r="1604" spans="1:13" x14ac:dyDescent="0.3">
      <c r="A1604" s="23">
        <v>45565</v>
      </c>
      <c r="B1604" t="s">
        <v>12</v>
      </c>
      <c r="C1604" t="s">
        <v>132</v>
      </c>
      <c r="D1604" t="s">
        <v>16</v>
      </c>
      <c r="E1604" t="s">
        <v>43</v>
      </c>
      <c r="F1604">
        <v>10900000</v>
      </c>
      <c r="G1604" t="s">
        <v>23</v>
      </c>
      <c r="H1604" t="s">
        <v>81</v>
      </c>
      <c r="I1604" t="s">
        <v>9</v>
      </c>
      <c r="L1604" t="s">
        <v>161</v>
      </c>
      <c r="M1604">
        <v>10900000</v>
      </c>
    </row>
    <row r="1605" spans="1:13" x14ac:dyDescent="0.3">
      <c r="A1605" s="23">
        <v>44929</v>
      </c>
      <c r="B1605" t="s">
        <v>12</v>
      </c>
      <c r="C1605" t="s">
        <v>132</v>
      </c>
      <c r="D1605" t="s">
        <v>17</v>
      </c>
      <c r="E1605" t="s">
        <v>43</v>
      </c>
      <c r="F1605">
        <v>39000000</v>
      </c>
      <c r="G1605" t="s">
        <v>23</v>
      </c>
      <c r="H1605" t="s">
        <v>81</v>
      </c>
      <c r="I1605" t="s">
        <v>9</v>
      </c>
      <c r="L1605" t="s">
        <v>161</v>
      </c>
      <c r="M1605">
        <v>-39000000</v>
      </c>
    </row>
    <row r="1606" spans="1:13" x14ac:dyDescent="0.3">
      <c r="A1606" s="23">
        <v>44930</v>
      </c>
      <c r="B1606" t="s">
        <v>12</v>
      </c>
      <c r="C1606" t="s">
        <v>132</v>
      </c>
      <c r="D1606" t="s">
        <v>16</v>
      </c>
      <c r="E1606" t="s">
        <v>43</v>
      </c>
      <c r="F1606">
        <v>26000000</v>
      </c>
      <c r="G1606" t="s">
        <v>23</v>
      </c>
      <c r="H1606" t="s">
        <v>81</v>
      </c>
      <c r="I1606" t="s">
        <v>9</v>
      </c>
      <c r="L1606" t="s">
        <v>161</v>
      </c>
      <c r="M1606">
        <v>26000000</v>
      </c>
    </row>
    <row r="1607" spans="1:13" x14ac:dyDescent="0.3">
      <c r="A1607" s="23">
        <v>44931</v>
      </c>
      <c r="B1607" t="s">
        <v>12</v>
      </c>
      <c r="C1607" t="s">
        <v>132</v>
      </c>
      <c r="D1607" t="s">
        <v>17</v>
      </c>
      <c r="E1607" t="s">
        <v>43</v>
      </c>
      <c r="F1607">
        <v>29000000</v>
      </c>
      <c r="G1607" t="s">
        <v>23</v>
      </c>
      <c r="H1607" t="s">
        <v>81</v>
      </c>
      <c r="I1607" t="s">
        <v>9</v>
      </c>
      <c r="L1607" t="s">
        <v>161</v>
      </c>
      <c r="M1607">
        <v>-29000000</v>
      </c>
    </row>
    <row r="1608" spans="1:13" x14ac:dyDescent="0.3">
      <c r="A1608" s="23">
        <v>45561</v>
      </c>
      <c r="B1608" t="s">
        <v>12</v>
      </c>
      <c r="C1608" t="s">
        <v>132</v>
      </c>
      <c r="D1608" t="s">
        <v>17</v>
      </c>
      <c r="E1608" t="s">
        <v>43</v>
      </c>
      <c r="F1608">
        <v>200000000</v>
      </c>
      <c r="G1608" t="s">
        <v>23</v>
      </c>
      <c r="H1608" t="s">
        <v>81</v>
      </c>
      <c r="I1608" t="s">
        <v>9</v>
      </c>
      <c r="L1608" t="s">
        <v>161</v>
      </c>
      <c r="M1608">
        <v>-200000000</v>
      </c>
    </row>
    <row r="1609" spans="1:13" x14ac:dyDescent="0.3">
      <c r="A1609" s="23">
        <v>44936</v>
      </c>
      <c r="B1609" t="s">
        <v>12</v>
      </c>
      <c r="C1609" t="s">
        <v>132</v>
      </c>
      <c r="D1609" t="s">
        <v>16</v>
      </c>
      <c r="E1609" t="s">
        <v>43</v>
      </c>
      <c r="F1609">
        <v>6000000</v>
      </c>
      <c r="G1609" t="s">
        <v>23</v>
      </c>
      <c r="H1609" t="s">
        <v>81</v>
      </c>
      <c r="I1609" t="s">
        <v>9</v>
      </c>
      <c r="L1609" t="s">
        <v>161</v>
      </c>
      <c r="M1609">
        <v>6000000</v>
      </c>
    </row>
    <row r="1610" spans="1:13" x14ac:dyDescent="0.3">
      <c r="A1610" s="23">
        <v>45560</v>
      </c>
      <c r="B1610" t="s">
        <v>12</v>
      </c>
      <c r="C1610" t="s">
        <v>132</v>
      </c>
      <c r="D1610" t="s">
        <v>17</v>
      </c>
      <c r="E1610" t="s">
        <v>43</v>
      </c>
      <c r="F1610">
        <v>300000000</v>
      </c>
      <c r="G1610" t="s">
        <v>23</v>
      </c>
      <c r="H1610" t="s">
        <v>81</v>
      </c>
      <c r="I1610" t="s">
        <v>9</v>
      </c>
      <c r="L1610" t="s">
        <v>161</v>
      </c>
      <c r="M1610">
        <v>-300000000</v>
      </c>
    </row>
    <row r="1611" spans="1:13" x14ac:dyDescent="0.3">
      <c r="A1611" s="23">
        <v>44938</v>
      </c>
      <c r="B1611" t="s">
        <v>12</v>
      </c>
      <c r="C1611" t="s">
        <v>132</v>
      </c>
      <c r="D1611" t="s">
        <v>17</v>
      </c>
      <c r="E1611" t="s">
        <v>43</v>
      </c>
      <c r="F1611">
        <v>25045082.140000001</v>
      </c>
      <c r="G1611" t="s">
        <v>23</v>
      </c>
      <c r="H1611" t="s">
        <v>81</v>
      </c>
      <c r="I1611" t="s">
        <v>9</v>
      </c>
      <c r="L1611" t="s">
        <v>161</v>
      </c>
      <c r="M1611">
        <v>-25045082.140000001</v>
      </c>
    </row>
    <row r="1612" spans="1:13" x14ac:dyDescent="0.3">
      <c r="A1612" s="23">
        <v>45555</v>
      </c>
      <c r="B1612" t="s">
        <v>12</v>
      </c>
      <c r="C1612" t="s">
        <v>132</v>
      </c>
      <c r="D1612" t="s">
        <v>17</v>
      </c>
      <c r="E1612" t="s">
        <v>43</v>
      </c>
      <c r="F1612">
        <v>296200000</v>
      </c>
      <c r="G1612" t="s">
        <v>23</v>
      </c>
      <c r="H1612" t="s">
        <v>81</v>
      </c>
      <c r="I1612" t="s">
        <v>9</v>
      </c>
      <c r="L1612" t="s">
        <v>161</v>
      </c>
      <c r="M1612">
        <v>-296200000</v>
      </c>
    </row>
    <row r="1613" spans="1:13" x14ac:dyDescent="0.3">
      <c r="A1613" s="23">
        <v>44939</v>
      </c>
      <c r="B1613" t="s">
        <v>12</v>
      </c>
      <c r="C1613" t="s">
        <v>132</v>
      </c>
      <c r="D1613" t="s">
        <v>16</v>
      </c>
      <c r="E1613" t="s">
        <v>43</v>
      </c>
      <c r="F1613">
        <v>34500000</v>
      </c>
      <c r="G1613" t="s">
        <v>23</v>
      </c>
      <c r="H1613" t="s">
        <v>81</v>
      </c>
      <c r="I1613" t="s">
        <v>9</v>
      </c>
      <c r="L1613" t="s">
        <v>161</v>
      </c>
      <c r="M1613">
        <v>34500000</v>
      </c>
    </row>
    <row r="1614" spans="1:13" x14ac:dyDescent="0.3">
      <c r="A1614" s="23">
        <v>45553</v>
      </c>
      <c r="B1614" t="s">
        <v>12</v>
      </c>
      <c r="C1614" t="s">
        <v>132</v>
      </c>
      <c r="D1614" t="s">
        <v>16</v>
      </c>
      <c r="E1614" t="s">
        <v>43</v>
      </c>
      <c r="F1614">
        <v>1000000000</v>
      </c>
      <c r="G1614" t="s">
        <v>23</v>
      </c>
      <c r="H1614" t="s">
        <v>81</v>
      </c>
      <c r="I1614" t="s">
        <v>9</v>
      </c>
      <c r="L1614" t="s">
        <v>161</v>
      </c>
      <c r="M1614">
        <v>1000000000</v>
      </c>
    </row>
    <row r="1615" spans="1:13" x14ac:dyDescent="0.3">
      <c r="A1615" s="23">
        <v>44942</v>
      </c>
      <c r="B1615" t="s">
        <v>12</v>
      </c>
      <c r="C1615" t="s">
        <v>132</v>
      </c>
      <c r="D1615" t="s">
        <v>17</v>
      </c>
      <c r="E1615" t="s">
        <v>43</v>
      </c>
      <c r="F1615">
        <v>1500000</v>
      </c>
      <c r="G1615" t="s">
        <v>23</v>
      </c>
      <c r="H1615" t="s">
        <v>81</v>
      </c>
      <c r="I1615" t="s">
        <v>9</v>
      </c>
      <c r="L1615" t="s">
        <v>161</v>
      </c>
      <c r="M1615">
        <v>-1500000</v>
      </c>
    </row>
    <row r="1616" spans="1:13" x14ac:dyDescent="0.3">
      <c r="A1616" s="23">
        <v>45552</v>
      </c>
      <c r="B1616" t="s">
        <v>12</v>
      </c>
      <c r="C1616" t="s">
        <v>132</v>
      </c>
      <c r="D1616" t="s">
        <v>17</v>
      </c>
      <c r="E1616" t="s">
        <v>43</v>
      </c>
      <c r="F1616">
        <v>200000000</v>
      </c>
      <c r="G1616" t="s">
        <v>23</v>
      </c>
      <c r="H1616" t="s">
        <v>81</v>
      </c>
      <c r="I1616" t="s">
        <v>9</v>
      </c>
      <c r="L1616" t="s">
        <v>161</v>
      </c>
      <c r="M1616">
        <v>-200000000</v>
      </c>
    </row>
    <row r="1617" spans="1:13" x14ac:dyDescent="0.3">
      <c r="A1617" s="23">
        <v>45547</v>
      </c>
      <c r="B1617" t="s">
        <v>12</v>
      </c>
      <c r="C1617" t="s">
        <v>132</v>
      </c>
      <c r="D1617" t="s">
        <v>16</v>
      </c>
      <c r="E1617" t="s">
        <v>43</v>
      </c>
      <c r="F1617">
        <v>200000000</v>
      </c>
      <c r="G1617" t="s">
        <v>23</v>
      </c>
      <c r="H1617" t="s">
        <v>81</v>
      </c>
      <c r="I1617" t="s">
        <v>9</v>
      </c>
      <c r="L1617" t="s">
        <v>161</v>
      </c>
      <c r="M1617">
        <v>200000000</v>
      </c>
    </row>
    <row r="1618" spans="1:13" x14ac:dyDescent="0.3">
      <c r="A1618" s="23">
        <v>44946</v>
      </c>
      <c r="B1618" t="s">
        <v>12</v>
      </c>
      <c r="C1618" t="s">
        <v>132</v>
      </c>
      <c r="D1618" t="s">
        <v>17</v>
      </c>
      <c r="E1618" t="s">
        <v>43</v>
      </c>
      <c r="F1618">
        <v>28800000</v>
      </c>
      <c r="G1618" t="s">
        <v>23</v>
      </c>
      <c r="H1618" t="s">
        <v>81</v>
      </c>
      <c r="I1618" t="s">
        <v>9</v>
      </c>
      <c r="L1618" t="s">
        <v>161</v>
      </c>
      <c r="M1618">
        <v>-28800000</v>
      </c>
    </row>
    <row r="1619" spans="1:13" x14ac:dyDescent="0.3">
      <c r="A1619" s="23">
        <v>44949</v>
      </c>
      <c r="B1619" t="s">
        <v>12</v>
      </c>
      <c r="C1619" t="s">
        <v>132</v>
      </c>
      <c r="D1619" t="s">
        <v>16</v>
      </c>
      <c r="E1619" t="s">
        <v>43</v>
      </c>
      <c r="F1619">
        <v>25000000</v>
      </c>
      <c r="G1619" t="s">
        <v>23</v>
      </c>
      <c r="H1619" t="s">
        <v>81</v>
      </c>
      <c r="I1619" t="s">
        <v>9</v>
      </c>
      <c r="L1619" t="s">
        <v>161</v>
      </c>
      <c r="M1619">
        <v>25000000</v>
      </c>
    </row>
    <row r="1620" spans="1:13" x14ac:dyDescent="0.3">
      <c r="A1620" s="23">
        <v>44951</v>
      </c>
      <c r="B1620" t="s">
        <v>12</v>
      </c>
      <c r="C1620" t="s">
        <v>132</v>
      </c>
      <c r="D1620" t="s">
        <v>16</v>
      </c>
      <c r="E1620" t="s">
        <v>43</v>
      </c>
      <c r="F1620">
        <v>231000000</v>
      </c>
      <c r="G1620" t="s">
        <v>23</v>
      </c>
      <c r="H1620" t="s">
        <v>81</v>
      </c>
      <c r="I1620" t="s">
        <v>9</v>
      </c>
      <c r="L1620" t="s">
        <v>161</v>
      </c>
      <c r="M1620">
        <v>231000000</v>
      </c>
    </row>
    <row r="1621" spans="1:13" x14ac:dyDescent="0.3">
      <c r="A1621" s="23">
        <v>45544</v>
      </c>
      <c r="B1621" t="s">
        <v>12</v>
      </c>
      <c r="C1621" t="s">
        <v>132</v>
      </c>
      <c r="D1621" t="s">
        <v>17</v>
      </c>
      <c r="E1621" t="s">
        <v>43</v>
      </c>
      <c r="F1621">
        <v>300000000</v>
      </c>
      <c r="G1621" t="s">
        <v>23</v>
      </c>
      <c r="H1621" t="s">
        <v>81</v>
      </c>
      <c r="I1621" t="s">
        <v>9</v>
      </c>
      <c r="L1621" t="s">
        <v>161</v>
      </c>
      <c r="M1621">
        <v>-300000000</v>
      </c>
    </row>
    <row r="1622" spans="1:13" x14ac:dyDescent="0.3">
      <c r="A1622" s="23">
        <v>44952</v>
      </c>
      <c r="B1622" t="s">
        <v>12</v>
      </c>
      <c r="C1622" t="s">
        <v>132</v>
      </c>
      <c r="D1622" t="s">
        <v>17</v>
      </c>
      <c r="E1622" t="s">
        <v>43</v>
      </c>
      <c r="F1622">
        <v>109000000</v>
      </c>
      <c r="G1622" t="s">
        <v>23</v>
      </c>
      <c r="H1622" t="s">
        <v>81</v>
      </c>
      <c r="I1622" t="s">
        <v>9</v>
      </c>
      <c r="L1622" t="s">
        <v>161</v>
      </c>
      <c r="M1622">
        <v>-109000000</v>
      </c>
    </row>
    <row r="1623" spans="1:13" x14ac:dyDescent="0.3">
      <c r="A1623" s="23">
        <v>45541</v>
      </c>
      <c r="B1623" t="s">
        <v>12</v>
      </c>
      <c r="C1623" t="s">
        <v>132</v>
      </c>
      <c r="D1623" t="s">
        <v>17</v>
      </c>
      <c r="E1623" t="s">
        <v>43</v>
      </c>
      <c r="F1623">
        <v>61000000</v>
      </c>
      <c r="G1623" t="s">
        <v>23</v>
      </c>
      <c r="H1623" t="s">
        <v>81</v>
      </c>
      <c r="I1623" t="s">
        <v>9</v>
      </c>
      <c r="L1623" t="s">
        <v>161</v>
      </c>
      <c r="M1623">
        <v>-61000000</v>
      </c>
    </row>
    <row r="1624" spans="1:13" x14ac:dyDescent="0.3">
      <c r="A1624" s="23">
        <v>44953</v>
      </c>
      <c r="B1624" t="s">
        <v>12</v>
      </c>
      <c r="C1624" t="s">
        <v>132</v>
      </c>
      <c r="D1624" t="s">
        <v>17</v>
      </c>
      <c r="E1624" t="s">
        <v>43</v>
      </c>
      <c r="F1624">
        <v>6300000</v>
      </c>
      <c r="G1624" t="s">
        <v>23</v>
      </c>
      <c r="H1624" t="s">
        <v>81</v>
      </c>
      <c r="I1624" t="s">
        <v>9</v>
      </c>
      <c r="L1624" t="s">
        <v>161</v>
      </c>
      <c r="M1624">
        <v>-6300000</v>
      </c>
    </row>
    <row r="1625" spans="1:13" x14ac:dyDescent="0.3">
      <c r="A1625" s="23">
        <v>45540</v>
      </c>
      <c r="B1625" t="s">
        <v>12</v>
      </c>
      <c r="C1625" t="s">
        <v>132</v>
      </c>
      <c r="D1625" t="s">
        <v>17</v>
      </c>
      <c r="E1625" t="s">
        <v>43</v>
      </c>
      <c r="F1625">
        <v>170500000</v>
      </c>
      <c r="G1625" t="s">
        <v>23</v>
      </c>
      <c r="H1625" t="s">
        <v>81</v>
      </c>
      <c r="I1625" t="s">
        <v>9</v>
      </c>
      <c r="L1625" t="s">
        <v>161</v>
      </c>
      <c r="M1625">
        <v>-170500000</v>
      </c>
    </row>
    <row r="1626" spans="1:13" x14ac:dyDescent="0.3">
      <c r="A1626" s="23">
        <v>44957</v>
      </c>
      <c r="B1626" t="s">
        <v>12</v>
      </c>
      <c r="C1626" t="s">
        <v>132</v>
      </c>
      <c r="D1626" t="s">
        <v>17</v>
      </c>
      <c r="E1626" t="s">
        <v>43</v>
      </c>
      <c r="F1626">
        <v>21700000</v>
      </c>
      <c r="G1626" t="s">
        <v>23</v>
      </c>
      <c r="H1626" t="s">
        <v>81</v>
      </c>
      <c r="I1626" t="s">
        <v>9</v>
      </c>
      <c r="L1626" t="s">
        <v>161</v>
      </c>
      <c r="M1626">
        <v>-21700000</v>
      </c>
    </row>
    <row r="1627" spans="1:13" x14ac:dyDescent="0.3">
      <c r="A1627" s="23">
        <v>44960</v>
      </c>
      <c r="B1627" t="s">
        <v>12</v>
      </c>
      <c r="C1627" t="s">
        <v>132</v>
      </c>
      <c r="D1627" t="s">
        <v>17</v>
      </c>
      <c r="E1627" t="s">
        <v>43</v>
      </c>
      <c r="F1627">
        <v>123200000.00000003</v>
      </c>
      <c r="G1627" t="s">
        <v>23</v>
      </c>
      <c r="H1627" t="s">
        <v>81</v>
      </c>
      <c r="I1627" t="s">
        <v>9</v>
      </c>
      <c r="L1627" t="s">
        <v>161</v>
      </c>
      <c r="M1627">
        <v>-123200000</v>
      </c>
    </row>
    <row r="1628" spans="1:13" x14ac:dyDescent="0.3">
      <c r="A1628" s="23">
        <v>45538</v>
      </c>
      <c r="B1628" t="s">
        <v>12</v>
      </c>
      <c r="C1628" t="s">
        <v>132</v>
      </c>
      <c r="D1628" t="s">
        <v>16</v>
      </c>
      <c r="E1628" t="s">
        <v>43</v>
      </c>
      <c r="F1628">
        <v>16855000</v>
      </c>
      <c r="G1628" t="s">
        <v>23</v>
      </c>
      <c r="H1628" t="s">
        <v>81</v>
      </c>
      <c r="I1628" t="s">
        <v>9</v>
      </c>
      <c r="L1628" t="s">
        <v>161</v>
      </c>
      <c r="M1628">
        <v>16855000</v>
      </c>
    </row>
    <row r="1629" spans="1:13" x14ac:dyDescent="0.3">
      <c r="A1629" s="23">
        <v>44964</v>
      </c>
      <c r="B1629" t="s">
        <v>12</v>
      </c>
      <c r="C1629" t="s">
        <v>132</v>
      </c>
      <c r="D1629" t="s">
        <v>16</v>
      </c>
      <c r="E1629" t="s">
        <v>43</v>
      </c>
      <c r="F1629">
        <v>49300000</v>
      </c>
      <c r="G1629" t="s">
        <v>23</v>
      </c>
      <c r="H1629" t="s">
        <v>81</v>
      </c>
      <c r="I1629" t="s">
        <v>9</v>
      </c>
      <c r="L1629" t="s">
        <v>161</v>
      </c>
      <c r="M1629">
        <v>49300000</v>
      </c>
    </row>
    <row r="1630" spans="1:13" x14ac:dyDescent="0.3">
      <c r="A1630" s="23">
        <v>44965</v>
      </c>
      <c r="B1630" t="s">
        <v>12</v>
      </c>
      <c r="C1630" t="s">
        <v>132</v>
      </c>
      <c r="D1630" t="s">
        <v>17</v>
      </c>
      <c r="E1630" t="s">
        <v>43</v>
      </c>
      <c r="F1630">
        <v>24600000</v>
      </c>
      <c r="G1630" t="s">
        <v>23</v>
      </c>
      <c r="H1630" t="s">
        <v>81</v>
      </c>
      <c r="I1630" t="s">
        <v>9</v>
      </c>
      <c r="L1630" t="s">
        <v>161</v>
      </c>
      <c r="M1630">
        <v>-24600000</v>
      </c>
    </row>
    <row r="1631" spans="1:13" x14ac:dyDescent="0.3">
      <c r="A1631" s="23">
        <v>45538</v>
      </c>
      <c r="B1631" t="s">
        <v>12</v>
      </c>
      <c r="C1631" t="s">
        <v>132</v>
      </c>
      <c r="D1631" t="s">
        <v>16</v>
      </c>
      <c r="E1631" t="s">
        <v>43</v>
      </c>
      <c r="F1631">
        <v>700000000</v>
      </c>
      <c r="G1631" t="s">
        <v>23</v>
      </c>
      <c r="H1631" t="s">
        <v>81</v>
      </c>
      <c r="I1631" t="s">
        <v>9</v>
      </c>
      <c r="L1631" t="s">
        <v>161</v>
      </c>
      <c r="M1631">
        <v>700000000</v>
      </c>
    </row>
    <row r="1632" spans="1:13" x14ac:dyDescent="0.3">
      <c r="A1632" s="23">
        <v>44966</v>
      </c>
      <c r="B1632" t="s">
        <v>12</v>
      </c>
      <c r="C1632" t="s">
        <v>132</v>
      </c>
      <c r="D1632" t="s">
        <v>16</v>
      </c>
      <c r="E1632" t="s">
        <v>43</v>
      </c>
      <c r="F1632">
        <v>15500000</v>
      </c>
      <c r="G1632" t="s">
        <v>23</v>
      </c>
      <c r="H1632" t="s">
        <v>81</v>
      </c>
      <c r="I1632" t="s">
        <v>9</v>
      </c>
      <c r="L1632" t="s">
        <v>161</v>
      </c>
      <c r="M1632">
        <v>15500000</v>
      </c>
    </row>
    <row r="1633" spans="1:13" x14ac:dyDescent="0.3">
      <c r="A1633" s="23">
        <v>44967</v>
      </c>
      <c r="B1633" t="s">
        <v>12</v>
      </c>
      <c r="C1633" t="s">
        <v>132</v>
      </c>
      <c r="D1633" t="s">
        <v>17</v>
      </c>
      <c r="E1633" t="s">
        <v>43</v>
      </c>
      <c r="F1633">
        <v>29500000</v>
      </c>
      <c r="G1633" t="s">
        <v>23</v>
      </c>
      <c r="H1633" t="s">
        <v>81</v>
      </c>
      <c r="I1633" t="s">
        <v>9</v>
      </c>
      <c r="L1633" t="s">
        <v>161</v>
      </c>
      <c r="M1633">
        <v>-29500000</v>
      </c>
    </row>
    <row r="1634" spans="1:13" x14ac:dyDescent="0.3">
      <c r="A1634" s="23">
        <v>45537</v>
      </c>
      <c r="B1634" t="s">
        <v>12</v>
      </c>
      <c r="C1634" t="s">
        <v>132</v>
      </c>
      <c r="D1634" t="s">
        <v>17</v>
      </c>
      <c r="E1634" t="s">
        <v>43</v>
      </c>
      <c r="F1634">
        <v>180000000</v>
      </c>
      <c r="G1634" t="s">
        <v>23</v>
      </c>
      <c r="H1634" t="s">
        <v>81</v>
      </c>
      <c r="I1634" t="s">
        <v>9</v>
      </c>
      <c r="L1634" t="s">
        <v>161</v>
      </c>
      <c r="M1634">
        <v>-180000000</v>
      </c>
    </row>
    <row r="1635" spans="1:13" x14ac:dyDescent="0.3">
      <c r="A1635" s="23">
        <v>44970</v>
      </c>
      <c r="B1635" t="s">
        <v>12</v>
      </c>
      <c r="C1635" t="s">
        <v>132</v>
      </c>
      <c r="D1635" t="s">
        <v>17</v>
      </c>
      <c r="E1635" t="s">
        <v>43</v>
      </c>
      <c r="F1635">
        <v>10700000</v>
      </c>
      <c r="G1635" t="s">
        <v>23</v>
      </c>
      <c r="H1635" t="s">
        <v>81</v>
      </c>
      <c r="I1635" t="s">
        <v>9</v>
      </c>
      <c r="L1635" t="s">
        <v>161</v>
      </c>
      <c r="M1635">
        <v>-10700000</v>
      </c>
    </row>
    <row r="1636" spans="1:13" x14ac:dyDescent="0.3">
      <c r="A1636" s="23">
        <v>45534</v>
      </c>
      <c r="B1636" t="s">
        <v>12</v>
      </c>
      <c r="C1636" t="s">
        <v>132</v>
      </c>
      <c r="D1636" t="s">
        <v>17</v>
      </c>
      <c r="E1636" t="s">
        <v>43</v>
      </c>
      <c r="F1636">
        <v>200000000</v>
      </c>
      <c r="G1636" t="s">
        <v>23</v>
      </c>
      <c r="H1636" t="s">
        <v>81</v>
      </c>
      <c r="I1636" t="s">
        <v>9</v>
      </c>
      <c r="L1636" t="s">
        <v>161</v>
      </c>
      <c r="M1636">
        <v>-200000000</v>
      </c>
    </row>
    <row r="1637" spans="1:13" x14ac:dyDescent="0.3">
      <c r="A1637" s="23">
        <v>45533</v>
      </c>
      <c r="B1637" t="s">
        <v>12</v>
      </c>
      <c r="C1637" t="s">
        <v>132</v>
      </c>
      <c r="D1637" t="s">
        <v>17</v>
      </c>
      <c r="E1637" t="s">
        <v>43</v>
      </c>
      <c r="F1637">
        <v>205000000</v>
      </c>
      <c r="G1637" t="s">
        <v>23</v>
      </c>
      <c r="H1637" t="s">
        <v>81</v>
      </c>
      <c r="I1637" t="s">
        <v>9</v>
      </c>
      <c r="L1637" t="s">
        <v>161</v>
      </c>
      <c r="M1637">
        <v>-205000000</v>
      </c>
    </row>
    <row r="1638" spans="1:13" x14ac:dyDescent="0.3">
      <c r="A1638" s="23">
        <v>44971</v>
      </c>
      <c r="B1638" t="s">
        <v>12</v>
      </c>
      <c r="C1638" t="s">
        <v>132</v>
      </c>
      <c r="D1638" t="s">
        <v>16</v>
      </c>
      <c r="E1638" t="s">
        <v>43</v>
      </c>
      <c r="F1638">
        <v>291000000</v>
      </c>
      <c r="G1638" t="s">
        <v>23</v>
      </c>
      <c r="H1638" t="s">
        <v>81</v>
      </c>
      <c r="I1638" t="s">
        <v>9</v>
      </c>
      <c r="L1638" t="s">
        <v>161</v>
      </c>
      <c r="M1638">
        <v>291000000</v>
      </c>
    </row>
    <row r="1639" spans="1:13" x14ac:dyDescent="0.3">
      <c r="A1639" s="23">
        <v>44972</v>
      </c>
      <c r="B1639" t="s">
        <v>12</v>
      </c>
      <c r="C1639" t="s">
        <v>132</v>
      </c>
      <c r="D1639" t="s">
        <v>17</v>
      </c>
      <c r="E1639" t="s">
        <v>43</v>
      </c>
      <c r="F1639">
        <v>55400000</v>
      </c>
      <c r="G1639" t="s">
        <v>23</v>
      </c>
      <c r="H1639" t="s">
        <v>81</v>
      </c>
      <c r="I1639" t="s">
        <v>9</v>
      </c>
      <c r="L1639" t="s">
        <v>161</v>
      </c>
      <c r="M1639">
        <v>-55400000</v>
      </c>
    </row>
    <row r="1640" spans="1:13" x14ac:dyDescent="0.3">
      <c r="A1640" s="23">
        <v>44974</v>
      </c>
      <c r="B1640" t="s">
        <v>12</v>
      </c>
      <c r="C1640" t="s">
        <v>132</v>
      </c>
      <c r="D1640" t="s">
        <v>17</v>
      </c>
      <c r="E1640" t="s">
        <v>43</v>
      </c>
      <c r="F1640">
        <v>196100000</v>
      </c>
      <c r="G1640" t="s">
        <v>23</v>
      </c>
      <c r="H1640" t="s">
        <v>81</v>
      </c>
      <c r="I1640" t="s">
        <v>9</v>
      </c>
      <c r="L1640" t="s">
        <v>161</v>
      </c>
      <c r="M1640">
        <v>-196100000</v>
      </c>
    </row>
    <row r="1641" spans="1:13" x14ac:dyDescent="0.3">
      <c r="A1641" s="23">
        <v>45532</v>
      </c>
      <c r="B1641" t="s">
        <v>12</v>
      </c>
      <c r="C1641" t="s">
        <v>132</v>
      </c>
      <c r="D1641" t="s">
        <v>16</v>
      </c>
      <c r="E1641" t="s">
        <v>43</v>
      </c>
      <c r="F1641">
        <v>600000000</v>
      </c>
      <c r="G1641" t="s">
        <v>23</v>
      </c>
      <c r="H1641" t="s">
        <v>81</v>
      </c>
      <c r="I1641" t="s">
        <v>9</v>
      </c>
      <c r="L1641" t="s">
        <v>161</v>
      </c>
      <c r="M1641">
        <v>600000000</v>
      </c>
    </row>
    <row r="1642" spans="1:13" x14ac:dyDescent="0.3">
      <c r="A1642" s="23">
        <v>44979</v>
      </c>
      <c r="B1642" t="s">
        <v>12</v>
      </c>
      <c r="C1642" t="s">
        <v>132</v>
      </c>
      <c r="D1642" t="s">
        <v>17</v>
      </c>
      <c r="E1642" t="s">
        <v>43</v>
      </c>
      <c r="F1642">
        <v>39500000.00000003</v>
      </c>
      <c r="G1642" t="s">
        <v>23</v>
      </c>
      <c r="H1642" t="s">
        <v>81</v>
      </c>
      <c r="I1642" t="s">
        <v>9</v>
      </c>
      <c r="L1642" t="s">
        <v>161</v>
      </c>
      <c r="M1642">
        <v>-39500000</v>
      </c>
    </row>
    <row r="1643" spans="1:13" x14ac:dyDescent="0.3">
      <c r="A1643" s="23">
        <v>44985</v>
      </c>
      <c r="B1643" t="s">
        <v>12</v>
      </c>
      <c r="C1643" t="s">
        <v>132</v>
      </c>
      <c r="D1643" t="s">
        <v>16</v>
      </c>
      <c r="E1643" t="s">
        <v>43</v>
      </c>
      <c r="F1643">
        <v>150000000</v>
      </c>
      <c r="G1643" t="s">
        <v>23</v>
      </c>
      <c r="H1643" t="s">
        <v>81</v>
      </c>
      <c r="I1643" t="s">
        <v>9</v>
      </c>
      <c r="L1643" t="s">
        <v>161</v>
      </c>
      <c r="M1643">
        <v>150000000</v>
      </c>
    </row>
    <row r="1644" spans="1:13" x14ac:dyDescent="0.3">
      <c r="A1644" s="23">
        <v>45531</v>
      </c>
      <c r="B1644" t="s">
        <v>12</v>
      </c>
      <c r="C1644" t="s">
        <v>132</v>
      </c>
      <c r="D1644" t="s">
        <v>17</v>
      </c>
      <c r="E1644" t="s">
        <v>43</v>
      </c>
      <c r="F1644">
        <v>45000000</v>
      </c>
      <c r="G1644" t="s">
        <v>23</v>
      </c>
      <c r="H1644" t="s">
        <v>81</v>
      </c>
      <c r="I1644" t="s">
        <v>9</v>
      </c>
      <c r="L1644" t="s">
        <v>161</v>
      </c>
      <c r="M1644">
        <v>-45000000</v>
      </c>
    </row>
    <row r="1645" spans="1:13" x14ac:dyDescent="0.3">
      <c r="A1645" s="23">
        <v>45530</v>
      </c>
      <c r="B1645" t="s">
        <v>12</v>
      </c>
      <c r="C1645" t="s">
        <v>132</v>
      </c>
      <c r="D1645" t="s">
        <v>17</v>
      </c>
      <c r="E1645" t="s">
        <v>43</v>
      </c>
      <c r="F1645">
        <v>50000000</v>
      </c>
      <c r="G1645" t="s">
        <v>23</v>
      </c>
      <c r="H1645" t="s">
        <v>81</v>
      </c>
      <c r="I1645" t="s">
        <v>9</v>
      </c>
      <c r="L1645" t="s">
        <v>161</v>
      </c>
      <c r="M1645">
        <v>-50000000</v>
      </c>
    </row>
    <row r="1646" spans="1:13" x14ac:dyDescent="0.3">
      <c r="A1646" s="23">
        <v>44991</v>
      </c>
      <c r="B1646" t="s">
        <v>12</v>
      </c>
      <c r="C1646" t="s">
        <v>132</v>
      </c>
      <c r="D1646" t="s">
        <v>17</v>
      </c>
      <c r="E1646" t="s">
        <v>43</v>
      </c>
      <c r="F1646">
        <v>38300000</v>
      </c>
      <c r="G1646" t="s">
        <v>23</v>
      </c>
      <c r="H1646" t="s">
        <v>81</v>
      </c>
      <c r="I1646" t="s">
        <v>9</v>
      </c>
      <c r="L1646" t="s">
        <v>161</v>
      </c>
      <c r="M1646">
        <v>-38300000</v>
      </c>
    </row>
    <row r="1647" spans="1:13" x14ac:dyDescent="0.3">
      <c r="A1647" s="23">
        <v>44992</v>
      </c>
      <c r="B1647" t="s">
        <v>12</v>
      </c>
      <c r="C1647" t="s">
        <v>132</v>
      </c>
      <c r="D1647" t="s">
        <v>16</v>
      </c>
      <c r="E1647" t="s">
        <v>43</v>
      </c>
      <c r="F1647">
        <v>300000000</v>
      </c>
      <c r="G1647" t="s">
        <v>23</v>
      </c>
      <c r="H1647" t="s">
        <v>81</v>
      </c>
      <c r="I1647" t="s">
        <v>9</v>
      </c>
      <c r="L1647" t="s">
        <v>161</v>
      </c>
      <c r="M1647">
        <v>300000000</v>
      </c>
    </row>
    <row r="1648" spans="1:13" x14ac:dyDescent="0.3">
      <c r="A1648" s="23">
        <v>45527</v>
      </c>
      <c r="B1648" t="s">
        <v>12</v>
      </c>
      <c r="C1648" t="s">
        <v>132</v>
      </c>
      <c r="D1648" t="s">
        <v>17</v>
      </c>
      <c r="E1648" t="s">
        <v>43</v>
      </c>
      <c r="F1648">
        <v>100000000</v>
      </c>
      <c r="G1648" t="s">
        <v>23</v>
      </c>
      <c r="H1648" t="s">
        <v>81</v>
      </c>
      <c r="I1648" t="s">
        <v>9</v>
      </c>
      <c r="L1648" t="s">
        <v>161</v>
      </c>
      <c r="M1648">
        <v>-100000000</v>
      </c>
    </row>
    <row r="1649" spans="1:13" x14ac:dyDescent="0.3">
      <c r="A1649" s="23">
        <v>44995</v>
      </c>
      <c r="B1649" t="s">
        <v>12</v>
      </c>
      <c r="C1649" t="s">
        <v>132</v>
      </c>
      <c r="D1649" t="s">
        <v>17</v>
      </c>
      <c r="E1649" t="s">
        <v>43</v>
      </c>
      <c r="F1649">
        <v>99900000</v>
      </c>
      <c r="G1649" t="s">
        <v>23</v>
      </c>
      <c r="H1649" t="s">
        <v>81</v>
      </c>
      <c r="I1649" t="s">
        <v>9</v>
      </c>
      <c r="L1649" t="s">
        <v>161</v>
      </c>
      <c r="M1649">
        <v>-99900000</v>
      </c>
    </row>
    <row r="1650" spans="1:13" x14ac:dyDescent="0.3">
      <c r="A1650" s="23">
        <v>44995</v>
      </c>
      <c r="B1650" t="s">
        <v>12</v>
      </c>
      <c r="C1650" t="s">
        <v>132</v>
      </c>
      <c r="D1650" t="s">
        <v>16</v>
      </c>
      <c r="E1650" t="s">
        <v>43</v>
      </c>
      <c r="F1650">
        <v>3796522.9599999785</v>
      </c>
      <c r="G1650" t="s">
        <v>23</v>
      </c>
      <c r="H1650" t="s">
        <v>81</v>
      </c>
      <c r="I1650" t="s">
        <v>9</v>
      </c>
      <c r="L1650" t="s">
        <v>161</v>
      </c>
      <c r="M1650">
        <v>3796522.96</v>
      </c>
    </row>
    <row r="1651" spans="1:13" x14ac:dyDescent="0.3">
      <c r="A1651" s="23">
        <v>44995</v>
      </c>
      <c r="B1651" t="s">
        <v>12</v>
      </c>
      <c r="C1651" t="s">
        <v>132</v>
      </c>
      <c r="D1651" t="s">
        <v>17</v>
      </c>
      <c r="E1651" t="s">
        <v>43</v>
      </c>
      <c r="F1651">
        <v>315500000</v>
      </c>
      <c r="G1651" t="s">
        <v>23</v>
      </c>
      <c r="H1651" t="s">
        <v>81</v>
      </c>
      <c r="I1651" t="s">
        <v>9</v>
      </c>
      <c r="L1651" t="s">
        <v>161</v>
      </c>
      <c r="M1651">
        <v>-315500000</v>
      </c>
    </row>
    <row r="1652" spans="1:13" x14ac:dyDescent="0.3">
      <c r="A1652" s="23">
        <v>45524</v>
      </c>
      <c r="B1652" t="s">
        <v>12</v>
      </c>
      <c r="C1652" t="s">
        <v>132</v>
      </c>
      <c r="D1652" t="s">
        <v>17</v>
      </c>
      <c r="E1652" t="s">
        <v>43</v>
      </c>
      <c r="F1652">
        <v>240000000</v>
      </c>
      <c r="G1652" t="s">
        <v>23</v>
      </c>
      <c r="H1652" t="s">
        <v>81</v>
      </c>
      <c r="I1652" t="s">
        <v>9</v>
      </c>
      <c r="L1652" t="s">
        <v>161</v>
      </c>
      <c r="M1652">
        <v>-240000000</v>
      </c>
    </row>
    <row r="1653" spans="1:13" x14ac:dyDescent="0.3">
      <c r="A1653" s="23">
        <v>44999</v>
      </c>
      <c r="B1653" t="s">
        <v>12</v>
      </c>
      <c r="C1653" t="s">
        <v>132</v>
      </c>
      <c r="D1653" t="s">
        <v>16</v>
      </c>
      <c r="E1653" t="s">
        <v>43</v>
      </c>
      <c r="F1653">
        <v>61000000</v>
      </c>
      <c r="G1653" t="s">
        <v>23</v>
      </c>
      <c r="H1653" t="s">
        <v>81</v>
      </c>
      <c r="I1653" t="s">
        <v>9</v>
      </c>
      <c r="L1653" t="s">
        <v>161</v>
      </c>
      <c r="M1653">
        <v>61000000</v>
      </c>
    </row>
    <row r="1654" spans="1:13" x14ac:dyDescent="0.3">
      <c r="A1654" s="23">
        <v>45523</v>
      </c>
      <c r="B1654" t="s">
        <v>12</v>
      </c>
      <c r="C1654" t="s">
        <v>132</v>
      </c>
      <c r="D1654" t="s">
        <v>17</v>
      </c>
      <c r="E1654" t="s">
        <v>43</v>
      </c>
      <c r="F1654">
        <v>197500000</v>
      </c>
      <c r="G1654" t="s">
        <v>23</v>
      </c>
      <c r="H1654" t="s">
        <v>81</v>
      </c>
      <c r="I1654" t="s">
        <v>9</v>
      </c>
      <c r="L1654" t="s">
        <v>161</v>
      </c>
      <c r="M1654">
        <v>-197500000</v>
      </c>
    </row>
    <row r="1655" spans="1:13" x14ac:dyDescent="0.3">
      <c r="A1655" s="23">
        <v>45001</v>
      </c>
      <c r="B1655" t="s">
        <v>12</v>
      </c>
      <c r="C1655" t="s">
        <v>132</v>
      </c>
      <c r="D1655" t="s">
        <v>16</v>
      </c>
      <c r="E1655" t="s">
        <v>43</v>
      </c>
      <c r="F1655">
        <v>174200000</v>
      </c>
      <c r="G1655" t="s">
        <v>23</v>
      </c>
      <c r="H1655" t="s">
        <v>81</v>
      </c>
      <c r="I1655" t="s">
        <v>9</v>
      </c>
      <c r="L1655" t="s">
        <v>161</v>
      </c>
      <c r="M1655">
        <v>174200000</v>
      </c>
    </row>
    <row r="1656" spans="1:13" x14ac:dyDescent="0.3">
      <c r="A1656" s="23">
        <v>45518</v>
      </c>
      <c r="B1656" t="s">
        <v>12</v>
      </c>
      <c r="C1656" t="s">
        <v>132</v>
      </c>
      <c r="D1656" t="s">
        <v>17</v>
      </c>
      <c r="E1656" t="s">
        <v>43</v>
      </c>
      <c r="F1656">
        <v>81600000</v>
      </c>
      <c r="G1656" t="s">
        <v>23</v>
      </c>
      <c r="H1656" t="s">
        <v>81</v>
      </c>
      <c r="I1656" t="s">
        <v>9</v>
      </c>
      <c r="L1656" t="s">
        <v>161</v>
      </c>
      <c r="M1656">
        <v>-81600000</v>
      </c>
    </row>
    <row r="1657" spans="1:13" x14ac:dyDescent="0.3">
      <c r="A1657" s="23">
        <v>45002</v>
      </c>
      <c r="B1657" t="s">
        <v>12</v>
      </c>
      <c r="C1657" t="s">
        <v>132</v>
      </c>
      <c r="D1657" t="s">
        <v>16</v>
      </c>
      <c r="E1657" t="s">
        <v>43</v>
      </c>
      <c r="F1657">
        <v>33900000</v>
      </c>
      <c r="G1657" t="s">
        <v>23</v>
      </c>
      <c r="H1657" t="s">
        <v>81</v>
      </c>
      <c r="I1657" t="s">
        <v>9</v>
      </c>
      <c r="L1657" t="s">
        <v>161</v>
      </c>
      <c r="M1657">
        <v>33900000</v>
      </c>
    </row>
    <row r="1658" spans="1:13" x14ac:dyDescent="0.3">
      <c r="A1658" s="23">
        <v>45005</v>
      </c>
      <c r="B1658" t="s">
        <v>12</v>
      </c>
      <c r="C1658" t="s">
        <v>132</v>
      </c>
      <c r="D1658" t="s">
        <v>17</v>
      </c>
      <c r="E1658" t="s">
        <v>43</v>
      </c>
      <c r="F1658">
        <v>58900000</v>
      </c>
      <c r="G1658" t="s">
        <v>23</v>
      </c>
      <c r="H1658" t="s">
        <v>81</v>
      </c>
      <c r="I1658" t="s">
        <v>9</v>
      </c>
      <c r="L1658" t="s">
        <v>161</v>
      </c>
      <c r="M1658">
        <v>-58900000</v>
      </c>
    </row>
    <row r="1659" spans="1:13" x14ac:dyDescent="0.3">
      <c r="A1659" s="23">
        <v>45517</v>
      </c>
      <c r="B1659" t="s">
        <v>12</v>
      </c>
      <c r="C1659" t="s">
        <v>132</v>
      </c>
      <c r="D1659" t="s">
        <v>16</v>
      </c>
      <c r="E1659" t="s">
        <v>43</v>
      </c>
      <c r="F1659">
        <v>600000000</v>
      </c>
      <c r="G1659" t="s">
        <v>23</v>
      </c>
      <c r="H1659" t="s">
        <v>81</v>
      </c>
      <c r="I1659" t="s">
        <v>9</v>
      </c>
      <c r="L1659" t="s">
        <v>161</v>
      </c>
      <c r="M1659">
        <v>600000000</v>
      </c>
    </row>
    <row r="1660" spans="1:13" x14ac:dyDescent="0.3">
      <c r="A1660" s="23">
        <v>45513</v>
      </c>
      <c r="B1660" t="s">
        <v>12</v>
      </c>
      <c r="C1660" t="s">
        <v>132</v>
      </c>
      <c r="D1660" t="s">
        <v>17</v>
      </c>
      <c r="E1660" t="s">
        <v>43</v>
      </c>
      <c r="F1660">
        <v>401100000</v>
      </c>
      <c r="G1660" t="s">
        <v>23</v>
      </c>
      <c r="H1660" t="s">
        <v>81</v>
      </c>
      <c r="I1660" t="s">
        <v>9</v>
      </c>
      <c r="L1660" t="s">
        <v>161</v>
      </c>
      <c r="M1660">
        <v>-401100000</v>
      </c>
    </row>
    <row r="1661" spans="1:13" x14ac:dyDescent="0.3">
      <c r="A1661" s="23">
        <v>45512</v>
      </c>
      <c r="B1661" t="s">
        <v>12</v>
      </c>
      <c r="C1661" t="s">
        <v>132</v>
      </c>
      <c r="D1661" t="s">
        <v>17</v>
      </c>
      <c r="E1661" t="s">
        <v>43</v>
      </c>
      <c r="F1661">
        <v>89100000</v>
      </c>
      <c r="G1661" t="s">
        <v>23</v>
      </c>
      <c r="H1661" t="s">
        <v>81</v>
      </c>
      <c r="I1661" t="s">
        <v>9</v>
      </c>
      <c r="L1661" t="s">
        <v>161</v>
      </c>
      <c r="M1661">
        <v>-89100000</v>
      </c>
    </row>
    <row r="1662" spans="1:13" x14ac:dyDescent="0.3">
      <c r="A1662" s="23">
        <v>45511</v>
      </c>
      <c r="B1662" t="s">
        <v>12</v>
      </c>
      <c r="C1662" t="s">
        <v>132</v>
      </c>
      <c r="D1662" t="s">
        <v>17</v>
      </c>
      <c r="E1662" t="s">
        <v>43</v>
      </c>
      <c r="F1662">
        <v>117800000</v>
      </c>
      <c r="G1662" t="s">
        <v>23</v>
      </c>
      <c r="H1662" t="s">
        <v>81</v>
      </c>
      <c r="I1662" t="s">
        <v>9</v>
      </c>
      <c r="L1662" t="s">
        <v>161</v>
      </c>
      <c r="M1662">
        <v>-117800000</v>
      </c>
    </row>
    <row r="1663" spans="1:13" x14ac:dyDescent="0.3">
      <c r="A1663" s="23">
        <v>45510</v>
      </c>
      <c r="B1663" t="s">
        <v>12</v>
      </c>
      <c r="C1663" t="s">
        <v>132</v>
      </c>
      <c r="D1663" t="s">
        <v>17</v>
      </c>
      <c r="E1663" t="s">
        <v>43</v>
      </c>
      <c r="F1663">
        <v>79200000</v>
      </c>
      <c r="G1663" t="s">
        <v>23</v>
      </c>
      <c r="H1663" t="s">
        <v>81</v>
      </c>
      <c r="I1663" t="s">
        <v>9</v>
      </c>
      <c r="L1663" t="s">
        <v>161</v>
      </c>
      <c r="M1663">
        <v>-79200000</v>
      </c>
    </row>
    <row r="1664" spans="1:13" x14ac:dyDescent="0.3">
      <c r="A1664" s="23">
        <v>45013</v>
      </c>
      <c r="B1664" t="s">
        <v>12</v>
      </c>
      <c r="C1664" t="s">
        <v>132</v>
      </c>
      <c r="D1664" t="s">
        <v>16</v>
      </c>
      <c r="E1664" t="s">
        <v>43</v>
      </c>
      <c r="F1664">
        <v>41700000</v>
      </c>
      <c r="G1664" t="s">
        <v>23</v>
      </c>
      <c r="H1664" t="s">
        <v>81</v>
      </c>
      <c r="I1664" t="s">
        <v>9</v>
      </c>
      <c r="L1664" t="s">
        <v>161</v>
      </c>
      <c r="M1664">
        <v>41700000</v>
      </c>
    </row>
    <row r="1665" spans="1:13" x14ac:dyDescent="0.3">
      <c r="A1665" s="23">
        <v>45504</v>
      </c>
      <c r="B1665" t="s">
        <v>12</v>
      </c>
      <c r="C1665" t="s">
        <v>132</v>
      </c>
      <c r="D1665" t="s">
        <v>16</v>
      </c>
      <c r="E1665" t="s">
        <v>43</v>
      </c>
      <c r="F1665">
        <v>70193000</v>
      </c>
      <c r="G1665" t="s">
        <v>23</v>
      </c>
      <c r="H1665" t="s">
        <v>81</v>
      </c>
      <c r="I1665" t="s">
        <v>9</v>
      </c>
      <c r="L1665" t="s">
        <v>161</v>
      </c>
      <c r="M1665">
        <v>70193000</v>
      </c>
    </row>
    <row r="1666" spans="1:13" x14ac:dyDescent="0.3">
      <c r="A1666" s="23">
        <v>45019</v>
      </c>
      <c r="B1666" t="s">
        <v>12</v>
      </c>
      <c r="C1666" t="s">
        <v>132</v>
      </c>
      <c r="D1666" t="s">
        <v>17</v>
      </c>
      <c r="E1666" t="s">
        <v>43</v>
      </c>
      <c r="F1666">
        <v>100000000</v>
      </c>
      <c r="G1666" t="s">
        <v>23</v>
      </c>
      <c r="H1666" t="s">
        <v>81</v>
      </c>
      <c r="I1666" t="s">
        <v>9</v>
      </c>
      <c r="L1666" t="s">
        <v>161</v>
      </c>
      <c r="M1666">
        <v>-100000000</v>
      </c>
    </row>
    <row r="1667" spans="1:13" x14ac:dyDescent="0.3">
      <c r="A1667" s="23">
        <v>45503</v>
      </c>
      <c r="B1667" t="s">
        <v>12</v>
      </c>
      <c r="C1667" t="s">
        <v>132</v>
      </c>
      <c r="D1667" t="s">
        <v>16</v>
      </c>
      <c r="E1667" t="s">
        <v>43</v>
      </c>
      <c r="F1667">
        <v>668500000</v>
      </c>
      <c r="G1667" t="s">
        <v>23</v>
      </c>
      <c r="H1667" t="s">
        <v>81</v>
      </c>
      <c r="I1667" t="s">
        <v>9</v>
      </c>
      <c r="L1667" t="s">
        <v>161</v>
      </c>
      <c r="M1667">
        <v>668500000</v>
      </c>
    </row>
    <row r="1668" spans="1:13" x14ac:dyDescent="0.3">
      <c r="A1668" s="23">
        <v>45020</v>
      </c>
      <c r="B1668" t="s">
        <v>12</v>
      </c>
      <c r="C1668" t="s">
        <v>132</v>
      </c>
      <c r="D1668" t="s">
        <v>17</v>
      </c>
      <c r="E1668" t="s">
        <v>43</v>
      </c>
      <c r="F1668">
        <v>100000000</v>
      </c>
      <c r="G1668" t="s">
        <v>23</v>
      </c>
      <c r="H1668" t="s">
        <v>81</v>
      </c>
      <c r="I1668" t="s">
        <v>9</v>
      </c>
      <c r="L1668" t="s">
        <v>161</v>
      </c>
      <c r="M1668">
        <v>-100000000</v>
      </c>
    </row>
    <row r="1669" spans="1:13" x14ac:dyDescent="0.3">
      <c r="A1669" s="23">
        <v>45499</v>
      </c>
      <c r="B1669" t="s">
        <v>12</v>
      </c>
      <c r="C1669" t="s">
        <v>132</v>
      </c>
      <c r="D1669" t="s">
        <v>17</v>
      </c>
      <c r="E1669" t="s">
        <v>43</v>
      </c>
      <c r="F1669">
        <v>154500000</v>
      </c>
      <c r="G1669" t="s">
        <v>23</v>
      </c>
      <c r="H1669" t="s">
        <v>81</v>
      </c>
      <c r="I1669" t="s">
        <v>9</v>
      </c>
      <c r="L1669" t="s">
        <v>161</v>
      </c>
      <c r="M1669">
        <v>-154500000</v>
      </c>
    </row>
    <row r="1670" spans="1:13" x14ac:dyDescent="0.3">
      <c r="A1670" s="23">
        <v>45498</v>
      </c>
      <c r="B1670" t="s">
        <v>12</v>
      </c>
      <c r="C1670" t="s">
        <v>132</v>
      </c>
      <c r="D1670" t="s">
        <v>17</v>
      </c>
      <c r="E1670" t="s">
        <v>43</v>
      </c>
      <c r="F1670">
        <v>409300000</v>
      </c>
      <c r="G1670" t="s">
        <v>23</v>
      </c>
      <c r="H1670" t="s">
        <v>81</v>
      </c>
      <c r="I1670" t="s">
        <v>9</v>
      </c>
      <c r="L1670" t="s">
        <v>161</v>
      </c>
      <c r="M1670">
        <v>-409300000</v>
      </c>
    </row>
    <row r="1671" spans="1:13" x14ac:dyDescent="0.3">
      <c r="A1671" s="23">
        <v>45496</v>
      </c>
      <c r="B1671" t="s">
        <v>12</v>
      </c>
      <c r="C1671" t="s">
        <v>132</v>
      </c>
      <c r="D1671" t="s">
        <v>17</v>
      </c>
      <c r="E1671" t="s">
        <v>43</v>
      </c>
      <c r="F1671">
        <v>110400000</v>
      </c>
      <c r="G1671" t="s">
        <v>23</v>
      </c>
      <c r="H1671" t="s">
        <v>81</v>
      </c>
      <c r="I1671" t="s">
        <v>9</v>
      </c>
      <c r="L1671" t="s">
        <v>161</v>
      </c>
      <c r="M1671">
        <v>-110400000</v>
      </c>
    </row>
    <row r="1672" spans="1:13" x14ac:dyDescent="0.3">
      <c r="A1672" s="23">
        <v>45028</v>
      </c>
      <c r="B1672" t="s">
        <v>12</v>
      </c>
      <c r="C1672" t="s">
        <v>132</v>
      </c>
      <c r="D1672" t="s">
        <v>16</v>
      </c>
      <c r="E1672" t="s">
        <v>43</v>
      </c>
      <c r="F1672">
        <v>657400000</v>
      </c>
      <c r="G1672" t="s">
        <v>23</v>
      </c>
      <c r="H1672" t="s">
        <v>81</v>
      </c>
      <c r="I1672" t="s">
        <v>9</v>
      </c>
      <c r="L1672" t="s">
        <v>161</v>
      </c>
      <c r="M1672">
        <v>657400000</v>
      </c>
    </row>
    <row r="1673" spans="1:13" x14ac:dyDescent="0.3">
      <c r="A1673" s="23">
        <v>45495</v>
      </c>
      <c r="B1673" t="s">
        <v>12</v>
      </c>
      <c r="C1673" t="s">
        <v>132</v>
      </c>
      <c r="D1673" t="s">
        <v>17</v>
      </c>
      <c r="E1673" t="s">
        <v>43</v>
      </c>
      <c r="F1673">
        <v>757500000</v>
      </c>
      <c r="G1673" t="s">
        <v>23</v>
      </c>
      <c r="H1673" t="s">
        <v>81</v>
      </c>
      <c r="I1673" t="s">
        <v>9</v>
      </c>
      <c r="L1673" t="s">
        <v>161</v>
      </c>
      <c r="M1673">
        <v>-757500000</v>
      </c>
    </row>
    <row r="1674" spans="1:13" x14ac:dyDescent="0.3">
      <c r="A1674" s="23">
        <v>45029</v>
      </c>
      <c r="B1674" t="s">
        <v>12</v>
      </c>
      <c r="C1674" t="s">
        <v>132</v>
      </c>
      <c r="D1674" t="s">
        <v>17</v>
      </c>
      <c r="E1674" t="s">
        <v>43</v>
      </c>
      <c r="F1674">
        <v>667600000</v>
      </c>
      <c r="G1674" t="s">
        <v>23</v>
      </c>
      <c r="H1674" t="s">
        <v>81</v>
      </c>
      <c r="I1674" t="s">
        <v>9</v>
      </c>
      <c r="L1674" t="s">
        <v>161</v>
      </c>
      <c r="M1674">
        <v>-667600000</v>
      </c>
    </row>
    <row r="1675" spans="1:13" x14ac:dyDescent="0.3">
      <c r="A1675" s="23">
        <v>45492</v>
      </c>
      <c r="B1675" t="s">
        <v>12</v>
      </c>
      <c r="C1675" t="s">
        <v>132</v>
      </c>
      <c r="D1675" t="s">
        <v>17</v>
      </c>
      <c r="E1675" t="s">
        <v>43</v>
      </c>
      <c r="F1675">
        <v>390200000</v>
      </c>
      <c r="G1675" t="s">
        <v>23</v>
      </c>
      <c r="H1675" t="s">
        <v>81</v>
      </c>
      <c r="I1675" t="s">
        <v>9</v>
      </c>
      <c r="L1675" t="s">
        <v>161</v>
      </c>
      <c r="M1675">
        <v>-390200000</v>
      </c>
    </row>
    <row r="1676" spans="1:13" x14ac:dyDescent="0.3">
      <c r="A1676" s="23">
        <v>45029</v>
      </c>
      <c r="B1676" t="s">
        <v>12</v>
      </c>
      <c r="C1676" t="s">
        <v>132</v>
      </c>
      <c r="D1676" t="s">
        <v>17</v>
      </c>
      <c r="E1676" t="s">
        <v>43</v>
      </c>
      <c r="F1676">
        <v>41796522.960000038</v>
      </c>
      <c r="G1676" t="s">
        <v>23</v>
      </c>
      <c r="H1676" t="s">
        <v>81</v>
      </c>
      <c r="I1676" t="s">
        <v>9</v>
      </c>
      <c r="L1676" t="s">
        <v>161</v>
      </c>
      <c r="M1676">
        <v>-41796522.960000001</v>
      </c>
    </row>
    <row r="1677" spans="1:13" x14ac:dyDescent="0.3">
      <c r="A1677" s="23">
        <v>45491</v>
      </c>
      <c r="B1677" t="s">
        <v>12</v>
      </c>
      <c r="C1677" t="s">
        <v>132</v>
      </c>
      <c r="D1677" t="s">
        <v>17</v>
      </c>
      <c r="E1677" t="s">
        <v>43</v>
      </c>
      <c r="F1677">
        <v>679900000</v>
      </c>
      <c r="G1677" t="s">
        <v>23</v>
      </c>
      <c r="H1677" t="s">
        <v>81</v>
      </c>
      <c r="I1677" t="s">
        <v>9</v>
      </c>
      <c r="L1677" t="s">
        <v>161</v>
      </c>
      <c r="M1677">
        <v>-679900000</v>
      </c>
    </row>
    <row r="1678" spans="1:13" x14ac:dyDescent="0.3">
      <c r="A1678" s="23">
        <v>45030</v>
      </c>
      <c r="B1678" t="s">
        <v>12</v>
      </c>
      <c r="C1678" t="s">
        <v>132</v>
      </c>
      <c r="D1678" t="s">
        <v>16</v>
      </c>
      <c r="E1678" t="s">
        <v>43</v>
      </c>
      <c r="F1678">
        <v>452000000</v>
      </c>
      <c r="G1678" t="s">
        <v>23</v>
      </c>
      <c r="H1678" t="s">
        <v>81</v>
      </c>
      <c r="I1678" t="s">
        <v>9</v>
      </c>
      <c r="L1678" t="s">
        <v>161</v>
      </c>
      <c r="M1678">
        <v>452000000</v>
      </c>
    </row>
    <row r="1679" spans="1:13" x14ac:dyDescent="0.3">
      <c r="A1679" s="23">
        <v>45033</v>
      </c>
      <c r="B1679" t="s">
        <v>12</v>
      </c>
      <c r="C1679" t="s">
        <v>132</v>
      </c>
      <c r="D1679" t="s">
        <v>17</v>
      </c>
      <c r="E1679" t="s">
        <v>43</v>
      </c>
      <c r="F1679">
        <v>36500000</v>
      </c>
      <c r="G1679" t="s">
        <v>23</v>
      </c>
      <c r="H1679" t="s">
        <v>81</v>
      </c>
      <c r="I1679" t="s">
        <v>9</v>
      </c>
      <c r="L1679" t="s">
        <v>161</v>
      </c>
      <c r="M1679">
        <v>-36500000</v>
      </c>
    </row>
    <row r="1680" spans="1:13" x14ac:dyDescent="0.3">
      <c r="A1680" s="23">
        <v>45490</v>
      </c>
      <c r="B1680" t="s">
        <v>12</v>
      </c>
      <c r="C1680" t="s">
        <v>132</v>
      </c>
      <c r="D1680" t="s">
        <v>16</v>
      </c>
      <c r="E1680" t="s">
        <v>43</v>
      </c>
      <c r="F1680">
        <v>2213400000</v>
      </c>
      <c r="G1680" t="s">
        <v>23</v>
      </c>
      <c r="H1680" t="s">
        <v>81</v>
      </c>
      <c r="I1680" t="s">
        <v>9</v>
      </c>
      <c r="L1680" t="s">
        <v>161</v>
      </c>
      <c r="M1680">
        <v>2213400000</v>
      </c>
    </row>
    <row r="1681" spans="1:13" x14ac:dyDescent="0.3">
      <c r="A1681" s="23">
        <v>45034</v>
      </c>
      <c r="B1681" t="s">
        <v>12</v>
      </c>
      <c r="C1681" t="s">
        <v>132</v>
      </c>
      <c r="D1681" t="s">
        <v>17</v>
      </c>
      <c r="E1681" t="s">
        <v>43</v>
      </c>
      <c r="F1681">
        <v>23000000</v>
      </c>
      <c r="G1681" t="s">
        <v>23</v>
      </c>
      <c r="H1681" t="s">
        <v>81</v>
      </c>
      <c r="I1681" t="s">
        <v>9</v>
      </c>
      <c r="L1681" t="s">
        <v>161</v>
      </c>
      <c r="M1681">
        <v>-23000000</v>
      </c>
    </row>
    <row r="1682" spans="1:13" x14ac:dyDescent="0.3">
      <c r="A1682" s="23">
        <v>45035</v>
      </c>
      <c r="B1682" t="s">
        <v>12</v>
      </c>
      <c r="C1682" t="s">
        <v>132</v>
      </c>
      <c r="D1682" t="s">
        <v>17</v>
      </c>
      <c r="E1682" t="s">
        <v>43</v>
      </c>
      <c r="F1682">
        <v>16600000</v>
      </c>
      <c r="G1682" t="s">
        <v>23</v>
      </c>
      <c r="H1682" t="s">
        <v>81</v>
      </c>
      <c r="I1682" t="s">
        <v>9</v>
      </c>
      <c r="L1682" t="s">
        <v>161</v>
      </c>
      <c r="M1682">
        <v>-16600000</v>
      </c>
    </row>
    <row r="1683" spans="1:13" x14ac:dyDescent="0.3">
      <c r="A1683" s="23">
        <v>45037</v>
      </c>
      <c r="B1683" t="s">
        <v>12</v>
      </c>
      <c r="C1683" t="s">
        <v>132</v>
      </c>
      <c r="D1683" t="s">
        <v>17</v>
      </c>
      <c r="E1683" t="s">
        <v>43</v>
      </c>
      <c r="F1683">
        <v>68700000</v>
      </c>
      <c r="G1683" t="s">
        <v>23</v>
      </c>
      <c r="H1683" t="s">
        <v>81</v>
      </c>
      <c r="I1683" t="s">
        <v>9</v>
      </c>
      <c r="L1683" t="s">
        <v>161</v>
      </c>
      <c r="M1683">
        <v>-68700000</v>
      </c>
    </row>
    <row r="1684" spans="1:13" x14ac:dyDescent="0.3">
      <c r="A1684" s="23">
        <v>45485</v>
      </c>
      <c r="B1684" t="s">
        <v>12</v>
      </c>
      <c r="C1684" t="s">
        <v>132</v>
      </c>
      <c r="D1684" t="s">
        <v>17</v>
      </c>
      <c r="E1684" t="s">
        <v>43</v>
      </c>
      <c r="F1684">
        <v>200000000</v>
      </c>
      <c r="G1684" t="s">
        <v>23</v>
      </c>
      <c r="H1684" t="s">
        <v>81</v>
      </c>
      <c r="I1684" t="s">
        <v>9</v>
      </c>
      <c r="L1684" t="s">
        <v>161</v>
      </c>
      <c r="M1684">
        <v>-200000000</v>
      </c>
    </row>
    <row r="1685" spans="1:13" x14ac:dyDescent="0.3">
      <c r="A1685" s="23">
        <v>45484</v>
      </c>
      <c r="B1685" t="s">
        <v>12</v>
      </c>
      <c r="C1685" t="s">
        <v>132</v>
      </c>
      <c r="D1685" t="s">
        <v>17</v>
      </c>
      <c r="E1685" t="s">
        <v>43</v>
      </c>
      <c r="F1685">
        <v>130100000</v>
      </c>
      <c r="G1685" t="s">
        <v>23</v>
      </c>
      <c r="H1685" t="s">
        <v>81</v>
      </c>
      <c r="I1685" t="s">
        <v>9</v>
      </c>
      <c r="L1685" t="s">
        <v>161</v>
      </c>
      <c r="M1685">
        <v>-130100000</v>
      </c>
    </row>
    <row r="1686" spans="1:13" x14ac:dyDescent="0.3">
      <c r="A1686" s="23">
        <v>45481</v>
      </c>
      <c r="B1686" t="s">
        <v>12</v>
      </c>
      <c r="C1686" t="s">
        <v>132</v>
      </c>
      <c r="D1686" t="s">
        <v>17</v>
      </c>
      <c r="E1686" t="s">
        <v>43</v>
      </c>
      <c r="F1686">
        <v>1012000000</v>
      </c>
      <c r="G1686" t="s">
        <v>23</v>
      </c>
      <c r="H1686" t="s">
        <v>81</v>
      </c>
      <c r="I1686" t="s">
        <v>9</v>
      </c>
      <c r="L1686" t="s">
        <v>161</v>
      </c>
      <c r="M1686">
        <v>-1012000000</v>
      </c>
    </row>
    <row r="1687" spans="1:13" x14ac:dyDescent="0.3">
      <c r="A1687" s="23">
        <v>45478</v>
      </c>
      <c r="B1687" t="s">
        <v>12</v>
      </c>
      <c r="C1687" t="s">
        <v>132</v>
      </c>
      <c r="D1687" t="s">
        <v>17</v>
      </c>
      <c r="E1687" t="s">
        <v>43</v>
      </c>
      <c r="F1687">
        <v>8000000</v>
      </c>
      <c r="G1687" t="s">
        <v>23</v>
      </c>
      <c r="H1687" t="s">
        <v>81</v>
      </c>
      <c r="I1687" t="s">
        <v>9</v>
      </c>
      <c r="L1687" t="s">
        <v>161</v>
      </c>
      <c r="M1687">
        <v>-8000000</v>
      </c>
    </row>
    <row r="1688" spans="1:13" x14ac:dyDescent="0.3">
      <c r="A1688" s="23">
        <v>45474</v>
      </c>
      <c r="B1688" t="s">
        <v>12</v>
      </c>
      <c r="C1688" t="s">
        <v>132</v>
      </c>
      <c r="D1688" t="s">
        <v>17</v>
      </c>
      <c r="E1688" t="s">
        <v>43</v>
      </c>
      <c r="F1688">
        <v>630700000</v>
      </c>
      <c r="G1688" t="s">
        <v>23</v>
      </c>
      <c r="H1688" t="s">
        <v>81</v>
      </c>
      <c r="I1688" t="s">
        <v>9</v>
      </c>
      <c r="L1688" t="s">
        <v>161</v>
      </c>
      <c r="M1688">
        <v>-630700000</v>
      </c>
    </row>
    <row r="1689" spans="1:13" x14ac:dyDescent="0.3">
      <c r="A1689" s="23">
        <v>45470</v>
      </c>
      <c r="B1689" t="s">
        <v>12</v>
      </c>
      <c r="C1689" t="s">
        <v>132</v>
      </c>
      <c r="D1689" t="s">
        <v>17</v>
      </c>
      <c r="E1689" t="s">
        <v>43</v>
      </c>
      <c r="F1689">
        <v>86000000</v>
      </c>
      <c r="G1689" t="s">
        <v>23</v>
      </c>
      <c r="H1689" t="s">
        <v>81</v>
      </c>
      <c r="I1689" t="s">
        <v>9</v>
      </c>
      <c r="L1689" t="s">
        <v>161</v>
      </c>
      <c r="M1689">
        <v>-86000000</v>
      </c>
    </row>
    <row r="1690" spans="1:13" x14ac:dyDescent="0.3">
      <c r="A1690" s="23">
        <v>45050</v>
      </c>
      <c r="B1690" t="s">
        <v>12</v>
      </c>
      <c r="C1690" t="s">
        <v>132</v>
      </c>
      <c r="D1690" t="s">
        <v>17</v>
      </c>
      <c r="E1690" t="s">
        <v>43</v>
      </c>
      <c r="F1690">
        <v>68800000</v>
      </c>
      <c r="G1690" t="s">
        <v>23</v>
      </c>
      <c r="H1690" t="s">
        <v>81</v>
      </c>
      <c r="I1690" t="s">
        <v>9</v>
      </c>
      <c r="L1690" t="s">
        <v>161</v>
      </c>
      <c r="M1690">
        <v>-68800000</v>
      </c>
    </row>
    <row r="1691" spans="1:13" x14ac:dyDescent="0.3">
      <c r="A1691" s="23">
        <v>45055</v>
      </c>
      <c r="B1691" t="s">
        <v>12</v>
      </c>
      <c r="C1691" t="s">
        <v>132</v>
      </c>
      <c r="D1691" t="s">
        <v>17</v>
      </c>
      <c r="E1691" t="s">
        <v>43</v>
      </c>
      <c r="F1691">
        <v>132600000</v>
      </c>
      <c r="G1691" t="s">
        <v>23</v>
      </c>
      <c r="H1691" t="s">
        <v>81</v>
      </c>
      <c r="I1691" t="s">
        <v>9</v>
      </c>
      <c r="L1691" t="s">
        <v>161</v>
      </c>
      <c r="M1691">
        <v>-132600000</v>
      </c>
    </row>
    <row r="1692" spans="1:13" x14ac:dyDescent="0.3">
      <c r="A1692" s="23">
        <v>45055</v>
      </c>
      <c r="B1692" t="s">
        <v>12</v>
      </c>
      <c r="C1692" t="s">
        <v>132</v>
      </c>
      <c r="D1692" t="s">
        <v>16</v>
      </c>
      <c r="E1692" t="s">
        <v>43</v>
      </c>
      <c r="F1692">
        <v>34259926.990000002</v>
      </c>
      <c r="G1692" t="s">
        <v>23</v>
      </c>
      <c r="H1692" t="s">
        <v>81</v>
      </c>
      <c r="I1692" t="s">
        <v>9</v>
      </c>
      <c r="L1692" t="s">
        <v>161</v>
      </c>
      <c r="M1692">
        <v>34259926.990000002</v>
      </c>
    </row>
    <row r="1693" spans="1:13" x14ac:dyDescent="0.3">
      <c r="A1693" s="23">
        <v>45467</v>
      </c>
      <c r="B1693" t="s">
        <v>12</v>
      </c>
      <c r="C1693" t="s">
        <v>132</v>
      </c>
      <c r="D1693" t="s">
        <v>17</v>
      </c>
      <c r="E1693" t="s">
        <v>43</v>
      </c>
      <c r="F1693">
        <v>130000000</v>
      </c>
      <c r="G1693" t="s">
        <v>23</v>
      </c>
      <c r="H1693" t="s">
        <v>81</v>
      </c>
      <c r="I1693" t="s">
        <v>9</v>
      </c>
      <c r="L1693" t="s">
        <v>161</v>
      </c>
      <c r="M1693">
        <v>-130000000</v>
      </c>
    </row>
    <row r="1694" spans="1:13" x14ac:dyDescent="0.3">
      <c r="A1694" s="23">
        <v>45462</v>
      </c>
      <c r="B1694" t="s">
        <v>12</v>
      </c>
      <c r="C1694" t="s">
        <v>132</v>
      </c>
      <c r="D1694" t="s">
        <v>17</v>
      </c>
      <c r="E1694" t="s">
        <v>43</v>
      </c>
      <c r="F1694">
        <v>688500000</v>
      </c>
      <c r="G1694" t="s">
        <v>23</v>
      </c>
      <c r="H1694" t="s">
        <v>81</v>
      </c>
      <c r="I1694" t="s">
        <v>9</v>
      </c>
      <c r="L1694" t="s">
        <v>161</v>
      </c>
      <c r="M1694">
        <v>-688500000</v>
      </c>
    </row>
    <row r="1695" spans="1:13" x14ac:dyDescent="0.3">
      <c r="A1695" s="23">
        <v>45461</v>
      </c>
      <c r="B1695" t="s">
        <v>12</v>
      </c>
      <c r="C1695" t="s">
        <v>132</v>
      </c>
      <c r="D1695" t="s">
        <v>17</v>
      </c>
      <c r="E1695" t="s">
        <v>43</v>
      </c>
      <c r="F1695">
        <v>308200000</v>
      </c>
      <c r="G1695" t="s">
        <v>23</v>
      </c>
      <c r="H1695" t="s">
        <v>81</v>
      </c>
      <c r="I1695" t="s">
        <v>9</v>
      </c>
      <c r="L1695" t="s">
        <v>161</v>
      </c>
      <c r="M1695">
        <v>-308200000</v>
      </c>
    </row>
    <row r="1696" spans="1:13" x14ac:dyDescent="0.3">
      <c r="A1696" s="23">
        <v>45057</v>
      </c>
      <c r="B1696" t="s">
        <v>12</v>
      </c>
      <c r="C1696" t="s">
        <v>132</v>
      </c>
      <c r="D1696" t="s">
        <v>17</v>
      </c>
      <c r="E1696" t="s">
        <v>43</v>
      </c>
      <c r="F1696">
        <v>31500000</v>
      </c>
      <c r="G1696" t="s">
        <v>23</v>
      </c>
      <c r="H1696" t="s">
        <v>81</v>
      </c>
      <c r="I1696" t="s">
        <v>9</v>
      </c>
      <c r="L1696" t="s">
        <v>161</v>
      </c>
      <c r="M1696">
        <v>-31500000</v>
      </c>
    </row>
    <row r="1697" spans="1:13" x14ac:dyDescent="0.3">
      <c r="A1697" s="23">
        <v>45460</v>
      </c>
      <c r="B1697" t="s">
        <v>12</v>
      </c>
      <c r="C1697" t="s">
        <v>132</v>
      </c>
      <c r="D1697" t="s">
        <v>16</v>
      </c>
      <c r="E1697" t="s">
        <v>43</v>
      </c>
      <c r="F1697">
        <v>53750000</v>
      </c>
      <c r="G1697" t="s">
        <v>23</v>
      </c>
      <c r="H1697" t="s">
        <v>81</v>
      </c>
      <c r="I1697" t="s">
        <v>9</v>
      </c>
      <c r="L1697" t="s">
        <v>161</v>
      </c>
      <c r="M1697">
        <v>53750000</v>
      </c>
    </row>
    <row r="1698" spans="1:13" x14ac:dyDescent="0.3">
      <c r="A1698" s="23">
        <v>45457</v>
      </c>
      <c r="B1698" t="s">
        <v>12</v>
      </c>
      <c r="C1698" t="s">
        <v>132</v>
      </c>
      <c r="D1698" t="s">
        <v>17</v>
      </c>
      <c r="E1698" t="s">
        <v>43</v>
      </c>
      <c r="F1698">
        <v>902500000</v>
      </c>
      <c r="G1698" t="s">
        <v>23</v>
      </c>
      <c r="H1698" t="s">
        <v>81</v>
      </c>
      <c r="I1698" t="s">
        <v>9</v>
      </c>
      <c r="L1698" t="s">
        <v>161</v>
      </c>
      <c r="M1698">
        <v>-902500000</v>
      </c>
    </row>
    <row r="1699" spans="1:13" x14ac:dyDescent="0.3">
      <c r="A1699" s="23">
        <v>45064</v>
      </c>
      <c r="B1699" t="s">
        <v>12</v>
      </c>
      <c r="C1699" t="s">
        <v>132</v>
      </c>
      <c r="D1699" t="s">
        <v>17</v>
      </c>
      <c r="E1699" t="s">
        <v>43</v>
      </c>
      <c r="F1699">
        <v>91500000</v>
      </c>
      <c r="G1699" t="s">
        <v>23</v>
      </c>
      <c r="H1699" t="s">
        <v>81</v>
      </c>
      <c r="I1699" t="s">
        <v>9</v>
      </c>
      <c r="L1699" t="s">
        <v>161</v>
      </c>
      <c r="M1699">
        <v>-91500000</v>
      </c>
    </row>
    <row r="1700" spans="1:13" x14ac:dyDescent="0.3">
      <c r="A1700" s="23">
        <v>45065</v>
      </c>
      <c r="B1700" t="s">
        <v>12</v>
      </c>
      <c r="C1700" t="s">
        <v>132</v>
      </c>
      <c r="D1700" t="s">
        <v>17</v>
      </c>
      <c r="E1700" t="s">
        <v>43</v>
      </c>
      <c r="F1700">
        <v>17059926.989999998</v>
      </c>
      <c r="G1700" t="s">
        <v>23</v>
      </c>
      <c r="H1700" t="s">
        <v>81</v>
      </c>
      <c r="I1700" t="s">
        <v>9</v>
      </c>
      <c r="L1700" t="s">
        <v>161</v>
      </c>
      <c r="M1700">
        <v>-17059926.989999998</v>
      </c>
    </row>
    <row r="1701" spans="1:13" x14ac:dyDescent="0.3">
      <c r="A1701" s="23">
        <v>45454</v>
      </c>
      <c r="B1701" t="s">
        <v>12</v>
      </c>
      <c r="C1701" t="s">
        <v>132</v>
      </c>
      <c r="D1701" t="s">
        <v>17</v>
      </c>
      <c r="E1701" t="s">
        <v>43</v>
      </c>
      <c r="F1701">
        <v>112200000</v>
      </c>
      <c r="G1701" t="s">
        <v>23</v>
      </c>
      <c r="H1701" t="s">
        <v>81</v>
      </c>
      <c r="I1701" t="s">
        <v>9</v>
      </c>
      <c r="L1701" t="s">
        <v>161</v>
      </c>
      <c r="M1701">
        <v>-112200000</v>
      </c>
    </row>
    <row r="1702" spans="1:13" x14ac:dyDescent="0.3">
      <c r="A1702" s="23">
        <v>45453</v>
      </c>
      <c r="B1702" t="s">
        <v>12</v>
      </c>
      <c r="C1702" t="s">
        <v>132</v>
      </c>
      <c r="D1702" t="s">
        <v>16</v>
      </c>
      <c r="E1702" t="s">
        <v>43</v>
      </c>
      <c r="F1702">
        <v>2077300000</v>
      </c>
      <c r="G1702" t="s">
        <v>23</v>
      </c>
      <c r="H1702" t="s">
        <v>81</v>
      </c>
      <c r="I1702" t="s">
        <v>9</v>
      </c>
      <c r="L1702" t="s">
        <v>161</v>
      </c>
      <c r="M1702">
        <v>2077300000</v>
      </c>
    </row>
    <row r="1703" spans="1:13" x14ac:dyDescent="0.3">
      <c r="A1703" s="23">
        <v>45450</v>
      </c>
      <c r="B1703" t="s">
        <v>12</v>
      </c>
      <c r="C1703" t="s">
        <v>132</v>
      </c>
      <c r="D1703" t="s">
        <v>17</v>
      </c>
      <c r="E1703" t="s">
        <v>43</v>
      </c>
      <c r="F1703">
        <v>206600000</v>
      </c>
      <c r="G1703" t="s">
        <v>23</v>
      </c>
      <c r="H1703" t="s">
        <v>81</v>
      </c>
      <c r="I1703" t="s">
        <v>9</v>
      </c>
      <c r="L1703" t="s">
        <v>161</v>
      </c>
      <c r="M1703">
        <v>-206600000</v>
      </c>
    </row>
    <row r="1704" spans="1:13" x14ac:dyDescent="0.3">
      <c r="A1704" s="23">
        <v>45449</v>
      </c>
      <c r="B1704" t="s">
        <v>12</v>
      </c>
      <c r="C1704" t="s">
        <v>132</v>
      </c>
      <c r="D1704" t="s">
        <v>17</v>
      </c>
      <c r="E1704" t="s">
        <v>43</v>
      </c>
      <c r="F1704">
        <v>327700000</v>
      </c>
      <c r="G1704" t="s">
        <v>23</v>
      </c>
      <c r="H1704" t="s">
        <v>81</v>
      </c>
      <c r="I1704" t="s">
        <v>9</v>
      </c>
      <c r="L1704" t="s">
        <v>161</v>
      </c>
      <c r="M1704">
        <v>-327700000</v>
      </c>
    </row>
    <row r="1705" spans="1:13" x14ac:dyDescent="0.3">
      <c r="A1705" s="23">
        <v>45448</v>
      </c>
      <c r="B1705" t="s">
        <v>12</v>
      </c>
      <c r="C1705" t="s">
        <v>132</v>
      </c>
      <c r="D1705" t="s">
        <v>17</v>
      </c>
      <c r="E1705" t="s">
        <v>43</v>
      </c>
      <c r="F1705">
        <v>670000000</v>
      </c>
      <c r="G1705" t="s">
        <v>23</v>
      </c>
      <c r="H1705" t="s">
        <v>81</v>
      </c>
      <c r="I1705" t="s">
        <v>9</v>
      </c>
      <c r="L1705" t="s">
        <v>161</v>
      </c>
      <c r="M1705">
        <v>-670000000</v>
      </c>
    </row>
    <row r="1706" spans="1:13" x14ac:dyDescent="0.3">
      <c r="A1706" s="23">
        <v>45447</v>
      </c>
      <c r="B1706" t="s">
        <v>12</v>
      </c>
      <c r="C1706" t="s">
        <v>132</v>
      </c>
      <c r="D1706" t="s">
        <v>17</v>
      </c>
      <c r="E1706" t="s">
        <v>43</v>
      </c>
      <c r="F1706">
        <v>4500000</v>
      </c>
      <c r="G1706" t="s">
        <v>23</v>
      </c>
      <c r="H1706" t="s">
        <v>81</v>
      </c>
      <c r="I1706" t="s">
        <v>9</v>
      </c>
      <c r="L1706" t="s">
        <v>161</v>
      </c>
      <c r="M1706">
        <v>-4500000</v>
      </c>
    </row>
    <row r="1707" spans="1:13" x14ac:dyDescent="0.3">
      <c r="A1707" s="23">
        <v>45447</v>
      </c>
      <c r="B1707" t="s">
        <v>12</v>
      </c>
      <c r="C1707" t="s">
        <v>132</v>
      </c>
      <c r="D1707" t="s">
        <v>16</v>
      </c>
      <c r="E1707" t="s">
        <v>43</v>
      </c>
      <c r="F1707">
        <v>716900000</v>
      </c>
      <c r="G1707" t="s">
        <v>23</v>
      </c>
      <c r="H1707" t="s">
        <v>81</v>
      </c>
      <c r="I1707" t="s">
        <v>9</v>
      </c>
      <c r="L1707" t="s">
        <v>161</v>
      </c>
      <c r="M1707">
        <v>716900000</v>
      </c>
    </row>
    <row r="1708" spans="1:13" x14ac:dyDescent="0.3">
      <c r="A1708" s="23">
        <v>45446</v>
      </c>
      <c r="B1708" t="s">
        <v>12</v>
      </c>
      <c r="C1708" t="s">
        <v>132</v>
      </c>
      <c r="D1708" t="s">
        <v>16</v>
      </c>
      <c r="E1708" t="s">
        <v>43</v>
      </c>
      <c r="F1708">
        <v>2522500000</v>
      </c>
      <c r="G1708" t="s">
        <v>23</v>
      </c>
      <c r="H1708" t="s">
        <v>81</v>
      </c>
      <c r="I1708" t="s">
        <v>9</v>
      </c>
      <c r="L1708" t="s">
        <v>161</v>
      </c>
      <c r="M1708">
        <v>2522500000</v>
      </c>
    </row>
    <row r="1709" spans="1:13" x14ac:dyDescent="0.3">
      <c r="A1709" s="23">
        <v>45441</v>
      </c>
      <c r="B1709" t="s">
        <v>12</v>
      </c>
      <c r="C1709" t="s">
        <v>132</v>
      </c>
      <c r="D1709" t="s">
        <v>17</v>
      </c>
      <c r="E1709" t="s">
        <v>43</v>
      </c>
      <c r="F1709">
        <v>119100000</v>
      </c>
      <c r="G1709" t="s">
        <v>23</v>
      </c>
      <c r="H1709" t="s">
        <v>81</v>
      </c>
      <c r="I1709" t="s">
        <v>9</v>
      </c>
      <c r="L1709" t="s">
        <v>161</v>
      </c>
      <c r="M1709">
        <v>-119100000</v>
      </c>
    </row>
    <row r="1710" spans="1:13" x14ac:dyDescent="0.3">
      <c r="A1710" s="23">
        <v>45440</v>
      </c>
      <c r="B1710" t="s">
        <v>12</v>
      </c>
      <c r="C1710" t="s">
        <v>132</v>
      </c>
      <c r="D1710" t="s">
        <v>17</v>
      </c>
      <c r="E1710" t="s">
        <v>43</v>
      </c>
      <c r="F1710">
        <v>97300000</v>
      </c>
      <c r="G1710" t="s">
        <v>23</v>
      </c>
      <c r="H1710" t="s">
        <v>81</v>
      </c>
      <c r="I1710" t="s">
        <v>9</v>
      </c>
      <c r="L1710" t="s">
        <v>161</v>
      </c>
      <c r="M1710">
        <v>-97300000</v>
      </c>
    </row>
    <row r="1711" spans="1:13" x14ac:dyDescent="0.3">
      <c r="A1711" s="23">
        <v>45439</v>
      </c>
      <c r="B1711" t="s">
        <v>12</v>
      </c>
      <c r="C1711" t="s">
        <v>132</v>
      </c>
      <c r="D1711" t="s">
        <v>17</v>
      </c>
      <c r="E1711" t="s">
        <v>43</v>
      </c>
      <c r="F1711">
        <v>166600000</v>
      </c>
      <c r="G1711" t="s">
        <v>23</v>
      </c>
      <c r="H1711" t="s">
        <v>81</v>
      </c>
      <c r="I1711" t="s">
        <v>9</v>
      </c>
      <c r="L1711" t="s">
        <v>161</v>
      </c>
      <c r="M1711">
        <v>-166600000</v>
      </c>
    </row>
    <row r="1712" spans="1:13" x14ac:dyDescent="0.3">
      <c r="A1712" s="23">
        <v>45436</v>
      </c>
      <c r="B1712" t="s">
        <v>12</v>
      </c>
      <c r="C1712" t="s">
        <v>132</v>
      </c>
      <c r="D1712" t="s">
        <v>16</v>
      </c>
      <c r="E1712" t="s">
        <v>43</v>
      </c>
      <c r="F1712">
        <v>287000000</v>
      </c>
      <c r="G1712" t="s">
        <v>23</v>
      </c>
      <c r="H1712" t="s">
        <v>81</v>
      </c>
      <c r="I1712" t="s">
        <v>9</v>
      </c>
      <c r="L1712" t="s">
        <v>161</v>
      </c>
      <c r="M1712">
        <v>287000000</v>
      </c>
    </row>
    <row r="1713" spans="1:13" x14ac:dyDescent="0.3">
      <c r="A1713" s="23">
        <v>45435</v>
      </c>
      <c r="B1713" t="s">
        <v>12</v>
      </c>
      <c r="C1713" t="s">
        <v>132</v>
      </c>
      <c r="D1713" t="s">
        <v>17</v>
      </c>
      <c r="E1713" t="s">
        <v>43</v>
      </c>
      <c r="F1713">
        <v>110000000</v>
      </c>
      <c r="G1713" t="s">
        <v>23</v>
      </c>
      <c r="H1713" t="s">
        <v>81</v>
      </c>
      <c r="I1713" t="s">
        <v>9</v>
      </c>
      <c r="L1713" t="s">
        <v>161</v>
      </c>
      <c r="M1713">
        <v>-110000000</v>
      </c>
    </row>
    <row r="1714" spans="1:13" x14ac:dyDescent="0.3">
      <c r="A1714" s="23">
        <v>45089</v>
      </c>
      <c r="B1714" t="s">
        <v>12</v>
      </c>
      <c r="C1714" t="s">
        <v>132</v>
      </c>
      <c r="D1714" t="s">
        <v>16</v>
      </c>
      <c r="E1714" t="s">
        <v>43</v>
      </c>
      <c r="F1714">
        <v>200000000</v>
      </c>
      <c r="G1714" t="s">
        <v>23</v>
      </c>
      <c r="H1714" t="s">
        <v>81</v>
      </c>
      <c r="I1714" t="s">
        <v>9</v>
      </c>
      <c r="L1714" t="s">
        <v>161</v>
      </c>
      <c r="M1714">
        <v>200000000</v>
      </c>
    </row>
    <row r="1715" spans="1:13" x14ac:dyDescent="0.3">
      <c r="A1715" s="23">
        <v>45090</v>
      </c>
      <c r="B1715" t="s">
        <v>12</v>
      </c>
      <c r="C1715" t="s">
        <v>132</v>
      </c>
      <c r="D1715" t="s">
        <v>17</v>
      </c>
      <c r="E1715" t="s">
        <v>43</v>
      </c>
      <c r="F1715">
        <v>50000000</v>
      </c>
      <c r="G1715" t="s">
        <v>23</v>
      </c>
      <c r="H1715" t="s">
        <v>81</v>
      </c>
      <c r="I1715" t="s">
        <v>9</v>
      </c>
      <c r="L1715" t="s">
        <v>161</v>
      </c>
      <c r="M1715">
        <v>-50000000</v>
      </c>
    </row>
    <row r="1716" spans="1:13" x14ac:dyDescent="0.3">
      <c r="A1716" s="23">
        <v>45091</v>
      </c>
      <c r="B1716" t="s">
        <v>12</v>
      </c>
      <c r="C1716" t="s">
        <v>132</v>
      </c>
      <c r="D1716" t="s">
        <v>16</v>
      </c>
      <c r="E1716" t="s">
        <v>43</v>
      </c>
      <c r="F1716">
        <v>110317.35</v>
      </c>
      <c r="G1716" t="s">
        <v>23</v>
      </c>
      <c r="H1716" t="s">
        <v>81</v>
      </c>
      <c r="I1716" t="s">
        <v>9</v>
      </c>
      <c r="J1716" t="s">
        <v>155</v>
      </c>
      <c r="L1716" t="s">
        <v>161</v>
      </c>
      <c r="M1716">
        <v>110317.35</v>
      </c>
    </row>
    <row r="1717" spans="1:13" x14ac:dyDescent="0.3">
      <c r="A1717" s="23">
        <v>45099</v>
      </c>
      <c r="B1717" t="s">
        <v>12</v>
      </c>
      <c r="C1717" t="s">
        <v>132</v>
      </c>
      <c r="D1717" t="s">
        <v>17</v>
      </c>
      <c r="E1717" t="s">
        <v>43</v>
      </c>
      <c r="F1717">
        <v>150110317.35000002</v>
      </c>
      <c r="G1717" t="s">
        <v>23</v>
      </c>
      <c r="H1717" t="s">
        <v>81</v>
      </c>
      <c r="I1717" t="s">
        <v>9</v>
      </c>
      <c r="L1717" t="s">
        <v>161</v>
      </c>
      <c r="M1717">
        <v>-150110317.34999999</v>
      </c>
    </row>
    <row r="1718" spans="1:13" x14ac:dyDescent="0.3">
      <c r="A1718" s="23">
        <v>45100</v>
      </c>
      <c r="B1718" t="s">
        <v>12</v>
      </c>
      <c r="C1718" t="s">
        <v>132</v>
      </c>
      <c r="D1718" t="s">
        <v>16</v>
      </c>
      <c r="E1718" t="s">
        <v>43</v>
      </c>
      <c r="F1718">
        <v>175700000</v>
      </c>
      <c r="G1718" t="s">
        <v>23</v>
      </c>
      <c r="H1718" t="s">
        <v>81</v>
      </c>
      <c r="I1718" t="s">
        <v>9</v>
      </c>
      <c r="L1718" t="s">
        <v>161</v>
      </c>
      <c r="M1718">
        <v>175700000</v>
      </c>
    </row>
    <row r="1719" spans="1:13" x14ac:dyDescent="0.3">
      <c r="A1719" s="23">
        <v>45103</v>
      </c>
      <c r="B1719" t="s">
        <v>12</v>
      </c>
      <c r="C1719" t="s">
        <v>132</v>
      </c>
      <c r="D1719" t="s">
        <v>17</v>
      </c>
      <c r="E1719" t="s">
        <v>43</v>
      </c>
      <c r="F1719">
        <v>175700000</v>
      </c>
      <c r="G1719" t="s">
        <v>23</v>
      </c>
      <c r="H1719" t="s">
        <v>81</v>
      </c>
      <c r="I1719" t="s">
        <v>9</v>
      </c>
      <c r="L1719" t="s">
        <v>161</v>
      </c>
      <c r="M1719">
        <v>-175700000</v>
      </c>
    </row>
    <row r="1720" spans="1:13" x14ac:dyDescent="0.3">
      <c r="A1720" s="23">
        <v>45128</v>
      </c>
      <c r="B1720" t="s">
        <v>12</v>
      </c>
      <c r="C1720" t="s">
        <v>132</v>
      </c>
      <c r="D1720" t="s">
        <v>16</v>
      </c>
      <c r="E1720" t="s">
        <v>43</v>
      </c>
      <c r="F1720">
        <v>22400000</v>
      </c>
      <c r="G1720" t="s">
        <v>23</v>
      </c>
      <c r="H1720" t="s">
        <v>81</v>
      </c>
      <c r="I1720" t="s">
        <v>9</v>
      </c>
      <c r="L1720" t="s">
        <v>161</v>
      </c>
      <c r="M1720">
        <v>22400000</v>
      </c>
    </row>
    <row r="1721" spans="1:13" x14ac:dyDescent="0.3">
      <c r="A1721" s="23">
        <v>45425</v>
      </c>
      <c r="B1721" t="s">
        <v>12</v>
      </c>
      <c r="C1721" t="s">
        <v>132</v>
      </c>
      <c r="D1721" t="s">
        <v>16</v>
      </c>
      <c r="E1721" t="s">
        <v>43</v>
      </c>
      <c r="F1721">
        <v>30900000</v>
      </c>
      <c r="G1721" t="s">
        <v>23</v>
      </c>
      <c r="H1721" t="s">
        <v>81</v>
      </c>
      <c r="I1721" t="s">
        <v>9</v>
      </c>
      <c r="L1721" t="s">
        <v>161</v>
      </c>
      <c r="M1721">
        <v>30900000</v>
      </c>
    </row>
    <row r="1722" spans="1:13" x14ac:dyDescent="0.3">
      <c r="A1722" s="23">
        <v>45422</v>
      </c>
      <c r="B1722" t="s">
        <v>12</v>
      </c>
      <c r="C1722" t="s">
        <v>132</v>
      </c>
      <c r="D1722" t="s">
        <v>16</v>
      </c>
      <c r="E1722" t="s">
        <v>43</v>
      </c>
      <c r="F1722">
        <v>14200000</v>
      </c>
      <c r="G1722" t="s">
        <v>23</v>
      </c>
      <c r="H1722" t="s">
        <v>81</v>
      </c>
      <c r="I1722" t="s">
        <v>9</v>
      </c>
      <c r="L1722" t="s">
        <v>161</v>
      </c>
      <c r="M1722">
        <v>14200000</v>
      </c>
    </row>
    <row r="1723" spans="1:13" x14ac:dyDescent="0.3">
      <c r="A1723" s="23">
        <v>45132</v>
      </c>
      <c r="B1723" t="s">
        <v>12</v>
      </c>
      <c r="C1723" t="s">
        <v>132</v>
      </c>
      <c r="D1723" t="s">
        <v>16</v>
      </c>
      <c r="E1723" t="s">
        <v>43</v>
      </c>
      <c r="F1723">
        <v>1249960</v>
      </c>
      <c r="G1723" t="s">
        <v>23</v>
      </c>
      <c r="H1723" t="s">
        <v>81</v>
      </c>
      <c r="I1723" t="s">
        <v>9</v>
      </c>
      <c r="J1723" t="s">
        <v>155</v>
      </c>
      <c r="L1723" t="s">
        <v>161</v>
      </c>
      <c r="M1723">
        <v>1249960</v>
      </c>
    </row>
    <row r="1724" spans="1:13" x14ac:dyDescent="0.3">
      <c r="A1724" s="23">
        <v>45418</v>
      </c>
      <c r="B1724" t="s">
        <v>12</v>
      </c>
      <c r="C1724" t="s">
        <v>132</v>
      </c>
      <c r="D1724" t="s">
        <v>17</v>
      </c>
      <c r="E1724" t="s">
        <v>43</v>
      </c>
      <c r="F1724">
        <v>700000</v>
      </c>
      <c r="G1724" t="s">
        <v>23</v>
      </c>
      <c r="H1724" t="s">
        <v>81</v>
      </c>
      <c r="I1724" t="s">
        <v>9</v>
      </c>
      <c r="L1724" t="s">
        <v>161</v>
      </c>
      <c r="M1724">
        <v>-700000</v>
      </c>
    </row>
    <row r="1725" spans="1:13" x14ac:dyDescent="0.3">
      <c r="A1725" s="23">
        <v>45132</v>
      </c>
      <c r="B1725" t="s">
        <v>12</v>
      </c>
      <c r="C1725" t="s">
        <v>132</v>
      </c>
      <c r="D1725" t="s">
        <v>17</v>
      </c>
      <c r="E1725" t="s">
        <v>43</v>
      </c>
      <c r="F1725">
        <v>3500000</v>
      </c>
      <c r="G1725" t="s">
        <v>23</v>
      </c>
      <c r="H1725" t="s">
        <v>81</v>
      </c>
      <c r="I1725" t="s">
        <v>9</v>
      </c>
      <c r="L1725" t="s">
        <v>161</v>
      </c>
      <c r="M1725">
        <v>-3500000</v>
      </c>
    </row>
    <row r="1726" spans="1:13" x14ac:dyDescent="0.3">
      <c r="A1726" s="23">
        <v>45415</v>
      </c>
      <c r="B1726" t="s">
        <v>12</v>
      </c>
      <c r="C1726" t="s">
        <v>132</v>
      </c>
      <c r="D1726" t="s">
        <v>16</v>
      </c>
      <c r="E1726" t="s">
        <v>43</v>
      </c>
      <c r="F1726">
        <v>21700000</v>
      </c>
      <c r="G1726" t="s">
        <v>23</v>
      </c>
      <c r="H1726" t="s">
        <v>81</v>
      </c>
      <c r="I1726" t="s">
        <v>9</v>
      </c>
      <c r="L1726" t="s">
        <v>161</v>
      </c>
      <c r="M1726">
        <v>21700000</v>
      </c>
    </row>
    <row r="1727" spans="1:13" x14ac:dyDescent="0.3">
      <c r="A1727" s="23">
        <v>45133</v>
      </c>
      <c r="B1727" t="s">
        <v>12</v>
      </c>
      <c r="C1727" t="s">
        <v>132</v>
      </c>
      <c r="D1727" t="s">
        <v>16</v>
      </c>
      <c r="E1727" t="s">
        <v>43</v>
      </c>
      <c r="F1727">
        <v>33400000</v>
      </c>
      <c r="G1727" t="s">
        <v>23</v>
      </c>
      <c r="H1727" t="s">
        <v>81</v>
      </c>
      <c r="I1727" t="s">
        <v>9</v>
      </c>
      <c r="L1727" t="s">
        <v>161</v>
      </c>
      <c r="M1727">
        <v>33400000</v>
      </c>
    </row>
    <row r="1728" spans="1:13" x14ac:dyDescent="0.3">
      <c r="A1728" s="23">
        <v>45414</v>
      </c>
      <c r="B1728" t="s">
        <v>12</v>
      </c>
      <c r="C1728" t="s">
        <v>132</v>
      </c>
      <c r="D1728" t="s">
        <v>17</v>
      </c>
      <c r="E1728" t="s">
        <v>43</v>
      </c>
      <c r="F1728">
        <v>300000000</v>
      </c>
      <c r="G1728" t="s">
        <v>23</v>
      </c>
      <c r="H1728" t="s">
        <v>81</v>
      </c>
      <c r="I1728" t="s">
        <v>9</v>
      </c>
      <c r="L1728" t="s">
        <v>161</v>
      </c>
      <c r="M1728">
        <v>-300000000</v>
      </c>
    </row>
    <row r="1729" spans="1:13" x14ac:dyDescent="0.3">
      <c r="A1729" s="23">
        <v>45134</v>
      </c>
      <c r="B1729" t="s">
        <v>12</v>
      </c>
      <c r="C1729" t="s">
        <v>132</v>
      </c>
      <c r="D1729" t="s">
        <v>17</v>
      </c>
      <c r="E1729" t="s">
        <v>43</v>
      </c>
      <c r="F1729">
        <v>53549960</v>
      </c>
      <c r="G1729" t="s">
        <v>23</v>
      </c>
      <c r="H1729" t="s">
        <v>81</v>
      </c>
      <c r="I1729" t="s">
        <v>9</v>
      </c>
      <c r="L1729" t="s">
        <v>161</v>
      </c>
      <c r="M1729">
        <v>-53549960</v>
      </c>
    </row>
    <row r="1730" spans="1:13" x14ac:dyDescent="0.3">
      <c r="A1730" s="23">
        <v>45135</v>
      </c>
      <c r="B1730" t="s">
        <v>12</v>
      </c>
      <c r="C1730" t="s">
        <v>132</v>
      </c>
      <c r="D1730" t="s">
        <v>16</v>
      </c>
      <c r="E1730" t="s">
        <v>43</v>
      </c>
      <c r="F1730">
        <v>37800000</v>
      </c>
      <c r="G1730" t="s">
        <v>23</v>
      </c>
      <c r="H1730" t="s">
        <v>81</v>
      </c>
      <c r="I1730" t="s">
        <v>9</v>
      </c>
      <c r="L1730" t="s">
        <v>161</v>
      </c>
      <c r="M1730">
        <v>37800000</v>
      </c>
    </row>
    <row r="1731" spans="1:13" x14ac:dyDescent="0.3">
      <c r="A1731" s="23">
        <v>45408</v>
      </c>
      <c r="B1731" t="s">
        <v>12</v>
      </c>
      <c r="C1731" t="s">
        <v>132</v>
      </c>
      <c r="D1731" t="s">
        <v>16</v>
      </c>
      <c r="E1731" t="s">
        <v>43</v>
      </c>
      <c r="F1731">
        <v>200000000</v>
      </c>
      <c r="G1731" t="s">
        <v>23</v>
      </c>
      <c r="H1731" t="s">
        <v>81</v>
      </c>
      <c r="I1731" t="s">
        <v>9</v>
      </c>
      <c r="L1731" t="s">
        <v>161</v>
      </c>
      <c r="M1731">
        <v>200000000</v>
      </c>
    </row>
    <row r="1732" spans="1:13" x14ac:dyDescent="0.3">
      <c r="A1732" s="23">
        <v>45138</v>
      </c>
      <c r="B1732" t="s">
        <v>12</v>
      </c>
      <c r="C1732" t="s">
        <v>132</v>
      </c>
      <c r="D1732" t="s">
        <v>17</v>
      </c>
      <c r="E1732" t="s">
        <v>43</v>
      </c>
      <c r="F1732">
        <v>37800000</v>
      </c>
      <c r="G1732" t="s">
        <v>23</v>
      </c>
      <c r="H1732" t="s">
        <v>81</v>
      </c>
      <c r="I1732" t="s">
        <v>9</v>
      </c>
      <c r="L1732" t="s">
        <v>161</v>
      </c>
      <c r="M1732">
        <v>-37800000</v>
      </c>
    </row>
    <row r="1733" spans="1:13" x14ac:dyDescent="0.3">
      <c r="A1733" s="23">
        <v>45407</v>
      </c>
      <c r="B1733" t="s">
        <v>12</v>
      </c>
      <c r="C1733" t="s">
        <v>132</v>
      </c>
      <c r="D1733" t="s">
        <v>17</v>
      </c>
      <c r="E1733" t="s">
        <v>43</v>
      </c>
      <c r="F1733">
        <v>650000000</v>
      </c>
      <c r="G1733" t="s">
        <v>23</v>
      </c>
      <c r="H1733" t="s">
        <v>81</v>
      </c>
      <c r="I1733" t="s">
        <v>9</v>
      </c>
      <c r="L1733" t="s">
        <v>161</v>
      </c>
      <c r="M1733">
        <v>-650000000</v>
      </c>
    </row>
    <row r="1734" spans="1:13" x14ac:dyDescent="0.3">
      <c r="A1734" s="23">
        <v>45139</v>
      </c>
      <c r="B1734" t="s">
        <v>12</v>
      </c>
      <c r="C1734" t="s">
        <v>132</v>
      </c>
      <c r="D1734" t="s">
        <v>16</v>
      </c>
      <c r="E1734" t="s">
        <v>43</v>
      </c>
      <c r="F1734">
        <v>249900000</v>
      </c>
      <c r="G1734" t="s">
        <v>23</v>
      </c>
      <c r="H1734" t="s">
        <v>81</v>
      </c>
      <c r="I1734" t="s">
        <v>9</v>
      </c>
      <c r="L1734" t="s">
        <v>161</v>
      </c>
      <c r="M1734">
        <v>249900000</v>
      </c>
    </row>
    <row r="1735" spans="1:13" x14ac:dyDescent="0.3">
      <c r="A1735" s="23">
        <v>45407</v>
      </c>
      <c r="B1735" t="s">
        <v>12</v>
      </c>
      <c r="C1735" t="s">
        <v>132</v>
      </c>
      <c r="D1735" t="s">
        <v>16</v>
      </c>
      <c r="E1735" t="s">
        <v>43</v>
      </c>
      <c r="F1735">
        <v>27950000</v>
      </c>
      <c r="G1735" t="s">
        <v>23</v>
      </c>
      <c r="H1735" t="s">
        <v>81</v>
      </c>
      <c r="I1735" t="s">
        <v>9</v>
      </c>
      <c r="L1735" t="s">
        <v>161</v>
      </c>
      <c r="M1735">
        <v>27950000</v>
      </c>
    </row>
    <row r="1736" spans="1:13" x14ac:dyDescent="0.3">
      <c r="A1736" s="23">
        <v>45140</v>
      </c>
      <c r="B1736" t="s">
        <v>12</v>
      </c>
      <c r="C1736" t="s">
        <v>132</v>
      </c>
      <c r="D1736" t="s">
        <v>17</v>
      </c>
      <c r="E1736" t="s">
        <v>43</v>
      </c>
      <c r="F1736">
        <v>134500000</v>
      </c>
      <c r="G1736" t="s">
        <v>23</v>
      </c>
      <c r="H1736" t="s">
        <v>81</v>
      </c>
      <c r="I1736" t="s">
        <v>9</v>
      </c>
      <c r="L1736" t="s">
        <v>161</v>
      </c>
      <c r="M1736">
        <v>-134500000</v>
      </c>
    </row>
    <row r="1737" spans="1:13" x14ac:dyDescent="0.3">
      <c r="A1737" s="23">
        <v>45141</v>
      </c>
      <c r="B1737" t="s">
        <v>12</v>
      </c>
      <c r="C1737" t="s">
        <v>132</v>
      </c>
      <c r="D1737" t="s">
        <v>17</v>
      </c>
      <c r="E1737" t="s">
        <v>43</v>
      </c>
      <c r="F1737">
        <v>100000000</v>
      </c>
      <c r="G1737" t="s">
        <v>23</v>
      </c>
      <c r="H1737" t="s">
        <v>81</v>
      </c>
      <c r="I1737" t="s">
        <v>9</v>
      </c>
      <c r="L1737" t="s">
        <v>161</v>
      </c>
      <c r="M1737">
        <v>-100000000</v>
      </c>
    </row>
    <row r="1738" spans="1:13" x14ac:dyDescent="0.3">
      <c r="A1738" s="23">
        <v>45406</v>
      </c>
      <c r="B1738" t="s">
        <v>12</v>
      </c>
      <c r="C1738" t="s">
        <v>132</v>
      </c>
      <c r="D1738" t="s">
        <v>16</v>
      </c>
      <c r="E1738" t="s">
        <v>43</v>
      </c>
      <c r="F1738">
        <v>430400000</v>
      </c>
      <c r="G1738" t="s">
        <v>23</v>
      </c>
      <c r="H1738" t="s">
        <v>81</v>
      </c>
      <c r="I1738" t="s">
        <v>9</v>
      </c>
      <c r="L1738" t="s">
        <v>161</v>
      </c>
      <c r="M1738">
        <v>430400000</v>
      </c>
    </row>
    <row r="1739" spans="1:13" x14ac:dyDescent="0.3">
      <c r="A1739" s="23">
        <v>45142</v>
      </c>
      <c r="B1739" t="s">
        <v>12</v>
      </c>
      <c r="C1739" t="s">
        <v>132</v>
      </c>
      <c r="D1739" t="s">
        <v>17</v>
      </c>
      <c r="E1739" t="s">
        <v>43</v>
      </c>
      <c r="F1739">
        <v>15400000</v>
      </c>
      <c r="G1739" t="s">
        <v>23</v>
      </c>
      <c r="H1739" t="s">
        <v>81</v>
      </c>
      <c r="I1739" t="s">
        <v>9</v>
      </c>
      <c r="L1739" t="s">
        <v>161</v>
      </c>
      <c r="M1739">
        <v>-15400000</v>
      </c>
    </row>
    <row r="1740" spans="1:13" x14ac:dyDescent="0.3">
      <c r="A1740" s="23">
        <v>45405</v>
      </c>
      <c r="B1740" t="s">
        <v>12</v>
      </c>
      <c r="C1740" t="s">
        <v>132</v>
      </c>
      <c r="D1740" t="s">
        <v>17</v>
      </c>
      <c r="E1740" t="s">
        <v>43</v>
      </c>
      <c r="F1740">
        <v>2900000</v>
      </c>
      <c r="G1740" t="s">
        <v>23</v>
      </c>
      <c r="H1740" t="s">
        <v>81</v>
      </c>
      <c r="I1740" t="s">
        <v>9</v>
      </c>
      <c r="L1740" t="s">
        <v>161</v>
      </c>
      <c r="M1740">
        <v>-2900000</v>
      </c>
    </row>
    <row r="1741" spans="1:13" x14ac:dyDescent="0.3">
      <c r="A1741" s="23">
        <v>45404</v>
      </c>
      <c r="B1741" t="s">
        <v>12</v>
      </c>
      <c r="C1741" t="s">
        <v>132</v>
      </c>
      <c r="D1741" t="s">
        <v>16</v>
      </c>
      <c r="E1741" t="s">
        <v>43</v>
      </c>
      <c r="F1741">
        <v>5500000</v>
      </c>
      <c r="G1741" t="s">
        <v>23</v>
      </c>
      <c r="H1741" t="s">
        <v>81</v>
      </c>
      <c r="I1741" t="s">
        <v>9</v>
      </c>
      <c r="L1741" t="s">
        <v>161</v>
      </c>
      <c r="M1741">
        <v>5500000</v>
      </c>
    </row>
    <row r="1742" spans="1:13" x14ac:dyDescent="0.3">
      <c r="A1742" s="23">
        <v>45401</v>
      </c>
      <c r="B1742" t="s">
        <v>12</v>
      </c>
      <c r="C1742" t="s">
        <v>132</v>
      </c>
      <c r="D1742" t="s">
        <v>17</v>
      </c>
      <c r="E1742" t="s">
        <v>43</v>
      </c>
      <c r="F1742">
        <v>324500000</v>
      </c>
      <c r="G1742" t="s">
        <v>23</v>
      </c>
      <c r="H1742" t="s">
        <v>81</v>
      </c>
      <c r="I1742" t="s">
        <v>9</v>
      </c>
      <c r="L1742" t="s">
        <v>161</v>
      </c>
      <c r="M1742">
        <v>-324500000</v>
      </c>
    </row>
    <row r="1743" spans="1:13" x14ac:dyDescent="0.3">
      <c r="A1743" s="23">
        <v>45400</v>
      </c>
      <c r="B1743" t="s">
        <v>12</v>
      </c>
      <c r="C1743" t="s">
        <v>132</v>
      </c>
      <c r="D1743" t="s">
        <v>17</v>
      </c>
      <c r="E1743" t="s">
        <v>43</v>
      </c>
      <c r="F1743">
        <v>1000000</v>
      </c>
      <c r="G1743" t="s">
        <v>23</v>
      </c>
      <c r="H1743" t="s">
        <v>81</v>
      </c>
      <c r="I1743" t="s">
        <v>9</v>
      </c>
      <c r="L1743" t="s">
        <v>161</v>
      </c>
      <c r="M1743">
        <v>-1000000</v>
      </c>
    </row>
    <row r="1744" spans="1:13" x14ac:dyDescent="0.3">
      <c r="A1744" s="23">
        <v>45146</v>
      </c>
      <c r="B1744" t="s">
        <v>12</v>
      </c>
      <c r="C1744" t="s">
        <v>132</v>
      </c>
      <c r="D1744" t="s">
        <v>16</v>
      </c>
      <c r="E1744" t="s">
        <v>43</v>
      </c>
      <c r="F1744">
        <v>138100000</v>
      </c>
      <c r="G1744" t="s">
        <v>23</v>
      </c>
      <c r="H1744" t="s">
        <v>81</v>
      </c>
      <c r="I1744" t="s">
        <v>9</v>
      </c>
      <c r="L1744" t="s">
        <v>161</v>
      </c>
      <c r="M1744">
        <v>138100000</v>
      </c>
    </row>
    <row r="1745" spans="1:13" x14ac:dyDescent="0.3">
      <c r="A1745" s="23">
        <v>45147</v>
      </c>
      <c r="B1745" t="s">
        <v>12</v>
      </c>
      <c r="C1745" t="s">
        <v>132</v>
      </c>
      <c r="D1745" t="s">
        <v>17</v>
      </c>
      <c r="E1745" t="s">
        <v>43</v>
      </c>
      <c r="F1745">
        <v>50000000</v>
      </c>
      <c r="G1745" t="s">
        <v>23</v>
      </c>
      <c r="H1745" t="s">
        <v>81</v>
      </c>
      <c r="I1745" t="s">
        <v>9</v>
      </c>
      <c r="L1745" t="s">
        <v>161</v>
      </c>
      <c r="M1745">
        <v>-50000000</v>
      </c>
    </row>
    <row r="1746" spans="1:13" x14ac:dyDescent="0.3">
      <c r="A1746" s="23">
        <v>45397</v>
      </c>
      <c r="B1746" t="s">
        <v>12</v>
      </c>
      <c r="C1746" t="s">
        <v>132</v>
      </c>
      <c r="D1746" t="s">
        <v>17</v>
      </c>
      <c r="E1746" t="s">
        <v>43</v>
      </c>
      <c r="F1746">
        <v>503000000</v>
      </c>
      <c r="G1746" t="s">
        <v>23</v>
      </c>
      <c r="H1746" t="s">
        <v>81</v>
      </c>
      <c r="I1746" t="s">
        <v>9</v>
      </c>
      <c r="L1746" t="s">
        <v>161</v>
      </c>
      <c r="M1746">
        <v>-503000000</v>
      </c>
    </row>
    <row r="1747" spans="1:13" x14ac:dyDescent="0.3">
      <c r="A1747" s="23">
        <v>45148</v>
      </c>
      <c r="B1747" t="s">
        <v>12</v>
      </c>
      <c r="C1747" t="s">
        <v>132</v>
      </c>
      <c r="D1747" t="s">
        <v>16</v>
      </c>
      <c r="E1747" t="s">
        <v>43</v>
      </c>
      <c r="F1747">
        <v>310610.09999999998</v>
      </c>
      <c r="G1747" t="s">
        <v>23</v>
      </c>
      <c r="H1747" t="s">
        <v>81</v>
      </c>
      <c r="I1747" t="s">
        <v>9</v>
      </c>
      <c r="L1747" t="s">
        <v>161</v>
      </c>
      <c r="M1747">
        <v>310610.09999999998</v>
      </c>
    </row>
    <row r="1748" spans="1:13" x14ac:dyDescent="0.3">
      <c r="A1748" s="23">
        <v>45394</v>
      </c>
      <c r="B1748" t="s">
        <v>12</v>
      </c>
      <c r="C1748" t="s">
        <v>132</v>
      </c>
      <c r="D1748" t="s">
        <v>17</v>
      </c>
      <c r="E1748" t="s">
        <v>43</v>
      </c>
      <c r="F1748">
        <v>29800000</v>
      </c>
      <c r="G1748" t="s">
        <v>23</v>
      </c>
      <c r="H1748" t="s">
        <v>81</v>
      </c>
      <c r="I1748" t="s">
        <v>9</v>
      </c>
      <c r="L1748" t="s">
        <v>161</v>
      </c>
      <c r="M1748">
        <v>-29800000</v>
      </c>
    </row>
    <row r="1749" spans="1:13" x14ac:dyDescent="0.3">
      <c r="A1749" s="23">
        <v>45393</v>
      </c>
      <c r="B1749" t="s">
        <v>12</v>
      </c>
      <c r="C1749" t="s">
        <v>132</v>
      </c>
      <c r="D1749" t="s">
        <v>16</v>
      </c>
      <c r="E1749" t="s">
        <v>43</v>
      </c>
      <c r="F1749">
        <v>18600000</v>
      </c>
      <c r="G1749" t="s">
        <v>23</v>
      </c>
      <c r="H1749" t="s">
        <v>81</v>
      </c>
      <c r="I1749" t="s">
        <v>9</v>
      </c>
      <c r="L1749" t="s">
        <v>161</v>
      </c>
      <c r="M1749">
        <v>18600000</v>
      </c>
    </row>
    <row r="1750" spans="1:13" x14ac:dyDescent="0.3">
      <c r="A1750" s="23">
        <v>45392</v>
      </c>
      <c r="B1750" t="s">
        <v>12</v>
      </c>
      <c r="C1750" t="s">
        <v>132</v>
      </c>
      <c r="D1750" t="s">
        <v>17</v>
      </c>
      <c r="E1750" t="s">
        <v>43</v>
      </c>
      <c r="F1750">
        <v>149500000</v>
      </c>
      <c r="G1750" t="s">
        <v>23</v>
      </c>
      <c r="H1750" t="s">
        <v>81</v>
      </c>
      <c r="I1750" t="s">
        <v>9</v>
      </c>
      <c r="L1750" t="s">
        <v>161</v>
      </c>
      <c r="M1750">
        <v>-149500000</v>
      </c>
    </row>
    <row r="1751" spans="1:13" x14ac:dyDescent="0.3">
      <c r="A1751" s="23">
        <v>45390</v>
      </c>
      <c r="B1751" t="s">
        <v>12</v>
      </c>
      <c r="C1751" t="s">
        <v>132</v>
      </c>
      <c r="D1751" t="s">
        <v>16</v>
      </c>
      <c r="E1751" t="s">
        <v>43</v>
      </c>
      <c r="F1751">
        <v>653000000</v>
      </c>
      <c r="G1751" t="s">
        <v>23</v>
      </c>
      <c r="H1751" t="s">
        <v>81</v>
      </c>
      <c r="I1751" t="s">
        <v>9</v>
      </c>
      <c r="L1751" t="s">
        <v>161</v>
      </c>
      <c r="M1751">
        <v>653000000</v>
      </c>
    </row>
    <row r="1752" spans="1:13" x14ac:dyDescent="0.3">
      <c r="A1752" s="23">
        <v>45152</v>
      </c>
      <c r="B1752" t="s">
        <v>12</v>
      </c>
      <c r="C1752" t="s">
        <v>132</v>
      </c>
      <c r="D1752" t="s">
        <v>17</v>
      </c>
      <c r="E1752" t="s">
        <v>43</v>
      </c>
      <c r="F1752">
        <v>88410610.099999994</v>
      </c>
      <c r="G1752" t="s">
        <v>23</v>
      </c>
      <c r="H1752" t="s">
        <v>81</v>
      </c>
      <c r="I1752" t="s">
        <v>9</v>
      </c>
      <c r="L1752" t="s">
        <v>161</v>
      </c>
      <c r="M1752">
        <v>-88410610.099999994</v>
      </c>
    </row>
    <row r="1753" spans="1:13" x14ac:dyDescent="0.3">
      <c r="A1753" s="23">
        <v>45387</v>
      </c>
      <c r="B1753" t="s">
        <v>12</v>
      </c>
      <c r="C1753" t="s">
        <v>132</v>
      </c>
      <c r="D1753" t="s">
        <v>17</v>
      </c>
      <c r="E1753" t="s">
        <v>43</v>
      </c>
      <c r="F1753">
        <v>791800000</v>
      </c>
      <c r="G1753" t="s">
        <v>23</v>
      </c>
      <c r="H1753" t="s">
        <v>81</v>
      </c>
      <c r="I1753" t="s">
        <v>9</v>
      </c>
      <c r="L1753" t="s">
        <v>161</v>
      </c>
      <c r="M1753">
        <v>-791800000</v>
      </c>
    </row>
    <row r="1754" spans="1:13" x14ac:dyDescent="0.3">
      <c r="A1754" s="23">
        <v>45386</v>
      </c>
      <c r="B1754" t="s">
        <v>12</v>
      </c>
      <c r="C1754" t="s">
        <v>132</v>
      </c>
      <c r="D1754" t="s">
        <v>16</v>
      </c>
      <c r="E1754" t="s">
        <v>43</v>
      </c>
      <c r="F1754">
        <v>1744400000</v>
      </c>
      <c r="G1754" t="s">
        <v>23</v>
      </c>
      <c r="H1754" t="s">
        <v>81</v>
      </c>
      <c r="I1754" t="s">
        <v>9</v>
      </c>
      <c r="L1754" t="s">
        <v>161</v>
      </c>
      <c r="M1754">
        <v>1744400000</v>
      </c>
    </row>
    <row r="1755" spans="1:13" x14ac:dyDescent="0.3">
      <c r="A1755" s="23">
        <v>45385</v>
      </c>
      <c r="B1755" t="s">
        <v>12</v>
      </c>
      <c r="C1755" t="s">
        <v>132</v>
      </c>
      <c r="D1755" t="s">
        <v>17</v>
      </c>
      <c r="E1755" t="s">
        <v>43</v>
      </c>
      <c r="F1755">
        <v>32000000</v>
      </c>
      <c r="G1755" t="s">
        <v>23</v>
      </c>
      <c r="H1755" t="s">
        <v>81</v>
      </c>
      <c r="I1755" t="s">
        <v>9</v>
      </c>
      <c r="L1755" t="s">
        <v>161</v>
      </c>
      <c r="M1755">
        <v>-32000000</v>
      </c>
    </row>
    <row r="1756" spans="1:13" x14ac:dyDescent="0.3">
      <c r="A1756" s="23">
        <v>45383</v>
      </c>
      <c r="B1756" t="s">
        <v>12</v>
      </c>
      <c r="C1756" t="s">
        <v>132</v>
      </c>
      <c r="D1756" t="s">
        <v>16</v>
      </c>
      <c r="E1756" t="s">
        <v>43</v>
      </c>
      <c r="F1756">
        <v>11800000</v>
      </c>
      <c r="G1756" t="s">
        <v>23</v>
      </c>
      <c r="H1756" t="s">
        <v>81</v>
      </c>
      <c r="I1756" t="s">
        <v>9</v>
      </c>
      <c r="L1756" t="s">
        <v>161</v>
      </c>
      <c r="M1756">
        <v>11800000</v>
      </c>
    </row>
    <row r="1757" spans="1:13" x14ac:dyDescent="0.3">
      <c r="A1757" s="23">
        <v>45376</v>
      </c>
      <c r="B1757" t="s">
        <v>12</v>
      </c>
      <c r="C1757" t="s">
        <v>132</v>
      </c>
      <c r="D1757" t="s">
        <v>17</v>
      </c>
      <c r="E1757" t="s">
        <v>43</v>
      </c>
      <c r="F1757">
        <v>125400000</v>
      </c>
      <c r="G1757" t="s">
        <v>23</v>
      </c>
      <c r="H1757" t="s">
        <v>81</v>
      </c>
      <c r="I1757" t="s">
        <v>9</v>
      </c>
      <c r="L1757" t="s">
        <v>161</v>
      </c>
      <c r="M1757">
        <v>-125400000</v>
      </c>
    </row>
    <row r="1758" spans="1:13" x14ac:dyDescent="0.3">
      <c r="A1758" s="23">
        <v>45156</v>
      </c>
      <c r="B1758" t="s">
        <v>12</v>
      </c>
      <c r="C1758" t="s">
        <v>132</v>
      </c>
      <c r="D1758" t="s">
        <v>16</v>
      </c>
      <c r="E1758" t="s">
        <v>43</v>
      </c>
      <c r="F1758">
        <v>35500000</v>
      </c>
      <c r="G1758" t="s">
        <v>23</v>
      </c>
      <c r="H1758" t="s">
        <v>81</v>
      </c>
      <c r="I1758" t="s">
        <v>9</v>
      </c>
      <c r="L1758" t="s">
        <v>161</v>
      </c>
      <c r="M1758">
        <v>35500000</v>
      </c>
    </row>
    <row r="1759" spans="1:13" x14ac:dyDescent="0.3">
      <c r="A1759" s="23">
        <v>45160</v>
      </c>
      <c r="B1759" t="s">
        <v>12</v>
      </c>
      <c r="C1759" t="s">
        <v>132</v>
      </c>
      <c r="D1759" t="s">
        <v>16</v>
      </c>
      <c r="E1759" t="s">
        <v>43</v>
      </c>
      <c r="F1759">
        <v>37200000</v>
      </c>
      <c r="G1759" t="s">
        <v>23</v>
      </c>
      <c r="H1759" t="s">
        <v>81</v>
      </c>
      <c r="I1759" t="s">
        <v>9</v>
      </c>
      <c r="L1759" t="s">
        <v>161</v>
      </c>
      <c r="M1759">
        <v>37200000</v>
      </c>
    </row>
    <row r="1760" spans="1:13" x14ac:dyDescent="0.3">
      <c r="A1760" s="23">
        <v>45372</v>
      </c>
      <c r="B1760" t="s">
        <v>12</v>
      </c>
      <c r="C1760" t="s">
        <v>132</v>
      </c>
      <c r="D1760" t="s">
        <v>16</v>
      </c>
      <c r="E1760" t="s">
        <v>43</v>
      </c>
      <c r="F1760">
        <v>250000000</v>
      </c>
      <c r="G1760" t="s">
        <v>23</v>
      </c>
      <c r="H1760" t="s">
        <v>81</v>
      </c>
      <c r="I1760" t="s">
        <v>9</v>
      </c>
      <c r="L1760" t="s">
        <v>161</v>
      </c>
      <c r="M1760">
        <v>250000000</v>
      </c>
    </row>
    <row r="1761" spans="1:13" x14ac:dyDescent="0.3">
      <c r="A1761" s="23">
        <v>45161</v>
      </c>
      <c r="B1761" t="s">
        <v>12</v>
      </c>
      <c r="C1761" t="s">
        <v>132</v>
      </c>
      <c r="D1761" t="s">
        <v>16</v>
      </c>
      <c r="E1761" t="s">
        <v>43</v>
      </c>
      <c r="F1761">
        <v>490700000</v>
      </c>
      <c r="G1761" t="s">
        <v>23</v>
      </c>
      <c r="H1761" t="s">
        <v>81</v>
      </c>
      <c r="I1761" t="s">
        <v>9</v>
      </c>
      <c r="L1761" t="s">
        <v>161</v>
      </c>
      <c r="M1761">
        <v>490700000</v>
      </c>
    </row>
    <row r="1762" spans="1:13" x14ac:dyDescent="0.3">
      <c r="A1762" s="23">
        <v>45370</v>
      </c>
      <c r="B1762" t="s">
        <v>12</v>
      </c>
      <c r="C1762" t="s">
        <v>132</v>
      </c>
      <c r="D1762" t="s">
        <v>17</v>
      </c>
      <c r="E1762" t="s">
        <v>43</v>
      </c>
      <c r="F1762">
        <v>34800000</v>
      </c>
      <c r="G1762" t="s">
        <v>23</v>
      </c>
      <c r="H1762" t="s">
        <v>81</v>
      </c>
      <c r="I1762" t="s">
        <v>9</v>
      </c>
      <c r="L1762" t="s">
        <v>161</v>
      </c>
      <c r="M1762">
        <v>-34800000</v>
      </c>
    </row>
    <row r="1763" spans="1:13" x14ac:dyDescent="0.3">
      <c r="A1763" s="23">
        <v>45369</v>
      </c>
      <c r="B1763" t="s">
        <v>12</v>
      </c>
      <c r="C1763" t="s">
        <v>132</v>
      </c>
      <c r="D1763" t="s">
        <v>17</v>
      </c>
      <c r="E1763" t="s">
        <v>43</v>
      </c>
      <c r="F1763">
        <v>50000000</v>
      </c>
      <c r="G1763" t="s">
        <v>23</v>
      </c>
      <c r="H1763" t="s">
        <v>81</v>
      </c>
      <c r="I1763" t="s">
        <v>9</v>
      </c>
      <c r="L1763" t="s">
        <v>161</v>
      </c>
      <c r="M1763">
        <v>-50000000</v>
      </c>
    </row>
    <row r="1764" spans="1:13" x14ac:dyDescent="0.3">
      <c r="A1764" s="23">
        <v>45163</v>
      </c>
      <c r="B1764" t="s">
        <v>12</v>
      </c>
      <c r="C1764" t="s">
        <v>132</v>
      </c>
      <c r="D1764" t="s">
        <v>17</v>
      </c>
      <c r="E1764" t="s">
        <v>43</v>
      </c>
      <c r="F1764">
        <v>101700000</v>
      </c>
      <c r="G1764" t="s">
        <v>23</v>
      </c>
      <c r="H1764" t="s">
        <v>81</v>
      </c>
      <c r="I1764" t="s">
        <v>9</v>
      </c>
      <c r="L1764" t="s">
        <v>161</v>
      </c>
      <c r="M1764">
        <v>-101700000</v>
      </c>
    </row>
    <row r="1765" spans="1:13" x14ac:dyDescent="0.3">
      <c r="A1765" s="23">
        <v>45363</v>
      </c>
      <c r="B1765" t="s">
        <v>12</v>
      </c>
      <c r="C1765" t="s">
        <v>132</v>
      </c>
      <c r="D1765" t="s">
        <v>17</v>
      </c>
      <c r="E1765" t="s">
        <v>43</v>
      </c>
      <c r="F1765">
        <v>76200000</v>
      </c>
      <c r="G1765" t="s">
        <v>23</v>
      </c>
      <c r="H1765" t="s">
        <v>81</v>
      </c>
      <c r="I1765" t="s">
        <v>9</v>
      </c>
      <c r="L1765" t="s">
        <v>161</v>
      </c>
      <c r="M1765">
        <v>-76200000</v>
      </c>
    </row>
    <row r="1766" spans="1:13" x14ac:dyDescent="0.3">
      <c r="A1766" s="23">
        <v>45362</v>
      </c>
      <c r="B1766" t="s">
        <v>12</v>
      </c>
      <c r="C1766" t="s">
        <v>132</v>
      </c>
      <c r="D1766" t="s">
        <v>17</v>
      </c>
      <c r="E1766" t="s">
        <v>43</v>
      </c>
      <c r="F1766">
        <v>200000000</v>
      </c>
      <c r="G1766" t="s">
        <v>23</v>
      </c>
      <c r="H1766" t="s">
        <v>81</v>
      </c>
      <c r="I1766" t="s">
        <v>9</v>
      </c>
      <c r="L1766" t="s">
        <v>161</v>
      </c>
      <c r="M1766">
        <v>-200000000</v>
      </c>
    </row>
    <row r="1767" spans="1:13" x14ac:dyDescent="0.3">
      <c r="A1767" s="23">
        <v>45359</v>
      </c>
      <c r="B1767" t="s">
        <v>12</v>
      </c>
      <c r="C1767" t="s">
        <v>132</v>
      </c>
      <c r="D1767" t="s">
        <v>16</v>
      </c>
      <c r="E1767" t="s">
        <v>43</v>
      </c>
      <c r="F1767">
        <v>7200000</v>
      </c>
      <c r="G1767" t="s">
        <v>23</v>
      </c>
      <c r="H1767" t="s">
        <v>81</v>
      </c>
      <c r="I1767" t="s">
        <v>9</v>
      </c>
      <c r="L1767" t="s">
        <v>161</v>
      </c>
      <c r="M1767">
        <v>7200000</v>
      </c>
    </row>
    <row r="1768" spans="1:13" x14ac:dyDescent="0.3">
      <c r="A1768" s="23">
        <v>45166</v>
      </c>
      <c r="B1768" t="s">
        <v>12</v>
      </c>
      <c r="C1768" t="s">
        <v>132</v>
      </c>
      <c r="D1768" t="s">
        <v>17</v>
      </c>
      <c r="E1768" t="s">
        <v>43</v>
      </c>
      <c r="F1768">
        <v>7600000</v>
      </c>
      <c r="G1768" t="s">
        <v>23</v>
      </c>
      <c r="H1768" t="s">
        <v>81</v>
      </c>
      <c r="I1768" t="s">
        <v>9</v>
      </c>
      <c r="L1768" t="s">
        <v>161</v>
      </c>
      <c r="M1768">
        <v>-7600000</v>
      </c>
    </row>
    <row r="1769" spans="1:13" x14ac:dyDescent="0.3">
      <c r="A1769" s="23">
        <v>45359</v>
      </c>
      <c r="B1769" t="s">
        <v>12</v>
      </c>
      <c r="C1769" t="s">
        <v>132</v>
      </c>
      <c r="D1769" t="s">
        <v>17</v>
      </c>
      <c r="E1769" t="s">
        <v>43</v>
      </c>
      <c r="F1769">
        <v>152000000</v>
      </c>
      <c r="G1769" t="s">
        <v>23</v>
      </c>
      <c r="H1769" t="s">
        <v>81</v>
      </c>
      <c r="I1769" t="s">
        <v>9</v>
      </c>
      <c r="L1769" t="s">
        <v>161</v>
      </c>
      <c r="M1769">
        <v>-152000000</v>
      </c>
    </row>
    <row r="1770" spans="1:13" x14ac:dyDescent="0.3">
      <c r="A1770" s="23">
        <v>45358</v>
      </c>
      <c r="B1770" t="s">
        <v>12</v>
      </c>
      <c r="C1770" t="s">
        <v>132</v>
      </c>
      <c r="D1770" t="s">
        <v>16</v>
      </c>
      <c r="E1770" t="s">
        <v>43</v>
      </c>
      <c r="F1770">
        <v>199400000</v>
      </c>
      <c r="G1770" t="s">
        <v>23</v>
      </c>
      <c r="H1770" t="s">
        <v>81</v>
      </c>
      <c r="I1770" t="s">
        <v>9</v>
      </c>
      <c r="L1770" t="s">
        <v>161</v>
      </c>
      <c r="M1770">
        <v>199400000</v>
      </c>
    </row>
    <row r="1771" spans="1:13" x14ac:dyDescent="0.3">
      <c r="A1771" s="23">
        <v>45168</v>
      </c>
      <c r="B1771" t="s">
        <v>12</v>
      </c>
      <c r="C1771" t="s">
        <v>132</v>
      </c>
      <c r="D1771" t="s">
        <v>17</v>
      </c>
      <c r="E1771" t="s">
        <v>43</v>
      </c>
      <c r="F1771">
        <v>37600000</v>
      </c>
      <c r="G1771" t="s">
        <v>23</v>
      </c>
      <c r="H1771" t="s">
        <v>81</v>
      </c>
      <c r="I1771" t="s">
        <v>9</v>
      </c>
      <c r="L1771" t="s">
        <v>161</v>
      </c>
      <c r="M1771">
        <v>-37600000</v>
      </c>
    </row>
    <row r="1772" spans="1:13" x14ac:dyDescent="0.3">
      <c r="A1772" s="23">
        <v>45169</v>
      </c>
      <c r="B1772" t="s">
        <v>12</v>
      </c>
      <c r="C1772" t="s">
        <v>132</v>
      </c>
      <c r="D1772" t="s">
        <v>17</v>
      </c>
      <c r="E1772" t="s">
        <v>43</v>
      </c>
      <c r="F1772">
        <v>37000000</v>
      </c>
      <c r="G1772" t="s">
        <v>23</v>
      </c>
      <c r="H1772" t="s">
        <v>81</v>
      </c>
      <c r="I1772" t="s">
        <v>9</v>
      </c>
      <c r="L1772" t="s">
        <v>161</v>
      </c>
      <c r="M1772">
        <v>-37000000</v>
      </c>
    </row>
    <row r="1773" spans="1:13" x14ac:dyDescent="0.3">
      <c r="A1773" s="23">
        <v>45357</v>
      </c>
      <c r="B1773" t="s">
        <v>12</v>
      </c>
      <c r="C1773" t="s">
        <v>132</v>
      </c>
      <c r="D1773" t="s">
        <v>16</v>
      </c>
      <c r="E1773" t="s">
        <v>43</v>
      </c>
      <c r="F1773">
        <v>36800000</v>
      </c>
      <c r="G1773" t="s">
        <v>23</v>
      </c>
      <c r="H1773" t="s">
        <v>81</v>
      </c>
      <c r="I1773" t="s">
        <v>9</v>
      </c>
      <c r="L1773" t="s">
        <v>161</v>
      </c>
      <c r="M1773">
        <v>36800000</v>
      </c>
    </row>
    <row r="1774" spans="1:13" x14ac:dyDescent="0.3">
      <c r="A1774" s="23">
        <v>45169</v>
      </c>
      <c r="B1774" t="s">
        <v>12</v>
      </c>
      <c r="C1774" t="s">
        <v>132</v>
      </c>
      <c r="D1774" t="s">
        <v>17</v>
      </c>
      <c r="E1774" t="s">
        <v>43</v>
      </c>
      <c r="F1774">
        <v>112800000</v>
      </c>
      <c r="G1774" t="s">
        <v>23</v>
      </c>
      <c r="H1774" t="s">
        <v>81</v>
      </c>
      <c r="I1774" t="s">
        <v>9</v>
      </c>
      <c r="L1774" t="s">
        <v>161</v>
      </c>
      <c r="M1774">
        <v>-112800000</v>
      </c>
    </row>
    <row r="1775" spans="1:13" x14ac:dyDescent="0.3">
      <c r="A1775" s="23">
        <v>45170</v>
      </c>
      <c r="B1775" t="s">
        <v>12</v>
      </c>
      <c r="C1775" t="s">
        <v>132</v>
      </c>
      <c r="D1775" t="s">
        <v>16</v>
      </c>
      <c r="E1775" t="s">
        <v>43</v>
      </c>
      <c r="F1775">
        <v>10973825.789999999</v>
      </c>
      <c r="G1775" t="s">
        <v>23</v>
      </c>
      <c r="H1775" t="s">
        <v>81</v>
      </c>
      <c r="I1775" t="s">
        <v>9</v>
      </c>
      <c r="L1775" t="s">
        <v>161</v>
      </c>
      <c r="M1775">
        <v>10973825.789999999</v>
      </c>
    </row>
    <row r="1776" spans="1:13" x14ac:dyDescent="0.3">
      <c r="A1776" s="23">
        <v>45356</v>
      </c>
      <c r="B1776" t="s">
        <v>12</v>
      </c>
      <c r="C1776" t="s">
        <v>132</v>
      </c>
      <c r="D1776" t="s">
        <v>16</v>
      </c>
      <c r="E1776" t="s">
        <v>43</v>
      </c>
      <c r="F1776">
        <v>150000000</v>
      </c>
      <c r="G1776" t="s">
        <v>23</v>
      </c>
      <c r="H1776" t="s">
        <v>81</v>
      </c>
      <c r="I1776" t="s">
        <v>9</v>
      </c>
      <c r="L1776" t="s">
        <v>161</v>
      </c>
      <c r="M1776">
        <v>150000000</v>
      </c>
    </row>
    <row r="1777" spans="1:13" x14ac:dyDescent="0.3">
      <c r="A1777" s="23">
        <v>45352</v>
      </c>
      <c r="B1777" t="s">
        <v>12</v>
      </c>
      <c r="C1777" t="s">
        <v>132</v>
      </c>
      <c r="D1777" t="s">
        <v>17</v>
      </c>
      <c r="E1777" t="s">
        <v>43</v>
      </c>
      <c r="F1777">
        <v>100000000</v>
      </c>
      <c r="G1777" t="s">
        <v>23</v>
      </c>
      <c r="H1777" t="s">
        <v>81</v>
      </c>
      <c r="I1777" t="s">
        <v>9</v>
      </c>
      <c r="L1777" t="s">
        <v>161</v>
      </c>
      <c r="M1777">
        <v>-100000000</v>
      </c>
    </row>
    <row r="1778" spans="1:13" x14ac:dyDescent="0.3">
      <c r="A1778" s="23">
        <v>45351</v>
      </c>
      <c r="B1778" t="s">
        <v>12</v>
      </c>
      <c r="C1778" t="s">
        <v>132</v>
      </c>
      <c r="D1778" t="s">
        <v>16</v>
      </c>
      <c r="E1778" t="s">
        <v>43</v>
      </c>
      <c r="F1778">
        <v>126400000</v>
      </c>
      <c r="G1778" t="s">
        <v>23</v>
      </c>
      <c r="H1778" t="s">
        <v>81</v>
      </c>
      <c r="I1778" t="s">
        <v>9</v>
      </c>
      <c r="L1778" t="s">
        <v>161</v>
      </c>
      <c r="M1778">
        <v>126400000</v>
      </c>
    </row>
    <row r="1779" spans="1:13" x14ac:dyDescent="0.3">
      <c r="A1779" s="23">
        <v>45350</v>
      </c>
      <c r="B1779" t="s">
        <v>12</v>
      </c>
      <c r="C1779" t="s">
        <v>132</v>
      </c>
      <c r="D1779" t="s">
        <v>16</v>
      </c>
      <c r="E1779" t="s">
        <v>43</v>
      </c>
      <c r="F1779">
        <v>13700000</v>
      </c>
      <c r="G1779" t="s">
        <v>23</v>
      </c>
      <c r="H1779" t="s">
        <v>81</v>
      </c>
      <c r="I1779" t="s">
        <v>9</v>
      </c>
      <c r="L1779" t="s">
        <v>161</v>
      </c>
      <c r="M1779">
        <v>13700000</v>
      </c>
    </row>
    <row r="1780" spans="1:13" x14ac:dyDescent="0.3">
      <c r="A1780" s="23">
        <v>45343</v>
      </c>
      <c r="B1780" t="s">
        <v>12</v>
      </c>
      <c r="C1780" t="s">
        <v>132</v>
      </c>
      <c r="D1780" t="s">
        <v>16</v>
      </c>
      <c r="E1780" t="s">
        <v>43</v>
      </c>
      <c r="F1780">
        <v>2200000</v>
      </c>
      <c r="G1780" t="s">
        <v>23</v>
      </c>
      <c r="H1780" t="s">
        <v>81</v>
      </c>
      <c r="I1780" t="s">
        <v>9</v>
      </c>
      <c r="L1780" t="s">
        <v>161</v>
      </c>
      <c r="M1780">
        <v>2200000</v>
      </c>
    </row>
    <row r="1781" spans="1:13" x14ac:dyDescent="0.3">
      <c r="A1781" s="23">
        <v>45175</v>
      </c>
      <c r="B1781" t="s">
        <v>12</v>
      </c>
      <c r="C1781" t="s">
        <v>132</v>
      </c>
      <c r="D1781" t="s">
        <v>17</v>
      </c>
      <c r="E1781" t="s">
        <v>43</v>
      </c>
      <c r="F1781">
        <v>119900000</v>
      </c>
      <c r="G1781" t="s">
        <v>23</v>
      </c>
      <c r="H1781" t="s">
        <v>81</v>
      </c>
      <c r="I1781" t="s">
        <v>9</v>
      </c>
      <c r="L1781" t="s">
        <v>161</v>
      </c>
      <c r="M1781">
        <v>-119900000</v>
      </c>
    </row>
    <row r="1782" spans="1:13" x14ac:dyDescent="0.3">
      <c r="A1782" s="23">
        <v>45337</v>
      </c>
      <c r="B1782" t="s">
        <v>12</v>
      </c>
      <c r="C1782" t="s">
        <v>132</v>
      </c>
      <c r="D1782" t="s">
        <v>16</v>
      </c>
      <c r="E1782" t="s">
        <v>43</v>
      </c>
      <c r="F1782">
        <v>188900000</v>
      </c>
      <c r="G1782" t="s">
        <v>23</v>
      </c>
      <c r="H1782" t="s">
        <v>81</v>
      </c>
      <c r="I1782" t="s">
        <v>9</v>
      </c>
      <c r="L1782" t="s">
        <v>161</v>
      </c>
      <c r="M1782">
        <v>188900000</v>
      </c>
    </row>
    <row r="1783" spans="1:13" x14ac:dyDescent="0.3">
      <c r="A1783" s="23">
        <v>45177</v>
      </c>
      <c r="B1783" t="s">
        <v>12</v>
      </c>
      <c r="C1783" t="s">
        <v>132</v>
      </c>
      <c r="D1783" t="s">
        <v>17</v>
      </c>
      <c r="E1783" t="s">
        <v>43</v>
      </c>
      <c r="F1783">
        <v>100000000</v>
      </c>
      <c r="G1783" t="s">
        <v>23</v>
      </c>
      <c r="H1783" t="s">
        <v>81</v>
      </c>
      <c r="I1783" t="s">
        <v>9</v>
      </c>
      <c r="L1783" t="s">
        <v>161</v>
      </c>
      <c r="M1783">
        <v>-100000000</v>
      </c>
    </row>
    <row r="1784" spans="1:13" x14ac:dyDescent="0.3">
      <c r="A1784" s="23">
        <v>45331</v>
      </c>
      <c r="B1784" t="s">
        <v>12</v>
      </c>
      <c r="C1784" t="s">
        <v>132</v>
      </c>
      <c r="D1784" t="s">
        <v>17</v>
      </c>
      <c r="E1784" t="s">
        <v>43</v>
      </c>
      <c r="F1784">
        <v>55400000</v>
      </c>
      <c r="G1784" t="s">
        <v>23</v>
      </c>
      <c r="H1784" t="s">
        <v>81</v>
      </c>
      <c r="I1784" t="s">
        <v>9</v>
      </c>
      <c r="L1784" t="s">
        <v>161</v>
      </c>
      <c r="M1784">
        <v>-55400000</v>
      </c>
    </row>
    <row r="1785" spans="1:13" x14ac:dyDescent="0.3">
      <c r="A1785" s="23">
        <v>45180</v>
      </c>
      <c r="B1785" t="s">
        <v>12</v>
      </c>
      <c r="C1785" t="s">
        <v>132</v>
      </c>
      <c r="D1785" t="s">
        <v>17</v>
      </c>
      <c r="E1785" t="s">
        <v>43</v>
      </c>
      <c r="F1785">
        <v>56900000</v>
      </c>
      <c r="G1785" t="s">
        <v>23</v>
      </c>
      <c r="H1785" t="s">
        <v>81</v>
      </c>
      <c r="I1785" t="s">
        <v>9</v>
      </c>
      <c r="L1785" t="s">
        <v>161</v>
      </c>
      <c r="M1785">
        <v>-56900000</v>
      </c>
    </row>
    <row r="1786" spans="1:13" x14ac:dyDescent="0.3">
      <c r="A1786" s="23">
        <v>45330</v>
      </c>
      <c r="B1786" t="s">
        <v>12</v>
      </c>
      <c r="C1786" t="s">
        <v>132</v>
      </c>
      <c r="D1786" t="s">
        <v>17</v>
      </c>
      <c r="E1786" t="s">
        <v>43</v>
      </c>
      <c r="F1786">
        <v>150000000</v>
      </c>
      <c r="G1786" t="s">
        <v>23</v>
      </c>
      <c r="H1786" t="s">
        <v>81</v>
      </c>
      <c r="I1786" t="s">
        <v>9</v>
      </c>
      <c r="L1786" t="s">
        <v>161</v>
      </c>
      <c r="M1786">
        <v>-150000000</v>
      </c>
    </row>
    <row r="1787" spans="1:13" x14ac:dyDescent="0.3">
      <c r="A1787" s="23">
        <v>45329</v>
      </c>
      <c r="B1787" t="s">
        <v>12</v>
      </c>
      <c r="C1787" t="s">
        <v>132</v>
      </c>
      <c r="D1787" t="s">
        <v>17</v>
      </c>
      <c r="E1787" t="s">
        <v>43</v>
      </c>
      <c r="F1787">
        <v>89500000</v>
      </c>
      <c r="G1787" t="s">
        <v>23</v>
      </c>
      <c r="H1787" t="s">
        <v>81</v>
      </c>
      <c r="I1787" t="s">
        <v>9</v>
      </c>
      <c r="L1787" t="s">
        <v>161</v>
      </c>
      <c r="M1787">
        <v>-89500000</v>
      </c>
    </row>
    <row r="1788" spans="1:13" x14ac:dyDescent="0.3">
      <c r="A1788" s="23">
        <v>45328</v>
      </c>
      <c r="B1788" t="s">
        <v>12</v>
      </c>
      <c r="C1788" t="s">
        <v>132</v>
      </c>
      <c r="D1788" t="s">
        <v>16</v>
      </c>
      <c r="E1788" t="s">
        <v>43</v>
      </c>
      <c r="F1788">
        <v>200000000</v>
      </c>
      <c r="G1788" t="s">
        <v>23</v>
      </c>
      <c r="H1788" t="s">
        <v>81</v>
      </c>
      <c r="I1788" t="s">
        <v>9</v>
      </c>
      <c r="L1788" t="s">
        <v>161</v>
      </c>
      <c r="M1788">
        <v>200000000</v>
      </c>
    </row>
    <row r="1789" spans="1:13" x14ac:dyDescent="0.3">
      <c r="A1789" s="23">
        <v>45182</v>
      </c>
      <c r="B1789" t="s">
        <v>12</v>
      </c>
      <c r="C1789" t="s">
        <v>132</v>
      </c>
      <c r="D1789" t="s">
        <v>16</v>
      </c>
      <c r="E1789" t="s">
        <v>43</v>
      </c>
      <c r="F1789">
        <v>42600000</v>
      </c>
      <c r="G1789" t="s">
        <v>23</v>
      </c>
      <c r="H1789" t="s">
        <v>81</v>
      </c>
      <c r="I1789" t="s">
        <v>9</v>
      </c>
      <c r="L1789" t="s">
        <v>161</v>
      </c>
      <c r="M1789">
        <v>42600000</v>
      </c>
    </row>
    <row r="1790" spans="1:13" x14ac:dyDescent="0.3">
      <c r="A1790" s="23">
        <v>45324</v>
      </c>
      <c r="B1790" t="s">
        <v>12</v>
      </c>
      <c r="C1790" t="s">
        <v>132</v>
      </c>
      <c r="D1790" t="s">
        <v>17</v>
      </c>
      <c r="E1790" t="s">
        <v>43</v>
      </c>
      <c r="F1790">
        <v>32400000</v>
      </c>
      <c r="G1790" t="s">
        <v>23</v>
      </c>
      <c r="H1790" t="s">
        <v>81</v>
      </c>
      <c r="I1790" t="s">
        <v>9</v>
      </c>
      <c r="L1790" t="s">
        <v>161</v>
      </c>
      <c r="M1790">
        <v>-32400000</v>
      </c>
    </row>
    <row r="1791" spans="1:13" x14ac:dyDescent="0.3">
      <c r="A1791" s="23">
        <v>45323</v>
      </c>
      <c r="B1791" t="s">
        <v>12</v>
      </c>
      <c r="C1791" t="s">
        <v>132</v>
      </c>
      <c r="D1791" t="s">
        <v>17</v>
      </c>
      <c r="E1791" t="s">
        <v>43</v>
      </c>
      <c r="F1791">
        <v>200000000</v>
      </c>
      <c r="G1791" t="s">
        <v>23</v>
      </c>
      <c r="H1791" t="s">
        <v>81</v>
      </c>
      <c r="I1791" t="s">
        <v>9</v>
      </c>
      <c r="L1791" t="s">
        <v>161</v>
      </c>
      <c r="M1791">
        <v>-200000000</v>
      </c>
    </row>
    <row r="1792" spans="1:13" x14ac:dyDescent="0.3">
      <c r="A1792" s="23">
        <v>45184</v>
      </c>
      <c r="B1792" t="s">
        <v>12</v>
      </c>
      <c r="C1792" t="s">
        <v>132</v>
      </c>
      <c r="D1792" t="s">
        <v>16</v>
      </c>
      <c r="E1792" t="s">
        <v>43</v>
      </c>
      <c r="F1792">
        <v>5161235.68</v>
      </c>
      <c r="G1792" t="s">
        <v>23</v>
      </c>
      <c r="H1792" t="s">
        <v>81</v>
      </c>
      <c r="I1792" t="s">
        <v>9</v>
      </c>
      <c r="L1792" t="s">
        <v>161</v>
      </c>
      <c r="M1792">
        <v>5161235.68</v>
      </c>
    </row>
    <row r="1793" spans="1:13" x14ac:dyDescent="0.3">
      <c r="A1793" s="23">
        <v>45321</v>
      </c>
      <c r="B1793" t="s">
        <v>12</v>
      </c>
      <c r="C1793" t="s">
        <v>132</v>
      </c>
      <c r="D1793" t="s">
        <v>16</v>
      </c>
      <c r="E1793" t="s">
        <v>43</v>
      </c>
      <c r="F1793">
        <v>318000000</v>
      </c>
      <c r="G1793" t="s">
        <v>23</v>
      </c>
      <c r="H1793" t="s">
        <v>81</v>
      </c>
      <c r="I1793" t="s">
        <v>9</v>
      </c>
      <c r="L1793" t="s">
        <v>161</v>
      </c>
      <c r="M1793">
        <v>318000000</v>
      </c>
    </row>
    <row r="1794" spans="1:13" x14ac:dyDescent="0.3">
      <c r="A1794" s="23">
        <v>45184</v>
      </c>
      <c r="B1794" t="s">
        <v>12</v>
      </c>
      <c r="C1794" t="s">
        <v>132</v>
      </c>
      <c r="D1794" t="s">
        <v>17</v>
      </c>
      <c r="E1794" t="s">
        <v>43</v>
      </c>
      <c r="F1794">
        <v>29400000</v>
      </c>
      <c r="G1794" t="s">
        <v>23</v>
      </c>
      <c r="H1794" t="s">
        <v>81</v>
      </c>
      <c r="I1794" t="s">
        <v>9</v>
      </c>
      <c r="L1794" t="s">
        <v>161</v>
      </c>
      <c r="M1794">
        <v>-29400000</v>
      </c>
    </row>
    <row r="1795" spans="1:13" x14ac:dyDescent="0.3">
      <c r="A1795" s="23">
        <v>45313</v>
      </c>
      <c r="B1795" t="s">
        <v>12</v>
      </c>
      <c r="C1795" t="s">
        <v>132</v>
      </c>
      <c r="D1795" t="s">
        <v>17</v>
      </c>
      <c r="E1795" t="s">
        <v>43</v>
      </c>
      <c r="F1795">
        <v>3100000</v>
      </c>
      <c r="G1795" t="s">
        <v>23</v>
      </c>
      <c r="H1795" t="s">
        <v>81</v>
      </c>
      <c r="I1795" t="s">
        <v>9</v>
      </c>
      <c r="L1795" t="s">
        <v>161</v>
      </c>
      <c r="M1795">
        <v>-3100000</v>
      </c>
    </row>
    <row r="1796" spans="1:13" x14ac:dyDescent="0.3">
      <c r="A1796" s="23">
        <v>45308</v>
      </c>
      <c r="B1796" t="s">
        <v>12</v>
      </c>
      <c r="C1796" t="s">
        <v>132</v>
      </c>
      <c r="D1796" t="s">
        <v>16</v>
      </c>
      <c r="E1796" t="s">
        <v>43</v>
      </c>
      <c r="F1796">
        <v>2100000</v>
      </c>
      <c r="G1796" t="s">
        <v>23</v>
      </c>
      <c r="H1796" t="s">
        <v>81</v>
      </c>
      <c r="I1796" t="s">
        <v>9</v>
      </c>
      <c r="L1796" t="s">
        <v>161</v>
      </c>
      <c r="M1796">
        <v>2100000</v>
      </c>
    </row>
    <row r="1797" spans="1:13" x14ac:dyDescent="0.3">
      <c r="A1797" s="23">
        <v>45307</v>
      </c>
      <c r="B1797" t="s">
        <v>12</v>
      </c>
      <c r="C1797" t="s">
        <v>132</v>
      </c>
      <c r="D1797" t="s">
        <v>17</v>
      </c>
      <c r="E1797" t="s">
        <v>43</v>
      </c>
      <c r="F1797">
        <v>30000000</v>
      </c>
      <c r="G1797" t="s">
        <v>23</v>
      </c>
      <c r="H1797" t="s">
        <v>81</v>
      </c>
      <c r="I1797" t="s">
        <v>9</v>
      </c>
      <c r="L1797" t="s">
        <v>161</v>
      </c>
      <c r="M1797">
        <v>-30000000</v>
      </c>
    </row>
    <row r="1798" spans="1:13" x14ac:dyDescent="0.3">
      <c r="A1798" s="23">
        <v>45303</v>
      </c>
      <c r="B1798" t="s">
        <v>12</v>
      </c>
      <c r="C1798" t="s">
        <v>132</v>
      </c>
      <c r="D1798" t="s">
        <v>17</v>
      </c>
      <c r="E1798" t="s">
        <v>43</v>
      </c>
      <c r="F1798">
        <v>8500000</v>
      </c>
      <c r="G1798" t="s">
        <v>23</v>
      </c>
      <c r="H1798" t="s">
        <v>81</v>
      </c>
      <c r="I1798" t="s">
        <v>9</v>
      </c>
      <c r="L1798" t="s">
        <v>161</v>
      </c>
      <c r="M1798">
        <v>-8500000</v>
      </c>
    </row>
    <row r="1799" spans="1:13" x14ac:dyDescent="0.3">
      <c r="A1799" s="23">
        <v>45299</v>
      </c>
      <c r="B1799" t="s">
        <v>12</v>
      </c>
      <c r="C1799" t="s">
        <v>132</v>
      </c>
      <c r="D1799" t="s">
        <v>17</v>
      </c>
      <c r="E1799" t="s">
        <v>43</v>
      </c>
      <c r="F1799">
        <v>40000000</v>
      </c>
      <c r="G1799" t="s">
        <v>23</v>
      </c>
      <c r="H1799" t="s">
        <v>81</v>
      </c>
      <c r="I1799" t="s">
        <v>9</v>
      </c>
      <c r="L1799" t="s">
        <v>161</v>
      </c>
      <c r="M1799">
        <v>-40000000</v>
      </c>
    </row>
    <row r="1800" spans="1:13" x14ac:dyDescent="0.3">
      <c r="A1800" s="23">
        <v>45194</v>
      </c>
      <c r="B1800" t="s">
        <v>12</v>
      </c>
      <c r="C1800" t="s">
        <v>132</v>
      </c>
      <c r="D1800" t="s">
        <v>17</v>
      </c>
      <c r="E1800" t="s">
        <v>43</v>
      </c>
      <c r="F1800">
        <v>19235061.469999999</v>
      </c>
      <c r="G1800" t="s">
        <v>23</v>
      </c>
      <c r="H1800" t="s">
        <v>81</v>
      </c>
      <c r="I1800" t="s">
        <v>9</v>
      </c>
      <c r="L1800" t="s">
        <v>161</v>
      </c>
      <c r="M1800">
        <v>-19235061.469999999</v>
      </c>
    </row>
    <row r="1801" spans="1:13" x14ac:dyDescent="0.3">
      <c r="A1801" s="23">
        <v>45296</v>
      </c>
      <c r="B1801" t="s">
        <v>12</v>
      </c>
      <c r="C1801" t="s">
        <v>132</v>
      </c>
      <c r="D1801" t="s">
        <v>17</v>
      </c>
      <c r="E1801" t="s">
        <v>43</v>
      </c>
      <c r="F1801">
        <v>9800000</v>
      </c>
      <c r="G1801" t="s">
        <v>23</v>
      </c>
      <c r="H1801" t="s">
        <v>81</v>
      </c>
      <c r="I1801" t="s">
        <v>9</v>
      </c>
      <c r="L1801" t="s">
        <v>161</v>
      </c>
      <c r="M1801">
        <v>-9800000</v>
      </c>
    </row>
    <row r="1802" spans="1:13" x14ac:dyDescent="0.3">
      <c r="A1802" s="23">
        <v>45296</v>
      </c>
      <c r="B1802" t="s">
        <v>12</v>
      </c>
      <c r="C1802" t="s">
        <v>132</v>
      </c>
      <c r="D1802" t="s">
        <v>17</v>
      </c>
      <c r="E1802" t="s">
        <v>43</v>
      </c>
      <c r="F1802">
        <v>21000000</v>
      </c>
      <c r="G1802" t="s">
        <v>23</v>
      </c>
      <c r="H1802" t="s">
        <v>81</v>
      </c>
      <c r="I1802" t="s">
        <v>9</v>
      </c>
      <c r="L1802" t="s">
        <v>161</v>
      </c>
      <c r="M1802">
        <v>-21000000</v>
      </c>
    </row>
    <row r="1803" spans="1:13" x14ac:dyDescent="0.3">
      <c r="A1803" s="23">
        <v>45295</v>
      </c>
      <c r="B1803" t="s">
        <v>12</v>
      </c>
      <c r="C1803" t="s">
        <v>132</v>
      </c>
      <c r="D1803" t="s">
        <v>17</v>
      </c>
      <c r="E1803" t="s">
        <v>43</v>
      </c>
      <c r="F1803">
        <v>200000000</v>
      </c>
      <c r="G1803" t="s">
        <v>23</v>
      </c>
      <c r="H1803" t="s">
        <v>81</v>
      </c>
      <c r="I1803" t="s">
        <v>9</v>
      </c>
      <c r="L1803" t="s">
        <v>161</v>
      </c>
      <c r="M1803">
        <v>-200000000</v>
      </c>
    </row>
    <row r="1804" spans="1:13" x14ac:dyDescent="0.3">
      <c r="A1804" s="23">
        <v>45195</v>
      </c>
      <c r="B1804" t="s">
        <v>12</v>
      </c>
      <c r="C1804" t="s">
        <v>132</v>
      </c>
      <c r="D1804" t="s">
        <v>16</v>
      </c>
      <c r="E1804" t="s">
        <v>43</v>
      </c>
      <c r="F1804">
        <v>80000000</v>
      </c>
      <c r="G1804" t="s">
        <v>23</v>
      </c>
      <c r="H1804" t="s">
        <v>81</v>
      </c>
      <c r="I1804" t="s">
        <v>9</v>
      </c>
      <c r="L1804" t="s">
        <v>161</v>
      </c>
      <c r="M1804">
        <v>80000000</v>
      </c>
    </row>
    <row r="1805" spans="1:13" x14ac:dyDescent="0.3">
      <c r="A1805" s="23">
        <v>45293</v>
      </c>
      <c r="B1805" t="s">
        <v>12</v>
      </c>
      <c r="C1805" t="s">
        <v>132</v>
      </c>
      <c r="D1805" t="s">
        <v>17</v>
      </c>
      <c r="E1805" t="s">
        <v>43</v>
      </c>
      <c r="F1805">
        <v>480400000</v>
      </c>
      <c r="G1805" t="s">
        <v>23</v>
      </c>
      <c r="H1805" t="s">
        <v>81</v>
      </c>
      <c r="I1805" t="s">
        <v>9</v>
      </c>
      <c r="L1805" t="s">
        <v>161</v>
      </c>
      <c r="M1805">
        <v>-480400000</v>
      </c>
    </row>
    <row r="1806" spans="1:13" x14ac:dyDescent="0.3">
      <c r="A1806" s="23">
        <v>45197</v>
      </c>
      <c r="B1806" t="s">
        <v>12</v>
      </c>
      <c r="C1806" t="s">
        <v>132</v>
      </c>
      <c r="D1806" t="s">
        <v>17</v>
      </c>
      <c r="E1806" t="s">
        <v>43</v>
      </c>
      <c r="F1806">
        <v>70000000</v>
      </c>
      <c r="G1806" t="s">
        <v>23</v>
      </c>
      <c r="H1806" t="s">
        <v>81</v>
      </c>
      <c r="I1806" t="s">
        <v>9</v>
      </c>
      <c r="L1806" t="s">
        <v>161</v>
      </c>
      <c r="M1806">
        <v>-70000000</v>
      </c>
    </row>
    <row r="1807" spans="1:13" x14ac:dyDescent="0.3">
      <c r="A1807" s="23">
        <v>45289</v>
      </c>
      <c r="B1807" t="s">
        <v>12</v>
      </c>
      <c r="C1807" t="s">
        <v>132</v>
      </c>
      <c r="D1807" t="s">
        <v>16</v>
      </c>
      <c r="E1807" t="s">
        <v>43</v>
      </c>
      <c r="F1807">
        <v>800000000</v>
      </c>
      <c r="G1807" t="s">
        <v>23</v>
      </c>
      <c r="H1807" t="s">
        <v>81</v>
      </c>
      <c r="I1807" t="s">
        <v>9</v>
      </c>
      <c r="L1807" t="s">
        <v>161</v>
      </c>
      <c r="M1807">
        <v>800000000</v>
      </c>
    </row>
    <row r="1808" spans="1:13" x14ac:dyDescent="0.3">
      <c r="A1808" s="23">
        <v>45288</v>
      </c>
      <c r="B1808" t="s">
        <v>12</v>
      </c>
      <c r="C1808" t="s">
        <v>132</v>
      </c>
      <c r="D1808" t="s">
        <v>17</v>
      </c>
      <c r="E1808" t="s">
        <v>43</v>
      </c>
      <c r="F1808">
        <v>47000000</v>
      </c>
      <c r="G1808" t="s">
        <v>23</v>
      </c>
      <c r="H1808" t="s">
        <v>81</v>
      </c>
      <c r="I1808" t="s">
        <v>9</v>
      </c>
      <c r="L1808" t="s">
        <v>161</v>
      </c>
      <c r="M1808">
        <v>-47000000</v>
      </c>
    </row>
    <row r="1809" spans="1:13" x14ac:dyDescent="0.3">
      <c r="A1809" s="23">
        <v>45198</v>
      </c>
      <c r="B1809" t="s">
        <v>12</v>
      </c>
      <c r="C1809" t="s">
        <v>132</v>
      </c>
      <c r="D1809" t="s">
        <v>17</v>
      </c>
      <c r="E1809" t="s">
        <v>43</v>
      </c>
      <c r="F1809">
        <v>10000000</v>
      </c>
      <c r="G1809" t="s">
        <v>23</v>
      </c>
      <c r="H1809" t="s">
        <v>81</v>
      </c>
      <c r="I1809" t="s">
        <v>9</v>
      </c>
      <c r="L1809" t="s">
        <v>161</v>
      </c>
      <c r="M1809">
        <v>-10000000</v>
      </c>
    </row>
    <row r="1810" spans="1:13" x14ac:dyDescent="0.3">
      <c r="A1810" s="23">
        <v>45281</v>
      </c>
      <c r="B1810" t="s">
        <v>12</v>
      </c>
      <c r="C1810" t="s">
        <v>132</v>
      </c>
      <c r="D1810" t="s">
        <v>16</v>
      </c>
      <c r="E1810" t="s">
        <v>43</v>
      </c>
      <c r="F1810">
        <v>47000000</v>
      </c>
      <c r="G1810" t="s">
        <v>23</v>
      </c>
      <c r="H1810" t="s">
        <v>81</v>
      </c>
      <c r="I1810" t="s">
        <v>9</v>
      </c>
      <c r="L1810" t="s">
        <v>161</v>
      </c>
      <c r="M1810">
        <v>47000000</v>
      </c>
    </row>
    <row r="1811" spans="1:13" x14ac:dyDescent="0.3">
      <c r="A1811" s="23">
        <v>45279</v>
      </c>
      <c r="B1811" t="s">
        <v>12</v>
      </c>
      <c r="C1811" t="s">
        <v>132</v>
      </c>
      <c r="D1811" t="s">
        <v>17</v>
      </c>
      <c r="E1811" t="s">
        <v>43</v>
      </c>
      <c r="F1811">
        <v>903800000</v>
      </c>
      <c r="G1811" t="s">
        <v>23</v>
      </c>
      <c r="H1811" t="s">
        <v>81</v>
      </c>
      <c r="I1811" t="s">
        <v>9</v>
      </c>
      <c r="L1811" t="s">
        <v>161</v>
      </c>
      <c r="M1811">
        <v>-903800000</v>
      </c>
    </row>
    <row r="1812" spans="1:13" x14ac:dyDescent="0.3">
      <c r="A1812" s="23">
        <v>45275</v>
      </c>
      <c r="B1812" t="s">
        <v>12</v>
      </c>
      <c r="C1812" t="s">
        <v>132</v>
      </c>
      <c r="D1812" t="s">
        <v>16</v>
      </c>
      <c r="E1812" t="s">
        <v>43</v>
      </c>
      <c r="F1812">
        <v>903800000</v>
      </c>
      <c r="G1812" t="s">
        <v>23</v>
      </c>
      <c r="H1812" t="s">
        <v>81</v>
      </c>
      <c r="I1812" t="s">
        <v>9</v>
      </c>
      <c r="L1812" t="s">
        <v>161</v>
      </c>
      <c r="M1812">
        <v>903800000</v>
      </c>
    </row>
    <row r="1813" spans="1:13" x14ac:dyDescent="0.3">
      <c r="A1813" s="23">
        <v>44652</v>
      </c>
      <c r="B1813" t="s">
        <v>12</v>
      </c>
      <c r="C1813" t="s">
        <v>132</v>
      </c>
      <c r="D1813" t="s">
        <v>17</v>
      </c>
      <c r="E1813" t="s">
        <v>39</v>
      </c>
      <c r="F1813">
        <v>710000000</v>
      </c>
      <c r="G1813" t="s">
        <v>24</v>
      </c>
      <c r="H1813" t="s">
        <v>81</v>
      </c>
      <c r="I1813" t="s">
        <v>9</v>
      </c>
      <c r="L1813" t="s">
        <v>161</v>
      </c>
      <c r="M1813">
        <v>-710000000</v>
      </c>
    </row>
    <row r="1814" spans="1:13" x14ac:dyDescent="0.3">
      <c r="A1814" s="23">
        <v>45804</v>
      </c>
      <c r="B1814" t="s">
        <v>12</v>
      </c>
      <c r="C1814" t="s">
        <v>132</v>
      </c>
      <c r="D1814" t="s">
        <v>16</v>
      </c>
      <c r="E1814" t="s">
        <v>39</v>
      </c>
      <c r="F1814">
        <v>747000</v>
      </c>
      <c r="G1814" t="s">
        <v>24</v>
      </c>
      <c r="H1814" t="s">
        <v>81</v>
      </c>
      <c r="I1814" t="s">
        <v>9</v>
      </c>
      <c r="L1814" t="s">
        <v>161</v>
      </c>
      <c r="M1814">
        <v>747000</v>
      </c>
    </row>
    <row r="1815" spans="1:13" x14ac:dyDescent="0.3">
      <c r="A1815" s="23">
        <v>45769</v>
      </c>
      <c r="B1815" t="s">
        <v>12</v>
      </c>
      <c r="C1815" t="s">
        <v>132</v>
      </c>
      <c r="D1815" t="s">
        <v>16</v>
      </c>
      <c r="E1815" t="s">
        <v>39</v>
      </c>
      <c r="F1815">
        <v>1490000</v>
      </c>
      <c r="G1815" t="s">
        <v>24</v>
      </c>
      <c r="H1815" t="s">
        <v>81</v>
      </c>
      <c r="I1815" t="s">
        <v>9</v>
      </c>
      <c r="L1815" t="s">
        <v>161</v>
      </c>
      <c r="M1815">
        <v>1490000</v>
      </c>
    </row>
    <row r="1816" spans="1:13" x14ac:dyDescent="0.3">
      <c r="A1816" s="23">
        <v>44742</v>
      </c>
      <c r="B1816" t="s">
        <v>12</v>
      </c>
      <c r="C1816" t="s">
        <v>132</v>
      </c>
      <c r="D1816" t="s">
        <v>16</v>
      </c>
      <c r="E1816" t="s">
        <v>39</v>
      </c>
      <c r="F1816">
        <v>710000000</v>
      </c>
      <c r="G1816" t="s">
        <v>24</v>
      </c>
      <c r="H1816" t="s">
        <v>81</v>
      </c>
      <c r="I1816" t="s">
        <v>9</v>
      </c>
      <c r="L1816" t="s">
        <v>161</v>
      </c>
      <c r="M1816">
        <v>710000000</v>
      </c>
    </row>
    <row r="1817" spans="1:13" x14ac:dyDescent="0.3">
      <c r="A1817" s="23">
        <v>45695</v>
      </c>
      <c r="B1817" t="s">
        <v>12</v>
      </c>
      <c r="C1817" t="s">
        <v>132</v>
      </c>
      <c r="D1817" t="s">
        <v>16</v>
      </c>
      <c r="E1817" t="s">
        <v>39</v>
      </c>
      <c r="F1817">
        <v>6470000</v>
      </c>
      <c r="G1817" t="s">
        <v>24</v>
      </c>
      <c r="H1817" t="s">
        <v>81</v>
      </c>
      <c r="I1817" t="s">
        <v>9</v>
      </c>
      <c r="L1817" t="s">
        <v>161</v>
      </c>
      <c r="M1817">
        <v>6470000</v>
      </c>
    </row>
    <row r="1818" spans="1:13" x14ac:dyDescent="0.3">
      <c r="A1818" s="23">
        <v>44775</v>
      </c>
      <c r="B1818" t="s">
        <v>12</v>
      </c>
      <c r="C1818" t="s">
        <v>132</v>
      </c>
      <c r="D1818" t="s">
        <v>16</v>
      </c>
      <c r="E1818" t="s">
        <v>39</v>
      </c>
      <c r="F1818">
        <v>161000000</v>
      </c>
      <c r="G1818" t="s">
        <v>24</v>
      </c>
      <c r="H1818" t="s">
        <v>81</v>
      </c>
      <c r="I1818" t="s">
        <v>9</v>
      </c>
      <c r="L1818" t="s">
        <v>161</v>
      </c>
      <c r="M1818">
        <v>161000000</v>
      </c>
    </row>
    <row r="1819" spans="1:13" x14ac:dyDescent="0.3">
      <c r="A1819" s="23">
        <v>44778</v>
      </c>
      <c r="B1819" t="s">
        <v>12</v>
      </c>
      <c r="C1819" t="s">
        <v>132</v>
      </c>
      <c r="D1819" t="s">
        <v>17</v>
      </c>
      <c r="E1819" t="s">
        <v>39</v>
      </c>
      <c r="F1819">
        <v>58500000</v>
      </c>
      <c r="G1819" t="s">
        <v>24</v>
      </c>
      <c r="H1819" t="s">
        <v>81</v>
      </c>
      <c r="I1819" t="s">
        <v>9</v>
      </c>
      <c r="L1819" t="s">
        <v>161</v>
      </c>
      <c r="M1819">
        <v>-58500000</v>
      </c>
    </row>
    <row r="1820" spans="1:13" x14ac:dyDescent="0.3">
      <c r="A1820" s="23">
        <v>44781</v>
      </c>
      <c r="B1820" t="s">
        <v>12</v>
      </c>
      <c r="C1820" t="s">
        <v>132</v>
      </c>
      <c r="D1820" t="s">
        <v>16</v>
      </c>
      <c r="E1820" t="s">
        <v>39</v>
      </c>
      <c r="F1820">
        <v>100000000</v>
      </c>
      <c r="G1820" t="s">
        <v>24</v>
      </c>
      <c r="H1820" t="s">
        <v>81</v>
      </c>
      <c r="I1820" t="s">
        <v>9</v>
      </c>
      <c r="L1820" t="s">
        <v>161</v>
      </c>
      <c r="M1820">
        <v>100000000</v>
      </c>
    </row>
    <row r="1821" spans="1:13" x14ac:dyDescent="0.3">
      <c r="A1821" s="23">
        <v>44782</v>
      </c>
      <c r="B1821" t="s">
        <v>12</v>
      </c>
      <c r="C1821" t="s">
        <v>132</v>
      </c>
      <c r="D1821" t="s">
        <v>17</v>
      </c>
      <c r="E1821" t="s">
        <v>39</v>
      </c>
      <c r="F1821">
        <v>146500000</v>
      </c>
      <c r="G1821" t="s">
        <v>24</v>
      </c>
      <c r="H1821" t="s">
        <v>81</v>
      </c>
      <c r="I1821" t="s">
        <v>9</v>
      </c>
      <c r="L1821" t="s">
        <v>161</v>
      </c>
      <c r="M1821">
        <v>-146500000</v>
      </c>
    </row>
    <row r="1822" spans="1:13" x14ac:dyDescent="0.3">
      <c r="A1822" s="23">
        <v>44789</v>
      </c>
      <c r="B1822" t="s">
        <v>12</v>
      </c>
      <c r="C1822" t="s">
        <v>132</v>
      </c>
      <c r="D1822" t="s">
        <v>17</v>
      </c>
      <c r="E1822" t="s">
        <v>39</v>
      </c>
      <c r="F1822">
        <v>56000000</v>
      </c>
      <c r="G1822" t="s">
        <v>24</v>
      </c>
      <c r="H1822" t="s">
        <v>81</v>
      </c>
      <c r="I1822" t="s">
        <v>9</v>
      </c>
      <c r="L1822" t="s">
        <v>161</v>
      </c>
      <c r="M1822">
        <v>-56000000</v>
      </c>
    </row>
    <row r="1823" spans="1:13" x14ac:dyDescent="0.3">
      <c r="A1823" s="23">
        <v>45656</v>
      </c>
      <c r="B1823" t="s">
        <v>12</v>
      </c>
      <c r="C1823" t="s">
        <v>132</v>
      </c>
      <c r="D1823" t="s">
        <v>17</v>
      </c>
      <c r="E1823" t="s">
        <v>39</v>
      </c>
      <c r="F1823">
        <v>2230000000</v>
      </c>
      <c r="G1823" t="s">
        <v>24</v>
      </c>
      <c r="H1823" t="s">
        <v>81</v>
      </c>
      <c r="I1823" t="s">
        <v>9</v>
      </c>
      <c r="L1823" t="s">
        <v>161</v>
      </c>
      <c r="M1823">
        <v>-2230000000</v>
      </c>
    </row>
    <row r="1824" spans="1:13" x14ac:dyDescent="0.3">
      <c r="A1824" s="23">
        <v>45653</v>
      </c>
      <c r="B1824" t="s">
        <v>12</v>
      </c>
      <c r="C1824" t="s">
        <v>132</v>
      </c>
      <c r="D1824" t="s">
        <v>16</v>
      </c>
      <c r="E1824" t="s">
        <v>39</v>
      </c>
      <c r="F1824">
        <v>2250000000</v>
      </c>
      <c r="G1824" t="s">
        <v>24</v>
      </c>
      <c r="H1824" t="s">
        <v>81</v>
      </c>
      <c r="I1824" t="s">
        <v>9</v>
      </c>
      <c r="L1824" t="s">
        <v>161</v>
      </c>
      <c r="M1824">
        <v>2250000000</v>
      </c>
    </row>
    <row r="1825" spans="1:13" x14ac:dyDescent="0.3">
      <c r="A1825" s="23">
        <v>44803</v>
      </c>
      <c r="B1825" t="s">
        <v>12</v>
      </c>
      <c r="C1825" t="s">
        <v>132</v>
      </c>
      <c r="D1825" t="s">
        <v>16</v>
      </c>
      <c r="E1825" t="s">
        <v>39</v>
      </c>
      <c r="F1825">
        <v>125500000</v>
      </c>
      <c r="G1825" t="s">
        <v>24</v>
      </c>
      <c r="H1825" t="s">
        <v>81</v>
      </c>
      <c r="I1825" t="s">
        <v>9</v>
      </c>
      <c r="L1825" t="s">
        <v>161</v>
      </c>
      <c r="M1825">
        <v>125500000</v>
      </c>
    </row>
    <row r="1826" spans="1:13" x14ac:dyDescent="0.3">
      <c r="A1826" s="23">
        <v>44804</v>
      </c>
      <c r="B1826" t="s">
        <v>12</v>
      </c>
      <c r="C1826" t="s">
        <v>132</v>
      </c>
      <c r="D1826" t="s">
        <v>17</v>
      </c>
      <c r="E1826" t="s">
        <v>39</v>
      </c>
      <c r="F1826">
        <v>91400000</v>
      </c>
      <c r="G1826" t="s">
        <v>24</v>
      </c>
      <c r="H1826" t="s">
        <v>81</v>
      </c>
      <c r="I1826" t="s">
        <v>9</v>
      </c>
      <c r="L1826" t="s">
        <v>161</v>
      </c>
      <c r="M1826">
        <v>-91400000</v>
      </c>
    </row>
    <row r="1827" spans="1:13" x14ac:dyDescent="0.3">
      <c r="A1827" s="23">
        <v>44805</v>
      </c>
      <c r="B1827" t="s">
        <v>12</v>
      </c>
      <c r="C1827" t="s">
        <v>132</v>
      </c>
      <c r="D1827" t="s">
        <v>17</v>
      </c>
      <c r="E1827" t="s">
        <v>39</v>
      </c>
      <c r="F1827">
        <v>34100000</v>
      </c>
      <c r="G1827" t="s">
        <v>24</v>
      </c>
      <c r="H1827" t="s">
        <v>81</v>
      </c>
      <c r="I1827" t="s">
        <v>9</v>
      </c>
      <c r="L1827" t="s">
        <v>161</v>
      </c>
      <c r="M1827">
        <v>-34100000</v>
      </c>
    </row>
    <row r="1828" spans="1:13" x14ac:dyDescent="0.3">
      <c r="A1828" s="23">
        <v>45628</v>
      </c>
      <c r="B1828" t="s">
        <v>12</v>
      </c>
      <c r="C1828" t="s">
        <v>132</v>
      </c>
      <c r="D1828" t="s">
        <v>17</v>
      </c>
      <c r="E1828" t="s">
        <v>39</v>
      </c>
      <c r="F1828">
        <v>300000000</v>
      </c>
      <c r="G1828" t="s">
        <v>24</v>
      </c>
      <c r="H1828" t="s">
        <v>81</v>
      </c>
      <c r="I1828" t="s">
        <v>9</v>
      </c>
      <c r="L1828" t="s">
        <v>161</v>
      </c>
      <c r="M1828">
        <v>-300000000</v>
      </c>
    </row>
    <row r="1829" spans="1:13" x14ac:dyDescent="0.3">
      <c r="A1829" s="23">
        <v>45625</v>
      </c>
      <c r="B1829" t="s">
        <v>12</v>
      </c>
      <c r="C1829" t="s">
        <v>132</v>
      </c>
      <c r="D1829" t="s">
        <v>16</v>
      </c>
      <c r="E1829" t="s">
        <v>39</v>
      </c>
      <c r="F1829">
        <v>300000000</v>
      </c>
      <c r="G1829" t="s">
        <v>24</v>
      </c>
      <c r="H1829" t="s">
        <v>81</v>
      </c>
      <c r="I1829" t="s">
        <v>9</v>
      </c>
      <c r="L1829" t="s">
        <v>161</v>
      </c>
      <c r="M1829">
        <v>300000000</v>
      </c>
    </row>
    <row r="1830" spans="1:13" x14ac:dyDescent="0.3">
      <c r="A1830" s="23">
        <v>45566</v>
      </c>
      <c r="B1830" t="s">
        <v>12</v>
      </c>
      <c r="C1830" t="s">
        <v>132</v>
      </c>
      <c r="D1830" t="s">
        <v>17</v>
      </c>
      <c r="E1830" t="s">
        <v>39</v>
      </c>
      <c r="F1830">
        <v>63927000</v>
      </c>
      <c r="G1830" t="s">
        <v>24</v>
      </c>
      <c r="H1830" t="s">
        <v>81</v>
      </c>
      <c r="I1830" t="s">
        <v>9</v>
      </c>
      <c r="L1830" t="s">
        <v>161</v>
      </c>
      <c r="M1830">
        <v>-63927000</v>
      </c>
    </row>
    <row r="1831" spans="1:13" x14ac:dyDescent="0.3">
      <c r="A1831" s="23">
        <v>45565</v>
      </c>
      <c r="B1831" t="s">
        <v>12</v>
      </c>
      <c r="C1831" t="s">
        <v>132</v>
      </c>
      <c r="D1831" t="s">
        <v>16</v>
      </c>
      <c r="E1831" t="s">
        <v>39</v>
      </c>
      <c r="F1831">
        <v>1550000</v>
      </c>
      <c r="G1831" t="s">
        <v>24</v>
      </c>
      <c r="H1831" t="s">
        <v>81</v>
      </c>
      <c r="I1831" t="s">
        <v>9</v>
      </c>
      <c r="L1831" t="s">
        <v>161</v>
      </c>
      <c r="M1831">
        <v>1550000</v>
      </c>
    </row>
    <row r="1832" spans="1:13" x14ac:dyDescent="0.3">
      <c r="A1832" s="23">
        <v>45538</v>
      </c>
      <c r="B1832" t="s">
        <v>12</v>
      </c>
      <c r="C1832" t="s">
        <v>132</v>
      </c>
      <c r="D1832" t="s">
        <v>16</v>
      </c>
      <c r="E1832" t="s">
        <v>39</v>
      </c>
      <c r="F1832">
        <v>2260000</v>
      </c>
      <c r="G1832" t="s">
        <v>24</v>
      </c>
      <c r="H1832" t="s">
        <v>81</v>
      </c>
      <c r="I1832" t="s">
        <v>9</v>
      </c>
      <c r="L1832" t="s">
        <v>161</v>
      </c>
      <c r="M1832">
        <v>2260000</v>
      </c>
    </row>
    <row r="1833" spans="1:13" x14ac:dyDescent="0.3">
      <c r="A1833" s="23">
        <v>45504</v>
      </c>
      <c r="B1833" t="s">
        <v>12</v>
      </c>
      <c r="C1833" t="s">
        <v>132</v>
      </c>
      <c r="D1833" t="s">
        <v>16</v>
      </c>
      <c r="E1833" t="s">
        <v>39</v>
      </c>
      <c r="F1833">
        <v>35347000</v>
      </c>
      <c r="G1833" t="s">
        <v>24</v>
      </c>
      <c r="H1833" t="s">
        <v>81</v>
      </c>
      <c r="I1833" t="s">
        <v>9</v>
      </c>
      <c r="L1833" t="s">
        <v>161</v>
      </c>
      <c r="M1833">
        <v>35347000</v>
      </c>
    </row>
    <row r="1834" spans="1:13" x14ac:dyDescent="0.3">
      <c r="A1834" s="23">
        <v>45474</v>
      </c>
      <c r="B1834" t="s">
        <v>12</v>
      </c>
      <c r="C1834" t="s">
        <v>132</v>
      </c>
      <c r="D1834" t="s">
        <v>17</v>
      </c>
      <c r="E1834" t="s">
        <v>39</v>
      </c>
      <c r="F1834">
        <v>1913000000</v>
      </c>
      <c r="G1834" t="s">
        <v>24</v>
      </c>
      <c r="H1834" t="s">
        <v>81</v>
      </c>
      <c r="I1834" t="s">
        <v>9</v>
      </c>
      <c r="L1834" t="s">
        <v>161</v>
      </c>
      <c r="M1834">
        <v>-1913000000</v>
      </c>
    </row>
    <row r="1835" spans="1:13" x14ac:dyDescent="0.3">
      <c r="A1835" s="23">
        <v>45460</v>
      </c>
      <c r="B1835" t="s">
        <v>12</v>
      </c>
      <c r="C1835" t="s">
        <v>132</v>
      </c>
      <c r="D1835" t="s">
        <v>16</v>
      </c>
      <c r="E1835" t="s">
        <v>39</v>
      </c>
      <c r="F1835">
        <v>13770000</v>
      </c>
      <c r="G1835" t="s">
        <v>24</v>
      </c>
      <c r="H1835" t="s">
        <v>81</v>
      </c>
      <c r="I1835" t="s">
        <v>9</v>
      </c>
      <c r="L1835" t="s">
        <v>161</v>
      </c>
      <c r="M1835">
        <v>13770000</v>
      </c>
    </row>
    <row r="1836" spans="1:13" x14ac:dyDescent="0.3">
      <c r="A1836" s="23">
        <v>45450</v>
      </c>
      <c r="B1836" t="s">
        <v>12</v>
      </c>
      <c r="C1836" t="s">
        <v>132</v>
      </c>
      <c r="D1836" t="s">
        <v>16</v>
      </c>
      <c r="E1836" t="s">
        <v>39</v>
      </c>
      <c r="F1836">
        <v>1924000000</v>
      </c>
      <c r="G1836" t="s">
        <v>24</v>
      </c>
      <c r="H1836" t="s">
        <v>81</v>
      </c>
      <c r="I1836" t="s">
        <v>9</v>
      </c>
      <c r="L1836" t="s">
        <v>161</v>
      </c>
      <c r="M1836">
        <v>1924000000</v>
      </c>
    </row>
    <row r="1837" spans="1:13" x14ac:dyDescent="0.3">
      <c r="A1837" s="23">
        <v>45295</v>
      </c>
      <c r="B1837" t="s">
        <v>12</v>
      </c>
      <c r="C1837" t="s">
        <v>132</v>
      </c>
      <c r="D1837" t="s">
        <v>17</v>
      </c>
      <c r="E1837" t="s">
        <v>39</v>
      </c>
      <c r="F1837">
        <v>100000000</v>
      </c>
      <c r="G1837" t="s">
        <v>24</v>
      </c>
      <c r="H1837" t="s">
        <v>81</v>
      </c>
      <c r="I1837" t="s">
        <v>9</v>
      </c>
      <c r="L1837" t="s">
        <v>161</v>
      </c>
      <c r="M1837">
        <v>-100000000</v>
      </c>
    </row>
    <row r="1838" spans="1:13" x14ac:dyDescent="0.3">
      <c r="A1838" s="23">
        <v>45293</v>
      </c>
      <c r="B1838" t="s">
        <v>12</v>
      </c>
      <c r="C1838" t="s">
        <v>132</v>
      </c>
      <c r="D1838" t="s">
        <v>17</v>
      </c>
      <c r="E1838" t="s">
        <v>39</v>
      </c>
      <c r="F1838">
        <v>1700000000</v>
      </c>
      <c r="G1838" t="s">
        <v>24</v>
      </c>
      <c r="H1838" t="s">
        <v>81</v>
      </c>
      <c r="I1838" t="s">
        <v>9</v>
      </c>
      <c r="L1838" t="s">
        <v>161</v>
      </c>
      <c r="M1838">
        <v>-1700000000</v>
      </c>
    </row>
    <row r="1839" spans="1:13" x14ac:dyDescent="0.3">
      <c r="A1839" s="23">
        <v>45288</v>
      </c>
      <c r="B1839" t="s">
        <v>12</v>
      </c>
      <c r="C1839" t="s">
        <v>132</v>
      </c>
      <c r="D1839" t="s">
        <v>17</v>
      </c>
      <c r="E1839" t="s">
        <v>39</v>
      </c>
      <c r="F1839">
        <v>100000000</v>
      </c>
      <c r="G1839" t="s">
        <v>24</v>
      </c>
      <c r="H1839" t="s">
        <v>81</v>
      </c>
      <c r="I1839" t="s">
        <v>9</v>
      </c>
      <c r="L1839" t="s">
        <v>161</v>
      </c>
      <c r="M1839">
        <v>-100000000</v>
      </c>
    </row>
    <row r="1840" spans="1:13" x14ac:dyDescent="0.3">
      <c r="A1840" s="23">
        <v>45287</v>
      </c>
      <c r="B1840" t="s">
        <v>12</v>
      </c>
      <c r="C1840" t="s">
        <v>132</v>
      </c>
      <c r="D1840" t="s">
        <v>16</v>
      </c>
      <c r="E1840" t="s">
        <v>39</v>
      </c>
      <c r="F1840">
        <v>1900000000</v>
      </c>
      <c r="G1840" t="s">
        <v>24</v>
      </c>
      <c r="H1840" t="s">
        <v>81</v>
      </c>
      <c r="I1840" t="s">
        <v>9</v>
      </c>
      <c r="L1840" t="s">
        <v>161</v>
      </c>
      <c r="M1840">
        <v>1900000000</v>
      </c>
    </row>
    <row r="1841" spans="1:13" x14ac:dyDescent="0.3">
      <c r="A1841" s="23">
        <v>45819</v>
      </c>
      <c r="B1841" t="s">
        <v>12</v>
      </c>
      <c r="C1841" t="s">
        <v>132</v>
      </c>
      <c r="D1841" t="s">
        <v>16</v>
      </c>
      <c r="E1841" t="s">
        <v>128</v>
      </c>
      <c r="F1841">
        <v>23928192.48</v>
      </c>
      <c r="G1841" t="s">
        <v>129</v>
      </c>
      <c r="H1841" t="s">
        <v>81</v>
      </c>
      <c r="I1841" t="s">
        <v>9</v>
      </c>
      <c r="L1841" t="s">
        <v>161</v>
      </c>
      <c r="M1841">
        <v>23928192.48</v>
      </c>
    </row>
    <row r="1842" spans="1:13" x14ac:dyDescent="0.3">
      <c r="A1842" s="23">
        <v>45819</v>
      </c>
      <c r="B1842" t="s">
        <v>12</v>
      </c>
      <c r="C1842" t="s">
        <v>132</v>
      </c>
      <c r="D1842" t="s">
        <v>16</v>
      </c>
      <c r="E1842" t="s">
        <v>128</v>
      </c>
      <c r="F1842">
        <v>34176732.100000001</v>
      </c>
      <c r="G1842" t="s">
        <v>129</v>
      </c>
      <c r="H1842" t="s">
        <v>81</v>
      </c>
      <c r="I1842" t="s">
        <v>9</v>
      </c>
      <c r="L1842" t="s">
        <v>161</v>
      </c>
      <c r="M1842">
        <v>34176732.100000001</v>
      </c>
    </row>
    <row r="1843" spans="1:13" x14ac:dyDescent="0.3">
      <c r="A1843" s="23">
        <v>45089</v>
      </c>
      <c r="B1843" t="s">
        <v>12</v>
      </c>
      <c r="C1843" t="s">
        <v>132</v>
      </c>
      <c r="D1843" t="s">
        <v>16</v>
      </c>
      <c r="E1843" t="s">
        <v>128</v>
      </c>
      <c r="F1843">
        <v>100000000</v>
      </c>
      <c r="G1843" t="s">
        <v>129</v>
      </c>
      <c r="H1843" t="s">
        <v>81</v>
      </c>
      <c r="I1843" t="s">
        <v>9</v>
      </c>
      <c r="L1843" t="s">
        <v>161</v>
      </c>
      <c r="M1843">
        <v>100000000</v>
      </c>
    </row>
    <row r="1844" spans="1:13" x14ac:dyDescent="0.3">
      <c r="A1844" s="23">
        <v>45091</v>
      </c>
      <c r="B1844" t="s">
        <v>12</v>
      </c>
      <c r="C1844" t="s">
        <v>132</v>
      </c>
      <c r="D1844" t="s">
        <v>16</v>
      </c>
      <c r="E1844" t="s">
        <v>128</v>
      </c>
      <c r="F1844">
        <v>1110182</v>
      </c>
      <c r="G1844" t="s">
        <v>129</v>
      </c>
      <c r="H1844" t="s">
        <v>81</v>
      </c>
      <c r="I1844" t="s">
        <v>9</v>
      </c>
      <c r="J1844" t="s">
        <v>155</v>
      </c>
      <c r="L1844" t="s">
        <v>161</v>
      </c>
      <c r="M1844">
        <v>1110182</v>
      </c>
    </row>
    <row r="1845" spans="1:13" x14ac:dyDescent="0.3">
      <c r="A1845" s="23">
        <v>45099</v>
      </c>
      <c r="B1845" t="s">
        <v>12</v>
      </c>
      <c r="C1845" t="s">
        <v>132</v>
      </c>
      <c r="D1845" t="s">
        <v>17</v>
      </c>
      <c r="E1845" t="s">
        <v>128</v>
      </c>
      <c r="F1845">
        <v>101110182</v>
      </c>
      <c r="G1845" t="s">
        <v>129</v>
      </c>
      <c r="H1845" t="s">
        <v>81</v>
      </c>
      <c r="I1845" t="s">
        <v>9</v>
      </c>
      <c r="L1845" t="s">
        <v>161</v>
      </c>
      <c r="M1845">
        <v>-101110182</v>
      </c>
    </row>
    <row r="1846" spans="1:13" x14ac:dyDescent="0.3">
      <c r="A1846" s="23">
        <v>45121</v>
      </c>
      <c r="B1846" t="s">
        <v>12</v>
      </c>
      <c r="C1846" t="s">
        <v>132</v>
      </c>
      <c r="D1846" t="s">
        <v>16</v>
      </c>
      <c r="E1846" t="s">
        <v>128</v>
      </c>
      <c r="F1846">
        <v>102900000</v>
      </c>
      <c r="G1846" t="s">
        <v>129</v>
      </c>
      <c r="H1846" t="s">
        <v>81</v>
      </c>
      <c r="I1846" t="s">
        <v>9</v>
      </c>
      <c r="L1846" t="s">
        <v>161</v>
      </c>
      <c r="M1846">
        <v>102900000</v>
      </c>
    </row>
    <row r="1847" spans="1:13" x14ac:dyDescent="0.3">
      <c r="A1847" s="23">
        <v>45128</v>
      </c>
      <c r="B1847" t="s">
        <v>12</v>
      </c>
      <c r="C1847" t="s">
        <v>132</v>
      </c>
      <c r="D1847" t="s">
        <v>17</v>
      </c>
      <c r="E1847" t="s">
        <v>128</v>
      </c>
      <c r="F1847">
        <v>102900000</v>
      </c>
      <c r="G1847" t="s">
        <v>129</v>
      </c>
      <c r="H1847" t="s">
        <v>81</v>
      </c>
      <c r="I1847" t="s">
        <v>9</v>
      </c>
      <c r="L1847" t="s">
        <v>161</v>
      </c>
      <c r="M1847">
        <v>-102900000</v>
      </c>
    </row>
    <row r="1848" spans="1:13" x14ac:dyDescent="0.3">
      <c r="A1848" s="23">
        <v>45128</v>
      </c>
      <c r="B1848" t="s">
        <v>12</v>
      </c>
      <c r="C1848" t="s">
        <v>132</v>
      </c>
      <c r="D1848" t="s">
        <v>16</v>
      </c>
      <c r="E1848" t="s">
        <v>128</v>
      </c>
      <c r="F1848">
        <v>228424</v>
      </c>
      <c r="G1848" t="s">
        <v>129</v>
      </c>
      <c r="H1848" t="s">
        <v>81</v>
      </c>
      <c r="I1848" t="s">
        <v>9</v>
      </c>
      <c r="L1848" t="s">
        <v>161</v>
      </c>
      <c r="M1848">
        <v>228424</v>
      </c>
    </row>
    <row r="1849" spans="1:13" x14ac:dyDescent="0.3">
      <c r="A1849" s="23">
        <v>45132</v>
      </c>
      <c r="B1849" t="s">
        <v>12</v>
      </c>
      <c r="C1849" t="s">
        <v>132</v>
      </c>
      <c r="D1849" t="s">
        <v>16</v>
      </c>
      <c r="E1849" t="s">
        <v>128</v>
      </c>
      <c r="F1849">
        <v>3552</v>
      </c>
      <c r="G1849" t="s">
        <v>129</v>
      </c>
      <c r="H1849" t="s">
        <v>81</v>
      </c>
      <c r="I1849" t="s">
        <v>9</v>
      </c>
      <c r="J1849" t="s">
        <v>155</v>
      </c>
      <c r="L1849" t="s">
        <v>161</v>
      </c>
      <c r="M1849">
        <v>3552</v>
      </c>
    </row>
    <row r="1850" spans="1:13" x14ac:dyDescent="0.3">
      <c r="A1850" s="23">
        <v>45142</v>
      </c>
      <c r="B1850" t="s">
        <v>12</v>
      </c>
      <c r="C1850" t="s">
        <v>132</v>
      </c>
      <c r="D1850" t="s">
        <v>17</v>
      </c>
      <c r="E1850" t="s">
        <v>128</v>
      </c>
      <c r="F1850">
        <v>231976</v>
      </c>
      <c r="G1850" t="s">
        <v>129</v>
      </c>
      <c r="H1850" t="s">
        <v>81</v>
      </c>
      <c r="I1850" t="s">
        <v>9</v>
      </c>
      <c r="L1850" t="s">
        <v>161</v>
      </c>
      <c r="M1850">
        <v>-231976</v>
      </c>
    </row>
    <row r="1851" spans="1:13" x14ac:dyDescent="0.3">
      <c r="A1851" s="23">
        <v>45153</v>
      </c>
      <c r="B1851" t="s">
        <v>12</v>
      </c>
      <c r="C1851" t="s">
        <v>132</v>
      </c>
      <c r="D1851" t="s">
        <v>16</v>
      </c>
      <c r="E1851" t="s">
        <v>128</v>
      </c>
      <c r="F1851">
        <v>200000000</v>
      </c>
      <c r="G1851" t="s">
        <v>129</v>
      </c>
      <c r="H1851" t="s">
        <v>81</v>
      </c>
      <c r="I1851" t="s">
        <v>9</v>
      </c>
      <c r="L1851" t="s">
        <v>161</v>
      </c>
      <c r="M1851">
        <v>200000000</v>
      </c>
    </row>
    <row r="1852" spans="1:13" x14ac:dyDescent="0.3">
      <c r="A1852" s="23">
        <v>45155</v>
      </c>
      <c r="B1852" t="s">
        <v>12</v>
      </c>
      <c r="C1852" t="s">
        <v>132</v>
      </c>
      <c r="D1852" t="s">
        <v>17</v>
      </c>
      <c r="E1852" t="s">
        <v>128</v>
      </c>
      <c r="F1852">
        <v>200000000</v>
      </c>
      <c r="G1852" t="s">
        <v>129</v>
      </c>
      <c r="H1852" t="s">
        <v>81</v>
      </c>
      <c r="I1852" t="s">
        <v>9</v>
      </c>
      <c r="L1852" t="s">
        <v>161</v>
      </c>
      <c r="M1852">
        <v>-200000000</v>
      </c>
    </row>
    <row r="1853" spans="1:13" x14ac:dyDescent="0.3">
      <c r="A1853" s="23">
        <v>45155</v>
      </c>
      <c r="B1853" t="s">
        <v>12</v>
      </c>
      <c r="C1853" t="s">
        <v>132</v>
      </c>
      <c r="D1853" t="s">
        <v>16</v>
      </c>
      <c r="E1853" t="s">
        <v>128</v>
      </c>
      <c r="F1853">
        <v>200000000</v>
      </c>
      <c r="G1853" t="s">
        <v>129</v>
      </c>
      <c r="H1853" t="s">
        <v>81</v>
      </c>
      <c r="I1853" t="s">
        <v>9</v>
      </c>
      <c r="L1853" t="s">
        <v>161</v>
      </c>
      <c r="M1853">
        <v>200000000</v>
      </c>
    </row>
    <row r="1854" spans="1:13" x14ac:dyDescent="0.3">
      <c r="A1854" s="23">
        <v>45156</v>
      </c>
      <c r="B1854" t="s">
        <v>12</v>
      </c>
      <c r="C1854" t="s">
        <v>132</v>
      </c>
      <c r="D1854" t="s">
        <v>16</v>
      </c>
      <c r="E1854" t="s">
        <v>128</v>
      </c>
      <c r="F1854">
        <v>1012848</v>
      </c>
      <c r="G1854" t="s">
        <v>129</v>
      </c>
      <c r="H1854" t="s">
        <v>81</v>
      </c>
      <c r="I1854" t="s">
        <v>9</v>
      </c>
      <c r="L1854" t="s">
        <v>161</v>
      </c>
      <c r="M1854">
        <v>1012848</v>
      </c>
    </row>
    <row r="1855" spans="1:13" x14ac:dyDescent="0.3">
      <c r="A1855" s="23">
        <v>45156</v>
      </c>
      <c r="B1855" t="s">
        <v>12</v>
      </c>
      <c r="C1855" t="s">
        <v>132</v>
      </c>
      <c r="D1855" t="s">
        <v>17</v>
      </c>
      <c r="E1855" t="s">
        <v>128</v>
      </c>
      <c r="F1855">
        <v>201012848</v>
      </c>
      <c r="G1855" t="s">
        <v>129</v>
      </c>
      <c r="H1855" t="s">
        <v>81</v>
      </c>
      <c r="I1855" t="s">
        <v>9</v>
      </c>
      <c r="L1855" t="s">
        <v>161</v>
      </c>
      <c r="M1855">
        <v>-201012848</v>
      </c>
    </row>
    <row r="1856" spans="1:13" x14ac:dyDescent="0.3">
      <c r="A1856" s="23">
        <v>45174</v>
      </c>
      <c r="B1856" t="s">
        <v>12</v>
      </c>
      <c r="C1856" t="s">
        <v>132</v>
      </c>
      <c r="D1856" t="s">
        <v>16</v>
      </c>
      <c r="E1856" t="s">
        <v>128</v>
      </c>
      <c r="F1856">
        <v>211035118</v>
      </c>
      <c r="G1856" t="s">
        <v>129</v>
      </c>
      <c r="H1856" t="s">
        <v>81</v>
      </c>
      <c r="I1856" t="s">
        <v>9</v>
      </c>
      <c r="L1856" t="s">
        <v>161</v>
      </c>
      <c r="M1856">
        <v>211035118</v>
      </c>
    </row>
    <row r="1857" spans="1:13" x14ac:dyDescent="0.3">
      <c r="A1857" s="23">
        <v>45177</v>
      </c>
      <c r="B1857" t="s">
        <v>12</v>
      </c>
      <c r="C1857" t="s">
        <v>132</v>
      </c>
      <c r="D1857" t="s">
        <v>16</v>
      </c>
      <c r="E1857" t="s">
        <v>128</v>
      </c>
      <c r="F1857">
        <v>1681196</v>
      </c>
      <c r="G1857" t="s">
        <v>129</v>
      </c>
      <c r="H1857" t="s">
        <v>81</v>
      </c>
      <c r="I1857" t="s">
        <v>9</v>
      </c>
      <c r="L1857" t="s">
        <v>161</v>
      </c>
      <c r="M1857">
        <v>1681196</v>
      </c>
    </row>
    <row r="1858" spans="1:13" x14ac:dyDescent="0.3">
      <c r="A1858" s="23">
        <v>45177</v>
      </c>
      <c r="B1858" t="s">
        <v>12</v>
      </c>
      <c r="C1858" t="s">
        <v>132</v>
      </c>
      <c r="D1858" t="s">
        <v>17</v>
      </c>
      <c r="E1858" t="s">
        <v>128</v>
      </c>
      <c r="F1858">
        <v>212716314</v>
      </c>
      <c r="G1858" t="s">
        <v>129</v>
      </c>
      <c r="H1858" t="s">
        <v>81</v>
      </c>
      <c r="I1858" t="s">
        <v>9</v>
      </c>
      <c r="L1858" t="s">
        <v>161</v>
      </c>
      <c r="M1858">
        <v>-212716314</v>
      </c>
    </row>
    <row r="1859" spans="1:13" x14ac:dyDescent="0.3">
      <c r="A1859" s="23">
        <v>45128</v>
      </c>
      <c r="B1859" t="s">
        <v>12</v>
      </c>
      <c r="C1859" t="s">
        <v>132</v>
      </c>
      <c r="D1859" t="s">
        <v>16</v>
      </c>
      <c r="E1859" t="s">
        <v>45</v>
      </c>
      <c r="F1859">
        <v>6000000</v>
      </c>
      <c r="G1859" t="s">
        <v>26</v>
      </c>
      <c r="H1859" t="s">
        <v>81</v>
      </c>
      <c r="I1859" t="s">
        <v>9</v>
      </c>
      <c r="L1859" t="s">
        <v>161</v>
      </c>
      <c r="M1859">
        <v>6000000</v>
      </c>
    </row>
    <row r="1860" spans="1:13" x14ac:dyDescent="0.3">
      <c r="A1860" s="23">
        <v>45132</v>
      </c>
      <c r="B1860" t="s">
        <v>12</v>
      </c>
      <c r="C1860" t="s">
        <v>132</v>
      </c>
      <c r="D1860" t="s">
        <v>16</v>
      </c>
      <c r="E1860" t="s">
        <v>45</v>
      </c>
      <c r="F1860">
        <v>144368.01</v>
      </c>
      <c r="G1860" t="s">
        <v>26</v>
      </c>
      <c r="H1860" t="s">
        <v>81</v>
      </c>
      <c r="I1860" t="s">
        <v>9</v>
      </c>
      <c r="J1860" t="s">
        <v>155</v>
      </c>
      <c r="L1860" t="s">
        <v>161</v>
      </c>
      <c r="M1860">
        <v>144368.01</v>
      </c>
    </row>
    <row r="1861" spans="1:13" x14ac:dyDescent="0.3">
      <c r="A1861" s="23">
        <v>45134</v>
      </c>
      <c r="B1861" t="s">
        <v>12</v>
      </c>
      <c r="C1861" t="s">
        <v>132</v>
      </c>
      <c r="D1861" t="s">
        <v>17</v>
      </c>
      <c r="E1861" t="s">
        <v>45</v>
      </c>
      <c r="F1861">
        <v>6144368.0099999998</v>
      </c>
      <c r="G1861" t="s">
        <v>26</v>
      </c>
      <c r="H1861" t="s">
        <v>81</v>
      </c>
      <c r="I1861" t="s">
        <v>9</v>
      </c>
      <c r="L1861" t="s">
        <v>161</v>
      </c>
      <c r="M1861">
        <v>-6144368.0099999998</v>
      </c>
    </row>
    <row r="1862" spans="1:13" x14ac:dyDescent="0.3">
      <c r="A1862" s="23">
        <v>45869</v>
      </c>
      <c r="B1862" t="s">
        <v>12</v>
      </c>
      <c r="C1862" t="s">
        <v>132</v>
      </c>
      <c r="D1862" t="s">
        <v>17</v>
      </c>
      <c r="E1862" t="s">
        <v>162</v>
      </c>
      <c r="F1862">
        <v>255851107</v>
      </c>
      <c r="G1862" t="s">
        <v>22</v>
      </c>
      <c r="H1862" t="s">
        <v>81</v>
      </c>
      <c r="I1862" t="s">
        <v>9</v>
      </c>
      <c r="L1862" t="s">
        <v>161</v>
      </c>
      <c r="M1862">
        <v>-255851107</v>
      </c>
    </row>
    <row r="1863" spans="1:13" x14ac:dyDescent="0.3">
      <c r="A1863" s="23">
        <v>45806</v>
      </c>
      <c r="B1863" t="s">
        <v>12</v>
      </c>
      <c r="C1863" t="s">
        <v>132</v>
      </c>
      <c r="D1863" t="s">
        <v>16</v>
      </c>
      <c r="E1863" t="s">
        <v>162</v>
      </c>
      <c r="F1863">
        <v>12683538</v>
      </c>
      <c r="G1863" t="s">
        <v>22</v>
      </c>
      <c r="H1863" t="s">
        <v>81</v>
      </c>
      <c r="I1863" t="s">
        <v>9</v>
      </c>
      <c r="L1863" t="s">
        <v>161</v>
      </c>
      <c r="M1863">
        <v>12683538</v>
      </c>
    </row>
    <row r="1864" spans="1:13" x14ac:dyDescent="0.3">
      <c r="A1864" s="23">
        <v>45737</v>
      </c>
      <c r="B1864" t="s">
        <v>12</v>
      </c>
      <c r="C1864" t="s">
        <v>132</v>
      </c>
      <c r="D1864" t="s">
        <v>16</v>
      </c>
      <c r="E1864" t="s">
        <v>162</v>
      </c>
      <c r="F1864">
        <v>183851625</v>
      </c>
      <c r="G1864" t="s">
        <v>22</v>
      </c>
      <c r="H1864" t="s">
        <v>81</v>
      </c>
      <c r="I1864" t="s">
        <v>9</v>
      </c>
      <c r="L1864" t="s">
        <v>161</v>
      </c>
      <c r="M1864">
        <v>183851625</v>
      </c>
    </row>
    <row r="1865" spans="1:13" x14ac:dyDescent="0.3">
      <c r="A1865" s="23">
        <v>45695</v>
      </c>
      <c r="B1865" t="s">
        <v>12</v>
      </c>
      <c r="C1865" t="s">
        <v>132</v>
      </c>
      <c r="D1865" t="s">
        <v>16</v>
      </c>
      <c r="E1865" t="s">
        <v>162</v>
      </c>
      <c r="F1865">
        <v>960000</v>
      </c>
      <c r="G1865" t="s">
        <v>22</v>
      </c>
      <c r="H1865" t="s">
        <v>81</v>
      </c>
      <c r="I1865" t="s">
        <v>9</v>
      </c>
      <c r="L1865" t="s">
        <v>161</v>
      </c>
      <c r="M1865">
        <v>960000</v>
      </c>
    </row>
    <row r="1866" spans="1:13" x14ac:dyDescent="0.3">
      <c r="A1866" s="23">
        <v>45674</v>
      </c>
      <c r="B1866" t="s">
        <v>12</v>
      </c>
      <c r="C1866" t="s">
        <v>132</v>
      </c>
      <c r="D1866" t="s">
        <v>16</v>
      </c>
      <c r="E1866" t="s">
        <v>162</v>
      </c>
      <c r="F1866">
        <v>58355944</v>
      </c>
      <c r="G1866" t="s">
        <v>22</v>
      </c>
      <c r="H1866" t="s">
        <v>81</v>
      </c>
      <c r="I1866" t="s">
        <v>9</v>
      </c>
      <c r="L1866" t="s">
        <v>161</v>
      </c>
      <c r="M1866">
        <v>58355944</v>
      </c>
    </row>
    <row r="1867" spans="1:13" x14ac:dyDescent="0.3">
      <c r="A1867" s="23">
        <v>45666</v>
      </c>
      <c r="B1867" t="s">
        <v>12</v>
      </c>
      <c r="C1867" t="s">
        <v>132</v>
      </c>
      <c r="D1867" t="s">
        <v>17</v>
      </c>
      <c r="E1867" t="s">
        <v>162</v>
      </c>
      <c r="F1867">
        <v>56461776</v>
      </c>
      <c r="G1867" t="s">
        <v>22</v>
      </c>
      <c r="H1867" t="s">
        <v>81</v>
      </c>
      <c r="I1867" t="s">
        <v>9</v>
      </c>
      <c r="L1867" t="s">
        <v>161</v>
      </c>
      <c r="M1867">
        <v>-56461776</v>
      </c>
    </row>
    <row r="1868" spans="1:13" x14ac:dyDescent="0.3">
      <c r="A1868" s="23">
        <v>45664</v>
      </c>
      <c r="B1868" t="s">
        <v>12</v>
      </c>
      <c r="C1868" t="s">
        <v>132</v>
      </c>
      <c r="D1868" t="s">
        <v>16</v>
      </c>
      <c r="E1868" t="s">
        <v>162</v>
      </c>
      <c r="F1868">
        <v>56461776</v>
      </c>
      <c r="G1868" t="s">
        <v>22</v>
      </c>
      <c r="H1868" t="s">
        <v>81</v>
      </c>
      <c r="I1868" t="s">
        <v>9</v>
      </c>
      <c r="L1868" t="s">
        <v>161</v>
      </c>
      <c r="M1868">
        <v>56461776</v>
      </c>
    </row>
    <row r="1869" spans="1:13" x14ac:dyDescent="0.3">
      <c r="A1869" s="23">
        <v>45656</v>
      </c>
      <c r="B1869" t="s">
        <v>12</v>
      </c>
      <c r="C1869" t="s">
        <v>132</v>
      </c>
      <c r="D1869" t="s">
        <v>17</v>
      </c>
      <c r="E1869" t="s">
        <v>162</v>
      </c>
      <c r="F1869">
        <v>131142113</v>
      </c>
      <c r="G1869" t="s">
        <v>22</v>
      </c>
      <c r="H1869" t="s">
        <v>81</v>
      </c>
      <c r="I1869" t="s">
        <v>9</v>
      </c>
      <c r="L1869" t="s">
        <v>161</v>
      </c>
      <c r="M1869">
        <v>-131142113</v>
      </c>
    </row>
    <row r="1870" spans="1:13" x14ac:dyDescent="0.3">
      <c r="A1870" s="23">
        <v>45652</v>
      </c>
      <c r="B1870" t="s">
        <v>12</v>
      </c>
      <c r="C1870" t="s">
        <v>132</v>
      </c>
      <c r="D1870" t="s">
        <v>16</v>
      </c>
      <c r="E1870" t="s">
        <v>162</v>
      </c>
      <c r="F1870">
        <v>42617313</v>
      </c>
      <c r="G1870" t="s">
        <v>22</v>
      </c>
      <c r="H1870" t="s">
        <v>81</v>
      </c>
      <c r="I1870" t="s">
        <v>9</v>
      </c>
      <c r="L1870" t="s">
        <v>161</v>
      </c>
      <c r="M1870">
        <v>42617313</v>
      </c>
    </row>
    <row r="1871" spans="1:13" x14ac:dyDescent="0.3">
      <c r="A1871" s="23">
        <v>45636</v>
      </c>
      <c r="B1871" t="s">
        <v>12</v>
      </c>
      <c r="C1871" t="s">
        <v>132</v>
      </c>
      <c r="D1871" t="s">
        <v>16</v>
      </c>
      <c r="E1871" t="s">
        <v>162</v>
      </c>
      <c r="F1871">
        <v>88524800</v>
      </c>
      <c r="G1871" t="s">
        <v>22</v>
      </c>
      <c r="H1871" t="s">
        <v>81</v>
      </c>
      <c r="I1871" t="s">
        <v>9</v>
      </c>
      <c r="L1871" t="s">
        <v>161</v>
      </c>
      <c r="M1871">
        <v>88524800</v>
      </c>
    </row>
    <row r="1872" spans="1:13" x14ac:dyDescent="0.3">
      <c r="A1872" s="23">
        <v>45581</v>
      </c>
      <c r="B1872" t="s">
        <v>12</v>
      </c>
      <c r="C1872" t="s">
        <v>132</v>
      </c>
      <c r="D1872" t="s">
        <v>17</v>
      </c>
      <c r="E1872" t="s">
        <v>162</v>
      </c>
      <c r="F1872">
        <v>46607400</v>
      </c>
      <c r="G1872" t="s">
        <v>22</v>
      </c>
      <c r="H1872" t="s">
        <v>81</v>
      </c>
      <c r="I1872" t="s">
        <v>9</v>
      </c>
      <c r="L1872" t="s">
        <v>161</v>
      </c>
      <c r="M1872">
        <v>-46607400</v>
      </c>
    </row>
    <row r="1873" spans="1:13" x14ac:dyDescent="0.3">
      <c r="A1873" s="23">
        <v>45572</v>
      </c>
      <c r="B1873" t="s">
        <v>12</v>
      </c>
      <c r="C1873" t="s">
        <v>132</v>
      </c>
      <c r="D1873" t="s">
        <v>17</v>
      </c>
      <c r="E1873" t="s">
        <v>162</v>
      </c>
      <c r="F1873">
        <v>100000000</v>
      </c>
      <c r="G1873" t="s">
        <v>22</v>
      </c>
      <c r="H1873" t="s">
        <v>81</v>
      </c>
      <c r="I1873" t="s">
        <v>9</v>
      </c>
      <c r="L1873" t="s">
        <v>161</v>
      </c>
      <c r="M1873">
        <v>-100000000</v>
      </c>
    </row>
    <row r="1874" spans="1:13" x14ac:dyDescent="0.3">
      <c r="A1874" s="23">
        <v>45565</v>
      </c>
      <c r="B1874" t="s">
        <v>12</v>
      </c>
      <c r="C1874" t="s">
        <v>132</v>
      </c>
      <c r="D1874" t="s">
        <v>16</v>
      </c>
      <c r="E1874" t="s">
        <v>162</v>
      </c>
      <c r="F1874">
        <v>3000000</v>
      </c>
      <c r="G1874" t="s">
        <v>22</v>
      </c>
      <c r="H1874" t="s">
        <v>81</v>
      </c>
      <c r="I1874" t="s">
        <v>9</v>
      </c>
      <c r="L1874" t="s">
        <v>161</v>
      </c>
      <c r="M1874">
        <v>3000000</v>
      </c>
    </row>
    <row r="1875" spans="1:13" x14ac:dyDescent="0.3">
      <c r="A1875" s="23">
        <v>44935</v>
      </c>
      <c r="B1875" t="s">
        <v>12</v>
      </c>
      <c r="C1875" t="s">
        <v>132</v>
      </c>
      <c r="D1875" t="s">
        <v>17</v>
      </c>
      <c r="E1875" t="s">
        <v>162</v>
      </c>
      <c r="F1875">
        <v>307100000</v>
      </c>
      <c r="G1875" t="s">
        <v>22</v>
      </c>
      <c r="H1875" t="s">
        <v>81</v>
      </c>
      <c r="I1875" t="s">
        <v>9</v>
      </c>
      <c r="L1875" t="s">
        <v>161</v>
      </c>
      <c r="M1875">
        <v>-307100000</v>
      </c>
    </row>
    <row r="1876" spans="1:13" x14ac:dyDescent="0.3">
      <c r="A1876" s="23">
        <v>45544</v>
      </c>
      <c r="B1876" t="s">
        <v>12</v>
      </c>
      <c r="C1876" t="s">
        <v>132</v>
      </c>
      <c r="D1876" t="s">
        <v>16</v>
      </c>
      <c r="E1876" t="s">
        <v>162</v>
      </c>
      <c r="F1876">
        <v>109223400</v>
      </c>
      <c r="G1876" t="s">
        <v>22</v>
      </c>
      <c r="H1876" t="s">
        <v>81</v>
      </c>
      <c r="I1876" t="s">
        <v>9</v>
      </c>
      <c r="L1876" t="s">
        <v>161</v>
      </c>
      <c r="M1876">
        <v>109223400</v>
      </c>
    </row>
    <row r="1877" spans="1:13" x14ac:dyDescent="0.3">
      <c r="A1877" s="23">
        <v>44951</v>
      </c>
      <c r="B1877" t="s">
        <v>12</v>
      </c>
      <c r="C1877" t="s">
        <v>132</v>
      </c>
      <c r="D1877" t="s">
        <v>16</v>
      </c>
      <c r="E1877" t="s">
        <v>162</v>
      </c>
      <c r="F1877">
        <v>232000000</v>
      </c>
      <c r="G1877" t="s">
        <v>22</v>
      </c>
      <c r="H1877" t="s">
        <v>81</v>
      </c>
      <c r="I1877" t="s">
        <v>9</v>
      </c>
      <c r="L1877" t="s">
        <v>161</v>
      </c>
      <c r="M1877">
        <v>232000000</v>
      </c>
    </row>
    <row r="1878" spans="1:13" x14ac:dyDescent="0.3">
      <c r="A1878" s="23">
        <v>44952</v>
      </c>
      <c r="B1878" t="s">
        <v>12</v>
      </c>
      <c r="C1878" t="s">
        <v>132</v>
      </c>
      <c r="D1878" t="s">
        <v>17</v>
      </c>
      <c r="E1878" t="s">
        <v>162</v>
      </c>
      <c r="F1878">
        <v>231999999</v>
      </c>
      <c r="G1878" t="s">
        <v>22</v>
      </c>
      <c r="H1878" t="s">
        <v>81</v>
      </c>
      <c r="I1878" t="s">
        <v>9</v>
      </c>
      <c r="L1878" t="s">
        <v>161</v>
      </c>
      <c r="M1878">
        <v>-231999999</v>
      </c>
    </row>
    <row r="1879" spans="1:13" x14ac:dyDescent="0.3">
      <c r="A1879" s="23">
        <v>44957</v>
      </c>
      <c r="B1879" t="s">
        <v>12</v>
      </c>
      <c r="C1879" t="s">
        <v>132</v>
      </c>
      <c r="D1879" t="s">
        <v>16</v>
      </c>
      <c r="E1879" t="s">
        <v>162</v>
      </c>
      <c r="F1879">
        <v>232000000</v>
      </c>
      <c r="G1879" t="s">
        <v>22</v>
      </c>
      <c r="H1879" t="s">
        <v>81</v>
      </c>
      <c r="I1879" t="s">
        <v>9</v>
      </c>
      <c r="L1879" t="s">
        <v>161</v>
      </c>
      <c r="M1879">
        <v>232000000</v>
      </c>
    </row>
    <row r="1880" spans="1:13" x14ac:dyDescent="0.3">
      <c r="A1880" s="23">
        <v>44960</v>
      </c>
      <c r="B1880" t="s">
        <v>12</v>
      </c>
      <c r="C1880" t="s">
        <v>132</v>
      </c>
      <c r="D1880" t="s">
        <v>17</v>
      </c>
      <c r="E1880" t="s">
        <v>162</v>
      </c>
      <c r="F1880">
        <v>232000001</v>
      </c>
      <c r="G1880" t="s">
        <v>22</v>
      </c>
      <c r="H1880" t="s">
        <v>81</v>
      </c>
      <c r="I1880" t="s">
        <v>9</v>
      </c>
      <c r="L1880" t="s">
        <v>161</v>
      </c>
      <c r="M1880">
        <v>-232000001</v>
      </c>
    </row>
    <row r="1881" spans="1:13" x14ac:dyDescent="0.3">
      <c r="A1881" s="23">
        <v>45538</v>
      </c>
      <c r="B1881" t="s">
        <v>12</v>
      </c>
      <c r="C1881" t="s">
        <v>132</v>
      </c>
      <c r="D1881" t="s">
        <v>16</v>
      </c>
      <c r="E1881" t="s">
        <v>162</v>
      </c>
      <c r="F1881">
        <v>252000</v>
      </c>
      <c r="G1881" t="s">
        <v>22</v>
      </c>
      <c r="H1881" t="s">
        <v>81</v>
      </c>
      <c r="I1881" t="s">
        <v>9</v>
      </c>
      <c r="L1881" t="s">
        <v>161</v>
      </c>
      <c r="M1881">
        <v>252000</v>
      </c>
    </row>
    <row r="1882" spans="1:13" x14ac:dyDescent="0.3">
      <c r="A1882" s="23">
        <v>45531</v>
      </c>
      <c r="B1882" t="s">
        <v>12</v>
      </c>
      <c r="C1882" t="s">
        <v>132</v>
      </c>
      <c r="D1882" t="s">
        <v>16</v>
      </c>
      <c r="E1882" t="s">
        <v>162</v>
      </c>
      <c r="F1882">
        <v>34132000</v>
      </c>
      <c r="G1882" t="s">
        <v>22</v>
      </c>
      <c r="H1882" t="s">
        <v>81</v>
      </c>
      <c r="I1882" t="s">
        <v>9</v>
      </c>
      <c r="L1882" t="s">
        <v>161</v>
      </c>
      <c r="M1882">
        <v>34132000</v>
      </c>
    </row>
    <row r="1883" spans="1:13" x14ac:dyDescent="0.3">
      <c r="A1883" s="23">
        <v>45524</v>
      </c>
      <c r="B1883" t="s">
        <v>12</v>
      </c>
      <c r="C1883" t="s">
        <v>132</v>
      </c>
      <c r="D1883" t="s">
        <v>17</v>
      </c>
      <c r="E1883" t="s">
        <v>162</v>
      </c>
      <c r="F1883">
        <v>299112642.66000003</v>
      </c>
      <c r="G1883" t="s">
        <v>22</v>
      </c>
      <c r="H1883" t="s">
        <v>81</v>
      </c>
      <c r="I1883" t="s">
        <v>9</v>
      </c>
      <c r="L1883" t="s">
        <v>161</v>
      </c>
      <c r="M1883">
        <v>-299112642.66000003</v>
      </c>
    </row>
    <row r="1884" spans="1:13" x14ac:dyDescent="0.3">
      <c r="A1884" s="23">
        <v>45001</v>
      </c>
      <c r="B1884" t="s">
        <v>12</v>
      </c>
      <c r="C1884" t="s">
        <v>132</v>
      </c>
      <c r="D1884" t="s">
        <v>16</v>
      </c>
      <c r="E1884" t="s">
        <v>162</v>
      </c>
      <c r="F1884">
        <v>235000000</v>
      </c>
      <c r="G1884" t="s">
        <v>22</v>
      </c>
      <c r="H1884" t="s">
        <v>81</v>
      </c>
      <c r="I1884" t="s">
        <v>9</v>
      </c>
      <c r="L1884" t="s">
        <v>161</v>
      </c>
      <c r="M1884">
        <v>235000000</v>
      </c>
    </row>
    <row r="1885" spans="1:13" x14ac:dyDescent="0.3">
      <c r="A1885" s="23">
        <v>45516</v>
      </c>
      <c r="B1885" t="s">
        <v>12</v>
      </c>
      <c r="C1885" t="s">
        <v>132</v>
      </c>
      <c r="D1885" t="s">
        <v>17</v>
      </c>
      <c r="E1885" t="s">
        <v>162</v>
      </c>
      <c r="F1885">
        <v>254500000</v>
      </c>
      <c r="G1885" t="s">
        <v>22</v>
      </c>
      <c r="H1885" t="s">
        <v>81</v>
      </c>
      <c r="I1885" t="s">
        <v>9</v>
      </c>
      <c r="L1885" t="s">
        <v>161</v>
      </c>
      <c r="M1885">
        <v>-254500000</v>
      </c>
    </row>
    <row r="1886" spans="1:13" x14ac:dyDescent="0.3">
      <c r="A1886" s="23">
        <v>45510</v>
      </c>
      <c r="B1886" t="s">
        <v>12</v>
      </c>
      <c r="C1886" t="s">
        <v>132</v>
      </c>
      <c r="D1886" t="s">
        <v>17</v>
      </c>
      <c r="E1886" t="s">
        <v>162</v>
      </c>
      <c r="F1886">
        <v>300000000</v>
      </c>
      <c r="G1886" t="s">
        <v>22</v>
      </c>
      <c r="H1886" t="s">
        <v>81</v>
      </c>
      <c r="I1886" t="s">
        <v>9</v>
      </c>
      <c r="L1886" t="s">
        <v>161</v>
      </c>
      <c r="M1886">
        <v>-300000000</v>
      </c>
    </row>
    <row r="1887" spans="1:13" x14ac:dyDescent="0.3">
      <c r="A1887" s="23">
        <v>45012</v>
      </c>
      <c r="B1887" t="s">
        <v>12</v>
      </c>
      <c r="C1887" t="s">
        <v>132</v>
      </c>
      <c r="D1887" t="s">
        <v>17</v>
      </c>
      <c r="E1887" t="s">
        <v>162</v>
      </c>
      <c r="F1887">
        <v>50000000</v>
      </c>
      <c r="G1887" t="s">
        <v>22</v>
      </c>
      <c r="H1887" t="s">
        <v>81</v>
      </c>
      <c r="I1887" t="s">
        <v>9</v>
      </c>
      <c r="L1887" t="s">
        <v>161</v>
      </c>
      <c r="M1887">
        <v>-50000000</v>
      </c>
    </row>
    <row r="1888" spans="1:13" x14ac:dyDescent="0.3">
      <c r="A1888" s="23">
        <v>45013</v>
      </c>
      <c r="B1888" t="s">
        <v>12</v>
      </c>
      <c r="C1888" t="s">
        <v>132</v>
      </c>
      <c r="D1888" t="s">
        <v>17</v>
      </c>
      <c r="E1888" t="s">
        <v>162</v>
      </c>
      <c r="F1888">
        <v>95900000</v>
      </c>
      <c r="G1888" t="s">
        <v>22</v>
      </c>
      <c r="H1888" t="s">
        <v>81</v>
      </c>
      <c r="I1888" t="s">
        <v>9</v>
      </c>
      <c r="L1888" t="s">
        <v>161</v>
      </c>
      <c r="M1888">
        <v>-95900000</v>
      </c>
    </row>
    <row r="1889" spans="1:13" x14ac:dyDescent="0.3">
      <c r="A1889" s="23">
        <v>45506</v>
      </c>
      <c r="B1889" t="s">
        <v>12</v>
      </c>
      <c r="C1889" t="s">
        <v>132</v>
      </c>
      <c r="D1889" t="s">
        <v>16</v>
      </c>
      <c r="E1889" t="s">
        <v>162</v>
      </c>
      <c r="F1889">
        <v>67485853</v>
      </c>
      <c r="G1889" t="s">
        <v>22</v>
      </c>
      <c r="H1889" t="s">
        <v>81</v>
      </c>
      <c r="I1889" t="s">
        <v>9</v>
      </c>
      <c r="L1889" t="s">
        <v>161</v>
      </c>
      <c r="M1889">
        <v>67485853</v>
      </c>
    </row>
    <row r="1890" spans="1:13" x14ac:dyDescent="0.3">
      <c r="A1890" s="23">
        <v>45505</v>
      </c>
      <c r="B1890" t="s">
        <v>12</v>
      </c>
      <c r="C1890" t="s">
        <v>132</v>
      </c>
      <c r="D1890" t="s">
        <v>16</v>
      </c>
      <c r="E1890" t="s">
        <v>162</v>
      </c>
      <c r="F1890">
        <v>13038429.66</v>
      </c>
      <c r="G1890" t="s">
        <v>22</v>
      </c>
      <c r="H1890" t="s">
        <v>81</v>
      </c>
      <c r="I1890" t="s">
        <v>9</v>
      </c>
      <c r="L1890" t="s">
        <v>161</v>
      </c>
      <c r="M1890">
        <v>13038429.66</v>
      </c>
    </row>
    <row r="1891" spans="1:13" x14ac:dyDescent="0.3">
      <c r="A1891" s="23">
        <v>45504</v>
      </c>
      <c r="B1891" t="s">
        <v>12</v>
      </c>
      <c r="C1891" t="s">
        <v>132</v>
      </c>
      <c r="D1891" t="s">
        <v>16</v>
      </c>
      <c r="E1891" t="s">
        <v>162</v>
      </c>
      <c r="F1891">
        <v>21520000</v>
      </c>
      <c r="G1891" t="s">
        <v>22</v>
      </c>
      <c r="H1891" t="s">
        <v>81</v>
      </c>
      <c r="I1891" t="s">
        <v>9</v>
      </c>
      <c r="L1891" t="s">
        <v>161</v>
      </c>
      <c r="M1891">
        <v>21520000</v>
      </c>
    </row>
    <row r="1892" spans="1:13" x14ac:dyDescent="0.3">
      <c r="A1892" s="23">
        <v>45020</v>
      </c>
      <c r="B1892" t="s">
        <v>12</v>
      </c>
      <c r="C1892" t="s">
        <v>132</v>
      </c>
      <c r="D1892" t="s">
        <v>16</v>
      </c>
      <c r="E1892" t="s">
        <v>162</v>
      </c>
      <c r="F1892">
        <v>5400000</v>
      </c>
      <c r="G1892" t="s">
        <v>22</v>
      </c>
      <c r="H1892" t="s">
        <v>81</v>
      </c>
      <c r="I1892" t="s">
        <v>9</v>
      </c>
      <c r="L1892" t="s">
        <v>161</v>
      </c>
      <c r="M1892">
        <v>5400000</v>
      </c>
    </row>
    <row r="1893" spans="1:13" x14ac:dyDescent="0.3">
      <c r="A1893" s="23">
        <v>45020</v>
      </c>
      <c r="B1893" t="s">
        <v>12</v>
      </c>
      <c r="C1893" t="s">
        <v>132</v>
      </c>
      <c r="D1893" t="s">
        <v>17</v>
      </c>
      <c r="E1893" t="s">
        <v>162</v>
      </c>
      <c r="F1893">
        <v>94500000</v>
      </c>
      <c r="G1893" t="s">
        <v>22</v>
      </c>
      <c r="H1893" t="s">
        <v>81</v>
      </c>
      <c r="I1893" t="s">
        <v>9</v>
      </c>
      <c r="L1893" t="s">
        <v>161</v>
      </c>
      <c r="M1893">
        <v>-94500000</v>
      </c>
    </row>
    <row r="1894" spans="1:13" x14ac:dyDescent="0.3">
      <c r="A1894" s="23">
        <v>45488</v>
      </c>
      <c r="B1894" t="s">
        <v>12</v>
      </c>
      <c r="C1894" t="s">
        <v>132</v>
      </c>
      <c r="D1894" t="s">
        <v>17</v>
      </c>
      <c r="E1894" t="s">
        <v>162</v>
      </c>
      <c r="F1894">
        <v>200000000</v>
      </c>
      <c r="G1894" t="s">
        <v>22</v>
      </c>
      <c r="H1894" t="s">
        <v>81</v>
      </c>
      <c r="I1894" t="s">
        <v>9</v>
      </c>
      <c r="L1894" t="s">
        <v>161</v>
      </c>
      <c r="M1894">
        <v>-200000000</v>
      </c>
    </row>
    <row r="1895" spans="1:13" x14ac:dyDescent="0.3">
      <c r="A1895" s="23">
        <v>45478</v>
      </c>
      <c r="B1895" t="s">
        <v>12</v>
      </c>
      <c r="C1895" t="s">
        <v>132</v>
      </c>
      <c r="D1895" t="s">
        <v>16</v>
      </c>
      <c r="E1895" t="s">
        <v>162</v>
      </c>
      <c r="F1895">
        <v>157209000</v>
      </c>
      <c r="G1895" t="s">
        <v>22</v>
      </c>
      <c r="H1895" t="s">
        <v>81</v>
      </c>
      <c r="I1895" t="s">
        <v>9</v>
      </c>
      <c r="L1895" t="s">
        <v>161</v>
      </c>
      <c r="M1895">
        <v>157209000</v>
      </c>
    </row>
    <row r="1896" spans="1:13" x14ac:dyDescent="0.3">
      <c r="A1896" s="23">
        <v>45469</v>
      </c>
      <c r="B1896" t="s">
        <v>12</v>
      </c>
      <c r="C1896" t="s">
        <v>132</v>
      </c>
      <c r="D1896" t="s">
        <v>16</v>
      </c>
      <c r="E1896" t="s">
        <v>162</v>
      </c>
      <c r="F1896">
        <v>71318400</v>
      </c>
      <c r="G1896" t="s">
        <v>22</v>
      </c>
      <c r="H1896" t="s">
        <v>81</v>
      </c>
      <c r="I1896" t="s">
        <v>9</v>
      </c>
      <c r="L1896" t="s">
        <v>161</v>
      </c>
      <c r="M1896">
        <v>71318400</v>
      </c>
    </row>
    <row r="1897" spans="1:13" x14ac:dyDescent="0.3">
      <c r="A1897" s="23">
        <v>45468</v>
      </c>
      <c r="B1897" t="s">
        <v>12</v>
      </c>
      <c r="C1897" t="s">
        <v>132</v>
      </c>
      <c r="D1897" t="s">
        <v>16</v>
      </c>
      <c r="E1897" t="s">
        <v>162</v>
      </c>
      <c r="F1897">
        <v>88745300</v>
      </c>
      <c r="G1897" t="s">
        <v>22</v>
      </c>
      <c r="H1897" t="s">
        <v>81</v>
      </c>
      <c r="I1897" t="s">
        <v>9</v>
      </c>
      <c r="L1897" t="s">
        <v>161</v>
      </c>
      <c r="M1897">
        <v>88745300</v>
      </c>
    </row>
    <row r="1898" spans="1:13" x14ac:dyDescent="0.3">
      <c r="A1898" s="23">
        <v>45460</v>
      </c>
      <c r="B1898" t="s">
        <v>12</v>
      </c>
      <c r="C1898" t="s">
        <v>132</v>
      </c>
      <c r="D1898" t="s">
        <v>16</v>
      </c>
      <c r="E1898" t="s">
        <v>162</v>
      </c>
      <c r="F1898">
        <v>159580000</v>
      </c>
      <c r="G1898" t="s">
        <v>22</v>
      </c>
      <c r="H1898" t="s">
        <v>81</v>
      </c>
      <c r="I1898" t="s">
        <v>9</v>
      </c>
      <c r="L1898" t="s">
        <v>161</v>
      </c>
      <c r="M1898">
        <v>159580000</v>
      </c>
    </row>
    <row r="1899" spans="1:13" x14ac:dyDescent="0.3">
      <c r="A1899" s="23">
        <v>45453</v>
      </c>
      <c r="B1899" t="s">
        <v>12</v>
      </c>
      <c r="C1899" t="s">
        <v>132</v>
      </c>
      <c r="D1899" t="s">
        <v>16</v>
      </c>
      <c r="E1899" t="s">
        <v>162</v>
      </c>
      <c r="F1899">
        <v>176274300</v>
      </c>
      <c r="G1899" t="s">
        <v>22</v>
      </c>
      <c r="H1899" t="s">
        <v>81</v>
      </c>
      <c r="I1899" t="s">
        <v>9</v>
      </c>
      <c r="L1899" t="s">
        <v>161</v>
      </c>
      <c r="M1899">
        <v>176274300</v>
      </c>
    </row>
    <row r="1900" spans="1:13" x14ac:dyDescent="0.3">
      <c r="A1900" s="23">
        <v>45450</v>
      </c>
      <c r="B1900" t="s">
        <v>12</v>
      </c>
      <c r="C1900" t="s">
        <v>132</v>
      </c>
      <c r="D1900" t="s">
        <v>16</v>
      </c>
      <c r="E1900" t="s">
        <v>162</v>
      </c>
      <c r="F1900">
        <v>22774400</v>
      </c>
      <c r="G1900" t="s">
        <v>22</v>
      </c>
      <c r="H1900" t="s">
        <v>81</v>
      </c>
      <c r="I1900" t="s">
        <v>9</v>
      </c>
      <c r="L1900" t="s">
        <v>161</v>
      </c>
      <c r="M1900">
        <v>22774400</v>
      </c>
    </row>
    <row r="1901" spans="1:13" x14ac:dyDescent="0.3">
      <c r="A1901" s="23">
        <v>45442</v>
      </c>
      <c r="B1901" t="s">
        <v>12</v>
      </c>
      <c r="C1901" t="s">
        <v>132</v>
      </c>
      <c r="D1901" t="s">
        <v>16</v>
      </c>
      <c r="E1901" t="s">
        <v>162</v>
      </c>
      <c r="F1901">
        <v>104106200</v>
      </c>
      <c r="G1901" t="s">
        <v>22</v>
      </c>
      <c r="H1901" t="s">
        <v>81</v>
      </c>
      <c r="I1901" t="s">
        <v>9</v>
      </c>
      <c r="L1901" t="s">
        <v>161</v>
      </c>
      <c r="M1901">
        <v>104106200</v>
      </c>
    </row>
    <row r="1902" spans="1:13" x14ac:dyDescent="0.3">
      <c r="A1902" s="23">
        <v>45082</v>
      </c>
      <c r="B1902" t="s">
        <v>12</v>
      </c>
      <c r="C1902" t="s">
        <v>132</v>
      </c>
      <c r="D1902" t="s">
        <v>16</v>
      </c>
      <c r="E1902" t="s">
        <v>162</v>
      </c>
      <c r="F1902">
        <v>300000000</v>
      </c>
      <c r="G1902" t="s">
        <v>22</v>
      </c>
      <c r="H1902" t="s">
        <v>81</v>
      </c>
      <c r="I1902" t="s">
        <v>9</v>
      </c>
      <c r="L1902" t="s">
        <v>161</v>
      </c>
      <c r="M1902">
        <v>300000000</v>
      </c>
    </row>
    <row r="1903" spans="1:13" x14ac:dyDescent="0.3">
      <c r="A1903" s="23">
        <v>45083</v>
      </c>
      <c r="B1903" t="s">
        <v>12</v>
      </c>
      <c r="C1903" t="s">
        <v>132</v>
      </c>
      <c r="D1903" t="s">
        <v>17</v>
      </c>
      <c r="E1903" t="s">
        <v>162</v>
      </c>
      <c r="F1903">
        <v>250000000</v>
      </c>
      <c r="G1903" t="s">
        <v>22</v>
      </c>
      <c r="H1903" t="s">
        <v>81</v>
      </c>
      <c r="I1903" t="s">
        <v>9</v>
      </c>
      <c r="L1903" t="s">
        <v>161</v>
      </c>
      <c r="M1903">
        <v>-250000000</v>
      </c>
    </row>
    <row r="1904" spans="1:13" x14ac:dyDescent="0.3">
      <c r="A1904" s="23">
        <v>45084</v>
      </c>
      <c r="B1904" t="s">
        <v>12</v>
      </c>
      <c r="C1904" t="s">
        <v>132</v>
      </c>
      <c r="D1904" t="s">
        <v>17</v>
      </c>
      <c r="E1904" t="s">
        <v>162</v>
      </c>
      <c r="F1904">
        <v>50000000</v>
      </c>
      <c r="G1904" t="s">
        <v>22</v>
      </c>
      <c r="H1904" t="s">
        <v>81</v>
      </c>
      <c r="I1904" t="s">
        <v>9</v>
      </c>
      <c r="L1904" t="s">
        <v>161</v>
      </c>
      <c r="M1904">
        <v>-50000000</v>
      </c>
    </row>
    <row r="1905" spans="1:13" x14ac:dyDescent="0.3">
      <c r="A1905" s="23">
        <v>45436</v>
      </c>
      <c r="B1905" t="s">
        <v>12</v>
      </c>
      <c r="C1905" t="s">
        <v>132</v>
      </c>
      <c r="D1905" t="s">
        <v>16</v>
      </c>
      <c r="E1905" t="s">
        <v>162</v>
      </c>
      <c r="F1905">
        <v>127968000</v>
      </c>
      <c r="G1905" t="s">
        <v>22</v>
      </c>
      <c r="H1905" t="s">
        <v>81</v>
      </c>
      <c r="I1905" t="s">
        <v>9</v>
      </c>
      <c r="L1905" t="s">
        <v>161</v>
      </c>
      <c r="M1905">
        <v>127968000</v>
      </c>
    </row>
    <row r="1906" spans="1:13" x14ac:dyDescent="0.3">
      <c r="A1906" s="23">
        <v>45433</v>
      </c>
      <c r="B1906" t="s">
        <v>12</v>
      </c>
      <c r="C1906" t="s">
        <v>132</v>
      </c>
      <c r="D1906" t="s">
        <v>16</v>
      </c>
      <c r="E1906" t="s">
        <v>162</v>
      </c>
      <c r="F1906">
        <v>21250000</v>
      </c>
      <c r="G1906" t="s">
        <v>22</v>
      </c>
      <c r="H1906" t="s">
        <v>81</v>
      </c>
      <c r="I1906" t="s">
        <v>9</v>
      </c>
      <c r="L1906" t="s">
        <v>161</v>
      </c>
      <c r="M1906">
        <v>21250000</v>
      </c>
    </row>
    <row r="1907" spans="1:13" x14ac:dyDescent="0.3">
      <c r="A1907" s="23">
        <v>45433</v>
      </c>
      <c r="B1907" t="s">
        <v>12</v>
      </c>
      <c r="C1907" t="s">
        <v>132</v>
      </c>
      <c r="D1907" t="s">
        <v>17</v>
      </c>
      <c r="E1907" t="s">
        <v>162</v>
      </c>
      <c r="F1907">
        <v>800000000</v>
      </c>
      <c r="G1907" t="s">
        <v>22</v>
      </c>
      <c r="H1907" t="s">
        <v>81</v>
      </c>
      <c r="I1907" t="s">
        <v>9</v>
      </c>
      <c r="L1907" t="s">
        <v>161</v>
      </c>
      <c r="M1907">
        <v>-800000000</v>
      </c>
    </row>
    <row r="1908" spans="1:13" x14ac:dyDescent="0.3">
      <c r="A1908" s="23">
        <v>45432</v>
      </c>
      <c r="B1908" t="s">
        <v>12</v>
      </c>
      <c r="C1908" t="s">
        <v>132</v>
      </c>
      <c r="D1908" t="s">
        <v>17</v>
      </c>
      <c r="E1908" t="s">
        <v>162</v>
      </c>
      <c r="F1908">
        <v>215000000</v>
      </c>
      <c r="G1908" t="s">
        <v>22</v>
      </c>
      <c r="H1908" t="s">
        <v>81</v>
      </c>
      <c r="I1908" t="s">
        <v>9</v>
      </c>
      <c r="L1908" t="s">
        <v>161</v>
      </c>
      <c r="M1908">
        <v>-215000000</v>
      </c>
    </row>
    <row r="1909" spans="1:13" x14ac:dyDescent="0.3">
      <c r="A1909" s="23">
        <v>45429</v>
      </c>
      <c r="B1909" t="s">
        <v>12</v>
      </c>
      <c r="C1909" t="s">
        <v>132</v>
      </c>
      <c r="D1909" t="s">
        <v>16</v>
      </c>
      <c r="E1909" t="s">
        <v>162</v>
      </c>
      <c r="F1909">
        <v>33945000</v>
      </c>
      <c r="G1909" t="s">
        <v>22</v>
      </c>
      <c r="H1909" t="s">
        <v>81</v>
      </c>
      <c r="I1909" t="s">
        <v>9</v>
      </c>
      <c r="L1909" t="s">
        <v>161</v>
      </c>
      <c r="M1909">
        <v>33945000</v>
      </c>
    </row>
    <row r="1910" spans="1:13" x14ac:dyDescent="0.3">
      <c r="A1910" s="23">
        <v>45427</v>
      </c>
      <c r="B1910" t="s">
        <v>12</v>
      </c>
      <c r="C1910" t="s">
        <v>132</v>
      </c>
      <c r="D1910" t="s">
        <v>17</v>
      </c>
      <c r="E1910" t="s">
        <v>162</v>
      </c>
      <c r="F1910">
        <v>600000000</v>
      </c>
      <c r="G1910" t="s">
        <v>22</v>
      </c>
      <c r="H1910" t="s">
        <v>81</v>
      </c>
      <c r="I1910" t="s">
        <v>9</v>
      </c>
      <c r="L1910" t="s">
        <v>161</v>
      </c>
      <c r="M1910">
        <v>-600000000</v>
      </c>
    </row>
    <row r="1911" spans="1:13" x14ac:dyDescent="0.3">
      <c r="A1911" s="23">
        <v>45100</v>
      </c>
      <c r="B1911" t="s">
        <v>12</v>
      </c>
      <c r="C1911" t="s">
        <v>132</v>
      </c>
      <c r="D1911" t="s">
        <v>16</v>
      </c>
      <c r="E1911" t="s">
        <v>162</v>
      </c>
      <c r="F1911">
        <v>110000000</v>
      </c>
      <c r="G1911" t="s">
        <v>22</v>
      </c>
      <c r="H1911" t="s">
        <v>81</v>
      </c>
      <c r="I1911" t="s">
        <v>9</v>
      </c>
      <c r="L1911" t="s">
        <v>161</v>
      </c>
      <c r="M1911">
        <v>110000000</v>
      </c>
    </row>
    <row r="1912" spans="1:13" x14ac:dyDescent="0.3">
      <c r="A1912" s="23">
        <v>45425</v>
      </c>
      <c r="B1912" t="s">
        <v>12</v>
      </c>
      <c r="C1912" t="s">
        <v>132</v>
      </c>
      <c r="D1912" t="s">
        <v>17</v>
      </c>
      <c r="E1912" t="s">
        <v>162</v>
      </c>
      <c r="F1912">
        <v>1000000000</v>
      </c>
      <c r="G1912" t="s">
        <v>22</v>
      </c>
      <c r="H1912" t="s">
        <v>81</v>
      </c>
      <c r="I1912" t="s">
        <v>9</v>
      </c>
      <c r="L1912" t="s">
        <v>161</v>
      </c>
      <c r="M1912">
        <v>-1000000000</v>
      </c>
    </row>
    <row r="1913" spans="1:13" x14ac:dyDescent="0.3">
      <c r="A1913" s="23">
        <v>45103</v>
      </c>
      <c r="B1913" t="s">
        <v>12</v>
      </c>
      <c r="C1913" t="s">
        <v>132</v>
      </c>
      <c r="D1913" t="s">
        <v>17</v>
      </c>
      <c r="E1913" t="s">
        <v>162</v>
      </c>
      <c r="F1913">
        <v>0</v>
      </c>
      <c r="G1913" t="s">
        <v>22</v>
      </c>
      <c r="H1913" t="s">
        <v>81</v>
      </c>
      <c r="I1913" t="s">
        <v>9</v>
      </c>
      <c r="L1913" t="s">
        <v>161</v>
      </c>
      <c r="M1913">
        <v>0</v>
      </c>
    </row>
    <row r="1914" spans="1:13" x14ac:dyDescent="0.3">
      <c r="A1914" s="23">
        <v>45103</v>
      </c>
      <c r="B1914" t="s">
        <v>12</v>
      </c>
      <c r="C1914" t="s">
        <v>132</v>
      </c>
      <c r="D1914" t="s">
        <v>16</v>
      </c>
      <c r="E1914" t="s">
        <v>162</v>
      </c>
      <c r="F1914">
        <v>110000000</v>
      </c>
      <c r="G1914" t="s">
        <v>22</v>
      </c>
      <c r="H1914" t="s">
        <v>81</v>
      </c>
      <c r="I1914" t="s">
        <v>9</v>
      </c>
      <c r="L1914" t="s">
        <v>161</v>
      </c>
      <c r="M1914">
        <v>110000000</v>
      </c>
    </row>
    <row r="1915" spans="1:13" x14ac:dyDescent="0.3">
      <c r="A1915" s="23">
        <v>45121</v>
      </c>
      <c r="B1915" t="s">
        <v>12</v>
      </c>
      <c r="C1915" t="s">
        <v>132</v>
      </c>
      <c r="D1915" t="s">
        <v>17</v>
      </c>
      <c r="E1915" t="s">
        <v>162</v>
      </c>
      <c r="F1915">
        <v>182400000</v>
      </c>
      <c r="G1915" t="s">
        <v>22</v>
      </c>
      <c r="H1915" t="s">
        <v>81</v>
      </c>
      <c r="I1915" t="s">
        <v>9</v>
      </c>
      <c r="L1915" t="s">
        <v>161</v>
      </c>
      <c r="M1915">
        <v>-182400000</v>
      </c>
    </row>
    <row r="1916" spans="1:13" x14ac:dyDescent="0.3">
      <c r="A1916" s="23">
        <v>45128</v>
      </c>
      <c r="B1916" t="s">
        <v>12</v>
      </c>
      <c r="C1916" t="s">
        <v>132</v>
      </c>
      <c r="D1916" t="s">
        <v>17</v>
      </c>
      <c r="E1916" t="s">
        <v>162</v>
      </c>
      <c r="F1916">
        <v>37600000</v>
      </c>
      <c r="G1916" t="s">
        <v>22</v>
      </c>
      <c r="H1916" t="s">
        <v>81</v>
      </c>
      <c r="I1916" t="s">
        <v>9</v>
      </c>
      <c r="L1916" t="s">
        <v>161</v>
      </c>
      <c r="M1916">
        <v>-37600000</v>
      </c>
    </row>
    <row r="1917" spans="1:13" x14ac:dyDescent="0.3">
      <c r="A1917" s="23">
        <v>45425</v>
      </c>
      <c r="B1917" t="s">
        <v>12</v>
      </c>
      <c r="C1917" t="s">
        <v>132</v>
      </c>
      <c r="D1917" t="s">
        <v>16</v>
      </c>
      <c r="E1917" t="s">
        <v>162</v>
      </c>
      <c r="F1917">
        <v>723610000</v>
      </c>
      <c r="G1917" t="s">
        <v>22</v>
      </c>
      <c r="H1917" t="s">
        <v>81</v>
      </c>
      <c r="I1917" t="s">
        <v>9</v>
      </c>
      <c r="L1917" t="s">
        <v>161</v>
      </c>
      <c r="M1917">
        <v>723610000</v>
      </c>
    </row>
    <row r="1918" spans="1:13" x14ac:dyDescent="0.3">
      <c r="A1918" s="23">
        <v>45407</v>
      </c>
      <c r="B1918" t="s">
        <v>12</v>
      </c>
      <c r="C1918" t="s">
        <v>132</v>
      </c>
      <c r="D1918" t="s">
        <v>16</v>
      </c>
      <c r="E1918" t="s">
        <v>162</v>
      </c>
      <c r="F1918">
        <v>102750000</v>
      </c>
      <c r="G1918" t="s">
        <v>22</v>
      </c>
      <c r="H1918" t="s">
        <v>81</v>
      </c>
      <c r="I1918" t="s">
        <v>9</v>
      </c>
      <c r="L1918" t="s">
        <v>161</v>
      </c>
      <c r="M1918">
        <v>102750000</v>
      </c>
    </row>
    <row r="1919" spans="1:13" x14ac:dyDescent="0.3">
      <c r="A1919" s="23">
        <v>45401</v>
      </c>
      <c r="B1919" t="s">
        <v>12</v>
      </c>
      <c r="C1919" t="s">
        <v>132</v>
      </c>
      <c r="D1919" t="s">
        <v>16</v>
      </c>
      <c r="E1919" t="s">
        <v>162</v>
      </c>
      <c r="F1919">
        <v>42040000</v>
      </c>
      <c r="G1919" t="s">
        <v>22</v>
      </c>
      <c r="H1919" t="s">
        <v>81</v>
      </c>
      <c r="I1919" t="s">
        <v>9</v>
      </c>
      <c r="L1919" t="s">
        <v>161</v>
      </c>
      <c r="M1919">
        <v>42040000</v>
      </c>
    </row>
    <row r="1920" spans="1:13" x14ac:dyDescent="0.3">
      <c r="A1920" s="23">
        <v>45390</v>
      </c>
      <c r="B1920" t="s">
        <v>12</v>
      </c>
      <c r="C1920" t="s">
        <v>132</v>
      </c>
      <c r="D1920" t="s">
        <v>16</v>
      </c>
      <c r="E1920" t="s">
        <v>162</v>
      </c>
      <c r="F1920">
        <v>842550000</v>
      </c>
      <c r="G1920" t="s">
        <v>22</v>
      </c>
      <c r="H1920" t="s">
        <v>81</v>
      </c>
      <c r="I1920" t="s">
        <v>9</v>
      </c>
      <c r="L1920" t="s">
        <v>161</v>
      </c>
      <c r="M1920">
        <v>842550000</v>
      </c>
    </row>
    <row r="1921" spans="1:13" x14ac:dyDescent="0.3">
      <c r="A1921" s="23">
        <v>45153</v>
      </c>
      <c r="B1921" t="s">
        <v>12</v>
      </c>
      <c r="C1921" t="s">
        <v>132</v>
      </c>
      <c r="D1921" t="s">
        <v>16</v>
      </c>
      <c r="E1921" t="s">
        <v>162</v>
      </c>
      <c r="F1921">
        <v>200000000</v>
      </c>
      <c r="G1921" t="s">
        <v>22</v>
      </c>
      <c r="H1921" t="s">
        <v>81</v>
      </c>
      <c r="I1921" t="s">
        <v>9</v>
      </c>
      <c r="L1921" t="s">
        <v>161</v>
      </c>
      <c r="M1921">
        <v>200000000</v>
      </c>
    </row>
    <row r="1922" spans="1:13" x14ac:dyDescent="0.3">
      <c r="A1922" s="23">
        <v>45386</v>
      </c>
      <c r="B1922" t="s">
        <v>12</v>
      </c>
      <c r="C1922" t="s">
        <v>132</v>
      </c>
      <c r="D1922" t="s">
        <v>16</v>
      </c>
      <c r="E1922" t="s">
        <v>162</v>
      </c>
      <c r="F1922">
        <v>521727000</v>
      </c>
      <c r="G1922" t="s">
        <v>22</v>
      </c>
      <c r="H1922" t="s">
        <v>81</v>
      </c>
      <c r="I1922" t="s">
        <v>9</v>
      </c>
      <c r="L1922" t="s">
        <v>161</v>
      </c>
      <c r="M1922">
        <v>521727000</v>
      </c>
    </row>
    <row r="1923" spans="1:13" x14ac:dyDescent="0.3">
      <c r="A1923" s="23">
        <v>45154</v>
      </c>
      <c r="B1923" t="s">
        <v>12</v>
      </c>
      <c r="C1923" t="s">
        <v>132</v>
      </c>
      <c r="D1923" t="s">
        <v>17</v>
      </c>
      <c r="E1923" t="s">
        <v>162</v>
      </c>
      <c r="F1923">
        <v>59600000</v>
      </c>
      <c r="G1923" t="s">
        <v>22</v>
      </c>
      <c r="H1923" t="s">
        <v>81</v>
      </c>
      <c r="I1923" t="s">
        <v>9</v>
      </c>
      <c r="L1923" t="s">
        <v>161</v>
      </c>
      <c r="M1923">
        <v>-59600000</v>
      </c>
    </row>
    <row r="1924" spans="1:13" x14ac:dyDescent="0.3">
      <c r="A1924" s="23">
        <v>45155</v>
      </c>
      <c r="B1924" t="s">
        <v>12</v>
      </c>
      <c r="C1924" t="s">
        <v>132</v>
      </c>
      <c r="D1924" t="s">
        <v>17</v>
      </c>
      <c r="E1924" t="s">
        <v>162</v>
      </c>
      <c r="F1924">
        <v>109100000</v>
      </c>
      <c r="G1924" t="s">
        <v>22</v>
      </c>
      <c r="H1924" t="s">
        <v>81</v>
      </c>
      <c r="I1924" t="s">
        <v>9</v>
      </c>
      <c r="L1924" t="s">
        <v>161</v>
      </c>
      <c r="M1924">
        <v>-109100000</v>
      </c>
    </row>
    <row r="1925" spans="1:13" x14ac:dyDescent="0.3">
      <c r="A1925" s="23">
        <v>45383</v>
      </c>
      <c r="B1925" t="s">
        <v>12</v>
      </c>
      <c r="C1925" t="s">
        <v>132</v>
      </c>
      <c r="D1925" t="s">
        <v>16</v>
      </c>
      <c r="E1925" t="s">
        <v>162</v>
      </c>
      <c r="F1925">
        <v>69800000</v>
      </c>
      <c r="G1925" t="s">
        <v>22</v>
      </c>
      <c r="H1925" t="s">
        <v>81</v>
      </c>
      <c r="I1925" t="s">
        <v>9</v>
      </c>
      <c r="L1925" t="s">
        <v>161</v>
      </c>
      <c r="M1925">
        <v>69800000</v>
      </c>
    </row>
    <row r="1926" spans="1:13" x14ac:dyDescent="0.3">
      <c r="A1926" s="23">
        <v>45378</v>
      </c>
      <c r="B1926" t="s">
        <v>12</v>
      </c>
      <c r="C1926" t="s">
        <v>132</v>
      </c>
      <c r="D1926" t="s">
        <v>16</v>
      </c>
      <c r="E1926" t="s">
        <v>162</v>
      </c>
      <c r="F1926">
        <v>239759760</v>
      </c>
      <c r="G1926" t="s">
        <v>22</v>
      </c>
      <c r="H1926" t="s">
        <v>81</v>
      </c>
      <c r="I1926" t="s">
        <v>9</v>
      </c>
      <c r="L1926" t="s">
        <v>161</v>
      </c>
      <c r="M1926">
        <v>239759760</v>
      </c>
    </row>
    <row r="1927" spans="1:13" x14ac:dyDescent="0.3">
      <c r="A1927" s="23">
        <v>45156</v>
      </c>
      <c r="B1927" t="s">
        <v>12</v>
      </c>
      <c r="C1927" t="s">
        <v>132</v>
      </c>
      <c r="D1927" t="s">
        <v>16</v>
      </c>
      <c r="E1927" t="s">
        <v>162</v>
      </c>
      <c r="F1927">
        <v>692535.65</v>
      </c>
      <c r="G1927" t="s">
        <v>22</v>
      </c>
      <c r="H1927" t="s">
        <v>81</v>
      </c>
      <c r="I1927" t="s">
        <v>9</v>
      </c>
      <c r="L1927" t="s">
        <v>161</v>
      </c>
      <c r="M1927">
        <v>692535.65</v>
      </c>
    </row>
    <row r="1928" spans="1:13" x14ac:dyDescent="0.3">
      <c r="A1928" s="23">
        <v>45377</v>
      </c>
      <c r="B1928" t="s">
        <v>12</v>
      </c>
      <c r="C1928" t="s">
        <v>132</v>
      </c>
      <c r="D1928" t="s">
        <v>17</v>
      </c>
      <c r="E1928" t="s">
        <v>162</v>
      </c>
      <c r="F1928">
        <v>400000000</v>
      </c>
      <c r="G1928" t="s">
        <v>22</v>
      </c>
      <c r="H1928" t="s">
        <v>81</v>
      </c>
      <c r="I1928" t="s">
        <v>9</v>
      </c>
      <c r="L1928" t="s">
        <v>161</v>
      </c>
      <c r="M1928">
        <v>-400000000</v>
      </c>
    </row>
    <row r="1929" spans="1:13" x14ac:dyDescent="0.3">
      <c r="A1929" s="23">
        <v>45160</v>
      </c>
      <c r="B1929" t="s">
        <v>12</v>
      </c>
      <c r="C1929" t="s">
        <v>132</v>
      </c>
      <c r="D1929" t="s">
        <v>16</v>
      </c>
      <c r="E1929" t="s">
        <v>162</v>
      </c>
      <c r="F1929">
        <v>200000000</v>
      </c>
      <c r="G1929" t="s">
        <v>22</v>
      </c>
      <c r="H1929" t="s">
        <v>81</v>
      </c>
      <c r="I1929" t="s">
        <v>9</v>
      </c>
      <c r="L1929" t="s">
        <v>161</v>
      </c>
      <c r="M1929">
        <v>200000000</v>
      </c>
    </row>
    <row r="1930" spans="1:13" x14ac:dyDescent="0.3">
      <c r="A1930" s="23">
        <v>45161</v>
      </c>
      <c r="B1930" t="s">
        <v>12</v>
      </c>
      <c r="C1930" t="s">
        <v>132</v>
      </c>
      <c r="D1930" t="s">
        <v>17</v>
      </c>
      <c r="E1930" t="s">
        <v>162</v>
      </c>
      <c r="F1930">
        <v>231992535.65000001</v>
      </c>
      <c r="G1930" t="s">
        <v>22</v>
      </c>
      <c r="H1930" t="s">
        <v>81</v>
      </c>
      <c r="I1930" t="s">
        <v>9</v>
      </c>
      <c r="L1930" t="s">
        <v>161</v>
      </c>
      <c r="M1930">
        <v>-231992535.65000001</v>
      </c>
    </row>
    <row r="1931" spans="1:13" x14ac:dyDescent="0.3">
      <c r="A1931" s="23">
        <v>45161</v>
      </c>
      <c r="B1931" t="s">
        <v>12</v>
      </c>
      <c r="C1931" t="s">
        <v>132</v>
      </c>
      <c r="D1931" t="s">
        <v>16</v>
      </c>
      <c r="E1931" t="s">
        <v>162</v>
      </c>
      <c r="F1931">
        <v>400000000</v>
      </c>
      <c r="G1931" t="s">
        <v>22</v>
      </c>
      <c r="H1931" t="s">
        <v>81</v>
      </c>
      <c r="I1931" t="s">
        <v>9</v>
      </c>
      <c r="L1931" t="s">
        <v>161</v>
      </c>
      <c r="M1931">
        <v>400000000</v>
      </c>
    </row>
    <row r="1932" spans="1:13" x14ac:dyDescent="0.3">
      <c r="A1932" s="23">
        <v>45162</v>
      </c>
      <c r="B1932" t="s">
        <v>12</v>
      </c>
      <c r="C1932" t="s">
        <v>132</v>
      </c>
      <c r="D1932" t="s">
        <v>17</v>
      </c>
      <c r="E1932" t="s">
        <v>162</v>
      </c>
      <c r="F1932">
        <v>400000000</v>
      </c>
      <c r="G1932" t="s">
        <v>22</v>
      </c>
      <c r="H1932" t="s">
        <v>81</v>
      </c>
      <c r="I1932" t="s">
        <v>9</v>
      </c>
      <c r="L1932" t="s">
        <v>161</v>
      </c>
      <c r="M1932">
        <v>-400000000</v>
      </c>
    </row>
    <row r="1933" spans="1:13" x14ac:dyDescent="0.3">
      <c r="A1933" s="23">
        <v>45366</v>
      </c>
      <c r="B1933" t="s">
        <v>12</v>
      </c>
      <c r="C1933" t="s">
        <v>132</v>
      </c>
      <c r="D1933" t="s">
        <v>16</v>
      </c>
      <c r="E1933" t="s">
        <v>162</v>
      </c>
      <c r="F1933">
        <v>91611000</v>
      </c>
      <c r="G1933" t="s">
        <v>22</v>
      </c>
      <c r="H1933" t="s">
        <v>81</v>
      </c>
      <c r="I1933" t="s">
        <v>9</v>
      </c>
      <c r="L1933" t="s">
        <v>161</v>
      </c>
      <c r="M1933">
        <v>91611000</v>
      </c>
    </row>
    <row r="1934" spans="1:13" x14ac:dyDescent="0.3">
      <c r="A1934" s="23">
        <v>45365</v>
      </c>
      <c r="B1934" t="s">
        <v>12</v>
      </c>
      <c r="C1934" t="s">
        <v>132</v>
      </c>
      <c r="D1934" t="s">
        <v>16</v>
      </c>
      <c r="E1934" t="s">
        <v>162</v>
      </c>
      <c r="F1934">
        <v>48250000</v>
      </c>
      <c r="G1934" t="s">
        <v>22</v>
      </c>
      <c r="H1934" t="s">
        <v>81</v>
      </c>
      <c r="I1934" t="s">
        <v>9</v>
      </c>
      <c r="L1934" t="s">
        <v>161</v>
      </c>
      <c r="M1934">
        <v>48250000</v>
      </c>
    </row>
    <row r="1935" spans="1:13" x14ac:dyDescent="0.3">
      <c r="A1935" s="23">
        <v>45365</v>
      </c>
      <c r="B1935" t="s">
        <v>12</v>
      </c>
      <c r="C1935" t="s">
        <v>132</v>
      </c>
      <c r="D1935" t="s">
        <v>17</v>
      </c>
      <c r="E1935" t="s">
        <v>162</v>
      </c>
      <c r="F1935">
        <v>164600000</v>
      </c>
      <c r="G1935" t="s">
        <v>22</v>
      </c>
      <c r="H1935" t="s">
        <v>81</v>
      </c>
      <c r="I1935" t="s">
        <v>9</v>
      </c>
      <c r="L1935" t="s">
        <v>161</v>
      </c>
      <c r="M1935">
        <v>-164600000</v>
      </c>
    </row>
    <row r="1936" spans="1:13" x14ac:dyDescent="0.3">
      <c r="A1936" s="23">
        <v>45166</v>
      </c>
      <c r="B1936" t="s">
        <v>12</v>
      </c>
      <c r="C1936" t="s">
        <v>132</v>
      </c>
      <c r="D1936" t="s">
        <v>16</v>
      </c>
      <c r="E1936" t="s">
        <v>162</v>
      </c>
      <c r="F1936">
        <v>514805287.83999997</v>
      </c>
      <c r="G1936" t="s">
        <v>22</v>
      </c>
      <c r="H1936" t="s">
        <v>81</v>
      </c>
      <c r="I1936" t="s">
        <v>9</v>
      </c>
      <c r="L1936" t="s">
        <v>161</v>
      </c>
      <c r="M1936">
        <v>514805287.83999997</v>
      </c>
    </row>
    <row r="1937" spans="1:13" x14ac:dyDescent="0.3">
      <c r="A1937" s="23">
        <v>45359</v>
      </c>
      <c r="B1937" t="s">
        <v>12</v>
      </c>
      <c r="C1937" t="s">
        <v>132</v>
      </c>
      <c r="D1937" t="s">
        <v>16</v>
      </c>
      <c r="E1937" t="s">
        <v>162</v>
      </c>
      <c r="F1937">
        <v>6350000</v>
      </c>
      <c r="G1937" t="s">
        <v>22</v>
      </c>
      <c r="H1937" t="s">
        <v>81</v>
      </c>
      <c r="I1937" t="s">
        <v>9</v>
      </c>
      <c r="L1937" t="s">
        <v>161</v>
      </c>
      <c r="M1937">
        <v>6350000</v>
      </c>
    </row>
    <row r="1938" spans="1:13" x14ac:dyDescent="0.3">
      <c r="A1938" s="23">
        <v>45357</v>
      </c>
      <c r="B1938" t="s">
        <v>12</v>
      </c>
      <c r="C1938" t="s">
        <v>132</v>
      </c>
      <c r="D1938" t="s">
        <v>16</v>
      </c>
      <c r="E1938" t="s">
        <v>162</v>
      </c>
      <c r="F1938">
        <v>141800000</v>
      </c>
      <c r="G1938" t="s">
        <v>22</v>
      </c>
      <c r="H1938" t="s">
        <v>81</v>
      </c>
      <c r="I1938" t="s">
        <v>9</v>
      </c>
      <c r="L1938" t="s">
        <v>161</v>
      </c>
      <c r="M1938">
        <v>141800000</v>
      </c>
    </row>
    <row r="1939" spans="1:13" x14ac:dyDescent="0.3">
      <c r="A1939" s="23">
        <v>45356</v>
      </c>
      <c r="B1939" t="s">
        <v>12</v>
      </c>
      <c r="C1939" t="s">
        <v>132</v>
      </c>
      <c r="D1939" t="s">
        <v>16</v>
      </c>
      <c r="E1939" t="s">
        <v>162</v>
      </c>
      <c r="F1939">
        <v>122850000</v>
      </c>
      <c r="G1939" t="s">
        <v>22</v>
      </c>
      <c r="H1939" t="s">
        <v>81</v>
      </c>
      <c r="I1939" t="s">
        <v>9</v>
      </c>
      <c r="L1939" t="s">
        <v>161</v>
      </c>
      <c r="M1939">
        <v>122850000</v>
      </c>
    </row>
    <row r="1940" spans="1:13" x14ac:dyDescent="0.3">
      <c r="A1940" s="23">
        <v>45170</v>
      </c>
      <c r="B1940" t="s">
        <v>12</v>
      </c>
      <c r="C1940" t="s">
        <v>132</v>
      </c>
      <c r="D1940" t="s">
        <v>16</v>
      </c>
      <c r="E1940" t="s">
        <v>162</v>
      </c>
      <c r="F1940">
        <v>988660.21</v>
      </c>
      <c r="G1940" t="s">
        <v>22</v>
      </c>
      <c r="H1940" t="s">
        <v>81</v>
      </c>
      <c r="I1940" t="s">
        <v>9</v>
      </c>
      <c r="L1940" t="s">
        <v>161</v>
      </c>
      <c r="M1940">
        <v>988660.21</v>
      </c>
    </row>
    <row r="1941" spans="1:13" x14ac:dyDescent="0.3">
      <c r="A1941" s="23">
        <v>45351</v>
      </c>
      <c r="B1941" t="s">
        <v>12</v>
      </c>
      <c r="C1941" t="s">
        <v>132</v>
      </c>
      <c r="D1941" t="s">
        <v>16</v>
      </c>
      <c r="E1941" t="s">
        <v>162</v>
      </c>
      <c r="F1941">
        <v>2100000</v>
      </c>
      <c r="G1941" t="s">
        <v>22</v>
      </c>
      <c r="H1941" t="s">
        <v>81</v>
      </c>
      <c r="I1941" t="s">
        <v>9</v>
      </c>
      <c r="L1941" t="s">
        <v>161</v>
      </c>
      <c r="M1941">
        <v>2100000</v>
      </c>
    </row>
    <row r="1942" spans="1:13" x14ac:dyDescent="0.3">
      <c r="A1942" s="23">
        <v>45350</v>
      </c>
      <c r="B1942" t="s">
        <v>12</v>
      </c>
      <c r="C1942" t="s">
        <v>132</v>
      </c>
      <c r="D1942" t="s">
        <v>16</v>
      </c>
      <c r="E1942" t="s">
        <v>162</v>
      </c>
      <c r="F1942">
        <v>122200000</v>
      </c>
      <c r="G1942" t="s">
        <v>22</v>
      </c>
      <c r="H1942" t="s">
        <v>81</v>
      </c>
      <c r="I1942" t="s">
        <v>9</v>
      </c>
      <c r="L1942" t="s">
        <v>161</v>
      </c>
      <c r="M1942">
        <v>122200000</v>
      </c>
    </row>
    <row r="1943" spans="1:13" x14ac:dyDescent="0.3">
      <c r="A1943" s="23">
        <v>45170</v>
      </c>
      <c r="B1943" t="s">
        <v>12</v>
      </c>
      <c r="C1943" t="s">
        <v>132</v>
      </c>
      <c r="D1943" t="s">
        <v>17</v>
      </c>
      <c r="E1943" t="s">
        <v>162</v>
      </c>
      <c r="F1943">
        <v>172000000</v>
      </c>
      <c r="G1943" t="s">
        <v>22</v>
      </c>
      <c r="H1943" t="s">
        <v>81</v>
      </c>
      <c r="I1943" t="s">
        <v>9</v>
      </c>
      <c r="L1943" t="s">
        <v>161</v>
      </c>
      <c r="M1943">
        <v>-172000000</v>
      </c>
    </row>
    <row r="1944" spans="1:13" x14ac:dyDescent="0.3">
      <c r="A1944" s="23">
        <v>45343</v>
      </c>
      <c r="B1944" t="s">
        <v>12</v>
      </c>
      <c r="C1944" t="s">
        <v>132</v>
      </c>
      <c r="D1944" t="s">
        <v>16</v>
      </c>
      <c r="E1944" t="s">
        <v>162</v>
      </c>
      <c r="F1944">
        <v>13370000</v>
      </c>
      <c r="G1944" t="s">
        <v>22</v>
      </c>
      <c r="H1944" t="s">
        <v>81</v>
      </c>
      <c r="I1944" t="s">
        <v>9</v>
      </c>
      <c r="L1944" t="s">
        <v>161</v>
      </c>
      <c r="M1944">
        <v>13370000</v>
      </c>
    </row>
    <row r="1945" spans="1:13" x14ac:dyDescent="0.3">
      <c r="A1945" s="23">
        <v>45177</v>
      </c>
      <c r="B1945" t="s">
        <v>12</v>
      </c>
      <c r="C1945" t="s">
        <v>132</v>
      </c>
      <c r="D1945" t="s">
        <v>16</v>
      </c>
      <c r="E1945" t="s">
        <v>162</v>
      </c>
      <c r="F1945">
        <v>10706200.359999999</v>
      </c>
      <c r="G1945" t="s">
        <v>22</v>
      </c>
      <c r="H1945" t="s">
        <v>81</v>
      </c>
      <c r="I1945" t="s">
        <v>9</v>
      </c>
      <c r="L1945" t="s">
        <v>161</v>
      </c>
      <c r="M1945">
        <v>10706200.359999999</v>
      </c>
    </row>
    <row r="1946" spans="1:13" x14ac:dyDescent="0.3">
      <c r="A1946" s="23">
        <v>45181</v>
      </c>
      <c r="B1946" t="s">
        <v>12</v>
      </c>
      <c r="C1946" t="s">
        <v>132</v>
      </c>
      <c r="D1946" t="s">
        <v>16</v>
      </c>
      <c r="E1946" t="s">
        <v>162</v>
      </c>
      <c r="F1946">
        <v>279484714.55000001</v>
      </c>
      <c r="G1946" t="s">
        <v>22</v>
      </c>
      <c r="H1946" t="s">
        <v>81</v>
      </c>
      <c r="I1946" t="s">
        <v>9</v>
      </c>
      <c r="L1946" t="s">
        <v>161</v>
      </c>
      <c r="M1946">
        <v>279484714.55000001</v>
      </c>
    </row>
    <row r="1947" spans="1:13" x14ac:dyDescent="0.3">
      <c r="A1947" s="23">
        <v>45182</v>
      </c>
      <c r="B1947" t="s">
        <v>12</v>
      </c>
      <c r="C1947" t="s">
        <v>132</v>
      </c>
      <c r="D1947" t="s">
        <v>17</v>
      </c>
      <c r="E1947" t="s">
        <v>162</v>
      </c>
      <c r="F1947">
        <v>633984862.96000004</v>
      </c>
      <c r="G1947" t="s">
        <v>22</v>
      </c>
      <c r="H1947" t="s">
        <v>81</v>
      </c>
      <c r="I1947" t="s">
        <v>9</v>
      </c>
      <c r="L1947" t="s">
        <v>161</v>
      </c>
      <c r="M1947">
        <v>-633984862.96000004</v>
      </c>
    </row>
    <row r="1948" spans="1:13" x14ac:dyDescent="0.3">
      <c r="A1948" s="23">
        <v>45308</v>
      </c>
      <c r="B1948" t="s">
        <v>12</v>
      </c>
      <c r="C1948" t="s">
        <v>132</v>
      </c>
      <c r="D1948" t="s">
        <v>16</v>
      </c>
      <c r="E1948" t="s">
        <v>162</v>
      </c>
      <c r="F1948">
        <v>21250000</v>
      </c>
      <c r="G1948" t="s">
        <v>22</v>
      </c>
      <c r="H1948" t="s">
        <v>81</v>
      </c>
      <c r="I1948" t="s">
        <v>9</v>
      </c>
      <c r="L1948" t="s">
        <v>161</v>
      </c>
      <c r="M1948">
        <v>21250000</v>
      </c>
    </row>
    <row r="1949" spans="1:13" x14ac:dyDescent="0.3">
      <c r="A1949" s="23">
        <v>45303</v>
      </c>
      <c r="B1949" t="s">
        <v>12</v>
      </c>
      <c r="C1949" t="s">
        <v>132</v>
      </c>
      <c r="D1949" t="s">
        <v>16</v>
      </c>
      <c r="E1949" t="s">
        <v>162</v>
      </c>
      <c r="F1949">
        <v>10080000</v>
      </c>
      <c r="G1949" t="s">
        <v>22</v>
      </c>
      <c r="H1949" t="s">
        <v>81</v>
      </c>
      <c r="I1949" t="s">
        <v>9</v>
      </c>
      <c r="L1949" t="s">
        <v>161</v>
      </c>
      <c r="M1949">
        <v>10080000</v>
      </c>
    </row>
    <row r="1950" spans="1:13" x14ac:dyDescent="0.3">
      <c r="A1950" s="23">
        <v>45302</v>
      </c>
      <c r="B1950" t="s">
        <v>12</v>
      </c>
      <c r="C1950" t="s">
        <v>132</v>
      </c>
      <c r="D1950" t="s">
        <v>17</v>
      </c>
      <c r="E1950" t="s">
        <v>162</v>
      </c>
      <c r="F1950">
        <v>171600000</v>
      </c>
      <c r="G1950" t="s">
        <v>22</v>
      </c>
      <c r="H1950" t="s">
        <v>81</v>
      </c>
      <c r="I1950" t="s">
        <v>9</v>
      </c>
      <c r="L1950" t="s">
        <v>161</v>
      </c>
      <c r="M1950">
        <v>-171600000</v>
      </c>
    </row>
    <row r="1951" spans="1:13" x14ac:dyDescent="0.3">
      <c r="A1951" s="23">
        <v>45299</v>
      </c>
      <c r="B1951" t="s">
        <v>12</v>
      </c>
      <c r="C1951" t="s">
        <v>132</v>
      </c>
      <c r="D1951" t="s">
        <v>16</v>
      </c>
      <c r="E1951" t="s">
        <v>162</v>
      </c>
      <c r="F1951">
        <v>8700000</v>
      </c>
      <c r="G1951" t="s">
        <v>22</v>
      </c>
      <c r="H1951" t="s">
        <v>81</v>
      </c>
      <c r="I1951" t="s">
        <v>9</v>
      </c>
      <c r="L1951" t="s">
        <v>161</v>
      </c>
      <c r="M1951">
        <v>8700000</v>
      </c>
    </row>
    <row r="1952" spans="1:13" x14ac:dyDescent="0.3">
      <c r="A1952" s="23">
        <v>45289</v>
      </c>
      <c r="B1952" t="s">
        <v>12</v>
      </c>
      <c r="C1952" t="s">
        <v>132</v>
      </c>
      <c r="D1952" t="s">
        <v>16</v>
      </c>
      <c r="E1952" t="s">
        <v>162</v>
      </c>
      <c r="F1952">
        <v>515900000</v>
      </c>
      <c r="G1952" t="s">
        <v>22</v>
      </c>
      <c r="H1952" t="s">
        <v>81</v>
      </c>
      <c r="I1952" t="s">
        <v>9</v>
      </c>
      <c r="L1952" t="s">
        <v>161</v>
      </c>
      <c r="M1952">
        <v>515900000</v>
      </c>
    </row>
    <row r="1953" spans="1:13" x14ac:dyDescent="0.3">
      <c r="A1953" s="23">
        <v>45287</v>
      </c>
      <c r="B1953" t="s">
        <v>12</v>
      </c>
      <c r="C1953" t="s">
        <v>132</v>
      </c>
      <c r="D1953" t="s">
        <v>17</v>
      </c>
      <c r="E1953" t="s">
        <v>162</v>
      </c>
      <c r="F1953">
        <v>1376640384.3800001</v>
      </c>
      <c r="G1953" t="s">
        <v>22</v>
      </c>
      <c r="H1953" t="s">
        <v>81</v>
      </c>
      <c r="I1953" t="s">
        <v>9</v>
      </c>
      <c r="L1953" t="s">
        <v>161</v>
      </c>
      <c r="M1953">
        <v>-1376640384.3800001</v>
      </c>
    </row>
    <row r="1954" spans="1:13" x14ac:dyDescent="0.3">
      <c r="A1954" s="23">
        <v>45282</v>
      </c>
      <c r="B1954" t="s">
        <v>12</v>
      </c>
      <c r="C1954" t="s">
        <v>132</v>
      </c>
      <c r="D1954" t="s">
        <v>16</v>
      </c>
      <c r="E1954" t="s">
        <v>162</v>
      </c>
      <c r="F1954">
        <v>907340384.38</v>
      </c>
      <c r="G1954" t="s">
        <v>22</v>
      </c>
      <c r="H1954" t="s">
        <v>81</v>
      </c>
      <c r="I1954" t="s">
        <v>9</v>
      </c>
      <c r="L1954" t="s">
        <v>161</v>
      </c>
      <c r="M1954">
        <v>907340384.38</v>
      </c>
    </row>
    <row r="1955" spans="1:13" x14ac:dyDescent="0.3">
      <c r="A1955" s="23">
        <v>45275</v>
      </c>
      <c r="B1955" t="s">
        <v>12</v>
      </c>
      <c r="C1955" t="s">
        <v>132</v>
      </c>
      <c r="D1955" t="s">
        <v>16</v>
      </c>
      <c r="E1955" t="s">
        <v>162</v>
      </c>
      <c r="F1955">
        <v>469300000</v>
      </c>
      <c r="G1955" t="s">
        <v>22</v>
      </c>
      <c r="H1955" t="s">
        <v>81</v>
      </c>
      <c r="I1955" t="s">
        <v>9</v>
      </c>
      <c r="L1955" t="s">
        <v>161</v>
      </c>
      <c r="M1955">
        <v>469300000</v>
      </c>
    </row>
    <row r="1956" spans="1:13" x14ac:dyDescent="0.3">
      <c r="A1956" s="23">
        <v>45253</v>
      </c>
      <c r="B1956" t="s">
        <v>12</v>
      </c>
      <c r="C1956" t="s">
        <v>132</v>
      </c>
      <c r="D1956" t="s">
        <v>17</v>
      </c>
      <c r="E1956" t="s">
        <v>162</v>
      </c>
      <c r="F1956">
        <v>451000000</v>
      </c>
      <c r="G1956" t="s">
        <v>22</v>
      </c>
      <c r="H1956" t="s">
        <v>81</v>
      </c>
      <c r="I1956" t="s">
        <v>9</v>
      </c>
      <c r="L1956" t="s">
        <v>161</v>
      </c>
      <c r="M1956">
        <v>-451000000</v>
      </c>
    </row>
    <row r="1957" spans="1:13" x14ac:dyDescent="0.3">
      <c r="A1957" s="23">
        <v>45252</v>
      </c>
      <c r="B1957" t="s">
        <v>12</v>
      </c>
      <c r="C1957" t="s">
        <v>132</v>
      </c>
      <c r="D1957" t="s">
        <v>16</v>
      </c>
      <c r="E1957" t="s">
        <v>162</v>
      </c>
      <c r="F1957">
        <v>451000000</v>
      </c>
      <c r="G1957" t="s">
        <v>22</v>
      </c>
      <c r="H1957" t="s">
        <v>81</v>
      </c>
      <c r="I1957" t="s">
        <v>9</v>
      </c>
      <c r="L1957" t="s">
        <v>161</v>
      </c>
      <c r="M1957">
        <v>451000000</v>
      </c>
    </row>
    <row r="1958" spans="1:13" x14ac:dyDescent="0.3">
      <c r="A1958" s="23">
        <v>45252</v>
      </c>
      <c r="B1958" t="s">
        <v>12</v>
      </c>
      <c r="C1958" t="s">
        <v>132</v>
      </c>
      <c r="D1958" t="s">
        <v>17</v>
      </c>
      <c r="E1958" t="s">
        <v>162</v>
      </c>
      <c r="F1958">
        <v>44709693.759999998</v>
      </c>
      <c r="G1958" t="s">
        <v>22</v>
      </c>
      <c r="H1958" t="s">
        <v>81</v>
      </c>
      <c r="I1958" t="s">
        <v>9</v>
      </c>
      <c r="L1958" t="s">
        <v>161</v>
      </c>
      <c r="M1958">
        <v>-44709693.759999998</v>
      </c>
    </row>
    <row r="1959" spans="1:13" x14ac:dyDescent="0.3">
      <c r="A1959" s="23">
        <v>45247</v>
      </c>
      <c r="B1959" t="s">
        <v>12</v>
      </c>
      <c r="C1959" t="s">
        <v>132</v>
      </c>
      <c r="D1959" t="s">
        <v>16</v>
      </c>
      <c r="E1959" t="s">
        <v>162</v>
      </c>
      <c r="F1959">
        <v>133295.28</v>
      </c>
      <c r="G1959" t="s">
        <v>22</v>
      </c>
      <c r="H1959" t="s">
        <v>81</v>
      </c>
      <c r="I1959" t="s">
        <v>9</v>
      </c>
      <c r="L1959" t="s">
        <v>161</v>
      </c>
      <c r="M1959">
        <v>133295.28</v>
      </c>
    </row>
    <row r="1960" spans="1:13" x14ac:dyDescent="0.3">
      <c r="A1960" s="23">
        <v>45246</v>
      </c>
      <c r="B1960" t="s">
        <v>12</v>
      </c>
      <c r="C1960" t="s">
        <v>132</v>
      </c>
      <c r="D1960" t="s">
        <v>16</v>
      </c>
      <c r="E1960" t="s">
        <v>162</v>
      </c>
      <c r="F1960">
        <v>1576398.48</v>
      </c>
      <c r="G1960" t="s">
        <v>22</v>
      </c>
      <c r="H1960" t="s">
        <v>81</v>
      </c>
      <c r="I1960" t="s">
        <v>9</v>
      </c>
      <c r="L1960" t="s">
        <v>161</v>
      </c>
      <c r="M1960">
        <v>1576398.48</v>
      </c>
    </row>
    <row r="1961" spans="1:13" x14ac:dyDescent="0.3">
      <c r="A1961" s="23">
        <v>45233</v>
      </c>
      <c r="B1961" t="s">
        <v>12</v>
      </c>
      <c r="C1961" t="s">
        <v>132</v>
      </c>
      <c r="D1961" t="s">
        <v>16</v>
      </c>
      <c r="E1961" t="s">
        <v>162</v>
      </c>
      <c r="F1961">
        <v>43000000</v>
      </c>
      <c r="G1961" t="s">
        <v>22</v>
      </c>
      <c r="H1961" t="s">
        <v>81</v>
      </c>
      <c r="I1961" t="s">
        <v>9</v>
      </c>
      <c r="L1961" t="s">
        <v>161</v>
      </c>
      <c r="M1961">
        <v>43000000</v>
      </c>
    </row>
    <row r="1962" spans="1:13" x14ac:dyDescent="0.3">
      <c r="A1962" s="23">
        <v>45874</v>
      </c>
      <c r="B1962" t="s">
        <v>12</v>
      </c>
      <c r="C1962" t="s">
        <v>132</v>
      </c>
      <c r="D1962" t="s">
        <v>17</v>
      </c>
      <c r="E1962" t="s">
        <v>169</v>
      </c>
      <c r="F1962">
        <v>68675136.849999994</v>
      </c>
      <c r="G1962" t="s">
        <v>131</v>
      </c>
      <c r="H1962" t="s">
        <v>81</v>
      </c>
      <c r="I1962" t="s">
        <v>9</v>
      </c>
      <c r="L1962" t="s">
        <v>161</v>
      </c>
      <c r="M1962">
        <v>-68675136.849999994</v>
      </c>
    </row>
    <row r="1963" spans="1:13" x14ac:dyDescent="0.3">
      <c r="A1963" s="23">
        <v>45874</v>
      </c>
      <c r="B1963" t="s">
        <v>12</v>
      </c>
      <c r="C1963" t="s">
        <v>132</v>
      </c>
      <c r="D1963" t="s">
        <v>17</v>
      </c>
      <c r="E1963" t="s">
        <v>169</v>
      </c>
      <c r="F1963">
        <v>73496565.680000007</v>
      </c>
      <c r="G1963" t="s">
        <v>131</v>
      </c>
      <c r="H1963" t="s">
        <v>81</v>
      </c>
      <c r="I1963" t="s">
        <v>9</v>
      </c>
      <c r="L1963" t="s">
        <v>161</v>
      </c>
      <c r="M1963">
        <v>-73496565.680000007</v>
      </c>
    </row>
    <row r="1964" spans="1:13" x14ac:dyDescent="0.3">
      <c r="A1964" s="23">
        <v>45868</v>
      </c>
      <c r="B1964" t="s">
        <v>12</v>
      </c>
      <c r="C1964" t="s">
        <v>132</v>
      </c>
      <c r="D1964" t="s">
        <v>17</v>
      </c>
      <c r="E1964" t="s">
        <v>169</v>
      </c>
      <c r="F1964">
        <v>139894577.44</v>
      </c>
      <c r="G1964" t="s">
        <v>131</v>
      </c>
      <c r="H1964" t="s">
        <v>81</v>
      </c>
      <c r="I1964" t="s">
        <v>9</v>
      </c>
      <c r="L1964" t="s">
        <v>161</v>
      </c>
      <c r="M1964">
        <v>-139894577.44</v>
      </c>
    </row>
    <row r="1965" spans="1:13" x14ac:dyDescent="0.3">
      <c r="A1965" s="23">
        <v>45868</v>
      </c>
      <c r="B1965" t="s">
        <v>12</v>
      </c>
      <c r="C1965" t="s">
        <v>132</v>
      </c>
      <c r="D1965" t="s">
        <v>17</v>
      </c>
      <c r="E1965" t="s">
        <v>169</v>
      </c>
      <c r="F1965">
        <v>138266100</v>
      </c>
      <c r="G1965" t="s">
        <v>131</v>
      </c>
      <c r="H1965" t="s">
        <v>81</v>
      </c>
      <c r="I1965" t="s">
        <v>9</v>
      </c>
      <c r="L1965" t="s">
        <v>161</v>
      </c>
      <c r="M1965">
        <v>-138266100</v>
      </c>
    </row>
    <row r="1966" spans="1:13" x14ac:dyDescent="0.3">
      <c r="A1966" s="23">
        <v>45863</v>
      </c>
      <c r="B1966" t="s">
        <v>12</v>
      </c>
      <c r="C1966" t="s">
        <v>132</v>
      </c>
      <c r="D1966" t="s">
        <v>16</v>
      </c>
      <c r="E1966" t="s">
        <v>169</v>
      </c>
      <c r="F1966">
        <v>12888539.939999999</v>
      </c>
      <c r="G1966" t="s">
        <v>131</v>
      </c>
      <c r="H1966" t="s">
        <v>81</v>
      </c>
      <c r="I1966" t="s">
        <v>9</v>
      </c>
      <c r="L1966" t="s">
        <v>161</v>
      </c>
      <c r="M1966">
        <v>12888539.939999999</v>
      </c>
    </row>
    <row r="1967" spans="1:13" x14ac:dyDescent="0.3">
      <c r="A1967" s="23">
        <v>45862</v>
      </c>
      <c r="B1967" t="s">
        <v>12</v>
      </c>
      <c r="C1967" t="s">
        <v>132</v>
      </c>
      <c r="D1967" t="s">
        <v>17</v>
      </c>
      <c r="E1967" t="s">
        <v>169</v>
      </c>
      <c r="F1967">
        <v>78095036.430000007</v>
      </c>
      <c r="G1967" t="s">
        <v>131</v>
      </c>
      <c r="H1967" t="s">
        <v>81</v>
      </c>
      <c r="I1967" t="s">
        <v>9</v>
      </c>
      <c r="L1967" t="s">
        <v>161</v>
      </c>
      <c r="M1967">
        <v>-78095036.430000007</v>
      </c>
    </row>
    <row r="1968" spans="1:13" x14ac:dyDescent="0.3">
      <c r="A1968" s="23">
        <v>45862</v>
      </c>
      <c r="B1968" t="s">
        <v>12</v>
      </c>
      <c r="C1968" t="s">
        <v>132</v>
      </c>
      <c r="D1968" t="s">
        <v>17</v>
      </c>
      <c r="E1968" t="s">
        <v>169</v>
      </c>
      <c r="F1968">
        <v>81395727.629999995</v>
      </c>
      <c r="G1968" t="s">
        <v>131</v>
      </c>
      <c r="H1968" t="s">
        <v>81</v>
      </c>
      <c r="I1968" t="s">
        <v>9</v>
      </c>
      <c r="L1968" t="s">
        <v>161</v>
      </c>
      <c r="M1968">
        <v>-81395727.629999995</v>
      </c>
    </row>
    <row r="1969" spans="1:13" x14ac:dyDescent="0.3">
      <c r="A1969" s="23">
        <v>45860</v>
      </c>
      <c r="B1969" t="s">
        <v>12</v>
      </c>
      <c r="C1969" t="s">
        <v>132</v>
      </c>
      <c r="D1969" t="s">
        <v>17</v>
      </c>
      <c r="E1969" t="s">
        <v>169</v>
      </c>
      <c r="F1969">
        <v>297472636.80000001</v>
      </c>
      <c r="G1969" t="s">
        <v>131</v>
      </c>
      <c r="H1969" t="s">
        <v>81</v>
      </c>
      <c r="I1969" t="s">
        <v>9</v>
      </c>
      <c r="L1969" t="s">
        <v>161</v>
      </c>
      <c r="M1969">
        <v>-297472636.80000001</v>
      </c>
    </row>
    <row r="1970" spans="1:13" x14ac:dyDescent="0.3">
      <c r="A1970" s="23">
        <v>45860</v>
      </c>
      <c r="B1970" t="s">
        <v>12</v>
      </c>
      <c r="C1970" t="s">
        <v>132</v>
      </c>
      <c r="D1970" t="s">
        <v>17</v>
      </c>
      <c r="E1970" t="s">
        <v>169</v>
      </c>
      <c r="F1970">
        <v>70989425.819999993</v>
      </c>
      <c r="G1970" t="s">
        <v>131</v>
      </c>
      <c r="H1970" t="s">
        <v>81</v>
      </c>
      <c r="I1970" t="s">
        <v>9</v>
      </c>
      <c r="L1970" t="s">
        <v>161</v>
      </c>
      <c r="M1970">
        <v>-70989425.819999993</v>
      </c>
    </row>
    <row r="1971" spans="1:13" x14ac:dyDescent="0.3">
      <c r="A1971" s="23">
        <v>45849</v>
      </c>
      <c r="B1971" t="s">
        <v>12</v>
      </c>
      <c r="C1971" t="s">
        <v>132</v>
      </c>
      <c r="D1971" t="s">
        <v>16</v>
      </c>
      <c r="E1971" t="s">
        <v>169</v>
      </c>
      <c r="F1971">
        <v>54323612.75</v>
      </c>
      <c r="G1971" t="s">
        <v>131</v>
      </c>
      <c r="H1971" t="s">
        <v>81</v>
      </c>
      <c r="I1971" t="s">
        <v>9</v>
      </c>
      <c r="L1971" t="s">
        <v>161</v>
      </c>
      <c r="M1971">
        <v>54323612.75</v>
      </c>
    </row>
    <row r="1972" spans="1:13" x14ac:dyDescent="0.3">
      <c r="A1972" s="23">
        <v>45849</v>
      </c>
      <c r="B1972" t="s">
        <v>12</v>
      </c>
      <c r="C1972" t="s">
        <v>132</v>
      </c>
      <c r="D1972" t="s">
        <v>16</v>
      </c>
      <c r="E1972" t="s">
        <v>169</v>
      </c>
      <c r="F1972">
        <v>1000000000</v>
      </c>
      <c r="G1972" t="s">
        <v>131</v>
      </c>
      <c r="H1972" t="s">
        <v>81</v>
      </c>
      <c r="I1972" t="s">
        <v>9</v>
      </c>
      <c r="L1972" t="s">
        <v>161</v>
      </c>
      <c r="M1972">
        <v>1000000000</v>
      </c>
    </row>
    <row r="1973" spans="1:13" x14ac:dyDescent="0.3">
      <c r="A1973" s="23">
        <v>45848</v>
      </c>
      <c r="B1973" t="s">
        <v>12</v>
      </c>
      <c r="C1973" t="s">
        <v>132</v>
      </c>
      <c r="D1973" t="s">
        <v>17</v>
      </c>
      <c r="E1973" t="s">
        <v>169</v>
      </c>
      <c r="F1973">
        <v>440075089.08999997</v>
      </c>
      <c r="G1973" t="s">
        <v>131</v>
      </c>
      <c r="H1973" t="s">
        <v>81</v>
      </c>
      <c r="I1973" t="s">
        <v>9</v>
      </c>
      <c r="L1973" t="s">
        <v>161</v>
      </c>
      <c r="M1973">
        <v>-440075089.08999997</v>
      </c>
    </row>
    <row r="1974" spans="1:13" x14ac:dyDescent="0.3">
      <c r="A1974" s="23">
        <v>45848</v>
      </c>
      <c r="B1974" t="s">
        <v>12</v>
      </c>
      <c r="C1974" t="s">
        <v>132</v>
      </c>
      <c r="D1974" t="s">
        <v>17</v>
      </c>
      <c r="E1974" t="s">
        <v>169</v>
      </c>
      <c r="F1974">
        <v>72726647.030000001</v>
      </c>
      <c r="G1974" t="s">
        <v>131</v>
      </c>
      <c r="H1974" t="s">
        <v>81</v>
      </c>
      <c r="I1974" t="s">
        <v>9</v>
      </c>
      <c r="L1974" t="s">
        <v>161</v>
      </c>
      <c r="M1974">
        <v>-72726647.030000001</v>
      </c>
    </row>
    <row r="1975" spans="1:13" x14ac:dyDescent="0.3">
      <c r="A1975" s="23">
        <v>45845</v>
      </c>
      <c r="B1975" t="s">
        <v>12</v>
      </c>
      <c r="C1975" t="s">
        <v>132</v>
      </c>
      <c r="D1975" t="s">
        <v>17</v>
      </c>
      <c r="E1975" t="s">
        <v>169</v>
      </c>
      <c r="F1975">
        <v>7747336166.0699997</v>
      </c>
      <c r="G1975" t="s">
        <v>131</v>
      </c>
      <c r="H1975" t="s">
        <v>81</v>
      </c>
      <c r="I1975" t="s">
        <v>9</v>
      </c>
      <c r="L1975" t="s">
        <v>161</v>
      </c>
      <c r="M1975">
        <v>-7747336166.0699997</v>
      </c>
    </row>
    <row r="1976" spans="1:13" x14ac:dyDescent="0.3">
      <c r="A1976" s="23">
        <v>45845</v>
      </c>
      <c r="B1976" t="s">
        <v>12</v>
      </c>
      <c r="C1976" t="s">
        <v>132</v>
      </c>
      <c r="D1976" t="s">
        <v>17</v>
      </c>
      <c r="E1976" t="s">
        <v>169</v>
      </c>
      <c r="F1976">
        <v>992754609.77999997</v>
      </c>
      <c r="G1976" t="s">
        <v>131</v>
      </c>
      <c r="H1976" t="s">
        <v>81</v>
      </c>
      <c r="I1976" t="s">
        <v>9</v>
      </c>
      <c r="L1976" t="s">
        <v>161</v>
      </c>
      <c r="M1976">
        <v>-992754609.77999997</v>
      </c>
    </row>
    <row r="1977" spans="1:13" x14ac:dyDescent="0.3">
      <c r="A1977" s="23">
        <v>45845</v>
      </c>
      <c r="B1977" t="s">
        <v>12</v>
      </c>
      <c r="C1977" t="s">
        <v>132</v>
      </c>
      <c r="D1977" t="s">
        <v>16</v>
      </c>
      <c r="E1977" t="s">
        <v>169</v>
      </c>
      <c r="F1977">
        <v>500000000</v>
      </c>
      <c r="G1977" t="s">
        <v>131</v>
      </c>
      <c r="H1977" t="s">
        <v>81</v>
      </c>
      <c r="I1977" t="s">
        <v>9</v>
      </c>
      <c r="L1977" t="s">
        <v>161</v>
      </c>
      <c r="M1977">
        <v>500000000</v>
      </c>
    </row>
    <row r="1978" spans="1:13" x14ac:dyDescent="0.3">
      <c r="A1978" s="23">
        <v>45841</v>
      </c>
      <c r="B1978" t="s">
        <v>12</v>
      </c>
      <c r="C1978" t="s">
        <v>132</v>
      </c>
      <c r="D1978" t="s">
        <v>17</v>
      </c>
      <c r="E1978" t="s">
        <v>169</v>
      </c>
      <c r="F1978">
        <v>152580835.75</v>
      </c>
      <c r="G1978" t="s">
        <v>131</v>
      </c>
      <c r="H1978" t="s">
        <v>81</v>
      </c>
      <c r="I1978" t="s">
        <v>9</v>
      </c>
      <c r="L1978" t="s">
        <v>161</v>
      </c>
      <c r="M1978">
        <v>-152580835.75</v>
      </c>
    </row>
    <row r="1979" spans="1:13" x14ac:dyDescent="0.3">
      <c r="A1979" s="23">
        <v>45840</v>
      </c>
      <c r="B1979" t="s">
        <v>12</v>
      </c>
      <c r="C1979" t="s">
        <v>132</v>
      </c>
      <c r="D1979" t="s">
        <v>16</v>
      </c>
      <c r="E1979" t="s">
        <v>169</v>
      </c>
      <c r="F1979">
        <v>200000000</v>
      </c>
      <c r="G1979" t="s">
        <v>131</v>
      </c>
      <c r="H1979" t="s">
        <v>81</v>
      </c>
      <c r="I1979" t="s">
        <v>9</v>
      </c>
      <c r="L1979" t="s">
        <v>161</v>
      </c>
      <c r="M1979">
        <v>200000000</v>
      </c>
    </row>
    <row r="1980" spans="1:13" x14ac:dyDescent="0.3">
      <c r="A1980" s="23">
        <v>45839</v>
      </c>
      <c r="B1980" t="s">
        <v>12</v>
      </c>
      <c r="C1980" t="s">
        <v>132</v>
      </c>
      <c r="D1980" t="s">
        <v>16</v>
      </c>
      <c r="E1980" t="s">
        <v>169</v>
      </c>
      <c r="F1980">
        <v>7500000000</v>
      </c>
      <c r="G1980" t="s">
        <v>131</v>
      </c>
      <c r="H1980" t="s">
        <v>81</v>
      </c>
      <c r="I1980" t="s">
        <v>9</v>
      </c>
      <c r="L1980" t="s">
        <v>161</v>
      </c>
      <c r="M1980">
        <v>7500000000</v>
      </c>
    </row>
    <row r="1981" spans="1:13" x14ac:dyDescent="0.3">
      <c r="A1981" s="23">
        <v>45838</v>
      </c>
      <c r="B1981" t="s">
        <v>12</v>
      </c>
      <c r="C1981" t="s">
        <v>132</v>
      </c>
      <c r="D1981" t="s">
        <v>17</v>
      </c>
      <c r="E1981" t="s">
        <v>169</v>
      </c>
      <c r="F1981">
        <v>94822885.790000007</v>
      </c>
      <c r="G1981" t="s">
        <v>131</v>
      </c>
      <c r="H1981" t="s">
        <v>81</v>
      </c>
      <c r="I1981" t="s">
        <v>9</v>
      </c>
      <c r="L1981" t="s">
        <v>161</v>
      </c>
      <c r="M1981">
        <v>-94822885.790000007</v>
      </c>
    </row>
    <row r="1982" spans="1:13" x14ac:dyDescent="0.3">
      <c r="A1982" s="23">
        <v>45835</v>
      </c>
      <c r="B1982" t="s">
        <v>12</v>
      </c>
      <c r="C1982" t="s">
        <v>132</v>
      </c>
      <c r="D1982" t="s">
        <v>17</v>
      </c>
      <c r="E1982" t="s">
        <v>169</v>
      </c>
      <c r="F1982">
        <v>65900000</v>
      </c>
      <c r="G1982" t="s">
        <v>131</v>
      </c>
      <c r="H1982" t="s">
        <v>81</v>
      </c>
      <c r="I1982" t="s">
        <v>9</v>
      </c>
      <c r="L1982" t="s">
        <v>161</v>
      </c>
      <c r="M1982">
        <v>-65900000</v>
      </c>
    </row>
    <row r="1983" spans="1:13" x14ac:dyDescent="0.3">
      <c r="A1983" s="23">
        <v>45835</v>
      </c>
      <c r="B1983" t="s">
        <v>12</v>
      </c>
      <c r="C1983" t="s">
        <v>132</v>
      </c>
      <c r="D1983" t="s">
        <v>17</v>
      </c>
      <c r="E1983" t="s">
        <v>169</v>
      </c>
      <c r="F1983">
        <v>56730271.850000001</v>
      </c>
      <c r="G1983" t="s">
        <v>131</v>
      </c>
      <c r="H1983" t="s">
        <v>81</v>
      </c>
      <c r="I1983" t="s">
        <v>9</v>
      </c>
      <c r="L1983" t="s">
        <v>161</v>
      </c>
      <c r="M1983">
        <v>-56730271.850000001</v>
      </c>
    </row>
    <row r="1984" spans="1:13" x14ac:dyDescent="0.3">
      <c r="A1984" s="23">
        <v>45833</v>
      </c>
      <c r="B1984" t="s">
        <v>12</v>
      </c>
      <c r="C1984" t="s">
        <v>132</v>
      </c>
      <c r="D1984" t="s">
        <v>17</v>
      </c>
      <c r="E1984" t="s">
        <v>169</v>
      </c>
      <c r="F1984">
        <v>115233104.84</v>
      </c>
      <c r="G1984" t="s">
        <v>131</v>
      </c>
      <c r="H1984" t="s">
        <v>81</v>
      </c>
      <c r="I1984" t="s">
        <v>9</v>
      </c>
      <c r="L1984" t="s">
        <v>161</v>
      </c>
      <c r="M1984">
        <v>-115233104.84</v>
      </c>
    </row>
    <row r="1985" spans="1:13" x14ac:dyDescent="0.3">
      <c r="A1985" s="23">
        <v>45833</v>
      </c>
      <c r="B1985" t="s">
        <v>12</v>
      </c>
      <c r="C1985" t="s">
        <v>132</v>
      </c>
      <c r="D1985" t="s">
        <v>17</v>
      </c>
      <c r="E1985" t="s">
        <v>169</v>
      </c>
      <c r="F1985">
        <v>146921918.41</v>
      </c>
      <c r="G1985" t="s">
        <v>131</v>
      </c>
      <c r="H1985" t="s">
        <v>81</v>
      </c>
      <c r="I1985" t="s">
        <v>9</v>
      </c>
      <c r="L1985" t="s">
        <v>161</v>
      </c>
      <c r="M1985">
        <v>-146921918.41</v>
      </c>
    </row>
    <row r="1986" spans="1:13" x14ac:dyDescent="0.3">
      <c r="A1986" s="23">
        <v>45827</v>
      </c>
      <c r="B1986" t="s">
        <v>12</v>
      </c>
      <c r="C1986" t="s">
        <v>132</v>
      </c>
      <c r="D1986" t="s">
        <v>16</v>
      </c>
      <c r="E1986" t="s">
        <v>169</v>
      </c>
      <c r="F1986">
        <v>11660320.74</v>
      </c>
      <c r="G1986" t="s">
        <v>131</v>
      </c>
      <c r="H1986" t="s">
        <v>81</v>
      </c>
      <c r="I1986" t="s">
        <v>9</v>
      </c>
      <c r="L1986" t="s">
        <v>161</v>
      </c>
      <c r="M1986">
        <v>11660320.74</v>
      </c>
    </row>
    <row r="1987" spans="1:13" x14ac:dyDescent="0.3">
      <c r="A1987" s="23">
        <v>45821</v>
      </c>
      <c r="B1987" t="s">
        <v>12</v>
      </c>
      <c r="C1987" t="s">
        <v>132</v>
      </c>
      <c r="D1987" t="s">
        <v>17</v>
      </c>
      <c r="E1987" t="s">
        <v>169</v>
      </c>
      <c r="F1987">
        <v>103889610.59999999</v>
      </c>
      <c r="G1987" t="s">
        <v>131</v>
      </c>
      <c r="H1987" t="s">
        <v>81</v>
      </c>
      <c r="I1987" t="s">
        <v>9</v>
      </c>
      <c r="L1987" t="s">
        <v>161</v>
      </c>
      <c r="M1987">
        <v>-103889610.59999999</v>
      </c>
    </row>
    <row r="1988" spans="1:13" x14ac:dyDescent="0.3">
      <c r="A1988" s="23">
        <v>45820</v>
      </c>
      <c r="B1988" t="s">
        <v>12</v>
      </c>
      <c r="C1988" t="s">
        <v>132</v>
      </c>
      <c r="D1988" t="s">
        <v>17</v>
      </c>
      <c r="E1988" t="s">
        <v>169</v>
      </c>
      <c r="F1988">
        <v>126592200</v>
      </c>
      <c r="G1988" t="s">
        <v>131</v>
      </c>
      <c r="H1988" t="s">
        <v>81</v>
      </c>
      <c r="I1988" t="s">
        <v>9</v>
      </c>
      <c r="L1988" t="s">
        <v>161</v>
      </c>
      <c r="M1988">
        <v>-126592200</v>
      </c>
    </row>
    <row r="1989" spans="1:13" x14ac:dyDescent="0.3">
      <c r="A1989" s="23">
        <v>45819</v>
      </c>
      <c r="B1989" t="s">
        <v>12</v>
      </c>
      <c r="C1989" t="s">
        <v>132</v>
      </c>
      <c r="D1989" t="s">
        <v>16</v>
      </c>
      <c r="E1989" t="s">
        <v>169</v>
      </c>
      <c r="F1989">
        <v>6938171.3399999999</v>
      </c>
      <c r="G1989" t="s">
        <v>131</v>
      </c>
      <c r="H1989" t="s">
        <v>81</v>
      </c>
      <c r="I1989" t="s">
        <v>9</v>
      </c>
      <c r="L1989" t="s">
        <v>161</v>
      </c>
      <c r="M1989">
        <v>6938171.3399999999</v>
      </c>
    </row>
    <row r="1990" spans="1:13" x14ac:dyDescent="0.3">
      <c r="A1990" s="23">
        <v>45817</v>
      </c>
      <c r="B1990" t="s">
        <v>12</v>
      </c>
      <c r="C1990" t="s">
        <v>132</v>
      </c>
      <c r="D1990" t="s">
        <v>16</v>
      </c>
      <c r="E1990" t="s">
        <v>169</v>
      </c>
      <c r="F1990">
        <v>591966502.83000004</v>
      </c>
      <c r="G1990" t="s">
        <v>131</v>
      </c>
      <c r="H1990" t="s">
        <v>81</v>
      </c>
      <c r="I1990" t="s">
        <v>9</v>
      </c>
      <c r="L1990" t="s">
        <v>161</v>
      </c>
      <c r="M1990">
        <v>591966502.83000004</v>
      </c>
    </row>
    <row r="1991" spans="1:13" x14ac:dyDescent="0.3">
      <c r="A1991" s="23">
        <v>45818</v>
      </c>
      <c r="B1991" t="s">
        <v>12</v>
      </c>
      <c r="C1991" t="s">
        <v>132</v>
      </c>
      <c r="D1991" t="s">
        <v>17</v>
      </c>
      <c r="E1991" t="s">
        <v>169</v>
      </c>
      <c r="F1991">
        <v>113959840.66</v>
      </c>
      <c r="G1991" t="s">
        <v>131</v>
      </c>
      <c r="H1991" t="s">
        <v>81</v>
      </c>
      <c r="I1991" t="s">
        <v>9</v>
      </c>
      <c r="L1991" t="s">
        <v>161</v>
      </c>
      <c r="M1991">
        <v>-113959840.66</v>
      </c>
    </row>
    <row r="1992" spans="1:13" x14ac:dyDescent="0.3">
      <c r="A1992" s="23">
        <v>45818</v>
      </c>
      <c r="B1992" t="s">
        <v>12</v>
      </c>
      <c r="C1992" t="s">
        <v>132</v>
      </c>
      <c r="D1992" t="s">
        <v>17</v>
      </c>
      <c r="E1992" t="s">
        <v>169</v>
      </c>
      <c r="F1992">
        <v>67058050.210000001</v>
      </c>
      <c r="G1992" t="s">
        <v>131</v>
      </c>
      <c r="H1992" t="s">
        <v>81</v>
      </c>
      <c r="I1992" t="s">
        <v>9</v>
      </c>
      <c r="L1992" t="s">
        <v>161</v>
      </c>
      <c r="M1992">
        <v>-67058050.210000001</v>
      </c>
    </row>
    <row r="1993" spans="1:13" x14ac:dyDescent="0.3">
      <c r="A1993" s="23">
        <v>45814</v>
      </c>
      <c r="B1993" t="s">
        <v>12</v>
      </c>
      <c r="C1993" t="s">
        <v>132</v>
      </c>
      <c r="D1993" t="s">
        <v>16</v>
      </c>
      <c r="E1993" t="s">
        <v>169</v>
      </c>
      <c r="F1993">
        <v>9527902.7100000009</v>
      </c>
      <c r="G1993" t="s">
        <v>131</v>
      </c>
      <c r="H1993" t="s">
        <v>81</v>
      </c>
      <c r="I1993" t="s">
        <v>9</v>
      </c>
      <c r="L1993" t="s">
        <v>161</v>
      </c>
      <c r="M1993">
        <v>9527902.7100000009</v>
      </c>
    </row>
    <row r="1994" spans="1:13" x14ac:dyDescent="0.3">
      <c r="A1994" s="23">
        <v>45813</v>
      </c>
      <c r="B1994" t="s">
        <v>12</v>
      </c>
      <c r="C1994" t="s">
        <v>132</v>
      </c>
      <c r="D1994" t="s">
        <v>17</v>
      </c>
      <c r="E1994" t="s">
        <v>169</v>
      </c>
      <c r="F1994">
        <v>125668001.62</v>
      </c>
      <c r="G1994" t="s">
        <v>131</v>
      </c>
      <c r="H1994" t="s">
        <v>81</v>
      </c>
      <c r="I1994" t="s">
        <v>9</v>
      </c>
      <c r="L1994" t="s">
        <v>161</v>
      </c>
      <c r="M1994">
        <v>-125668001.62</v>
      </c>
    </row>
    <row r="1995" spans="1:13" x14ac:dyDescent="0.3">
      <c r="A1995" s="23">
        <v>45812</v>
      </c>
      <c r="B1995" t="s">
        <v>12</v>
      </c>
      <c r="C1995" t="s">
        <v>132</v>
      </c>
      <c r="D1995" t="s">
        <v>17</v>
      </c>
      <c r="E1995" t="s">
        <v>169</v>
      </c>
      <c r="F1995">
        <v>93688895.400000006</v>
      </c>
      <c r="G1995" t="s">
        <v>131</v>
      </c>
      <c r="H1995" t="s">
        <v>81</v>
      </c>
      <c r="I1995" t="s">
        <v>9</v>
      </c>
      <c r="L1995" t="s">
        <v>161</v>
      </c>
      <c r="M1995">
        <v>-93688895.400000006</v>
      </c>
    </row>
    <row r="1996" spans="1:13" x14ac:dyDescent="0.3">
      <c r="A1996" s="23">
        <v>45812</v>
      </c>
      <c r="B1996" t="s">
        <v>12</v>
      </c>
      <c r="C1996" t="s">
        <v>132</v>
      </c>
      <c r="D1996" t="s">
        <v>17</v>
      </c>
      <c r="E1996" t="s">
        <v>169</v>
      </c>
      <c r="F1996">
        <v>51423136.149999999</v>
      </c>
      <c r="G1996" t="s">
        <v>131</v>
      </c>
      <c r="H1996" t="s">
        <v>81</v>
      </c>
      <c r="I1996" t="s">
        <v>9</v>
      </c>
      <c r="L1996" t="s">
        <v>161</v>
      </c>
      <c r="M1996">
        <v>-51423136.149999999</v>
      </c>
    </row>
    <row r="1997" spans="1:13" x14ac:dyDescent="0.3">
      <c r="A1997" s="23">
        <v>45810</v>
      </c>
      <c r="B1997" t="s">
        <v>12</v>
      </c>
      <c r="C1997" t="s">
        <v>132</v>
      </c>
      <c r="D1997" t="s">
        <v>16</v>
      </c>
      <c r="E1997" t="s">
        <v>169</v>
      </c>
      <c r="F1997">
        <v>1074540000</v>
      </c>
      <c r="G1997" t="s">
        <v>131</v>
      </c>
      <c r="H1997" t="s">
        <v>81</v>
      </c>
      <c r="I1997" t="s">
        <v>9</v>
      </c>
      <c r="L1997" t="s">
        <v>161</v>
      </c>
      <c r="M1997">
        <v>1074540000</v>
      </c>
    </row>
    <row r="1998" spans="1:13" x14ac:dyDescent="0.3">
      <c r="A1998" s="23">
        <v>45804</v>
      </c>
      <c r="B1998" t="s">
        <v>12</v>
      </c>
      <c r="C1998" t="s">
        <v>132</v>
      </c>
      <c r="D1998" t="s">
        <v>17</v>
      </c>
      <c r="E1998" t="s">
        <v>169</v>
      </c>
      <c r="F1998">
        <v>48783795.049999997</v>
      </c>
      <c r="G1998" t="s">
        <v>131</v>
      </c>
      <c r="H1998" t="s">
        <v>81</v>
      </c>
      <c r="I1998" t="s">
        <v>9</v>
      </c>
      <c r="L1998" t="s">
        <v>161</v>
      </c>
      <c r="M1998">
        <v>-48783795.049999997</v>
      </c>
    </row>
    <row r="1999" spans="1:13" x14ac:dyDescent="0.3">
      <c r="A1999" s="23">
        <v>45804</v>
      </c>
      <c r="B1999" t="s">
        <v>12</v>
      </c>
      <c r="C1999" t="s">
        <v>132</v>
      </c>
      <c r="D1999" t="s">
        <v>17</v>
      </c>
      <c r="E1999" t="s">
        <v>169</v>
      </c>
      <c r="F1999">
        <v>134950482.66999999</v>
      </c>
      <c r="G1999" t="s">
        <v>131</v>
      </c>
      <c r="H1999" t="s">
        <v>81</v>
      </c>
      <c r="I1999" t="s">
        <v>9</v>
      </c>
      <c r="L1999" t="s">
        <v>161</v>
      </c>
      <c r="M1999">
        <v>-134950482.66999999</v>
      </c>
    </row>
    <row r="2000" spans="1:13" x14ac:dyDescent="0.3">
      <c r="A2000" s="23">
        <v>45804</v>
      </c>
      <c r="B2000" t="s">
        <v>12</v>
      </c>
      <c r="C2000" t="s">
        <v>132</v>
      </c>
      <c r="D2000" t="s">
        <v>16</v>
      </c>
      <c r="E2000" t="s">
        <v>169</v>
      </c>
      <c r="F2000">
        <v>4331000</v>
      </c>
      <c r="G2000" t="s">
        <v>131</v>
      </c>
      <c r="H2000" t="s">
        <v>81</v>
      </c>
      <c r="I2000" t="s">
        <v>9</v>
      </c>
      <c r="L2000" t="s">
        <v>161</v>
      </c>
      <c r="M2000">
        <v>4331000</v>
      </c>
    </row>
    <row r="2001" spans="1:13" x14ac:dyDescent="0.3">
      <c r="A2001" s="23">
        <v>45797</v>
      </c>
      <c r="B2001" t="s">
        <v>12</v>
      </c>
      <c r="C2001" t="s">
        <v>132</v>
      </c>
      <c r="D2001" t="s">
        <v>17</v>
      </c>
      <c r="E2001" t="s">
        <v>169</v>
      </c>
      <c r="F2001">
        <v>67258039.609999999</v>
      </c>
      <c r="G2001" t="s">
        <v>131</v>
      </c>
      <c r="H2001" t="s">
        <v>81</v>
      </c>
      <c r="I2001" t="s">
        <v>9</v>
      </c>
      <c r="L2001" t="s">
        <v>161</v>
      </c>
      <c r="M2001">
        <v>-67258039.609999999</v>
      </c>
    </row>
    <row r="2002" spans="1:13" x14ac:dyDescent="0.3">
      <c r="A2002" s="23">
        <v>45797</v>
      </c>
      <c r="B2002" t="s">
        <v>12</v>
      </c>
      <c r="C2002" t="s">
        <v>132</v>
      </c>
      <c r="D2002" t="s">
        <v>16</v>
      </c>
      <c r="E2002" t="s">
        <v>169</v>
      </c>
      <c r="F2002">
        <v>3850420</v>
      </c>
      <c r="G2002" t="s">
        <v>131</v>
      </c>
      <c r="H2002" t="s">
        <v>81</v>
      </c>
      <c r="I2002" t="s">
        <v>9</v>
      </c>
      <c r="L2002" t="s">
        <v>161</v>
      </c>
      <c r="M2002">
        <v>3850420</v>
      </c>
    </row>
    <row r="2003" spans="1:13" x14ac:dyDescent="0.3">
      <c r="A2003" s="23">
        <v>45792</v>
      </c>
      <c r="B2003" t="s">
        <v>12</v>
      </c>
      <c r="C2003" t="s">
        <v>132</v>
      </c>
      <c r="D2003" t="s">
        <v>16</v>
      </c>
      <c r="E2003" t="s">
        <v>169</v>
      </c>
      <c r="F2003">
        <v>68710509.239999995</v>
      </c>
      <c r="G2003" t="s">
        <v>131</v>
      </c>
      <c r="H2003" t="s">
        <v>81</v>
      </c>
      <c r="I2003" t="s">
        <v>9</v>
      </c>
      <c r="L2003" t="s">
        <v>161</v>
      </c>
      <c r="M2003">
        <v>68710509.239999995</v>
      </c>
    </row>
    <row r="2004" spans="1:13" x14ac:dyDescent="0.3">
      <c r="A2004" s="23">
        <v>45791</v>
      </c>
      <c r="B2004" t="s">
        <v>12</v>
      </c>
      <c r="C2004" t="s">
        <v>132</v>
      </c>
      <c r="D2004" t="s">
        <v>17</v>
      </c>
      <c r="E2004" t="s">
        <v>169</v>
      </c>
      <c r="F2004">
        <v>3790953972.77</v>
      </c>
      <c r="G2004" t="s">
        <v>131</v>
      </c>
      <c r="H2004" t="s">
        <v>81</v>
      </c>
      <c r="I2004" t="s">
        <v>9</v>
      </c>
      <c r="L2004" t="s">
        <v>161</v>
      </c>
      <c r="M2004">
        <v>-3790953972.77</v>
      </c>
    </row>
    <row r="2005" spans="1:13" x14ac:dyDescent="0.3">
      <c r="A2005" s="23">
        <v>45790</v>
      </c>
      <c r="B2005" t="s">
        <v>12</v>
      </c>
      <c r="C2005" t="s">
        <v>132</v>
      </c>
      <c r="D2005" t="s">
        <v>17</v>
      </c>
      <c r="E2005" t="s">
        <v>169</v>
      </c>
      <c r="F2005">
        <v>90891939.409999996</v>
      </c>
      <c r="G2005" t="s">
        <v>131</v>
      </c>
      <c r="H2005" t="s">
        <v>81</v>
      </c>
      <c r="I2005" t="s">
        <v>9</v>
      </c>
      <c r="L2005" t="s">
        <v>161</v>
      </c>
      <c r="M2005">
        <v>-90891939.409999996</v>
      </c>
    </row>
    <row r="2006" spans="1:13" x14ac:dyDescent="0.3">
      <c r="A2006" s="23">
        <v>45790</v>
      </c>
      <c r="B2006" t="s">
        <v>12</v>
      </c>
      <c r="C2006" t="s">
        <v>132</v>
      </c>
      <c r="D2006" t="s">
        <v>17</v>
      </c>
      <c r="E2006" t="s">
        <v>169</v>
      </c>
      <c r="F2006">
        <v>89862728.719999999</v>
      </c>
      <c r="G2006" t="s">
        <v>131</v>
      </c>
      <c r="H2006" t="s">
        <v>81</v>
      </c>
      <c r="I2006" t="s">
        <v>9</v>
      </c>
      <c r="L2006" t="s">
        <v>161</v>
      </c>
      <c r="M2006">
        <v>-89862728.719999999</v>
      </c>
    </row>
    <row r="2007" spans="1:13" x14ac:dyDescent="0.3">
      <c r="A2007" s="23">
        <v>45789</v>
      </c>
      <c r="B2007" t="s">
        <v>12</v>
      </c>
      <c r="C2007" t="s">
        <v>132</v>
      </c>
      <c r="D2007" t="s">
        <v>16</v>
      </c>
      <c r="E2007" t="s">
        <v>169</v>
      </c>
      <c r="F2007">
        <v>3000000000</v>
      </c>
      <c r="G2007" t="s">
        <v>131</v>
      </c>
      <c r="H2007" t="s">
        <v>81</v>
      </c>
      <c r="I2007" t="s">
        <v>9</v>
      </c>
      <c r="L2007" t="s">
        <v>161</v>
      </c>
      <c r="M2007">
        <v>3000000000</v>
      </c>
    </row>
    <row r="2008" spans="1:13" x14ac:dyDescent="0.3">
      <c r="A2008" s="23">
        <v>45789</v>
      </c>
      <c r="B2008" t="s">
        <v>12</v>
      </c>
      <c r="C2008" t="s">
        <v>132</v>
      </c>
      <c r="D2008" t="s">
        <v>16</v>
      </c>
      <c r="E2008" t="s">
        <v>169</v>
      </c>
      <c r="F2008">
        <v>100000000</v>
      </c>
      <c r="G2008" t="s">
        <v>131</v>
      </c>
      <c r="H2008" t="s">
        <v>81</v>
      </c>
      <c r="I2008" t="s">
        <v>9</v>
      </c>
      <c r="L2008" t="s">
        <v>161</v>
      </c>
      <c r="M2008">
        <v>100000000</v>
      </c>
    </row>
    <row r="2009" spans="1:13" x14ac:dyDescent="0.3">
      <c r="A2009" s="23">
        <v>45785</v>
      </c>
      <c r="B2009" t="s">
        <v>12</v>
      </c>
      <c r="C2009" t="s">
        <v>132</v>
      </c>
      <c r="D2009" t="s">
        <v>17</v>
      </c>
      <c r="E2009" t="s">
        <v>169</v>
      </c>
      <c r="F2009">
        <v>765280000</v>
      </c>
      <c r="G2009" t="s">
        <v>131</v>
      </c>
      <c r="H2009" t="s">
        <v>81</v>
      </c>
      <c r="I2009" t="s">
        <v>9</v>
      </c>
      <c r="L2009" t="s">
        <v>161</v>
      </c>
      <c r="M2009">
        <v>-765280000</v>
      </c>
    </row>
    <row r="2010" spans="1:13" x14ac:dyDescent="0.3">
      <c r="A2010" s="23">
        <v>45785</v>
      </c>
      <c r="B2010" t="s">
        <v>12</v>
      </c>
      <c r="C2010" t="s">
        <v>132</v>
      </c>
      <c r="D2010" t="s">
        <v>17</v>
      </c>
      <c r="E2010" t="s">
        <v>169</v>
      </c>
      <c r="F2010">
        <v>1968850000</v>
      </c>
      <c r="G2010" t="s">
        <v>131</v>
      </c>
      <c r="H2010" t="s">
        <v>81</v>
      </c>
      <c r="I2010" t="s">
        <v>9</v>
      </c>
      <c r="L2010" t="s">
        <v>161</v>
      </c>
      <c r="M2010">
        <v>-1968850000</v>
      </c>
    </row>
    <row r="2011" spans="1:13" x14ac:dyDescent="0.3">
      <c r="A2011" s="23">
        <v>45776</v>
      </c>
      <c r="B2011" t="s">
        <v>12</v>
      </c>
      <c r="C2011" t="s">
        <v>132</v>
      </c>
      <c r="D2011" t="s">
        <v>17</v>
      </c>
      <c r="E2011" t="s">
        <v>169</v>
      </c>
      <c r="F2011">
        <v>60546970.409999996</v>
      </c>
      <c r="G2011" t="s">
        <v>131</v>
      </c>
      <c r="H2011" t="s">
        <v>81</v>
      </c>
      <c r="I2011" t="s">
        <v>9</v>
      </c>
      <c r="L2011" t="s">
        <v>161</v>
      </c>
      <c r="M2011">
        <v>-60546970.409999996</v>
      </c>
    </row>
    <row r="2012" spans="1:13" x14ac:dyDescent="0.3">
      <c r="A2012" s="23">
        <v>45776</v>
      </c>
      <c r="B2012" t="s">
        <v>12</v>
      </c>
      <c r="C2012" t="s">
        <v>132</v>
      </c>
      <c r="D2012" t="s">
        <v>17</v>
      </c>
      <c r="E2012" t="s">
        <v>169</v>
      </c>
      <c r="F2012">
        <v>314325843.45999998</v>
      </c>
      <c r="G2012" t="s">
        <v>131</v>
      </c>
      <c r="H2012" t="s">
        <v>81</v>
      </c>
      <c r="I2012" t="s">
        <v>9</v>
      </c>
      <c r="L2012" t="s">
        <v>161</v>
      </c>
      <c r="M2012">
        <v>-314325843.45999998</v>
      </c>
    </row>
    <row r="2013" spans="1:13" x14ac:dyDescent="0.3">
      <c r="A2013" s="23">
        <v>45769</v>
      </c>
      <c r="B2013" t="s">
        <v>12</v>
      </c>
      <c r="C2013" t="s">
        <v>132</v>
      </c>
      <c r="D2013" t="s">
        <v>17</v>
      </c>
      <c r="E2013" t="s">
        <v>169</v>
      </c>
      <c r="F2013">
        <v>111260769.97</v>
      </c>
      <c r="G2013" t="s">
        <v>131</v>
      </c>
      <c r="H2013" t="s">
        <v>81</v>
      </c>
      <c r="I2013" t="s">
        <v>9</v>
      </c>
      <c r="L2013" t="s">
        <v>161</v>
      </c>
      <c r="M2013">
        <v>-111260769.97</v>
      </c>
    </row>
    <row r="2014" spans="1:13" x14ac:dyDescent="0.3">
      <c r="A2014" s="23">
        <v>45769</v>
      </c>
      <c r="B2014" t="s">
        <v>12</v>
      </c>
      <c r="C2014" t="s">
        <v>132</v>
      </c>
      <c r="D2014" t="s">
        <v>17</v>
      </c>
      <c r="E2014" t="s">
        <v>169</v>
      </c>
      <c r="F2014">
        <v>47701350.380000003</v>
      </c>
      <c r="G2014" t="s">
        <v>131</v>
      </c>
      <c r="H2014" t="s">
        <v>81</v>
      </c>
      <c r="I2014" t="s">
        <v>9</v>
      </c>
      <c r="L2014" t="s">
        <v>161</v>
      </c>
      <c r="M2014">
        <v>-47701350.380000003</v>
      </c>
    </row>
    <row r="2015" spans="1:13" x14ac:dyDescent="0.3">
      <c r="A2015" s="23">
        <v>45769</v>
      </c>
      <c r="B2015" t="s">
        <v>12</v>
      </c>
      <c r="C2015" t="s">
        <v>132</v>
      </c>
      <c r="D2015" t="s">
        <v>16</v>
      </c>
      <c r="E2015" t="s">
        <v>169</v>
      </c>
      <c r="F2015">
        <v>24520996.609999999</v>
      </c>
      <c r="G2015" t="s">
        <v>131</v>
      </c>
      <c r="H2015" t="s">
        <v>81</v>
      </c>
      <c r="I2015" t="s">
        <v>9</v>
      </c>
      <c r="L2015" t="s">
        <v>161</v>
      </c>
      <c r="M2015">
        <v>24520996.609999999</v>
      </c>
    </row>
    <row r="2016" spans="1:13" x14ac:dyDescent="0.3">
      <c r="A2016" s="23">
        <v>45763</v>
      </c>
      <c r="B2016" t="s">
        <v>12</v>
      </c>
      <c r="C2016" t="s">
        <v>132</v>
      </c>
      <c r="D2016" t="s">
        <v>16</v>
      </c>
      <c r="E2016" t="s">
        <v>169</v>
      </c>
      <c r="F2016">
        <v>5105988808.1400003</v>
      </c>
      <c r="G2016" t="s">
        <v>131</v>
      </c>
      <c r="H2016" t="s">
        <v>81</v>
      </c>
      <c r="I2016" t="s">
        <v>9</v>
      </c>
      <c r="L2016" t="s">
        <v>161</v>
      </c>
      <c r="M2016">
        <v>5105988808.1400003</v>
      </c>
    </row>
    <row r="2017" spans="1:13" x14ac:dyDescent="0.3">
      <c r="A2017" s="23">
        <v>45763</v>
      </c>
      <c r="B2017" t="s">
        <v>12</v>
      </c>
      <c r="C2017" t="s">
        <v>132</v>
      </c>
      <c r="D2017" t="s">
        <v>17</v>
      </c>
      <c r="E2017" t="s">
        <v>169</v>
      </c>
      <c r="F2017">
        <v>4579234325.3900003</v>
      </c>
      <c r="G2017" t="s">
        <v>131</v>
      </c>
      <c r="H2017" t="s">
        <v>81</v>
      </c>
      <c r="I2017" t="s">
        <v>9</v>
      </c>
      <c r="L2017" t="s">
        <v>161</v>
      </c>
      <c r="M2017">
        <v>-4579234325.3900003</v>
      </c>
    </row>
    <row r="2018" spans="1:13" x14ac:dyDescent="0.3">
      <c r="A2018" s="23">
        <v>45757</v>
      </c>
      <c r="B2018" t="s">
        <v>12</v>
      </c>
      <c r="C2018" t="s">
        <v>132</v>
      </c>
      <c r="D2018" t="s">
        <v>16</v>
      </c>
      <c r="E2018" t="s">
        <v>169</v>
      </c>
      <c r="F2018">
        <v>4500000000</v>
      </c>
      <c r="G2018" t="s">
        <v>131</v>
      </c>
      <c r="H2018" t="s">
        <v>81</v>
      </c>
      <c r="I2018" t="s">
        <v>9</v>
      </c>
      <c r="L2018" t="s">
        <v>161</v>
      </c>
      <c r="M2018">
        <v>4500000000</v>
      </c>
    </row>
    <row r="2019" spans="1:13" x14ac:dyDescent="0.3">
      <c r="A2019" s="23">
        <v>45743</v>
      </c>
      <c r="B2019" t="s">
        <v>12</v>
      </c>
      <c r="C2019" t="s">
        <v>132</v>
      </c>
      <c r="D2019" t="s">
        <v>16</v>
      </c>
      <c r="E2019" t="s">
        <v>169</v>
      </c>
      <c r="F2019">
        <v>2801956</v>
      </c>
      <c r="G2019" t="s">
        <v>131</v>
      </c>
      <c r="H2019" t="s">
        <v>81</v>
      </c>
      <c r="I2019" t="s">
        <v>9</v>
      </c>
      <c r="L2019" t="s">
        <v>161</v>
      </c>
      <c r="M2019">
        <v>2801956</v>
      </c>
    </row>
    <row r="2020" spans="1:13" x14ac:dyDescent="0.3">
      <c r="A2020" s="23">
        <v>45728</v>
      </c>
      <c r="B2020" t="s">
        <v>12</v>
      </c>
      <c r="C2020" t="s">
        <v>132</v>
      </c>
      <c r="D2020" t="s">
        <v>17</v>
      </c>
      <c r="E2020" t="s">
        <v>169</v>
      </c>
      <c r="F2020">
        <v>115779602.61</v>
      </c>
      <c r="G2020" t="s">
        <v>131</v>
      </c>
      <c r="H2020" t="s">
        <v>81</v>
      </c>
      <c r="I2020" t="s">
        <v>9</v>
      </c>
      <c r="L2020" t="s">
        <v>161</v>
      </c>
      <c r="M2020">
        <v>-115779602.61</v>
      </c>
    </row>
    <row r="2021" spans="1:13" x14ac:dyDescent="0.3">
      <c r="A2021" s="23">
        <v>45715</v>
      </c>
      <c r="B2021" t="s">
        <v>12</v>
      </c>
      <c r="C2021" t="s">
        <v>132</v>
      </c>
      <c r="D2021" t="s">
        <v>16</v>
      </c>
      <c r="E2021" t="s">
        <v>169</v>
      </c>
      <c r="F2021">
        <v>177990909</v>
      </c>
      <c r="G2021" t="s">
        <v>131</v>
      </c>
      <c r="H2021" t="s">
        <v>81</v>
      </c>
      <c r="I2021" t="s">
        <v>9</v>
      </c>
      <c r="L2021" t="s">
        <v>161</v>
      </c>
      <c r="M2021">
        <v>177990909</v>
      </c>
    </row>
    <row r="2022" spans="1:13" x14ac:dyDescent="0.3">
      <c r="A2022" s="23">
        <v>45695</v>
      </c>
      <c r="B2022" t="s">
        <v>12</v>
      </c>
      <c r="C2022" t="s">
        <v>132</v>
      </c>
      <c r="D2022" t="s">
        <v>16</v>
      </c>
      <c r="E2022" t="s">
        <v>169</v>
      </c>
      <c r="F2022">
        <v>250000</v>
      </c>
      <c r="G2022" t="s">
        <v>131</v>
      </c>
      <c r="H2022" t="s">
        <v>81</v>
      </c>
      <c r="I2022" t="s">
        <v>9</v>
      </c>
      <c r="L2022" t="s">
        <v>161</v>
      </c>
      <c r="M2022">
        <v>250000</v>
      </c>
    </row>
    <row r="2023" spans="1:13" x14ac:dyDescent="0.3">
      <c r="A2023" s="23">
        <v>45673</v>
      </c>
      <c r="B2023" t="s">
        <v>12</v>
      </c>
      <c r="C2023" t="s">
        <v>132</v>
      </c>
      <c r="D2023" t="s">
        <v>17</v>
      </c>
      <c r="E2023" t="s">
        <v>169</v>
      </c>
      <c r="F2023">
        <v>190640229</v>
      </c>
      <c r="G2023" t="s">
        <v>131</v>
      </c>
      <c r="H2023" t="s">
        <v>81</v>
      </c>
      <c r="I2023" t="s">
        <v>9</v>
      </c>
      <c r="L2023" t="s">
        <v>161</v>
      </c>
      <c r="M2023">
        <v>-190640229</v>
      </c>
    </row>
    <row r="2024" spans="1:13" x14ac:dyDescent="0.3">
      <c r="A2024" s="23">
        <v>45665</v>
      </c>
      <c r="B2024" t="s">
        <v>12</v>
      </c>
      <c r="C2024" t="s">
        <v>132</v>
      </c>
      <c r="D2024" t="s">
        <v>16</v>
      </c>
      <c r="E2024" t="s">
        <v>169</v>
      </c>
      <c r="F2024">
        <v>204611292</v>
      </c>
      <c r="G2024" t="s">
        <v>131</v>
      </c>
      <c r="H2024" t="s">
        <v>81</v>
      </c>
      <c r="I2024" t="s">
        <v>9</v>
      </c>
      <c r="L2024" t="s">
        <v>161</v>
      </c>
      <c r="M2024">
        <v>204611292</v>
      </c>
    </row>
    <row r="2025" spans="1:13" x14ac:dyDescent="0.3">
      <c r="A2025" s="23">
        <v>45601</v>
      </c>
      <c r="B2025" t="s">
        <v>12</v>
      </c>
      <c r="C2025" t="s">
        <v>132</v>
      </c>
      <c r="D2025" t="s">
        <v>17</v>
      </c>
      <c r="E2025" t="s">
        <v>169</v>
      </c>
      <c r="F2025">
        <v>33987825.659999996</v>
      </c>
      <c r="G2025" t="s">
        <v>131</v>
      </c>
      <c r="H2025" t="s">
        <v>81</v>
      </c>
      <c r="I2025" t="s">
        <v>9</v>
      </c>
      <c r="L2025" t="s">
        <v>161</v>
      </c>
      <c r="M2025">
        <v>-33987825.659999996</v>
      </c>
    </row>
    <row r="2026" spans="1:13" x14ac:dyDescent="0.3">
      <c r="A2026" s="23">
        <v>45596</v>
      </c>
      <c r="B2026" t="s">
        <v>12</v>
      </c>
      <c r="C2026" t="s">
        <v>132</v>
      </c>
      <c r="D2026" t="s">
        <v>17</v>
      </c>
      <c r="E2026" t="s">
        <v>169</v>
      </c>
      <c r="F2026">
        <v>123688140.45999999</v>
      </c>
      <c r="G2026" t="s">
        <v>131</v>
      </c>
      <c r="H2026" t="s">
        <v>81</v>
      </c>
      <c r="I2026" t="s">
        <v>9</v>
      </c>
      <c r="L2026" t="s">
        <v>161</v>
      </c>
      <c r="M2026">
        <v>-123688140.45999999</v>
      </c>
    </row>
    <row r="2027" spans="1:13" x14ac:dyDescent="0.3">
      <c r="A2027" s="23">
        <v>45596</v>
      </c>
      <c r="B2027" t="s">
        <v>12</v>
      </c>
      <c r="C2027" t="s">
        <v>132</v>
      </c>
      <c r="D2027" t="s">
        <v>17</v>
      </c>
      <c r="E2027" t="s">
        <v>169</v>
      </c>
      <c r="F2027">
        <v>59840066.880000003</v>
      </c>
      <c r="G2027" t="s">
        <v>131</v>
      </c>
      <c r="H2027" t="s">
        <v>81</v>
      </c>
      <c r="I2027" t="s">
        <v>9</v>
      </c>
      <c r="L2027" t="s">
        <v>161</v>
      </c>
      <c r="M2027">
        <v>-59840066.880000003</v>
      </c>
    </row>
    <row r="2028" spans="1:13" x14ac:dyDescent="0.3">
      <c r="A2028" s="23">
        <v>45593</v>
      </c>
      <c r="B2028" t="s">
        <v>12</v>
      </c>
      <c r="C2028" t="s">
        <v>132</v>
      </c>
      <c r="D2028" t="s">
        <v>16</v>
      </c>
      <c r="E2028" t="s">
        <v>169</v>
      </c>
      <c r="F2028">
        <v>217516033</v>
      </c>
      <c r="G2028" t="s">
        <v>131</v>
      </c>
      <c r="H2028" t="s">
        <v>81</v>
      </c>
      <c r="I2028" t="s">
        <v>9</v>
      </c>
      <c r="L2028" t="s">
        <v>161</v>
      </c>
      <c r="M2028">
        <v>217516033</v>
      </c>
    </row>
    <row r="2029" spans="1:13" x14ac:dyDescent="0.3">
      <c r="A2029" s="23">
        <v>45583</v>
      </c>
      <c r="B2029" t="s">
        <v>12</v>
      </c>
      <c r="C2029" t="s">
        <v>132</v>
      </c>
      <c r="D2029" t="s">
        <v>16</v>
      </c>
      <c r="E2029" t="s">
        <v>169</v>
      </c>
      <c r="F2029">
        <v>1985603.03</v>
      </c>
      <c r="G2029" t="s">
        <v>131</v>
      </c>
      <c r="H2029" t="s">
        <v>81</v>
      </c>
      <c r="I2029" t="s">
        <v>9</v>
      </c>
      <c r="L2029" t="s">
        <v>161</v>
      </c>
      <c r="M2029">
        <v>1985603.03</v>
      </c>
    </row>
    <row r="2030" spans="1:13" x14ac:dyDescent="0.3">
      <c r="A2030" s="23">
        <v>45583</v>
      </c>
      <c r="B2030" t="s">
        <v>12</v>
      </c>
      <c r="C2030" t="s">
        <v>132</v>
      </c>
      <c r="D2030" t="s">
        <v>17</v>
      </c>
      <c r="E2030" t="s">
        <v>169</v>
      </c>
      <c r="F2030">
        <v>220785039.94</v>
      </c>
      <c r="G2030" t="s">
        <v>131</v>
      </c>
      <c r="H2030" t="s">
        <v>81</v>
      </c>
      <c r="I2030" t="s">
        <v>9</v>
      </c>
      <c r="L2030" t="s">
        <v>161</v>
      </c>
      <c r="M2030">
        <v>-220785039.94</v>
      </c>
    </row>
    <row r="2031" spans="1:13" x14ac:dyDescent="0.3">
      <c r="A2031" s="23">
        <v>45582</v>
      </c>
      <c r="B2031" t="s">
        <v>12</v>
      </c>
      <c r="C2031" t="s">
        <v>132</v>
      </c>
      <c r="D2031" t="s">
        <v>17</v>
      </c>
      <c r="E2031" t="s">
        <v>169</v>
      </c>
      <c r="F2031">
        <v>300000000</v>
      </c>
      <c r="G2031" t="s">
        <v>131</v>
      </c>
      <c r="H2031" t="s">
        <v>81</v>
      </c>
      <c r="I2031" t="s">
        <v>9</v>
      </c>
      <c r="L2031" t="s">
        <v>161</v>
      </c>
      <c r="M2031">
        <v>-300000000</v>
      </c>
    </row>
    <row r="2032" spans="1:13" x14ac:dyDescent="0.3">
      <c r="A2032" s="23">
        <v>45581</v>
      </c>
      <c r="B2032" t="s">
        <v>12</v>
      </c>
      <c r="C2032" t="s">
        <v>132</v>
      </c>
      <c r="D2032" t="s">
        <v>16</v>
      </c>
      <c r="E2032" t="s">
        <v>169</v>
      </c>
      <c r="F2032">
        <v>423637528</v>
      </c>
      <c r="G2032" t="s">
        <v>131</v>
      </c>
      <c r="H2032" t="s">
        <v>81</v>
      </c>
      <c r="I2032" t="s">
        <v>9</v>
      </c>
      <c r="L2032" t="s">
        <v>161</v>
      </c>
      <c r="M2032">
        <v>423637528</v>
      </c>
    </row>
    <row r="2033" spans="1:13" x14ac:dyDescent="0.3">
      <c r="A2033" s="23">
        <v>45579</v>
      </c>
      <c r="B2033" t="s">
        <v>12</v>
      </c>
      <c r="C2033" t="s">
        <v>132</v>
      </c>
      <c r="D2033" t="s">
        <v>16</v>
      </c>
      <c r="E2033" t="s">
        <v>169</v>
      </c>
      <c r="F2033">
        <v>60306499.060000002</v>
      </c>
      <c r="G2033" t="s">
        <v>131</v>
      </c>
      <c r="H2033" t="s">
        <v>81</v>
      </c>
      <c r="I2033" t="s">
        <v>9</v>
      </c>
      <c r="L2033" t="s">
        <v>161</v>
      </c>
      <c r="M2033">
        <v>60306499.060000002</v>
      </c>
    </row>
    <row r="2034" spans="1:13" x14ac:dyDescent="0.3">
      <c r="A2034" s="23">
        <v>45569</v>
      </c>
      <c r="B2034" t="s">
        <v>12</v>
      </c>
      <c r="C2034" t="s">
        <v>132</v>
      </c>
      <c r="D2034" t="s">
        <v>17</v>
      </c>
      <c r="E2034" t="s">
        <v>169</v>
      </c>
      <c r="F2034">
        <v>175000000</v>
      </c>
      <c r="G2034" t="s">
        <v>131</v>
      </c>
      <c r="H2034" t="s">
        <v>81</v>
      </c>
      <c r="I2034" t="s">
        <v>9</v>
      </c>
      <c r="L2034" t="s">
        <v>161</v>
      </c>
      <c r="M2034">
        <v>-175000000</v>
      </c>
    </row>
    <row r="2035" spans="1:13" x14ac:dyDescent="0.3">
      <c r="A2035" s="23">
        <v>45568</v>
      </c>
      <c r="B2035" t="s">
        <v>12</v>
      </c>
      <c r="C2035" t="s">
        <v>132</v>
      </c>
      <c r="D2035" t="s">
        <v>17</v>
      </c>
      <c r="E2035" t="s">
        <v>169</v>
      </c>
      <c r="F2035">
        <v>108887631.70999999</v>
      </c>
      <c r="G2035" t="s">
        <v>131</v>
      </c>
      <c r="H2035" t="s">
        <v>81</v>
      </c>
      <c r="I2035" t="s">
        <v>9</v>
      </c>
      <c r="L2035" t="s">
        <v>161</v>
      </c>
      <c r="M2035">
        <v>-108887631.70999999</v>
      </c>
    </row>
    <row r="2036" spans="1:13" x14ac:dyDescent="0.3">
      <c r="A2036" s="23">
        <v>45567</v>
      </c>
      <c r="B2036" t="s">
        <v>12</v>
      </c>
      <c r="C2036" t="s">
        <v>132</v>
      </c>
      <c r="D2036" t="s">
        <v>16</v>
      </c>
      <c r="E2036" t="s">
        <v>169</v>
      </c>
      <c r="F2036">
        <v>300000000</v>
      </c>
      <c r="G2036" t="s">
        <v>131</v>
      </c>
      <c r="H2036" t="s">
        <v>81</v>
      </c>
      <c r="I2036" t="s">
        <v>9</v>
      </c>
      <c r="L2036" t="s">
        <v>161</v>
      </c>
      <c r="M2036">
        <v>300000000</v>
      </c>
    </row>
    <row r="2037" spans="1:13" x14ac:dyDescent="0.3">
      <c r="A2037" s="23">
        <v>45565</v>
      </c>
      <c r="B2037" t="s">
        <v>12</v>
      </c>
      <c r="C2037" t="s">
        <v>132</v>
      </c>
      <c r="D2037" t="s">
        <v>16</v>
      </c>
      <c r="E2037" t="s">
        <v>169</v>
      </c>
      <c r="F2037">
        <v>2500000</v>
      </c>
      <c r="G2037" t="s">
        <v>131</v>
      </c>
      <c r="H2037" t="s">
        <v>81</v>
      </c>
      <c r="I2037" t="s">
        <v>9</v>
      </c>
      <c r="L2037" t="s">
        <v>161</v>
      </c>
      <c r="M2037">
        <v>2500000</v>
      </c>
    </row>
    <row r="2038" spans="1:13" x14ac:dyDescent="0.3">
      <c r="A2038" s="23">
        <v>45561</v>
      </c>
      <c r="B2038" t="s">
        <v>12</v>
      </c>
      <c r="C2038" t="s">
        <v>132</v>
      </c>
      <c r="D2038" t="s">
        <v>17</v>
      </c>
      <c r="E2038" t="s">
        <v>169</v>
      </c>
      <c r="F2038">
        <v>161051346</v>
      </c>
      <c r="G2038" t="s">
        <v>131</v>
      </c>
      <c r="H2038" t="s">
        <v>81</v>
      </c>
      <c r="I2038" t="s">
        <v>9</v>
      </c>
      <c r="L2038" t="s">
        <v>161</v>
      </c>
      <c r="M2038">
        <v>-161051346</v>
      </c>
    </row>
    <row r="2039" spans="1:13" x14ac:dyDescent="0.3">
      <c r="A2039" s="23">
        <v>45561</v>
      </c>
      <c r="B2039" t="s">
        <v>12</v>
      </c>
      <c r="C2039" t="s">
        <v>132</v>
      </c>
      <c r="D2039" t="s">
        <v>17</v>
      </c>
      <c r="E2039" t="s">
        <v>169</v>
      </c>
      <c r="F2039">
        <v>160090251</v>
      </c>
      <c r="G2039" t="s">
        <v>131</v>
      </c>
      <c r="H2039" t="s">
        <v>81</v>
      </c>
      <c r="I2039" t="s">
        <v>9</v>
      </c>
      <c r="L2039" t="s">
        <v>161</v>
      </c>
      <c r="M2039">
        <v>-160090251</v>
      </c>
    </row>
    <row r="2040" spans="1:13" x14ac:dyDescent="0.3">
      <c r="A2040" s="23">
        <v>45560</v>
      </c>
      <c r="B2040" t="s">
        <v>12</v>
      </c>
      <c r="C2040" t="s">
        <v>132</v>
      </c>
      <c r="D2040" t="s">
        <v>16</v>
      </c>
      <c r="E2040" t="s">
        <v>169</v>
      </c>
      <c r="F2040">
        <v>300000000</v>
      </c>
      <c r="G2040" t="s">
        <v>131</v>
      </c>
      <c r="H2040" t="s">
        <v>81</v>
      </c>
      <c r="I2040" t="s">
        <v>9</v>
      </c>
      <c r="L2040" t="s">
        <v>161</v>
      </c>
      <c r="M2040">
        <v>300000000</v>
      </c>
    </row>
    <row r="2041" spans="1:13" x14ac:dyDescent="0.3">
      <c r="A2041" s="23">
        <v>45553</v>
      </c>
      <c r="B2041" t="s">
        <v>12</v>
      </c>
      <c r="C2041" t="s">
        <v>132</v>
      </c>
      <c r="D2041" t="s">
        <v>17</v>
      </c>
      <c r="E2041" t="s">
        <v>169</v>
      </c>
      <c r="F2041">
        <v>75051346</v>
      </c>
      <c r="G2041" t="s">
        <v>131</v>
      </c>
      <c r="H2041" t="s">
        <v>81</v>
      </c>
      <c r="I2041" t="s">
        <v>9</v>
      </c>
      <c r="L2041" t="s">
        <v>161</v>
      </c>
      <c r="M2041">
        <v>-75051346</v>
      </c>
    </row>
    <row r="2042" spans="1:13" x14ac:dyDescent="0.3">
      <c r="A2042" s="23">
        <v>45545</v>
      </c>
      <c r="B2042" t="s">
        <v>12</v>
      </c>
      <c r="C2042" t="s">
        <v>132</v>
      </c>
      <c r="D2042" t="s">
        <v>17</v>
      </c>
      <c r="E2042" t="s">
        <v>169</v>
      </c>
      <c r="F2042">
        <v>39904377.210000001</v>
      </c>
      <c r="G2042" t="s">
        <v>131</v>
      </c>
      <c r="H2042" t="s">
        <v>81</v>
      </c>
      <c r="I2042" t="s">
        <v>9</v>
      </c>
      <c r="L2042" t="s">
        <v>161</v>
      </c>
      <c r="M2042">
        <v>-39904377.210000001</v>
      </c>
    </row>
    <row r="2043" spans="1:13" x14ac:dyDescent="0.3">
      <c r="A2043" s="23">
        <v>45540</v>
      </c>
      <c r="B2043" t="s">
        <v>12</v>
      </c>
      <c r="C2043" t="s">
        <v>132</v>
      </c>
      <c r="D2043" t="s">
        <v>17</v>
      </c>
      <c r="E2043" t="s">
        <v>169</v>
      </c>
      <c r="F2043">
        <v>47047050.68</v>
      </c>
      <c r="G2043" t="s">
        <v>131</v>
      </c>
      <c r="H2043" t="s">
        <v>81</v>
      </c>
      <c r="I2043" t="s">
        <v>9</v>
      </c>
      <c r="L2043" t="s">
        <v>161</v>
      </c>
      <c r="M2043">
        <v>-47047050.68</v>
      </c>
    </row>
    <row r="2044" spans="1:13" x14ac:dyDescent="0.3">
      <c r="A2044" s="23">
        <v>45540</v>
      </c>
      <c r="B2044" t="s">
        <v>12</v>
      </c>
      <c r="C2044" t="s">
        <v>132</v>
      </c>
      <c r="D2044" t="s">
        <v>17</v>
      </c>
      <c r="E2044" t="s">
        <v>169</v>
      </c>
      <c r="F2044">
        <v>47008832.5</v>
      </c>
      <c r="G2044" t="s">
        <v>131</v>
      </c>
      <c r="H2044" t="s">
        <v>81</v>
      </c>
      <c r="I2044" t="s">
        <v>9</v>
      </c>
      <c r="L2044" t="s">
        <v>161</v>
      </c>
      <c r="M2044">
        <v>-47008832.5</v>
      </c>
    </row>
    <row r="2045" spans="1:13" x14ac:dyDescent="0.3">
      <c r="A2045" s="23">
        <v>45538</v>
      </c>
      <c r="B2045" t="s">
        <v>12</v>
      </c>
      <c r="C2045" t="s">
        <v>132</v>
      </c>
      <c r="D2045" t="s">
        <v>16</v>
      </c>
      <c r="E2045" t="s">
        <v>169</v>
      </c>
      <c r="F2045">
        <v>3370000</v>
      </c>
      <c r="G2045" t="s">
        <v>131</v>
      </c>
      <c r="H2045" t="s">
        <v>81</v>
      </c>
      <c r="I2045" t="s">
        <v>9</v>
      </c>
      <c r="L2045" t="s">
        <v>161</v>
      </c>
      <c r="M2045">
        <v>3370000</v>
      </c>
    </row>
    <row r="2046" spans="1:13" x14ac:dyDescent="0.3">
      <c r="A2046" s="23">
        <v>45538</v>
      </c>
      <c r="B2046" t="s">
        <v>12</v>
      </c>
      <c r="C2046" t="s">
        <v>132</v>
      </c>
      <c r="D2046" t="s">
        <v>16</v>
      </c>
      <c r="E2046" t="s">
        <v>169</v>
      </c>
      <c r="F2046">
        <v>17659600</v>
      </c>
      <c r="G2046" t="s">
        <v>131</v>
      </c>
      <c r="H2046" t="s">
        <v>81</v>
      </c>
      <c r="I2046" t="s">
        <v>9</v>
      </c>
      <c r="L2046" t="s">
        <v>161</v>
      </c>
      <c r="M2046">
        <v>17659600</v>
      </c>
    </row>
    <row r="2047" spans="1:13" x14ac:dyDescent="0.3">
      <c r="A2047" s="23">
        <v>45534</v>
      </c>
      <c r="B2047" t="s">
        <v>12</v>
      </c>
      <c r="C2047" t="s">
        <v>132</v>
      </c>
      <c r="D2047" t="s">
        <v>17</v>
      </c>
      <c r="E2047" t="s">
        <v>169</v>
      </c>
      <c r="F2047">
        <v>53473545</v>
      </c>
      <c r="G2047" t="s">
        <v>131</v>
      </c>
      <c r="H2047" t="s">
        <v>81</v>
      </c>
      <c r="I2047" t="s">
        <v>9</v>
      </c>
      <c r="L2047" t="s">
        <v>161</v>
      </c>
      <c r="M2047">
        <v>-53473545</v>
      </c>
    </row>
    <row r="2048" spans="1:13" x14ac:dyDescent="0.3">
      <c r="A2048" s="23">
        <v>45534</v>
      </c>
      <c r="B2048" t="s">
        <v>12</v>
      </c>
      <c r="C2048" t="s">
        <v>132</v>
      </c>
      <c r="D2048" t="s">
        <v>17</v>
      </c>
      <c r="E2048" t="s">
        <v>169</v>
      </c>
      <c r="F2048">
        <v>51003632.579999998</v>
      </c>
      <c r="G2048" t="s">
        <v>131</v>
      </c>
      <c r="H2048" t="s">
        <v>81</v>
      </c>
      <c r="I2048" t="s">
        <v>9</v>
      </c>
      <c r="L2048" t="s">
        <v>161</v>
      </c>
      <c r="M2048">
        <v>-51003632.579999998</v>
      </c>
    </row>
    <row r="2049" spans="1:13" x14ac:dyDescent="0.3">
      <c r="A2049" s="23">
        <v>45533</v>
      </c>
      <c r="B2049" t="s">
        <v>12</v>
      </c>
      <c r="C2049" t="s">
        <v>132</v>
      </c>
      <c r="D2049" t="s">
        <v>17</v>
      </c>
      <c r="E2049" t="s">
        <v>169</v>
      </c>
      <c r="F2049">
        <v>155631989.40000001</v>
      </c>
      <c r="G2049" t="s">
        <v>131</v>
      </c>
      <c r="H2049" t="s">
        <v>81</v>
      </c>
      <c r="I2049" t="s">
        <v>9</v>
      </c>
      <c r="L2049" t="s">
        <v>161</v>
      </c>
      <c r="M2049">
        <v>-155631989.40000001</v>
      </c>
    </row>
    <row r="2050" spans="1:13" x14ac:dyDescent="0.3">
      <c r="A2050" s="23">
        <v>45532</v>
      </c>
      <c r="B2050" t="s">
        <v>12</v>
      </c>
      <c r="C2050" t="s">
        <v>132</v>
      </c>
      <c r="D2050" t="s">
        <v>16</v>
      </c>
      <c r="E2050" t="s">
        <v>169</v>
      </c>
      <c r="F2050">
        <v>400000000</v>
      </c>
      <c r="G2050" t="s">
        <v>131</v>
      </c>
      <c r="H2050" t="s">
        <v>81</v>
      </c>
      <c r="I2050" t="s">
        <v>9</v>
      </c>
      <c r="L2050" t="s">
        <v>161</v>
      </c>
      <c r="M2050">
        <v>400000000</v>
      </c>
    </row>
    <row r="2051" spans="1:13" x14ac:dyDescent="0.3">
      <c r="A2051" s="23">
        <v>45530</v>
      </c>
      <c r="B2051" t="s">
        <v>12</v>
      </c>
      <c r="C2051" t="s">
        <v>132</v>
      </c>
      <c r="D2051" t="s">
        <v>16</v>
      </c>
      <c r="E2051" t="s">
        <v>169</v>
      </c>
      <c r="F2051">
        <v>9471786</v>
      </c>
      <c r="G2051" t="s">
        <v>131</v>
      </c>
      <c r="H2051" t="s">
        <v>81</v>
      </c>
      <c r="I2051" t="s">
        <v>9</v>
      </c>
      <c r="L2051" t="s">
        <v>161</v>
      </c>
      <c r="M2051">
        <v>9471786</v>
      </c>
    </row>
    <row r="2052" spans="1:13" x14ac:dyDescent="0.3">
      <c r="A2052" s="23">
        <v>45526</v>
      </c>
      <c r="B2052" t="s">
        <v>12</v>
      </c>
      <c r="C2052" t="s">
        <v>132</v>
      </c>
      <c r="D2052" t="s">
        <v>17</v>
      </c>
      <c r="E2052" t="s">
        <v>169</v>
      </c>
      <c r="F2052">
        <v>52696520</v>
      </c>
      <c r="G2052" t="s">
        <v>131</v>
      </c>
      <c r="H2052" t="s">
        <v>81</v>
      </c>
      <c r="I2052" t="s">
        <v>9</v>
      </c>
      <c r="L2052" t="s">
        <v>161</v>
      </c>
      <c r="M2052">
        <v>-52696520</v>
      </c>
    </row>
    <row r="2053" spans="1:13" x14ac:dyDescent="0.3">
      <c r="A2053" s="23">
        <v>45524</v>
      </c>
      <c r="B2053" t="s">
        <v>12</v>
      </c>
      <c r="C2053" t="s">
        <v>132</v>
      </c>
      <c r="D2053" t="s">
        <v>16</v>
      </c>
      <c r="E2053" t="s">
        <v>169</v>
      </c>
      <c r="F2053">
        <v>93474510</v>
      </c>
      <c r="G2053" t="s">
        <v>131</v>
      </c>
      <c r="H2053" t="s">
        <v>81</v>
      </c>
      <c r="I2053" t="s">
        <v>9</v>
      </c>
      <c r="L2053" t="s">
        <v>161</v>
      </c>
      <c r="M2053">
        <v>93474510</v>
      </c>
    </row>
    <row r="2054" spans="1:13" x14ac:dyDescent="0.3">
      <c r="A2054" s="23">
        <v>45524</v>
      </c>
      <c r="B2054" t="s">
        <v>12</v>
      </c>
      <c r="C2054" t="s">
        <v>132</v>
      </c>
      <c r="D2054" t="s">
        <v>17</v>
      </c>
      <c r="E2054" t="s">
        <v>169</v>
      </c>
      <c r="F2054">
        <v>103988518</v>
      </c>
      <c r="G2054" t="s">
        <v>131</v>
      </c>
      <c r="H2054" t="s">
        <v>81</v>
      </c>
      <c r="I2054" t="s">
        <v>9</v>
      </c>
      <c r="L2054" t="s">
        <v>161</v>
      </c>
      <c r="M2054">
        <v>-103988518</v>
      </c>
    </row>
    <row r="2055" spans="1:13" x14ac:dyDescent="0.3">
      <c r="A2055" s="23">
        <v>45520</v>
      </c>
      <c r="B2055" t="s">
        <v>12</v>
      </c>
      <c r="C2055" t="s">
        <v>132</v>
      </c>
      <c r="D2055" t="s">
        <v>17</v>
      </c>
      <c r="E2055" t="s">
        <v>169</v>
      </c>
      <c r="F2055">
        <v>88699538</v>
      </c>
      <c r="G2055" t="s">
        <v>131</v>
      </c>
      <c r="H2055" t="s">
        <v>81</v>
      </c>
      <c r="I2055" t="s">
        <v>9</v>
      </c>
      <c r="L2055" t="s">
        <v>161</v>
      </c>
      <c r="M2055">
        <v>-88699538</v>
      </c>
    </row>
    <row r="2056" spans="1:13" x14ac:dyDescent="0.3">
      <c r="A2056" s="23">
        <v>45518</v>
      </c>
      <c r="B2056" t="s">
        <v>12</v>
      </c>
      <c r="C2056" t="s">
        <v>132</v>
      </c>
      <c r="D2056" t="s">
        <v>16</v>
      </c>
      <c r="E2056" t="s">
        <v>169</v>
      </c>
      <c r="F2056">
        <v>80538225</v>
      </c>
      <c r="G2056" t="s">
        <v>131</v>
      </c>
      <c r="H2056" t="s">
        <v>81</v>
      </c>
      <c r="I2056" t="s">
        <v>9</v>
      </c>
      <c r="L2056" t="s">
        <v>161</v>
      </c>
      <c r="M2056">
        <v>80538225</v>
      </c>
    </row>
    <row r="2057" spans="1:13" x14ac:dyDescent="0.3">
      <c r="A2057" s="23">
        <v>45512</v>
      </c>
      <c r="B2057" t="s">
        <v>12</v>
      </c>
      <c r="C2057" t="s">
        <v>132</v>
      </c>
      <c r="D2057" t="s">
        <v>17</v>
      </c>
      <c r="E2057" t="s">
        <v>169</v>
      </c>
      <c r="F2057">
        <v>266788407</v>
      </c>
      <c r="G2057" t="s">
        <v>131</v>
      </c>
      <c r="H2057" t="s">
        <v>81</v>
      </c>
      <c r="I2057" t="s">
        <v>9</v>
      </c>
      <c r="L2057" t="s">
        <v>161</v>
      </c>
      <c r="M2057">
        <v>-266788407</v>
      </c>
    </row>
    <row r="2058" spans="1:13" x14ac:dyDescent="0.3">
      <c r="A2058" s="23">
        <v>45510</v>
      </c>
      <c r="B2058" t="s">
        <v>12</v>
      </c>
      <c r="C2058" t="s">
        <v>132</v>
      </c>
      <c r="D2058" t="s">
        <v>17</v>
      </c>
      <c r="E2058" t="s">
        <v>169</v>
      </c>
      <c r="F2058">
        <v>97089431.400000006</v>
      </c>
      <c r="G2058" t="s">
        <v>131</v>
      </c>
      <c r="H2058" t="s">
        <v>81</v>
      </c>
      <c r="I2058" t="s">
        <v>9</v>
      </c>
      <c r="L2058" t="s">
        <v>161</v>
      </c>
      <c r="M2058">
        <v>-97089431.400000006</v>
      </c>
    </row>
    <row r="2059" spans="1:13" x14ac:dyDescent="0.3">
      <c r="A2059" s="23">
        <v>45510</v>
      </c>
      <c r="B2059" t="s">
        <v>12</v>
      </c>
      <c r="C2059" t="s">
        <v>132</v>
      </c>
      <c r="D2059" t="s">
        <v>16</v>
      </c>
      <c r="E2059" t="s">
        <v>169</v>
      </c>
      <c r="F2059">
        <v>208904400</v>
      </c>
      <c r="G2059" t="s">
        <v>131</v>
      </c>
      <c r="H2059" t="s">
        <v>81</v>
      </c>
      <c r="I2059" t="s">
        <v>9</v>
      </c>
      <c r="L2059" t="s">
        <v>161</v>
      </c>
      <c r="M2059">
        <v>208904400</v>
      </c>
    </row>
    <row r="2060" spans="1:13" x14ac:dyDescent="0.3">
      <c r="A2060" s="23">
        <v>45505</v>
      </c>
      <c r="B2060" t="s">
        <v>12</v>
      </c>
      <c r="C2060" t="s">
        <v>132</v>
      </c>
      <c r="D2060" t="s">
        <v>16</v>
      </c>
      <c r="E2060" t="s">
        <v>169</v>
      </c>
      <c r="F2060">
        <v>152692000</v>
      </c>
      <c r="G2060" t="s">
        <v>131</v>
      </c>
      <c r="H2060" t="s">
        <v>81</v>
      </c>
      <c r="I2060" t="s">
        <v>9</v>
      </c>
      <c r="L2060" t="s">
        <v>161</v>
      </c>
      <c r="M2060">
        <v>152692000</v>
      </c>
    </row>
    <row r="2061" spans="1:13" x14ac:dyDescent="0.3">
      <c r="A2061" s="23">
        <v>45502</v>
      </c>
      <c r="B2061" t="s">
        <v>12</v>
      </c>
      <c r="C2061" t="s">
        <v>132</v>
      </c>
      <c r="D2061" t="s">
        <v>17</v>
      </c>
      <c r="E2061" t="s">
        <v>169</v>
      </c>
      <c r="F2061">
        <v>300000000</v>
      </c>
      <c r="G2061" t="s">
        <v>131</v>
      </c>
      <c r="H2061" t="s">
        <v>81</v>
      </c>
      <c r="I2061" t="s">
        <v>9</v>
      </c>
      <c r="L2061" t="s">
        <v>161</v>
      </c>
      <c r="M2061">
        <v>-300000000</v>
      </c>
    </row>
    <row r="2062" spans="1:13" x14ac:dyDescent="0.3">
      <c r="A2062" s="23">
        <v>45496</v>
      </c>
      <c r="B2062" t="s">
        <v>12</v>
      </c>
      <c r="C2062" t="s">
        <v>132</v>
      </c>
      <c r="D2062" t="s">
        <v>17</v>
      </c>
      <c r="E2062" t="s">
        <v>169</v>
      </c>
      <c r="F2062">
        <v>211322097.97999999</v>
      </c>
      <c r="G2062" t="s">
        <v>131</v>
      </c>
      <c r="H2062" t="s">
        <v>81</v>
      </c>
      <c r="I2062" t="s">
        <v>9</v>
      </c>
      <c r="L2062" t="s">
        <v>161</v>
      </c>
      <c r="M2062">
        <v>-211322097.97999999</v>
      </c>
    </row>
    <row r="2063" spans="1:13" x14ac:dyDescent="0.3">
      <c r="A2063" s="23">
        <v>45496</v>
      </c>
      <c r="B2063" t="s">
        <v>12</v>
      </c>
      <c r="C2063" t="s">
        <v>132</v>
      </c>
      <c r="D2063" t="s">
        <v>17</v>
      </c>
      <c r="E2063" t="s">
        <v>169</v>
      </c>
      <c r="F2063">
        <v>296631796.69</v>
      </c>
      <c r="G2063" t="s">
        <v>131</v>
      </c>
      <c r="H2063" t="s">
        <v>81</v>
      </c>
      <c r="I2063" t="s">
        <v>9</v>
      </c>
      <c r="L2063" t="s">
        <v>161</v>
      </c>
      <c r="M2063">
        <v>-296631796.69</v>
      </c>
    </row>
    <row r="2064" spans="1:13" x14ac:dyDescent="0.3">
      <c r="A2064" s="23">
        <v>45492</v>
      </c>
      <c r="B2064" t="s">
        <v>12</v>
      </c>
      <c r="C2064" t="s">
        <v>132</v>
      </c>
      <c r="D2064" t="s">
        <v>16</v>
      </c>
      <c r="E2064" t="s">
        <v>169</v>
      </c>
      <c r="F2064">
        <v>27636000</v>
      </c>
      <c r="G2064" t="s">
        <v>131</v>
      </c>
      <c r="H2064" t="s">
        <v>81</v>
      </c>
      <c r="I2064" t="s">
        <v>9</v>
      </c>
      <c r="L2064" t="s">
        <v>161</v>
      </c>
      <c r="M2064">
        <v>27636000</v>
      </c>
    </row>
    <row r="2065" spans="1:13" x14ac:dyDescent="0.3">
      <c r="A2065" s="23">
        <v>45489</v>
      </c>
      <c r="B2065" t="s">
        <v>12</v>
      </c>
      <c r="C2065" t="s">
        <v>132</v>
      </c>
      <c r="D2065" t="s">
        <v>16</v>
      </c>
      <c r="E2065" t="s">
        <v>169</v>
      </c>
      <c r="F2065">
        <v>807600000</v>
      </c>
      <c r="G2065" t="s">
        <v>131</v>
      </c>
      <c r="H2065" t="s">
        <v>81</v>
      </c>
      <c r="I2065" t="s">
        <v>9</v>
      </c>
      <c r="L2065" t="s">
        <v>161</v>
      </c>
      <c r="M2065">
        <v>807600000</v>
      </c>
    </row>
    <row r="2066" spans="1:13" x14ac:dyDescent="0.3">
      <c r="A2066" s="23">
        <v>45478</v>
      </c>
      <c r="B2066" t="s">
        <v>12</v>
      </c>
      <c r="C2066" t="s">
        <v>132</v>
      </c>
      <c r="D2066" t="s">
        <v>16</v>
      </c>
      <c r="E2066" t="s">
        <v>169</v>
      </c>
      <c r="F2066">
        <v>77284000</v>
      </c>
      <c r="G2066" t="s">
        <v>131</v>
      </c>
      <c r="H2066" t="s">
        <v>81</v>
      </c>
      <c r="I2066" t="s">
        <v>9</v>
      </c>
      <c r="L2066" t="s">
        <v>161</v>
      </c>
      <c r="M2066">
        <v>77284000</v>
      </c>
    </row>
    <row r="2067" spans="1:13" x14ac:dyDescent="0.3">
      <c r="A2067" s="23">
        <v>45470</v>
      </c>
      <c r="B2067" t="s">
        <v>12</v>
      </c>
      <c r="C2067" t="s">
        <v>132</v>
      </c>
      <c r="D2067" t="s">
        <v>16</v>
      </c>
      <c r="E2067" t="s">
        <v>169</v>
      </c>
      <c r="F2067">
        <v>10467600</v>
      </c>
      <c r="G2067" t="s">
        <v>131</v>
      </c>
      <c r="H2067" t="s">
        <v>81</v>
      </c>
      <c r="I2067" t="s">
        <v>9</v>
      </c>
      <c r="L2067" t="s">
        <v>161</v>
      </c>
      <c r="M2067">
        <v>10467600</v>
      </c>
    </row>
    <row r="2068" spans="1:13" x14ac:dyDescent="0.3">
      <c r="A2068" s="23">
        <v>45470</v>
      </c>
      <c r="B2068" t="s">
        <v>12</v>
      </c>
      <c r="C2068" t="s">
        <v>132</v>
      </c>
      <c r="D2068" t="s">
        <v>16</v>
      </c>
      <c r="E2068" t="s">
        <v>169</v>
      </c>
      <c r="F2068">
        <v>34623600</v>
      </c>
      <c r="G2068" t="s">
        <v>131</v>
      </c>
      <c r="H2068" t="s">
        <v>81</v>
      </c>
      <c r="I2068" t="s">
        <v>9</v>
      </c>
      <c r="L2068" t="s">
        <v>161</v>
      </c>
      <c r="M2068">
        <v>34623600</v>
      </c>
    </row>
    <row r="2069" spans="1:13" x14ac:dyDescent="0.3">
      <c r="A2069" s="23">
        <v>45470</v>
      </c>
      <c r="B2069" t="s">
        <v>12</v>
      </c>
      <c r="C2069" t="s">
        <v>132</v>
      </c>
      <c r="D2069" t="s">
        <v>17</v>
      </c>
      <c r="E2069" t="s">
        <v>169</v>
      </c>
      <c r="F2069">
        <v>98374551.349999994</v>
      </c>
      <c r="G2069" t="s">
        <v>131</v>
      </c>
      <c r="H2069" t="s">
        <v>81</v>
      </c>
      <c r="I2069" t="s">
        <v>9</v>
      </c>
      <c r="L2069" t="s">
        <v>161</v>
      </c>
      <c r="M2069">
        <v>-98374551.349999994</v>
      </c>
    </row>
    <row r="2070" spans="1:13" x14ac:dyDescent="0.3">
      <c r="A2070" s="23">
        <v>45460</v>
      </c>
      <c r="B2070" t="s">
        <v>12</v>
      </c>
      <c r="C2070" t="s">
        <v>132</v>
      </c>
      <c r="D2070" t="s">
        <v>16</v>
      </c>
      <c r="E2070" t="s">
        <v>169</v>
      </c>
      <c r="F2070">
        <v>33960000</v>
      </c>
      <c r="G2070" t="s">
        <v>131</v>
      </c>
      <c r="H2070" t="s">
        <v>81</v>
      </c>
      <c r="I2070" t="s">
        <v>9</v>
      </c>
      <c r="L2070" t="s">
        <v>161</v>
      </c>
      <c r="M2070">
        <v>33960000</v>
      </c>
    </row>
    <row r="2071" spans="1:13" x14ac:dyDescent="0.3">
      <c r="A2071" s="23">
        <v>45457</v>
      </c>
      <c r="B2071" t="s">
        <v>12</v>
      </c>
      <c r="C2071" t="s">
        <v>132</v>
      </c>
      <c r="D2071" t="s">
        <v>17</v>
      </c>
      <c r="E2071" t="s">
        <v>169</v>
      </c>
      <c r="F2071">
        <v>560000000</v>
      </c>
      <c r="G2071" t="s">
        <v>131</v>
      </c>
      <c r="H2071" t="s">
        <v>81</v>
      </c>
      <c r="I2071" t="s">
        <v>9</v>
      </c>
      <c r="L2071" t="s">
        <v>161</v>
      </c>
      <c r="M2071">
        <v>-560000000</v>
      </c>
    </row>
    <row r="2072" spans="1:13" x14ac:dyDescent="0.3">
      <c r="A2072" s="23">
        <v>45456</v>
      </c>
      <c r="B2072" t="s">
        <v>12</v>
      </c>
      <c r="C2072" t="s">
        <v>132</v>
      </c>
      <c r="D2072" t="s">
        <v>16</v>
      </c>
      <c r="E2072" t="s">
        <v>169</v>
      </c>
      <c r="F2072">
        <v>600000000</v>
      </c>
      <c r="G2072" t="s">
        <v>131</v>
      </c>
      <c r="H2072" t="s">
        <v>81</v>
      </c>
      <c r="I2072" t="s">
        <v>9</v>
      </c>
      <c r="L2072" t="s">
        <v>161</v>
      </c>
      <c r="M2072">
        <v>600000000</v>
      </c>
    </row>
    <row r="2073" spans="1:13" x14ac:dyDescent="0.3">
      <c r="A2073" s="23">
        <v>45455</v>
      </c>
      <c r="B2073" t="s">
        <v>12</v>
      </c>
      <c r="C2073" t="s">
        <v>132</v>
      </c>
      <c r="D2073" t="s">
        <v>17</v>
      </c>
      <c r="E2073" t="s">
        <v>169</v>
      </c>
      <c r="F2073">
        <v>78981305</v>
      </c>
      <c r="G2073" t="s">
        <v>131</v>
      </c>
      <c r="H2073" t="s">
        <v>81</v>
      </c>
      <c r="I2073" t="s">
        <v>9</v>
      </c>
      <c r="L2073" t="s">
        <v>161</v>
      </c>
      <c r="M2073">
        <v>-78981305</v>
      </c>
    </row>
    <row r="2074" spans="1:13" x14ac:dyDescent="0.3">
      <c r="A2074" s="23">
        <v>45442</v>
      </c>
      <c r="B2074" t="s">
        <v>12</v>
      </c>
      <c r="C2074" t="s">
        <v>132</v>
      </c>
      <c r="D2074" t="s">
        <v>17</v>
      </c>
      <c r="E2074" t="s">
        <v>169</v>
      </c>
      <c r="F2074">
        <v>50349470</v>
      </c>
      <c r="G2074" t="s">
        <v>131</v>
      </c>
      <c r="H2074" t="s">
        <v>81</v>
      </c>
      <c r="I2074" t="s">
        <v>9</v>
      </c>
      <c r="L2074" t="s">
        <v>161</v>
      </c>
      <c r="M2074">
        <v>-50349470</v>
      </c>
    </row>
    <row r="2075" spans="1:13" x14ac:dyDescent="0.3">
      <c r="A2075" s="23">
        <v>45442</v>
      </c>
      <c r="B2075" t="s">
        <v>12</v>
      </c>
      <c r="C2075" t="s">
        <v>132</v>
      </c>
      <c r="D2075" t="s">
        <v>17</v>
      </c>
      <c r="E2075" t="s">
        <v>169</v>
      </c>
      <c r="F2075">
        <v>251143729</v>
      </c>
      <c r="G2075" t="s">
        <v>131</v>
      </c>
      <c r="H2075" t="s">
        <v>81</v>
      </c>
      <c r="I2075" t="s">
        <v>9</v>
      </c>
      <c r="L2075" t="s">
        <v>161</v>
      </c>
      <c r="M2075">
        <v>-251143729</v>
      </c>
    </row>
    <row r="2076" spans="1:13" x14ac:dyDescent="0.3">
      <c r="A2076" s="23">
        <v>45441</v>
      </c>
      <c r="B2076" t="s">
        <v>12</v>
      </c>
      <c r="C2076" t="s">
        <v>132</v>
      </c>
      <c r="D2076" t="s">
        <v>17</v>
      </c>
      <c r="E2076" t="s">
        <v>169</v>
      </c>
      <c r="F2076">
        <v>39260259</v>
      </c>
      <c r="G2076" t="s">
        <v>131</v>
      </c>
      <c r="H2076" t="s">
        <v>81</v>
      </c>
      <c r="I2076" t="s">
        <v>9</v>
      </c>
      <c r="L2076" t="s">
        <v>161</v>
      </c>
      <c r="M2076">
        <v>-39260259</v>
      </c>
    </row>
    <row r="2077" spans="1:13" x14ac:dyDescent="0.3">
      <c r="A2077" s="23">
        <v>45441</v>
      </c>
      <c r="B2077" t="s">
        <v>12</v>
      </c>
      <c r="C2077" t="s">
        <v>132</v>
      </c>
      <c r="D2077" t="s">
        <v>17</v>
      </c>
      <c r="E2077" t="s">
        <v>169</v>
      </c>
      <c r="F2077">
        <v>37126487</v>
      </c>
      <c r="G2077" t="s">
        <v>131</v>
      </c>
      <c r="H2077" t="s">
        <v>81</v>
      </c>
      <c r="I2077" t="s">
        <v>9</v>
      </c>
      <c r="L2077" t="s">
        <v>161</v>
      </c>
      <c r="M2077">
        <v>-37126487</v>
      </c>
    </row>
    <row r="2078" spans="1:13" x14ac:dyDescent="0.3">
      <c r="A2078" s="23">
        <v>45434</v>
      </c>
      <c r="B2078" t="s">
        <v>12</v>
      </c>
      <c r="C2078" t="s">
        <v>132</v>
      </c>
      <c r="D2078" t="s">
        <v>17</v>
      </c>
      <c r="E2078" t="s">
        <v>169</v>
      </c>
      <c r="F2078">
        <v>49590200</v>
      </c>
      <c r="G2078" t="s">
        <v>131</v>
      </c>
      <c r="H2078" t="s">
        <v>81</v>
      </c>
      <c r="I2078" t="s">
        <v>9</v>
      </c>
      <c r="L2078" t="s">
        <v>161</v>
      </c>
      <c r="M2078">
        <v>-49590200</v>
      </c>
    </row>
    <row r="2079" spans="1:13" x14ac:dyDescent="0.3">
      <c r="A2079" s="23">
        <v>45433</v>
      </c>
      <c r="B2079" t="s">
        <v>12</v>
      </c>
      <c r="C2079" t="s">
        <v>132</v>
      </c>
      <c r="D2079" t="s">
        <v>17</v>
      </c>
      <c r="E2079" t="s">
        <v>169</v>
      </c>
      <c r="F2079">
        <v>289095868</v>
      </c>
      <c r="G2079" t="s">
        <v>131</v>
      </c>
      <c r="H2079" t="s">
        <v>81</v>
      </c>
      <c r="I2079" t="s">
        <v>9</v>
      </c>
      <c r="L2079" t="s">
        <v>161</v>
      </c>
      <c r="M2079">
        <v>-289095868</v>
      </c>
    </row>
    <row r="2080" spans="1:13" x14ac:dyDescent="0.3">
      <c r="A2080" s="23">
        <v>45429</v>
      </c>
      <c r="B2080" t="s">
        <v>12</v>
      </c>
      <c r="C2080" t="s">
        <v>132</v>
      </c>
      <c r="D2080" t="s">
        <v>16</v>
      </c>
      <c r="E2080" t="s">
        <v>169</v>
      </c>
      <c r="F2080">
        <v>500000000</v>
      </c>
      <c r="G2080" t="s">
        <v>131</v>
      </c>
      <c r="H2080" t="s">
        <v>81</v>
      </c>
      <c r="I2080" t="s">
        <v>9</v>
      </c>
      <c r="L2080" t="s">
        <v>161</v>
      </c>
      <c r="M2080">
        <v>500000000</v>
      </c>
    </row>
    <row r="2081" spans="1:13" x14ac:dyDescent="0.3">
      <c r="A2081" s="23">
        <v>45428</v>
      </c>
      <c r="B2081" t="s">
        <v>12</v>
      </c>
      <c r="C2081" t="s">
        <v>132</v>
      </c>
      <c r="D2081" t="s">
        <v>17</v>
      </c>
      <c r="E2081" t="s">
        <v>169</v>
      </c>
      <c r="F2081">
        <v>28134265</v>
      </c>
      <c r="G2081" t="s">
        <v>131</v>
      </c>
      <c r="H2081" t="s">
        <v>81</v>
      </c>
      <c r="I2081" t="s">
        <v>9</v>
      </c>
      <c r="L2081" t="s">
        <v>161</v>
      </c>
      <c r="M2081">
        <v>-28134265</v>
      </c>
    </row>
    <row r="2082" spans="1:13" x14ac:dyDescent="0.3">
      <c r="A2082" s="23">
        <v>45428</v>
      </c>
      <c r="B2082" t="s">
        <v>12</v>
      </c>
      <c r="C2082" t="s">
        <v>132</v>
      </c>
      <c r="D2082" t="s">
        <v>17</v>
      </c>
      <c r="E2082" t="s">
        <v>169</v>
      </c>
      <c r="F2082">
        <v>48199595</v>
      </c>
      <c r="G2082" t="s">
        <v>131</v>
      </c>
      <c r="H2082" t="s">
        <v>81</v>
      </c>
      <c r="I2082" t="s">
        <v>9</v>
      </c>
      <c r="L2082" t="s">
        <v>161</v>
      </c>
      <c r="M2082">
        <v>-48199595</v>
      </c>
    </row>
    <row r="2083" spans="1:13" x14ac:dyDescent="0.3">
      <c r="A2083" s="23">
        <v>45427</v>
      </c>
      <c r="B2083" t="s">
        <v>12</v>
      </c>
      <c r="C2083" t="s">
        <v>132</v>
      </c>
      <c r="D2083" t="s">
        <v>17</v>
      </c>
      <c r="E2083" t="s">
        <v>169</v>
      </c>
      <c r="F2083">
        <v>196924828</v>
      </c>
      <c r="G2083" t="s">
        <v>131</v>
      </c>
      <c r="H2083" t="s">
        <v>81</v>
      </c>
      <c r="I2083" t="s">
        <v>9</v>
      </c>
      <c r="L2083" t="s">
        <v>161</v>
      </c>
      <c r="M2083">
        <v>-196924828</v>
      </c>
    </row>
    <row r="2084" spans="1:13" x14ac:dyDescent="0.3">
      <c r="A2084" s="23">
        <v>45427</v>
      </c>
      <c r="B2084" t="s">
        <v>12</v>
      </c>
      <c r="C2084" t="s">
        <v>132</v>
      </c>
      <c r="D2084" t="s">
        <v>16</v>
      </c>
      <c r="E2084" t="s">
        <v>169</v>
      </c>
      <c r="F2084">
        <v>300000000</v>
      </c>
      <c r="G2084" t="s">
        <v>131</v>
      </c>
      <c r="H2084" t="s">
        <v>81</v>
      </c>
      <c r="I2084" t="s">
        <v>9</v>
      </c>
      <c r="L2084" t="s">
        <v>161</v>
      </c>
      <c r="M2084">
        <v>300000000</v>
      </c>
    </row>
    <row r="2085" spans="1:13" x14ac:dyDescent="0.3">
      <c r="A2085" s="23">
        <v>45425</v>
      </c>
      <c r="B2085" t="s">
        <v>12</v>
      </c>
      <c r="C2085" t="s">
        <v>132</v>
      </c>
      <c r="D2085" t="s">
        <v>16</v>
      </c>
      <c r="E2085" t="s">
        <v>169</v>
      </c>
      <c r="F2085">
        <v>9230000</v>
      </c>
      <c r="G2085" t="s">
        <v>131</v>
      </c>
      <c r="H2085" t="s">
        <v>81</v>
      </c>
      <c r="I2085" t="s">
        <v>9</v>
      </c>
      <c r="L2085" t="s">
        <v>161</v>
      </c>
      <c r="M2085">
        <v>9230000</v>
      </c>
    </row>
    <row r="2086" spans="1:13" x14ac:dyDescent="0.3">
      <c r="A2086" s="23">
        <v>45414</v>
      </c>
      <c r="B2086" t="s">
        <v>12</v>
      </c>
      <c r="C2086" t="s">
        <v>132</v>
      </c>
      <c r="D2086" t="s">
        <v>16</v>
      </c>
      <c r="E2086" t="s">
        <v>169</v>
      </c>
      <c r="F2086">
        <v>5668000</v>
      </c>
      <c r="G2086" t="s">
        <v>131</v>
      </c>
      <c r="H2086" t="s">
        <v>81</v>
      </c>
      <c r="I2086" t="s">
        <v>9</v>
      </c>
      <c r="L2086" t="s">
        <v>161</v>
      </c>
      <c r="M2086">
        <v>5668000</v>
      </c>
    </row>
    <row r="2087" spans="1:13" x14ac:dyDescent="0.3">
      <c r="A2087" s="23">
        <v>45414</v>
      </c>
      <c r="B2087" t="s">
        <v>12</v>
      </c>
      <c r="C2087" t="s">
        <v>132</v>
      </c>
      <c r="D2087" t="s">
        <v>17</v>
      </c>
      <c r="E2087" t="s">
        <v>169</v>
      </c>
      <c r="F2087">
        <v>31933991</v>
      </c>
      <c r="G2087" t="s">
        <v>131</v>
      </c>
      <c r="H2087" t="s">
        <v>81</v>
      </c>
      <c r="I2087" t="s">
        <v>9</v>
      </c>
      <c r="L2087" t="s">
        <v>161</v>
      </c>
      <c r="M2087">
        <v>-31933991</v>
      </c>
    </row>
    <row r="2088" spans="1:13" x14ac:dyDescent="0.3">
      <c r="A2088" s="23">
        <v>45412</v>
      </c>
      <c r="B2088" t="s">
        <v>12</v>
      </c>
      <c r="C2088" t="s">
        <v>132</v>
      </c>
      <c r="D2088" t="s">
        <v>16</v>
      </c>
      <c r="E2088" t="s">
        <v>169</v>
      </c>
      <c r="F2088">
        <v>98192500</v>
      </c>
      <c r="G2088" t="s">
        <v>131</v>
      </c>
      <c r="H2088" t="s">
        <v>81</v>
      </c>
      <c r="I2088" t="s">
        <v>9</v>
      </c>
      <c r="L2088" t="s">
        <v>161</v>
      </c>
      <c r="M2088">
        <v>98192500</v>
      </c>
    </row>
    <row r="2089" spans="1:13" x14ac:dyDescent="0.3">
      <c r="A2089" s="23">
        <v>45407</v>
      </c>
      <c r="B2089" t="s">
        <v>12</v>
      </c>
      <c r="C2089" t="s">
        <v>132</v>
      </c>
      <c r="D2089" t="s">
        <v>16</v>
      </c>
      <c r="E2089" t="s">
        <v>169</v>
      </c>
      <c r="F2089">
        <v>22650000</v>
      </c>
      <c r="G2089" t="s">
        <v>131</v>
      </c>
      <c r="H2089" t="s">
        <v>81</v>
      </c>
      <c r="I2089" t="s">
        <v>9</v>
      </c>
      <c r="L2089" t="s">
        <v>161</v>
      </c>
      <c r="M2089">
        <v>22650000</v>
      </c>
    </row>
    <row r="2090" spans="1:13" x14ac:dyDescent="0.3">
      <c r="A2090" s="23">
        <v>45398</v>
      </c>
      <c r="B2090" t="s">
        <v>12</v>
      </c>
      <c r="C2090" t="s">
        <v>132</v>
      </c>
      <c r="D2090" t="s">
        <v>17</v>
      </c>
      <c r="E2090" t="s">
        <v>169</v>
      </c>
      <c r="F2090">
        <v>473079814</v>
      </c>
      <c r="G2090" t="s">
        <v>131</v>
      </c>
      <c r="H2090" t="s">
        <v>81</v>
      </c>
      <c r="I2090" t="s">
        <v>9</v>
      </c>
      <c r="L2090" t="s">
        <v>161</v>
      </c>
      <c r="M2090">
        <v>-473079814</v>
      </c>
    </row>
    <row r="2091" spans="1:13" x14ac:dyDescent="0.3">
      <c r="A2091" s="23">
        <v>45397</v>
      </c>
      <c r="B2091" t="s">
        <v>12</v>
      </c>
      <c r="C2091" t="s">
        <v>132</v>
      </c>
      <c r="D2091" t="s">
        <v>16</v>
      </c>
      <c r="E2091" t="s">
        <v>169</v>
      </c>
      <c r="F2091">
        <v>500000000</v>
      </c>
      <c r="G2091" t="s">
        <v>131</v>
      </c>
      <c r="H2091" t="s">
        <v>81</v>
      </c>
      <c r="I2091" t="s">
        <v>9</v>
      </c>
      <c r="L2091" t="s">
        <v>161</v>
      </c>
      <c r="M2091">
        <v>500000000</v>
      </c>
    </row>
    <row r="2092" spans="1:13" x14ac:dyDescent="0.3">
      <c r="A2092" s="23">
        <v>45391</v>
      </c>
      <c r="B2092" t="s">
        <v>12</v>
      </c>
      <c r="C2092" t="s">
        <v>132</v>
      </c>
      <c r="D2092" t="s">
        <v>17</v>
      </c>
      <c r="E2092" t="s">
        <v>169</v>
      </c>
      <c r="F2092">
        <v>1340118137.6500001</v>
      </c>
      <c r="G2092" t="s">
        <v>131</v>
      </c>
      <c r="H2092" t="s">
        <v>81</v>
      </c>
      <c r="I2092" t="s">
        <v>9</v>
      </c>
      <c r="L2092" t="s">
        <v>161</v>
      </c>
      <c r="M2092">
        <v>-1340118137.6500001</v>
      </c>
    </row>
    <row r="2093" spans="1:13" x14ac:dyDescent="0.3">
      <c r="A2093" s="23">
        <v>45390</v>
      </c>
      <c r="B2093" t="s">
        <v>12</v>
      </c>
      <c r="C2093" t="s">
        <v>132</v>
      </c>
      <c r="D2093" t="s">
        <v>16</v>
      </c>
      <c r="E2093" t="s">
        <v>169</v>
      </c>
      <c r="F2093">
        <v>400000000</v>
      </c>
      <c r="G2093" t="s">
        <v>131</v>
      </c>
      <c r="H2093" t="s">
        <v>81</v>
      </c>
      <c r="I2093" t="s">
        <v>9</v>
      </c>
      <c r="L2093" t="s">
        <v>161</v>
      </c>
      <c r="M2093">
        <v>400000000</v>
      </c>
    </row>
    <row r="2094" spans="1:13" x14ac:dyDescent="0.3">
      <c r="A2094" s="23">
        <v>45387</v>
      </c>
      <c r="B2094" t="s">
        <v>12</v>
      </c>
      <c r="C2094" t="s">
        <v>132</v>
      </c>
      <c r="D2094" t="s">
        <v>16</v>
      </c>
      <c r="E2094" t="s">
        <v>169</v>
      </c>
      <c r="F2094">
        <v>700000000</v>
      </c>
      <c r="G2094" t="s">
        <v>131</v>
      </c>
      <c r="H2094" t="s">
        <v>81</v>
      </c>
      <c r="I2094" t="s">
        <v>9</v>
      </c>
      <c r="L2094" t="s">
        <v>161</v>
      </c>
      <c r="M2094">
        <v>700000000</v>
      </c>
    </row>
    <row r="2095" spans="1:13" x14ac:dyDescent="0.3">
      <c r="A2095" s="23">
        <v>45383</v>
      </c>
      <c r="B2095" t="s">
        <v>12</v>
      </c>
      <c r="C2095" t="s">
        <v>132</v>
      </c>
      <c r="D2095" t="s">
        <v>16</v>
      </c>
      <c r="E2095" t="s">
        <v>169</v>
      </c>
      <c r="F2095">
        <v>1070000</v>
      </c>
      <c r="G2095" t="s">
        <v>131</v>
      </c>
      <c r="H2095" t="s">
        <v>81</v>
      </c>
      <c r="I2095" t="s">
        <v>9</v>
      </c>
      <c r="L2095" t="s">
        <v>161</v>
      </c>
      <c r="M2095">
        <v>1070000</v>
      </c>
    </row>
    <row r="2096" spans="1:13" x14ac:dyDescent="0.3">
      <c r="A2096" s="23">
        <v>45378</v>
      </c>
      <c r="B2096" t="s">
        <v>12</v>
      </c>
      <c r="C2096" t="s">
        <v>132</v>
      </c>
      <c r="D2096" t="s">
        <v>16</v>
      </c>
      <c r="E2096" t="s">
        <v>169</v>
      </c>
      <c r="F2096">
        <v>375492000</v>
      </c>
      <c r="G2096" t="s">
        <v>131</v>
      </c>
      <c r="H2096" t="s">
        <v>81</v>
      </c>
      <c r="I2096" t="s">
        <v>9</v>
      </c>
      <c r="L2096" t="s">
        <v>161</v>
      </c>
      <c r="M2096">
        <v>375492000</v>
      </c>
    </row>
    <row r="2097" spans="1:13" x14ac:dyDescent="0.3">
      <c r="A2097" s="23">
        <v>45162</v>
      </c>
      <c r="B2097" t="s">
        <v>12</v>
      </c>
      <c r="C2097" t="s">
        <v>132</v>
      </c>
      <c r="D2097" t="s">
        <v>16</v>
      </c>
      <c r="E2097" t="s">
        <v>169</v>
      </c>
      <c r="F2097">
        <v>500000000</v>
      </c>
      <c r="G2097" t="s">
        <v>131</v>
      </c>
      <c r="H2097" t="s">
        <v>81</v>
      </c>
      <c r="I2097" t="s">
        <v>9</v>
      </c>
      <c r="L2097" t="s">
        <v>161</v>
      </c>
      <c r="M2097">
        <v>500000000</v>
      </c>
    </row>
    <row r="2098" spans="1:13" x14ac:dyDescent="0.3">
      <c r="A2098" s="23">
        <v>45163</v>
      </c>
      <c r="B2098" t="s">
        <v>12</v>
      </c>
      <c r="C2098" t="s">
        <v>132</v>
      </c>
      <c r="D2098" t="s">
        <v>17</v>
      </c>
      <c r="E2098" t="s">
        <v>169</v>
      </c>
      <c r="F2098">
        <v>500000000</v>
      </c>
      <c r="G2098" t="s">
        <v>131</v>
      </c>
      <c r="H2098" t="s">
        <v>81</v>
      </c>
      <c r="I2098" t="s">
        <v>9</v>
      </c>
      <c r="L2098" t="s">
        <v>161</v>
      </c>
      <c r="M2098">
        <v>-500000000</v>
      </c>
    </row>
    <row r="2099" spans="1:13" x14ac:dyDescent="0.3">
      <c r="A2099" s="23">
        <v>45359</v>
      </c>
      <c r="B2099" t="s">
        <v>12</v>
      </c>
      <c r="C2099" t="s">
        <v>132</v>
      </c>
      <c r="D2099" t="s">
        <v>16</v>
      </c>
      <c r="E2099" t="s">
        <v>169</v>
      </c>
      <c r="F2099">
        <v>1050000</v>
      </c>
      <c r="G2099" t="s">
        <v>131</v>
      </c>
      <c r="H2099" t="s">
        <v>81</v>
      </c>
      <c r="I2099" t="s">
        <v>9</v>
      </c>
      <c r="L2099" t="s">
        <v>161</v>
      </c>
      <c r="M2099">
        <v>1050000</v>
      </c>
    </row>
    <row r="2100" spans="1:13" x14ac:dyDescent="0.3">
      <c r="A2100" s="23">
        <v>45170</v>
      </c>
      <c r="B2100" t="s">
        <v>12</v>
      </c>
      <c r="C2100" t="s">
        <v>132</v>
      </c>
      <c r="D2100" t="s">
        <v>16</v>
      </c>
      <c r="E2100" t="s">
        <v>169</v>
      </c>
      <c r="F2100">
        <v>509232506.56999999</v>
      </c>
      <c r="G2100" t="s">
        <v>131</v>
      </c>
      <c r="H2100" t="s">
        <v>81</v>
      </c>
      <c r="I2100" t="s">
        <v>9</v>
      </c>
      <c r="L2100" t="s">
        <v>161</v>
      </c>
      <c r="M2100">
        <v>509232506.56999999</v>
      </c>
    </row>
    <row r="2101" spans="1:13" x14ac:dyDescent="0.3">
      <c r="A2101" s="23">
        <v>45343</v>
      </c>
      <c r="B2101" t="s">
        <v>12</v>
      </c>
      <c r="C2101" t="s">
        <v>132</v>
      </c>
      <c r="D2101" t="s">
        <v>16</v>
      </c>
      <c r="E2101" t="s">
        <v>169</v>
      </c>
      <c r="F2101">
        <v>310000</v>
      </c>
      <c r="G2101" t="s">
        <v>131</v>
      </c>
      <c r="H2101" t="s">
        <v>81</v>
      </c>
      <c r="I2101" t="s">
        <v>9</v>
      </c>
      <c r="L2101" t="s">
        <v>161</v>
      </c>
      <c r="M2101">
        <v>310000</v>
      </c>
    </row>
    <row r="2102" spans="1:13" x14ac:dyDescent="0.3">
      <c r="A2102" s="23">
        <v>45177</v>
      </c>
      <c r="B2102" t="s">
        <v>12</v>
      </c>
      <c r="C2102" t="s">
        <v>132</v>
      </c>
      <c r="D2102" t="s">
        <v>16</v>
      </c>
      <c r="E2102" t="s">
        <v>169</v>
      </c>
      <c r="F2102">
        <v>9087088.4299999997</v>
      </c>
      <c r="G2102" t="s">
        <v>131</v>
      </c>
      <c r="H2102" t="s">
        <v>81</v>
      </c>
      <c r="I2102" t="s">
        <v>9</v>
      </c>
      <c r="L2102" t="s">
        <v>161</v>
      </c>
      <c r="M2102">
        <v>9087088.4299999997</v>
      </c>
    </row>
    <row r="2103" spans="1:13" x14ac:dyDescent="0.3">
      <c r="A2103" s="23">
        <v>45337</v>
      </c>
      <c r="B2103" t="s">
        <v>12</v>
      </c>
      <c r="C2103" t="s">
        <v>132</v>
      </c>
      <c r="D2103" t="s">
        <v>16</v>
      </c>
      <c r="E2103" t="s">
        <v>169</v>
      </c>
      <c r="F2103">
        <v>830228.66</v>
      </c>
      <c r="G2103" t="s">
        <v>131</v>
      </c>
      <c r="H2103" t="s">
        <v>81</v>
      </c>
      <c r="I2103" t="s">
        <v>9</v>
      </c>
      <c r="L2103" t="s">
        <v>161</v>
      </c>
      <c r="M2103">
        <v>830228.66</v>
      </c>
    </row>
    <row r="2104" spans="1:13" x14ac:dyDescent="0.3">
      <c r="A2104" s="23">
        <v>45181</v>
      </c>
      <c r="B2104" t="s">
        <v>12</v>
      </c>
      <c r="C2104" t="s">
        <v>132</v>
      </c>
      <c r="D2104" t="s">
        <v>17</v>
      </c>
      <c r="E2104" t="s">
        <v>169</v>
      </c>
      <c r="F2104">
        <v>518319595</v>
      </c>
      <c r="G2104" t="s">
        <v>131</v>
      </c>
      <c r="H2104" t="s">
        <v>81</v>
      </c>
      <c r="I2104" t="s">
        <v>9</v>
      </c>
      <c r="L2104" t="s">
        <v>161</v>
      </c>
      <c r="M2104">
        <v>-518319595</v>
      </c>
    </row>
    <row r="2105" spans="1:13" x14ac:dyDescent="0.3">
      <c r="A2105" s="23">
        <v>45323</v>
      </c>
      <c r="B2105" t="s">
        <v>12</v>
      </c>
      <c r="C2105" t="s">
        <v>132</v>
      </c>
      <c r="D2105" t="s">
        <v>16</v>
      </c>
      <c r="E2105" t="s">
        <v>169</v>
      </c>
      <c r="F2105">
        <v>1200000</v>
      </c>
      <c r="G2105" t="s">
        <v>131</v>
      </c>
      <c r="H2105" t="s">
        <v>81</v>
      </c>
      <c r="I2105" t="s">
        <v>9</v>
      </c>
      <c r="L2105" t="s">
        <v>161</v>
      </c>
      <c r="M2105">
        <v>1200000</v>
      </c>
    </row>
    <row r="2106" spans="1:13" x14ac:dyDescent="0.3">
      <c r="A2106" s="23">
        <v>45320</v>
      </c>
      <c r="B2106" t="s">
        <v>12</v>
      </c>
      <c r="C2106" t="s">
        <v>132</v>
      </c>
      <c r="D2106" t="s">
        <v>17</v>
      </c>
      <c r="E2106" t="s">
        <v>169</v>
      </c>
      <c r="F2106">
        <v>47640228.659999996</v>
      </c>
      <c r="G2106" t="s">
        <v>131</v>
      </c>
      <c r="H2106" t="s">
        <v>81</v>
      </c>
      <c r="I2106" t="s">
        <v>9</v>
      </c>
      <c r="L2106" t="s">
        <v>161</v>
      </c>
      <c r="M2106">
        <v>-47640228.659999996</v>
      </c>
    </row>
    <row r="2107" spans="1:13" x14ac:dyDescent="0.3">
      <c r="A2107" s="23">
        <v>45317</v>
      </c>
      <c r="B2107" t="s">
        <v>12</v>
      </c>
      <c r="C2107" t="s">
        <v>132</v>
      </c>
      <c r="D2107" t="s">
        <v>16</v>
      </c>
      <c r="E2107" t="s">
        <v>169</v>
      </c>
      <c r="F2107">
        <v>3000000</v>
      </c>
      <c r="G2107" t="s">
        <v>131</v>
      </c>
      <c r="H2107" t="s">
        <v>81</v>
      </c>
      <c r="I2107" t="s">
        <v>9</v>
      </c>
      <c r="L2107" t="s">
        <v>161</v>
      </c>
      <c r="M2107">
        <v>3000000</v>
      </c>
    </row>
    <row r="2108" spans="1:13" x14ac:dyDescent="0.3">
      <c r="A2108" s="23">
        <v>45188</v>
      </c>
      <c r="B2108" t="s">
        <v>12</v>
      </c>
      <c r="C2108" t="s">
        <v>132</v>
      </c>
      <c r="D2108" t="s">
        <v>16</v>
      </c>
      <c r="E2108" t="s">
        <v>169</v>
      </c>
      <c r="F2108">
        <v>185162374.75</v>
      </c>
      <c r="G2108" t="s">
        <v>131</v>
      </c>
      <c r="H2108" t="s">
        <v>81</v>
      </c>
      <c r="I2108" t="s">
        <v>9</v>
      </c>
      <c r="L2108" t="s">
        <v>161</v>
      </c>
      <c r="M2108">
        <v>185162374.75</v>
      </c>
    </row>
    <row r="2109" spans="1:13" x14ac:dyDescent="0.3">
      <c r="A2109" s="23">
        <v>45189</v>
      </c>
      <c r="B2109" t="s">
        <v>12</v>
      </c>
      <c r="C2109" t="s">
        <v>132</v>
      </c>
      <c r="D2109" t="s">
        <v>17</v>
      </c>
      <c r="E2109" t="s">
        <v>169</v>
      </c>
      <c r="F2109">
        <v>166200000</v>
      </c>
      <c r="G2109" t="s">
        <v>131</v>
      </c>
      <c r="H2109" t="s">
        <v>81</v>
      </c>
      <c r="I2109" t="s">
        <v>9</v>
      </c>
      <c r="L2109" t="s">
        <v>161</v>
      </c>
      <c r="M2109">
        <v>-166200000</v>
      </c>
    </row>
    <row r="2110" spans="1:13" x14ac:dyDescent="0.3">
      <c r="A2110" s="23">
        <v>45301</v>
      </c>
      <c r="B2110" t="s">
        <v>12</v>
      </c>
      <c r="C2110" t="s">
        <v>132</v>
      </c>
      <c r="D2110" t="s">
        <v>17</v>
      </c>
      <c r="E2110" t="s">
        <v>169</v>
      </c>
      <c r="F2110">
        <v>374400000</v>
      </c>
      <c r="G2110" t="s">
        <v>131</v>
      </c>
      <c r="H2110" t="s">
        <v>81</v>
      </c>
      <c r="I2110" t="s">
        <v>9</v>
      </c>
      <c r="L2110" t="s">
        <v>161</v>
      </c>
      <c r="M2110">
        <v>-374400000</v>
      </c>
    </row>
    <row r="2111" spans="1:13" x14ac:dyDescent="0.3">
      <c r="A2111" s="23">
        <v>45299</v>
      </c>
      <c r="B2111" t="s">
        <v>12</v>
      </c>
      <c r="C2111" t="s">
        <v>132</v>
      </c>
      <c r="D2111" t="s">
        <v>16</v>
      </c>
      <c r="E2111" t="s">
        <v>169</v>
      </c>
      <c r="F2111">
        <v>3400000</v>
      </c>
      <c r="G2111" t="s">
        <v>131</v>
      </c>
      <c r="H2111" t="s">
        <v>81</v>
      </c>
      <c r="I2111" t="s">
        <v>9</v>
      </c>
      <c r="L2111" t="s">
        <v>161</v>
      </c>
      <c r="M2111">
        <v>3400000</v>
      </c>
    </row>
    <row r="2112" spans="1:13" x14ac:dyDescent="0.3">
      <c r="A2112" s="23">
        <v>45194</v>
      </c>
      <c r="B2112" t="s">
        <v>12</v>
      </c>
      <c r="C2112" t="s">
        <v>132</v>
      </c>
      <c r="D2112" t="s">
        <v>17</v>
      </c>
      <c r="E2112" t="s">
        <v>169</v>
      </c>
      <c r="F2112">
        <v>18962374.75</v>
      </c>
      <c r="G2112" t="s">
        <v>131</v>
      </c>
      <c r="H2112" t="s">
        <v>81</v>
      </c>
      <c r="I2112" t="s">
        <v>9</v>
      </c>
      <c r="L2112" t="s">
        <v>161</v>
      </c>
      <c r="M2112">
        <v>-18962374.75</v>
      </c>
    </row>
    <row r="2113" spans="1:13" x14ac:dyDescent="0.3">
      <c r="A2113" s="23">
        <v>45195</v>
      </c>
      <c r="B2113" t="s">
        <v>12</v>
      </c>
      <c r="C2113" t="s">
        <v>132</v>
      </c>
      <c r="D2113" t="s">
        <v>16</v>
      </c>
      <c r="E2113" t="s">
        <v>169</v>
      </c>
      <c r="F2113">
        <v>400000000</v>
      </c>
      <c r="G2113" t="s">
        <v>131</v>
      </c>
      <c r="H2113" t="s">
        <v>81</v>
      </c>
      <c r="I2113" t="s">
        <v>9</v>
      </c>
      <c r="L2113" t="s">
        <v>161</v>
      </c>
      <c r="M2113">
        <v>400000000</v>
      </c>
    </row>
    <row r="2114" spans="1:13" x14ac:dyDescent="0.3">
      <c r="A2114" s="23">
        <v>45295</v>
      </c>
      <c r="B2114" t="s">
        <v>12</v>
      </c>
      <c r="C2114" t="s">
        <v>132</v>
      </c>
      <c r="D2114" t="s">
        <v>16</v>
      </c>
      <c r="E2114" t="s">
        <v>169</v>
      </c>
      <c r="F2114">
        <v>300000000</v>
      </c>
      <c r="G2114" t="s">
        <v>131</v>
      </c>
      <c r="H2114" t="s">
        <v>81</v>
      </c>
      <c r="I2114" t="s">
        <v>9</v>
      </c>
      <c r="L2114" t="s">
        <v>161</v>
      </c>
      <c r="M2114">
        <v>300000000</v>
      </c>
    </row>
    <row r="2115" spans="1:13" x14ac:dyDescent="0.3">
      <c r="A2115" s="23">
        <v>45197</v>
      </c>
      <c r="B2115" t="s">
        <v>12</v>
      </c>
      <c r="C2115" t="s">
        <v>132</v>
      </c>
      <c r="D2115" t="s">
        <v>17</v>
      </c>
      <c r="E2115" t="s">
        <v>169</v>
      </c>
      <c r="F2115">
        <v>173336034.69999999</v>
      </c>
      <c r="G2115" t="s">
        <v>131</v>
      </c>
      <c r="H2115" t="s">
        <v>81</v>
      </c>
      <c r="I2115" t="s">
        <v>9</v>
      </c>
      <c r="L2115" t="s">
        <v>161</v>
      </c>
      <c r="M2115">
        <v>-173336034.69999999</v>
      </c>
    </row>
    <row r="2116" spans="1:13" x14ac:dyDescent="0.3">
      <c r="A2116" s="23">
        <v>45288</v>
      </c>
      <c r="B2116" t="s">
        <v>12</v>
      </c>
      <c r="C2116" t="s">
        <v>132</v>
      </c>
      <c r="D2116" t="s">
        <v>16</v>
      </c>
      <c r="E2116" t="s">
        <v>169</v>
      </c>
      <c r="F2116">
        <v>138300000</v>
      </c>
      <c r="G2116" t="s">
        <v>131</v>
      </c>
      <c r="H2116" t="s">
        <v>81</v>
      </c>
      <c r="I2116" t="s">
        <v>9</v>
      </c>
      <c r="L2116" t="s">
        <v>161</v>
      </c>
      <c r="M2116">
        <v>138300000</v>
      </c>
    </row>
    <row r="2117" spans="1:13" x14ac:dyDescent="0.3">
      <c r="A2117" s="23">
        <v>45287</v>
      </c>
      <c r="B2117" t="s">
        <v>12</v>
      </c>
      <c r="C2117" t="s">
        <v>132</v>
      </c>
      <c r="D2117" t="s">
        <v>17</v>
      </c>
      <c r="E2117" t="s">
        <v>169</v>
      </c>
      <c r="F2117">
        <v>472544748.50999999</v>
      </c>
      <c r="G2117" t="s">
        <v>131</v>
      </c>
      <c r="H2117" t="s">
        <v>81</v>
      </c>
      <c r="I2117" t="s">
        <v>9</v>
      </c>
      <c r="L2117" t="s">
        <v>161</v>
      </c>
      <c r="M2117">
        <v>-472544748.50999999</v>
      </c>
    </row>
    <row r="2118" spans="1:13" x14ac:dyDescent="0.3">
      <c r="A2118" s="23">
        <v>45201</v>
      </c>
      <c r="B2118" t="s">
        <v>12</v>
      </c>
      <c r="C2118" t="s">
        <v>132</v>
      </c>
      <c r="D2118" t="s">
        <v>17</v>
      </c>
      <c r="E2118" t="s">
        <v>169</v>
      </c>
      <c r="F2118">
        <v>226663965.30000001</v>
      </c>
      <c r="G2118" t="s">
        <v>131</v>
      </c>
      <c r="H2118" t="s">
        <v>81</v>
      </c>
      <c r="I2118" t="s">
        <v>9</v>
      </c>
      <c r="L2118" t="s">
        <v>161</v>
      </c>
      <c r="M2118">
        <v>-226663965.30000001</v>
      </c>
    </row>
    <row r="2119" spans="1:13" x14ac:dyDescent="0.3">
      <c r="A2119" s="23">
        <v>45282</v>
      </c>
      <c r="B2119" t="s">
        <v>12</v>
      </c>
      <c r="C2119" t="s">
        <v>132</v>
      </c>
      <c r="D2119" t="s">
        <v>16</v>
      </c>
      <c r="E2119" t="s">
        <v>169</v>
      </c>
      <c r="F2119">
        <v>7076748.5099999998</v>
      </c>
      <c r="G2119" t="s">
        <v>131</v>
      </c>
      <c r="H2119" t="s">
        <v>81</v>
      </c>
      <c r="I2119" t="s">
        <v>9</v>
      </c>
      <c r="L2119" t="s">
        <v>161</v>
      </c>
      <c r="M2119">
        <v>7076748.5099999998</v>
      </c>
    </row>
    <row r="2120" spans="1:13" x14ac:dyDescent="0.3">
      <c r="A2120" s="23">
        <v>45275</v>
      </c>
      <c r="B2120" t="s">
        <v>12</v>
      </c>
      <c r="C2120" t="s">
        <v>132</v>
      </c>
      <c r="D2120" t="s">
        <v>16</v>
      </c>
      <c r="E2120" t="s">
        <v>169</v>
      </c>
      <c r="F2120">
        <v>465468000</v>
      </c>
      <c r="G2120" t="s">
        <v>131</v>
      </c>
      <c r="H2120" t="s">
        <v>81</v>
      </c>
      <c r="I2120" t="s">
        <v>9</v>
      </c>
      <c r="L2120" t="s">
        <v>161</v>
      </c>
      <c r="M2120">
        <v>465468000</v>
      </c>
    </row>
    <row r="2121" spans="1:13" x14ac:dyDescent="0.3">
      <c r="A2121" s="23">
        <v>45267</v>
      </c>
      <c r="B2121" t="s">
        <v>12</v>
      </c>
      <c r="C2121" t="s">
        <v>132</v>
      </c>
      <c r="D2121" t="s">
        <v>17</v>
      </c>
      <c r="E2121" t="s">
        <v>169</v>
      </c>
      <c r="F2121">
        <v>49120000</v>
      </c>
      <c r="G2121" t="s">
        <v>131</v>
      </c>
      <c r="H2121" t="s">
        <v>81</v>
      </c>
      <c r="I2121" t="s">
        <v>9</v>
      </c>
      <c r="L2121" t="s">
        <v>161</v>
      </c>
      <c r="M2121">
        <v>-49120000</v>
      </c>
    </row>
    <row r="2122" spans="1:13" x14ac:dyDescent="0.3">
      <c r="A2122" s="23">
        <v>45266</v>
      </c>
      <c r="B2122" t="s">
        <v>12</v>
      </c>
      <c r="C2122" t="s">
        <v>132</v>
      </c>
      <c r="D2122" t="s">
        <v>16</v>
      </c>
      <c r="E2122" t="s">
        <v>169</v>
      </c>
      <c r="F2122">
        <v>40000000</v>
      </c>
      <c r="G2122" t="s">
        <v>131</v>
      </c>
      <c r="H2122" t="s">
        <v>81</v>
      </c>
      <c r="I2122" t="s">
        <v>9</v>
      </c>
      <c r="L2122" t="s">
        <v>161</v>
      </c>
      <c r="M2122">
        <v>40000000</v>
      </c>
    </row>
    <row r="2123" spans="1:13" x14ac:dyDescent="0.3">
      <c r="A2123" s="23">
        <v>45265</v>
      </c>
      <c r="B2123" t="s">
        <v>12</v>
      </c>
      <c r="C2123" t="s">
        <v>132</v>
      </c>
      <c r="D2123" t="s">
        <v>17</v>
      </c>
      <c r="E2123" t="s">
        <v>169</v>
      </c>
      <c r="F2123">
        <v>69200000</v>
      </c>
      <c r="G2123" t="s">
        <v>131</v>
      </c>
      <c r="H2123" t="s">
        <v>81</v>
      </c>
      <c r="I2123" t="s">
        <v>9</v>
      </c>
      <c r="L2123" t="s">
        <v>161</v>
      </c>
      <c r="M2123">
        <v>-69200000</v>
      </c>
    </row>
    <row r="2124" spans="1:13" x14ac:dyDescent="0.3">
      <c r="A2124" s="23">
        <v>45265</v>
      </c>
      <c r="B2124" t="s">
        <v>12</v>
      </c>
      <c r="C2124" t="s">
        <v>132</v>
      </c>
      <c r="D2124" t="s">
        <v>17</v>
      </c>
      <c r="E2124" t="s">
        <v>169</v>
      </c>
      <c r="F2124">
        <v>1350000000</v>
      </c>
      <c r="G2124" t="s">
        <v>131</v>
      </c>
      <c r="H2124" t="s">
        <v>81</v>
      </c>
      <c r="I2124" t="s">
        <v>9</v>
      </c>
      <c r="L2124" t="s">
        <v>161</v>
      </c>
      <c r="M2124">
        <v>-1350000000</v>
      </c>
    </row>
    <row r="2125" spans="1:13" x14ac:dyDescent="0.3">
      <c r="A2125" s="23">
        <v>45265</v>
      </c>
      <c r="B2125" t="s">
        <v>12</v>
      </c>
      <c r="C2125" t="s">
        <v>132</v>
      </c>
      <c r="D2125" t="s">
        <v>16</v>
      </c>
      <c r="E2125" t="s">
        <v>169</v>
      </c>
      <c r="F2125">
        <v>1428320000</v>
      </c>
      <c r="G2125" t="s">
        <v>131</v>
      </c>
      <c r="H2125" t="s">
        <v>81</v>
      </c>
      <c r="I2125" t="s">
        <v>9</v>
      </c>
      <c r="L2125" t="s">
        <v>161</v>
      </c>
      <c r="M2125">
        <v>1428320000</v>
      </c>
    </row>
    <row r="2126" spans="1:13" x14ac:dyDescent="0.3">
      <c r="A2126" s="23">
        <v>45209</v>
      </c>
      <c r="B2126" t="s">
        <v>12</v>
      </c>
      <c r="C2126" t="s">
        <v>132</v>
      </c>
      <c r="D2126" t="s">
        <v>16</v>
      </c>
      <c r="E2126" t="s">
        <v>169</v>
      </c>
      <c r="F2126">
        <v>85000000</v>
      </c>
      <c r="G2126" t="s">
        <v>131</v>
      </c>
      <c r="H2126" t="s">
        <v>81</v>
      </c>
      <c r="I2126" t="s">
        <v>9</v>
      </c>
      <c r="L2126" t="s">
        <v>161</v>
      </c>
      <c r="M2126">
        <v>85000000</v>
      </c>
    </row>
    <row r="2127" spans="1:13" x14ac:dyDescent="0.3">
      <c r="A2127" s="23">
        <v>45210</v>
      </c>
      <c r="B2127" t="s">
        <v>12</v>
      </c>
      <c r="C2127" t="s">
        <v>132</v>
      </c>
      <c r="D2127" t="s">
        <v>16</v>
      </c>
      <c r="E2127" t="s">
        <v>169</v>
      </c>
      <c r="F2127">
        <v>120000000</v>
      </c>
      <c r="G2127" t="s">
        <v>131</v>
      </c>
      <c r="H2127" t="s">
        <v>81</v>
      </c>
      <c r="I2127" t="s">
        <v>9</v>
      </c>
      <c r="L2127" t="s">
        <v>161</v>
      </c>
      <c r="M2127">
        <v>120000000</v>
      </c>
    </row>
    <row r="2128" spans="1:13" x14ac:dyDescent="0.3">
      <c r="A2128" s="23">
        <v>45253</v>
      </c>
      <c r="B2128" t="s">
        <v>12</v>
      </c>
      <c r="C2128" t="s">
        <v>132</v>
      </c>
      <c r="D2128" t="s">
        <v>17</v>
      </c>
      <c r="E2128" t="s">
        <v>169</v>
      </c>
      <c r="F2128">
        <v>895000000</v>
      </c>
      <c r="G2128" t="s">
        <v>131</v>
      </c>
      <c r="H2128" t="s">
        <v>81</v>
      </c>
      <c r="I2128" t="s">
        <v>9</v>
      </c>
      <c r="L2128" t="s">
        <v>161</v>
      </c>
      <c r="M2128">
        <v>-895000000</v>
      </c>
    </row>
    <row r="2129" spans="1:13" x14ac:dyDescent="0.3">
      <c r="A2129" s="23">
        <v>45211</v>
      </c>
      <c r="B2129" t="s">
        <v>12</v>
      </c>
      <c r="C2129" t="s">
        <v>132</v>
      </c>
      <c r="D2129" t="s">
        <v>17</v>
      </c>
      <c r="E2129" t="s">
        <v>169</v>
      </c>
      <c r="F2129">
        <v>200000000</v>
      </c>
      <c r="G2129" t="s">
        <v>131</v>
      </c>
      <c r="H2129" t="s">
        <v>81</v>
      </c>
      <c r="I2129" t="s">
        <v>9</v>
      </c>
      <c r="L2129" t="s">
        <v>161</v>
      </c>
      <c r="M2129">
        <v>-200000000</v>
      </c>
    </row>
    <row r="2130" spans="1:13" x14ac:dyDescent="0.3">
      <c r="A2130" s="23">
        <v>45252</v>
      </c>
      <c r="B2130" t="s">
        <v>12</v>
      </c>
      <c r="C2130" t="s">
        <v>132</v>
      </c>
      <c r="D2130" t="s">
        <v>16</v>
      </c>
      <c r="E2130" t="s">
        <v>169</v>
      </c>
      <c r="F2130">
        <v>895000000</v>
      </c>
      <c r="G2130" t="s">
        <v>131</v>
      </c>
      <c r="H2130" t="s">
        <v>81</v>
      </c>
      <c r="I2130" t="s">
        <v>9</v>
      </c>
      <c r="L2130" t="s">
        <v>161</v>
      </c>
      <c r="M2130">
        <v>895000000</v>
      </c>
    </row>
    <row r="2131" spans="1:13" x14ac:dyDescent="0.3">
      <c r="A2131" s="23">
        <v>45217</v>
      </c>
      <c r="B2131" t="s">
        <v>12</v>
      </c>
      <c r="C2131" t="s">
        <v>132</v>
      </c>
      <c r="D2131" t="s">
        <v>17</v>
      </c>
      <c r="E2131" t="s">
        <v>169</v>
      </c>
      <c r="F2131">
        <v>5000000</v>
      </c>
      <c r="G2131" t="s">
        <v>131</v>
      </c>
      <c r="H2131" t="s">
        <v>81</v>
      </c>
      <c r="I2131" t="s">
        <v>9</v>
      </c>
      <c r="L2131" t="s">
        <v>161</v>
      </c>
      <c r="M2131">
        <v>-5000000</v>
      </c>
    </row>
    <row r="2132" spans="1:13" x14ac:dyDescent="0.3">
      <c r="A2132" s="23">
        <v>45434</v>
      </c>
      <c r="B2132" t="s">
        <v>12</v>
      </c>
      <c r="C2132" t="s">
        <v>132</v>
      </c>
      <c r="D2132" t="s">
        <v>17</v>
      </c>
      <c r="E2132" t="s">
        <v>170</v>
      </c>
      <c r="F2132">
        <v>20339497.920000002</v>
      </c>
      <c r="G2132" t="s">
        <v>23</v>
      </c>
      <c r="H2132" t="s">
        <v>81</v>
      </c>
      <c r="I2132" t="s">
        <v>9</v>
      </c>
      <c r="L2132" t="s">
        <v>161</v>
      </c>
      <c r="M2132">
        <v>-20339497.920000002</v>
      </c>
    </row>
    <row r="2133" spans="1:13" x14ac:dyDescent="0.3">
      <c r="A2133" s="23">
        <v>45425</v>
      </c>
      <c r="B2133" t="s">
        <v>12</v>
      </c>
      <c r="C2133" t="s">
        <v>132</v>
      </c>
      <c r="D2133" t="s">
        <v>16</v>
      </c>
      <c r="E2133" t="s">
        <v>170</v>
      </c>
      <c r="F2133">
        <v>496000</v>
      </c>
      <c r="G2133" t="s">
        <v>23</v>
      </c>
      <c r="H2133" t="s">
        <v>81</v>
      </c>
      <c r="I2133" t="s">
        <v>9</v>
      </c>
      <c r="L2133" t="s">
        <v>161</v>
      </c>
      <c r="M2133">
        <v>496000</v>
      </c>
    </row>
    <row r="2134" spans="1:13" x14ac:dyDescent="0.3">
      <c r="A2134" s="23">
        <v>45407</v>
      </c>
      <c r="B2134" t="s">
        <v>12</v>
      </c>
      <c r="C2134" t="s">
        <v>132</v>
      </c>
      <c r="D2134" t="s">
        <v>17</v>
      </c>
      <c r="E2134" t="s">
        <v>170</v>
      </c>
      <c r="F2134">
        <v>52477771</v>
      </c>
      <c r="G2134" t="s">
        <v>23</v>
      </c>
      <c r="H2134" t="s">
        <v>81</v>
      </c>
      <c r="I2134" t="s">
        <v>9</v>
      </c>
      <c r="L2134" t="s">
        <v>161</v>
      </c>
      <c r="M2134">
        <v>-52477771</v>
      </c>
    </row>
    <row r="2135" spans="1:13" x14ac:dyDescent="0.3">
      <c r="A2135" s="23">
        <v>45407</v>
      </c>
      <c r="B2135" t="s">
        <v>12</v>
      </c>
      <c r="C2135" t="s">
        <v>132</v>
      </c>
      <c r="D2135" t="s">
        <v>16</v>
      </c>
      <c r="E2135" t="s">
        <v>170</v>
      </c>
      <c r="F2135">
        <v>24211000</v>
      </c>
      <c r="G2135" t="s">
        <v>23</v>
      </c>
      <c r="H2135" t="s">
        <v>81</v>
      </c>
      <c r="I2135" t="s">
        <v>9</v>
      </c>
      <c r="L2135" t="s">
        <v>161</v>
      </c>
      <c r="M2135">
        <v>24211000</v>
      </c>
    </row>
    <row r="2136" spans="1:13" x14ac:dyDescent="0.3">
      <c r="A2136" s="23">
        <v>45407</v>
      </c>
      <c r="B2136" t="s">
        <v>12</v>
      </c>
      <c r="C2136" t="s">
        <v>132</v>
      </c>
      <c r="D2136" t="s">
        <v>17</v>
      </c>
      <c r="E2136" t="s">
        <v>170</v>
      </c>
      <c r="F2136">
        <v>51366643</v>
      </c>
      <c r="G2136" t="s">
        <v>23</v>
      </c>
      <c r="H2136" t="s">
        <v>81</v>
      </c>
      <c r="I2136" t="s">
        <v>9</v>
      </c>
      <c r="L2136" t="s">
        <v>161</v>
      </c>
      <c r="M2136">
        <v>-51366643</v>
      </c>
    </row>
    <row r="2137" spans="1:13" x14ac:dyDescent="0.3">
      <c r="A2137" s="23">
        <v>45406</v>
      </c>
      <c r="B2137" t="s">
        <v>12</v>
      </c>
      <c r="C2137" t="s">
        <v>132</v>
      </c>
      <c r="D2137" t="s">
        <v>17</v>
      </c>
      <c r="E2137" t="s">
        <v>170</v>
      </c>
      <c r="F2137">
        <v>77966259</v>
      </c>
      <c r="G2137" t="s">
        <v>23</v>
      </c>
      <c r="H2137" t="s">
        <v>81</v>
      </c>
      <c r="I2137" t="s">
        <v>9</v>
      </c>
      <c r="L2137" t="s">
        <v>161</v>
      </c>
      <c r="M2137">
        <v>-77966259</v>
      </c>
    </row>
    <row r="2138" spans="1:13" x14ac:dyDescent="0.3">
      <c r="A2138" s="23">
        <v>45401</v>
      </c>
      <c r="B2138" t="s">
        <v>12</v>
      </c>
      <c r="C2138" t="s">
        <v>132</v>
      </c>
      <c r="D2138" t="s">
        <v>17</v>
      </c>
      <c r="E2138" t="s">
        <v>170</v>
      </c>
      <c r="F2138">
        <v>57411517</v>
      </c>
      <c r="G2138" t="s">
        <v>23</v>
      </c>
      <c r="H2138" t="s">
        <v>81</v>
      </c>
      <c r="I2138" t="s">
        <v>9</v>
      </c>
      <c r="L2138" t="s">
        <v>161</v>
      </c>
      <c r="M2138">
        <v>-57411517</v>
      </c>
    </row>
    <row r="2139" spans="1:13" x14ac:dyDescent="0.3">
      <c r="A2139" s="23">
        <v>45400</v>
      </c>
      <c r="B2139" t="s">
        <v>12</v>
      </c>
      <c r="C2139" t="s">
        <v>132</v>
      </c>
      <c r="D2139" t="s">
        <v>17</v>
      </c>
      <c r="E2139" t="s">
        <v>170</v>
      </c>
      <c r="F2139">
        <v>500000000</v>
      </c>
      <c r="G2139" t="s">
        <v>23</v>
      </c>
      <c r="H2139" t="s">
        <v>81</v>
      </c>
      <c r="I2139" t="s">
        <v>9</v>
      </c>
      <c r="L2139" t="s">
        <v>161</v>
      </c>
      <c r="M2139">
        <v>-500000000</v>
      </c>
    </row>
    <row r="2140" spans="1:13" x14ac:dyDescent="0.3">
      <c r="A2140" s="23">
        <v>45390</v>
      </c>
      <c r="B2140" t="s">
        <v>12</v>
      </c>
      <c r="C2140" t="s">
        <v>132</v>
      </c>
      <c r="D2140" t="s">
        <v>17</v>
      </c>
      <c r="E2140" t="s">
        <v>170</v>
      </c>
      <c r="F2140">
        <v>297328000</v>
      </c>
      <c r="G2140" t="s">
        <v>23</v>
      </c>
      <c r="H2140" t="s">
        <v>81</v>
      </c>
      <c r="I2140" t="s">
        <v>9</v>
      </c>
      <c r="L2140" t="s">
        <v>161</v>
      </c>
      <c r="M2140">
        <v>-297328000</v>
      </c>
    </row>
    <row r="2141" spans="1:13" x14ac:dyDescent="0.3">
      <c r="A2141" s="23">
        <v>45386</v>
      </c>
      <c r="B2141" t="s">
        <v>12</v>
      </c>
      <c r="C2141" t="s">
        <v>132</v>
      </c>
      <c r="D2141" t="s">
        <v>16</v>
      </c>
      <c r="E2141" t="s">
        <v>170</v>
      </c>
      <c r="F2141">
        <v>1000000000</v>
      </c>
      <c r="G2141" t="s">
        <v>23</v>
      </c>
      <c r="H2141" t="s">
        <v>81</v>
      </c>
      <c r="I2141" t="s">
        <v>9</v>
      </c>
      <c r="L2141" t="s">
        <v>161</v>
      </c>
      <c r="M2141">
        <v>1000000000</v>
      </c>
    </row>
    <row r="2142" spans="1:13" x14ac:dyDescent="0.3">
      <c r="A2142" s="23">
        <v>45383</v>
      </c>
      <c r="B2142" t="s">
        <v>12</v>
      </c>
      <c r="C2142" t="s">
        <v>132</v>
      </c>
      <c r="D2142" t="s">
        <v>16</v>
      </c>
      <c r="E2142" t="s">
        <v>170</v>
      </c>
      <c r="F2142">
        <v>3000000</v>
      </c>
      <c r="G2142" t="s">
        <v>23</v>
      </c>
      <c r="H2142" t="s">
        <v>81</v>
      </c>
      <c r="I2142" t="s">
        <v>9</v>
      </c>
      <c r="L2142" t="s">
        <v>161</v>
      </c>
      <c r="M2142">
        <v>3000000</v>
      </c>
    </row>
    <row r="2143" spans="1:13" x14ac:dyDescent="0.3">
      <c r="A2143" s="23">
        <v>45363</v>
      </c>
      <c r="B2143" t="s">
        <v>12</v>
      </c>
      <c r="C2143" t="s">
        <v>132</v>
      </c>
      <c r="D2143" t="s">
        <v>17</v>
      </c>
      <c r="E2143" t="s">
        <v>170</v>
      </c>
      <c r="F2143">
        <v>75179670.5</v>
      </c>
      <c r="G2143" t="s">
        <v>23</v>
      </c>
      <c r="H2143" t="s">
        <v>81</v>
      </c>
      <c r="I2143" t="s">
        <v>9</v>
      </c>
      <c r="L2143" t="s">
        <v>161</v>
      </c>
      <c r="M2143">
        <v>-75179670.5</v>
      </c>
    </row>
    <row r="2144" spans="1:13" x14ac:dyDescent="0.3">
      <c r="A2144" s="23">
        <v>45363</v>
      </c>
      <c r="B2144" t="s">
        <v>12</v>
      </c>
      <c r="C2144" t="s">
        <v>132</v>
      </c>
      <c r="D2144" t="s">
        <v>17</v>
      </c>
      <c r="E2144" t="s">
        <v>170</v>
      </c>
      <c r="F2144">
        <v>67342060.049999997</v>
      </c>
      <c r="G2144" t="s">
        <v>23</v>
      </c>
      <c r="H2144" t="s">
        <v>81</v>
      </c>
      <c r="I2144" t="s">
        <v>9</v>
      </c>
      <c r="L2144" t="s">
        <v>161</v>
      </c>
      <c r="M2144">
        <v>-67342060.049999997</v>
      </c>
    </row>
    <row r="2145" spans="1:13" x14ac:dyDescent="0.3">
      <c r="A2145" s="23">
        <v>45359</v>
      </c>
      <c r="B2145" t="s">
        <v>12</v>
      </c>
      <c r="C2145" t="s">
        <v>132</v>
      </c>
      <c r="D2145" t="s">
        <v>16</v>
      </c>
      <c r="E2145" t="s">
        <v>170</v>
      </c>
      <c r="F2145">
        <v>1450000</v>
      </c>
      <c r="G2145" t="s">
        <v>23</v>
      </c>
      <c r="H2145" t="s">
        <v>81</v>
      </c>
      <c r="I2145" t="s">
        <v>9</v>
      </c>
      <c r="L2145" t="s">
        <v>161</v>
      </c>
      <c r="M2145">
        <v>1450000</v>
      </c>
    </row>
    <row r="2146" spans="1:13" x14ac:dyDescent="0.3">
      <c r="A2146" s="23">
        <v>45359</v>
      </c>
      <c r="B2146" t="s">
        <v>12</v>
      </c>
      <c r="C2146" t="s">
        <v>132</v>
      </c>
      <c r="D2146" t="s">
        <v>17</v>
      </c>
      <c r="E2146" t="s">
        <v>170</v>
      </c>
      <c r="F2146">
        <v>80784724.379999995</v>
      </c>
      <c r="G2146" t="s">
        <v>23</v>
      </c>
      <c r="H2146" t="s">
        <v>81</v>
      </c>
      <c r="I2146" t="s">
        <v>9</v>
      </c>
      <c r="L2146" t="s">
        <v>161</v>
      </c>
      <c r="M2146">
        <v>-80784724.379999995</v>
      </c>
    </row>
    <row r="2147" spans="1:13" x14ac:dyDescent="0.3">
      <c r="A2147" s="23">
        <v>45359</v>
      </c>
      <c r="B2147" t="s">
        <v>12</v>
      </c>
      <c r="C2147" t="s">
        <v>132</v>
      </c>
      <c r="D2147" t="s">
        <v>17</v>
      </c>
      <c r="E2147" t="s">
        <v>170</v>
      </c>
      <c r="F2147">
        <v>48960857.149999999</v>
      </c>
      <c r="G2147" t="s">
        <v>23</v>
      </c>
      <c r="H2147" t="s">
        <v>81</v>
      </c>
      <c r="I2147" t="s">
        <v>9</v>
      </c>
      <c r="L2147" t="s">
        <v>161</v>
      </c>
      <c r="M2147">
        <v>-48960857.149999999</v>
      </c>
    </row>
    <row r="2148" spans="1:13" x14ac:dyDescent="0.3">
      <c r="A2148" s="23">
        <v>45357</v>
      </c>
      <c r="B2148" t="s">
        <v>12</v>
      </c>
      <c r="C2148" t="s">
        <v>132</v>
      </c>
      <c r="D2148" t="s">
        <v>16</v>
      </c>
      <c r="E2148" t="s">
        <v>170</v>
      </c>
      <c r="F2148">
        <v>300000000</v>
      </c>
      <c r="G2148" t="s">
        <v>23</v>
      </c>
      <c r="H2148" t="s">
        <v>81</v>
      </c>
      <c r="I2148" t="s">
        <v>9</v>
      </c>
      <c r="L2148" t="s">
        <v>161</v>
      </c>
      <c r="M2148">
        <v>300000000</v>
      </c>
    </row>
    <row r="2149" spans="1:13" x14ac:dyDescent="0.3">
      <c r="A2149" s="23">
        <v>45195</v>
      </c>
      <c r="B2149" t="s">
        <v>12</v>
      </c>
      <c r="C2149" t="s">
        <v>132</v>
      </c>
      <c r="D2149" t="s">
        <v>16</v>
      </c>
      <c r="E2149" t="s">
        <v>170</v>
      </c>
      <c r="F2149">
        <v>100000000</v>
      </c>
      <c r="G2149" t="s">
        <v>23</v>
      </c>
      <c r="H2149" t="s">
        <v>81</v>
      </c>
      <c r="I2149" t="s">
        <v>9</v>
      </c>
      <c r="L2149" t="s">
        <v>161</v>
      </c>
      <c r="M2149">
        <v>100000000</v>
      </c>
    </row>
    <row r="2150" spans="1:13" x14ac:dyDescent="0.3">
      <c r="A2150" s="23">
        <v>45197</v>
      </c>
      <c r="B2150" t="s">
        <v>12</v>
      </c>
      <c r="C2150" t="s">
        <v>132</v>
      </c>
      <c r="D2150" t="s">
        <v>17</v>
      </c>
      <c r="E2150" t="s">
        <v>170</v>
      </c>
      <c r="F2150">
        <v>51558024.170000002</v>
      </c>
      <c r="G2150" t="s">
        <v>23</v>
      </c>
      <c r="H2150" t="s">
        <v>81</v>
      </c>
      <c r="I2150" t="s">
        <v>9</v>
      </c>
      <c r="L2150" t="s">
        <v>161</v>
      </c>
      <c r="M2150">
        <v>-51558024.170000002</v>
      </c>
    </row>
    <row r="2151" spans="1:13" x14ac:dyDescent="0.3">
      <c r="A2151" s="23">
        <v>45201</v>
      </c>
      <c r="B2151" t="s">
        <v>12</v>
      </c>
      <c r="C2151" t="s">
        <v>132</v>
      </c>
      <c r="D2151" t="s">
        <v>17</v>
      </c>
      <c r="E2151" t="s">
        <v>170</v>
      </c>
      <c r="F2151">
        <v>22700000</v>
      </c>
      <c r="G2151" t="s">
        <v>23</v>
      </c>
      <c r="H2151" t="s">
        <v>81</v>
      </c>
      <c r="I2151" t="s">
        <v>9</v>
      </c>
      <c r="L2151" t="s">
        <v>161</v>
      </c>
      <c r="M2151">
        <v>-22700000</v>
      </c>
    </row>
    <row r="2152" spans="1:13" x14ac:dyDescent="0.3">
      <c r="A2152" s="23">
        <v>45204</v>
      </c>
      <c r="B2152" t="s">
        <v>12</v>
      </c>
      <c r="C2152" t="s">
        <v>132</v>
      </c>
      <c r="D2152" t="s">
        <v>17</v>
      </c>
      <c r="E2152" t="s">
        <v>170</v>
      </c>
      <c r="F2152">
        <v>25741975.829999998</v>
      </c>
      <c r="G2152" t="s">
        <v>23</v>
      </c>
      <c r="H2152" t="s">
        <v>81</v>
      </c>
      <c r="I2152" t="s">
        <v>9</v>
      </c>
      <c r="L2152" t="s">
        <v>161</v>
      </c>
      <c r="M2152">
        <v>-25741975.829999998</v>
      </c>
    </row>
    <row r="2153" spans="1:13" x14ac:dyDescent="0.3">
      <c r="A2153" s="23">
        <v>45267</v>
      </c>
      <c r="B2153" t="s">
        <v>12</v>
      </c>
      <c r="C2153" t="s">
        <v>132</v>
      </c>
      <c r="D2153" t="s">
        <v>17</v>
      </c>
      <c r="E2153" t="s">
        <v>170</v>
      </c>
      <c r="F2153">
        <v>8653983.3499999996</v>
      </c>
      <c r="G2153" t="s">
        <v>23</v>
      </c>
      <c r="H2153" t="s">
        <v>81</v>
      </c>
      <c r="I2153" t="s">
        <v>9</v>
      </c>
      <c r="L2153" t="s">
        <v>161</v>
      </c>
      <c r="M2153">
        <v>-8653983.3499999996</v>
      </c>
    </row>
    <row r="2154" spans="1:13" x14ac:dyDescent="0.3">
      <c r="A2154" s="23">
        <v>45252</v>
      </c>
      <c r="B2154" t="s">
        <v>12</v>
      </c>
      <c r="C2154" t="s">
        <v>132</v>
      </c>
      <c r="D2154" t="s">
        <v>16</v>
      </c>
      <c r="E2154" t="s">
        <v>170</v>
      </c>
      <c r="F2154">
        <v>8653983.3499999996</v>
      </c>
      <c r="G2154" t="s">
        <v>23</v>
      </c>
      <c r="H2154" t="s">
        <v>81</v>
      </c>
      <c r="I2154" t="s">
        <v>9</v>
      </c>
      <c r="L2154" t="s">
        <v>161</v>
      </c>
      <c r="M2154">
        <v>8653983.3499999996</v>
      </c>
    </row>
    <row r="2155" spans="1:13" x14ac:dyDescent="0.3">
      <c r="A2155" s="23">
        <v>45845</v>
      </c>
      <c r="B2155" t="s">
        <v>12</v>
      </c>
      <c r="C2155" t="s">
        <v>132</v>
      </c>
      <c r="D2155" t="s">
        <v>17</v>
      </c>
      <c r="E2155" t="s">
        <v>174</v>
      </c>
      <c r="F2155">
        <v>60187956.649999999</v>
      </c>
      <c r="G2155" t="s">
        <v>175</v>
      </c>
      <c r="H2155" t="s">
        <v>81</v>
      </c>
      <c r="I2155" t="s">
        <v>9</v>
      </c>
      <c r="L2155" t="s">
        <v>161</v>
      </c>
      <c r="M2155">
        <v>-60187956.649999999</v>
      </c>
    </row>
    <row r="2156" spans="1:13" x14ac:dyDescent="0.3">
      <c r="A2156" s="23">
        <v>45845</v>
      </c>
      <c r="B2156" t="s">
        <v>12</v>
      </c>
      <c r="C2156" t="s">
        <v>132</v>
      </c>
      <c r="D2156" t="s">
        <v>17</v>
      </c>
      <c r="E2156" t="s">
        <v>174</v>
      </c>
      <c r="F2156">
        <v>755486258.03999996</v>
      </c>
      <c r="G2156" t="s">
        <v>175</v>
      </c>
      <c r="H2156" t="s">
        <v>81</v>
      </c>
      <c r="I2156" t="s">
        <v>9</v>
      </c>
      <c r="L2156" t="s">
        <v>161</v>
      </c>
      <c r="M2156">
        <v>-755486258.03999996</v>
      </c>
    </row>
    <row r="2157" spans="1:13" x14ac:dyDescent="0.3">
      <c r="A2157" s="23">
        <v>45839</v>
      </c>
      <c r="B2157" t="s">
        <v>12</v>
      </c>
      <c r="C2157" t="s">
        <v>132</v>
      </c>
      <c r="D2157" t="s">
        <v>16</v>
      </c>
      <c r="E2157" t="s">
        <v>174</v>
      </c>
      <c r="F2157">
        <v>400000000</v>
      </c>
      <c r="G2157" t="s">
        <v>175</v>
      </c>
      <c r="H2157" t="s">
        <v>81</v>
      </c>
      <c r="I2157" t="s">
        <v>9</v>
      </c>
      <c r="L2157" t="s">
        <v>161</v>
      </c>
      <c r="M2157">
        <v>400000000</v>
      </c>
    </row>
    <row r="2158" spans="1:13" x14ac:dyDescent="0.3">
      <c r="A2158" s="23">
        <v>45804</v>
      </c>
      <c r="B2158" t="s">
        <v>12</v>
      </c>
      <c r="C2158" t="s">
        <v>132</v>
      </c>
      <c r="D2158" t="s">
        <v>16</v>
      </c>
      <c r="E2158" t="s">
        <v>174</v>
      </c>
      <c r="F2158">
        <v>24000000</v>
      </c>
      <c r="G2158" t="s">
        <v>175</v>
      </c>
      <c r="H2158" t="s">
        <v>81</v>
      </c>
      <c r="I2158" t="s">
        <v>9</v>
      </c>
      <c r="L2158" t="s">
        <v>161</v>
      </c>
      <c r="M2158">
        <v>24000000</v>
      </c>
    </row>
    <row r="2159" spans="1:13" x14ac:dyDescent="0.3">
      <c r="A2159" s="23">
        <v>45715</v>
      </c>
      <c r="B2159" t="s">
        <v>12</v>
      </c>
      <c r="C2159" t="s">
        <v>132</v>
      </c>
      <c r="D2159" t="s">
        <v>16</v>
      </c>
      <c r="E2159" t="s">
        <v>174</v>
      </c>
      <c r="F2159">
        <v>400000000</v>
      </c>
      <c r="G2159" t="s">
        <v>175</v>
      </c>
      <c r="H2159" t="s">
        <v>81</v>
      </c>
      <c r="I2159" t="s">
        <v>9</v>
      </c>
      <c r="L2159" t="s">
        <v>161</v>
      </c>
      <c r="M2159">
        <v>400000000</v>
      </c>
    </row>
    <row r="2160" spans="1:13" x14ac:dyDescent="0.3">
      <c r="A2160" s="23">
        <v>45607</v>
      </c>
      <c r="B2160" t="s">
        <v>12</v>
      </c>
      <c r="C2160" t="s">
        <v>132</v>
      </c>
      <c r="D2160" t="s">
        <v>17</v>
      </c>
      <c r="E2160" t="s">
        <v>174</v>
      </c>
      <c r="F2160">
        <v>29420792</v>
      </c>
      <c r="G2160" t="s">
        <v>175</v>
      </c>
      <c r="H2160" t="s">
        <v>81</v>
      </c>
      <c r="I2160" t="s">
        <v>9</v>
      </c>
      <c r="L2160" t="s">
        <v>161</v>
      </c>
      <c r="M2160">
        <v>-29420792</v>
      </c>
    </row>
    <row r="2161" spans="1:13" x14ac:dyDescent="0.3">
      <c r="A2161" s="23">
        <v>45565</v>
      </c>
      <c r="B2161" t="s">
        <v>12</v>
      </c>
      <c r="C2161" t="s">
        <v>132</v>
      </c>
      <c r="D2161" t="s">
        <v>16</v>
      </c>
      <c r="E2161" t="s">
        <v>174</v>
      </c>
      <c r="F2161">
        <v>683000</v>
      </c>
      <c r="G2161" t="s">
        <v>175</v>
      </c>
      <c r="H2161" t="s">
        <v>81</v>
      </c>
      <c r="I2161" t="s">
        <v>9</v>
      </c>
      <c r="L2161" t="s">
        <v>161</v>
      </c>
      <c r="M2161">
        <v>683000</v>
      </c>
    </row>
    <row r="2162" spans="1:13" x14ac:dyDescent="0.3">
      <c r="A2162" s="23">
        <v>45538</v>
      </c>
      <c r="B2162" t="s">
        <v>12</v>
      </c>
      <c r="C2162" t="s">
        <v>132</v>
      </c>
      <c r="D2162" t="s">
        <v>16</v>
      </c>
      <c r="E2162" t="s">
        <v>174</v>
      </c>
      <c r="F2162">
        <v>9611000</v>
      </c>
      <c r="G2162" t="s">
        <v>175</v>
      </c>
      <c r="H2162" t="s">
        <v>81</v>
      </c>
      <c r="I2162" t="s">
        <v>9</v>
      </c>
      <c r="L2162" t="s">
        <v>161</v>
      </c>
      <c r="M2162">
        <v>9611000</v>
      </c>
    </row>
    <row r="2163" spans="1:13" x14ac:dyDescent="0.3">
      <c r="A2163" s="23">
        <v>45527</v>
      </c>
      <c r="B2163" t="s">
        <v>12</v>
      </c>
      <c r="C2163" t="s">
        <v>132</v>
      </c>
      <c r="D2163" t="s">
        <v>17</v>
      </c>
      <c r="E2163" t="s">
        <v>174</v>
      </c>
      <c r="F2163">
        <v>150000000</v>
      </c>
      <c r="G2163" t="s">
        <v>175</v>
      </c>
      <c r="H2163" t="s">
        <v>81</v>
      </c>
      <c r="I2163" t="s">
        <v>9</v>
      </c>
      <c r="L2163" t="s">
        <v>161</v>
      </c>
      <c r="M2163">
        <v>-150000000</v>
      </c>
    </row>
    <row r="2164" spans="1:13" x14ac:dyDescent="0.3">
      <c r="A2164" s="23">
        <v>45516</v>
      </c>
      <c r="B2164" t="s">
        <v>12</v>
      </c>
      <c r="C2164" t="s">
        <v>132</v>
      </c>
      <c r="D2164" t="s">
        <v>17</v>
      </c>
      <c r="E2164" t="s">
        <v>174</v>
      </c>
      <c r="F2164">
        <v>400000000</v>
      </c>
      <c r="G2164" t="s">
        <v>175</v>
      </c>
      <c r="H2164" t="s">
        <v>81</v>
      </c>
      <c r="I2164" t="s">
        <v>9</v>
      </c>
      <c r="L2164" t="s">
        <v>161</v>
      </c>
      <c r="M2164">
        <v>-400000000</v>
      </c>
    </row>
    <row r="2165" spans="1:13" x14ac:dyDescent="0.3">
      <c r="A2165" s="23">
        <v>45504</v>
      </c>
      <c r="B2165" t="s">
        <v>12</v>
      </c>
      <c r="C2165" t="s">
        <v>132</v>
      </c>
      <c r="D2165" t="s">
        <v>16</v>
      </c>
      <c r="E2165" t="s">
        <v>174</v>
      </c>
      <c r="F2165">
        <v>17193000</v>
      </c>
      <c r="G2165" t="s">
        <v>175</v>
      </c>
      <c r="H2165" t="s">
        <v>81</v>
      </c>
      <c r="I2165" t="s">
        <v>9</v>
      </c>
      <c r="L2165" t="s">
        <v>161</v>
      </c>
      <c r="M2165">
        <v>17193000</v>
      </c>
    </row>
    <row r="2166" spans="1:13" x14ac:dyDescent="0.3">
      <c r="A2166" s="23">
        <v>45475</v>
      </c>
      <c r="B2166" t="s">
        <v>12</v>
      </c>
      <c r="C2166" t="s">
        <v>132</v>
      </c>
      <c r="D2166" t="s">
        <v>16</v>
      </c>
      <c r="E2166" t="s">
        <v>174</v>
      </c>
      <c r="F2166">
        <v>500000000</v>
      </c>
      <c r="G2166" t="s">
        <v>175</v>
      </c>
      <c r="H2166" t="s">
        <v>81</v>
      </c>
      <c r="I2166" t="s">
        <v>9</v>
      </c>
      <c r="L2166" t="s">
        <v>161</v>
      </c>
      <c r="M2166">
        <v>500000000</v>
      </c>
    </row>
    <row r="2167" spans="1:13" x14ac:dyDescent="0.3">
      <c r="A2167" s="23">
        <v>45460</v>
      </c>
      <c r="B2167" t="s">
        <v>12</v>
      </c>
      <c r="C2167" t="s">
        <v>132</v>
      </c>
      <c r="D2167" t="s">
        <v>16</v>
      </c>
      <c r="E2167" t="s">
        <v>174</v>
      </c>
      <c r="F2167">
        <v>11540000</v>
      </c>
      <c r="G2167" t="s">
        <v>175</v>
      </c>
      <c r="H2167" t="s">
        <v>81</v>
      </c>
      <c r="I2167" t="s">
        <v>9</v>
      </c>
      <c r="L2167" t="s">
        <v>161</v>
      </c>
      <c r="M2167">
        <v>11540000</v>
      </c>
    </row>
    <row r="2168" spans="1:13" x14ac:dyDescent="0.3">
      <c r="A2168" s="23">
        <v>45446</v>
      </c>
      <c r="B2168" t="s">
        <v>12</v>
      </c>
      <c r="C2168" t="s">
        <v>132</v>
      </c>
      <c r="D2168" t="s">
        <v>17</v>
      </c>
      <c r="E2168" t="s">
        <v>174</v>
      </c>
      <c r="F2168">
        <v>485706723</v>
      </c>
      <c r="G2168" t="s">
        <v>175</v>
      </c>
      <c r="H2168" t="s">
        <v>81</v>
      </c>
      <c r="I2168" t="s">
        <v>9</v>
      </c>
      <c r="L2168" t="s">
        <v>161</v>
      </c>
      <c r="M2168">
        <v>-485706723</v>
      </c>
    </row>
    <row r="2169" spans="1:13" x14ac:dyDescent="0.3">
      <c r="A2169" s="23">
        <v>45442</v>
      </c>
      <c r="B2169" t="s">
        <v>12</v>
      </c>
      <c r="C2169" t="s">
        <v>132</v>
      </c>
      <c r="D2169" t="s">
        <v>16</v>
      </c>
      <c r="E2169" t="s">
        <v>174</v>
      </c>
      <c r="F2169">
        <v>200000000</v>
      </c>
      <c r="G2169" t="s">
        <v>175</v>
      </c>
      <c r="H2169" t="s">
        <v>81</v>
      </c>
      <c r="I2169" t="s">
        <v>9</v>
      </c>
      <c r="L2169" t="s">
        <v>161</v>
      </c>
      <c r="M2169">
        <v>200000000</v>
      </c>
    </row>
    <row r="2170" spans="1:13" x14ac:dyDescent="0.3">
      <c r="A2170" s="23">
        <v>45441</v>
      </c>
      <c r="B2170" t="s">
        <v>12</v>
      </c>
      <c r="C2170" t="s">
        <v>132</v>
      </c>
      <c r="D2170" t="s">
        <v>17</v>
      </c>
      <c r="E2170" t="s">
        <v>174</v>
      </c>
      <c r="F2170">
        <v>200000000</v>
      </c>
      <c r="G2170" t="s">
        <v>175</v>
      </c>
      <c r="H2170" t="s">
        <v>81</v>
      </c>
      <c r="I2170" t="s">
        <v>9</v>
      </c>
      <c r="L2170" t="s">
        <v>161</v>
      </c>
      <c r="M2170">
        <v>-200000000</v>
      </c>
    </row>
    <row r="2171" spans="1:13" x14ac:dyDescent="0.3">
      <c r="A2171" s="23">
        <v>45429</v>
      </c>
      <c r="B2171" t="s">
        <v>12</v>
      </c>
      <c r="C2171" t="s">
        <v>132</v>
      </c>
      <c r="D2171" t="s">
        <v>16</v>
      </c>
      <c r="E2171" t="s">
        <v>174</v>
      </c>
      <c r="F2171">
        <v>500000000</v>
      </c>
      <c r="G2171" t="s">
        <v>175</v>
      </c>
      <c r="H2171" t="s">
        <v>81</v>
      </c>
      <c r="I2171" t="s">
        <v>9</v>
      </c>
      <c r="L2171" t="s">
        <v>161</v>
      </c>
      <c r="M2171">
        <v>500000000</v>
      </c>
    </row>
    <row r="2172" spans="1:13" x14ac:dyDescent="0.3">
      <c r="A2172" s="23">
        <v>45425</v>
      </c>
      <c r="B2172" t="s">
        <v>12</v>
      </c>
      <c r="C2172" t="s">
        <v>132</v>
      </c>
      <c r="D2172" t="s">
        <v>16</v>
      </c>
      <c r="E2172" t="s">
        <v>174</v>
      </c>
      <c r="F2172">
        <v>558000</v>
      </c>
      <c r="G2172" t="s">
        <v>175</v>
      </c>
      <c r="H2172" t="s">
        <v>81</v>
      </c>
      <c r="I2172" t="s">
        <v>9</v>
      </c>
      <c r="L2172" t="s">
        <v>161</v>
      </c>
      <c r="M2172">
        <v>558000</v>
      </c>
    </row>
    <row r="2173" spans="1:13" x14ac:dyDescent="0.3">
      <c r="A2173" s="23">
        <v>45398</v>
      </c>
      <c r="B2173" t="s">
        <v>12</v>
      </c>
      <c r="C2173" t="s">
        <v>132</v>
      </c>
      <c r="D2173" t="s">
        <v>17</v>
      </c>
      <c r="E2173" t="s">
        <v>174</v>
      </c>
      <c r="F2173">
        <v>474457485</v>
      </c>
      <c r="G2173" t="s">
        <v>175</v>
      </c>
      <c r="H2173" t="s">
        <v>81</v>
      </c>
      <c r="I2173" t="s">
        <v>9</v>
      </c>
      <c r="L2173" t="s">
        <v>161</v>
      </c>
      <c r="M2173">
        <v>-474457485</v>
      </c>
    </row>
    <row r="2174" spans="1:13" x14ac:dyDescent="0.3">
      <c r="A2174" s="23">
        <v>45397</v>
      </c>
      <c r="B2174" t="s">
        <v>12</v>
      </c>
      <c r="C2174" t="s">
        <v>132</v>
      </c>
      <c r="D2174" t="s">
        <v>16</v>
      </c>
      <c r="E2174" t="s">
        <v>174</v>
      </c>
      <c r="F2174">
        <v>500000000</v>
      </c>
      <c r="G2174" t="s">
        <v>175</v>
      </c>
      <c r="H2174" t="s">
        <v>81</v>
      </c>
      <c r="I2174" t="s">
        <v>9</v>
      </c>
      <c r="L2174" t="s">
        <v>161</v>
      </c>
      <c r="M2174">
        <v>500000000</v>
      </c>
    </row>
    <row r="2175" spans="1:13" x14ac:dyDescent="0.3">
      <c r="A2175" s="23">
        <v>45271</v>
      </c>
      <c r="B2175" t="s">
        <v>12</v>
      </c>
      <c r="C2175" t="s">
        <v>132</v>
      </c>
      <c r="D2175" t="s">
        <v>17</v>
      </c>
      <c r="E2175" t="s">
        <v>174</v>
      </c>
      <c r="F2175">
        <v>4930292.45</v>
      </c>
      <c r="G2175" t="s">
        <v>175</v>
      </c>
      <c r="H2175" t="s">
        <v>81</v>
      </c>
      <c r="I2175" t="s">
        <v>9</v>
      </c>
      <c r="L2175" t="s">
        <v>161</v>
      </c>
      <c r="M2175">
        <v>-4930292.45</v>
      </c>
    </row>
    <row r="2176" spans="1:13" x14ac:dyDescent="0.3">
      <c r="A2176" s="23">
        <v>45266</v>
      </c>
      <c r="B2176" t="s">
        <v>12</v>
      </c>
      <c r="C2176" t="s">
        <v>132</v>
      </c>
      <c r="D2176" t="s">
        <v>16</v>
      </c>
      <c r="E2176" t="s">
        <v>174</v>
      </c>
      <c r="F2176">
        <v>2200000</v>
      </c>
      <c r="G2176" t="s">
        <v>175</v>
      </c>
      <c r="H2176" t="s">
        <v>81</v>
      </c>
      <c r="I2176" t="s">
        <v>9</v>
      </c>
      <c r="L2176" t="s">
        <v>161</v>
      </c>
      <c r="M2176">
        <v>2200000</v>
      </c>
    </row>
    <row r="2177" spans="1:13" x14ac:dyDescent="0.3">
      <c r="A2177" s="23">
        <v>45254</v>
      </c>
      <c r="B2177" t="s">
        <v>12</v>
      </c>
      <c r="C2177" t="s">
        <v>132</v>
      </c>
      <c r="D2177" t="s">
        <v>17</v>
      </c>
      <c r="E2177" t="s">
        <v>174</v>
      </c>
      <c r="F2177">
        <v>1047259985.97</v>
      </c>
      <c r="G2177" t="s">
        <v>175</v>
      </c>
      <c r="H2177" t="s">
        <v>81</v>
      </c>
      <c r="I2177" t="s">
        <v>9</v>
      </c>
      <c r="L2177" t="s">
        <v>161</v>
      </c>
      <c r="M2177">
        <v>-1047259985.97</v>
      </c>
    </row>
    <row r="2178" spans="1:13" x14ac:dyDescent="0.3">
      <c r="A2178" s="23">
        <v>45253</v>
      </c>
      <c r="B2178" t="s">
        <v>12</v>
      </c>
      <c r="C2178" t="s">
        <v>132</v>
      </c>
      <c r="D2178" t="s">
        <v>16</v>
      </c>
      <c r="E2178" t="s">
        <v>174</v>
      </c>
      <c r="F2178">
        <v>312000000</v>
      </c>
      <c r="G2178" t="s">
        <v>175</v>
      </c>
      <c r="H2178" t="s">
        <v>81</v>
      </c>
      <c r="I2178" t="s">
        <v>9</v>
      </c>
      <c r="L2178" t="s">
        <v>161</v>
      </c>
      <c r="M2178">
        <v>312000000</v>
      </c>
    </row>
    <row r="2179" spans="1:13" x14ac:dyDescent="0.3">
      <c r="A2179" s="23">
        <v>45252</v>
      </c>
      <c r="B2179" t="s">
        <v>12</v>
      </c>
      <c r="C2179" t="s">
        <v>132</v>
      </c>
      <c r="D2179" t="s">
        <v>16</v>
      </c>
      <c r="E2179" t="s">
        <v>174</v>
      </c>
      <c r="F2179">
        <v>702200000</v>
      </c>
      <c r="G2179" t="s">
        <v>175</v>
      </c>
      <c r="H2179" t="s">
        <v>81</v>
      </c>
      <c r="I2179" t="s">
        <v>9</v>
      </c>
      <c r="L2179" t="s">
        <v>161</v>
      </c>
      <c r="M2179">
        <v>702200000</v>
      </c>
    </row>
    <row r="2180" spans="1:13" x14ac:dyDescent="0.3">
      <c r="A2180" s="23">
        <v>45247</v>
      </c>
      <c r="B2180" t="s">
        <v>12</v>
      </c>
      <c r="C2180" t="s">
        <v>132</v>
      </c>
      <c r="D2180" t="s">
        <v>16</v>
      </c>
      <c r="E2180" t="s">
        <v>174</v>
      </c>
      <c r="F2180">
        <v>213987.05</v>
      </c>
      <c r="G2180" t="s">
        <v>175</v>
      </c>
      <c r="H2180" t="s">
        <v>81</v>
      </c>
      <c r="I2180" t="s">
        <v>9</v>
      </c>
      <c r="L2180" t="s">
        <v>161</v>
      </c>
      <c r="M2180">
        <v>213987.05</v>
      </c>
    </row>
    <row r="2181" spans="1:13" x14ac:dyDescent="0.3">
      <c r="A2181" s="23">
        <v>45246</v>
      </c>
      <c r="B2181" t="s">
        <v>12</v>
      </c>
      <c r="C2181" t="s">
        <v>132</v>
      </c>
      <c r="D2181" t="s">
        <v>16</v>
      </c>
      <c r="E2181" t="s">
        <v>174</v>
      </c>
      <c r="F2181">
        <v>8597130.6199999992</v>
      </c>
      <c r="G2181" t="s">
        <v>175</v>
      </c>
      <c r="H2181" t="s">
        <v>81</v>
      </c>
      <c r="I2181" t="s">
        <v>9</v>
      </c>
      <c r="L2181" t="s">
        <v>161</v>
      </c>
      <c r="M2181">
        <v>8597130.6199999992</v>
      </c>
    </row>
    <row r="2182" spans="1:13" x14ac:dyDescent="0.3">
      <c r="A2182" s="23">
        <v>45238</v>
      </c>
      <c r="B2182" t="s">
        <v>12</v>
      </c>
      <c r="C2182" t="s">
        <v>132</v>
      </c>
      <c r="D2182" t="s">
        <v>17</v>
      </c>
      <c r="E2182" t="s">
        <v>174</v>
      </c>
      <c r="F2182">
        <v>183800000</v>
      </c>
      <c r="G2182" t="s">
        <v>175</v>
      </c>
      <c r="H2182" t="s">
        <v>81</v>
      </c>
      <c r="I2182" t="s">
        <v>9</v>
      </c>
      <c r="L2182" t="s">
        <v>161</v>
      </c>
      <c r="M2182">
        <v>-183800000</v>
      </c>
    </row>
    <row r="2183" spans="1:13" x14ac:dyDescent="0.3">
      <c r="A2183" s="23">
        <v>45233</v>
      </c>
      <c r="B2183" t="s">
        <v>12</v>
      </c>
      <c r="C2183" t="s">
        <v>132</v>
      </c>
      <c r="D2183" t="s">
        <v>17</v>
      </c>
      <c r="E2183" t="s">
        <v>174</v>
      </c>
      <c r="F2183">
        <v>760000000</v>
      </c>
      <c r="G2183" t="s">
        <v>175</v>
      </c>
      <c r="H2183" t="s">
        <v>81</v>
      </c>
      <c r="I2183" t="s">
        <v>9</v>
      </c>
      <c r="L2183" t="s">
        <v>161</v>
      </c>
      <c r="M2183">
        <v>-760000000</v>
      </c>
    </row>
    <row r="2184" spans="1:13" x14ac:dyDescent="0.3">
      <c r="A2184" s="23">
        <v>45233</v>
      </c>
      <c r="B2184" t="s">
        <v>12</v>
      </c>
      <c r="C2184" t="s">
        <v>132</v>
      </c>
      <c r="D2184" t="s">
        <v>16</v>
      </c>
      <c r="E2184" t="s">
        <v>174</v>
      </c>
      <c r="F2184">
        <v>970779160.75</v>
      </c>
      <c r="G2184" t="s">
        <v>175</v>
      </c>
      <c r="H2184" t="s">
        <v>81</v>
      </c>
      <c r="I2184" t="s">
        <v>9</v>
      </c>
      <c r="L2184" t="s">
        <v>161</v>
      </c>
      <c r="M2184">
        <v>970779160.75</v>
      </c>
    </row>
    <row r="2185" spans="1:13" x14ac:dyDescent="0.3">
      <c r="A2185" s="23">
        <v>45446</v>
      </c>
      <c r="B2185" t="s">
        <v>12</v>
      </c>
      <c r="C2185" t="s">
        <v>132</v>
      </c>
      <c r="D2185" t="s">
        <v>17</v>
      </c>
      <c r="E2185" t="s">
        <v>176</v>
      </c>
      <c r="F2185">
        <v>123598204</v>
      </c>
      <c r="G2185" t="s">
        <v>176</v>
      </c>
      <c r="H2185" t="s">
        <v>81</v>
      </c>
      <c r="I2185" t="s">
        <v>9</v>
      </c>
      <c r="L2185" t="s">
        <v>161</v>
      </c>
      <c r="M2185">
        <v>-123598204</v>
      </c>
    </row>
    <row r="2186" spans="1:13" x14ac:dyDescent="0.3">
      <c r="A2186" s="23">
        <v>45411</v>
      </c>
      <c r="B2186" t="s">
        <v>12</v>
      </c>
      <c r="C2186" t="s">
        <v>132</v>
      </c>
      <c r="D2186" t="s">
        <v>17</v>
      </c>
      <c r="E2186" t="s">
        <v>176</v>
      </c>
      <c r="F2186">
        <v>476401796</v>
      </c>
      <c r="G2186" t="s">
        <v>176</v>
      </c>
      <c r="H2186" t="s">
        <v>81</v>
      </c>
      <c r="I2186" t="s">
        <v>9</v>
      </c>
      <c r="L2186" t="s">
        <v>161</v>
      </c>
      <c r="M2186">
        <v>-476401796</v>
      </c>
    </row>
    <row r="2187" spans="1:13" x14ac:dyDescent="0.3">
      <c r="A2187" s="23">
        <v>45407</v>
      </c>
      <c r="B2187" t="s">
        <v>12</v>
      </c>
      <c r="C2187" t="s">
        <v>132</v>
      </c>
      <c r="D2187" t="s">
        <v>16</v>
      </c>
      <c r="E2187" t="s">
        <v>176</v>
      </c>
      <c r="F2187">
        <v>600000000</v>
      </c>
      <c r="G2187" t="s">
        <v>176</v>
      </c>
      <c r="H2187" t="s">
        <v>81</v>
      </c>
      <c r="I2187" t="s">
        <v>9</v>
      </c>
      <c r="L2187" t="s">
        <v>161</v>
      </c>
      <c r="M2187">
        <v>600000000</v>
      </c>
    </row>
    <row r="2188" spans="1:13" x14ac:dyDescent="0.3">
      <c r="A2188" s="23">
        <v>45245</v>
      </c>
      <c r="B2188" t="s">
        <v>12</v>
      </c>
      <c r="C2188" t="s">
        <v>132</v>
      </c>
      <c r="D2188" t="s">
        <v>17</v>
      </c>
      <c r="E2188" t="s">
        <v>176</v>
      </c>
      <c r="F2188">
        <v>340000000</v>
      </c>
      <c r="G2188" t="s">
        <v>176</v>
      </c>
      <c r="H2188" t="s">
        <v>81</v>
      </c>
      <c r="I2188" t="s">
        <v>9</v>
      </c>
      <c r="L2188" t="s">
        <v>161</v>
      </c>
      <c r="M2188">
        <v>-340000000</v>
      </c>
    </row>
    <row r="2189" spans="1:13" x14ac:dyDescent="0.3">
      <c r="A2189" s="23">
        <v>45240</v>
      </c>
      <c r="B2189" t="s">
        <v>12</v>
      </c>
      <c r="C2189" t="s">
        <v>132</v>
      </c>
      <c r="D2189" t="s">
        <v>16</v>
      </c>
      <c r="E2189" t="s">
        <v>176</v>
      </c>
      <c r="F2189">
        <v>340000000</v>
      </c>
      <c r="G2189" t="s">
        <v>176</v>
      </c>
      <c r="H2189" t="s">
        <v>81</v>
      </c>
      <c r="I2189" t="s">
        <v>9</v>
      </c>
      <c r="L2189" t="s">
        <v>161</v>
      </c>
      <c r="M2189">
        <v>340000000</v>
      </c>
    </row>
    <row r="2190" spans="1:13" x14ac:dyDescent="0.3">
      <c r="A2190" s="23">
        <v>45848</v>
      </c>
      <c r="B2190" t="s">
        <v>12</v>
      </c>
      <c r="C2190" t="s">
        <v>132</v>
      </c>
      <c r="D2190" t="s">
        <v>17</v>
      </c>
      <c r="E2190" t="s">
        <v>180</v>
      </c>
      <c r="F2190">
        <v>118526316.55</v>
      </c>
      <c r="G2190" t="s">
        <v>181</v>
      </c>
      <c r="H2190" t="s">
        <v>81</v>
      </c>
      <c r="I2190" t="s">
        <v>9</v>
      </c>
      <c r="L2190" t="s">
        <v>161</v>
      </c>
      <c r="M2190">
        <v>-118526316.55</v>
      </c>
    </row>
    <row r="2191" spans="1:13" x14ac:dyDescent="0.3">
      <c r="A2191" s="23">
        <v>45848</v>
      </c>
      <c r="B2191" t="s">
        <v>12</v>
      </c>
      <c r="C2191" t="s">
        <v>132</v>
      </c>
      <c r="D2191" t="s">
        <v>17</v>
      </c>
      <c r="E2191" t="s">
        <v>180</v>
      </c>
      <c r="F2191">
        <v>66000726.140000001</v>
      </c>
      <c r="G2191" t="s">
        <v>181</v>
      </c>
      <c r="H2191" t="s">
        <v>81</v>
      </c>
      <c r="I2191" t="s">
        <v>9</v>
      </c>
      <c r="L2191" t="s">
        <v>161</v>
      </c>
      <c r="M2191">
        <v>-66000726.140000001</v>
      </c>
    </row>
    <row r="2192" spans="1:13" x14ac:dyDescent="0.3">
      <c r="A2192" s="23">
        <v>45845</v>
      </c>
      <c r="B2192" t="s">
        <v>12</v>
      </c>
      <c r="C2192" t="s">
        <v>132</v>
      </c>
      <c r="D2192" t="s">
        <v>17</v>
      </c>
      <c r="E2192" t="s">
        <v>180</v>
      </c>
      <c r="F2192">
        <v>99275036.189999998</v>
      </c>
      <c r="G2192" t="s">
        <v>181</v>
      </c>
      <c r="H2192" t="s">
        <v>81</v>
      </c>
      <c r="I2192" t="s">
        <v>9</v>
      </c>
      <c r="L2192" t="s">
        <v>161</v>
      </c>
      <c r="M2192">
        <v>-99275036.189999998</v>
      </c>
    </row>
    <row r="2193" spans="1:13" x14ac:dyDescent="0.3">
      <c r="A2193" s="23">
        <v>45845</v>
      </c>
      <c r="B2193" t="s">
        <v>12</v>
      </c>
      <c r="C2193" t="s">
        <v>132</v>
      </c>
      <c r="D2193" t="s">
        <v>17</v>
      </c>
      <c r="E2193" t="s">
        <v>180</v>
      </c>
      <c r="F2193">
        <v>85694589.590000004</v>
      </c>
      <c r="G2193" t="s">
        <v>181</v>
      </c>
      <c r="H2193" t="s">
        <v>81</v>
      </c>
      <c r="I2193" t="s">
        <v>9</v>
      </c>
      <c r="L2193" t="s">
        <v>161</v>
      </c>
      <c r="M2193">
        <v>-85694589.590000004</v>
      </c>
    </row>
    <row r="2194" spans="1:13" x14ac:dyDescent="0.3">
      <c r="A2194" s="23">
        <v>45845</v>
      </c>
      <c r="B2194" t="s">
        <v>12</v>
      </c>
      <c r="C2194" t="s">
        <v>132</v>
      </c>
      <c r="D2194" t="s">
        <v>16</v>
      </c>
      <c r="E2194" t="s">
        <v>180</v>
      </c>
      <c r="F2194">
        <v>300000000</v>
      </c>
      <c r="G2194" t="s">
        <v>181</v>
      </c>
      <c r="H2194" t="s">
        <v>81</v>
      </c>
      <c r="I2194" t="s">
        <v>9</v>
      </c>
      <c r="L2194" t="s">
        <v>161</v>
      </c>
      <c r="M2194">
        <v>300000000</v>
      </c>
    </row>
    <row r="2195" spans="1:13" x14ac:dyDescent="0.3">
      <c r="A2195" s="23">
        <v>45839</v>
      </c>
      <c r="B2195" t="s">
        <v>12</v>
      </c>
      <c r="C2195" t="s">
        <v>132</v>
      </c>
      <c r="D2195" t="s">
        <v>16</v>
      </c>
      <c r="E2195" t="s">
        <v>180</v>
      </c>
      <c r="F2195">
        <v>150000000</v>
      </c>
      <c r="G2195" t="s">
        <v>181</v>
      </c>
      <c r="H2195" t="s">
        <v>81</v>
      </c>
      <c r="I2195" t="s">
        <v>9</v>
      </c>
      <c r="L2195" t="s">
        <v>161</v>
      </c>
      <c r="M2195">
        <v>150000000</v>
      </c>
    </row>
    <row r="2196" spans="1:13" x14ac:dyDescent="0.3">
      <c r="A2196" s="23">
        <v>45804</v>
      </c>
      <c r="B2196" t="s">
        <v>12</v>
      </c>
      <c r="C2196" t="s">
        <v>132</v>
      </c>
      <c r="D2196" t="s">
        <v>16</v>
      </c>
      <c r="E2196" t="s">
        <v>180</v>
      </c>
      <c r="F2196">
        <v>934000</v>
      </c>
      <c r="G2196" t="s">
        <v>181</v>
      </c>
      <c r="H2196" t="s">
        <v>81</v>
      </c>
      <c r="I2196" t="s">
        <v>9</v>
      </c>
      <c r="L2196" t="s">
        <v>161</v>
      </c>
      <c r="M2196">
        <v>934000</v>
      </c>
    </row>
    <row r="2197" spans="1:13" x14ac:dyDescent="0.3">
      <c r="A2197" s="23">
        <v>45790</v>
      </c>
      <c r="B2197" t="s">
        <v>12</v>
      </c>
      <c r="C2197" t="s">
        <v>132</v>
      </c>
      <c r="D2197" t="s">
        <v>17</v>
      </c>
      <c r="E2197" t="s">
        <v>180</v>
      </c>
      <c r="F2197">
        <v>61961072.380000003</v>
      </c>
      <c r="G2197" t="s">
        <v>181</v>
      </c>
      <c r="H2197" t="s">
        <v>81</v>
      </c>
      <c r="I2197" t="s">
        <v>9</v>
      </c>
      <c r="L2197" t="s">
        <v>161</v>
      </c>
      <c r="M2197">
        <v>-61961072.380000003</v>
      </c>
    </row>
    <row r="2198" spans="1:13" x14ac:dyDescent="0.3">
      <c r="A2198" s="23">
        <v>45789</v>
      </c>
      <c r="B2198" t="s">
        <v>12</v>
      </c>
      <c r="C2198" t="s">
        <v>132</v>
      </c>
      <c r="D2198" t="s">
        <v>16</v>
      </c>
      <c r="E2198" t="s">
        <v>180</v>
      </c>
      <c r="F2198">
        <v>15439440</v>
      </c>
      <c r="G2198" t="s">
        <v>181</v>
      </c>
      <c r="H2198" t="s">
        <v>81</v>
      </c>
      <c r="I2198" t="s">
        <v>9</v>
      </c>
      <c r="L2198" t="s">
        <v>161</v>
      </c>
      <c r="M2198">
        <v>15439440</v>
      </c>
    </row>
    <row r="2199" spans="1:13" x14ac:dyDescent="0.3">
      <c r="A2199" s="23">
        <v>45769</v>
      </c>
      <c r="B2199" t="s">
        <v>12</v>
      </c>
      <c r="C2199" t="s">
        <v>132</v>
      </c>
      <c r="D2199" t="s">
        <v>17</v>
      </c>
      <c r="E2199" t="s">
        <v>180</v>
      </c>
      <c r="F2199">
        <v>20644762.649999999</v>
      </c>
      <c r="G2199" t="s">
        <v>181</v>
      </c>
      <c r="H2199" t="s">
        <v>81</v>
      </c>
      <c r="I2199" t="s">
        <v>9</v>
      </c>
      <c r="L2199" t="s">
        <v>161</v>
      </c>
      <c r="M2199">
        <v>-20644762.649999999</v>
      </c>
    </row>
    <row r="2200" spans="1:13" x14ac:dyDescent="0.3">
      <c r="A2200" s="23">
        <v>45734</v>
      </c>
      <c r="B2200" t="s">
        <v>12</v>
      </c>
      <c r="C2200" t="s">
        <v>132</v>
      </c>
      <c r="D2200" t="s">
        <v>17</v>
      </c>
      <c r="E2200" t="s">
        <v>180</v>
      </c>
      <c r="F2200">
        <v>185521886.25999999</v>
      </c>
      <c r="G2200" t="s">
        <v>181</v>
      </c>
      <c r="H2200" t="s">
        <v>81</v>
      </c>
      <c r="I2200" t="s">
        <v>9</v>
      </c>
      <c r="L2200" t="s">
        <v>161</v>
      </c>
      <c r="M2200">
        <v>-185521886.25999999</v>
      </c>
    </row>
    <row r="2201" spans="1:13" x14ac:dyDescent="0.3">
      <c r="A2201" s="23">
        <v>45714</v>
      </c>
      <c r="B2201" t="s">
        <v>12</v>
      </c>
      <c r="C2201" t="s">
        <v>132</v>
      </c>
      <c r="D2201" t="s">
        <v>17</v>
      </c>
      <c r="E2201" t="s">
        <v>180</v>
      </c>
      <c r="F2201">
        <v>167577244.88999999</v>
      </c>
      <c r="G2201" t="s">
        <v>181</v>
      </c>
      <c r="H2201" t="s">
        <v>81</v>
      </c>
      <c r="I2201" t="s">
        <v>9</v>
      </c>
      <c r="L2201" t="s">
        <v>161</v>
      </c>
      <c r="M2201">
        <v>-167577244.88999999</v>
      </c>
    </row>
    <row r="2202" spans="1:13" x14ac:dyDescent="0.3">
      <c r="A2202" s="23">
        <v>45714</v>
      </c>
      <c r="B2202" t="s">
        <v>12</v>
      </c>
      <c r="C2202" t="s">
        <v>132</v>
      </c>
      <c r="D2202" t="s">
        <v>17</v>
      </c>
      <c r="E2202" t="s">
        <v>180</v>
      </c>
      <c r="F2202">
        <v>71549386.680000007</v>
      </c>
      <c r="G2202" t="s">
        <v>181</v>
      </c>
      <c r="H2202" t="s">
        <v>81</v>
      </c>
      <c r="I2202" t="s">
        <v>9</v>
      </c>
      <c r="L2202" t="s">
        <v>161</v>
      </c>
      <c r="M2202">
        <v>-71549386.680000007</v>
      </c>
    </row>
    <row r="2203" spans="1:13" x14ac:dyDescent="0.3">
      <c r="A2203" s="23">
        <v>45701</v>
      </c>
      <c r="B2203" t="s">
        <v>12</v>
      </c>
      <c r="C2203" t="s">
        <v>132</v>
      </c>
      <c r="D2203" t="s">
        <v>16</v>
      </c>
      <c r="E2203" t="s">
        <v>180</v>
      </c>
      <c r="F2203">
        <v>500000000</v>
      </c>
      <c r="G2203" t="s">
        <v>181</v>
      </c>
      <c r="H2203" t="s">
        <v>81</v>
      </c>
      <c r="I2203" t="s">
        <v>9</v>
      </c>
      <c r="L2203" t="s">
        <v>161</v>
      </c>
      <c r="M2203">
        <v>500000000</v>
      </c>
    </row>
    <row r="2204" spans="1:13" x14ac:dyDescent="0.3">
      <c r="A2204" s="23">
        <v>45695</v>
      </c>
      <c r="B2204" t="s">
        <v>12</v>
      </c>
      <c r="C2204" t="s">
        <v>132</v>
      </c>
      <c r="D2204" t="s">
        <v>16</v>
      </c>
      <c r="E2204" t="s">
        <v>180</v>
      </c>
      <c r="F2204">
        <v>2970000</v>
      </c>
      <c r="G2204" t="s">
        <v>181</v>
      </c>
      <c r="H2204" t="s">
        <v>81</v>
      </c>
      <c r="I2204" t="s">
        <v>9</v>
      </c>
      <c r="L2204" t="s">
        <v>161</v>
      </c>
      <c r="M2204">
        <v>2970000</v>
      </c>
    </row>
    <row r="2205" spans="1:13" x14ac:dyDescent="0.3">
      <c r="A2205" s="23">
        <v>45681</v>
      </c>
      <c r="B2205" t="s">
        <v>12</v>
      </c>
      <c r="C2205" t="s">
        <v>132</v>
      </c>
      <c r="D2205" t="s">
        <v>17</v>
      </c>
      <c r="E2205" t="s">
        <v>180</v>
      </c>
      <c r="F2205">
        <v>50000000</v>
      </c>
      <c r="G2205" t="s">
        <v>181</v>
      </c>
      <c r="H2205" t="s">
        <v>81</v>
      </c>
      <c r="I2205" t="s">
        <v>9</v>
      </c>
      <c r="L2205" t="s">
        <v>161</v>
      </c>
      <c r="M2205">
        <v>-50000000</v>
      </c>
    </row>
    <row r="2206" spans="1:13" x14ac:dyDescent="0.3">
      <c r="A2206" s="23">
        <v>45680</v>
      </c>
      <c r="B2206" t="s">
        <v>12</v>
      </c>
      <c r="C2206" t="s">
        <v>132</v>
      </c>
      <c r="D2206" t="s">
        <v>17</v>
      </c>
      <c r="E2206" t="s">
        <v>180</v>
      </c>
      <c r="F2206">
        <v>153091289.38</v>
      </c>
      <c r="G2206" t="s">
        <v>181</v>
      </c>
      <c r="H2206" t="s">
        <v>81</v>
      </c>
      <c r="I2206" t="s">
        <v>9</v>
      </c>
      <c r="L2206" t="s">
        <v>161</v>
      </c>
      <c r="M2206">
        <v>-153091289.38</v>
      </c>
    </row>
    <row r="2207" spans="1:13" x14ac:dyDescent="0.3">
      <c r="A2207" s="23">
        <v>45680</v>
      </c>
      <c r="B2207" t="s">
        <v>12</v>
      </c>
      <c r="C2207" t="s">
        <v>132</v>
      </c>
      <c r="D2207" t="s">
        <v>17</v>
      </c>
      <c r="E2207" t="s">
        <v>180</v>
      </c>
      <c r="F2207">
        <v>106202534.02</v>
      </c>
      <c r="G2207" t="s">
        <v>181</v>
      </c>
      <c r="H2207" t="s">
        <v>81</v>
      </c>
      <c r="I2207" t="s">
        <v>9</v>
      </c>
      <c r="L2207" t="s">
        <v>161</v>
      </c>
      <c r="M2207">
        <v>-106202534.02</v>
      </c>
    </row>
    <row r="2208" spans="1:13" x14ac:dyDescent="0.3">
      <c r="A2208" s="23">
        <v>45677</v>
      </c>
      <c r="B2208" t="s">
        <v>12</v>
      </c>
      <c r="C2208" t="s">
        <v>132</v>
      </c>
      <c r="D2208" t="s">
        <v>16</v>
      </c>
      <c r="E2208" t="s">
        <v>180</v>
      </c>
      <c r="F2208">
        <v>350000000</v>
      </c>
      <c r="G2208" t="s">
        <v>181</v>
      </c>
      <c r="H2208" t="s">
        <v>81</v>
      </c>
      <c r="I2208" t="s">
        <v>9</v>
      </c>
      <c r="L2208" t="s">
        <v>161</v>
      </c>
      <c r="M2208">
        <v>350000000</v>
      </c>
    </row>
    <row r="2209" spans="1:13" x14ac:dyDescent="0.3">
      <c r="A2209" s="23">
        <v>45652</v>
      </c>
      <c r="B2209" t="s">
        <v>12</v>
      </c>
      <c r="C2209" t="s">
        <v>132</v>
      </c>
      <c r="D2209" t="s">
        <v>17</v>
      </c>
      <c r="E2209" t="s">
        <v>180</v>
      </c>
      <c r="F2209">
        <v>41933114.770000003</v>
      </c>
      <c r="G2209" t="s">
        <v>181</v>
      </c>
      <c r="H2209" t="s">
        <v>81</v>
      </c>
      <c r="I2209" t="s">
        <v>9</v>
      </c>
      <c r="L2209" t="s">
        <v>161</v>
      </c>
      <c r="M2209">
        <v>-41933114.770000003</v>
      </c>
    </row>
    <row r="2210" spans="1:13" x14ac:dyDescent="0.3">
      <c r="A2210" s="23">
        <v>45630</v>
      </c>
      <c r="B2210" t="s">
        <v>12</v>
      </c>
      <c r="C2210" t="s">
        <v>132</v>
      </c>
      <c r="D2210" t="s">
        <v>16</v>
      </c>
      <c r="E2210" t="s">
        <v>180</v>
      </c>
      <c r="F2210">
        <v>1084288</v>
      </c>
      <c r="G2210" t="s">
        <v>181</v>
      </c>
      <c r="H2210" t="s">
        <v>81</v>
      </c>
      <c r="I2210" t="s">
        <v>9</v>
      </c>
      <c r="L2210" t="s">
        <v>161</v>
      </c>
      <c r="M2210">
        <v>1084288</v>
      </c>
    </row>
    <row r="2211" spans="1:13" x14ac:dyDescent="0.3">
      <c r="A2211" s="23">
        <v>45607</v>
      </c>
      <c r="B2211" t="s">
        <v>12</v>
      </c>
      <c r="C2211" t="s">
        <v>132</v>
      </c>
      <c r="D2211" t="s">
        <v>16</v>
      </c>
      <c r="E2211" t="s">
        <v>180</v>
      </c>
      <c r="F2211">
        <v>6435608</v>
      </c>
      <c r="G2211" t="s">
        <v>181</v>
      </c>
      <c r="H2211" t="s">
        <v>81</v>
      </c>
      <c r="I2211" t="s">
        <v>9</v>
      </c>
      <c r="L2211" t="s">
        <v>161</v>
      </c>
      <c r="M2211">
        <v>6435608</v>
      </c>
    </row>
    <row r="2212" spans="1:13" x14ac:dyDescent="0.3">
      <c r="A2212" s="23">
        <v>45583</v>
      </c>
      <c r="B2212" t="s">
        <v>12</v>
      </c>
      <c r="C2212" t="s">
        <v>132</v>
      </c>
      <c r="D2212" t="s">
        <v>17</v>
      </c>
      <c r="E2212" t="s">
        <v>180</v>
      </c>
      <c r="F2212">
        <v>76768850.730000004</v>
      </c>
      <c r="G2212" t="s">
        <v>181</v>
      </c>
      <c r="H2212" t="s">
        <v>81</v>
      </c>
      <c r="I2212" t="s">
        <v>9</v>
      </c>
      <c r="L2212" t="s">
        <v>161</v>
      </c>
      <c r="M2212">
        <v>-76768850.730000004</v>
      </c>
    </row>
    <row r="2213" spans="1:13" x14ac:dyDescent="0.3">
      <c r="A2213" s="23">
        <v>45583</v>
      </c>
      <c r="B2213" t="s">
        <v>12</v>
      </c>
      <c r="C2213" t="s">
        <v>132</v>
      </c>
      <c r="D2213" t="s">
        <v>17</v>
      </c>
      <c r="E2213" t="s">
        <v>180</v>
      </c>
      <c r="F2213">
        <v>161204912.5</v>
      </c>
      <c r="G2213" t="s">
        <v>181</v>
      </c>
      <c r="H2213" t="s">
        <v>81</v>
      </c>
      <c r="I2213" t="s">
        <v>9</v>
      </c>
      <c r="L2213" t="s">
        <v>161</v>
      </c>
      <c r="M2213">
        <v>-161204912.5</v>
      </c>
    </row>
    <row r="2214" spans="1:13" x14ac:dyDescent="0.3">
      <c r="A2214" s="23">
        <v>45568</v>
      </c>
      <c r="B2214" t="s">
        <v>12</v>
      </c>
      <c r="C2214" t="s">
        <v>132</v>
      </c>
      <c r="D2214" t="s">
        <v>17</v>
      </c>
      <c r="E2214" t="s">
        <v>180</v>
      </c>
      <c r="F2214">
        <v>54898297.82</v>
      </c>
      <c r="G2214" t="s">
        <v>181</v>
      </c>
      <c r="H2214" t="s">
        <v>81</v>
      </c>
      <c r="I2214" t="s">
        <v>9</v>
      </c>
      <c r="L2214" t="s">
        <v>161</v>
      </c>
      <c r="M2214">
        <v>-54898297.82</v>
      </c>
    </row>
    <row r="2215" spans="1:13" x14ac:dyDescent="0.3">
      <c r="A2215" s="23">
        <v>45567</v>
      </c>
      <c r="B2215" t="s">
        <v>12</v>
      </c>
      <c r="C2215" t="s">
        <v>132</v>
      </c>
      <c r="D2215" t="s">
        <v>16</v>
      </c>
      <c r="E2215" t="s">
        <v>180</v>
      </c>
      <c r="F2215">
        <v>300000000</v>
      </c>
      <c r="G2215" t="s">
        <v>181</v>
      </c>
      <c r="H2215" t="s">
        <v>81</v>
      </c>
      <c r="I2215" t="s">
        <v>9</v>
      </c>
      <c r="L2215" t="s">
        <v>161</v>
      </c>
      <c r="M2215">
        <v>300000000</v>
      </c>
    </row>
    <row r="2216" spans="1:13" x14ac:dyDescent="0.3">
      <c r="A2216" s="23">
        <v>45565</v>
      </c>
      <c r="B2216" t="s">
        <v>12</v>
      </c>
      <c r="C2216" t="s">
        <v>132</v>
      </c>
      <c r="D2216" t="s">
        <v>16</v>
      </c>
      <c r="E2216" t="s">
        <v>180</v>
      </c>
      <c r="F2216">
        <v>900000</v>
      </c>
      <c r="G2216" t="s">
        <v>181</v>
      </c>
      <c r="H2216" t="s">
        <v>81</v>
      </c>
      <c r="I2216" t="s">
        <v>9</v>
      </c>
      <c r="L2216" t="s">
        <v>161</v>
      </c>
      <c r="M2216">
        <v>900000</v>
      </c>
    </row>
    <row r="2217" spans="1:13" x14ac:dyDescent="0.3">
      <c r="A2217" s="23">
        <v>45561</v>
      </c>
      <c r="B2217" t="s">
        <v>12</v>
      </c>
      <c r="C2217" t="s">
        <v>132</v>
      </c>
      <c r="D2217" t="s">
        <v>17</v>
      </c>
      <c r="E2217" t="s">
        <v>180</v>
      </c>
      <c r="F2217">
        <v>164317464</v>
      </c>
      <c r="G2217" t="s">
        <v>181</v>
      </c>
      <c r="H2217" t="s">
        <v>81</v>
      </c>
      <c r="I2217" t="s">
        <v>9</v>
      </c>
      <c r="L2217" t="s">
        <v>161</v>
      </c>
      <c r="M2217">
        <v>-164317464</v>
      </c>
    </row>
    <row r="2218" spans="1:13" x14ac:dyDescent="0.3">
      <c r="A2218" s="23">
        <v>45561</v>
      </c>
      <c r="B2218" t="s">
        <v>12</v>
      </c>
      <c r="C2218" t="s">
        <v>132</v>
      </c>
      <c r="D2218" t="s">
        <v>17</v>
      </c>
      <c r="E2218" t="s">
        <v>180</v>
      </c>
      <c r="F2218">
        <v>100000000</v>
      </c>
      <c r="G2218" t="s">
        <v>181</v>
      </c>
      <c r="H2218" t="s">
        <v>81</v>
      </c>
      <c r="I2218" t="s">
        <v>9</v>
      </c>
      <c r="L2218" t="s">
        <v>161</v>
      </c>
      <c r="M2218">
        <v>-100000000</v>
      </c>
    </row>
    <row r="2219" spans="1:13" x14ac:dyDescent="0.3">
      <c r="A2219" s="23">
        <v>45560</v>
      </c>
      <c r="B2219" t="s">
        <v>12</v>
      </c>
      <c r="C2219" t="s">
        <v>132</v>
      </c>
      <c r="D2219" t="s">
        <v>16</v>
      </c>
      <c r="E2219" t="s">
        <v>180</v>
      </c>
      <c r="F2219">
        <v>300000000</v>
      </c>
      <c r="G2219" t="s">
        <v>181</v>
      </c>
      <c r="H2219" t="s">
        <v>81</v>
      </c>
      <c r="I2219" t="s">
        <v>9</v>
      </c>
      <c r="L2219" t="s">
        <v>161</v>
      </c>
      <c r="M2219">
        <v>300000000</v>
      </c>
    </row>
    <row r="2220" spans="1:13" x14ac:dyDescent="0.3">
      <c r="A2220" s="23">
        <v>45544</v>
      </c>
      <c r="B2220" t="s">
        <v>12</v>
      </c>
      <c r="C2220" t="s">
        <v>132</v>
      </c>
      <c r="D2220" t="s">
        <v>17</v>
      </c>
      <c r="E2220" t="s">
        <v>180</v>
      </c>
      <c r="F2220">
        <v>93861964.099999994</v>
      </c>
      <c r="G2220" t="s">
        <v>181</v>
      </c>
      <c r="H2220" t="s">
        <v>81</v>
      </c>
      <c r="I2220" t="s">
        <v>9</v>
      </c>
      <c r="L2220" t="s">
        <v>161</v>
      </c>
      <c r="M2220">
        <v>-93861964.099999994</v>
      </c>
    </row>
    <row r="2221" spans="1:13" x14ac:dyDescent="0.3">
      <c r="A2221" s="23">
        <v>45538</v>
      </c>
      <c r="B2221" t="s">
        <v>12</v>
      </c>
      <c r="C2221" t="s">
        <v>132</v>
      </c>
      <c r="D2221" t="s">
        <v>16</v>
      </c>
      <c r="E2221" t="s">
        <v>180</v>
      </c>
      <c r="F2221">
        <v>5470000</v>
      </c>
      <c r="G2221" t="s">
        <v>181</v>
      </c>
      <c r="H2221" t="s">
        <v>81</v>
      </c>
      <c r="I2221" t="s">
        <v>9</v>
      </c>
      <c r="L2221" t="s">
        <v>161</v>
      </c>
      <c r="M2221">
        <v>5470000</v>
      </c>
    </row>
    <row r="2222" spans="1:13" x14ac:dyDescent="0.3">
      <c r="A2222" s="23">
        <v>45537</v>
      </c>
      <c r="B2222" t="s">
        <v>12</v>
      </c>
      <c r="C2222" t="s">
        <v>132</v>
      </c>
      <c r="D2222" t="s">
        <v>17</v>
      </c>
      <c r="E2222" t="s">
        <v>180</v>
      </c>
      <c r="F2222">
        <v>412000000</v>
      </c>
      <c r="G2222" t="s">
        <v>181</v>
      </c>
      <c r="H2222" t="s">
        <v>81</v>
      </c>
      <c r="I2222" t="s">
        <v>9</v>
      </c>
      <c r="L2222" t="s">
        <v>161</v>
      </c>
      <c r="M2222">
        <v>-412000000</v>
      </c>
    </row>
    <row r="2223" spans="1:13" x14ac:dyDescent="0.3">
      <c r="A2223" s="23">
        <v>45532</v>
      </c>
      <c r="B2223" t="s">
        <v>12</v>
      </c>
      <c r="C2223" t="s">
        <v>132</v>
      </c>
      <c r="D2223" t="s">
        <v>16</v>
      </c>
      <c r="E2223" t="s">
        <v>180</v>
      </c>
      <c r="F2223">
        <v>400000000</v>
      </c>
      <c r="G2223" t="s">
        <v>181</v>
      </c>
      <c r="H2223" t="s">
        <v>81</v>
      </c>
      <c r="I2223" t="s">
        <v>9</v>
      </c>
      <c r="L2223" t="s">
        <v>161</v>
      </c>
      <c r="M2223">
        <v>400000000</v>
      </c>
    </row>
    <row r="2224" spans="1:13" x14ac:dyDescent="0.3">
      <c r="A2224" s="23">
        <v>45504</v>
      </c>
      <c r="B2224" t="s">
        <v>12</v>
      </c>
      <c r="C2224" t="s">
        <v>132</v>
      </c>
      <c r="D2224" t="s">
        <v>16</v>
      </c>
      <c r="E2224" t="s">
        <v>180</v>
      </c>
      <c r="F2224">
        <v>16149000</v>
      </c>
      <c r="G2224" t="s">
        <v>181</v>
      </c>
      <c r="H2224" t="s">
        <v>81</v>
      </c>
      <c r="I2224" t="s">
        <v>9</v>
      </c>
      <c r="L2224" t="s">
        <v>161</v>
      </c>
      <c r="M2224">
        <v>16149000</v>
      </c>
    </row>
    <row r="2225" spans="1:13" x14ac:dyDescent="0.3">
      <c r="A2225" s="23">
        <v>45498</v>
      </c>
      <c r="B2225" t="s">
        <v>12</v>
      </c>
      <c r="C2225" t="s">
        <v>132</v>
      </c>
      <c r="D2225" t="s">
        <v>17</v>
      </c>
      <c r="E2225" t="s">
        <v>180</v>
      </c>
      <c r="F2225">
        <v>45636986</v>
      </c>
      <c r="G2225" t="s">
        <v>181</v>
      </c>
      <c r="H2225" t="s">
        <v>81</v>
      </c>
      <c r="I2225" t="s">
        <v>9</v>
      </c>
      <c r="L2225" t="s">
        <v>161</v>
      </c>
      <c r="M2225">
        <v>-45636986</v>
      </c>
    </row>
    <row r="2226" spans="1:13" x14ac:dyDescent="0.3">
      <c r="A2226" s="23">
        <v>45495</v>
      </c>
      <c r="B2226" t="s">
        <v>12</v>
      </c>
      <c r="C2226" t="s">
        <v>132</v>
      </c>
      <c r="D2226" t="s">
        <v>17</v>
      </c>
      <c r="E2226" t="s">
        <v>180</v>
      </c>
      <c r="F2226">
        <v>86325393</v>
      </c>
      <c r="G2226" t="s">
        <v>181</v>
      </c>
      <c r="H2226" t="s">
        <v>81</v>
      </c>
      <c r="I2226" t="s">
        <v>9</v>
      </c>
      <c r="L2226" t="s">
        <v>161</v>
      </c>
      <c r="M2226">
        <v>-86325393</v>
      </c>
    </row>
    <row r="2227" spans="1:13" x14ac:dyDescent="0.3">
      <c r="A2227" s="23">
        <v>45488</v>
      </c>
      <c r="B2227" t="s">
        <v>12</v>
      </c>
      <c r="C2227" t="s">
        <v>132</v>
      </c>
      <c r="D2227" t="s">
        <v>17</v>
      </c>
      <c r="E2227" t="s">
        <v>180</v>
      </c>
      <c r="F2227">
        <v>205780460</v>
      </c>
      <c r="G2227" t="s">
        <v>181</v>
      </c>
      <c r="H2227" t="s">
        <v>81</v>
      </c>
      <c r="I2227" t="s">
        <v>9</v>
      </c>
      <c r="L2227" t="s">
        <v>161</v>
      </c>
      <c r="M2227">
        <v>-205780460</v>
      </c>
    </row>
    <row r="2228" spans="1:13" x14ac:dyDescent="0.3">
      <c r="A2228" s="23">
        <v>45484</v>
      </c>
      <c r="B2228" t="s">
        <v>12</v>
      </c>
      <c r="C2228" t="s">
        <v>132</v>
      </c>
      <c r="D2228" t="s">
        <v>17</v>
      </c>
      <c r="E2228" t="s">
        <v>180</v>
      </c>
      <c r="F2228">
        <v>2700917840</v>
      </c>
      <c r="G2228" t="s">
        <v>181</v>
      </c>
      <c r="H2228" t="s">
        <v>81</v>
      </c>
      <c r="I2228" t="s">
        <v>9</v>
      </c>
      <c r="L2228" t="s">
        <v>161</v>
      </c>
      <c r="M2228">
        <v>-2700917840</v>
      </c>
    </row>
    <row r="2229" spans="1:13" x14ac:dyDescent="0.3">
      <c r="A2229" s="23">
        <v>45484</v>
      </c>
      <c r="B2229" t="s">
        <v>12</v>
      </c>
      <c r="C2229" t="s">
        <v>132</v>
      </c>
      <c r="D2229" t="s">
        <v>17</v>
      </c>
      <c r="E2229" t="s">
        <v>180</v>
      </c>
      <c r="F2229">
        <v>280899312</v>
      </c>
      <c r="G2229" t="s">
        <v>181</v>
      </c>
      <c r="H2229" t="s">
        <v>81</v>
      </c>
      <c r="I2229" t="s">
        <v>9</v>
      </c>
      <c r="L2229" t="s">
        <v>161</v>
      </c>
      <c r="M2229">
        <v>-280899312</v>
      </c>
    </row>
    <row r="2230" spans="1:13" x14ac:dyDescent="0.3">
      <c r="A2230" s="23">
        <v>45483</v>
      </c>
      <c r="B2230" t="s">
        <v>12</v>
      </c>
      <c r="C2230" t="s">
        <v>132</v>
      </c>
      <c r="D2230" t="s">
        <v>16</v>
      </c>
      <c r="E2230" t="s">
        <v>180</v>
      </c>
      <c r="F2230">
        <v>400000000</v>
      </c>
      <c r="G2230" t="s">
        <v>181</v>
      </c>
      <c r="H2230" t="s">
        <v>81</v>
      </c>
      <c r="I2230" t="s">
        <v>9</v>
      </c>
      <c r="L2230" t="s">
        <v>161</v>
      </c>
      <c r="M2230">
        <v>400000000</v>
      </c>
    </row>
    <row r="2231" spans="1:13" x14ac:dyDescent="0.3">
      <c r="A2231" s="23">
        <v>45481</v>
      </c>
      <c r="B2231" t="s">
        <v>12</v>
      </c>
      <c r="C2231" t="s">
        <v>132</v>
      </c>
      <c r="D2231" t="s">
        <v>16</v>
      </c>
      <c r="E2231" t="s">
        <v>180</v>
      </c>
      <c r="F2231">
        <v>3000000000</v>
      </c>
      <c r="G2231" t="s">
        <v>181</v>
      </c>
      <c r="H2231" t="s">
        <v>81</v>
      </c>
      <c r="I2231" t="s">
        <v>9</v>
      </c>
      <c r="L2231" t="s">
        <v>161</v>
      </c>
      <c r="M2231">
        <v>3000000000</v>
      </c>
    </row>
    <row r="2232" spans="1:13" x14ac:dyDescent="0.3">
      <c r="A2232" s="23">
        <v>45461</v>
      </c>
      <c r="B2232" t="s">
        <v>12</v>
      </c>
      <c r="C2232" t="s">
        <v>132</v>
      </c>
      <c r="D2232" t="s">
        <v>17</v>
      </c>
      <c r="E2232" t="s">
        <v>180</v>
      </c>
      <c r="F2232">
        <v>225191890</v>
      </c>
      <c r="G2232" t="s">
        <v>181</v>
      </c>
      <c r="H2232" t="s">
        <v>81</v>
      </c>
      <c r="I2232" t="s">
        <v>9</v>
      </c>
      <c r="L2232" t="s">
        <v>161</v>
      </c>
      <c r="M2232">
        <v>-225191890</v>
      </c>
    </row>
    <row r="2233" spans="1:13" x14ac:dyDescent="0.3">
      <c r="A2233" s="23">
        <v>45460</v>
      </c>
      <c r="B2233" t="s">
        <v>12</v>
      </c>
      <c r="C2233" t="s">
        <v>132</v>
      </c>
      <c r="D2233" t="s">
        <v>16</v>
      </c>
      <c r="E2233" t="s">
        <v>180</v>
      </c>
      <c r="F2233">
        <v>10220000</v>
      </c>
      <c r="G2233" t="s">
        <v>181</v>
      </c>
      <c r="H2233" t="s">
        <v>81</v>
      </c>
      <c r="I2233" t="s">
        <v>9</v>
      </c>
      <c r="L2233" t="s">
        <v>161</v>
      </c>
      <c r="M2233">
        <v>10220000</v>
      </c>
    </row>
    <row r="2234" spans="1:13" x14ac:dyDescent="0.3">
      <c r="A2234" s="23">
        <v>45457</v>
      </c>
      <c r="B2234" t="s">
        <v>12</v>
      </c>
      <c r="C2234" t="s">
        <v>132</v>
      </c>
      <c r="D2234" t="s">
        <v>17</v>
      </c>
      <c r="E2234" t="s">
        <v>180</v>
      </c>
      <c r="F2234">
        <v>560000000</v>
      </c>
      <c r="G2234" t="s">
        <v>181</v>
      </c>
      <c r="H2234" t="s">
        <v>81</v>
      </c>
      <c r="I2234" t="s">
        <v>9</v>
      </c>
      <c r="L2234" t="s">
        <v>161</v>
      </c>
      <c r="M2234">
        <v>-560000000</v>
      </c>
    </row>
    <row r="2235" spans="1:13" x14ac:dyDescent="0.3">
      <c r="A2235" s="23">
        <v>45456</v>
      </c>
      <c r="B2235" t="s">
        <v>12</v>
      </c>
      <c r="C2235" t="s">
        <v>132</v>
      </c>
      <c r="D2235" t="s">
        <v>16</v>
      </c>
      <c r="E2235" t="s">
        <v>180</v>
      </c>
      <c r="F2235">
        <v>500000000</v>
      </c>
      <c r="G2235" t="s">
        <v>181</v>
      </c>
      <c r="H2235" t="s">
        <v>81</v>
      </c>
      <c r="I2235" t="s">
        <v>9</v>
      </c>
      <c r="L2235" t="s">
        <v>161</v>
      </c>
      <c r="M2235">
        <v>500000000</v>
      </c>
    </row>
    <row r="2236" spans="1:13" x14ac:dyDescent="0.3">
      <c r="A2236" s="23">
        <v>45442</v>
      </c>
      <c r="B2236" t="s">
        <v>12</v>
      </c>
      <c r="C2236" t="s">
        <v>132</v>
      </c>
      <c r="D2236" t="s">
        <v>16</v>
      </c>
      <c r="E2236" t="s">
        <v>180</v>
      </c>
      <c r="F2236">
        <v>70444400</v>
      </c>
      <c r="G2236" t="s">
        <v>181</v>
      </c>
      <c r="H2236" t="s">
        <v>81</v>
      </c>
      <c r="I2236" t="s">
        <v>9</v>
      </c>
      <c r="L2236" t="s">
        <v>161</v>
      </c>
      <c r="M2236">
        <v>70444400</v>
      </c>
    </row>
    <row r="2237" spans="1:13" x14ac:dyDescent="0.3">
      <c r="A2237" s="23">
        <v>45426</v>
      </c>
      <c r="B2237" t="s">
        <v>12</v>
      </c>
      <c r="C2237" t="s">
        <v>132</v>
      </c>
      <c r="D2237" t="s">
        <v>17</v>
      </c>
      <c r="E2237" t="s">
        <v>180</v>
      </c>
      <c r="F2237">
        <v>103603698</v>
      </c>
      <c r="G2237" t="s">
        <v>181</v>
      </c>
      <c r="H2237" t="s">
        <v>81</v>
      </c>
      <c r="I2237" t="s">
        <v>9</v>
      </c>
      <c r="L2237" t="s">
        <v>161</v>
      </c>
      <c r="M2237">
        <v>-103603698</v>
      </c>
    </row>
    <row r="2238" spans="1:13" x14ac:dyDescent="0.3">
      <c r="A2238" s="23">
        <v>45426</v>
      </c>
      <c r="B2238" t="s">
        <v>12</v>
      </c>
      <c r="C2238" t="s">
        <v>132</v>
      </c>
      <c r="D2238" t="s">
        <v>17</v>
      </c>
      <c r="E2238" t="s">
        <v>180</v>
      </c>
      <c r="F2238">
        <v>107716739</v>
      </c>
      <c r="G2238" t="s">
        <v>181</v>
      </c>
      <c r="H2238" t="s">
        <v>81</v>
      </c>
      <c r="I2238" t="s">
        <v>9</v>
      </c>
      <c r="L2238" t="s">
        <v>161</v>
      </c>
      <c r="M2238">
        <v>-107716739</v>
      </c>
    </row>
    <row r="2239" spans="1:13" x14ac:dyDescent="0.3">
      <c r="A2239" s="23">
        <v>45425</v>
      </c>
      <c r="B2239" t="s">
        <v>12</v>
      </c>
      <c r="C2239" t="s">
        <v>132</v>
      </c>
      <c r="D2239" t="s">
        <v>16</v>
      </c>
      <c r="E2239" t="s">
        <v>180</v>
      </c>
      <c r="F2239">
        <v>18173000</v>
      </c>
      <c r="G2239" t="s">
        <v>181</v>
      </c>
      <c r="H2239" t="s">
        <v>81</v>
      </c>
      <c r="I2239" t="s">
        <v>9</v>
      </c>
      <c r="L2239" t="s">
        <v>161</v>
      </c>
      <c r="M2239">
        <v>18173000</v>
      </c>
    </row>
    <row r="2240" spans="1:13" x14ac:dyDescent="0.3">
      <c r="A2240" s="23">
        <v>45422</v>
      </c>
      <c r="B2240" t="s">
        <v>12</v>
      </c>
      <c r="C2240" t="s">
        <v>132</v>
      </c>
      <c r="D2240" t="s">
        <v>17</v>
      </c>
      <c r="E2240" t="s">
        <v>180</v>
      </c>
      <c r="F2240">
        <v>227239060</v>
      </c>
      <c r="G2240" t="s">
        <v>181</v>
      </c>
      <c r="H2240" t="s">
        <v>81</v>
      </c>
      <c r="I2240" t="s">
        <v>9</v>
      </c>
      <c r="L2240" t="s">
        <v>161</v>
      </c>
      <c r="M2240">
        <v>-227239060</v>
      </c>
    </row>
    <row r="2241" spans="1:13" x14ac:dyDescent="0.3">
      <c r="A2241" s="23">
        <v>45421</v>
      </c>
      <c r="B2241" t="s">
        <v>12</v>
      </c>
      <c r="C2241" t="s">
        <v>132</v>
      </c>
      <c r="D2241" t="s">
        <v>17</v>
      </c>
      <c r="E2241" t="s">
        <v>180</v>
      </c>
      <c r="F2241">
        <v>58572750</v>
      </c>
      <c r="G2241" t="s">
        <v>181</v>
      </c>
      <c r="H2241" t="s">
        <v>81</v>
      </c>
      <c r="I2241" t="s">
        <v>9</v>
      </c>
      <c r="L2241" t="s">
        <v>161</v>
      </c>
      <c r="M2241">
        <v>-58572750</v>
      </c>
    </row>
    <row r="2242" spans="1:13" x14ac:dyDescent="0.3">
      <c r="A2242" s="23">
        <v>45421</v>
      </c>
      <c r="B2242" t="s">
        <v>12</v>
      </c>
      <c r="C2242" t="s">
        <v>132</v>
      </c>
      <c r="D2242" t="s">
        <v>17</v>
      </c>
      <c r="E2242" t="s">
        <v>180</v>
      </c>
      <c r="F2242">
        <v>55428305</v>
      </c>
      <c r="G2242" t="s">
        <v>181</v>
      </c>
      <c r="H2242" t="s">
        <v>81</v>
      </c>
      <c r="I2242" t="s">
        <v>9</v>
      </c>
      <c r="L2242" t="s">
        <v>161</v>
      </c>
      <c r="M2242">
        <v>-55428305</v>
      </c>
    </row>
    <row r="2243" spans="1:13" x14ac:dyDescent="0.3">
      <c r="A2243" s="23">
        <v>45414</v>
      </c>
      <c r="B2243" t="s">
        <v>12</v>
      </c>
      <c r="C2243" t="s">
        <v>132</v>
      </c>
      <c r="D2243" t="s">
        <v>17</v>
      </c>
      <c r="E2243" t="s">
        <v>180</v>
      </c>
      <c r="F2243">
        <v>51102142</v>
      </c>
      <c r="G2243" t="s">
        <v>181</v>
      </c>
      <c r="H2243" t="s">
        <v>81</v>
      </c>
      <c r="I2243" t="s">
        <v>9</v>
      </c>
      <c r="L2243" t="s">
        <v>161</v>
      </c>
      <c r="M2243">
        <v>-51102142</v>
      </c>
    </row>
    <row r="2244" spans="1:13" x14ac:dyDescent="0.3">
      <c r="A2244" s="23">
        <v>45411</v>
      </c>
      <c r="B2244" t="s">
        <v>12</v>
      </c>
      <c r="C2244" t="s">
        <v>132</v>
      </c>
      <c r="D2244" t="s">
        <v>17</v>
      </c>
      <c r="E2244" t="s">
        <v>180</v>
      </c>
      <c r="F2244">
        <v>170463230</v>
      </c>
      <c r="G2244" t="s">
        <v>181</v>
      </c>
      <c r="H2244" t="s">
        <v>81</v>
      </c>
      <c r="I2244" t="s">
        <v>9</v>
      </c>
      <c r="L2244" t="s">
        <v>161</v>
      </c>
      <c r="M2244">
        <v>-170463230</v>
      </c>
    </row>
    <row r="2245" spans="1:13" x14ac:dyDescent="0.3">
      <c r="A2245" s="23">
        <v>45407</v>
      </c>
      <c r="B2245" t="s">
        <v>12</v>
      </c>
      <c r="C2245" t="s">
        <v>132</v>
      </c>
      <c r="D2245" t="s">
        <v>16</v>
      </c>
      <c r="E2245" t="s">
        <v>180</v>
      </c>
      <c r="F2245">
        <v>46850000</v>
      </c>
      <c r="G2245" t="s">
        <v>181</v>
      </c>
      <c r="H2245" t="s">
        <v>81</v>
      </c>
      <c r="I2245" t="s">
        <v>9</v>
      </c>
      <c r="L2245" t="s">
        <v>161</v>
      </c>
      <c r="M2245">
        <v>46850000</v>
      </c>
    </row>
    <row r="2246" spans="1:13" x14ac:dyDescent="0.3">
      <c r="A2246" s="23">
        <v>45406</v>
      </c>
      <c r="B2246" t="s">
        <v>12</v>
      </c>
      <c r="C2246" t="s">
        <v>132</v>
      </c>
      <c r="D2246" t="s">
        <v>17</v>
      </c>
      <c r="E2246" t="s">
        <v>180</v>
      </c>
      <c r="F2246">
        <v>76726596</v>
      </c>
      <c r="G2246" t="s">
        <v>181</v>
      </c>
      <c r="H2246" t="s">
        <v>81</v>
      </c>
      <c r="I2246" t="s">
        <v>9</v>
      </c>
      <c r="L2246" t="s">
        <v>161</v>
      </c>
      <c r="M2246">
        <v>-76726596</v>
      </c>
    </row>
    <row r="2247" spans="1:13" x14ac:dyDescent="0.3">
      <c r="A2247" s="23">
        <v>45400</v>
      </c>
      <c r="B2247" t="s">
        <v>12</v>
      </c>
      <c r="C2247" t="s">
        <v>132</v>
      </c>
      <c r="D2247" t="s">
        <v>17</v>
      </c>
      <c r="E2247" t="s">
        <v>180</v>
      </c>
      <c r="F2247">
        <v>488434690</v>
      </c>
      <c r="G2247" t="s">
        <v>181</v>
      </c>
      <c r="H2247" t="s">
        <v>81</v>
      </c>
      <c r="I2247" t="s">
        <v>9</v>
      </c>
      <c r="L2247" t="s">
        <v>161</v>
      </c>
      <c r="M2247">
        <v>-488434690</v>
      </c>
    </row>
    <row r="2248" spans="1:13" x14ac:dyDescent="0.3">
      <c r="A2248" s="23">
        <v>45390</v>
      </c>
      <c r="B2248" t="s">
        <v>12</v>
      </c>
      <c r="C2248" t="s">
        <v>132</v>
      </c>
      <c r="D2248" t="s">
        <v>16</v>
      </c>
      <c r="E2248" t="s">
        <v>180</v>
      </c>
      <c r="F2248">
        <v>600000000</v>
      </c>
      <c r="G2248" t="s">
        <v>181</v>
      </c>
      <c r="H2248" t="s">
        <v>81</v>
      </c>
      <c r="I2248" t="s">
        <v>9</v>
      </c>
      <c r="L2248" t="s">
        <v>161</v>
      </c>
      <c r="M2248">
        <v>600000000</v>
      </c>
    </row>
    <row r="2249" spans="1:13" x14ac:dyDescent="0.3">
      <c r="A2249" s="23">
        <v>45387</v>
      </c>
      <c r="B2249" t="s">
        <v>12</v>
      </c>
      <c r="C2249" t="s">
        <v>132</v>
      </c>
      <c r="D2249" t="s">
        <v>16</v>
      </c>
      <c r="E2249" t="s">
        <v>180</v>
      </c>
      <c r="F2249">
        <v>800000000</v>
      </c>
      <c r="G2249" t="s">
        <v>181</v>
      </c>
      <c r="H2249" t="s">
        <v>81</v>
      </c>
      <c r="I2249" t="s">
        <v>9</v>
      </c>
      <c r="L2249" t="s">
        <v>161</v>
      </c>
      <c r="M2249">
        <v>800000000</v>
      </c>
    </row>
    <row r="2250" spans="1:13" x14ac:dyDescent="0.3">
      <c r="A2250" s="23">
        <v>45387</v>
      </c>
      <c r="B2250" t="s">
        <v>12</v>
      </c>
      <c r="C2250" t="s">
        <v>132</v>
      </c>
      <c r="D2250" t="s">
        <v>17</v>
      </c>
      <c r="E2250" t="s">
        <v>180</v>
      </c>
      <c r="F2250">
        <v>40683170</v>
      </c>
      <c r="G2250" t="s">
        <v>181</v>
      </c>
      <c r="H2250" t="s">
        <v>81</v>
      </c>
      <c r="I2250" t="s">
        <v>9</v>
      </c>
      <c r="L2250" t="s">
        <v>161</v>
      </c>
      <c r="M2250">
        <v>-40683170</v>
      </c>
    </row>
    <row r="2251" spans="1:13" x14ac:dyDescent="0.3">
      <c r="A2251" s="23">
        <v>45386</v>
      </c>
      <c r="B2251" t="s">
        <v>12</v>
      </c>
      <c r="C2251" t="s">
        <v>132</v>
      </c>
      <c r="D2251" t="s">
        <v>17</v>
      </c>
      <c r="E2251" t="s">
        <v>180</v>
      </c>
      <c r="F2251">
        <v>37636723</v>
      </c>
      <c r="G2251" t="s">
        <v>181</v>
      </c>
      <c r="H2251" t="s">
        <v>81</v>
      </c>
      <c r="I2251" t="s">
        <v>9</v>
      </c>
      <c r="L2251" t="s">
        <v>161</v>
      </c>
      <c r="M2251">
        <v>-37636723</v>
      </c>
    </row>
    <row r="2252" spans="1:13" x14ac:dyDescent="0.3">
      <c r="A2252" s="23">
        <v>45386</v>
      </c>
      <c r="B2252" t="s">
        <v>12</v>
      </c>
      <c r="C2252" t="s">
        <v>132</v>
      </c>
      <c r="D2252" t="s">
        <v>17</v>
      </c>
      <c r="E2252" t="s">
        <v>180</v>
      </c>
      <c r="F2252">
        <v>53872315</v>
      </c>
      <c r="G2252" t="s">
        <v>181</v>
      </c>
      <c r="H2252" t="s">
        <v>81</v>
      </c>
      <c r="I2252" t="s">
        <v>9</v>
      </c>
      <c r="L2252" t="s">
        <v>161</v>
      </c>
      <c r="M2252">
        <v>-53872315</v>
      </c>
    </row>
    <row r="2253" spans="1:13" x14ac:dyDescent="0.3">
      <c r="A2253" s="23">
        <v>45383</v>
      </c>
      <c r="B2253" t="s">
        <v>12</v>
      </c>
      <c r="C2253" t="s">
        <v>132</v>
      </c>
      <c r="D2253" t="s">
        <v>16</v>
      </c>
      <c r="E2253" t="s">
        <v>180</v>
      </c>
      <c r="F2253">
        <v>14800000</v>
      </c>
      <c r="G2253" t="s">
        <v>181</v>
      </c>
      <c r="H2253" t="s">
        <v>81</v>
      </c>
      <c r="I2253" t="s">
        <v>9</v>
      </c>
      <c r="L2253" t="s">
        <v>161</v>
      </c>
      <c r="M2253">
        <v>14800000</v>
      </c>
    </row>
    <row r="2254" spans="1:13" x14ac:dyDescent="0.3">
      <c r="A2254" s="23">
        <v>45378</v>
      </c>
      <c r="B2254" t="s">
        <v>12</v>
      </c>
      <c r="C2254" t="s">
        <v>132</v>
      </c>
      <c r="D2254" t="s">
        <v>17</v>
      </c>
      <c r="E2254" t="s">
        <v>180</v>
      </c>
      <c r="F2254">
        <v>34530649</v>
      </c>
      <c r="G2254" t="s">
        <v>181</v>
      </c>
      <c r="H2254" t="s">
        <v>81</v>
      </c>
      <c r="I2254" t="s">
        <v>9</v>
      </c>
      <c r="L2254" t="s">
        <v>161</v>
      </c>
      <c r="M2254">
        <v>-34530649</v>
      </c>
    </row>
    <row r="2255" spans="1:13" x14ac:dyDescent="0.3">
      <c r="A2255" s="23">
        <v>45378</v>
      </c>
      <c r="B2255" t="s">
        <v>12</v>
      </c>
      <c r="C2255" t="s">
        <v>132</v>
      </c>
      <c r="D2255" t="s">
        <v>17</v>
      </c>
      <c r="E2255" t="s">
        <v>180</v>
      </c>
      <c r="F2255">
        <v>49116904</v>
      </c>
      <c r="G2255" t="s">
        <v>181</v>
      </c>
      <c r="H2255" t="s">
        <v>81</v>
      </c>
      <c r="I2255" t="s">
        <v>9</v>
      </c>
      <c r="L2255" t="s">
        <v>161</v>
      </c>
      <c r="M2255">
        <v>-49116904</v>
      </c>
    </row>
    <row r="2256" spans="1:13" x14ac:dyDescent="0.3">
      <c r="A2256" s="23">
        <v>45372</v>
      </c>
      <c r="B2256" t="s">
        <v>12</v>
      </c>
      <c r="C2256" t="s">
        <v>132</v>
      </c>
      <c r="D2256" t="s">
        <v>17</v>
      </c>
      <c r="E2256" t="s">
        <v>180</v>
      </c>
      <c r="F2256">
        <v>60499683.619999997</v>
      </c>
      <c r="G2256" t="s">
        <v>181</v>
      </c>
      <c r="H2256" t="s">
        <v>81</v>
      </c>
      <c r="I2256" t="s">
        <v>9</v>
      </c>
      <c r="L2256" t="s">
        <v>161</v>
      </c>
      <c r="M2256">
        <v>-60499683.619999997</v>
      </c>
    </row>
    <row r="2257" spans="1:13" x14ac:dyDescent="0.3">
      <c r="A2257" s="23">
        <v>45363</v>
      </c>
      <c r="B2257" t="s">
        <v>12</v>
      </c>
      <c r="C2257" t="s">
        <v>132</v>
      </c>
      <c r="D2257" t="s">
        <v>17</v>
      </c>
      <c r="E2257" t="s">
        <v>180</v>
      </c>
      <c r="F2257">
        <v>62610428.960000001</v>
      </c>
      <c r="G2257" t="s">
        <v>181</v>
      </c>
      <c r="H2257" t="s">
        <v>81</v>
      </c>
      <c r="I2257" t="s">
        <v>9</v>
      </c>
      <c r="L2257" t="s">
        <v>161</v>
      </c>
      <c r="M2257">
        <v>-62610428.960000001</v>
      </c>
    </row>
    <row r="2258" spans="1:13" x14ac:dyDescent="0.3">
      <c r="A2258" s="23">
        <v>45359</v>
      </c>
      <c r="B2258" t="s">
        <v>12</v>
      </c>
      <c r="C2258" t="s">
        <v>132</v>
      </c>
      <c r="D2258" t="s">
        <v>16</v>
      </c>
      <c r="E2258" t="s">
        <v>180</v>
      </c>
      <c r="F2258">
        <v>1080000</v>
      </c>
      <c r="G2258" t="s">
        <v>181</v>
      </c>
      <c r="H2258" t="s">
        <v>81</v>
      </c>
      <c r="I2258" t="s">
        <v>9</v>
      </c>
      <c r="L2258" t="s">
        <v>161</v>
      </c>
      <c r="M2258">
        <v>1080000</v>
      </c>
    </row>
    <row r="2259" spans="1:13" x14ac:dyDescent="0.3">
      <c r="A2259" s="23">
        <v>45358</v>
      </c>
      <c r="B2259" t="s">
        <v>12</v>
      </c>
      <c r="C2259" t="s">
        <v>132</v>
      </c>
      <c r="D2259" t="s">
        <v>16</v>
      </c>
      <c r="E2259" t="s">
        <v>180</v>
      </c>
      <c r="F2259">
        <v>400000000</v>
      </c>
      <c r="G2259" t="s">
        <v>181</v>
      </c>
      <c r="H2259" t="s">
        <v>81</v>
      </c>
      <c r="I2259" t="s">
        <v>9</v>
      </c>
      <c r="L2259" t="s">
        <v>161</v>
      </c>
      <c r="M2259">
        <v>400000000</v>
      </c>
    </row>
    <row r="2260" spans="1:13" x14ac:dyDescent="0.3">
      <c r="A2260" s="23">
        <v>45352</v>
      </c>
      <c r="B2260" t="s">
        <v>12</v>
      </c>
      <c r="C2260" t="s">
        <v>132</v>
      </c>
      <c r="D2260" t="s">
        <v>17</v>
      </c>
      <c r="E2260" t="s">
        <v>180</v>
      </c>
      <c r="F2260">
        <v>25960615.379999999</v>
      </c>
      <c r="G2260" t="s">
        <v>181</v>
      </c>
      <c r="H2260" t="s">
        <v>81</v>
      </c>
      <c r="I2260" t="s">
        <v>9</v>
      </c>
      <c r="L2260" t="s">
        <v>161</v>
      </c>
      <c r="M2260">
        <v>-25960615.379999999</v>
      </c>
    </row>
    <row r="2261" spans="1:13" x14ac:dyDescent="0.3">
      <c r="A2261" s="23">
        <v>45343</v>
      </c>
      <c r="B2261" t="s">
        <v>12</v>
      </c>
      <c r="C2261" t="s">
        <v>132</v>
      </c>
      <c r="D2261" t="s">
        <v>16</v>
      </c>
      <c r="E2261" t="s">
        <v>180</v>
      </c>
      <c r="F2261">
        <v>2342953.34</v>
      </c>
      <c r="G2261" t="s">
        <v>181</v>
      </c>
      <c r="H2261" t="s">
        <v>81</v>
      </c>
      <c r="I2261" t="s">
        <v>9</v>
      </c>
      <c r="L2261" t="s">
        <v>161</v>
      </c>
      <c r="M2261">
        <v>2342953.34</v>
      </c>
    </row>
    <row r="2262" spans="1:13" x14ac:dyDescent="0.3">
      <c r="A2262" s="23">
        <v>45330</v>
      </c>
      <c r="B2262" t="s">
        <v>12</v>
      </c>
      <c r="C2262" t="s">
        <v>132</v>
      </c>
      <c r="D2262" t="s">
        <v>17</v>
      </c>
      <c r="E2262" t="s">
        <v>180</v>
      </c>
      <c r="F2262">
        <v>266042953.34</v>
      </c>
      <c r="G2262" t="s">
        <v>181</v>
      </c>
      <c r="H2262" t="s">
        <v>81</v>
      </c>
      <c r="I2262" t="s">
        <v>9</v>
      </c>
      <c r="L2262" t="s">
        <v>161</v>
      </c>
      <c r="M2262">
        <v>-266042953.34</v>
      </c>
    </row>
    <row r="2263" spans="1:13" x14ac:dyDescent="0.3">
      <c r="A2263" s="23">
        <v>45328</v>
      </c>
      <c r="B2263" t="s">
        <v>12</v>
      </c>
      <c r="C2263" t="s">
        <v>132</v>
      </c>
      <c r="D2263" t="s">
        <v>16</v>
      </c>
      <c r="E2263" t="s">
        <v>180</v>
      </c>
      <c r="F2263">
        <v>300000000</v>
      </c>
      <c r="G2263" t="s">
        <v>181</v>
      </c>
      <c r="H2263" t="s">
        <v>81</v>
      </c>
      <c r="I2263" t="s">
        <v>9</v>
      </c>
      <c r="L2263" t="s">
        <v>161</v>
      </c>
      <c r="M2263">
        <v>300000000</v>
      </c>
    </row>
    <row r="2264" spans="1:13" x14ac:dyDescent="0.3">
      <c r="A2264" s="23">
        <v>45763</v>
      </c>
      <c r="B2264" t="s">
        <v>12</v>
      </c>
      <c r="C2264" t="s">
        <v>132</v>
      </c>
      <c r="D2264" t="s">
        <v>17</v>
      </c>
      <c r="E2264" t="s">
        <v>193</v>
      </c>
      <c r="F2264">
        <v>507974803.60000002</v>
      </c>
      <c r="G2264" t="s">
        <v>131</v>
      </c>
      <c r="H2264" t="s">
        <v>81</v>
      </c>
      <c r="I2264" t="s">
        <v>9</v>
      </c>
      <c r="L2264" t="s">
        <v>161</v>
      </c>
      <c r="M2264">
        <v>-507974803.60000002</v>
      </c>
    </row>
    <row r="2265" spans="1:13" x14ac:dyDescent="0.3">
      <c r="A2265" s="23">
        <v>45755</v>
      </c>
      <c r="B2265" t="s">
        <v>12</v>
      </c>
      <c r="C2265" t="s">
        <v>132</v>
      </c>
      <c r="D2265" t="s">
        <v>17</v>
      </c>
      <c r="E2265" t="s">
        <v>193</v>
      </c>
      <c r="F2265">
        <v>70077392.280000001</v>
      </c>
      <c r="G2265" t="s">
        <v>131</v>
      </c>
      <c r="H2265" t="s">
        <v>81</v>
      </c>
      <c r="I2265" t="s">
        <v>9</v>
      </c>
      <c r="L2265" t="s">
        <v>161</v>
      </c>
      <c r="M2265">
        <v>-70077392.280000001</v>
      </c>
    </row>
    <row r="2266" spans="1:13" x14ac:dyDescent="0.3">
      <c r="A2266" s="23">
        <v>45755</v>
      </c>
      <c r="B2266" t="s">
        <v>12</v>
      </c>
      <c r="C2266" t="s">
        <v>132</v>
      </c>
      <c r="D2266" t="s">
        <v>17</v>
      </c>
      <c r="E2266" t="s">
        <v>193</v>
      </c>
      <c r="F2266">
        <v>75383427.230000004</v>
      </c>
      <c r="G2266" t="s">
        <v>131</v>
      </c>
      <c r="H2266" t="s">
        <v>81</v>
      </c>
      <c r="I2266" t="s">
        <v>9</v>
      </c>
      <c r="L2266" t="s">
        <v>161</v>
      </c>
      <c r="M2266">
        <v>-75383427.230000004</v>
      </c>
    </row>
    <row r="2267" spans="1:13" x14ac:dyDescent="0.3">
      <c r="A2267" s="23">
        <v>45751</v>
      </c>
      <c r="B2267" t="s">
        <v>12</v>
      </c>
      <c r="C2267" t="s">
        <v>132</v>
      </c>
      <c r="D2267" t="s">
        <v>17</v>
      </c>
      <c r="E2267" t="s">
        <v>193</v>
      </c>
      <c r="F2267">
        <v>1014141695.86</v>
      </c>
      <c r="G2267" t="s">
        <v>131</v>
      </c>
      <c r="H2267" t="s">
        <v>81</v>
      </c>
      <c r="I2267" t="s">
        <v>9</v>
      </c>
      <c r="L2267" t="s">
        <v>161</v>
      </c>
      <c r="M2267">
        <v>-1014141695.86</v>
      </c>
    </row>
    <row r="2268" spans="1:13" x14ac:dyDescent="0.3">
      <c r="A2268" s="23">
        <v>45747</v>
      </c>
      <c r="B2268" t="s">
        <v>12</v>
      </c>
      <c r="C2268" t="s">
        <v>132</v>
      </c>
      <c r="D2268" t="s">
        <v>17</v>
      </c>
      <c r="E2268" t="s">
        <v>193</v>
      </c>
      <c r="F2268">
        <v>130493278.34</v>
      </c>
      <c r="G2268" t="s">
        <v>131</v>
      </c>
      <c r="H2268" t="s">
        <v>81</v>
      </c>
      <c r="I2268" t="s">
        <v>9</v>
      </c>
      <c r="L2268" t="s">
        <v>161</v>
      </c>
      <c r="M2268">
        <v>-130493278.34</v>
      </c>
    </row>
    <row r="2269" spans="1:13" x14ac:dyDescent="0.3">
      <c r="A2269" s="23">
        <v>45747</v>
      </c>
      <c r="B2269" t="s">
        <v>12</v>
      </c>
      <c r="C2269" t="s">
        <v>132</v>
      </c>
      <c r="D2269" t="s">
        <v>17</v>
      </c>
      <c r="E2269" t="s">
        <v>193</v>
      </c>
      <c r="F2269">
        <v>100000000</v>
      </c>
      <c r="G2269" t="s">
        <v>131</v>
      </c>
      <c r="H2269" t="s">
        <v>81</v>
      </c>
      <c r="I2269" t="s">
        <v>9</v>
      </c>
      <c r="L2269" t="s">
        <v>161</v>
      </c>
      <c r="M2269">
        <v>-100000000</v>
      </c>
    </row>
    <row r="2270" spans="1:13" x14ac:dyDescent="0.3">
      <c r="A2270" s="23">
        <v>45747</v>
      </c>
      <c r="B2270" t="s">
        <v>12</v>
      </c>
      <c r="C2270" t="s">
        <v>132</v>
      </c>
      <c r="D2270" t="s">
        <v>16</v>
      </c>
      <c r="E2270" t="s">
        <v>193</v>
      </c>
      <c r="F2270">
        <v>251689639</v>
      </c>
      <c r="G2270" t="s">
        <v>131</v>
      </c>
      <c r="H2270" t="s">
        <v>81</v>
      </c>
      <c r="I2270" t="s">
        <v>9</v>
      </c>
      <c r="L2270" t="s">
        <v>161</v>
      </c>
      <c r="M2270">
        <v>251689639</v>
      </c>
    </row>
    <row r="2271" spans="1:13" x14ac:dyDescent="0.3">
      <c r="A2271" s="23">
        <v>45743</v>
      </c>
      <c r="B2271" t="s">
        <v>12</v>
      </c>
      <c r="C2271" t="s">
        <v>132</v>
      </c>
      <c r="D2271" t="s">
        <v>16</v>
      </c>
      <c r="E2271" t="s">
        <v>193</v>
      </c>
      <c r="F2271">
        <v>35412320</v>
      </c>
      <c r="G2271" t="s">
        <v>131</v>
      </c>
      <c r="H2271" t="s">
        <v>81</v>
      </c>
      <c r="I2271" t="s">
        <v>9</v>
      </c>
      <c r="L2271" t="s">
        <v>161</v>
      </c>
      <c r="M2271">
        <v>35412320</v>
      </c>
    </row>
    <row r="2272" spans="1:13" x14ac:dyDescent="0.3">
      <c r="A2272" s="23">
        <v>45743</v>
      </c>
      <c r="B2272" t="s">
        <v>12</v>
      </c>
      <c r="C2272" t="s">
        <v>132</v>
      </c>
      <c r="D2272" t="s">
        <v>17</v>
      </c>
      <c r="E2272" t="s">
        <v>193</v>
      </c>
      <c r="F2272">
        <v>74355523.390000001</v>
      </c>
      <c r="G2272" t="s">
        <v>131</v>
      </c>
      <c r="H2272" t="s">
        <v>81</v>
      </c>
      <c r="I2272" t="s">
        <v>9</v>
      </c>
      <c r="L2272" t="s">
        <v>161</v>
      </c>
      <c r="M2272">
        <v>-74355523.390000001</v>
      </c>
    </row>
    <row r="2273" spans="1:13" x14ac:dyDescent="0.3">
      <c r="A2273" s="23">
        <v>45743</v>
      </c>
      <c r="B2273" t="s">
        <v>12</v>
      </c>
      <c r="C2273" t="s">
        <v>132</v>
      </c>
      <c r="D2273" t="s">
        <v>17</v>
      </c>
      <c r="E2273" t="s">
        <v>193</v>
      </c>
      <c r="F2273">
        <v>44705817.759999998</v>
      </c>
      <c r="G2273" t="s">
        <v>131</v>
      </c>
      <c r="H2273" t="s">
        <v>81</v>
      </c>
      <c r="I2273" t="s">
        <v>9</v>
      </c>
      <c r="L2273" t="s">
        <v>161</v>
      </c>
      <c r="M2273">
        <v>-44705817.759999998</v>
      </c>
    </row>
    <row r="2274" spans="1:13" x14ac:dyDescent="0.3">
      <c r="A2274" s="23">
        <v>45742</v>
      </c>
      <c r="B2274" t="s">
        <v>12</v>
      </c>
      <c r="C2274" t="s">
        <v>132</v>
      </c>
      <c r="D2274" t="s">
        <v>16</v>
      </c>
      <c r="E2274" t="s">
        <v>193</v>
      </c>
      <c r="F2274">
        <v>801249498</v>
      </c>
      <c r="G2274" t="s">
        <v>131</v>
      </c>
      <c r="H2274" t="s">
        <v>81</v>
      </c>
      <c r="I2274" t="s">
        <v>9</v>
      </c>
      <c r="L2274" t="s">
        <v>161</v>
      </c>
      <c r="M2274">
        <v>801249498</v>
      </c>
    </row>
    <row r="2275" spans="1:13" x14ac:dyDescent="0.3">
      <c r="A2275" s="23">
        <v>45737</v>
      </c>
      <c r="B2275" t="s">
        <v>12</v>
      </c>
      <c r="C2275" t="s">
        <v>132</v>
      </c>
      <c r="D2275" t="s">
        <v>16</v>
      </c>
      <c r="E2275" t="s">
        <v>193</v>
      </c>
      <c r="F2275">
        <v>181848908</v>
      </c>
      <c r="G2275" t="s">
        <v>131</v>
      </c>
      <c r="H2275" t="s">
        <v>81</v>
      </c>
      <c r="I2275" t="s">
        <v>9</v>
      </c>
      <c r="L2275" t="s">
        <v>161</v>
      </c>
      <c r="M2275">
        <v>181848908</v>
      </c>
    </row>
    <row r="2276" spans="1:13" x14ac:dyDescent="0.3">
      <c r="A2276" s="23">
        <v>45734</v>
      </c>
      <c r="B2276" t="s">
        <v>12</v>
      </c>
      <c r="C2276" t="s">
        <v>132</v>
      </c>
      <c r="D2276" t="s">
        <v>17</v>
      </c>
      <c r="E2276" t="s">
        <v>193</v>
      </c>
      <c r="F2276">
        <v>138491227.65000001</v>
      </c>
      <c r="G2276" t="s">
        <v>131</v>
      </c>
      <c r="H2276" t="s">
        <v>81</v>
      </c>
      <c r="I2276" t="s">
        <v>9</v>
      </c>
      <c r="L2276" t="s">
        <v>161</v>
      </c>
      <c r="M2276">
        <v>-138491227.65000001</v>
      </c>
    </row>
    <row r="2277" spans="1:13" x14ac:dyDescent="0.3">
      <c r="A2277" s="23">
        <v>45734</v>
      </c>
      <c r="B2277" t="s">
        <v>12</v>
      </c>
      <c r="C2277" t="s">
        <v>132</v>
      </c>
      <c r="D2277" t="s">
        <v>17</v>
      </c>
      <c r="E2277" t="s">
        <v>193</v>
      </c>
      <c r="F2277">
        <v>130000000</v>
      </c>
      <c r="G2277" t="s">
        <v>131</v>
      </c>
      <c r="H2277" t="s">
        <v>81</v>
      </c>
      <c r="I2277" t="s">
        <v>9</v>
      </c>
      <c r="L2277" t="s">
        <v>161</v>
      </c>
      <c r="M2277">
        <v>-130000000</v>
      </c>
    </row>
    <row r="2278" spans="1:13" x14ac:dyDescent="0.3">
      <c r="A2278" s="23">
        <v>45730</v>
      </c>
      <c r="B2278" t="s">
        <v>12</v>
      </c>
      <c r="C2278" t="s">
        <v>132</v>
      </c>
      <c r="D2278" t="s">
        <v>17</v>
      </c>
      <c r="E2278" t="s">
        <v>193</v>
      </c>
      <c r="F2278">
        <v>78631924.799999997</v>
      </c>
      <c r="G2278" t="s">
        <v>131</v>
      </c>
      <c r="H2278" t="s">
        <v>81</v>
      </c>
      <c r="I2278" t="s">
        <v>9</v>
      </c>
      <c r="L2278" t="s">
        <v>161</v>
      </c>
      <c r="M2278">
        <v>-78631924.799999997</v>
      </c>
    </row>
    <row r="2279" spans="1:13" x14ac:dyDescent="0.3">
      <c r="A2279" s="23">
        <v>45730</v>
      </c>
      <c r="B2279" t="s">
        <v>12</v>
      </c>
      <c r="C2279" t="s">
        <v>132</v>
      </c>
      <c r="D2279" t="s">
        <v>17</v>
      </c>
      <c r="E2279" t="s">
        <v>193</v>
      </c>
      <c r="F2279">
        <v>49567485</v>
      </c>
      <c r="G2279" t="s">
        <v>131</v>
      </c>
      <c r="H2279" t="s">
        <v>81</v>
      </c>
      <c r="I2279" t="s">
        <v>9</v>
      </c>
      <c r="L2279" t="s">
        <v>161</v>
      </c>
      <c r="M2279">
        <v>-49567485</v>
      </c>
    </row>
    <row r="2280" spans="1:13" x14ac:dyDescent="0.3">
      <c r="A2280" s="23">
        <v>45728</v>
      </c>
      <c r="B2280" t="s">
        <v>12</v>
      </c>
      <c r="C2280" t="s">
        <v>132</v>
      </c>
      <c r="D2280" t="s">
        <v>16</v>
      </c>
      <c r="E2280" t="s">
        <v>193</v>
      </c>
      <c r="F2280">
        <v>333757250</v>
      </c>
      <c r="G2280" t="s">
        <v>131</v>
      </c>
      <c r="H2280" t="s">
        <v>81</v>
      </c>
      <c r="I2280" t="s">
        <v>9</v>
      </c>
      <c r="L2280" t="s">
        <v>161</v>
      </c>
      <c r="M2280">
        <v>333757250</v>
      </c>
    </row>
    <row r="2281" spans="1:13" x14ac:dyDescent="0.3">
      <c r="A2281" s="23">
        <v>45722</v>
      </c>
      <c r="B2281" t="s">
        <v>12</v>
      </c>
      <c r="C2281" t="s">
        <v>132</v>
      </c>
      <c r="D2281" t="s">
        <v>17</v>
      </c>
      <c r="E2281" t="s">
        <v>193</v>
      </c>
      <c r="F2281">
        <v>164547696.5</v>
      </c>
      <c r="G2281" t="s">
        <v>131</v>
      </c>
      <c r="H2281" t="s">
        <v>81</v>
      </c>
      <c r="I2281" t="s">
        <v>9</v>
      </c>
      <c r="L2281" t="s">
        <v>161</v>
      </c>
      <c r="M2281">
        <v>-164547696.5</v>
      </c>
    </row>
    <row r="2282" spans="1:13" x14ac:dyDescent="0.3">
      <c r="A2282" s="23">
        <v>45722</v>
      </c>
      <c r="B2282" t="s">
        <v>12</v>
      </c>
      <c r="C2282" t="s">
        <v>132</v>
      </c>
      <c r="D2282" t="s">
        <v>17</v>
      </c>
      <c r="E2282" t="s">
        <v>193</v>
      </c>
      <c r="F2282">
        <v>63963553.5</v>
      </c>
      <c r="G2282" t="s">
        <v>131</v>
      </c>
      <c r="H2282" t="s">
        <v>81</v>
      </c>
      <c r="I2282" t="s">
        <v>9</v>
      </c>
      <c r="L2282" t="s">
        <v>161</v>
      </c>
      <c r="M2282">
        <v>-63963553.5</v>
      </c>
    </row>
    <row r="2283" spans="1:13" x14ac:dyDescent="0.3">
      <c r="A2283" s="23">
        <v>45716</v>
      </c>
      <c r="B2283" t="s">
        <v>12</v>
      </c>
      <c r="C2283" t="s">
        <v>132</v>
      </c>
      <c r="D2283" t="s">
        <v>16</v>
      </c>
      <c r="E2283" t="s">
        <v>193</v>
      </c>
      <c r="F2283">
        <v>3416882</v>
      </c>
      <c r="G2283" t="s">
        <v>131</v>
      </c>
      <c r="H2283" t="s">
        <v>81</v>
      </c>
      <c r="I2283" t="s">
        <v>9</v>
      </c>
      <c r="L2283" t="s">
        <v>161</v>
      </c>
      <c r="M2283">
        <v>3416882</v>
      </c>
    </row>
    <row r="2284" spans="1:13" x14ac:dyDescent="0.3">
      <c r="A2284" s="23">
        <v>45712</v>
      </c>
      <c r="B2284" t="s">
        <v>12</v>
      </c>
      <c r="C2284" t="s">
        <v>132</v>
      </c>
      <c r="D2284" t="s">
        <v>17</v>
      </c>
      <c r="E2284" t="s">
        <v>193</v>
      </c>
      <c r="F2284">
        <v>80932279.75</v>
      </c>
      <c r="G2284" t="s">
        <v>131</v>
      </c>
      <c r="H2284" t="s">
        <v>81</v>
      </c>
      <c r="I2284" t="s">
        <v>9</v>
      </c>
      <c r="L2284" t="s">
        <v>161</v>
      </c>
      <c r="M2284">
        <v>-80932279.75</v>
      </c>
    </row>
    <row r="2285" spans="1:13" x14ac:dyDescent="0.3">
      <c r="A2285" s="23">
        <v>45707</v>
      </c>
      <c r="B2285" t="s">
        <v>12</v>
      </c>
      <c r="C2285" t="s">
        <v>132</v>
      </c>
      <c r="D2285" t="s">
        <v>16</v>
      </c>
      <c r="E2285" t="s">
        <v>193</v>
      </c>
      <c r="F2285">
        <v>238166710</v>
      </c>
      <c r="G2285" t="s">
        <v>131</v>
      </c>
      <c r="H2285" t="s">
        <v>81</v>
      </c>
      <c r="I2285" t="s">
        <v>9</v>
      </c>
      <c r="L2285" t="s">
        <v>161</v>
      </c>
      <c r="M2285">
        <v>238166710</v>
      </c>
    </row>
    <row r="2286" spans="1:13" x14ac:dyDescent="0.3">
      <c r="A2286" s="23">
        <v>45706</v>
      </c>
      <c r="B2286" t="s">
        <v>12</v>
      </c>
      <c r="C2286" t="s">
        <v>132</v>
      </c>
      <c r="D2286" t="s">
        <v>17</v>
      </c>
      <c r="E2286" t="s">
        <v>193</v>
      </c>
      <c r="F2286">
        <v>129675501.67</v>
      </c>
      <c r="G2286" t="s">
        <v>131</v>
      </c>
      <c r="H2286" t="s">
        <v>81</v>
      </c>
      <c r="I2286" t="s">
        <v>9</v>
      </c>
      <c r="L2286" t="s">
        <v>161</v>
      </c>
      <c r="M2286">
        <v>-129675501.67</v>
      </c>
    </row>
    <row r="2287" spans="1:13" x14ac:dyDescent="0.3">
      <c r="A2287" s="23">
        <v>45706</v>
      </c>
      <c r="B2287" t="s">
        <v>12</v>
      </c>
      <c r="C2287" t="s">
        <v>132</v>
      </c>
      <c r="D2287" t="s">
        <v>17</v>
      </c>
      <c r="E2287" t="s">
        <v>193</v>
      </c>
      <c r="F2287">
        <v>50745068.979999997</v>
      </c>
      <c r="G2287" t="s">
        <v>131</v>
      </c>
      <c r="H2287" t="s">
        <v>81</v>
      </c>
      <c r="I2287" t="s">
        <v>9</v>
      </c>
      <c r="L2287" t="s">
        <v>161</v>
      </c>
      <c r="M2287">
        <v>-50745068.979999997</v>
      </c>
    </row>
    <row r="2288" spans="1:13" x14ac:dyDescent="0.3">
      <c r="A2288" s="23">
        <v>45700</v>
      </c>
      <c r="B2288" t="s">
        <v>12</v>
      </c>
      <c r="C2288" t="s">
        <v>132</v>
      </c>
      <c r="D2288" t="s">
        <v>17</v>
      </c>
      <c r="E2288" t="s">
        <v>193</v>
      </c>
      <c r="F2288">
        <v>125127278.12</v>
      </c>
      <c r="G2288" t="s">
        <v>131</v>
      </c>
      <c r="H2288" t="s">
        <v>81</v>
      </c>
      <c r="I2288" t="s">
        <v>9</v>
      </c>
      <c r="L2288" t="s">
        <v>161</v>
      </c>
      <c r="M2288">
        <v>-125127278.12</v>
      </c>
    </row>
    <row r="2289" spans="1:13" x14ac:dyDescent="0.3">
      <c r="A2289" s="23">
        <v>45700</v>
      </c>
      <c r="B2289" t="s">
        <v>12</v>
      </c>
      <c r="C2289" t="s">
        <v>132</v>
      </c>
      <c r="D2289" t="s">
        <v>17</v>
      </c>
      <c r="E2289" t="s">
        <v>193</v>
      </c>
      <c r="F2289">
        <v>61981592.060000002</v>
      </c>
      <c r="G2289" t="s">
        <v>131</v>
      </c>
      <c r="H2289" t="s">
        <v>81</v>
      </c>
      <c r="I2289" t="s">
        <v>9</v>
      </c>
      <c r="L2289" t="s">
        <v>161</v>
      </c>
      <c r="M2289">
        <v>-61981592.060000002</v>
      </c>
    </row>
    <row r="2290" spans="1:13" x14ac:dyDescent="0.3">
      <c r="A2290" s="23">
        <v>45699</v>
      </c>
      <c r="B2290" t="s">
        <v>12</v>
      </c>
      <c r="C2290" t="s">
        <v>132</v>
      </c>
      <c r="D2290" t="s">
        <v>17</v>
      </c>
      <c r="E2290" t="s">
        <v>193</v>
      </c>
      <c r="F2290">
        <v>271852619</v>
      </c>
      <c r="G2290" t="s">
        <v>131</v>
      </c>
      <c r="H2290" t="s">
        <v>81</v>
      </c>
      <c r="I2290" t="s">
        <v>9</v>
      </c>
      <c r="L2290" t="s">
        <v>161</v>
      </c>
      <c r="M2290">
        <v>-271852619</v>
      </c>
    </row>
    <row r="2291" spans="1:13" x14ac:dyDescent="0.3">
      <c r="A2291" s="23">
        <v>45698</v>
      </c>
      <c r="B2291" t="s">
        <v>12</v>
      </c>
      <c r="C2291" t="s">
        <v>132</v>
      </c>
      <c r="D2291" t="s">
        <v>16</v>
      </c>
      <c r="E2291" t="s">
        <v>193</v>
      </c>
      <c r="F2291">
        <v>983242000</v>
      </c>
      <c r="G2291" t="s">
        <v>131</v>
      </c>
      <c r="H2291" t="s">
        <v>81</v>
      </c>
      <c r="I2291" t="s">
        <v>9</v>
      </c>
      <c r="L2291" t="s">
        <v>161</v>
      </c>
      <c r="M2291">
        <v>983242000</v>
      </c>
    </row>
    <row r="2292" spans="1:13" x14ac:dyDescent="0.3">
      <c r="A2292" s="23">
        <v>45695</v>
      </c>
      <c r="B2292" t="s">
        <v>12</v>
      </c>
      <c r="C2292" t="s">
        <v>132</v>
      </c>
      <c r="D2292" t="s">
        <v>16</v>
      </c>
      <c r="E2292" t="s">
        <v>193</v>
      </c>
      <c r="F2292">
        <v>11980000</v>
      </c>
      <c r="G2292" t="s">
        <v>131</v>
      </c>
      <c r="H2292" t="s">
        <v>81</v>
      </c>
      <c r="I2292" t="s">
        <v>9</v>
      </c>
      <c r="L2292" t="s">
        <v>161</v>
      </c>
      <c r="M2292">
        <v>11980000</v>
      </c>
    </row>
    <row r="2293" spans="1:13" x14ac:dyDescent="0.3">
      <c r="A2293" s="23">
        <v>45695</v>
      </c>
      <c r="B2293" t="s">
        <v>12</v>
      </c>
      <c r="C2293" t="s">
        <v>132</v>
      </c>
      <c r="D2293" t="s">
        <v>17</v>
      </c>
      <c r="E2293" t="s">
        <v>193</v>
      </c>
      <c r="F2293">
        <v>227570000</v>
      </c>
      <c r="G2293" t="s">
        <v>131</v>
      </c>
      <c r="H2293" t="s">
        <v>81</v>
      </c>
      <c r="I2293" t="s">
        <v>9</v>
      </c>
      <c r="L2293" t="s">
        <v>161</v>
      </c>
      <c r="M2293">
        <v>-227570000</v>
      </c>
    </row>
    <row r="2294" spans="1:13" x14ac:dyDescent="0.3">
      <c r="A2294" s="23">
        <v>45694</v>
      </c>
      <c r="B2294" t="s">
        <v>12</v>
      </c>
      <c r="C2294" t="s">
        <v>132</v>
      </c>
      <c r="D2294" t="s">
        <v>16</v>
      </c>
      <c r="E2294" t="s">
        <v>193</v>
      </c>
      <c r="F2294">
        <v>51626620</v>
      </c>
      <c r="G2294" t="s">
        <v>131</v>
      </c>
      <c r="H2294" t="s">
        <v>81</v>
      </c>
      <c r="I2294" t="s">
        <v>9</v>
      </c>
      <c r="L2294" t="s">
        <v>161</v>
      </c>
      <c r="M2294">
        <v>51626620</v>
      </c>
    </row>
    <row r="2295" spans="1:13" x14ac:dyDescent="0.3">
      <c r="A2295" s="23">
        <v>45692</v>
      </c>
      <c r="B2295" t="s">
        <v>12</v>
      </c>
      <c r="C2295" t="s">
        <v>132</v>
      </c>
      <c r="D2295" t="s">
        <v>17</v>
      </c>
      <c r="E2295" t="s">
        <v>193</v>
      </c>
      <c r="F2295">
        <v>186676976</v>
      </c>
      <c r="G2295" t="s">
        <v>131</v>
      </c>
      <c r="H2295" t="s">
        <v>81</v>
      </c>
      <c r="I2295" t="s">
        <v>9</v>
      </c>
      <c r="L2295" t="s">
        <v>161</v>
      </c>
      <c r="M2295">
        <v>-186676976</v>
      </c>
    </row>
    <row r="2296" spans="1:13" x14ac:dyDescent="0.3">
      <c r="A2296" s="23">
        <v>45687</v>
      </c>
      <c r="B2296" t="s">
        <v>12</v>
      </c>
      <c r="C2296" t="s">
        <v>132</v>
      </c>
      <c r="D2296" t="s">
        <v>16</v>
      </c>
      <c r="E2296" t="s">
        <v>193</v>
      </c>
      <c r="F2296">
        <v>142284122</v>
      </c>
      <c r="G2296" t="s">
        <v>131</v>
      </c>
      <c r="H2296" t="s">
        <v>81</v>
      </c>
      <c r="I2296" t="s">
        <v>9</v>
      </c>
      <c r="L2296" t="s">
        <v>161</v>
      </c>
      <c r="M2296">
        <v>142284122</v>
      </c>
    </row>
    <row r="2297" spans="1:13" x14ac:dyDescent="0.3">
      <c r="A2297" s="23">
        <v>45687</v>
      </c>
      <c r="B2297" t="s">
        <v>12</v>
      </c>
      <c r="C2297" t="s">
        <v>132</v>
      </c>
      <c r="D2297" t="s">
        <v>17</v>
      </c>
      <c r="E2297" t="s">
        <v>193</v>
      </c>
      <c r="F2297">
        <v>100581428</v>
      </c>
      <c r="G2297" t="s">
        <v>131</v>
      </c>
      <c r="H2297" t="s">
        <v>81</v>
      </c>
      <c r="I2297" t="s">
        <v>9</v>
      </c>
      <c r="L2297" t="s">
        <v>161</v>
      </c>
      <c r="M2297">
        <v>-100581428</v>
      </c>
    </row>
    <row r="2298" spans="1:13" x14ac:dyDescent="0.3">
      <c r="A2298" s="23">
        <v>45686</v>
      </c>
      <c r="B2298" t="s">
        <v>12</v>
      </c>
      <c r="C2298" t="s">
        <v>132</v>
      </c>
      <c r="D2298" t="s">
        <v>17</v>
      </c>
      <c r="E2298" t="s">
        <v>193</v>
      </c>
      <c r="F2298">
        <v>155904128</v>
      </c>
      <c r="G2298" t="s">
        <v>131</v>
      </c>
      <c r="H2298" t="s">
        <v>81</v>
      </c>
      <c r="I2298" t="s">
        <v>9</v>
      </c>
      <c r="L2298" t="s">
        <v>161</v>
      </c>
      <c r="M2298">
        <v>-155904128</v>
      </c>
    </row>
    <row r="2299" spans="1:13" x14ac:dyDescent="0.3">
      <c r="A2299" s="23">
        <v>45685</v>
      </c>
      <c r="B2299" t="s">
        <v>12</v>
      </c>
      <c r="C2299" t="s">
        <v>132</v>
      </c>
      <c r="D2299" t="s">
        <v>16</v>
      </c>
      <c r="E2299" t="s">
        <v>193</v>
      </c>
      <c r="F2299">
        <v>347564357</v>
      </c>
      <c r="G2299" t="s">
        <v>131</v>
      </c>
      <c r="H2299" t="s">
        <v>81</v>
      </c>
      <c r="I2299" t="s">
        <v>9</v>
      </c>
      <c r="L2299" t="s">
        <v>161</v>
      </c>
      <c r="M2299">
        <v>347564357</v>
      </c>
    </row>
    <row r="2300" spans="1:13" x14ac:dyDescent="0.3">
      <c r="A2300" s="23">
        <v>45681</v>
      </c>
      <c r="B2300" t="s">
        <v>12</v>
      </c>
      <c r="C2300" t="s">
        <v>132</v>
      </c>
      <c r="D2300" t="s">
        <v>17</v>
      </c>
      <c r="E2300" t="s">
        <v>193</v>
      </c>
      <c r="F2300">
        <v>102040935</v>
      </c>
      <c r="G2300" t="s">
        <v>131</v>
      </c>
      <c r="H2300" t="s">
        <v>81</v>
      </c>
      <c r="I2300" t="s">
        <v>9</v>
      </c>
      <c r="L2300" t="s">
        <v>161</v>
      </c>
      <c r="M2300">
        <v>-102040935</v>
      </c>
    </row>
    <row r="2301" spans="1:13" x14ac:dyDescent="0.3">
      <c r="A2301" s="23">
        <v>45680</v>
      </c>
      <c r="B2301" t="s">
        <v>12</v>
      </c>
      <c r="C2301" t="s">
        <v>132</v>
      </c>
      <c r="D2301" t="s">
        <v>16</v>
      </c>
      <c r="E2301" t="s">
        <v>193</v>
      </c>
      <c r="F2301">
        <v>456716063</v>
      </c>
      <c r="G2301" t="s">
        <v>131</v>
      </c>
      <c r="H2301" t="s">
        <v>81</v>
      </c>
      <c r="I2301" t="s">
        <v>9</v>
      </c>
      <c r="L2301" t="s">
        <v>161</v>
      </c>
      <c r="M2301">
        <v>456716063</v>
      </c>
    </row>
    <row r="2302" spans="1:13" x14ac:dyDescent="0.3">
      <c r="A2302" s="23">
        <v>45680</v>
      </c>
      <c r="B2302" t="s">
        <v>12</v>
      </c>
      <c r="C2302" t="s">
        <v>132</v>
      </c>
      <c r="D2302" t="s">
        <v>17</v>
      </c>
      <c r="E2302" t="s">
        <v>193</v>
      </c>
      <c r="F2302">
        <v>65326901.399999999</v>
      </c>
      <c r="G2302" t="s">
        <v>131</v>
      </c>
      <c r="H2302" t="s">
        <v>81</v>
      </c>
      <c r="I2302" t="s">
        <v>9</v>
      </c>
      <c r="L2302" t="s">
        <v>161</v>
      </c>
      <c r="M2302">
        <v>-65326901.399999999</v>
      </c>
    </row>
    <row r="2303" spans="1:13" x14ac:dyDescent="0.3">
      <c r="A2303" s="23">
        <v>45680</v>
      </c>
      <c r="B2303" t="s">
        <v>12</v>
      </c>
      <c r="C2303" t="s">
        <v>132</v>
      </c>
      <c r="D2303" t="s">
        <v>17</v>
      </c>
      <c r="E2303" t="s">
        <v>193</v>
      </c>
      <c r="F2303">
        <v>56780640</v>
      </c>
      <c r="G2303" t="s">
        <v>131</v>
      </c>
      <c r="H2303" t="s">
        <v>81</v>
      </c>
      <c r="I2303" t="s">
        <v>9</v>
      </c>
      <c r="L2303" t="s">
        <v>161</v>
      </c>
      <c r="M2303">
        <v>-56780640</v>
      </c>
    </row>
    <row r="2304" spans="1:13" x14ac:dyDescent="0.3">
      <c r="A2304" s="23">
        <v>45679</v>
      </c>
      <c r="B2304" t="s">
        <v>12</v>
      </c>
      <c r="C2304" t="s">
        <v>132</v>
      </c>
      <c r="D2304" t="s">
        <v>16</v>
      </c>
      <c r="E2304" t="s">
        <v>193</v>
      </c>
      <c r="F2304">
        <v>300000000</v>
      </c>
      <c r="G2304" t="s">
        <v>131</v>
      </c>
      <c r="H2304" t="s">
        <v>81</v>
      </c>
      <c r="I2304" t="s">
        <v>9</v>
      </c>
      <c r="L2304" t="s">
        <v>161</v>
      </c>
      <c r="M2304">
        <v>300000000</v>
      </c>
    </row>
    <row r="2305" spans="1:13" x14ac:dyDescent="0.3">
      <c r="A2305" s="23">
        <v>45673</v>
      </c>
      <c r="B2305" t="s">
        <v>12</v>
      </c>
      <c r="C2305" t="s">
        <v>132</v>
      </c>
      <c r="D2305" t="s">
        <v>16</v>
      </c>
      <c r="E2305" t="s">
        <v>193</v>
      </c>
      <c r="F2305">
        <v>197216939</v>
      </c>
      <c r="G2305" t="s">
        <v>131</v>
      </c>
      <c r="H2305" t="s">
        <v>81</v>
      </c>
      <c r="I2305" t="s">
        <v>9</v>
      </c>
      <c r="L2305" t="s">
        <v>161</v>
      </c>
      <c r="M2305">
        <v>197216939</v>
      </c>
    </row>
    <row r="2306" spans="1:13" x14ac:dyDescent="0.3">
      <c r="A2306" s="23">
        <v>45673</v>
      </c>
      <c r="B2306" t="s">
        <v>12</v>
      </c>
      <c r="C2306" t="s">
        <v>132</v>
      </c>
      <c r="D2306" t="s">
        <v>17</v>
      </c>
      <c r="E2306" t="s">
        <v>193</v>
      </c>
      <c r="F2306">
        <v>53709345</v>
      </c>
      <c r="G2306" t="s">
        <v>131</v>
      </c>
      <c r="H2306" t="s">
        <v>81</v>
      </c>
      <c r="I2306" t="s">
        <v>9</v>
      </c>
      <c r="L2306" t="s">
        <v>161</v>
      </c>
      <c r="M2306">
        <v>-53709345</v>
      </c>
    </row>
    <row r="2307" spans="1:13" x14ac:dyDescent="0.3">
      <c r="A2307" s="23">
        <v>45673</v>
      </c>
      <c r="B2307" t="s">
        <v>12</v>
      </c>
      <c r="C2307" t="s">
        <v>132</v>
      </c>
      <c r="D2307" t="s">
        <v>17</v>
      </c>
      <c r="E2307" t="s">
        <v>193</v>
      </c>
      <c r="F2307">
        <v>38283538.460000001</v>
      </c>
      <c r="G2307" t="s">
        <v>131</v>
      </c>
      <c r="H2307" t="s">
        <v>81</v>
      </c>
      <c r="I2307" t="s">
        <v>9</v>
      </c>
      <c r="L2307" t="s">
        <v>161</v>
      </c>
      <c r="M2307">
        <v>-38283538.460000001</v>
      </c>
    </row>
    <row r="2308" spans="1:13" x14ac:dyDescent="0.3">
      <c r="A2308" s="23">
        <v>45672</v>
      </c>
      <c r="B2308" t="s">
        <v>12</v>
      </c>
      <c r="C2308" t="s">
        <v>132</v>
      </c>
      <c r="D2308" t="s">
        <v>17</v>
      </c>
      <c r="E2308" t="s">
        <v>193</v>
      </c>
      <c r="F2308">
        <v>78660883.700000003</v>
      </c>
      <c r="G2308" t="s">
        <v>131</v>
      </c>
      <c r="H2308" t="s">
        <v>81</v>
      </c>
      <c r="I2308" t="s">
        <v>9</v>
      </c>
      <c r="L2308" t="s">
        <v>161</v>
      </c>
      <c r="M2308">
        <v>-78660883.700000003</v>
      </c>
    </row>
    <row r="2309" spans="1:13" x14ac:dyDescent="0.3">
      <c r="A2309" s="23">
        <v>45671</v>
      </c>
      <c r="B2309" t="s">
        <v>12</v>
      </c>
      <c r="C2309" t="s">
        <v>132</v>
      </c>
      <c r="D2309" t="s">
        <v>17</v>
      </c>
      <c r="E2309" t="s">
        <v>193</v>
      </c>
      <c r="F2309">
        <v>125331291.89</v>
      </c>
      <c r="G2309" t="s">
        <v>131</v>
      </c>
      <c r="H2309" t="s">
        <v>81</v>
      </c>
      <c r="I2309" t="s">
        <v>9</v>
      </c>
      <c r="L2309" t="s">
        <v>161</v>
      </c>
      <c r="M2309">
        <v>-125331291.89</v>
      </c>
    </row>
    <row r="2310" spans="1:13" x14ac:dyDescent="0.3">
      <c r="A2310" s="23">
        <v>45670</v>
      </c>
      <c r="B2310" t="s">
        <v>12</v>
      </c>
      <c r="C2310" t="s">
        <v>132</v>
      </c>
      <c r="D2310" t="s">
        <v>16</v>
      </c>
      <c r="E2310" t="s">
        <v>193</v>
      </c>
      <c r="F2310">
        <v>144462060</v>
      </c>
      <c r="G2310" t="s">
        <v>131</v>
      </c>
      <c r="H2310" t="s">
        <v>81</v>
      </c>
      <c r="I2310" t="s">
        <v>9</v>
      </c>
      <c r="L2310" t="s">
        <v>161</v>
      </c>
      <c r="M2310">
        <v>144462060</v>
      </c>
    </row>
    <row r="2311" spans="1:13" x14ac:dyDescent="0.3">
      <c r="A2311" s="23">
        <v>45667</v>
      </c>
      <c r="B2311" t="s">
        <v>12</v>
      </c>
      <c r="C2311" t="s">
        <v>132</v>
      </c>
      <c r="D2311" t="s">
        <v>17</v>
      </c>
      <c r="E2311" t="s">
        <v>193</v>
      </c>
      <c r="F2311">
        <v>43843108.75</v>
      </c>
      <c r="G2311" t="s">
        <v>131</v>
      </c>
      <c r="H2311" t="s">
        <v>81</v>
      </c>
      <c r="I2311" t="s">
        <v>9</v>
      </c>
      <c r="L2311" t="s">
        <v>161</v>
      </c>
      <c r="M2311">
        <v>-43843108.75</v>
      </c>
    </row>
    <row r="2312" spans="1:13" x14ac:dyDescent="0.3">
      <c r="A2312" s="23">
        <v>45667</v>
      </c>
      <c r="B2312" t="s">
        <v>12</v>
      </c>
      <c r="C2312" t="s">
        <v>132</v>
      </c>
      <c r="D2312" t="s">
        <v>17</v>
      </c>
      <c r="E2312" t="s">
        <v>193</v>
      </c>
      <c r="F2312">
        <v>104368550.31</v>
      </c>
      <c r="G2312" t="s">
        <v>131</v>
      </c>
      <c r="H2312" t="s">
        <v>81</v>
      </c>
      <c r="I2312" t="s">
        <v>9</v>
      </c>
      <c r="L2312" t="s">
        <v>161</v>
      </c>
      <c r="M2312">
        <v>-104368550.31</v>
      </c>
    </row>
    <row r="2313" spans="1:13" x14ac:dyDescent="0.3">
      <c r="A2313" s="23">
        <v>45667</v>
      </c>
      <c r="B2313" t="s">
        <v>12</v>
      </c>
      <c r="C2313" t="s">
        <v>132</v>
      </c>
      <c r="D2313" t="s">
        <v>16</v>
      </c>
      <c r="E2313" t="s">
        <v>193</v>
      </c>
      <c r="F2313">
        <v>143661423</v>
      </c>
      <c r="G2313" t="s">
        <v>131</v>
      </c>
      <c r="H2313" t="s">
        <v>81</v>
      </c>
      <c r="I2313" t="s">
        <v>9</v>
      </c>
      <c r="L2313" t="s">
        <v>161</v>
      </c>
      <c r="M2313">
        <v>143661423</v>
      </c>
    </row>
    <row r="2314" spans="1:13" x14ac:dyDescent="0.3">
      <c r="A2314" s="23">
        <v>45666</v>
      </c>
      <c r="B2314" t="s">
        <v>12</v>
      </c>
      <c r="C2314" t="s">
        <v>132</v>
      </c>
      <c r="D2314" t="s">
        <v>17</v>
      </c>
      <c r="E2314" t="s">
        <v>193</v>
      </c>
      <c r="F2314">
        <v>350000000</v>
      </c>
      <c r="G2314" t="s">
        <v>131</v>
      </c>
      <c r="H2314" t="s">
        <v>81</v>
      </c>
      <c r="I2314" t="s">
        <v>9</v>
      </c>
      <c r="L2314" t="s">
        <v>161</v>
      </c>
      <c r="M2314">
        <v>-350000000</v>
      </c>
    </row>
    <row r="2315" spans="1:13" x14ac:dyDescent="0.3">
      <c r="A2315" s="23">
        <v>45665</v>
      </c>
      <c r="B2315" t="s">
        <v>12</v>
      </c>
      <c r="C2315" t="s">
        <v>132</v>
      </c>
      <c r="D2315" t="s">
        <v>17</v>
      </c>
      <c r="E2315" t="s">
        <v>193</v>
      </c>
      <c r="F2315">
        <v>250000000</v>
      </c>
      <c r="G2315" t="s">
        <v>131</v>
      </c>
      <c r="H2315" t="s">
        <v>81</v>
      </c>
      <c r="I2315" t="s">
        <v>9</v>
      </c>
      <c r="L2315" t="s">
        <v>161</v>
      </c>
      <c r="M2315">
        <v>-250000000</v>
      </c>
    </row>
    <row r="2316" spans="1:13" x14ac:dyDescent="0.3">
      <c r="A2316" s="23">
        <v>45664</v>
      </c>
      <c r="B2316" t="s">
        <v>12</v>
      </c>
      <c r="C2316" t="s">
        <v>132</v>
      </c>
      <c r="D2316" t="s">
        <v>16</v>
      </c>
      <c r="E2316" t="s">
        <v>193</v>
      </c>
      <c r="F2316">
        <v>402501765</v>
      </c>
      <c r="G2316" t="s">
        <v>131</v>
      </c>
      <c r="H2316" t="s">
        <v>81</v>
      </c>
      <c r="I2316" t="s">
        <v>9</v>
      </c>
      <c r="L2316" t="s">
        <v>161</v>
      </c>
      <c r="M2316">
        <v>402501765</v>
      </c>
    </row>
    <row r="2317" spans="1:13" x14ac:dyDescent="0.3">
      <c r="A2317" s="23">
        <v>45659</v>
      </c>
      <c r="B2317" t="s">
        <v>12</v>
      </c>
      <c r="C2317" t="s">
        <v>132</v>
      </c>
      <c r="D2317" t="s">
        <v>17</v>
      </c>
      <c r="E2317" t="s">
        <v>193</v>
      </c>
      <c r="F2317">
        <v>10100000</v>
      </c>
      <c r="G2317" t="s">
        <v>131</v>
      </c>
      <c r="H2317" t="s">
        <v>81</v>
      </c>
      <c r="I2317" t="s">
        <v>9</v>
      </c>
      <c r="L2317" t="s">
        <v>161</v>
      </c>
      <c r="M2317">
        <v>-10100000</v>
      </c>
    </row>
    <row r="2318" spans="1:13" x14ac:dyDescent="0.3">
      <c r="A2318" s="23">
        <v>45659</v>
      </c>
      <c r="B2318" t="s">
        <v>12</v>
      </c>
      <c r="C2318" t="s">
        <v>132</v>
      </c>
      <c r="D2318" t="s">
        <v>16</v>
      </c>
      <c r="E2318" t="s">
        <v>193</v>
      </c>
      <c r="F2318">
        <v>47729336</v>
      </c>
      <c r="G2318" t="s">
        <v>131</v>
      </c>
      <c r="H2318" t="s">
        <v>81</v>
      </c>
      <c r="I2318" t="s">
        <v>9</v>
      </c>
      <c r="L2318" t="s">
        <v>161</v>
      </c>
      <c r="M2318">
        <v>47729336</v>
      </c>
    </row>
    <row r="2319" spans="1:13" x14ac:dyDescent="0.3">
      <c r="A2319" s="23">
        <v>45656</v>
      </c>
      <c r="B2319" t="s">
        <v>12</v>
      </c>
      <c r="C2319" t="s">
        <v>132</v>
      </c>
      <c r="D2319" t="s">
        <v>16</v>
      </c>
      <c r="E2319" t="s">
        <v>193</v>
      </c>
      <c r="F2319">
        <v>237300000</v>
      </c>
      <c r="G2319" t="s">
        <v>131</v>
      </c>
      <c r="H2319" t="s">
        <v>81</v>
      </c>
      <c r="I2319" t="s">
        <v>9</v>
      </c>
      <c r="L2319" t="s">
        <v>161</v>
      </c>
      <c r="M2319">
        <v>237300000</v>
      </c>
    </row>
    <row r="2320" spans="1:13" x14ac:dyDescent="0.3">
      <c r="A2320" s="23">
        <v>45656</v>
      </c>
      <c r="B2320" t="s">
        <v>12</v>
      </c>
      <c r="C2320" t="s">
        <v>132</v>
      </c>
      <c r="D2320" t="s">
        <v>17</v>
      </c>
      <c r="E2320" t="s">
        <v>193</v>
      </c>
      <c r="F2320">
        <v>303859631.89999998</v>
      </c>
      <c r="G2320" t="s">
        <v>131</v>
      </c>
      <c r="H2320" t="s">
        <v>81</v>
      </c>
      <c r="I2320" t="s">
        <v>9</v>
      </c>
      <c r="L2320" t="s">
        <v>161</v>
      </c>
      <c r="M2320">
        <v>-303859631.89999998</v>
      </c>
    </row>
    <row r="2321" spans="1:13" x14ac:dyDescent="0.3">
      <c r="A2321" s="23">
        <v>45653</v>
      </c>
      <c r="B2321" t="s">
        <v>12</v>
      </c>
      <c r="C2321" t="s">
        <v>132</v>
      </c>
      <c r="D2321" t="s">
        <v>17</v>
      </c>
      <c r="E2321" t="s">
        <v>193</v>
      </c>
      <c r="F2321">
        <v>800000000</v>
      </c>
      <c r="G2321" t="s">
        <v>131</v>
      </c>
      <c r="H2321" t="s">
        <v>81</v>
      </c>
      <c r="I2321" t="s">
        <v>9</v>
      </c>
      <c r="L2321" t="s">
        <v>161</v>
      </c>
      <c r="M2321">
        <v>-800000000</v>
      </c>
    </row>
    <row r="2322" spans="1:13" x14ac:dyDescent="0.3">
      <c r="A2322" s="23">
        <v>45652</v>
      </c>
      <c r="B2322" t="s">
        <v>12</v>
      </c>
      <c r="C2322" t="s">
        <v>132</v>
      </c>
      <c r="D2322" t="s">
        <v>17</v>
      </c>
      <c r="E2322" t="s">
        <v>193</v>
      </c>
      <c r="F2322">
        <v>60000000</v>
      </c>
      <c r="G2322" t="s">
        <v>131</v>
      </c>
      <c r="H2322" t="s">
        <v>81</v>
      </c>
      <c r="I2322" t="s">
        <v>9</v>
      </c>
      <c r="L2322" t="s">
        <v>161</v>
      </c>
      <c r="M2322">
        <v>-60000000</v>
      </c>
    </row>
    <row r="2323" spans="1:13" x14ac:dyDescent="0.3">
      <c r="A2323" s="23">
        <v>45652</v>
      </c>
      <c r="B2323" t="s">
        <v>12</v>
      </c>
      <c r="C2323" t="s">
        <v>132</v>
      </c>
      <c r="D2323" t="s">
        <v>17</v>
      </c>
      <c r="E2323" t="s">
        <v>193</v>
      </c>
      <c r="F2323">
        <v>60000000</v>
      </c>
      <c r="G2323" t="s">
        <v>131</v>
      </c>
      <c r="H2323" t="s">
        <v>81</v>
      </c>
      <c r="I2323" t="s">
        <v>9</v>
      </c>
      <c r="L2323" t="s">
        <v>161</v>
      </c>
      <c r="M2323">
        <v>-60000000</v>
      </c>
    </row>
    <row r="2324" spans="1:13" x14ac:dyDescent="0.3">
      <c r="A2324" s="23">
        <v>45649</v>
      </c>
      <c r="B2324" t="s">
        <v>12</v>
      </c>
      <c r="C2324" t="s">
        <v>132</v>
      </c>
      <c r="D2324" t="s">
        <v>16</v>
      </c>
      <c r="E2324" t="s">
        <v>193</v>
      </c>
      <c r="F2324">
        <v>280295472</v>
      </c>
      <c r="G2324" t="s">
        <v>131</v>
      </c>
      <c r="H2324" t="s">
        <v>81</v>
      </c>
      <c r="I2324" t="s">
        <v>9</v>
      </c>
      <c r="L2324" t="s">
        <v>161</v>
      </c>
      <c r="M2324">
        <v>280295472</v>
      </c>
    </row>
    <row r="2325" spans="1:13" x14ac:dyDescent="0.3">
      <c r="A2325" s="23">
        <v>45646</v>
      </c>
      <c r="B2325" t="s">
        <v>12</v>
      </c>
      <c r="C2325" t="s">
        <v>132</v>
      </c>
      <c r="D2325" t="s">
        <v>17</v>
      </c>
      <c r="E2325" t="s">
        <v>193</v>
      </c>
      <c r="F2325">
        <v>613840.01</v>
      </c>
      <c r="G2325" t="s">
        <v>131</v>
      </c>
      <c r="H2325" t="s">
        <v>81</v>
      </c>
      <c r="I2325" t="s">
        <v>9</v>
      </c>
      <c r="L2325" t="s">
        <v>161</v>
      </c>
      <c r="M2325">
        <v>-613840.01</v>
      </c>
    </row>
    <row r="2326" spans="1:13" x14ac:dyDescent="0.3">
      <c r="A2326" s="23">
        <v>45645</v>
      </c>
      <c r="B2326" t="s">
        <v>12</v>
      </c>
      <c r="C2326" t="s">
        <v>132</v>
      </c>
      <c r="D2326" t="s">
        <v>16</v>
      </c>
      <c r="E2326" t="s">
        <v>193</v>
      </c>
      <c r="F2326">
        <v>15808293</v>
      </c>
      <c r="G2326" t="s">
        <v>131</v>
      </c>
      <c r="H2326" t="s">
        <v>81</v>
      </c>
      <c r="I2326" t="s">
        <v>9</v>
      </c>
      <c r="L2326" t="s">
        <v>161</v>
      </c>
      <c r="M2326">
        <v>15808293</v>
      </c>
    </row>
    <row r="2327" spans="1:13" x14ac:dyDescent="0.3">
      <c r="A2327" s="23">
        <v>45643</v>
      </c>
      <c r="B2327" t="s">
        <v>12</v>
      </c>
      <c r="C2327" t="s">
        <v>132</v>
      </c>
      <c r="D2327" t="s">
        <v>16</v>
      </c>
      <c r="E2327" t="s">
        <v>193</v>
      </c>
      <c r="F2327">
        <v>786761403</v>
      </c>
      <c r="G2327" t="s">
        <v>131</v>
      </c>
      <c r="H2327" t="s">
        <v>81</v>
      </c>
      <c r="I2327" t="s">
        <v>9</v>
      </c>
      <c r="L2327" t="s">
        <v>161</v>
      </c>
      <c r="M2327">
        <v>786761403</v>
      </c>
    </row>
    <row r="2328" spans="1:13" x14ac:dyDescent="0.3">
      <c r="A2328" s="23">
        <v>45643</v>
      </c>
      <c r="B2328" t="s">
        <v>12</v>
      </c>
      <c r="C2328" t="s">
        <v>132</v>
      </c>
      <c r="D2328" t="s">
        <v>17</v>
      </c>
      <c r="E2328" t="s">
        <v>193</v>
      </c>
      <c r="F2328">
        <v>500000000</v>
      </c>
      <c r="G2328" t="s">
        <v>131</v>
      </c>
      <c r="H2328" t="s">
        <v>81</v>
      </c>
      <c r="I2328" t="s">
        <v>9</v>
      </c>
      <c r="L2328" t="s">
        <v>161</v>
      </c>
      <c r="M2328">
        <v>-500000000</v>
      </c>
    </row>
    <row r="2329" spans="1:13" x14ac:dyDescent="0.3">
      <c r="A2329" s="23">
        <v>45643</v>
      </c>
      <c r="B2329" t="s">
        <v>12</v>
      </c>
      <c r="C2329" t="s">
        <v>132</v>
      </c>
      <c r="D2329" t="s">
        <v>17</v>
      </c>
      <c r="E2329" t="s">
        <v>193</v>
      </c>
      <c r="F2329">
        <v>200000000</v>
      </c>
      <c r="G2329" t="s">
        <v>131</v>
      </c>
      <c r="H2329" t="s">
        <v>81</v>
      </c>
      <c r="I2329" t="s">
        <v>9</v>
      </c>
      <c r="L2329" t="s">
        <v>161</v>
      </c>
      <c r="M2329">
        <v>-200000000</v>
      </c>
    </row>
    <row r="2330" spans="1:13" x14ac:dyDescent="0.3">
      <c r="A2330" s="23">
        <v>45639</v>
      </c>
      <c r="B2330" t="s">
        <v>12</v>
      </c>
      <c r="C2330" t="s">
        <v>132</v>
      </c>
      <c r="D2330" t="s">
        <v>16</v>
      </c>
      <c r="E2330" t="s">
        <v>193</v>
      </c>
      <c r="F2330">
        <v>300000000</v>
      </c>
      <c r="G2330" t="s">
        <v>131</v>
      </c>
      <c r="H2330" t="s">
        <v>81</v>
      </c>
      <c r="I2330" t="s">
        <v>9</v>
      </c>
      <c r="L2330" t="s">
        <v>161</v>
      </c>
      <c r="M2330">
        <v>300000000</v>
      </c>
    </row>
    <row r="2331" spans="1:13" x14ac:dyDescent="0.3">
      <c r="A2331" s="23">
        <v>45639</v>
      </c>
      <c r="B2331" t="s">
        <v>12</v>
      </c>
      <c r="C2331" t="s">
        <v>132</v>
      </c>
      <c r="D2331" t="s">
        <v>17</v>
      </c>
      <c r="E2331" t="s">
        <v>193</v>
      </c>
      <c r="F2331">
        <v>135845202</v>
      </c>
      <c r="G2331" t="s">
        <v>131</v>
      </c>
      <c r="H2331" t="s">
        <v>81</v>
      </c>
      <c r="I2331" t="s">
        <v>9</v>
      </c>
      <c r="L2331" t="s">
        <v>161</v>
      </c>
      <c r="M2331">
        <v>-135845202</v>
      </c>
    </row>
    <row r="2332" spans="1:13" x14ac:dyDescent="0.3">
      <c r="A2332" s="23">
        <v>45637</v>
      </c>
      <c r="B2332" t="s">
        <v>12</v>
      </c>
      <c r="C2332" t="s">
        <v>132</v>
      </c>
      <c r="D2332" t="s">
        <v>17</v>
      </c>
      <c r="E2332" t="s">
        <v>193</v>
      </c>
      <c r="F2332">
        <v>50000000</v>
      </c>
      <c r="G2332" t="s">
        <v>131</v>
      </c>
      <c r="H2332" t="s">
        <v>81</v>
      </c>
      <c r="I2332" t="s">
        <v>9</v>
      </c>
      <c r="L2332" t="s">
        <v>161</v>
      </c>
      <c r="M2332">
        <v>-50000000</v>
      </c>
    </row>
    <row r="2333" spans="1:13" x14ac:dyDescent="0.3">
      <c r="A2333" s="23">
        <v>45636</v>
      </c>
      <c r="B2333" t="s">
        <v>12</v>
      </c>
      <c r="C2333" t="s">
        <v>132</v>
      </c>
      <c r="D2333" t="s">
        <v>16</v>
      </c>
      <c r="E2333" t="s">
        <v>193</v>
      </c>
      <c r="F2333">
        <v>445191001</v>
      </c>
      <c r="G2333" t="s">
        <v>131</v>
      </c>
      <c r="H2333" t="s">
        <v>81</v>
      </c>
      <c r="I2333" t="s">
        <v>9</v>
      </c>
      <c r="L2333" t="s">
        <v>161</v>
      </c>
      <c r="M2333">
        <v>445191001</v>
      </c>
    </row>
    <row r="2334" spans="1:13" x14ac:dyDescent="0.3">
      <c r="A2334" s="23">
        <v>45635</v>
      </c>
      <c r="B2334" t="s">
        <v>12</v>
      </c>
      <c r="C2334" t="s">
        <v>132</v>
      </c>
      <c r="D2334" t="s">
        <v>17</v>
      </c>
      <c r="E2334" t="s">
        <v>193</v>
      </c>
      <c r="F2334">
        <v>300000000</v>
      </c>
      <c r="G2334" t="s">
        <v>131</v>
      </c>
      <c r="H2334" t="s">
        <v>81</v>
      </c>
      <c r="I2334" t="s">
        <v>9</v>
      </c>
      <c r="L2334" t="s">
        <v>161</v>
      </c>
      <c r="M2334">
        <v>-300000000</v>
      </c>
    </row>
    <row r="2335" spans="1:13" x14ac:dyDescent="0.3">
      <c r="A2335" s="23">
        <v>45631</v>
      </c>
      <c r="B2335" t="s">
        <v>12</v>
      </c>
      <c r="C2335" t="s">
        <v>132</v>
      </c>
      <c r="D2335" t="s">
        <v>16</v>
      </c>
      <c r="E2335" t="s">
        <v>193</v>
      </c>
      <c r="F2335">
        <v>139496700</v>
      </c>
      <c r="G2335" t="s">
        <v>131</v>
      </c>
      <c r="H2335" t="s">
        <v>81</v>
      </c>
      <c r="I2335" t="s">
        <v>9</v>
      </c>
      <c r="L2335" t="s">
        <v>161</v>
      </c>
      <c r="M2335">
        <v>139496700</v>
      </c>
    </row>
    <row r="2336" spans="1:13" x14ac:dyDescent="0.3">
      <c r="A2336" s="23">
        <v>45631</v>
      </c>
      <c r="B2336" t="s">
        <v>12</v>
      </c>
      <c r="C2336" t="s">
        <v>132</v>
      </c>
      <c r="D2336" t="s">
        <v>16</v>
      </c>
      <c r="E2336" t="s">
        <v>193</v>
      </c>
      <c r="F2336">
        <v>138285600</v>
      </c>
      <c r="G2336" t="s">
        <v>131</v>
      </c>
      <c r="H2336" t="s">
        <v>81</v>
      </c>
      <c r="I2336" t="s">
        <v>9</v>
      </c>
      <c r="L2336" t="s">
        <v>161</v>
      </c>
      <c r="M2336">
        <v>138285600</v>
      </c>
    </row>
    <row r="2337" spans="1:13" x14ac:dyDescent="0.3">
      <c r="A2337" s="23">
        <v>45630</v>
      </c>
      <c r="B2337" t="s">
        <v>12</v>
      </c>
      <c r="C2337" t="s">
        <v>132</v>
      </c>
      <c r="D2337" t="s">
        <v>16</v>
      </c>
      <c r="E2337" t="s">
        <v>193</v>
      </c>
      <c r="F2337">
        <v>14490569</v>
      </c>
      <c r="G2337" t="s">
        <v>131</v>
      </c>
      <c r="H2337" t="s">
        <v>81</v>
      </c>
      <c r="I2337" t="s">
        <v>9</v>
      </c>
      <c r="L2337" t="s">
        <v>161</v>
      </c>
      <c r="M2337">
        <v>14490569</v>
      </c>
    </row>
    <row r="2338" spans="1:13" x14ac:dyDescent="0.3">
      <c r="A2338" s="23">
        <v>45629</v>
      </c>
      <c r="B2338" t="s">
        <v>12</v>
      </c>
      <c r="C2338" t="s">
        <v>132</v>
      </c>
      <c r="D2338" t="s">
        <v>17</v>
      </c>
      <c r="E2338" t="s">
        <v>193</v>
      </c>
      <c r="F2338">
        <v>200000000</v>
      </c>
      <c r="G2338" t="s">
        <v>131</v>
      </c>
      <c r="H2338" t="s">
        <v>81</v>
      </c>
      <c r="I2338" t="s">
        <v>9</v>
      </c>
      <c r="L2338" t="s">
        <v>161</v>
      </c>
      <c r="M2338">
        <v>-200000000</v>
      </c>
    </row>
    <row r="2339" spans="1:13" x14ac:dyDescent="0.3">
      <c r="A2339" s="23">
        <v>45625</v>
      </c>
      <c r="B2339" t="s">
        <v>12</v>
      </c>
      <c r="C2339" t="s">
        <v>132</v>
      </c>
      <c r="D2339" t="s">
        <v>16</v>
      </c>
      <c r="E2339" t="s">
        <v>193</v>
      </c>
      <c r="F2339">
        <v>16530000</v>
      </c>
      <c r="G2339" t="s">
        <v>131</v>
      </c>
      <c r="H2339" t="s">
        <v>81</v>
      </c>
      <c r="I2339" t="s">
        <v>9</v>
      </c>
      <c r="L2339" t="s">
        <v>161</v>
      </c>
      <c r="M2339">
        <v>16530000</v>
      </c>
    </row>
    <row r="2340" spans="1:13" x14ac:dyDescent="0.3">
      <c r="A2340" s="23">
        <v>45625</v>
      </c>
      <c r="B2340" t="s">
        <v>12</v>
      </c>
      <c r="C2340" t="s">
        <v>132</v>
      </c>
      <c r="D2340" t="s">
        <v>17</v>
      </c>
      <c r="E2340" t="s">
        <v>193</v>
      </c>
      <c r="F2340">
        <v>300000000</v>
      </c>
      <c r="G2340" t="s">
        <v>131</v>
      </c>
      <c r="H2340" t="s">
        <v>81</v>
      </c>
      <c r="I2340" t="s">
        <v>9</v>
      </c>
      <c r="L2340" t="s">
        <v>161</v>
      </c>
      <c r="M2340">
        <v>-300000000</v>
      </c>
    </row>
    <row r="2341" spans="1:13" x14ac:dyDescent="0.3">
      <c r="A2341" s="23">
        <v>45624</v>
      </c>
      <c r="B2341" t="s">
        <v>12</v>
      </c>
      <c r="C2341" t="s">
        <v>132</v>
      </c>
      <c r="D2341" t="s">
        <v>17</v>
      </c>
      <c r="E2341" t="s">
        <v>193</v>
      </c>
      <c r="F2341">
        <v>84796166</v>
      </c>
      <c r="G2341" t="s">
        <v>131</v>
      </c>
      <c r="H2341" t="s">
        <v>81</v>
      </c>
      <c r="I2341" t="s">
        <v>9</v>
      </c>
      <c r="L2341" t="s">
        <v>161</v>
      </c>
      <c r="M2341">
        <v>-84796166</v>
      </c>
    </row>
    <row r="2342" spans="1:13" x14ac:dyDescent="0.3">
      <c r="A2342" s="23">
        <v>45622</v>
      </c>
      <c r="B2342" t="s">
        <v>12</v>
      </c>
      <c r="C2342" t="s">
        <v>132</v>
      </c>
      <c r="D2342" t="s">
        <v>16</v>
      </c>
      <c r="E2342" t="s">
        <v>193</v>
      </c>
      <c r="F2342">
        <v>267094388.41999999</v>
      </c>
      <c r="G2342" t="s">
        <v>131</v>
      </c>
      <c r="H2342" t="s">
        <v>81</v>
      </c>
      <c r="I2342" t="s">
        <v>9</v>
      </c>
      <c r="L2342" t="s">
        <v>161</v>
      </c>
      <c r="M2342">
        <v>267094388.41999999</v>
      </c>
    </row>
    <row r="2343" spans="1:13" x14ac:dyDescent="0.3">
      <c r="A2343" s="23">
        <v>45621</v>
      </c>
      <c r="B2343" t="s">
        <v>12</v>
      </c>
      <c r="C2343" t="s">
        <v>132</v>
      </c>
      <c r="D2343" t="s">
        <v>17</v>
      </c>
      <c r="E2343" t="s">
        <v>193</v>
      </c>
      <c r="F2343">
        <v>500000000</v>
      </c>
      <c r="G2343" t="s">
        <v>131</v>
      </c>
      <c r="H2343" t="s">
        <v>81</v>
      </c>
      <c r="I2343" t="s">
        <v>9</v>
      </c>
      <c r="L2343" t="s">
        <v>161</v>
      </c>
      <c r="M2343">
        <v>-500000000</v>
      </c>
    </row>
    <row r="2344" spans="1:13" x14ac:dyDescent="0.3">
      <c r="A2344" s="23">
        <v>45617</v>
      </c>
      <c r="B2344" t="s">
        <v>12</v>
      </c>
      <c r="C2344" t="s">
        <v>132</v>
      </c>
      <c r="D2344" t="s">
        <v>17</v>
      </c>
      <c r="E2344" t="s">
        <v>193</v>
      </c>
      <c r="F2344">
        <v>32477717</v>
      </c>
      <c r="G2344" t="s">
        <v>131</v>
      </c>
      <c r="H2344" t="s">
        <v>81</v>
      </c>
      <c r="I2344" t="s">
        <v>9</v>
      </c>
      <c r="L2344" t="s">
        <v>161</v>
      </c>
      <c r="M2344">
        <v>-32477717</v>
      </c>
    </row>
    <row r="2345" spans="1:13" x14ac:dyDescent="0.3">
      <c r="A2345" s="23">
        <v>45617</v>
      </c>
      <c r="B2345" t="s">
        <v>12</v>
      </c>
      <c r="C2345" t="s">
        <v>132</v>
      </c>
      <c r="D2345" t="s">
        <v>17</v>
      </c>
      <c r="E2345" t="s">
        <v>193</v>
      </c>
      <c r="F2345">
        <v>32000000</v>
      </c>
      <c r="G2345" t="s">
        <v>131</v>
      </c>
      <c r="H2345" t="s">
        <v>81</v>
      </c>
      <c r="I2345" t="s">
        <v>9</v>
      </c>
      <c r="L2345" t="s">
        <v>161</v>
      </c>
      <c r="M2345">
        <v>-32000000</v>
      </c>
    </row>
    <row r="2346" spans="1:13" x14ac:dyDescent="0.3">
      <c r="A2346" s="23">
        <v>45616</v>
      </c>
      <c r="B2346" t="s">
        <v>12</v>
      </c>
      <c r="C2346" t="s">
        <v>132</v>
      </c>
      <c r="D2346" t="s">
        <v>16</v>
      </c>
      <c r="E2346" t="s">
        <v>193</v>
      </c>
      <c r="F2346">
        <v>534714859</v>
      </c>
      <c r="G2346" t="s">
        <v>131</v>
      </c>
      <c r="H2346" t="s">
        <v>81</v>
      </c>
      <c r="I2346" t="s">
        <v>9</v>
      </c>
      <c r="L2346" t="s">
        <v>161</v>
      </c>
      <c r="M2346">
        <v>534714859</v>
      </c>
    </row>
    <row r="2347" spans="1:13" x14ac:dyDescent="0.3">
      <c r="A2347" s="23">
        <v>45616</v>
      </c>
      <c r="B2347" t="s">
        <v>12</v>
      </c>
      <c r="C2347" t="s">
        <v>132</v>
      </c>
      <c r="D2347" t="s">
        <v>17</v>
      </c>
      <c r="E2347" t="s">
        <v>193</v>
      </c>
      <c r="F2347">
        <v>114500000</v>
      </c>
      <c r="G2347" t="s">
        <v>131</v>
      </c>
      <c r="H2347" t="s">
        <v>81</v>
      </c>
      <c r="I2347" t="s">
        <v>9</v>
      </c>
      <c r="L2347" t="s">
        <v>161</v>
      </c>
      <c r="M2347">
        <v>-114500000</v>
      </c>
    </row>
    <row r="2348" spans="1:13" x14ac:dyDescent="0.3">
      <c r="A2348" s="23">
        <v>45616</v>
      </c>
      <c r="B2348" t="s">
        <v>12</v>
      </c>
      <c r="C2348" t="s">
        <v>132</v>
      </c>
      <c r="D2348" t="s">
        <v>17</v>
      </c>
      <c r="E2348" t="s">
        <v>193</v>
      </c>
      <c r="F2348">
        <v>114665440</v>
      </c>
      <c r="G2348" t="s">
        <v>131</v>
      </c>
      <c r="H2348" t="s">
        <v>81</v>
      </c>
      <c r="I2348" t="s">
        <v>9</v>
      </c>
      <c r="L2348" t="s">
        <v>161</v>
      </c>
      <c r="M2348">
        <v>-114665440</v>
      </c>
    </row>
    <row r="2349" spans="1:13" x14ac:dyDescent="0.3">
      <c r="A2349" s="23">
        <v>45610</v>
      </c>
      <c r="B2349" t="s">
        <v>12</v>
      </c>
      <c r="C2349" t="s">
        <v>132</v>
      </c>
      <c r="D2349" t="s">
        <v>17</v>
      </c>
      <c r="E2349" t="s">
        <v>193</v>
      </c>
      <c r="F2349">
        <v>117542908.31</v>
      </c>
      <c r="G2349" t="s">
        <v>131</v>
      </c>
      <c r="H2349" t="s">
        <v>81</v>
      </c>
      <c r="I2349" t="s">
        <v>9</v>
      </c>
      <c r="L2349" t="s">
        <v>161</v>
      </c>
      <c r="M2349">
        <v>-117542908.31</v>
      </c>
    </row>
    <row r="2350" spans="1:13" x14ac:dyDescent="0.3">
      <c r="A2350" s="23">
        <v>45608</v>
      </c>
      <c r="B2350" t="s">
        <v>12</v>
      </c>
      <c r="C2350" t="s">
        <v>132</v>
      </c>
      <c r="D2350" t="s">
        <v>16</v>
      </c>
      <c r="E2350" t="s">
        <v>193</v>
      </c>
      <c r="F2350">
        <v>197263977</v>
      </c>
      <c r="G2350" t="s">
        <v>131</v>
      </c>
      <c r="H2350" t="s">
        <v>81</v>
      </c>
      <c r="I2350" t="s">
        <v>9</v>
      </c>
      <c r="L2350" t="s">
        <v>161</v>
      </c>
      <c r="M2350">
        <v>197263977</v>
      </c>
    </row>
    <row r="2351" spans="1:13" x14ac:dyDescent="0.3">
      <c r="A2351" s="23">
        <v>45609</v>
      </c>
      <c r="B2351" t="s">
        <v>12</v>
      </c>
      <c r="C2351" t="s">
        <v>132</v>
      </c>
      <c r="D2351" t="s">
        <v>17</v>
      </c>
      <c r="E2351" t="s">
        <v>193</v>
      </c>
      <c r="F2351">
        <v>114073120</v>
      </c>
      <c r="G2351" t="s">
        <v>131</v>
      </c>
      <c r="H2351" t="s">
        <v>81</v>
      </c>
      <c r="I2351" t="s">
        <v>9</v>
      </c>
      <c r="L2351" t="s">
        <v>161</v>
      </c>
      <c r="M2351">
        <v>-114073120</v>
      </c>
    </row>
    <row r="2352" spans="1:13" x14ac:dyDescent="0.3">
      <c r="A2352" s="23">
        <v>45609</v>
      </c>
      <c r="B2352" t="s">
        <v>12</v>
      </c>
      <c r="C2352" t="s">
        <v>132</v>
      </c>
      <c r="D2352" t="s">
        <v>17</v>
      </c>
      <c r="E2352" t="s">
        <v>193</v>
      </c>
      <c r="F2352">
        <v>170421457</v>
      </c>
      <c r="G2352" t="s">
        <v>131</v>
      </c>
      <c r="H2352" t="s">
        <v>81</v>
      </c>
      <c r="I2352" t="s">
        <v>9</v>
      </c>
      <c r="L2352" t="s">
        <v>161</v>
      </c>
      <c r="M2352">
        <v>-170421457</v>
      </c>
    </row>
    <row r="2353" spans="1:13" x14ac:dyDescent="0.3">
      <c r="A2353" s="23">
        <v>45608</v>
      </c>
      <c r="B2353" t="s">
        <v>12</v>
      </c>
      <c r="C2353" t="s">
        <v>132</v>
      </c>
      <c r="D2353" t="s">
        <v>16</v>
      </c>
      <c r="E2353" t="s">
        <v>193</v>
      </c>
      <c r="F2353">
        <v>1000000000</v>
      </c>
      <c r="G2353" t="s">
        <v>131</v>
      </c>
      <c r="H2353" t="s">
        <v>81</v>
      </c>
      <c r="I2353" t="s">
        <v>9</v>
      </c>
      <c r="L2353" t="s">
        <v>161</v>
      </c>
      <c r="M2353">
        <v>1000000000</v>
      </c>
    </row>
    <row r="2354" spans="1:13" x14ac:dyDescent="0.3">
      <c r="A2354" s="23">
        <v>45607</v>
      </c>
      <c r="B2354" t="s">
        <v>12</v>
      </c>
      <c r="C2354" t="s">
        <v>132</v>
      </c>
      <c r="D2354" t="s">
        <v>16</v>
      </c>
      <c r="E2354" t="s">
        <v>193</v>
      </c>
      <c r="F2354">
        <v>4732924</v>
      </c>
      <c r="G2354" t="s">
        <v>131</v>
      </c>
      <c r="H2354" t="s">
        <v>81</v>
      </c>
      <c r="I2354" t="s">
        <v>9</v>
      </c>
      <c r="L2354" t="s">
        <v>161</v>
      </c>
      <c r="M2354">
        <v>4732924</v>
      </c>
    </row>
    <row r="2355" spans="1:13" x14ac:dyDescent="0.3">
      <c r="A2355" s="23">
        <v>45604</v>
      </c>
      <c r="B2355" t="s">
        <v>12</v>
      </c>
      <c r="C2355" t="s">
        <v>132</v>
      </c>
      <c r="D2355" t="s">
        <v>17</v>
      </c>
      <c r="E2355" t="s">
        <v>193</v>
      </c>
      <c r="F2355">
        <v>130000000</v>
      </c>
      <c r="G2355" t="s">
        <v>131</v>
      </c>
      <c r="H2355" t="s">
        <v>81</v>
      </c>
      <c r="I2355" t="s">
        <v>9</v>
      </c>
      <c r="L2355" t="s">
        <v>161</v>
      </c>
      <c r="M2355">
        <v>-130000000</v>
      </c>
    </row>
    <row r="2356" spans="1:13" x14ac:dyDescent="0.3">
      <c r="A2356" s="23">
        <v>45603</v>
      </c>
      <c r="B2356" t="s">
        <v>12</v>
      </c>
      <c r="C2356" t="s">
        <v>132</v>
      </c>
      <c r="D2356" t="s">
        <v>16</v>
      </c>
      <c r="E2356" t="s">
        <v>193</v>
      </c>
      <c r="F2356">
        <v>74103700</v>
      </c>
      <c r="G2356" t="s">
        <v>131</v>
      </c>
      <c r="H2356" t="s">
        <v>81</v>
      </c>
      <c r="I2356" t="s">
        <v>9</v>
      </c>
      <c r="L2356" t="s">
        <v>161</v>
      </c>
      <c r="M2356">
        <v>74103700</v>
      </c>
    </row>
    <row r="2357" spans="1:13" x14ac:dyDescent="0.3">
      <c r="A2357" s="23">
        <v>45601</v>
      </c>
      <c r="B2357" t="s">
        <v>12</v>
      </c>
      <c r="C2357" t="s">
        <v>132</v>
      </c>
      <c r="D2357" t="s">
        <v>17</v>
      </c>
      <c r="E2357" t="s">
        <v>193</v>
      </c>
      <c r="F2357">
        <v>66012174.340000004</v>
      </c>
      <c r="G2357" t="s">
        <v>131</v>
      </c>
      <c r="H2357" t="s">
        <v>81</v>
      </c>
      <c r="I2357" t="s">
        <v>9</v>
      </c>
      <c r="L2357" t="s">
        <v>161</v>
      </c>
      <c r="M2357">
        <v>-66012174.340000004</v>
      </c>
    </row>
    <row r="2358" spans="1:13" x14ac:dyDescent="0.3">
      <c r="A2358" s="23">
        <v>45600</v>
      </c>
      <c r="B2358" t="s">
        <v>12</v>
      </c>
      <c r="C2358" t="s">
        <v>132</v>
      </c>
      <c r="D2358" t="s">
        <v>16</v>
      </c>
      <c r="E2358" t="s">
        <v>193</v>
      </c>
      <c r="F2358">
        <v>71770580</v>
      </c>
      <c r="G2358" t="s">
        <v>131</v>
      </c>
      <c r="H2358" t="s">
        <v>81</v>
      </c>
      <c r="I2358" t="s">
        <v>9</v>
      </c>
      <c r="L2358" t="s">
        <v>161</v>
      </c>
      <c r="M2358">
        <v>71770580</v>
      </c>
    </row>
    <row r="2359" spans="1:13" x14ac:dyDescent="0.3">
      <c r="A2359" s="23">
        <v>45583</v>
      </c>
      <c r="B2359" t="s">
        <v>12</v>
      </c>
      <c r="C2359" t="s">
        <v>132</v>
      </c>
      <c r="D2359" t="s">
        <v>16</v>
      </c>
      <c r="E2359" t="s">
        <v>193</v>
      </c>
      <c r="F2359">
        <v>5559054.0999999996</v>
      </c>
      <c r="G2359" t="s">
        <v>131</v>
      </c>
      <c r="H2359" t="s">
        <v>81</v>
      </c>
      <c r="I2359" t="s">
        <v>9</v>
      </c>
      <c r="L2359" t="s">
        <v>161</v>
      </c>
      <c r="M2359">
        <v>5559054.0999999996</v>
      </c>
    </row>
    <row r="2360" spans="1:13" x14ac:dyDescent="0.3">
      <c r="A2360" s="23">
        <v>45583</v>
      </c>
      <c r="B2360" t="s">
        <v>12</v>
      </c>
      <c r="C2360" t="s">
        <v>132</v>
      </c>
      <c r="D2360" t="s">
        <v>17</v>
      </c>
      <c r="E2360" t="s">
        <v>193</v>
      </c>
      <c r="F2360">
        <v>129214960.06</v>
      </c>
      <c r="G2360" t="s">
        <v>131</v>
      </c>
      <c r="H2360" t="s">
        <v>81</v>
      </c>
      <c r="I2360" t="s">
        <v>9</v>
      </c>
      <c r="L2360" t="s">
        <v>161</v>
      </c>
      <c r="M2360">
        <v>-129214960.06</v>
      </c>
    </row>
    <row r="2361" spans="1:13" x14ac:dyDescent="0.3">
      <c r="A2361" s="23">
        <v>45579</v>
      </c>
      <c r="B2361" t="s">
        <v>12</v>
      </c>
      <c r="C2361" t="s">
        <v>132</v>
      </c>
      <c r="D2361" t="s">
        <v>17</v>
      </c>
      <c r="E2361" t="s">
        <v>193</v>
      </c>
      <c r="F2361">
        <v>100000000</v>
      </c>
      <c r="G2361" t="s">
        <v>131</v>
      </c>
      <c r="H2361" t="s">
        <v>81</v>
      </c>
      <c r="I2361" t="s">
        <v>9</v>
      </c>
      <c r="L2361" t="s">
        <v>161</v>
      </c>
      <c r="M2361">
        <v>-100000000</v>
      </c>
    </row>
    <row r="2362" spans="1:13" x14ac:dyDescent="0.3">
      <c r="A2362" s="23">
        <v>45569</v>
      </c>
      <c r="B2362" t="s">
        <v>12</v>
      </c>
      <c r="C2362" t="s">
        <v>132</v>
      </c>
      <c r="D2362" t="s">
        <v>17</v>
      </c>
      <c r="E2362" t="s">
        <v>193</v>
      </c>
      <c r="F2362">
        <v>170332796.90000001</v>
      </c>
      <c r="G2362" t="s">
        <v>131</v>
      </c>
      <c r="H2362" t="s">
        <v>81</v>
      </c>
      <c r="I2362" t="s">
        <v>9</v>
      </c>
      <c r="L2362" t="s">
        <v>161</v>
      </c>
      <c r="M2362">
        <v>-170332796.90000001</v>
      </c>
    </row>
    <row r="2363" spans="1:13" x14ac:dyDescent="0.3">
      <c r="A2363" s="23">
        <v>45568</v>
      </c>
      <c r="B2363" t="s">
        <v>12</v>
      </c>
      <c r="C2363" t="s">
        <v>132</v>
      </c>
      <c r="D2363" t="s">
        <v>16</v>
      </c>
      <c r="E2363" t="s">
        <v>193</v>
      </c>
      <c r="F2363">
        <v>430810399</v>
      </c>
      <c r="G2363" t="s">
        <v>131</v>
      </c>
      <c r="H2363" t="s">
        <v>81</v>
      </c>
      <c r="I2363" t="s">
        <v>9</v>
      </c>
      <c r="L2363" t="s">
        <v>161</v>
      </c>
      <c r="M2363">
        <v>430810399</v>
      </c>
    </row>
    <row r="2364" spans="1:13" x14ac:dyDescent="0.3">
      <c r="A2364" s="23">
        <v>45565</v>
      </c>
      <c r="B2364" t="s">
        <v>12</v>
      </c>
      <c r="C2364" t="s">
        <v>132</v>
      </c>
      <c r="D2364" t="s">
        <v>16</v>
      </c>
      <c r="E2364" t="s">
        <v>193</v>
      </c>
      <c r="F2364">
        <v>1650000</v>
      </c>
      <c r="G2364" t="s">
        <v>131</v>
      </c>
      <c r="H2364" t="s">
        <v>81</v>
      </c>
      <c r="I2364" t="s">
        <v>9</v>
      </c>
      <c r="L2364" t="s">
        <v>161</v>
      </c>
      <c r="M2364">
        <v>1650000</v>
      </c>
    </row>
    <row r="2365" spans="1:13" x14ac:dyDescent="0.3">
      <c r="A2365" s="23">
        <v>45538</v>
      </c>
      <c r="B2365" t="s">
        <v>12</v>
      </c>
      <c r="C2365" t="s">
        <v>132</v>
      </c>
      <c r="D2365" t="s">
        <v>16</v>
      </c>
      <c r="E2365" t="s">
        <v>193</v>
      </c>
      <c r="F2365">
        <v>5914000</v>
      </c>
      <c r="G2365" t="s">
        <v>131</v>
      </c>
      <c r="H2365" t="s">
        <v>81</v>
      </c>
      <c r="I2365" t="s">
        <v>9</v>
      </c>
      <c r="L2365" t="s">
        <v>161</v>
      </c>
      <c r="M2365">
        <v>5914000</v>
      </c>
    </row>
    <row r="2366" spans="1:13" x14ac:dyDescent="0.3">
      <c r="A2366" s="23">
        <v>45530</v>
      </c>
      <c r="B2366" t="s">
        <v>12</v>
      </c>
      <c r="C2366" t="s">
        <v>132</v>
      </c>
      <c r="D2366" t="s">
        <v>17</v>
      </c>
      <c r="E2366" t="s">
        <v>193</v>
      </c>
      <c r="F2366">
        <v>200000000</v>
      </c>
      <c r="G2366" t="s">
        <v>131</v>
      </c>
      <c r="H2366" t="s">
        <v>81</v>
      </c>
      <c r="I2366" t="s">
        <v>9</v>
      </c>
      <c r="L2366" t="s">
        <v>161</v>
      </c>
      <c r="M2366">
        <v>-200000000</v>
      </c>
    </row>
    <row r="2367" spans="1:13" x14ac:dyDescent="0.3">
      <c r="A2367" s="23">
        <v>45527</v>
      </c>
      <c r="B2367" t="s">
        <v>12</v>
      </c>
      <c r="C2367" t="s">
        <v>132</v>
      </c>
      <c r="D2367" t="s">
        <v>17</v>
      </c>
      <c r="E2367" t="s">
        <v>193</v>
      </c>
      <c r="F2367">
        <v>245813258</v>
      </c>
      <c r="G2367" t="s">
        <v>131</v>
      </c>
      <c r="H2367" t="s">
        <v>81</v>
      </c>
      <c r="I2367" t="s">
        <v>9</v>
      </c>
      <c r="L2367" t="s">
        <v>161</v>
      </c>
      <c r="M2367">
        <v>-245813258</v>
      </c>
    </row>
    <row r="2368" spans="1:13" x14ac:dyDescent="0.3">
      <c r="A2368" s="23">
        <v>45518</v>
      </c>
      <c r="B2368" t="s">
        <v>12</v>
      </c>
      <c r="C2368" t="s">
        <v>132</v>
      </c>
      <c r="D2368" t="s">
        <v>16</v>
      </c>
      <c r="E2368" t="s">
        <v>193</v>
      </c>
      <c r="F2368">
        <v>113313155</v>
      </c>
      <c r="G2368" t="s">
        <v>131</v>
      </c>
      <c r="H2368" t="s">
        <v>81</v>
      </c>
      <c r="I2368" t="s">
        <v>9</v>
      </c>
      <c r="L2368" t="s">
        <v>161</v>
      </c>
      <c r="M2368">
        <v>113313155</v>
      </c>
    </row>
    <row r="2369" spans="1:13" x14ac:dyDescent="0.3">
      <c r="A2369" s="23">
        <v>45503</v>
      </c>
      <c r="B2369" t="s">
        <v>12</v>
      </c>
      <c r="C2369" t="s">
        <v>132</v>
      </c>
      <c r="D2369" t="s">
        <v>17</v>
      </c>
      <c r="E2369" t="s">
        <v>193</v>
      </c>
      <c r="F2369">
        <v>502892125</v>
      </c>
      <c r="G2369" t="s">
        <v>131</v>
      </c>
      <c r="H2369" t="s">
        <v>81</v>
      </c>
      <c r="I2369" t="s">
        <v>9</v>
      </c>
      <c r="L2369" t="s">
        <v>161</v>
      </c>
      <c r="M2369">
        <v>-502892125</v>
      </c>
    </row>
    <row r="2370" spans="1:13" x14ac:dyDescent="0.3">
      <c r="A2370" s="23">
        <v>45470</v>
      </c>
      <c r="B2370" t="s">
        <v>12</v>
      </c>
      <c r="C2370" t="s">
        <v>132</v>
      </c>
      <c r="D2370" t="s">
        <v>17</v>
      </c>
      <c r="E2370" t="s">
        <v>193</v>
      </c>
      <c r="F2370">
        <v>152842471</v>
      </c>
      <c r="G2370" t="s">
        <v>131</v>
      </c>
      <c r="H2370" t="s">
        <v>81</v>
      </c>
      <c r="I2370" t="s">
        <v>9</v>
      </c>
      <c r="L2370" t="s">
        <v>161</v>
      </c>
      <c r="M2370">
        <v>-152842471</v>
      </c>
    </row>
    <row r="2371" spans="1:13" x14ac:dyDescent="0.3">
      <c r="A2371" s="23">
        <v>45469</v>
      </c>
      <c r="B2371" t="s">
        <v>12</v>
      </c>
      <c r="C2371" t="s">
        <v>132</v>
      </c>
      <c r="D2371" t="s">
        <v>17</v>
      </c>
      <c r="E2371" t="s">
        <v>193</v>
      </c>
      <c r="F2371">
        <v>478182807</v>
      </c>
      <c r="G2371" t="s">
        <v>131</v>
      </c>
      <c r="H2371" t="s">
        <v>81</v>
      </c>
      <c r="I2371" t="s">
        <v>9</v>
      </c>
      <c r="L2371" t="s">
        <v>161</v>
      </c>
      <c r="M2371">
        <v>-478182807</v>
      </c>
    </row>
    <row r="2372" spans="1:13" x14ac:dyDescent="0.3">
      <c r="A2372" s="23">
        <v>45460</v>
      </c>
      <c r="B2372" t="s">
        <v>12</v>
      </c>
      <c r="C2372" t="s">
        <v>132</v>
      </c>
      <c r="D2372" t="s">
        <v>16</v>
      </c>
      <c r="E2372" t="s">
        <v>193</v>
      </c>
      <c r="F2372">
        <v>22300000</v>
      </c>
      <c r="G2372" t="s">
        <v>131</v>
      </c>
      <c r="H2372" t="s">
        <v>81</v>
      </c>
      <c r="I2372" t="s">
        <v>9</v>
      </c>
      <c r="L2372" t="s">
        <v>161</v>
      </c>
      <c r="M2372">
        <v>22300000</v>
      </c>
    </row>
    <row r="2373" spans="1:13" x14ac:dyDescent="0.3">
      <c r="A2373" s="23">
        <v>45456</v>
      </c>
      <c r="B2373" t="s">
        <v>12</v>
      </c>
      <c r="C2373" t="s">
        <v>132</v>
      </c>
      <c r="D2373" t="s">
        <v>16</v>
      </c>
      <c r="E2373" t="s">
        <v>193</v>
      </c>
      <c r="F2373">
        <v>500000000</v>
      </c>
      <c r="G2373" t="s">
        <v>131</v>
      </c>
      <c r="H2373" t="s">
        <v>81</v>
      </c>
      <c r="I2373" t="s">
        <v>9</v>
      </c>
      <c r="L2373" t="s">
        <v>161</v>
      </c>
      <c r="M2373">
        <v>500000000</v>
      </c>
    </row>
    <row r="2374" spans="1:13" x14ac:dyDescent="0.3">
      <c r="A2374" s="23">
        <v>45440</v>
      </c>
      <c r="B2374" t="s">
        <v>12</v>
      </c>
      <c r="C2374" t="s">
        <v>132</v>
      </c>
      <c r="D2374" t="s">
        <v>16</v>
      </c>
      <c r="E2374" t="s">
        <v>193</v>
      </c>
      <c r="F2374">
        <v>1000000000</v>
      </c>
      <c r="G2374" t="s">
        <v>131</v>
      </c>
      <c r="H2374" t="s">
        <v>81</v>
      </c>
      <c r="I2374" t="s">
        <v>9</v>
      </c>
      <c r="L2374" t="s">
        <v>161</v>
      </c>
      <c r="M2374">
        <v>1000000000</v>
      </c>
    </row>
    <row r="2375" spans="1:13" x14ac:dyDescent="0.3">
      <c r="A2375" s="23">
        <v>45770</v>
      </c>
      <c r="B2375" t="s">
        <v>12</v>
      </c>
      <c r="C2375" t="s">
        <v>132</v>
      </c>
      <c r="D2375" t="s">
        <v>17</v>
      </c>
      <c r="E2375" t="s">
        <v>195</v>
      </c>
      <c r="F2375">
        <v>762540931.87</v>
      </c>
      <c r="G2375" t="s">
        <v>134</v>
      </c>
      <c r="H2375" t="s">
        <v>81</v>
      </c>
      <c r="I2375" t="s">
        <v>9</v>
      </c>
      <c r="L2375" t="s">
        <v>161</v>
      </c>
      <c r="M2375">
        <v>-762540931.87</v>
      </c>
    </row>
    <row r="2376" spans="1:13" x14ac:dyDescent="0.3">
      <c r="A2376" s="23">
        <v>45754</v>
      </c>
      <c r="B2376" t="s">
        <v>12</v>
      </c>
      <c r="C2376" t="s">
        <v>132</v>
      </c>
      <c r="D2376" t="s">
        <v>16</v>
      </c>
      <c r="E2376" t="s">
        <v>195</v>
      </c>
      <c r="F2376">
        <v>537050887</v>
      </c>
      <c r="G2376" t="s">
        <v>134</v>
      </c>
      <c r="H2376" t="s">
        <v>81</v>
      </c>
      <c r="I2376" t="s">
        <v>9</v>
      </c>
      <c r="L2376" t="s">
        <v>161</v>
      </c>
      <c r="M2376">
        <v>537050887</v>
      </c>
    </row>
    <row r="2377" spans="1:13" x14ac:dyDescent="0.3">
      <c r="A2377" s="23">
        <v>45743</v>
      </c>
      <c r="B2377" t="s">
        <v>12</v>
      </c>
      <c r="C2377" t="s">
        <v>132</v>
      </c>
      <c r="D2377" t="s">
        <v>16</v>
      </c>
      <c r="E2377" t="s">
        <v>195</v>
      </c>
      <c r="F2377">
        <v>645359</v>
      </c>
      <c r="G2377" t="s">
        <v>134</v>
      </c>
      <c r="H2377" t="s">
        <v>81</v>
      </c>
      <c r="I2377" t="s">
        <v>9</v>
      </c>
      <c r="L2377" t="s">
        <v>161</v>
      </c>
      <c r="M2377">
        <v>645359</v>
      </c>
    </row>
    <row r="2378" spans="1:13" x14ac:dyDescent="0.3">
      <c r="A2378" s="23">
        <v>45734</v>
      </c>
      <c r="B2378" t="s">
        <v>12</v>
      </c>
      <c r="C2378" t="s">
        <v>132</v>
      </c>
      <c r="D2378" t="s">
        <v>16</v>
      </c>
      <c r="E2378" t="s">
        <v>195</v>
      </c>
      <c r="F2378">
        <v>22831234</v>
      </c>
      <c r="G2378" t="s">
        <v>134</v>
      </c>
      <c r="H2378" t="s">
        <v>81</v>
      </c>
      <c r="I2378" t="s">
        <v>9</v>
      </c>
      <c r="L2378" t="s">
        <v>161</v>
      </c>
      <c r="M2378">
        <v>22831234</v>
      </c>
    </row>
    <row r="2379" spans="1:13" x14ac:dyDescent="0.3">
      <c r="A2379" s="23">
        <v>45734</v>
      </c>
      <c r="B2379" t="s">
        <v>12</v>
      </c>
      <c r="C2379" t="s">
        <v>132</v>
      </c>
      <c r="D2379" t="s">
        <v>17</v>
      </c>
      <c r="E2379" t="s">
        <v>195</v>
      </c>
      <c r="F2379">
        <v>100000000</v>
      </c>
      <c r="G2379" t="s">
        <v>134</v>
      </c>
      <c r="H2379" t="s">
        <v>81</v>
      </c>
      <c r="I2379" t="s">
        <v>9</v>
      </c>
      <c r="L2379" t="s">
        <v>161</v>
      </c>
      <c r="M2379">
        <v>-100000000</v>
      </c>
    </row>
    <row r="2380" spans="1:13" x14ac:dyDescent="0.3">
      <c r="A2380" s="23">
        <v>45734</v>
      </c>
      <c r="B2380" t="s">
        <v>12</v>
      </c>
      <c r="C2380" t="s">
        <v>132</v>
      </c>
      <c r="D2380" t="s">
        <v>17</v>
      </c>
      <c r="E2380" t="s">
        <v>195</v>
      </c>
      <c r="F2380">
        <v>70000000</v>
      </c>
      <c r="G2380" t="s">
        <v>134</v>
      </c>
      <c r="H2380" t="s">
        <v>81</v>
      </c>
      <c r="I2380" t="s">
        <v>9</v>
      </c>
      <c r="L2380" t="s">
        <v>161</v>
      </c>
      <c r="M2380">
        <v>-70000000</v>
      </c>
    </row>
    <row r="2381" spans="1:13" x14ac:dyDescent="0.3">
      <c r="A2381" s="23">
        <v>45733</v>
      </c>
      <c r="B2381" t="s">
        <v>12</v>
      </c>
      <c r="C2381" t="s">
        <v>132</v>
      </c>
      <c r="D2381" t="s">
        <v>16</v>
      </c>
      <c r="E2381" t="s">
        <v>195</v>
      </c>
      <c r="F2381">
        <v>149506294</v>
      </c>
      <c r="G2381" t="s">
        <v>134</v>
      </c>
      <c r="H2381" t="s">
        <v>81</v>
      </c>
      <c r="I2381" t="s">
        <v>9</v>
      </c>
      <c r="L2381" t="s">
        <v>161</v>
      </c>
      <c r="M2381">
        <v>149506294</v>
      </c>
    </row>
    <row r="2382" spans="1:13" x14ac:dyDescent="0.3">
      <c r="A2382" s="23">
        <v>45714</v>
      </c>
      <c r="B2382" t="s">
        <v>12</v>
      </c>
      <c r="C2382" t="s">
        <v>132</v>
      </c>
      <c r="D2382" t="s">
        <v>16</v>
      </c>
      <c r="E2382" t="s">
        <v>195</v>
      </c>
      <c r="F2382">
        <v>620095</v>
      </c>
      <c r="G2382" t="s">
        <v>134</v>
      </c>
      <c r="H2382" t="s">
        <v>81</v>
      </c>
      <c r="I2382" t="s">
        <v>9</v>
      </c>
      <c r="L2382" t="s">
        <v>161</v>
      </c>
      <c r="M2382">
        <v>620095</v>
      </c>
    </row>
    <row r="2383" spans="1:13" x14ac:dyDescent="0.3">
      <c r="A2383" s="23">
        <v>45707</v>
      </c>
      <c r="B2383" t="s">
        <v>12</v>
      </c>
      <c r="C2383" t="s">
        <v>132</v>
      </c>
      <c r="D2383" t="s">
        <v>17</v>
      </c>
      <c r="E2383" t="s">
        <v>195</v>
      </c>
      <c r="F2383">
        <v>115183806</v>
      </c>
      <c r="G2383" t="s">
        <v>134</v>
      </c>
      <c r="H2383" t="s">
        <v>81</v>
      </c>
      <c r="I2383" t="s">
        <v>9</v>
      </c>
      <c r="L2383" t="s">
        <v>161</v>
      </c>
      <c r="M2383">
        <v>-115183806</v>
      </c>
    </row>
    <row r="2384" spans="1:13" x14ac:dyDescent="0.3">
      <c r="A2384" s="23">
        <v>45706</v>
      </c>
      <c r="B2384" t="s">
        <v>12</v>
      </c>
      <c r="C2384" t="s">
        <v>132</v>
      </c>
      <c r="D2384" t="s">
        <v>17</v>
      </c>
      <c r="E2384" t="s">
        <v>195</v>
      </c>
      <c r="F2384">
        <v>100591669.55</v>
      </c>
      <c r="G2384" t="s">
        <v>134</v>
      </c>
      <c r="H2384" t="s">
        <v>81</v>
      </c>
      <c r="I2384" t="s">
        <v>9</v>
      </c>
      <c r="L2384" t="s">
        <v>161</v>
      </c>
      <c r="M2384">
        <v>-100591669.55</v>
      </c>
    </row>
    <row r="2385" spans="1:13" x14ac:dyDescent="0.3">
      <c r="A2385" s="23">
        <v>45706</v>
      </c>
      <c r="B2385" t="s">
        <v>12</v>
      </c>
      <c r="C2385" t="s">
        <v>132</v>
      </c>
      <c r="D2385" t="s">
        <v>17</v>
      </c>
      <c r="E2385" t="s">
        <v>195</v>
      </c>
      <c r="F2385">
        <v>176360888</v>
      </c>
      <c r="G2385" t="s">
        <v>134</v>
      </c>
      <c r="H2385" t="s">
        <v>81</v>
      </c>
      <c r="I2385" t="s">
        <v>9</v>
      </c>
      <c r="L2385" t="s">
        <v>161</v>
      </c>
      <c r="M2385">
        <v>-176360888</v>
      </c>
    </row>
    <row r="2386" spans="1:13" x14ac:dyDescent="0.3">
      <c r="A2386" s="23">
        <v>45700</v>
      </c>
      <c r="B2386" t="s">
        <v>12</v>
      </c>
      <c r="C2386" t="s">
        <v>132</v>
      </c>
      <c r="D2386" t="s">
        <v>16</v>
      </c>
      <c r="E2386" t="s">
        <v>195</v>
      </c>
      <c r="F2386">
        <v>400000000</v>
      </c>
      <c r="G2386" t="s">
        <v>134</v>
      </c>
      <c r="H2386" t="s">
        <v>81</v>
      </c>
      <c r="I2386" t="s">
        <v>9</v>
      </c>
      <c r="L2386" t="s">
        <v>161</v>
      </c>
      <c r="M2386">
        <v>400000000</v>
      </c>
    </row>
    <row r="2387" spans="1:13" x14ac:dyDescent="0.3">
      <c r="A2387" s="23">
        <v>45700</v>
      </c>
      <c r="B2387" t="s">
        <v>12</v>
      </c>
      <c r="C2387" t="s">
        <v>132</v>
      </c>
      <c r="D2387" t="s">
        <v>17</v>
      </c>
      <c r="E2387" t="s">
        <v>195</v>
      </c>
      <c r="F2387">
        <v>38644669.579999998</v>
      </c>
      <c r="G2387" t="s">
        <v>134</v>
      </c>
      <c r="H2387" t="s">
        <v>81</v>
      </c>
      <c r="I2387" t="s">
        <v>9</v>
      </c>
      <c r="L2387" t="s">
        <v>161</v>
      </c>
      <c r="M2387">
        <v>-38644669.579999998</v>
      </c>
    </row>
    <row r="2388" spans="1:13" x14ac:dyDescent="0.3">
      <c r="A2388" s="23">
        <v>45700</v>
      </c>
      <c r="B2388" t="s">
        <v>12</v>
      </c>
      <c r="C2388" t="s">
        <v>132</v>
      </c>
      <c r="D2388" t="s">
        <v>17</v>
      </c>
      <c r="E2388" t="s">
        <v>195</v>
      </c>
      <c r="F2388">
        <v>40000000</v>
      </c>
      <c r="G2388" t="s">
        <v>134</v>
      </c>
      <c r="H2388" t="s">
        <v>81</v>
      </c>
      <c r="I2388" t="s">
        <v>9</v>
      </c>
      <c r="L2388" t="s">
        <v>161</v>
      </c>
      <c r="M2388">
        <v>-40000000</v>
      </c>
    </row>
    <row r="2389" spans="1:13" x14ac:dyDescent="0.3">
      <c r="A2389" s="23">
        <v>45699</v>
      </c>
      <c r="B2389" t="s">
        <v>12</v>
      </c>
      <c r="C2389" t="s">
        <v>132</v>
      </c>
      <c r="D2389" t="s">
        <v>17</v>
      </c>
      <c r="E2389" t="s">
        <v>195</v>
      </c>
      <c r="F2389">
        <v>155117108</v>
      </c>
      <c r="G2389" t="s">
        <v>134</v>
      </c>
      <c r="H2389" t="s">
        <v>81</v>
      </c>
      <c r="I2389" t="s">
        <v>9</v>
      </c>
      <c r="L2389" t="s">
        <v>161</v>
      </c>
      <c r="M2389">
        <v>-155117108</v>
      </c>
    </row>
    <row r="2390" spans="1:13" x14ac:dyDescent="0.3">
      <c r="A2390" s="23">
        <v>45691</v>
      </c>
      <c r="B2390" t="s">
        <v>12</v>
      </c>
      <c r="C2390" t="s">
        <v>132</v>
      </c>
      <c r="D2390" t="s">
        <v>16</v>
      </c>
      <c r="E2390" t="s">
        <v>195</v>
      </c>
      <c r="F2390">
        <v>218634000</v>
      </c>
      <c r="G2390" t="s">
        <v>134</v>
      </c>
      <c r="H2390" t="s">
        <v>81</v>
      </c>
      <c r="I2390" t="s">
        <v>9</v>
      </c>
      <c r="L2390" t="s">
        <v>161</v>
      </c>
      <c r="M2390">
        <v>218634000</v>
      </c>
    </row>
    <row r="2391" spans="1:13" x14ac:dyDescent="0.3">
      <c r="A2391" s="23">
        <v>45687</v>
      </c>
      <c r="B2391" t="s">
        <v>12</v>
      </c>
      <c r="C2391" t="s">
        <v>132</v>
      </c>
      <c r="D2391" t="s">
        <v>16</v>
      </c>
      <c r="E2391" t="s">
        <v>195</v>
      </c>
      <c r="F2391">
        <v>142299964</v>
      </c>
      <c r="G2391" t="s">
        <v>134</v>
      </c>
      <c r="H2391" t="s">
        <v>81</v>
      </c>
      <c r="I2391" t="s">
        <v>9</v>
      </c>
      <c r="L2391" t="s">
        <v>161</v>
      </c>
      <c r="M2391">
        <v>142299964</v>
      </c>
    </row>
    <row r="2392" spans="1:13" x14ac:dyDescent="0.3">
      <c r="A2392" s="23">
        <v>45687</v>
      </c>
      <c r="B2392" t="s">
        <v>12</v>
      </c>
      <c r="C2392" t="s">
        <v>132</v>
      </c>
      <c r="D2392" t="s">
        <v>17</v>
      </c>
      <c r="E2392" t="s">
        <v>195</v>
      </c>
      <c r="F2392">
        <v>80000000</v>
      </c>
      <c r="G2392" t="s">
        <v>134</v>
      </c>
      <c r="H2392" t="s">
        <v>81</v>
      </c>
      <c r="I2392" t="s">
        <v>9</v>
      </c>
      <c r="L2392" t="s">
        <v>161</v>
      </c>
      <c r="M2392">
        <v>-80000000</v>
      </c>
    </row>
    <row r="2393" spans="1:13" x14ac:dyDescent="0.3">
      <c r="A2393" s="23">
        <v>45686</v>
      </c>
      <c r="B2393" t="s">
        <v>12</v>
      </c>
      <c r="C2393" t="s">
        <v>132</v>
      </c>
      <c r="D2393" t="s">
        <v>17</v>
      </c>
      <c r="E2393" t="s">
        <v>195</v>
      </c>
      <c r="F2393">
        <v>154148909</v>
      </c>
      <c r="G2393" t="s">
        <v>134</v>
      </c>
      <c r="H2393" t="s">
        <v>81</v>
      </c>
      <c r="I2393" t="s">
        <v>9</v>
      </c>
      <c r="L2393" t="s">
        <v>161</v>
      </c>
      <c r="M2393">
        <v>-154148909</v>
      </c>
    </row>
    <row r="2394" spans="1:13" x14ac:dyDescent="0.3">
      <c r="A2394" s="23">
        <v>45685</v>
      </c>
      <c r="B2394" t="s">
        <v>12</v>
      </c>
      <c r="C2394" t="s">
        <v>132</v>
      </c>
      <c r="D2394" t="s">
        <v>16</v>
      </c>
      <c r="E2394" t="s">
        <v>195</v>
      </c>
      <c r="F2394">
        <v>321000149</v>
      </c>
      <c r="G2394" t="s">
        <v>134</v>
      </c>
      <c r="H2394" t="s">
        <v>81</v>
      </c>
      <c r="I2394" t="s">
        <v>9</v>
      </c>
      <c r="L2394" t="s">
        <v>161</v>
      </c>
      <c r="M2394">
        <v>321000149</v>
      </c>
    </row>
    <row r="2395" spans="1:13" x14ac:dyDescent="0.3">
      <c r="A2395" s="23">
        <v>45679</v>
      </c>
      <c r="B2395" t="s">
        <v>12</v>
      </c>
      <c r="C2395" t="s">
        <v>132</v>
      </c>
      <c r="D2395" t="s">
        <v>17</v>
      </c>
      <c r="E2395" t="s">
        <v>195</v>
      </c>
      <c r="F2395">
        <v>163986137.63</v>
      </c>
      <c r="G2395" t="s">
        <v>134</v>
      </c>
      <c r="H2395" t="s">
        <v>81</v>
      </c>
      <c r="I2395" t="s">
        <v>9</v>
      </c>
      <c r="L2395" t="s">
        <v>161</v>
      </c>
      <c r="M2395">
        <v>-163986137.63</v>
      </c>
    </row>
    <row r="2396" spans="1:13" x14ac:dyDescent="0.3">
      <c r="A2396" s="23">
        <v>45674</v>
      </c>
      <c r="B2396" t="s">
        <v>12</v>
      </c>
      <c r="C2396" t="s">
        <v>132</v>
      </c>
      <c r="D2396" t="s">
        <v>16</v>
      </c>
      <c r="E2396" t="s">
        <v>195</v>
      </c>
      <c r="F2396">
        <v>59470271</v>
      </c>
      <c r="G2396" t="s">
        <v>134</v>
      </c>
      <c r="H2396" t="s">
        <v>81</v>
      </c>
      <c r="I2396" t="s">
        <v>9</v>
      </c>
      <c r="L2396" t="s">
        <v>161</v>
      </c>
      <c r="M2396">
        <v>59470271</v>
      </c>
    </row>
    <row r="2397" spans="1:13" x14ac:dyDescent="0.3">
      <c r="A2397" s="23">
        <v>45674</v>
      </c>
      <c r="B2397" t="s">
        <v>12</v>
      </c>
      <c r="C2397" t="s">
        <v>132</v>
      </c>
      <c r="D2397" t="s">
        <v>17</v>
      </c>
      <c r="E2397" t="s">
        <v>195</v>
      </c>
      <c r="F2397">
        <v>275820693.24000001</v>
      </c>
      <c r="G2397" t="s">
        <v>134</v>
      </c>
      <c r="H2397" t="s">
        <v>81</v>
      </c>
      <c r="I2397" t="s">
        <v>9</v>
      </c>
      <c r="L2397" t="s">
        <v>161</v>
      </c>
      <c r="M2397">
        <v>-275820693.24000001</v>
      </c>
    </row>
    <row r="2398" spans="1:13" x14ac:dyDescent="0.3">
      <c r="A2398" s="23">
        <v>45672</v>
      </c>
      <c r="B2398" t="s">
        <v>12</v>
      </c>
      <c r="C2398" t="s">
        <v>132</v>
      </c>
      <c r="D2398" t="s">
        <v>17</v>
      </c>
      <c r="E2398" t="s">
        <v>195</v>
      </c>
      <c r="F2398">
        <v>1031685856.13</v>
      </c>
      <c r="G2398" t="s">
        <v>134</v>
      </c>
      <c r="H2398" t="s">
        <v>81</v>
      </c>
      <c r="I2398" t="s">
        <v>9</v>
      </c>
      <c r="L2398" t="s">
        <v>161</v>
      </c>
      <c r="M2398">
        <v>-1031685856.13</v>
      </c>
    </row>
    <row r="2399" spans="1:13" x14ac:dyDescent="0.3">
      <c r="A2399" s="23">
        <v>45673</v>
      </c>
      <c r="B2399" t="s">
        <v>12</v>
      </c>
      <c r="C2399" t="s">
        <v>132</v>
      </c>
      <c r="D2399" t="s">
        <v>16</v>
      </c>
      <c r="E2399" t="s">
        <v>195</v>
      </c>
      <c r="F2399">
        <v>177117944</v>
      </c>
      <c r="G2399" t="s">
        <v>134</v>
      </c>
      <c r="H2399" t="s">
        <v>81</v>
      </c>
      <c r="I2399" t="s">
        <v>9</v>
      </c>
      <c r="L2399" t="s">
        <v>161</v>
      </c>
      <c r="M2399">
        <v>177117944</v>
      </c>
    </row>
    <row r="2400" spans="1:13" x14ac:dyDescent="0.3">
      <c r="A2400" s="23">
        <v>45672</v>
      </c>
      <c r="B2400" t="s">
        <v>12</v>
      </c>
      <c r="C2400" t="s">
        <v>132</v>
      </c>
      <c r="D2400" t="s">
        <v>16</v>
      </c>
      <c r="E2400" t="s">
        <v>195</v>
      </c>
      <c r="F2400">
        <v>153866550</v>
      </c>
      <c r="G2400" t="s">
        <v>134</v>
      </c>
      <c r="H2400" t="s">
        <v>81</v>
      </c>
      <c r="I2400" t="s">
        <v>9</v>
      </c>
      <c r="L2400" t="s">
        <v>161</v>
      </c>
      <c r="M2400">
        <v>153866550</v>
      </c>
    </row>
    <row r="2401" spans="1:13" x14ac:dyDescent="0.3">
      <c r="A2401" s="23">
        <v>45671</v>
      </c>
      <c r="B2401" t="s">
        <v>12</v>
      </c>
      <c r="C2401" t="s">
        <v>132</v>
      </c>
      <c r="D2401" t="s">
        <v>16</v>
      </c>
      <c r="E2401" t="s">
        <v>195</v>
      </c>
      <c r="F2401">
        <v>900000000</v>
      </c>
      <c r="G2401" t="s">
        <v>134</v>
      </c>
      <c r="H2401" t="s">
        <v>81</v>
      </c>
      <c r="I2401" t="s">
        <v>9</v>
      </c>
      <c r="L2401" t="s">
        <v>161</v>
      </c>
      <c r="M2401">
        <v>900000000</v>
      </c>
    </row>
    <row r="2402" spans="1:13" x14ac:dyDescent="0.3">
      <c r="A2402" s="23">
        <v>45671</v>
      </c>
      <c r="B2402" t="s">
        <v>12</v>
      </c>
      <c r="C2402" t="s">
        <v>132</v>
      </c>
      <c r="D2402" t="s">
        <v>17</v>
      </c>
      <c r="E2402" t="s">
        <v>195</v>
      </c>
      <c r="F2402">
        <v>110764944.11</v>
      </c>
      <c r="G2402" t="s">
        <v>134</v>
      </c>
      <c r="H2402" t="s">
        <v>81</v>
      </c>
      <c r="I2402" t="s">
        <v>9</v>
      </c>
      <c r="L2402" t="s">
        <v>161</v>
      </c>
      <c r="M2402">
        <v>-110764944.11</v>
      </c>
    </row>
    <row r="2403" spans="1:13" x14ac:dyDescent="0.3">
      <c r="A2403" s="23">
        <v>45671</v>
      </c>
      <c r="B2403" t="s">
        <v>12</v>
      </c>
      <c r="C2403" t="s">
        <v>132</v>
      </c>
      <c r="D2403" t="s">
        <v>17</v>
      </c>
      <c r="E2403" t="s">
        <v>195</v>
      </c>
      <c r="F2403">
        <v>98931040.890000001</v>
      </c>
      <c r="G2403" t="s">
        <v>134</v>
      </c>
      <c r="H2403" t="s">
        <v>81</v>
      </c>
      <c r="I2403" t="s">
        <v>9</v>
      </c>
      <c r="L2403" t="s">
        <v>161</v>
      </c>
      <c r="M2403">
        <v>-98931040.890000001</v>
      </c>
    </row>
    <row r="2404" spans="1:13" x14ac:dyDescent="0.3">
      <c r="A2404" s="23">
        <v>45670</v>
      </c>
      <c r="B2404" t="s">
        <v>12</v>
      </c>
      <c r="C2404" t="s">
        <v>132</v>
      </c>
      <c r="D2404" t="s">
        <v>16</v>
      </c>
      <c r="E2404" t="s">
        <v>195</v>
      </c>
      <c r="F2404">
        <v>36086267</v>
      </c>
      <c r="G2404" t="s">
        <v>134</v>
      </c>
      <c r="H2404" t="s">
        <v>81</v>
      </c>
      <c r="I2404" t="s">
        <v>9</v>
      </c>
      <c r="L2404" t="s">
        <v>161</v>
      </c>
      <c r="M2404">
        <v>36086267</v>
      </c>
    </row>
    <row r="2405" spans="1:13" x14ac:dyDescent="0.3">
      <c r="A2405" s="23">
        <v>45667</v>
      </c>
      <c r="B2405" t="s">
        <v>12</v>
      </c>
      <c r="C2405" t="s">
        <v>132</v>
      </c>
      <c r="D2405" t="s">
        <v>17</v>
      </c>
      <c r="E2405" t="s">
        <v>195</v>
      </c>
      <c r="F2405">
        <v>142710696</v>
      </c>
      <c r="G2405" t="s">
        <v>134</v>
      </c>
      <c r="H2405" t="s">
        <v>81</v>
      </c>
      <c r="I2405" t="s">
        <v>9</v>
      </c>
      <c r="L2405" t="s">
        <v>161</v>
      </c>
      <c r="M2405">
        <v>-142710696</v>
      </c>
    </row>
    <row r="2406" spans="1:13" x14ac:dyDescent="0.3">
      <c r="A2406" s="23">
        <v>45667</v>
      </c>
      <c r="B2406" t="s">
        <v>12</v>
      </c>
      <c r="C2406" t="s">
        <v>132</v>
      </c>
      <c r="D2406" t="s">
        <v>16</v>
      </c>
      <c r="E2406" t="s">
        <v>195</v>
      </c>
      <c r="F2406">
        <v>431076228</v>
      </c>
      <c r="G2406" t="s">
        <v>134</v>
      </c>
      <c r="H2406" t="s">
        <v>81</v>
      </c>
      <c r="I2406" t="s">
        <v>9</v>
      </c>
      <c r="L2406" t="s">
        <v>161</v>
      </c>
      <c r="M2406">
        <v>431076228</v>
      </c>
    </row>
    <row r="2407" spans="1:13" x14ac:dyDescent="0.3">
      <c r="A2407" s="23">
        <v>45666</v>
      </c>
      <c r="B2407" t="s">
        <v>12</v>
      </c>
      <c r="C2407" t="s">
        <v>132</v>
      </c>
      <c r="D2407" t="s">
        <v>17</v>
      </c>
      <c r="E2407" t="s">
        <v>195</v>
      </c>
      <c r="F2407">
        <v>250000000</v>
      </c>
      <c r="G2407" t="s">
        <v>134</v>
      </c>
      <c r="H2407" t="s">
        <v>81</v>
      </c>
      <c r="I2407" t="s">
        <v>9</v>
      </c>
      <c r="L2407" t="s">
        <v>161</v>
      </c>
      <c r="M2407">
        <v>-250000000</v>
      </c>
    </row>
    <row r="2408" spans="1:13" x14ac:dyDescent="0.3">
      <c r="A2408" s="23">
        <v>45665</v>
      </c>
      <c r="B2408" t="s">
        <v>12</v>
      </c>
      <c r="C2408" t="s">
        <v>132</v>
      </c>
      <c r="D2408" t="s">
        <v>17</v>
      </c>
      <c r="E2408" t="s">
        <v>195</v>
      </c>
      <c r="F2408">
        <v>250000000</v>
      </c>
      <c r="G2408" t="s">
        <v>134</v>
      </c>
      <c r="H2408" t="s">
        <v>81</v>
      </c>
      <c r="I2408" t="s">
        <v>9</v>
      </c>
      <c r="L2408" t="s">
        <v>161</v>
      </c>
      <c r="M2408">
        <v>-250000000</v>
      </c>
    </row>
    <row r="2409" spans="1:13" x14ac:dyDescent="0.3">
      <c r="A2409" s="23">
        <v>45664</v>
      </c>
      <c r="B2409" t="s">
        <v>12</v>
      </c>
      <c r="C2409" t="s">
        <v>132</v>
      </c>
      <c r="D2409" t="s">
        <v>16</v>
      </c>
      <c r="E2409" t="s">
        <v>195</v>
      </c>
      <c r="F2409">
        <v>424203759</v>
      </c>
      <c r="G2409" t="s">
        <v>134</v>
      </c>
      <c r="H2409" t="s">
        <v>81</v>
      </c>
      <c r="I2409" t="s">
        <v>9</v>
      </c>
      <c r="L2409" t="s">
        <v>161</v>
      </c>
      <c r="M2409">
        <v>424203759</v>
      </c>
    </row>
    <row r="2410" spans="1:13" x14ac:dyDescent="0.3">
      <c r="A2410" s="23">
        <v>45659</v>
      </c>
      <c r="B2410" t="s">
        <v>12</v>
      </c>
      <c r="C2410" t="s">
        <v>132</v>
      </c>
      <c r="D2410" t="s">
        <v>16</v>
      </c>
      <c r="E2410" t="s">
        <v>195</v>
      </c>
      <c r="F2410">
        <v>142078349</v>
      </c>
      <c r="G2410" t="s">
        <v>134</v>
      </c>
      <c r="H2410" t="s">
        <v>81</v>
      </c>
      <c r="I2410" t="s">
        <v>9</v>
      </c>
      <c r="L2410" t="s">
        <v>161</v>
      </c>
      <c r="M2410">
        <v>142078349</v>
      </c>
    </row>
    <row r="2411" spans="1:13" x14ac:dyDescent="0.3">
      <c r="A2411" s="23">
        <v>45656</v>
      </c>
      <c r="B2411" t="s">
        <v>12</v>
      </c>
      <c r="C2411" t="s">
        <v>132</v>
      </c>
      <c r="D2411" t="s">
        <v>17</v>
      </c>
      <c r="E2411" t="s">
        <v>195</v>
      </c>
      <c r="F2411">
        <v>342968383.99000001</v>
      </c>
      <c r="G2411" t="s">
        <v>134</v>
      </c>
      <c r="H2411" t="s">
        <v>81</v>
      </c>
      <c r="I2411" t="s">
        <v>9</v>
      </c>
      <c r="L2411" t="s">
        <v>161</v>
      </c>
      <c r="M2411">
        <v>-342968383.99000001</v>
      </c>
    </row>
    <row r="2412" spans="1:13" x14ac:dyDescent="0.3">
      <c r="A2412" s="23">
        <v>45653</v>
      </c>
      <c r="B2412" t="s">
        <v>12</v>
      </c>
      <c r="C2412" t="s">
        <v>132</v>
      </c>
      <c r="D2412" t="s">
        <v>17</v>
      </c>
      <c r="E2412" t="s">
        <v>195</v>
      </c>
      <c r="F2412">
        <v>350000000</v>
      </c>
      <c r="G2412" t="s">
        <v>134</v>
      </c>
      <c r="H2412" t="s">
        <v>81</v>
      </c>
      <c r="I2412" t="s">
        <v>9</v>
      </c>
      <c r="L2412" t="s">
        <v>161</v>
      </c>
      <c r="M2412">
        <v>-350000000</v>
      </c>
    </row>
    <row r="2413" spans="1:13" x14ac:dyDescent="0.3">
      <c r="A2413" s="23">
        <v>45652</v>
      </c>
      <c r="B2413" t="s">
        <v>12</v>
      </c>
      <c r="C2413" t="s">
        <v>132</v>
      </c>
      <c r="D2413" t="s">
        <v>17</v>
      </c>
      <c r="E2413" t="s">
        <v>195</v>
      </c>
      <c r="F2413">
        <v>120681428.81999999</v>
      </c>
      <c r="G2413" t="s">
        <v>134</v>
      </c>
      <c r="H2413" t="s">
        <v>81</v>
      </c>
      <c r="I2413" t="s">
        <v>9</v>
      </c>
      <c r="L2413" t="s">
        <v>161</v>
      </c>
      <c r="M2413">
        <v>-120681428.81999999</v>
      </c>
    </row>
    <row r="2414" spans="1:13" x14ac:dyDescent="0.3">
      <c r="A2414" s="23">
        <v>45652</v>
      </c>
      <c r="B2414" t="s">
        <v>12</v>
      </c>
      <c r="C2414" t="s">
        <v>132</v>
      </c>
      <c r="D2414" t="s">
        <v>17</v>
      </c>
      <c r="E2414" t="s">
        <v>195</v>
      </c>
      <c r="F2414">
        <v>81384491.400000006</v>
      </c>
      <c r="G2414" t="s">
        <v>134</v>
      </c>
      <c r="H2414" t="s">
        <v>81</v>
      </c>
      <c r="I2414" t="s">
        <v>9</v>
      </c>
      <c r="L2414" t="s">
        <v>161</v>
      </c>
      <c r="M2414">
        <v>-81384491.400000006</v>
      </c>
    </row>
    <row r="2415" spans="1:13" x14ac:dyDescent="0.3">
      <c r="A2415" s="23">
        <v>45652</v>
      </c>
      <c r="B2415" t="s">
        <v>12</v>
      </c>
      <c r="C2415" t="s">
        <v>132</v>
      </c>
      <c r="D2415" t="s">
        <v>16</v>
      </c>
      <c r="E2415" t="s">
        <v>195</v>
      </c>
      <c r="F2415">
        <v>54472444</v>
      </c>
      <c r="G2415" t="s">
        <v>134</v>
      </c>
      <c r="H2415" t="s">
        <v>81</v>
      </c>
      <c r="I2415" t="s">
        <v>9</v>
      </c>
      <c r="L2415" t="s">
        <v>161</v>
      </c>
      <c r="M2415">
        <v>54472444</v>
      </c>
    </row>
    <row r="2416" spans="1:13" x14ac:dyDescent="0.3">
      <c r="A2416" s="23">
        <v>45649</v>
      </c>
      <c r="B2416" t="s">
        <v>12</v>
      </c>
      <c r="C2416" t="s">
        <v>132</v>
      </c>
      <c r="D2416" t="s">
        <v>16</v>
      </c>
      <c r="E2416" t="s">
        <v>195</v>
      </c>
      <c r="F2416">
        <v>436224670</v>
      </c>
      <c r="G2416" t="s">
        <v>134</v>
      </c>
      <c r="H2416" t="s">
        <v>81</v>
      </c>
      <c r="I2416" t="s">
        <v>9</v>
      </c>
      <c r="L2416" t="s">
        <v>161</v>
      </c>
      <c r="M2416">
        <v>436224670</v>
      </c>
    </row>
    <row r="2417" spans="1:13" x14ac:dyDescent="0.3">
      <c r="A2417" s="23">
        <v>45646</v>
      </c>
      <c r="B2417" t="s">
        <v>12</v>
      </c>
      <c r="C2417" t="s">
        <v>132</v>
      </c>
      <c r="D2417" t="s">
        <v>17</v>
      </c>
      <c r="E2417" t="s">
        <v>195</v>
      </c>
      <c r="F2417">
        <v>101141841.44</v>
      </c>
      <c r="G2417" t="s">
        <v>134</v>
      </c>
      <c r="H2417" t="s">
        <v>81</v>
      </c>
      <c r="I2417" t="s">
        <v>9</v>
      </c>
      <c r="L2417" t="s">
        <v>161</v>
      </c>
      <c r="M2417">
        <v>-101141841.44</v>
      </c>
    </row>
    <row r="2418" spans="1:13" x14ac:dyDescent="0.3">
      <c r="A2418" s="23">
        <v>45645</v>
      </c>
      <c r="B2418" t="s">
        <v>12</v>
      </c>
      <c r="C2418" t="s">
        <v>132</v>
      </c>
      <c r="D2418" t="s">
        <v>16</v>
      </c>
      <c r="E2418" t="s">
        <v>195</v>
      </c>
      <c r="F2418">
        <v>141074340</v>
      </c>
      <c r="G2418" t="s">
        <v>134</v>
      </c>
      <c r="H2418" t="s">
        <v>81</v>
      </c>
      <c r="I2418" t="s">
        <v>9</v>
      </c>
      <c r="L2418" t="s">
        <v>161</v>
      </c>
      <c r="M2418">
        <v>141074340</v>
      </c>
    </row>
    <row r="2419" spans="1:13" x14ac:dyDescent="0.3">
      <c r="A2419" s="23">
        <v>45645</v>
      </c>
      <c r="B2419" t="s">
        <v>12</v>
      </c>
      <c r="C2419" t="s">
        <v>132</v>
      </c>
      <c r="D2419" t="s">
        <v>16</v>
      </c>
      <c r="E2419" t="s">
        <v>195</v>
      </c>
      <c r="F2419">
        <v>4210317.72</v>
      </c>
      <c r="G2419" t="s">
        <v>134</v>
      </c>
      <c r="H2419" t="s">
        <v>81</v>
      </c>
      <c r="I2419" t="s">
        <v>9</v>
      </c>
      <c r="L2419" t="s">
        <v>161</v>
      </c>
      <c r="M2419">
        <v>4210317.72</v>
      </c>
    </row>
    <row r="2420" spans="1:13" x14ac:dyDescent="0.3">
      <c r="A2420" s="23">
        <v>45644</v>
      </c>
      <c r="B2420" t="s">
        <v>12</v>
      </c>
      <c r="C2420" t="s">
        <v>132</v>
      </c>
      <c r="D2420" t="s">
        <v>17</v>
      </c>
      <c r="E2420" t="s">
        <v>195</v>
      </c>
      <c r="F2420">
        <v>84677718.219999999</v>
      </c>
      <c r="G2420" t="s">
        <v>134</v>
      </c>
      <c r="H2420" t="s">
        <v>81</v>
      </c>
      <c r="I2420" t="s">
        <v>9</v>
      </c>
      <c r="L2420" t="s">
        <v>161</v>
      </c>
      <c r="M2420">
        <v>-84677718.219999999</v>
      </c>
    </row>
    <row r="2421" spans="1:13" x14ac:dyDescent="0.3">
      <c r="A2421" s="23">
        <v>45644</v>
      </c>
      <c r="B2421" t="s">
        <v>12</v>
      </c>
      <c r="C2421" t="s">
        <v>132</v>
      </c>
      <c r="D2421" t="s">
        <v>17</v>
      </c>
      <c r="E2421" t="s">
        <v>195</v>
      </c>
      <c r="F2421">
        <v>360000000</v>
      </c>
      <c r="G2421" t="s">
        <v>134</v>
      </c>
      <c r="H2421" t="s">
        <v>81</v>
      </c>
      <c r="I2421" t="s">
        <v>9</v>
      </c>
      <c r="L2421" t="s">
        <v>161</v>
      </c>
      <c r="M2421">
        <v>-360000000</v>
      </c>
    </row>
    <row r="2422" spans="1:13" x14ac:dyDescent="0.3">
      <c r="A2422" s="23">
        <v>45643</v>
      </c>
      <c r="B2422" t="s">
        <v>12</v>
      </c>
      <c r="C2422" t="s">
        <v>132</v>
      </c>
      <c r="D2422" t="s">
        <v>16</v>
      </c>
      <c r="E2422" t="s">
        <v>195</v>
      </c>
      <c r="F2422">
        <v>700898825</v>
      </c>
      <c r="G2422" t="s">
        <v>134</v>
      </c>
      <c r="H2422" t="s">
        <v>81</v>
      </c>
      <c r="I2422" t="s">
        <v>9</v>
      </c>
      <c r="L2422" t="s">
        <v>161</v>
      </c>
      <c r="M2422">
        <v>700898825</v>
      </c>
    </row>
    <row r="2423" spans="1:13" x14ac:dyDescent="0.3">
      <c r="A2423" s="23">
        <v>45642</v>
      </c>
      <c r="B2423" t="s">
        <v>12</v>
      </c>
      <c r="C2423" t="s">
        <v>132</v>
      </c>
      <c r="D2423" t="s">
        <v>17</v>
      </c>
      <c r="E2423" t="s">
        <v>195</v>
      </c>
      <c r="F2423">
        <v>500000000</v>
      </c>
      <c r="G2423" t="s">
        <v>134</v>
      </c>
      <c r="H2423" t="s">
        <v>81</v>
      </c>
      <c r="I2423" t="s">
        <v>9</v>
      </c>
      <c r="L2423" t="s">
        <v>161</v>
      </c>
      <c r="M2423">
        <v>-500000000</v>
      </c>
    </row>
    <row r="2424" spans="1:13" x14ac:dyDescent="0.3">
      <c r="A2424" s="23">
        <v>45639</v>
      </c>
      <c r="B2424" t="s">
        <v>12</v>
      </c>
      <c r="C2424" t="s">
        <v>132</v>
      </c>
      <c r="D2424" t="s">
        <v>16</v>
      </c>
      <c r="E2424" t="s">
        <v>195</v>
      </c>
      <c r="F2424">
        <v>500000000</v>
      </c>
      <c r="G2424" t="s">
        <v>134</v>
      </c>
      <c r="H2424" t="s">
        <v>81</v>
      </c>
      <c r="I2424" t="s">
        <v>9</v>
      </c>
      <c r="L2424" t="s">
        <v>161</v>
      </c>
      <c r="M2424">
        <v>500000000</v>
      </c>
    </row>
    <row r="2425" spans="1:13" x14ac:dyDescent="0.3">
      <c r="A2425" s="23">
        <v>45638</v>
      </c>
      <c r="B2425" t="s">
        <v>12</v>
      </c>
      <c r="C2425" t="s">
        <v>132</v>
      </c>
      <c r="D2425" t="s">
        <v>17</v>
      </c>
      <c r="E2425" t="s">
        <v>195</v>
      </c>
      <c r="F2425">
        <v>299137254.23000002</v>
      </c>
      <c r="G2425" t="s">
        <v>134</v>
      </c>
      <c r="H2425" t="s">
        <v>81</v>
      </c>
      <c r="I2425" t="s">
        <v>9</v>
      </c>
      <c r="L2425" t="s">
        <v>161</v>
      </c>
      <c r="M2425">
        <v>-299137254.23000002</v>
      </c>
    </row>
    <row r="2426" spans="1:13" x14ac:dyDescent="0.3">
      <c r="A2426" s="23">
        <v>45637</v>
      </c>
      <c r="B2426" t="s">
        <v>12</v>
      </c>
      <c r="C2426" t="s">
        <v>132</v>
      </c>
      <c r="D2426" t="s">
        <v>17</v>
      </c>
      <c r="E2426" t="s">
        <v>195</v>
      </c>
      <c r="F2426">
        <v>301965540.14999998</v>
      </c>
      <c r="G2426" t="s">
        <v>134</v>
      </c>
      <c r="H2426" t="s">
        <v>81</v>
      </c>
      <c r="I2426" t="s">
        <v>9</v>
      </c>
      <c r="L2426" t="s">
        <v>161</v>
      </c>
      <c r="M2426">
        <v>-301965540.14999998</v>
      </c>
    </row>
    <row r="2427" spans="1:13" x14ac:dyDescent="0.3">
      <c r="A2427" s="23">
        <v>45637</v>
      </c>
      <c r="B2427" t="s">
        <v>12</v>
      </c>
      <c r="C2427" t="s">
        <v>132</v>
      </c>
      <c r="D2427" t="s">
        <v>17</v>
      </c>
      <c r="E2427" t="s">
        <v>195</v>
      </c>
      <c r="F2427">
        <v>197181665.69999999</v>
      </c>
      <c r="G2427" t="s">
        <v>134</v>
      </c>
      <c r="H2427" t="s">
        <v>81</v>
      </c>
      <c r="I2427" t="s">
        <v>9</v>
      </c>
      <c r="L2427" t="s">
        <v>161</v>
      </c>
      <c r="M2427">
        <v>-197181665.69999999</v>
      </c>
    </row>
    <row r="2428" spans="1:13" x14ac:dyDescent="0.3">
      <c r="A2428" s="23">
        <v>45637</v>
      </c>
      <c r="B2428" t="s">
        <v>12</v>
      </c>
      <c r="C2428" t="s">
        <v>132</v>
      </c>
      <c r="D2428" t="s">
        <v>16</v>
      </c>
      <c r="E2428" t="s">
        <v>195</v>
      </c>
      <c r="F2428">
        <v>280000000</v>
      </c>
      <c r="G2428" t="s">
        <v>134</v>
      </c>
      <c r="H2428" t="s">
        <v>81</v>
      </c>
      <c r="I2428" t="s">
        <v>9</v>
      </c>
      <c r="L2428" t="s">
        <v>161</v>
      </c>
      <c r="M2428">
        <v>280000000</v>
      </c>
    </row>
    <row r="2429" spans="1:13" x14ac:dyDescent="0.3">
      <c r="A2429" s="23">
        <v>45636</v>
      </c>
      <c r="B2429" t="s">
        <v>12</v>
      </c>
      <c r="C2429" t="s">
        <v>132</v>
      </c>
      <c r="D2429" t="s">
        <v>16</v>
      </c>
      <c r="E2429" t="s">
        <v>195</v>
      </c>
      <c r="F2429">
        <v>476432792</v>
      </c>
      <c r="G2429" t="s">
        <v>134</v>
      </c>
      <c r="H2429" t="s">
        <v>81</v>
      </c>
      <c r="I2429" t="s">
        <v>9</v>
      </c>
      <c r="L2429" t="s">
        <v>161</v>
      </c>
      <c r="M2429">
        <v>476432792</v>
      </c>
    </row>
    <row r="2430" spans="1:13" x14ac:dyDescent="0.3">
      <c r="A2430" s="23">
        <v>45632</v>
      </c>
      <c r="B2430" t="s">
        <v>12</v>
      </c>
      <c r="C2430" t="s">
        <v>132</v>
      </c>
      <c r="D2430" t="s">
        <v>17</v>
      </c>
      <c r="E2430" t="s">
        <v>195</v>
      </c>
      <c r="F2430">
        <v>293400000</v>
      </c>
      <c r="G2430" t="s">
        <v>134</v>
      </c>
      <c r="H2430" t="s">
        <v>81</v>
      </c>
      <c r="I2430" t="s">
        <v>9</v>
      </c>
      <c r="L2430" t="s">
        <v>161</v>
      </c>
      <c r="M2430">
        <v>-293400000</v>
      </c>
    </row>
    <row r="2431" spans="1:13" x14ac:dyDescent="0.3">
      <c r="A2431" s="23">
        <v>45631</v>
      </c>
      <c r="B2431" t="s">
        <v>12</v>
      </c>
      <c r="C2431" t="s">
        <v>132</v>
      </c>
      <c r="D2431" t="s">
        <v>16</v>
      </c>
      <c r="E2431" t="s">
        <v>195</v>
      </c>
      <c r="F2431">
        <v>25218625</v>
      </c>
      <c r="G2431" t="s">
        <v>134</v>
      </c>
      <c r="H2431" t="s">
        <v>81</v>
      </c>
      <c r="I2431" t="s">
        <v>9</v>
      </c>
      <c r="L2431" t="s">
        <v>161</v>
      </c>
      <c r="M2431">
        <v>25218625</v>
      </c>
    </row>
    <row r="2432" spans="1:13" x14ac:dyDescent="0.3">
      <c r="A2432" s="23">
        <v>45631</v>
      </c>
      <c r="B2432" t="s">
        <v>12</v>
      </c>
      <c r="C2432" t="s">
        <v>132</v>
      </c>
      <c r="D2432" t="s">
        <v>16</v>
      </c>
      <c r="E2432" t="s">
        <v>195</v>
      </c>
      <c r="F2432">
        <v>251635625</v>
      </c>
      <c r="G2432" t="s">
        <v>134</v>
      </c>
      <c r="H2432" t="s">
        <v>81</v>
      </c>
      <c r="I2432" t="s">
        <v>9</v>
      </c>
      <c r="L2432" t="s">
        <v>161</v>
      </c>
      <c r="M2432">
        <v>251635625</v>
      </c>
    </row>
    <row r="2433" spans="1:13" x14ac:dyDescent="0.3">
      <c r="A2433" s="23">
        <v>45630</v>
      </c>
      <c r="B2433" t="s">
        <v>12</v>
      </c>
      <c r="C2433" t="s">
        <v>132</v>
      </c>
      <c r="D2433" t="s">
        <v>16</v>
      </c>
      <c r="E2433" t="s">
        <v>195</v>
      </c>
      <c r="F2433">
        <v>12424700</v>
      </c>
      <c r="G2433" t="s">
        <v>134</v>
      </c>
      <c r="H2433" t="s">
        <v>81</v>
      </c>
      <c r="I2433" t="s">
        <v>9</v>
      </c>
      <c r="L2433" t="s">
        <v>161</v>
      </c>
      <c r="M2433">
        <v>12424700</v>
      </c>
    </row>
    <row r="2434" spans="1:13" x14ac:dyDescent="0.3">
      <c r="A2434" s="23">
        <v>45628</v>
      </c>
      <c r="B2434" t="s">
        <v>12</v>
      </c>
      <c r="C2434" t="s">
        <v>132</v>
      </c>
      <c r="D2434" t="s">
        <v>17</v>
      </c>
      <c r="E2434" t="s">
        <v>195</v>
      </c>
      <c r="F2434">
        <v>500000000</v>
      </c>
      <c r="G2434" t="s">
        <v>134</v>
      </c>
      <c r="H2434" t="s">
        <v>81</v>
      </c>
      <c r="I2434" t="s">
        <v>9</v>
      </c>
      <c r="L2434" t="s">
        <v>161</v>
      </c>
      <c r="M2434">
        <v>-500000000</v>
      </c>
    </row>
    <row r="2435" spans="1:13" x14ac:dyDescent="0.3">
      <c r="A2435" s="23">
        <v>45625</v>
      </c>
      <c r="B2435" t="s">
        <v>12</v>
      </c>
      <c r="C2435" t="s">
        <v>132</v>
      </c>
      <c r="D2435" t="s">
        <v>16</v>
      </c>
      <c r="E2435" t="s">
        <v>195</v>
      </c>
      <c r="F2435">
        <v>396292479</v>
      </c>
      <c r="G2435" t="s">
        <v>134</v>
      </c>
      <c r="H2435" t="s">
        <v>81</v>
      </c>
      <c r="I2435" t="s">
        <v>9</v>
      </c>
      <c r="L2435" t="s">
        <v>161</v>
      </c>
      <c r="M2435">
        <v>396292479</v>
      </c>
    </row>
    <row r="2436" spans="1:13" x14ac:dyDescent="0.3">
      <c r="A2436" s="23">
        <v>45625</v>
      </c>
      <c r="B2436" t="s">
        <v>12</v>
      </c>
      <c r="C2436" t="s">
        <v>132</v>
      </c>
      <c r="D2436" t="s">
        <v>17</v>
      </c>
      <c r="E2436" t="s">
        <v>195</v>
      </c>
      <c r="F2436">
        <v>300000000</v>
      </c>
      <c r="G2436" t="s">
        <v>134</v>
      </c>
      <c r="H2436" t="s">
        <v>81</v>
      </c>
      <c r="I2436" t="s">
        <v>9</v>
      </c>
      <c r="L2436" t="s">
        <v>161</v>
      </c>
      <c r="M2436">
        <v>-300000000</v>
      </c>
    </row>
    <row r="2437" spans="1:13" x14ac:dyDescent="0.3">
      <c r="A2437" s="23">
        <v>45623</v>
      </c>
      <c r="B2437" t="s">
        <v>12</v>
      </c>
      <c r="C2437" t="s">
        <v>132</v>
      </c>
      <c r="D2437" t="s">
        <v>17</v>
      </c>
      <c r="E2437" t="s">
        <v>195</v>
      </c>
      <c r="F2437">
        <v>154985509</v>
      </c>
      <c r="G2437" t="s">
        <v>134</v>
      </c>
      <c r="H2437" t="s">
        <v>81</v>
      </c>
      <c r="I2437" t="s">
        <v>9</v>
      </c>
      <c r="L2437" t="s">
        <v>161</v>
      </c>
      <c r="M2437">
        <v>-154985509</v>
      </c>
    </row>
    <row r="2438" spans="1:13" x14ac:dyDescent="0.3">
      <c r="A2438" s="23">
        <v>45622</v>
      </c>
      <c r="B2438" t="s">
        <v>12</v>
      </c>
      <c r="C2438" t="s">
        <v>132</v>
      </c>
      <c r="D2438" t="s">
        <v>16</v>
      </c>
      <c r="E2438" t="s">
        <v>195</v>
      </c>
      <c r="F2438">
        <v>133547192</v>
      </c>
      <c r="G2438" t="s">
        <v>134</v>
      </c>
      <c r="H2438" t="s">
        <v>81</v>
      </c>
      <c r="I2438" t="s">
        <v>9</v>
      </c>
      <c r="L2438" t="s">
        <v>161</v>
      </c>
      <c r="M2438">
        <v>133547192</v>
      </c>
    </row>
    <row r="2439" spans="1:13" x14ac:dyDescent="0.3">
      <c r="A2439" s="23">
        <v>45618</v>
      </c>
      <c r="B2439" t="s">
        <v>12</v>
      </c>
      <c r="C2439" t="s">
        <v>132</v>
      </c>
      <c r="D2439" t="s">
        <v>16</v>
      </c>
      <c r="E2439" t="s">
        <v>195</v>
      </c>
      <c r="F2439">
        <v>55500000</v>
      </c>
      <c r="G2439" t="s">
        <v>134</v>
      </c>
      <c r="H2439" t="s">
        <v>81</v>
      </c>
      <c r="I2439" t="s">
        <v>9</v>
      </c>
      <c r="L2439" t="s">
        <v>161</v>
      </c>
      <c r="M2439">
        <v>55500000</v>
      </c>
    </row>
    <row r="2440" spans="1:13" x14ac:dyDescent="0.3">
      <c r="A2440" s="23">
        <v>45617</v>
      </c>
      <c r="B2440" t="s">
        <v>12</v>
      </c>
      <c r="C2440" t="s">
        <v>132</v>
      </c>
      <c r="D2440" t="s">
        <v>17</v>
      </c>
      <c r="E2440" t="s">
        <v>195</v>
      </c>
      <c r="F2440">
        <v>64000000</v>
      </c>
      <c r="G2440" t="s">
        <v>134</v>
      </c>
      <c r="H2440" t="s">
        <v>81</v>
      </c>
      <c r="I2440" t="s">
        <v>9</v>
      </c>
      <c r="L2440" t="s">
        <v>161</v>
      </c>
      <c r="M2440">
        <v>-64000000</v>
      </c>
    </row>
    <row r="2441" spans="1:13" x14ac:dyDescent="0.3">
      <c r="A2441" s="23">
        <v>45616</v>
      </c>
      <c r="B2441" t="s">
        <v>12</v>
      </c>
      <c r="C2441" t="s">
        <v>132</v>
      </c>
      <c r="D2441" t="s">
        <v>17</v>
      </c>
      <c r="E2441" t="s">
        <v>195</v>
      </c>
      <c r="F2441">
        <v>50024696.920000002</v>
      </c>
      <c r="G2441" t="s">
        <v>134</v>
      </c>
      <c r="H2441" t="s">
        <v>81</v>
      </c>
      <c r="I2441" t="s">
        <v>9</v>
      </c>
      <c r="L2441" t="s">
        <v>161</v>
      </c>
      <c r="M2441">
        <v>-50024696.920000002</v>
      </c>
    </row>
    <row r="2442" spans="1:13" x14ac:dyDescent="0.3">
      <c r="A2442" s="23">
        <v>45616</v>
      </c>
      <c r="B2442" t="s">
        <v>12</v>
      </c>
      <c r="C2442" t="s">
        <v>132</v>
      </c>
      <c r="D2442" t="s">
        <v>17</v>
      </c>
      <c r="E2442" t="s">
        <v>195</v>
      </c>
      <c r="F2442">
        <v>65249743.539999999</v>
      </c>
      <c r="G2442" t="s">
        <v>134</v>
      </c>
      <c r="H2442" t="s">
        <v>81</v>
      </c>
      <c r="I2442" t="s">
        <v>9</v>
      </c>
      <c r="L2442" t="s">
        <v>161</v>
      </c>
      <c r="M2442">
        <v>-65249743.539999999</v>
      </c>
    </row>
    <row r="2443" spans="1:13" x14ac:dyDescent="0.3">
      <c r="A2443" s="23">
        <v>45611</v>
      </c>
      <c r="B2443" t="s">
        <v>12</v>
      </c>
      <c r="C2443" t="s">
        <v>132</v>
      </c>
      <c r="D2443" t="s">
        <v>17</v>
      </c>
      <c r="E2443" t="s">
        <v>195</v>
      </c>
      <c r="F2443">
        <v>70092623</v>
      </c>
      <c r="G2443" t="s">
        <v>134</v>
      </c>
      <c r="H2443" t="s">
        <v>81</v>
      </c>
      <c r="I2443" t="s">
        <v>9</v>
      </c>
      <c r="L2443" t="s">
        <v>161</v>
      </c>
      <c r="M2443">
        <v>-70092623</v>
      </c>
    </row>
    <row r="2444" spans="1:13" x14ac:dyDescent="0.3">
      <c r="A2444" s="23">
        <v>45609</v>
      </c>
      <c r="B2444" t="s">
        <v>12</v>
      </c>
      <c r="C2444" t="s">
        <v>132</v>
      </c>
      <c r="D2444" t="s">
        <v>16</v>
      </c>
      <c r="E2444" t="s">
        <v>195</v>
      </c>
      <c r="F2444">
        <v>224409600</v>
      </c>
      <c r="G2444" t="s">
        <v>134</v>
      </c>
      <c r="H2444" t="s">
        <v>81</v>
      </c>
      <c r="I2444" t="s">
        <v>9</v>
      </c>
      <c r="L2444" t="s">
        <v>161</v>
      </c>
      <c r="M2444">
        <v>224409600</v>
      </c>
    </row>
    <row r="2445" spans="1:13" x14ac:dyDescent="0.3">
      <c r="A2445" s="23">
        <v>45608</v>
      </c>
      <c r="B2445" t="s">
        <v>12</v>
      </c>
      <c r="C2445" t="s">
        <v>132</v>
      </c>
      <c r="D2445" t="s">
        <v>16</v>
      </c>
      <c r="E2445" t="s">
        <v>195</v>
      </c>
      <c r="F2445">
        <v>500000000</v>
      </c>
      <c r="G2445" t="s">
        <v>134</v>
      </c>
      <c r="H2445" t="s">
        <v>81</v>
      </c>
      <c r="I2445" t="s">
        <v>9</v>
      </c>
      <c r="L2445" t="s">
        <v>161</v>
      </c>
      <c r="M2445">
        <v>500000000</v>
      </c>
    </row>
    <row r="2446" spans="1:13" x14ac:dyDescent="0.3">
      <c r="A2446" s="23">
        <v>45607</v>
      </c>
      <c r="B2446" t="s">
        <v>12</v>
      </c>
      <c r="C2446" t="s">
        <v>132</v>
      </c>
      <c r="D2446" t="s">
        <v>16</v>
      </c>
      <c r="E2446" t="s">
        <v>195</v>
      </c>
      <c r="F2446">
        <v>11846213</v>
      </c>
      <c r="G2446" t="s">
        <v>134</v>
      </c>
      <c r="H2446" t="s">
        <v>81</v>
      </c>
      <c r="I2446" t="s">
        <v>9</v>
      </c>
      <c r="L2446" t="s">
        <v>161</v>
      </c>
      <c r="M2446">
        <v>11846213</v>
      </c>
    </row>
    <row r="2447" spans="1:13" x14ac:dyDescent="0.3">
      <c r="A2447" s="23">
        <v>45607</v>
      </c>
      <c r="B2447" t="s">
        <v>12</v>
      </c>
      <c r="C2447" t="s">
        <v>132</v>
      </c>
      <c r="D2447" t="s">
        <v>17</v>
      </c>
      <c r="E2447" t="s">
        <v>195</v>
      </c>
      <c r="F2447">
        <v>100000000</v>
      </c>
      <c r="G2447" t="s">
        <v>134</v>
      </c>
      <c r="H2447" t="s">
        <v>81</v>
      </c>
      <c r="I2447" t="s">
        <v>9</v>
      </c>
      <c r="L2447" t="s">
        <v>161</v>
      </c>
      <c r="M2447">
        <v>-100000000</v>
      </c>
    </row>
    <row r="2448" spans="1:13" x14ac:dyDescent="0.3">
      <c r="A2448" s="23">
        <v>45604</v>
      </c>
      <c r="B2448" t="s">
        <v>12</v>
      </c>
      <c r="C2448" t="s">
        <v>132</v>
      </c>
      <c r="D2448" t="s">
        <v>16</v>
      </c>
      <c r="E2448" t="s">
        <v>195</v>
      </c>
      <c r="F2448">
        <v>89454375</v>
      </c>
      <c r="G2448" t="s">
        <v>134</v>
      </c>
      <c r="H2448" t="s">
        <v>81</v>
      </c>
      <c r="I2448" t="s">
        <v>9</v>
      </c>
      <c r="L2448" t="s">
        <v>161</v>
      </c>
      <c r="M2448">
        <v>89454375</v>
      </c>
    </row>
    <row r="2449" spans="1:13" x14ac:dyDescent="0.3">
      <c r="A2449" s="23">
        <v>45601</v>
      </c>
      <c r="B2449" t="s">
        <v>12</v>
      </c>
      <c r="C2449" t="s">
        <v>132</v>
      </c>
      <c r="D2449" t="s">
        <v>17</v>
      </c>
      <c r="E2449" t="s">
        <v>195</v>
      </c>
      <c r="F2449">
        <v>300000000</v>
      </c>
      <c r="G2449" t="s">
        <v>134</v>
      </c>
      <c r="H2449" t="s">
        <v>81</v>
      </c>
      <c r="I2449" t="s">
        <v>9</v>
      </c>
      <c r="L2449" t="s">
        <v>161</v>
      </c>
      <c r="M2449">
        <v>-300000000</v>
      </c>
    </row>
    <row r="2450" spans="1:13" x14ac:dyDescent="0.3">
      <c r="A2450" s="23">
        <v>45600</v>
      </c>
      <c r="B2450" t="s">
        <v>12</v>
      </c>
      <c r="C2450" t="s">
        <v>132</v>
      </c>
      <c r="D2450" t="s">
        <v>16</v>
      </c>
      <c r="E2450" t="s">
        <v>195</v>
      </c>
      <c r="F2450">
        <v>68151300</v>
      </c>
      <c r="G2450" t="s">
        <v>134</v>
      </c>
      <c r="H2450" t="s">
        <v>81</v>
      </c>
      <c r="I2450" t="s">
        <v>9</v>
      </c>
      <c r="L2450" t="s">
        <v>161</v>
      </c>
      <c r="M2450">
        <v>68151300</v>
      </c>
    </row>
    <row r="2451" spans="1:13" x14ac:dyDescent="0.3">
      <c r="A2451" s="23">
        <v>45600</v>
      </c>
      <c r="B2451" t="s">
        <v>12</v>
      </c>
      <c r="C2451" t="s">
        <v>132</v>
      </c>
      <c r="D2451" t="s">
        <v>16</v>
      </c>
      <c r="E2451" t="s">
        <v>195</v>
      </c>
      <c r="F2451">
        <v>78284712.730000004</v>
      </c>
      <c r="G2451" t="s">
        <v>134</v>
      </c>
      <c r="H2451" t="s">
        <v>81</v>
      </c>
      <c r="I2451" t="s">
        <v>9</v>
      </c>
      <c r="L2451" t="s">
        <v>161</v>
      </c>
      <c r="M2451">
        <v>78284712.730000004</v>
      </c>
    </row>
    <row r="2452" spans="1:13" x14ac:dyDescent="0.3">
      <c r="A2452" s="23">
        <v>45597</v>
      </c>
      <c r="B2452" t="s">
        <v>12</v>
      </c>
      <c r="C2452" t="s">
        <v>132</v>
      </c>
      <c r="D2452" t="s">
        <v>17</v>
      </c>
      <c r="E2452" t="s">
        <v>195</v>
      </c>
      <c r="F2452">
        <v>800000000</v>
      </c>
      <c r="G2452" t="s">
        <v>134</v>
      </c>
      <c r="H2452" t="s">
        <v>81</v>
      </c>
      <c r="I2452" t="s">
        <v>9</v>
      </c>
      <c r="L2452" t="s">
        <v>161</v>
      </c>
      <c r="M2452">
        <v>-800000000</v>
      </c>
    </row>
    <row r="2453" spans="1:13" x14ac:dyDescent="0.3">
      <c r="A2453" s="23">
        <v>45595</v>
      </c>
      <c r="B2453" t="s">
        <v>12</v>
      </c>
      <c r="C2453" t="s">
        <v>132</v>
      </c>
      <c r="D2453" t="s">
        <v>17</v>
      </c>
      <c r="E2453" t="s">
        <v>195</v>
      </c>
      <c r="F2453">
        <v>250000000</v>
      </c>
      <c r="G2453" t="s">
        <v>134</v>
      </c>
      <c r="H2453" t="s">
        <v>81</v>
      </c>
      <c r="I2453" t="s">
        <v>9</v>
      </c>
      <c r="L2453" t="s">
        <v>161</v>
      </c>
      <c r="M2453">
        <v>-250000000</v>
      </c>
    </row>
    <row r="2454" spans="1:13" x14ac:dyDescent="0.3">
      <c r="A2454" s="23">
        <v>45594</v>
      </c>
      <c r="B2454" t="s">
        <v>12</v>
      </c>
      <c r="C2454" t="s">
        <v>132</v>
      </c>
      <c r="D2454" t="s">
        <v>16</v>
      </c>
      <c r="E2454" t="s">
        <v>195</v>
      </c>
      <c r="F2454">
        <v>1031072989</v>
      </c>
      <c r="G2454" t="s">
        <v>134</v>
      </c>
      <c r="H2454" t="s">
        <v>81</v>
      </c>
      <c r="I2454" t="s">
        <v>9</v>
      </c>
      <c r="L2454" t="s">
        <v>161</v>
      </c>
      <c r="M2454">
        <v>1031072989</v>
      </c>
    </row>
    <row r="2455" spans="1:13" x14ac:dyDescent="0.3">
      <c r="A2455" s="23">
        <v>45586</v>
      </c>
      <c r="B2455" t="s">
        <v>12</v>
      </c>
      <c r="C2455" t="s">
        <v>132</v>
      </c>
      <c r="D2455" t="s">
        <v>16</v>
      </c>
      <c r="E2455" t="s">
        <v>195</v>
      </c>
      <c r="F2455">
        <v>200000000</v>
      </c>
      <c r="G2455" t="s">
        <v>134</v>
      </c>
      <c r="H2455" t="s">
        <v>81</v>
      </c>
      <c r="I2455" t="s">
        <v>9</v>
      </c>
      <c r="L2455" t="s">
        <v>161</v>
      </c>
      <c r="M2455">
        <v>200000000</v>
      </c>
    </row>
    <row r="2456" spans="1:13" x14ac:dyDescent="0.3">
      <c r="A2456" s="23">
        <v>45583</v>
      </c>
      <c r="B2456" t="s">
        <v>12</v>
      </c>
      <c r="C2456" t="s">
        <v>132</v>
      </c>
      <c r="D2456" t="s">
        <v>16</v>
      </c>
      <c r="E2456" t="s">
        <v>195</v>
      </c>
      <c r="F2456">
        <v>90729919.370000005</v>
      </c>
      <c r="G2456" t="s">
        <v>134</v>
      </c>
      <c r="H2456" t="s">
        <v>81</v>
      </c>
      <c r="I2456" t="s">
        <v>9</v>
      </c>
      <c r="L2456" t="s">
        <v>161</v>
      </c>
      <c r="M2456">
        <v>90729919.370000005</v>
      </c>
    </row>
    <row r="2457" spans="1:13" x14ac:dyDescent="0.3">
      <c r="A2457" s="23">
        <v>45583</v>
      </c>
      <c r="B2457" t="s">
        <v>12</v>
      </c>
      <c r="C2457" t="s">
        <v>132</v>
      </c>
      <c r="D2457" t="s">
        <v>17</v>
      </c>
      <c r="E2457" t="s">
        <v>195</v>
      </c>
      <c r="F2457">
        <v>104532534.05</v>
      </c>
      <c r="G2457" t="s">
        <v>134</v>
      </c>
      <c r="H2457" t="s">
        <v>81</v>
      </c>
      <c r="I2457" t="s">
        <v>9</v>
      </c>
      <c r="L2457" t="s">
        <v>161</v>
      </c>
      <c r="M2457">
        <v>-104532534.05</v>
      </c>
    </row>
    <row r="2458" spans="1:13" x14ac:dyDescent="0.3">
      <c r="A2458" s="23">
        <v>45566</v>
      </c>
      <c r="B2458" t="s">
        <v>12</v>
      </c>
      <c r="C2458" t="s">
        <v>132</v>
      </c>
      <c r="D2458" t="s">
        <v>17</v>
      </c>
      <c r="E2458" t="s">
        <v>195</v>
      </c>
      <c r="F2458">
        <v>350000000</v>
      </c>
      <c r="G2458" t="s">
        <v>134</v>
      </c>
      <c r="H2458" t="s">
        <v>81</v>
      </c>
      <c r="I2458" t="s">
        <v>9</v>
      </c>
      <c r="L2458" t="s">
        <v>161</v>
      </c>
      <c r="M2458">
        <v>-350000000</v>
      </c>
    </row>
    <row r="2459" spans="1:13" x14ac:dyDescent="0.3">
      <c r="A2459" s="23">
        <v>45565</v>
      </c>
      <c r="B2459" t="s">
        <v>12</v>
      </c>
      <c r="C2459" t="s">
        <v>132</v>
      </c>
      <c r="D2459" t="s">
        <v>17</v>
      </c>
      <c r="E2459" t="s">
        <v>195</v>
      </c>
      <c r="F2459">
        <v>60000000</v>
      </c>
      <c r="G2459" t="s">
        <v>134</v>
      </c>
      <c r="H2459" t="s">
        <v>81</v>
      </c>
      <c r="I2459" t="s">
        <v>9</v>
      </c>
      <c r="L2459" t="s">
        <v>161</v>
      </c>
      <c r="M2459">
        <v>-60000000</v>
      </c>
    </row>
    <row r="2460" spans="1:13" x14ac:dyDescent="0.3">
      <c r="A2460" s="23">
        <v>45565</v>
      </c>
      <c r="B2460" t="s">
        <v>12</v>
      </c>
      <c r="C2460" t="s">
        <v>132</v>
      </c>
      <c r="D2460" t="s">
        <v>16</v>
      </c>
      <c r="E2460" t="s">
        <v>195</v>
      </c>
      <c r="F2460">
        <v>3900000</v>
      </c>
      <c r="G2460" t="s">
        <v>134</v>
      </c>
      <c r="H2460" t="s">
        <v>81</v>
      </c>
      <c r="I2460" t="s">
        <v>9</v>
      </c>
      <c r="L2460" t="s">
        <v>161</v>
      </c>
      <c r="M2460">
        <v>3900000</v>
      </c>
    </row>
    <row r="2461" spans="1:13" x14ac:dyDescent="0.3">
      <c r="A2461" s="23">
        <v>45560</v>
      </c>
      <c r="B2461" t="s">
        <v>12</v>
      </c>
      <c r="C2461" t="s">
        <v>132</v>
      </c>
      <c r="D2461" t="s">
        <v>16</v>
      </c>
      <c r="E2461" t="s">
        <v>195</v>
      </c>
      <c r="F2461">
        <v>201079800</v>
      </c>
      <c r="G2461" t="s">
        <v>134</v>
      </c>
      <c r="H2461" t="s">
        <v>81</v>
      </c>
      <c r="I2461" t="s">
        <v>9</v>
      </c>
      <c r="L2461" t="s">
        <v>161</v>
      </c>
      <c r="M2461">
        <v>201079800</v>
      </c>
    </row>
    <row r="2462" spans="1:13" x14ac:dyDescent="0.3">
      <c r="A2462" s="23">
        <v>45553</v>
      </c>
      <c r="B2462" t="s">
        <v>12</v>
      </c>
      <c r="C2462" t="s">
        <v>132</v>
      </c>
      <c r="D2462" t="s">
        <v>16</v>
      </c>
      <c r="E2462" t="s">
        <v>195</v>
      </c>
      <c r="F2462">
        <v>166622401</v>
      </c>
      <c r="G2462" t="s">
        <v>134</v>
      </c>
      <c r="H2462" t="s">
        <v>81</v>
      </c>
      <c r="I2462" t="s">
        <v>9</v>
      </c>
      <c r="L2462" t="s">
        <v>161</v>
      </c>
      <c r="M2462">
        <v>166622401</v>
      </c>
    </row>
    <row r="2463" spans="1:13" x14ac:dyDescent="0.3">
      <c r="A2463" s="23">
        <v>45546</v>
      </c>
      <c r="B2463" t="s">
        <v>12</v>
      </c>
      <c r="C2463" t="s">
        <v>132</v>
      </c>
      <c r="D2463" t="s">
        <v>16</v>
      </c>
      <c r="E2463" t="s">
        <v>195</v>
      </c>
      <c r="F2463">
        <v>63047600</v>
      </c>
      <c r="G2463" t="s">
        <v>134</v>
      </c>
      <c r="H2463" t="s">
        <v>81</v>
      </c>
      <c r="I2463" t="s">
        <v>9</v>
      </c>
      <c r="L2463" t="s">
        <v>161</v>
      </c>
      <c r="M2463">
        <v>63047600</v>
      </c>
    </row>
    <row r="2464" spans="1:13" x14ac:dyDescent="0.3">
      <c r="A2464" s="23">
        <v>45544</v>
      </c>
      <c r="B2464" t="s">
        <v>12</v>
      </c>
      <c r="C2464" t="s">
        <v>132</v>
      </c>
      <c r="D2464" t="s">
        <v>17</v>
      </c>
      <c r="E2464" t="s">
        <v>195</v>
      </c>
      <c r="F2464">
        <v>184638649.30000001</v>
      </c>
      <c r="G2464" t="s">
        <v>134</v>
      </c>
      <c r="H2464" t="s">
        <v>81</v>
      </c>
      <c r="I2464" t="s">
        <v>9</v>
      </c>
      <c r="L2464" t="s">
        <v>161</v>
      </c>
      <c r="M2464">
        <v>-184638649.30000001</v>
      </c>
    </row>
    <row r="2465" spans="1:13" x14ac:dyDescent="0.3">
      <c r="A2465" s="23">
        <v>45544</v>
      </c>
      <c r="B2465" t="s">
        <v>12</v>
      </c>
      <c r="C2465" t="s">
        <v>132</v>
      </c>
      <c r="D2465" t="s">
        <v>16</v>
      </c>
      <c r="E2465" t="s">
        <v>195</v>
      </c>
      <c r="F2465">
        <v>1105543.4099999999</v>
      </c>
      <c r="G2465" t="s">
        <v>134</v>
      </c>
      <c r="H2465" t="s">
        <v>81</v>
      </c>
      <c r="I2465" t="s">
        <v>9</v>
      </c>
      <c r="L2465" t="s">
        <v>161</v>
      </c>
      <c r="M2465">
        <v>1105543.4099999999</v>
      </c>
    </row>
    <row r="2466" spans="1:13" x14ac:dyDescent="0.3">
      <c r="A2466" s="23">
        <v>45540</v>
      </c>
      <c r="B2466" t="s">
        <v>12</v>
      </c>
      <c r="C2466" t="s">
        <v>132</v>
      </c>
      <c r="D2466" t="s">
        <v>17</v>
      </c>
      <c r="E2466" t="s">
        <v>195</v>
      </c>
      <c r="F2466">
        <v>106948105</v>
      </c>
      <c r="G2466" t="s">
        <v>134</v>
      </c>
      <c r="H2466" t="s">
        <v>81</v>
      </c>
      <c r="I2466" t="s">
        <v>9</v>
      </c>
      <c r="L2466" t="s">
        <v>161</v>
      </c>
      <c r="M2466">
        <v>-106948105</v>
      </c>
    </row>
    <row r="2467" spans="1:13" x14ac:dyDescent="0.3">
      <c r="A2467" s="23">
        <v>45538</v>
      </c>
      <c r="B2467" t="s">
        <v>12</v>
      </c>
      <c r="C2467" t="s">
        <v>132</v>
      </c>
      <c r="D2467" t="s">
        <v>16</v>
      </c>
      <c r="E2467" t="s">
        <v>195</v>
      </c>
      <c r="F2467">
        <v>176693000</v>
      </c>
      <c r="G2467" t="s">
        <v>134</v>
      </c>
      <c r="H2467" t="s">
        <v>81</v>
      </c>
      <c r="I2467" t="s">
        <v>9</v>
      </c>
      <c r="L2467" t="s">
        <v>161</v>
      </c>
      <c r="M2467">
        <v>176693000</v>
      </c>
    </row>
    <row r="2468" spans="1:13" x14ac:dyDescent="0.3">
      <c r="A2468" s="23">
        <v>45530</v>
      </c>
      <c r="B2468" t="s">
        <v>12</v>
      </c>
      <c r="C2468" t="s">
        <v>132</v>
      </c>
      <c r="D2468" t="s">
        <v>17</v>
      </c>
      <c r="E2468" t="s">
        <v>195</v>
      </c>
      <c r="F2468">
        <v>250000000</v>
      </c>
      <c r="G2468" t="s">
        <v>134</v>
      </c>
      <c r="H2468" t="s">
        <v>81</v>
      </c>
      <c r="I2468" t="s">
        <v>9</v>
      </c>
      <c r="L2468" t="s">
        <v>161</v>
      </c>
      <c r="M2468">
        <v>-250000000</v>
      </c>
    </row>
    <row r="2469" spans="1:13" x14ac:dyDescent="0.3">
      <c r="A2469" s="23">
        <v>45509</v>
      </c>
      <c r="B2469" t="s">
        <v>12</v>
      </c>
      <c r="C2469" t="s">
        <v>132</v>
      </c>
      <c r="D2469" t="s">
        <v>17</v>
      </c>
      <c r="E2469" t="s">
        <v>195</v>
      </c>
      <c r="F2469">
        <v>50579278.469999999</v>
      </c>
      <c r="G2469" t="s">
        <v>134</v>
      </c>
      <c r="H2469" t="s">
        <v>81</v>
      </c>
      <c r="I2469" t="s">
        <v>9</v>
      </c>
      <c r="L2469" t="s">
        <v>161</v>
      </c>
      <c r="M2469">
        <v>-50579278.469999999</v>
      </c>
    </row>
    <row r="2470" spans="1:13" x14ac:dyDescent="0.3">
      <c r="A2470" s="23">
        <v>45504</v>
      </c>
      <c r="B2470" t="s">
        <v>12</v>
      </c>
      <c r="C2470" t="s">
        <v>132</v>
      </c>
      <c r="D2470" t="s">
        <v>16</v>
      </c>
      <c r="E2470" t="s">
        <v>195</v>
      </c>
      <c r="F2470">
        <v>18880000</v>
      </c>
      <c r="G2470" t="s">
        <v>134</v>
      </c>
      <c r="H2470" t="s">
        <v>81</v>
      </c>
      <c r="I2470" t="s">
        <v>9</v>
      </c>
      <c r="L2470" t="s">
        <v>161</v>
      </c>
      <c r="M2470">
        <v>18880000</v>
      </c>
    </row>
    <row r="2471" spans="1:13" x14ac:dyDescent="0.3">
      <c r="A2471" s="23">
        <v>45460</v>
      </c>
      <c r="B2471" t="s">
        <v>12</v>
      </c>
      <c r="C2471" t="s">
        <v>132</v>
      </c>
      <c r="D2471" t="s">
        <v>16</v>
      </c>
      <c r="E2471" t="s">
        <v>195</v>
      </c>
      <c r="F2471">
        <v>380000</v>
      </c>
      <c r="G2471" t="s">
        <v>134</v>
      </c>
      <c r="H2471" t="s">
        <v>81</v>
      </c>
      <c r="I2471" t="s">
        <v>9</v>
      </c>
      <c r="L2471" t="s">
        <v>161</v>
      </c>
      <c r="M2471">
        <v>380000</v>
      </c>
    </row>
    <row r="2472" spans="1:13" x14ac:dyDescent="0.3">
      <c r="A2472" s="23">
        <v>45456</v>
      </c>
      <c r="B2472" t="s">
        <v>12</v>
      </c>
      <c r="C2472" t="s">
        <v>132</v>
      </c>
      <c r="D2472" t="s">
        <v>16</v>
      </c>
      <c r="E2472" t="s">
        <v>195</v>
      </c>
      <c r="F2472">
        <v>400000000</v>
      </c>
      <c r="G2472" t="s">
        <v>134</v>
      </c>
      <c r="H2472" t="s">
        <v>81</v>
      </c>
      <c r="I2472" t="s">
        <v>9</v>
      </c>
      <c r="L2472" t="s">
        <v>161</v>
      </c>
      <c r="M2472">
        <v>400000000</v>
      </c>
    </row>
    <row r="2473" spans="1:13" x14ac:dyDescent="0.3">
      <c r="A2473" s="23">
        <v>45483</v>
      </c>
      <c r="B2473" t="s">
        <v>12</v>
      </c>
      <c r="C2473" t="s">
        <v>132</v>
      </c>
      <c r="D2473" t="s">
        <v>17</v>
      </c>
      <c r="E2473" t="s">
        <v>196</v>
      </c>
      <c r="F2473">
        <v>400000000</v>
      </c>
      <c r="G2473" t="s">
        <v>181</v>
      </c>
      <c r="H2473" t="s">
        <v>81</v>
      </c>
      <c r="I2473" t="s">
        <v>9</v>
      </c>
      <c r="L2473" t="s">
        <v>161</v>
      </c>
      <c r="M2473">
        <v>-400000000</v>
      </c>
    </row>
    <row r="2474" spans="1:13" x14ac:dyDescent="0.3">
      <c r="A2474" s="23">
        <v>45456</v>
      </c>
      <c r="B2474" t="s">
        <v>12</v>
      </c>
      <c r="C2474" t="s">
        <v>132</v>
      </c>
      <c r="D2474" t="s">
        <v>16</v>
      </c>
      <c r="E2474" t="s">
        <v>196</v>
      </c>
      <c r="F2474">
        <v>400000000</v>
      </c>
      <c r="G2474" t="s">
        <v>181</v>
      </c>
      <c r="H2474" t="s">
        <v>81</v>
      </c>
      <c r="I2474" t="s">
        <v>9</v>
      </c>
      <c r="L2474" t="s">
        <v>161</v>
      </c>
      <c r="M2474">
        <v>400000000</v>
      </c>
    </row>
    <row r="2475" spans="1:13" x14ac:dyDescent="0.3">
      <c r="A2475" s="23">
        <v>45845</v>
      </c>
      <c r="B2475" t="s">
        <v>12</v>
      </c>
      <c r="C2475" t="s">
        <v>132</v>
      </c>
      <c r="D2475" t="s">
        <v>17</v>
      </c>
      <c r="E2475" t="s">
        <v>197</v>
      </c>
      <c r="F2475">
        <v>79099807.909999996</v>
      </c>
      <c r="G2475" t="s">
        <v>198</v>
      </c>
      <c r="H2475" t="s">
        <v>81</v>
      </c>
      <c r="I2475" t="s">
        <v>9</v>
      </c>
      <c r="L2475" t="s">
        <v>161</v>
      </c>
      <c r="M2475">
        <v>-79099807.909999996</v>
      </c>
    </row>
    <row r="2476" spans="1:13" x14ac:dyDescent="0.3">
      <c r="A2476" s="23">
        <v>45845</v>
      </c>
      <c r="B2476" t="s">
        <v>12</v>
      </c>
      <c r="C2476" t="s">
        <v>132</v>
      </c>
      <c r="D2476" t="s">
        <v>17</v>
      </c>
      <c r="E2476" t="s">
        <v>197</v>
      </c>
      <c r="F2476">
        <v>79099807.909999996</v>
      </c>
      <c r="G2476" t="s">
        <v>198</v>
      </c>
      <c r="H2476" t="s">
        <v>81</v>
      </c>
      <c r="I2476" t="s">
        <v>9</v>
      </c>
      <c r="L2476" t="s">
        <v>161</v>
      </c>
      <c r="M2476">
        <v>-79099807.909999996</v>
      </c>
    </row>
    <row r="2477" spans="1:13" x14ac:dyDescent="0.3">
      <c r="A2477" s="23">
        <v>45839</v>
      </c>
      <c r="B2477" t="s">
        <v>12</v>
      </c>
      <c r="C2477" t="s">
        <v>132</v>
      </c>
      <c r="D2477" t="s">
        <v>16</v>
      </c>
      <c r="E2477" t="s">
        <v>197</v>
      </c>
      <c r="F2477">
        <v>200000000</v>
      </c>
      <c r="G2477" t="s">
        <v>198</v>
      </c>
      <c r="H2477" t="s">
        <v>81</v>
      </c>
      <c r="I2477" t="s">
        <v>9</v>
      </c>
      <c r="L2477" t="s">
        <v>161</v>
      </c>
      <c r="M2477">
        <v>200000000</v>
      </c>
    </row>
    <row r="2478" spans="1:13" x14ac:dyDescent="0.3">
      <c r="A2478" s="23">
        <v>45762</v>
      </c>
      <c r="B2478" t="s">
        <v>12</v>
      </c>
      <c r="C2478" t="s">
        <v>132</v>
      </c>
      <c r="D2478" t="s">
        <v>17</v>
      </c>
      <c r="E2478" t="s">
        <v>197</v>
      </c>
      <c r="F2478">
        <v>14925092.640000001</v>
      </c>
      <c r="G2478" t="s">
        <v>198</v>
      </c>
      <c r="H2478" t="s">
        <v>81</v>
      </c>
      <c r="I2478" t="s">
        <v>9</v>
      </c>
      <c r="L2478" t="s">
        <v>161</v>
      </c>
      <c r="M2478">
        <v>-14925092.640000001</v>
      </c>
    </row>
    <row r="2479" spans="1:13" x14ac:dyDescent="0.3">
      <c r="A2479" s="23">
        <v>45695</v>
      </c>
      <c r="B2479" t="s">
        <v>12</v>
      </c>
      <c r="C2479" t="s">
        <v>132</v>
      </c>
      <c r="D2479" t="s">
        <v>16</v>
      </c>
      <c r="E2479" t="s">
        <v>197</v>
      </c>
      <c r="F2479">
        <v>700000</v>
      </c>
      <c r="G2479" t="s">
        <v>198</v>
      </c>
      <c r="H2479" t="s">
        <v>81</v>
      </c>
      <c r="I2479" t="s">
        <v>9</v>
      </c>
      <c r="L2479" t="s">
        <v>161</v>
      </c>
      <c r="M2479">
        <v>700000</v>
      </c>
    </row>
    <row r="2480" spans="1:13" x14ac:dyDescent="0.3">
      <c r="A2480" s="23">
        <v>45630</v>
      </c>
      <c r="B2480" t="s">
        <v>12</v>
      </c>
      <c r="C2480" t="s">
        <v>132</v>
      </c>
      <c r="D2480" t="s">
        <v>16</v>
      </c>
      <c r="E2480" t="s">
        <v>197</v>
      </c>
      <c r="F2480">
        <v>274158</v>
      </c>
      <c r="G2480" t="s">
        <v>198</v>
      </c>
      <c r="H2480" t="s">
        <v>81</v>
      </c>
      <c r="I2480" t="s">
        <v>9</v>
      </c>
      <c r="L2480" t="s">
        <v>161</v>
      </c>
      <c r="M2480">
        <v>274158</v>
      </c>
    </row>
    <row r="2481" spans="1:13" x14ac:dyDescent="0.3">
      <c r="A2481" s="23">
        <v>45607</v>
      </c>
      <c r="B2481" t="s">
        <v>12</v>
      </c>
      <c r="C2481" t="s">
        <v>132</v>
      </c>
      <c r="D2481" t="s">
        <v>16</v>
      </c>
      <c r="E2481" t="s">
        <v>197</v>
      </c>
      <c r="F2481">
        <v>3557571</v>
      </c>
      <c r="G2481" t="s">
        <v>198</v>
      </c>
      <c r="H2481" t="s">
        <v>81</v>
      </c>
      <c r="I2481" t="s">
        <v>9</v>
      </c>
      <c r="L2481" t="s">
        <v>161</v>
      </c>
      <c r="M2481">
        <v>3557571</v>
      </c>
    </row>
    <row r="2482" spans="1:13" x14ac:dyDescent="0.3">
      <c r="A2482" s="23">
        <v>45607</v>
      </c>
      <c r="B2482" t="s">
        <v>12</v>
      </c>
      <c r="C2482" t="s">
        <v>132</v>
      </c>
      <c r="D2482" t="s">
        <v>17</v>
      </c>
      <c r="E2482" t="s">
        <v>197</v>
      </c>
      <c r="F2482">
        <v>70000000</v>
      </c>
      <c r="G2482" t="s">
        <v>198</v>
      </c>
      <c r="H2482" t="s">
        <v>81</v>
      </c>
      <c r="I2482" t="s">
        <v>9</v>
      </c>
      <c r="L2482" t="s">
        <v>161</v>
      </c>
      <c r="M2482">
        <v>-70000000</v>
      </c>
    </row>
    <row r="2483" spans="1:13" x14ac:dyDescent="0.3">
      <c r="A2483" s="23">
        <v>45583</v>
      </c>
      <c r="B2483" t="s">
        <v>12</v>
      </c>
      <c r="C2483" t="s">
        <v>132</v>
      </c>
      <c r="D2483" t="s">
        <v>17</v>
      </c>
      <c r="E2483" t="s">
        <v>197</v>
      </c>
      <c r="F2483">
        <v>68789696.650000006</v>
      </c>
      <c r="G2483" t="s">
        <v>198</v>
      </c>
      <c r="H2483" t="s">
        <v>81</v>
      </c>
      <c r="I2483" t="s">
        <v>9</v>
      </c>
      <c r="L2483" t="s">
        <v>161</v>
      </c>
      <c r="M2483">
        <v>-68789696.650000006</v>
      </c>
    </row>
    <row r="2484" spans="1:13" x14ac:dyDescent="0.3">
      <c r="A2484" s="23">
        <v>45582</v>
      </c>
      <c r="B2484" t="s">
        <v>12</v>
      </c>
      <c r="C2484" t="s">
        <v>132</v>
      </c>
      <c r="D2484" t="s">
        <v>17</v>
      </c>
      <c r="E2484" t="s">
        <v>197</v>
      </c>
      <c r="F2484">
        <v>300000000</v>
      </c>
      <c r="G2484" t="s">
        <v>198</v>
      </c>
      <c r="H2484" t="s">
        <v>81</v>
      </c>
      <c r="I2484" t="s">
        <v>9</v>
      </c>
      <c r="L2484" t="s">
        <v>161</v>
      </c>
      <c r="M2484">
        <v>-300000000</v>
      </c>
    </row>
    <row r="2485" spans="1:13" x14ac:dyDescent="0.3">
      <c r="A2485" s="23">
        <v>45581</v>
      </c>
      <c r="B2485" t="s">
        <v>12</v>
      </c>
      <c r="C2485" t="s">
        <v>132</v>
      </c>
      <c r="D2485" t="s">
        <v>16</v>
      </c>
      <c r="E2485" t="s">
        <v>197</v>
      </c>
      <c r="F2485">
        <v>419800672</v>
      </c>
      <c r="G2485" t="s">
        <v>198</v>
      </c>
      <c r="H2485" t="s">
        <v>81</v>
      </c>
      <c r="I2485" t="s">
        <v>9</v>
      </c>
      <c r="L2485" t="s">
        <v>161</v>
      </c>
      <c r="M2485">
        <v>419800672</v>
      </c>
    </row>
    <row r="2486" spans="1:13" x14ac:dyDescent="0.3">
      <c r="A2486" s="23">
        <v>45569</v>
      </c>
      <c r="B2486" t="s">
        <v>12</v>
      </c>
      <c r="C2486" t="s">
        <v>132</v>
      </c>
      <c r="D2486" t="s">
        <v>17</v>
      </c>
      <c r="E2486" t="s">
        <v>197</v>
      </c>
      <c r="F2486">
        <v>103530841.93000001</v>
      </c>
      <c r="G2486" t="s">
        <v>198</v>
      </c>
      <c r="H2486" t="s">
        <v>81</v>
      </c>
      <c r="I2486" t="s">
        <v>9</v>
      </c>
      <c r="L2486" t="s">
        <v>161</v>
      </c>
      <c r="M2486">
        <v>-103530841.93000001</v>
      </c>
    </row>
    <row r="2487" spans="1:13" x14ac:dyDescent="0.3">
      <c r="A2487" s="23">
        <v>45569</v>
      </c>
      <c r="B2487" t="s">
        <v>12</v>
      </c>
      <c r="C2487" t="s">
        <v>132</v>
      </c>
      <c r="D2487" t="s">
        <v>17</v>
      </c>
      <c r="E2487" t="s">
        <v>197</v>
      </c>
      <c r="F2487">
        <v>87799328.75</v>
      </c>
      <c r="G2487" t="s">
        <v>198</v>
      </c>
      <c r="H2487" t="s">
        <v>81</v>
      </c>
      <c r="I2487" t="s">
        <v>9</v>
      </c>
      <c r="L2487" t="s">
        <v>161</v>
      </c>
      <c r="M2487">
        <v>-87799328.75</v>
      </c>
    </row>
    <row r="2488" spans="1:13" x14ac:dyDescent="0.3">
      <c r="A2488" s="23">
        <v>45567</v>
      </c>
      <c r="B2488" t="s">
        <v>12</v>
      </c>
      <c r="C2488" t="s">
        <v>132</v>
      </c>
      <c r="D2488" t="s">
        <v>16</v>
      </c>
      <c r="E2488" t="s">
        <v>197</v>
      </c>
      <c r="F2488">
        <v>209100000</v>
      </c>
      <c r="G2488" t="s">
        <v>198</v>
      </c>
      <c r="H2488" t="s">
        <v>81</v>
      </c>
      <c r="I2488" t="s">
        <v>9</v>
      </c>
      <c r="L2488" t="s">
        <v>161</v>
      </c>
      <c r="M2488">
        <v>209100000</v>
      </c>
    </row>
    <row r="2489" spans="1:13" x14ac:dyDescent="0.3">
      <c r="A2489" s="23">
        <v>45473</v>
      </c>
      <c r="B2489" t="s">
        <v>12</v>
      </c>
      <c r="C2489" t="s">
        <v>132</v>
      </c>
      <c r="D2489" t="s">
        <v>16</v>
      </c>
      <c r="E2489" t="s">
        <v>197</v>
      </c>
      <c r="F2489">
        <v>1350000</v>
      </c>
      <c r="G2489" t="s">
        <v>198</v>
      </c>
      <c r="H2489" t="s">
        <v>81</v>
      </c>
      <c r="I2489" t="s">
        <v>9</v>
      </c>
      <c r="L2489" t="s">
        <v>161</v>
      </c>
      <c r="M2489">
        <v>1350000</v>
      </c>
    </row>
    <row r="2490" spans="1:13" x14ac:dyDescent="0.3">
      <c r="A2490" s="23">
        <v>45546</v>
      </c>
      <c r="B2490" t="s">
        <v>12</v>
      </c>
      <c r="C2490" t="s">
        <v>132</v>
      </c>
      <c r="D2490" t="s">
        <v>17</v>
      </c>
      <c r="E2490" t="s">
        <v>197</v>
      </c>
      <c r="F2490">
        <v>150836941.03</v>
      </c>
      <c r="G2490" t="s">
        <v>198</v>
      </c>
      <c r="H2490" t="s">
        <v>81</v>
      </c>
      <c r="I2490" t="s">
        <v>9</v>
      </c>
      <c r="L2490" t="s">
        <v>161</v>
      </c>
      <c r="M2490">
        <v>-150836941.03</v>
      </c>
    </row>
    <row r="2491" spans="1:13" x14ac:dyDescent="0.3">
      <c r="A2491" s="23">
        <v>45539</v>
      </c>
      <c r="B2491" t="s">
        <v>12</v>
      </c>
      <c r="C2491" t="s">
        <v>132</v>
      </c>
      <c r="D2491" t="s">
        <v>16</v>
      </c>
      <c r="E2491" t="s">
        <v>197</v>
      </c>
      <c r="F2491">
        <v>85540000</v>
      </c>
      <c r="G2491" t="s">
        <v>198</v>
      </c>
      <c r="H2491" t="s">
        <v>81</v>
      </c>
      <c r="I2491" t="s">
        <v>9</v>
      </c>
      <c r="L2491" t="s">
        <v>161</v>
      </c>
      <c r="M2491">
        <v>85540000</v>
      </c>
    </row>
    <row r="2492" spans="1:13" x14ac:dyDescent="0.3">
      <c r="A2492" s="23">
        <v>45538</v>
      </c>
      <c r="B2492" t="s">
        <v>12</v>
      </c>
      <c r="C2492" t="s">
        <v>132</v>
      </c>
      <c r="D2492" t="s">
        <v>16</v>
      </c>
      <c r="E2492" t="s">
        <v>197</v>
      </c>
      <c r="F2492">
        <v>1434000</v>
      </c>
      <c r="G2492" t="s">
        <v>198</v>
      </c>
      <c r="H2492" t="s">
        <v>81</v>
      </c>
      <c r="I2492" t="s">
        <v>9</v>
      </c>
      <c r="L2492" t="s">
        <v>161</v>
      </c>
      <c r="M2492">
        <v>1434000</v>
      </c>
    </row>
    <row r="2493" spans="1:13" x14ac:dyDescent="0.3">
      <c r="A2493" s="23">
        <v>45531</v>
      </c>
      <c r="B2493" t="s">
        <v>12</v>
      </c>
      <c r="C2493" t="s">
        <v>132</v>
      </c>
      <c r="D2493" t="s">
        <v>16</v>
      </c>
      <c r="E2493" t="s">
        <v>197</v>
      </c>
      <c r="F2493">
        <v>25393300</v>
      </c>
      <c r="G2493" t="s">
        <v>198</v>
      </c>
      <c r="H2493" t="s">
        <v>81</v>
      </c>
      <c r="I2493" t="s">
        <v>9</v>
      </c>
      <c r="L2493" t="s">
        <v>161</v>
      </c>
      <c r="M2493">
        <v>25393300</v>
      </c>
    </row>
    <row r="2494" spans="1:13" x14ac:dyDescent="0.3">
      <c r="A2494" s="23">
        <v>45524</v>
      </c>
      <c r="B2494" t="s">
        <v>12</v>
      </c>
      <c r="C2494" t="s">
        <v>132</v>
      </c>
      <c r="D2494" t="s">
        <v>16</v>
      </c>
      <c r="E2494" t="s">
        <v>197</v>
      </c>
      <c r="F2494">
        <v>23314200</v>
      </c>
      <c r="G2494" t="s">
        <v>198</v>
      </c>
      <c r="H2494" t="s">
        <v>81</v>
      </c>
      <c r="I2494" t="s">
        <v>9</v>
      </c>
      <c r="L2494" t="s">
        <v>161</v>
      </c>
      <c r="M2494">
        <v>23314200</v>
      </c>
    </row>
    <row r="2495" spans="1:13" x14ac:dyDescent="0.3">
      <c r="A2495" s="23">
        <v>45504</v>
      </c>
      <c r="B2495" t="s">
        <v>12</v>
      </c>
      <c r="C2495" t="s">
        <v>132</v>
      </c>
      <c r="D2495" t="s">
        <v>16</v>
      </c>
      <c r="E2495" t="s">
        <v>197</v>
      </c>
      <c r="F2495">
        <v>148000</v>
      </c>
      <c r="G2495" t="s">
        <v>198</v>
      </c>
      <c r="H2495" t="s">
        <v>81</v>
      </c>
      <c r="I2495" t="s">
        <v>9</v>
      </c>
      <c r="L2495" t="s">
        <v>161</v>
      </c>
      <c r="M2495">
        <v>148000</v>
      </c>
    </row>
    <row r="2496" spans="1:13" x14ac:dyDescent="0.3">
      <c r="A2496" s="23">
        <v>45497</v>
      </c>
      <c r="B2496" t="s">
        <v>12</v>
      </c>
      <c r="C2496" t="s">
        <v>132</v>
      </c>
      <c r="D2496" t="s">
        <v>16</v>
      </c>
      <c r="E2496" t="s">
        <v>197</v>
      </c>
      <c r="F2496">
        <v>25270000</v>
      </c>
      <c r="G2496" t="s">
        <v>198</v>
      </c>
      <c r="H2496" t="s">
        <v>81</v>
      </c>
      <c r="I2496" t="s">
        <v>9</v>
      </c>
      <c r="L2496" t="s">
        <v>161</v>
      </c>
      <c r="M2496">
        <v>25270000</v>
      </c>
    </row>
    <row r="2497" spans="1:13" x14ac:dyDescent="0.3">
      <c r="A2497" s="23">
        <v>45663</v>
      </c>
      <c r="B2497" t="s">
        <v>12</v>
      </c>
      <c r="C2497" t="s">
        <v>132</v>
      </c>
      <c r="D2497" t="s">
        <v>17</v>
      </c>
      <c r="E2497" t="s">
        <v>203</v>
      </c>
      <c r="F2497">
        <v>610000000</v>
      </c>
      <c r="G2497" t="s">
        <v>109</v>
      </c>
      <c r="H2497" t="s">
        <v>81</v>
      </c>
      <c r="I2497" t="s">
        <v>9</v>
      </c>
      <c r="L2497" t="s">
        <v>161</v>
      </c>
      <c r="M2497">
        <v>-610000000</v>
      </c>
    </row>
    <row r="2498" spans="1:13" x14ac:dyDescent="0.3">
      <c r="A2498" s="23">
        <v>45659</v>
      </c>
      <c r="B2498" t="s">
        <v>12</v>
      </c>
      <c r="C2498" t="s">
        <v>132</v>
      </c>
      <c r="D2498" t="s">
        <v>16</v>
      </c>
      <c r="E2498" t="s">
        <v>203</v>
      </c>
      <c r="F2498">
        <v>610000000</v>
      </c>
      <c r="G2498" t="s">
        <v>109</v>
      </c>
      <c r="H2498" t="s">
        <v>81</v>
      </c>
      <c r="I2498" t="s">
        <v>9</v>
      </c>
      <c r="L2498" t="s">
        <v>161</v>
      </c>
      <c r="M2498">
        <v>610000000</v>
      </c>
    </row>
    <row r="2499" spans="1:13" x14ac:dyDescent="0.3">
      <c r="A2499" s="23">
        <v>45845</v>
      </c>
      <c r="B2499" t="s">
        <v>12</v>
      </c>
      <c r="C2499" t="s">
        <v>132</v>
      </c>
      <c r="D2499" t="s">
        <v>17</v>
      </c>
      <c r="E2499" t="s">
        <v>204</v>
      </c>
      <c r="F2499">
        <v>864761526.48000002</v>
      </c>
      <c r="G2499" t="s">
        <v>205</v>
      </c>
      <c r="H2499" t="s">
        <v>81</v>
      </c>
      <c r="I2499" t="s">
        <v>9</v>
      </c>
      <c r="L2499" t="s">
        <v>161</v>
      </c>
      <c r="M2499">
        <v>-864761526.48000002</v>
      </c>
    </row>
    <row r="2500" spans="1:13" x14ac:dyDescent="0.3">
      <c r="A2500" s="23">
        <v>45845</v>
      </c>
      <c r="B2500" t="s">
        <v>12</v>
      </c>
      <c r="C2500" t="s">
        <v>132</v>
      </c>
      <c r="D2500" t="s">
        <v>17</v>
      </c>
      <c r="E2500" t="s">
        <v>204</v>
      </c>
      <c r="F2500">
        <v>658079823.47000003</v>
      </c>
      <c r="G2500" t="s">
        <v>205</v>
      </c>
      <c r="H2500" t="s">
        <v>81</v>
      </c>
      <c r="I2500" t="s">
        <v>9</v>
      </c>
      <c r="L2500" t="s">
        <v>161</v>
      </c>
      <c r="M2500">
        <v>-658079823.47000003</v>
      </c>
    </row>
    <row r="2501" spans="1:13" x14ac:dyDescent="0.3">
      <c r="A2501" s="23">
        <v>45839</v>
      </c>
      <c r="B2501" t="s">
        <v>12</v>
      </c>
      <c r="C2501" t="s">
        <v>132</v>
      </c>
      <c r="D2501" t="s">
        <v>16</v>
      </c>
      <c r="E2501" t="s">
        <v>204</v>
      </c>
      <c r="F2501">
        <v>600000000</v>
      </c>
      <c r="G2501" t="s">
        <v>205</v>
      </c>
      <c r="H2501" t="s">
        <v>81</v>
      </c>
      <c r="I2501" t="s">
        <v>9</v>
      </c>
      <c r="L2501" t="s">
        <v>161</v>
      </c>
      <c r="M2501">
        <v>600000000</v>
      </c>
    </row>
    <row r="2502" spans="1:13" x14ac:dyDescent="0.3">
      <c r="A2502" s="23">
        <v>45835</v>
      </c>
      <c r="B2502" t="s">
        <v>12</v>
      </c>
      <c r="C2502" t="s">
        <v>132</v>
      </c>
      <c r="D2502" t="s">
        <v>17</v>
      </c>
      <c r="E2502" t="s">
        <v>204</v>
      </c>
      <c r="F2502">
        <v>93003158.5</v>
      </c>
      <c r="G2502" t="s">
        <v>205</v>
      </c>
      <c r="H2502" t="s">
        <v>81</v>
      </c>
      <c r="I2502" t="s">
        <v>9</v>
      </c>
      <c r="L2502" t="s">
        <v>161</v>
      </c>
      <c r="M2502">
        <v>-93003158.5</v>
      </c>
    </row>
    <row r="2503" spans="1:13" x14ac:dyDescent="0.3">
      <c r="A2503" s="23">
        <v>45833</v>
      </c>
      <c r="B2503" t="s">
        <v>12</v>
      </c>
      <c r="C2503" t="s">
        <v>132</v>
      </c>
      <c r="D2503" t="s">
        <v>17</v>
      </c>
      <c r="E2503" t="s">
        <v>204</v>
      </c>
      <c r="F2503">
        <v>98551449.359999999</v>
      </c>
      <c r="G2503" t="s">
        <v>205</v>
      </c>
      <c r="H2503" t="s">
        <v>81</v>
      </c>
      <c r="I2503" t="s">
        <v>9</v>
      </c>
      <c r="L2503" t="s">
        <v>161</v>
      </c>
      <c r="M2503">
        <v>-98551449.359999999</v>
      </c>
    </row>
    <row r="2504" spans="1:13" x14ac:dyDescent="0.3">
      <c r="A2504" s="23">
        <v>45818</v>
      </c>
      <c r="B2504" t="s">
        <v>12</v>
      </c>
      <c r="C2504" t="s">
        <v>132</v>
      </c>
      <c r="D2504" t="s">
        <v>17</v>
      </c>
      <c r="E2504" t="s">
        <v>204</v>
      </c>
      <c r="F2504">
        <v>52430808.210000001</v>
      </c>
      <c r="G2504" t="s">
        <v>205</v>
      </c>
      <c r="H2504" t="s">
        <v>81</v>
      </c>
      <c r="I2504" t="s">
        <v>9</v>
      </c>
      <c r="L2504" t="s">
        <v>161</v>
      </c>
      <c r="M2504">
        <v>-52430808.210000001</v>
      </c>
    </row>
    <row r="2505" spans="1:13" x14ac:dyDescent="0.3">
      <c r="A2505" s="23">
        <v>45818</v>
      </c>
      <c r="B2505" t="s">
        <v>12</v>
      </c>
      <c r="C2505" t="s">
        <v>132</v>
      </c>
      <c r="D2505" t="s">
        <v>17</v>
      </c>
      <c r="E2505" t="s">
        <v>204</v>
      </c>
      <c r="F2505">
        <v>78247913.659999996</v>
      </c>
      <c r="G2505" t="s">
        <v>205</v>
      </c>
      <c r="H2505" t="s">
        <v>81</v>
      </c>
      <c r="I2505" t="s">
        <v>9</v>
      </c>
      <c r="L2505" t="s">
        <v>161</v>
      </c>
      <c r="M2505">
        <v>-78247913.659999996</v>
      </c>
    </row>
    <row r="2506" spans="1:13" x14ac:dyDescent="0.3">
      <c r="A2506" s="23">
        <v>45804</v>
      </c>
      <c r="B2506" t="s">
        <v>12</v>
      </c>
      <c r="C2506" t="s">
        <v>132</v>
      </c>
      <c r="D2506" t="s">
        <v>16</v>
      </c>
      <c r="E2506" t="s">
        <v>204</v>
      </c>
      <c r="F2506">
        <v>62364000</v>
      </c>
      <c r="G2506" t="s">
        <v>205</v>
      </c>
      <c r="H2506" t="s">
        <v>81</v>
      </c>
      <c r="I2506" t="s">
        <v>9</v>
      </c>
      <c r="L2506" t="s">
        <v>161</v>
      </c>
      <c r="M2506">
        <v>62364000</v>
      </c>
    </row>
    <row r="2507" spans="1:13" x14ac:dyDescent="0.3">
      <c r="A2507" s="23">
        <v>45799</v>
      </c>
      <c r="B2507" t="s">
        <v>12</v>
      </c>
      <c r="C2507" t="s">
        <v>132</v>
      </c>
      <c r="D2507" t="s">
        <v>17</v>
      </c>
      <c r="E2507" t="s">
        <v>204</v>
      </c>
      <c r="F2507">
        <v>197504802.94</v>
      </c>
      <c r="G2507" t="s">
        <v>205</v>
      </c>
      <c r="H2507" t="s">
        <v>81</v>
      </c>
      <c r="I2507" t="s">
        <v>9</v>
      </c>
      <c r="L2507" t="s">
        <v>161</v>
      </c>
      <c r="M2507">
        <v>-197504802.94</v>
      </c>
    </row>
    <row r="2508" spans="1:13" x14ac:dyDescent="0.3">
      <c r="A2508" s="23">
        <v>45790</v>
      </c>
      <c r="B2508" t="s">
        <v>12</v>
      </c>
      <c r="C2508" t="s">
        <v>132</v>
      </c>
      <c r="D2508" t="s">
        <v>17</v>
      </c>
      <c r="E2508" t="s">
        <v>204</v>
      </c>
      <c r="F2508">
        <v>73048243.370000005</v>
      </c>
      <c r="G2508" t="s">
        <v>205</v>
      </c>
      <c r="H2508" t="s">
        <v>81</v>
      </c>
      <c r="I2508" t="s">
        <v>9</v>
      </c>
      <c r="L2508" t="s">
        <v>161</v>
      </c>
      <c r="M2508">
        <v>-73048243.370000005</v>
      </c>
    </row>
    <row r="2509" spans="1:13" x14ac:dyDescent="0.3">
      <c r="A2509" s="23">
        <v>45790</v>
      </c>
      <c r="B2509" t="s">
        <v>12</v>
      </c>
      <c r="C2509" t="s">
        <v>132</v>
      </c>
      <c r="D2509" t="s">
        <v>17</v>
      </c>
      <c r="E2509" t="s">
        <v>204</v>
      </c>
      <c r="F2509">
        <v>65224562.520000003</v>
      </c>
      <c r="G2509" t="s">
        <v>205</v>
      </c>
      <c r="H2509" t="s">
        <v>81</v>
      </c>
      <c r="I2509" t="s">
        <v>9</v>
      </c>
      <c r="L2509" t="s">
        <v>161</v>
      </c>
      <c r="M2509">
        <v>-65224562.520000003</v>
      </c>
    </row>
    <row r="2510" spans="1:13" x14ac:dyDescent="0.3">
      <c r="A2510" s="23">
        <v>45790</v>
      </c>
      <c r="B2510" t="s">
        <v>12</v>
      </c>
      <c r="C2510" t="s">
        <v>132</v>
      </c>
      <c r="D2510" t="s">
        <v>16</v>
      </c>
      <c r="E2510" t="s">
        <v>204</v>
      </c>
      <c r="F2510">
        <v>1000000000</v>
      </c>
      <c r="G2510" t="s">
        <v>205</v>
      </c>
      <c r="H2510" t="s">
        <v>81</v>
      </c>
      <c r="I2510" t="s">
        <v>9</v>
      </c>
      <c r="L2510" t="s">
        <v>161</v>
      </c>
      <c r="M2510">
        <v>1000000000</v>
      </c>
    </row>
    <row r="2511" spans="1:13" x14ac:dyDescent="0.3">
      <c r="A2511" s="23">
        <v>45785</v>
      </c>
      <c r="B2511" t="s">
        <v>12</v>
      </c>
      <c r="C2511" t="s">
        <v>132</v>
      </c>
      <c r="D2511" t="s">
        <v>17</v>
      </c>
      <c r="E2511" t="s">
        <v>204</v>
      </c>
      <c r="F2511">
        <v>108350481.76000001</v>
      </c>
      <c r="G2511" t="s">
        <v>205</v>
      </c>
      <c r="H2511" t="s">
        <v>81</v>
      </c>
      <c r="I2511" t="s">
        <v>9</v>
      </c>
      <c r="L2511" t="s">
        <v>161</v>
      </c>
      <c r="M2511">
        <v>-108350481.76000001</v>
      </c>
    </row>
    <row r="2512" spans="1:13" x14ac:dyDescent="0.3">
      <c r="A2512" s="23">
        <v>45734</v>
      </c>
      <c r="B2512" t="s">
        <v>12</v>
      </c>
      <c r="C2512" t="s">
        <v>132</v>
      </c>
      <c r="D2512" t="s">
        <v>17</v>
      </c>
      <c r="E2512" t="s">
        <v>204</v>
      </c>
      <c r="F2512">
        <v>65000000</v>
      </c>
      <c r="G2512" t="s">
        <v>205</v>
      </c>
      <c r="H2512" t="s">
        <v>81</v>
      </c>
      <c r="I2512" t="s">
        <v>9</v>
      </c>
      <c r="L2512" t="s">
        <v>161</v>
      </c>
      <c r="M2512">
        <v>-65000000</v>
      </c>
    </row>
    <row r="2513" spans="1:13" x14ac:dyDescent="0.3">
      <c r="A2513" s="23">
        <v>45734</v>
      </c>
      <c r="B2513" t="s">
        <v>12</v>
      </c>
      <c r="C2513" t="s">
        <v>132</v>
      </c>
      <c r="D2513" t="s">
        <v>17</v>
      </c>
      <c r="E2513" t="s">
        <v>204</v>
      </c>
      <c r="F2513">
        <v>50000000</v>
      </c>
      <c r="G2513" t="s">
        <v>205</v>
      </c>
      <c r="H2513" t="s">
        <v>81</v>
      </c>
      <c r="I2513" t="s">
        <v>9</v>
      </c>
      <c r="L2513" t="s">
        <v>161</v>
      </c>
      <c r="M2513">
        <v>-50000000</v>
      </c>
    </row>
    <row r="2514" spans="1:13" x14ac:dyDescent="0.3">
      <c r="A2514" s="23">
        <v>45714</v>
      </c>
      <c r="B2514" t="s">
        <v>12</v>
      </c>
      <c r="C2514" t="s">
        <v>132</v>
      </c>
      <c r="D2514" t="s">
        <v>16</v>
      </c>
      <c r="E2514" t="s">
        <v>204</v>
      </c>
      <c r="F2514">
        <v>257243853</v>
      </c>
      <c r="G2514" t="s">
        <v>205</v>
      </c>
      <c r="H2514" t="s">
        <v>81</v>
      </c>
      <c r="I2514" t="s">
        <v>9</v>
      </c>
      <c r="L2514" t="s">
        <v>161</v>
      </c>
      <c r="M2514">
        <v>257243853</v>
      </c>
    </row>
    <row r="2515" spans="1:13" x14ac:dyDescent="0.3">
      <c r="A2515" s="23">
        <v>45706</v>
      </c>
      <c r="B2515" t="s">
        <v>12</v>
      </c>
      <c r="C2515" t="s">
        <v>132</v>
      </c>
      <c r="D2515" t="s">
        <v>16</v>
      </c>
      <c r="E2515" t="s">
        <v>204</v>
      </c>
      <c r="F2515">
        <v>273604147</v>
      </c>
      <c r="G2515" t="s">
        <v>205</v>
      </c>
      <c r="H2515" t="s">
        <v>81</v>
      </c>
      <c r="I2515" t="s">
        <v>9</v>
      </c>
      <c r="L2515" t="s">
        <v>161</v>
      </c>
      <c r="M2515">
        <v>273604147</v>
      </c>
    </row>
    <row r="2516" spans="1:13" x14ac:dyDescent="0.3">
      <c r="A2516" s="23">
        <v>45695</v>
      </c>
      <c r="B2516" t="s">
        <v>12</v>
      </c>
      <c r="C2516" t="s">
        <v>132</v>
      </c>
      <c r="D2516" t="s">
        <v>16</v>
      </c>
      <c r="E2516" t="s">
        <v>204</v>
      </c>
      <c r="F2516">
        <v>2050000</v>
      </c>
      <c r="G2516" t="s">
        <v>205</v>
      </c>
      <c r="H2516" t="s">
        <v>81</v>
      </c>
      <c r="I2516" t="s">
        <v>9</v>
      </c>
      <c r="L2516" t="s">
        <v>161</v>
      </c>
      <c r="M2516">
        <v>2050000</v>
      </c>
    </row>
    <row r="2517" spans="1:13" x14ac:dyDescent="0.3">
      <c r="A2517" s="23">
        <v>45686</v>
      </c>
      <c r="B2517" t="s">
        <v>12</v>
      </c>
      <c r="C2517" t="s">
        <v>132</v>
      </c>
      <c r="D2517" t="s">
        <v>16</v>
      </c>
      <c r="E2517" t="s">
        <v>204</v>
      </c>
      <c r="F2517">
        <v>300000000</v>
      </c>
      <c r="G2517" t="s">
        <v>205</v>
      </c>
      <c r="H2517" t="s">
        <v>81</v>
      </c>
      <c r="I2517" t="s">
        <v>9</v>
      </c>
      <c r="L2517" t="s">
        <v>161</v>
      </c>
      <c r="M2517">
        <v>300000000</v>
      </c>
    </row>
    <row r="2518" spans="1:13" x14ac:dyDescent="0.3">
      <c r="A2518" s="23">
        <v>45656</v>
      </c>
      <c r="B2518" t="s">
        <v>12</v>
      </c>
      <c r="C2518" t="s">
        <v>132</v>
      </c>
      <c r="D2518" t="s">
        <v>17</v>
      </c>
      <c r="E2518" t="s">
        <v>204</v>
      </c>
      <c r="F2518">
        <v>261058219.44</v>
      </c>
      <c r="G2518" t="s">
        <v>205</v>
      </c>
      <c r="H2518" t="s">
        <v>81</v>
      </c>
      <c r="I2518" t="s">
        <v>9</v>
      </c>
      <c r="L2518" t="s">
        <v>161</v>
      </c>
      <c r="M2518">
        <v>-261058219.44</v>
      </c>
    </row>
    <row r="2519" spans="1:13" x14ac:dyDescent="0.3">
      <c r="A2519" s="23">
        <v>45653</v>
      </c>
      <c r="B2519" t="s">
        <v>12</v>
      </c>
      <c r="C2519" t="s">
        <v>132</v>
      </c>
      <c r="D2519" t="s">
        <v>17</v>
      </c>
      <c r="E2519" t="s">
        <v>204</v>
      </c>
      <c r="F2519">
        <v>350000000</v>
      </c>
      <c r="G2519" t="s">
        <v>205</v>
      </c>
      <c r="H2519" t="s">
        <v>81</v>
      </c>
      <c r="I2519" t="s">
        <v>9</v>
      </c>
      <c r="L2519" t="s">
        <v>161</v>
      </c>
      <c r="M2519">
        <v>-350000000</v>
      </c>
    </row>
    <row r="2520" spans="1:13" x14ac:dyDescent="0.3">
      <c r="A2520" s="23">
        <v>45645</v>
      </c>
      <c r="B2520" t="s">
        <v>12</v>
      </c>
      <c r="C2520" t="s">
        <v>132</v>
      </c>
      <c r="D2520" t="s">
        <v>16</v>
      </c>
      <c r="E2520" t="s">
        <v>204</v>
      </c>
      <c r="F2520">
        <v>282148680</v>
      </c>
      <c r="G2520" t="s">
        <v>205</v>
      </c>
      <c r="H2520" t="s">
        <v>81</v>
      </c>
      <c r="I2520" t="s">
        <v>9</v>
      </c>
      <c r="L2520" t="s">
        <v>161</v>
      </c>
      <c r="M2520">
        <v>282148680</v>
      </c>
    </row>
    <row r="2521" spans="1:13" x14ac:dyDescent="0.3">
      <c r="A2521" s="23">
        <v>45643</v>
      </c>
      <c r="B2521" t="s">
        <v>12</v>
      </c>
      <c r="C2521" t="s">
        <v>132</v>
      </c>
      <c r="D2521" t="s">
        <v>17</v>
      </c>
      <c r="E2521" t="s">
        <v>204</v>
      </c>
      <c r="F2521">
        <v>125000000</v>
      </c>
      <c r="G2521" t="s">
        <v>205</v>
      </c>
      <c r="H2521" t="s">
        <v>81</v>
      </c>
      <c r="I2521" t="s">
        <v>9</v>
      </c>
      <c r="L2521" t="s">
        <v>161</v>
      </c>
      <c r="M2521">
        <v>-125000000</v>
      </c>
    </row>
    <row r="2522" spans="1:13" x14ac:dyDescent="0.3">
      <c r="A2522" s="23">
        <v>45639</v>
      </c>
      <c r="B2522" t="s">
        <v>12</v>
      </c>
      <c r="C2522" t="s">
        <v>132</v>
      </c>
      <c r="D2522" t="s">
        <v>16</v>
      </c>
      <c r="E2522" t="s">
        <v>204</v>
      </c>
      <c r="F2522">
        <v>100000000</v>
      </c>
      <c r="G2522" t="s">
        <v>205</v>
      </c>
      <c r="H2522" t="s">
        <v>81</v>
      </c>
      <c r="I2522" t="s">
        <v>9</v>
      </c>
      <c r="L2522" t="s">
        <v>161</v>
      </c>
      <c r="M2522">
        <v>100000000</v>
      </c>
    </row>
    <row r="2523" spans="1:13" x14ac:dyDescent="0.3">
      <c r="A2523" s="23">
        <v>45638</v>
      </c>
      <c r="B2523" t="s">
        <v>12</v>
      </c>
      <c r="C2523" t="s">
        <v>132</v>
      </c>
      <c r="D2523" t="s">
        <v>17</v>
      </c>
      <c r="E2523" t="s">
        <v>204</v>
      </c>
      <c r="F2523">
        <v>56239221.100000001</v>
      </c>
      <c r="G2523" t="s">
        <v>205</v>
      </c>
      <c r="H2523" t="s">
        <v>81</v>
      </c>
      <c r="I2523" t="s">
        <v>9</v>
      </c>
      <c r="L2523" t="s">
        <v>161</v>
      </c>
      <c r="M2523">
        <v>-56239221.100000001</v>
      </c>
    </row>
    <row r="2524" spans="1:13" x14ac:dyDescent="0.3">
      <c r="A2524" s="23">
        <v>45638</v>
      </c>
      <c r="B2524" t="s">
        <v>12</v>
      </c>
      <c r="C2524" t="s">
        <v>132</v>
      </c>
      <c r="D2524" t="s">
        <v>17</v>
      </c>
      <c r="E2524" t="s">
        <v>204</v>
      </c>
      <c r="F2524">
        <v>22695562.41</v>
      </c>
      <c r="G2524" t="s">
        <v>205</v>
      </c>
      <c r="H2524" t="s">
        <v>81</v>
      </c>
      <c r="I2524" t="s">
        <v>9</v>
      </c>
      <c r="L2524" t="s">
        <v>161</v>
      </c>
      <c r="M2524">
        <v>-22695562.41</v>
      </c>
    </row>
    <row r="2525" spans="1:13" x14ac:dyDescent="0.3">
      <c r="A2525" s="23">
        <v>45637</v>
      </c>
      <c r="B2525" t="s">
        <v>12</v>
      </c>
      <c r="C2525" t="s">
        <v>132</v>
      </c>
      <c r="D2525" t="s">
        <v>17</v>
      </c>
      <c r="E2525" t="s">
        <v>204</v>
      </c>
      <c r="F2525">
        <v>87998285.400000006</v>
      </c>
      <c r="G2525" t="s">
        <v>205</v>
      </c>
      <c r="H2525" t="s">
        <v>81</v>
      </c>
      <c r="I2525" t="s">
        <v>9</v>
      </c>
      <c r="L2525" t="s">
        <v>161</v>
      </c>
      <c r="M2525">
        <v>-87998285.400000006</v>
      </c>
    </row>
    <row r="2526" spans="1:13" x14ac:dyDescent="0.3">
      <c r="A2526" s="23">
        <v>45636</v>
      </c>
      <c r="B2526" t="s">
        <v>12</v>
      </c>
      <c r="C2526" t="s">
        <v>132</v>
      </c>
      <c r="D2526" t="s">
        <v>16</v>
      </c>
      <c r="E2526" t="s">
        <v>204</v>
      </c>
      <c r="F2526">
        <v>386059933</v>
      </c>
      <c r="G2526" t="s">
        <v>205</v>
      </c>
      <c r="H2526" t="s">
        <v>81</v>
      </c>
      <c r="I2526" t="s">
        <v>9</v>
      </c>
      <c r="L2526" t="s">
        <v>161</v>
      </c>
      <c r="M2526">
        <v>386059933</v>
      </c>
    </row>
    <row r="2527" spans="1:13" x14ac:dyDescent="0.3">
      <c r="A2527" s="23">
        <v>45630</v>
      </c>
      <c r="B2527" t="s">
        <v>12</v>
      </c>
      <c r="C2527" t="s">
        <v>132</v>
      </c>
      <c r="D2527" t="s">
        <v>16</v>
      </c>
      <c r="E2527" t="s">
        <v>204</v>
      </c>
      <c r="F2527">
        <v>3930538</v>
      </c>
      <c r="G2527" t="s">
        <v>205</v>
      </c>
      <c r="H2527" t="s">
        <v>81</v>
      </c>
      <c r="I2527" t="s">
        <v>9</v>
      </c>
      <c r="L2527" t="s">
        <v>161</v>
      </c>
      <c r="M2527">
        <v>3930538</v>
      </c>
    </row>
    <row r="2528" spans="1:13" x14ac:dyDescent="0.3">
      <c r="A2528" s="23">
        <v>45628</v>
      </c>
      <c r="B2528" t="s">
        <v>12</v>
      </c>
      <c r="C2528" t="s">
        <v>132</v>
      </c>
      <c r="D2528" t="s">
        <v>17</v>
      </c>
      <c r="E2528" t="s">
        <v>204</v>
      </c>
      <c r="F2528">
        <v>140000000</v>
      </c>
      <c r="G2528" t="s">
        <v>205</v>
      </c>
      <c r="H2528" t="s">
        <v>81</v>
      </c>
      <c r="I2528" t="s">
        <v>9</v>
      </c>
      <c r="L2528" t="s">
        <v>161</v>
      </c>
      <c r="M2528">
        <v>-140000000</v>
      </c>
    </row>
    <row r="2529" spans="1:13" x14ac:dyDescent="0.3">
      <c r="A2529" s="23">
        <v>45623</v>
      </c>
      <c r="B2529" t="s">
        <v>12</v>
      </c>
      <c r="C2529" t="s">
        <v>132</v>
      </c>
      <c r="D2529" t="s">
        <v>17</v>
      </c>
      <c r="E2529" t="s">
        <v>204</v>
      </c>
      <c r="F2529">
        <v>83059986</v>
      </c>
      <c r="G2529" t="s">
        <v>205</v>
      </c>
      <c r="H2529" t="s">
        <v>81</v>
      </c>
      <c r="I2529" t="s">
        <v>9</v>
      </c>
      <c r="L2529" t="s">
        <v>161</v>
      </c>
      <c r="M2529">
        <v>-83059986</v>
      </c>
    </row>
    <row r="2530" spans="1:13" x14ac:dyDescent="0.3">
      <c r="A2530" s="23">
        <v>45617</v>
      </c>
      <c r="B2530" t="s">
        <v>12</v>
      </c>
      <c r="C2530" t="s">
        <v>132</v>
      </c>
      <c r="D2530" t="s">
        <v>17</v>
      </c>
      <c r="E2530" t="s">
        <v>204</v>
      </c>
      <c r="F2530">
        <v>64000000</v>
      </c>
      <c r="G2530" t="s">
        <v>205</v>
      </c>
      <c r="H2530" t="s">
        <v>81</v>
      </c>
      <c r="I2530" t="s">
        <v>9</v>
      </c>
      <c r="L2530" t="s">
        <v>161</v>
      </c>
      <c r="M2530">
        <v>-64000000</v>
      </c>
    </row>
    <row r="2531" spans="1:13" x14ac:dyDescent="0.3">
      <c r="A2531" s="23">
        <v>45616</v>
      </c>
      <c r="B2531" t="s">
        <v>12</v>
      </c>
      <c r="C2531" t="s">
        <v>132</v>
      </c>
      <c r="D2531" t="s">
        <v>16</v>
      </c>
      <c r="E2531" t="s">
        <v>204</v>
      </c>
      <c r="F2531">
        <v>394148141</v>
      </c>
      <c r="G2531" t="s">
        <v>205</v>
      </c>
      <c r="H2531" t="s">
        <v>81</v>
      </c>
      <c r="I2531" t="s">
        <v>9</v>
      </c>
      <c r="L2531" t="s">
        <v>161</v>
      </c>
      <c r="M2531">
        <v>394148141</v>
      </c>
    </row>
    <row r="2532" spans="1:13" x14ac:dyDescent="0.3">
      <c r="A2532" s="23">
        <v>45607</v>
      </c>
      <c r="B2532" t="s">
        <v>12</v>
      </c>
      <c r="C2532" t="s">
        <v>132</v>
      </c>
      <c r="D2532" t="s">
        <v>16</v>
      </c>
      <c r="E2532" t="s">
        <v>204</v>
      </c>
      <c r="F2532">
        <v>3340748</v>
      </c>
      <c r="G2532" t="s">
        <v>205</v>
      </c>
      <c r="H2532" t="s">
        <v>81</v>
      </c>
      <c r="I2532" t="s">
        <v>9</v>
      </c>
      <c r="L2532" t="s">
        <v>161</v>
      </c>
      <c r="M2532">
        <v>3340748</v>
      </c>
    </row>
    <row r="2533" spans="1:13" x14ac:dyDescent="0.3">
      <c r="A2533" s="23">
        <v>45604</v>
      </c>
      <c r="B2533" t="s">
        <v>12</v>
      </c>
      <c r="C2533" t="s">
        <v>132</v>
      </c>
      <c r="D2533" t="s">
        <v>17</v>
      </c>
      <c r="E2533" t="s">
        <v>204</v>
      </c>
      <c r="F2533">
        <v>74662200</v>
      </c>
      <c r="G2533" t="s">
        <v>205</v>
      </c>
      <c r="H2533" t="s">
        <v>81</v>
      </c>
      <c r="I2533" t="s">
        <v>9</v>
      </c>
      <c r="L2533" t="s">
        <v>161</v>
      </c>
      <c r="M2533">
        <v>-74662200</v>
      </c>
    </row>
    <row r="2534" spans="1:13" x14ac:dyDescent="0.3">
      <c r="A2534" s="23">
        <v>45595</v>
      </c>
      <c r="B2534" t="s">
        <v>12</v>
      </c>
      <c r="C2534" t="s">
        <v>132</v>
      </c>
      <c r="D2534" t="s">
        <v>17</v>
      </c>
      <c r="E2534" t="s">
        <v>204</v>
      </c>
      <c r="F2534">
        <v>75591923</v>
      </c>
      <c r="G2534" t="s">
        <v>205</v>
      </c>
      <c r="H2534" t="s">
        <v>81</v>
      </c>
      <c r="I2534" t="s">
        <v>9</v>
      </c>
      <c r="L2534" t="s">
        <v>161</v>
      </c>
      <c r="M2534">
        <v>-75591923</v>
      </c>
    </row>
    <row r="2535" spans="1:13" x14ac:dyDescent="0.3">
      <c r="A2535" s="23">
        <v>45593</v>
      </c>
      <c r="B2535" t="s">
        <v>12</v>
      </c>
      <c r="C2535" t="s">
        <v>132</v>
      </c>
      <c r="D2535" t="s">
        <v>16</v>
      </c>
      <c r="E2535" t="s">
        <v>204</v>
      </c>
      <c r="F2535">
        <v>139832179</v>
      </c>
      <c r="G2535" t="s">
        <v>205</v>
      </c>
      <c r="H2535" t="s">
        <v>81</v>
      </c>
      <c r="I2535" t="s">
        <v>9</v>
      </c>
      <c r="L2535" t="s">
        <v>161</v>
      </c>
      <c r="M2535">
        <v>139832179</v>
      </c>
    </row>
    <row r="2536" spans="1:13" x14ac:dyDescent="0.3">
      <c r="A2536" s="23">
        <v>45561</v>
      </c>
      <c r="B2536" t="s">
        <v>12</v>
      </c>
      <c r="C2536" t="s">
        <v>132</v>
      </c>
      <c r="D2536" t="s">
        <v>17</v>
      </c>
      <c r="E2536" t="s">
        <v>204</v>
      </c>
      <c r="F2536">
        <v>95364513</v>
      </c>
      <c r="G2536" t="s">
        <v>205</v>
      </c>
      <c r="H2536" t="s">
        <v>81</v>
      </c>
      <c r="I2536" t="s">
        <v>9</v>
      </c>
      <c r="L2536" t="s">
        <v>161</v>
      </c>
      <c r="M2536">
        <v>-95364513</v>
      </c>
    </row>
    <row r="2537" spans="1:13" x14ac:dyDescent="0.3">
      <c r="A2537" s="23">
        <v>45555</v>
      </c>
      <c r="B2537" t="s">
        <v>12</v>
      </c>
      <c r="C2537" t="s">
        <v>132</v>
      </c>
      <c r="D2537" t="s">
        <v>17</v>
      </c>
      <c r="E2537" t="s">
        <v>204</v>
      </c>
      <c r="F2537">
        <v>116832102.27</v>
      </c>
      <c r="G2537" t="s">
        <v>205</v>
      </c>
      <c r="H2537" t="s">
        <v>81</v>
      </c>
      <c r="I2537" t="s">
        <v>9</v>
      </c>
      <c r="L2537" t="s">
        <v>161</v>
      </c>
      <c r="M2537">
        <v>-116832102.27</v>
      </c>
    </row>
    <row r="2538" spans="1:13" x14ac:dyDescent="0.3">
      <c r="A2538" s="23">
        <v>45555</v>
      </c>
      <c r="B2538" t="s">
        <v>12</v>
      </c>
      <c r="C2538" t="s">
        <v>132</v>
      </c>
      <c r="D2538" t="s">
        <v>17</v>
      </c>
      <c r="E2538" t="s">
        <v>204</v>
      </c>
      <c r="F2538">
        <v>45501634.359999999</v>
      </c>
      <c r="G2538" t="s">
        <v>205</v>
      </c>
      <c r="H2538" t="s">
        <v>81</v>
      </c>
      <c r="I2538" t="s">
        <v>9</v>
      </c>
      <c r="L2538" t="s">
        <v>161</v>
      </c>
      <c r="M2538">
        <v>-45501634.359999999</v>
      </c>
    </row>
    <row r="2539" spans="1:13" x14ac:dyDescent="0.3">
      <c r="A2539" s="23">
        <v>45552</v>
      </c>
      <c r="B2539" t="s">
        <v>12</v>
      </c>
      <c r="C2539" t="s">
        <v>132</v>
      </c>
      <c r="D2539" t="s">
        <v>16</v>
      </c>
      <c r="E2539" t="s">
        <v>204</v>
      </c>
      <c r="F2539">
        <v>288543427.98000002</v>
      </c>
      <c r="G2539" t="s">
        <v>205</v>
      </c>
      <c r="H2539" t="s">
        <v>81</v>
      </c>
      <c r="I2539" t="s">
        <v>9</v>
      </c>
      <c r="L2539" t="s">
        <v>161</v>
      </c>
      <c r="M2539">
        <v>288543427.98000002</v>
      </c>
    </row>
    <row r="2540" spans="1:13" x14ac:dyDescent="0.3">
      <c r="A2540" s="23">
        <v>45849</v>
      </c>
      <c r="B2540" t="s">
        <v>12</v>
      </c>
      <c r="C2540" t="s">
        <v>132</v>
      </c>
      <c r="D2540" t="s">
        <v>16</v>
      </c>
      <c r="E2540" t="s">
        <v>206</v>
      </c>
      <c r="F2540">
        <v>500000000</v>
      </c>
      <c r="G2540" t="s">
        <v>207</v>
      </c>
      <c r="H2540" t="s">
        <v>81</v>
      </c>
      <c r="I2540" t="s">
        <v>9</v>
      </c>
      <c r="L2540" t="s">
        <v>161</v>
      </c>
      <c r="M2540">
        <v>500000000</v>
      </c>
    </row>
    <row r="2541" spans="1:13" x14ac:dyDescent="0.3">
      <c r="A2541" s="23">
        <v>45845</v>
      </c>
      <c r="B2541" t="s">
        <v>12</v>
      </c>
      <c r="C2541" t="s">
        <v>132</v>
      </c>
      <c r="D2541" t="s">
        <v>17</v>
      </c>
      <c r="E2541" t="s">
        <v>206</v>
      </c>
      <c r="F2541">
        <v>206681702.99000001</v>
      </c>
      <c r="G2541" t="s">
        <v>207</v>
      </c>
      <c r="H2541" t="s">
        <v>81</v>
      </c>
      <c r="I2541" t="s">
        <v>9</v>
      </c>
      <c r="L2541" t="s">
        <v>161</v>
      </c>
      <c r="M2541">
        <v>-206681702.99000001</v>
      </c>
    </row>
    <row r="2542" spans="1:13" x14ac:dyDescent="0.3">
      <c r="A2542" s="23">
        <v>45845</v>
      </c>
      <c r="B2542" t="s">
        <v>12</v>
      </c>
      <c r="C2542" t="s">
        <v>132</v>
      </c>
      <c r="D2542" t="s">
        <v>17</v>
      </c>
      <c r="E2542" t="s">
        <v>206</v>
      </c>
      <c r="F2542">
        <v>237268351.74000001</v>
      </c>
      <c r="G2542" t="s">
        <v>207</v>
      </c>
      <c r="H2542" t="s">
        <v>81</v>
      </c>
      <c r="I2542" t="s">
        <v>9</v>
      </c>
      <c r="L2542" t="s">
        <v>161</v>
      </c>
      <c r="M2542">
        <v>-237268351.74000001</v>
      </c>
    </row>
    <row r="2543" spans="1:13" x14ac:dyDescent="0.3">
      <c r="A2543" s="23">
        <v>45827</v>
      </c>
      <c r="B2543" t="s">
        <v>12</v>
      </c>
      <c r="C2543" t="s">
        <v>132</v>
      </c>
      <c r="D2543" t="s">
        <v>16</v>
      </c>
      <c r="E2543" t="s">
        <v>206</v>
      </c>
      <c r="F2543">
        <v>500000000</v>
      </c>
      <c r="G2543" t="s">
        <v>207</v>
      </c>
      <c r="H2543" t="s">
        <v>81</v>
      </c>
      <c r="I2543" t="s">
        <v>9</v>
      </c>
      <c r="L2543" t="s">
        <v>161</v>
      </c>
      <c r="M2543">
        <v>500000000</v>
      </c>
    </row>
    <row r="2544" spans="1:13" x14ac:dyDescent="0.3">
      <c r="A2544" s="23">
        <v>45804</v>
      </c>
      <c r="B2544" t="s">
        <v>12</v>
      </c>
      <c r="C2544" t="s">
        <v>132</v>
      </c>
      <c r="D2544" t="s">
        <v>16</v>
      </c>
      <c r="E2544" t="s">
        <v>206</v>
      </c>
      <c r="F2544">
        <v>715000</v>
      </c>
      <c r="G2544" t="s">
        <v>207</v>
      </c>
      <c r="H2544" t="s">
        <v>81</v>
      </c>
      <c r="I2544" t="s">
        <v>9</v>
      </c>
      <c r="L2544" t="s">
        <v>161</v>
      </c>
      <c r="M2544">
        <v>715000</v>
      </c>
    </row>
    <row r="2545" spans="1:13" x14ac:dyDescent="0.3">
      <c r="A2545" s="23">
        <v>45695</v>
      </c>
      <c r="B2545" t="s">
        <v>12</v>
      </c>
      <c r="C2545" t="s">
        <v>132</v>
      </c>
      <c r="D2545" t="s">
        <v>16</v>
      </c>
      <c r="E2545" t="s">
        <v>206</v>
      </c>
      <c r="F2545">
        <v>1000000</v>
      </c>
      <c r="G2545" t="s">
        <v>207</v>
      </c>
      <c r="H2545" t="s">
        <v>81</v>
      </c>
      <c r="I2545" t="s">
        <v>9</v>
      </c>
      <c r="L2545" t="s">
        <v>161</v>
      </c>
      <c r="M2545">
        <v>1000000</v>
      </c>
    </row>
    <row r="2546" spans="1:13" x14ac:dyDescent="0.3">
      <c r="A2546" s="23">
        <v>45630</v>
      </c>
      <c r="B2546" t="s">
        <v>12</v>
      </c>
      <c r="C2546" t="s">
        <v>132</v>
      </c>
      <c r="D2546" t="s">
        <v>16</v>
      </c>
      <c r="E2546" t="s">
        <v>206</v>
      </c>
      <c r="F2546">
        <v>14696</v>
      </c>
      <c r="G2546" t="s">
        <v>207</v>
      </c>
      <c r="H2546" t="s">
        <v>81</v>
      </c>
      <c r="I2546" t="s">
        <v>9</v>
      </c>
      <c r="L2546" t="s">
        <v>161</v>
      </c>
      <c r="M2546">
        <v>14696</v>
      </c>
    </row>
    <row r="2547" spans="1:13" x14ac:dyDescent="0.3">
      <c r="A2547" s="23">
        <v>45623</v>
      </c>
      <c r="B2547" t="s">
        <v>12</v>
      </c>
      <c r="C2547" t="s">
        <v>132</v>
      </c>
      <c r="D2547" t="s">
        <v>16</v>
      </c>
      <c r="E2547" t="s">
        <v>206</v>
      </c>
      <c r="F2547">
        <v>11291911</v>
      </c>
      <c r="G2547" t="s">
        <v>207</v>
      </c>
      <c r="H2547" t="s">
        <v>81</v>
      </c>
      <c r="I2547" t="s">
        <v>9</v>
      </c>
      <c r="L2547" t="s">
        <v>161</v>
      </c>
      <c r="M2547">
        <v>11291911</v>
      </c>
    </row>
    <row r="2548" spans="1:13" x14ac:dyDescent="0.3">
      <c r="A2548" s="23">
        <v>45845</v>
      </c>
      <c r="B2548" t="s">
        <v>12</v>
      </c>
      <c r="C2548" t="s">
        <v>132</v>
      </c>
      <c r="D2548" t="s">
        <v>17</v>
      </c>
      <c r="E2548" t="s">
        <v>208</v>
      </c>
      <c r="F2548">
        <v>118249078.95</v>
      </c>
      <c r="G2548" t="s">
        <v>209</v>
      </c>
      <c r="H2548" t="s">
        <v>81</v>
      </c>
      <c r="I2548" t="s">
        <v>9</v>
      </c>
      <c r="L2548" t="s">
        <v>161</v>
      </c>
      <c r="M2548">
        <v>-118249078.95</v>
      </c>
    </row>
    <row r="2549" spans="1:13" x14ac:dyDescent="0.3">
      <c r="A2549" s="23">
        <v>45845</v>
      </c>
      <c r="B2549" t="s">
        <v>12</v>
      </c>
      <c r="C2549" t="s">
        <v>132</v>
      </c>
      <c r="D2549" t="s">
        <v>17</v>
      </c>
      <c r="E2549" t="s">
        <v>208</v>
      </c>
      <c r="F2549">
        <v>112608503.5</v>
      </c>
      <c r="G2549" t="s">
        <v>209</v>
      </c>
      <c r="H2549" t="s">
        <v>81</v>
      </c>
      <c r="I2549" t="s">
        <v>9</v>
      </c>
      <c r="L2549" t="s">
        <v>161</v>
      </c>
      <c r="M2549">
        <v>-112608503.5</v>
      </c>
    </row>
    <row r="2550" spans="1:13" x14ac:dyDescent="0.3">
      <c r="A2550" s="23">
        <v>45804</v>
      </c>
      <c r="B2550" t="s">
        <v>12</v>
      </c>
      <c r="C2550" t="s">
        <v>132</v>
      </c>
      <c r="D2550" t="s">
        <v>16</v>
      </c>
      <c r="E2550" t="s">
        <v>208</v>
      </c>
      <c r="F2550">
        <v>4311000</v>
      </c>
      <c r="G2550" t="s">
        <v>209</v>
      </c>
      <c r="H2550" t="s">
        <v>81</v>
      </c>
      <c r="I2550" t="s">
        <v>9</v>
      </c>
      <c r="L2550" t="s">
        <v>161</v>
      </c>
      <c r="M2550">
        <v>4311000</v>
      </c>
    </row>
    <row r="2551" spans="1:13" x14ac:dyDescent="0.3">
      <c r="A2551" s="23">
        <v>45791</v>
      </c>
      <c r="B2551" t="s">
        <v>12</v>
      </c>
      <c r="C2551" t="s">
        <v>132</v>
      </c>
      <c r="D2551" t="s">
        <v>16</v>
      </c>
      <c r="E2551" t="s">
        <v>208</v>
      </c>
      <c r="F2551">
        <v>500000000</v>
      </c>
      <c r="G2551" t="s">
        <v>209</v>
      </c>
      <c r="H2551" t="s">
        <v>81</v>
      </c>
      <c r="I2551" t="s">
        <v>9</v>
      </c>
      <c r="L2551" t="s">
        <v>161</v>
      </c>
      <c r="M2551">
        <v>500000000</v>
      </c>
    </row>
    <row r="2552" spans="1:13" x14ac:dyDescent="0.3">
      <c r="A2552" s="23">
        <v>45604</v>
      </c>
      <c r="B2552" t="s">
        <v>12</v>
      </c>
      <c r="C2552" t="s">
        <v>132</v>
      </c>
      <c r="D2552" t="s">
        <v>17</v>
      </c>
      <c r="E2552" t="s">
        <v>210</v>
      </c>
      <c r="F2552">
        <v>9811126</v>
      </c>
      <c r="G2552" t="s">
        <v>210</v>
      </c>
      <c r="H2552" t="s">
        <v>81</v>
      </c>
      <c r="I2552" t="s">
        <v>9</v>
      </c>
      <c r="L2552" t="s">
        <v>161</v>
      </c>
      <c r="M2552">
        <v>-9811126</v>
      </c>
    </row>
    <row r="2553" spans="1:13" x14ac:dyDescent="0.3">
      <c r="A2553" s="23">
        <v>45588</v>
      </c>
      <c r="B2553" t="s">
        <v>12</v>
      </c>
      <c r="C2553" t="s">
        <v>132</v>
      </c>
      <c r="D2553" t="s">
        <v>16</v>
      </c>
      <c r="E2553" t="s">
        <v>210</v>
      </c>
      <c r="F2553">
        <v>9811126</v>
      </c>
      <c r="G2553" t="s">
        <v>210</v>
      </c>
      <c r="H2553" t="s">
        <v>81</v>
      </c>
      <c r="I2553" t="s">
        <v>9</v>
      </c>
      <c r="L2553" t="s">
        <v>161</v>
      </c>
      <c r="M2553">
        <v>9811126</v>
      </c>
    </row>
    <row r="2554" spans="1:13" x14ac:dyDescent="0.3">
      <c r="A2554" s="23">
        <v>45866</v>
      </c>
      <c r="B2554" t="s">
        <v>12</v>
      </c>
      <c r="C2554" t="s">
        <v>132</v>
      </c>
      <c r="D2554" t="s">
        <v>17</v>
      </c>
      <c r="E2554" t="s">
        <v>40</v>
      </c>
      <c r="F2554">
        <v>286033409</v>
      </c>
      <c r="G2554" t="s">
        <v>25</v>
      </c>
      <c r="H2554" t="s">
        <v>81</v>
      </c>
      <c r="I2554" t="s">
        <v>9</v>
      </c>
      <c r="L2554" t="s">
        <v>161</v>
      </c>
      <c r="M2554">
        <v>-286033409</v>
      </c>
    </row>
    <row r="2555" spans="1:13" x14ac:dyDescent="0.3">
      <c r="A2555" s="23">
        <v>45863</v>
      </c>
      <c r="B2555" t="s">
        <v>12</v>
      </c>
      <c r="C2555" t="s">
        <v>132</v>
      </c>
      <c r="D2555" t="s">
        <v>16</v>
      </c>
      <c r="E2555" t="s">
        <v>40</v>
      </c>
      <c r="F2555">
        <v>138401734.09</v>
      </c>
      <c r="G2555" t="s">
        <v>25</v>
      </c>
      <c r="H2555" t="s">
        <v>81</v>
      </c>
      <c r="I2555" t="s">
        <v>9</v>
      </c>
      <c r="L2555" t="s">
        <v>161</v>
      </c>
      <c r="M2555">
        <v>138401734.09</v>
      </c>
    </row>
    <row r="2556" spans="1:13" x14ac:dyDescent="0.3">
      <c r="A2556" s="23">
        <v>45862</v>
      </c>
      <c r="B2556" t="s">
        <v>12</v>
      </c>
      <c r="C2556" t="s">
        <v>132</v>
      </c>
      <c r="D2556" t="s">
        <v>17</v>
      </c>
      <c r="E2556" t="s">
        <v>40</v>
      </c>
      <c r="F2556">
        <v>700000000</v>
      </c>
      <c r="G2556" t="s">
        <v>25</v>
      </c>
      <c r="H2556" t="s">
        <v>81</v>
      </c>
      <c r="I2556" t="s">
        <v>9</v>
      </c>
      <c r="L2556" t="s">
        <v>161</v>
      </c>
      <c r="M2556">
        <v>-700000000</v>
      </c>
    </row>
    <row r="2557" spans="1:13" x14ac:dyDescent="0.3">
      <c r="A2557" s="23">
        <v>45859</v>
      </c>
      <c r="B2557" t="s">
        <v>12</v>
      </c>
      <c r="C2557" t="s">
        <v>132</v>
      </c>
      <c r="D2557" t="s">
        <v>17</v>
      </c>
      <c r="E2557" t="s">
        <v>40</v>
      </c>
      <c r="F2557">
        <v>700600000</v>
      </c>
      <c r="G2557" t="s">
        <v>25</v>
      </c>
      <c r="H2557" t="s">
        <v>81</v>
      </c>
      <c r="I2557" t="s">
        <v>9</v>
      </c>
      <c r="L2557" t="s">
        <v>161</v>
      </c>
      <c r="M2557">
        <v>-700600000</v>
      </c>
    </row>
    <row r="2558" spans="1:13" x14ac:dyDescent="0.3">
      <c r="A2558" s="23">
        <v>45856</v>
      </c>
      <c r="B2558" t="s">
        <v>12</v>
      </c>
      <c r="C2558" t="s">
        <v>132</v>
      </c>
      <c r="D2558" t="s">
        <v>17</v>
      </c>
      <c r="E2558" t="s">
        <v>40</v>
      </c>
      <c r="F2558">
        <v>557800000</v>
      </c>
      <c r="G2558" t="s">
        <v>25</v>
      </c>
      <c r="H2558" t="s">
        <v>81</v>
      </c>
      <c r="I2558" t="s">
        <v>9</v>
      </c>
      <c r="L2558" t="s">
        <v>161</v>
      </c>
      <c r="M2558">
        <v>-557800000</v>
      </c>
    </row>
    <row r="2559" spans="1:13" x14ac:dyDescent="0.3">
      <c r="A2559" s="23">
        <v>45854</v>
      </c>
      <c r="B2559" t="s">
        <v>12</v>
      </c>
      <c r="C2559" t="s">
        <v>132</v>
      </c>
      <c r="D2559" t="s">
        <v>17</v>
      </c>
      <c r="E2559" t="s">
        <v>40</v>
      </c>
      <c r="F2559">
        <v>8400000</v>
      </c>
      <c r="G2559" t="s">
        <v>25</v>
      </c>
      <c r="H2559" t="s">
        <v>81</v>
      </c>
      <c r="I2559" t="s">
        <v>9</v>
      </c>
      <c r="L2559" t="s">
        <v>161</v>
      </c>
      <c r="M2559">
        <v>-8400000</v>
      </c>
    </row>
    <row r="2560" spans="1:13" x14ac:dyDescent="0.3">
      <c r="A2560" s="23">
        <v>45854</v>
      </c>
      <c r="B2560" t="s">
        <v>12</v>
      </c>
      <c r="C2560" t="s">
        <v>132</v>
      </c>
      <c r="D2560" t="s">
        <v>17</v>
      </c>
      <c r="E2560" t="s">
        <v>40</v>
      </c>
      <c r="F2560">
        <v>353400000</v>
      </c>
      <c r="G2560" t="s">
        <v>25</v>
      </c>
      <c r="H2560" t="s">
        <v>81</v>
      </c>
      <c r="I2560" t="s">
        <v>9</v>
      </c>
      <c r="L2560" t="s">
        <v>161</v>
      </c>
      <c r="M2560">
        <v>-353400000</v>
      </c>
    </row>
    <row r="2561" spans="1:13" x14ac:dyDescent="0.3">
      <c r="A2561" s="23">
        <v>45853</v>
      </c>
      <c r="B2561" t="s">
        <v>12</v>
      </c>
      <c r="C2561" t="s">
        <v>132</v>
      </c>
      <c r="D2561" t="s">
        <v>17</v>
      </c>
      <c r="E2561" t="s">
        <v>40</v>
      </c>
      <c r="F2561">
        <v>1133400000</v>
      </c>
      <c r="G2561" t="s">
        <v>25</v>
      </c>
      <c r="H2561" t="s">
        <v>81</v>
      </c>
      <c r="I2561" t="s">
        <v>9</v>
      </c>
      <c r="L2561" t="s">
        <v>161</v>
      </c>
      <c r="M2561">
        <v>-1133400000</v>
      </c>
    </row>
    <row r="2562" spans="1:13" x14ac:dyDescent="0.3">
      <c r="A2562" s="23">
        <v>45852</v>
      </c>
      <c r="B2562" t="s">
        <v>12</v>
      </c>
      <c r="C2562" t="s">
        <v>132</v>
      </c>
      <c r="D2562" t="s">
        <v>17</v>
      </c>
      <c r="E2562" t="s">
        <v>40</v>
      </c>
      <c r="F2562">
        <v>1436300000</v>
      </c>
      <c r="G2562" t="s">
        <v>25</v>
      </c>
      <c r="H2562" t="s">
        <v>81</v>
      </c>
      <c r="I2562" t="s">
        <v>9</v>
      </c>
      <c r="L2562" t="s">
        <v>161</v>
      </c>
      <c r="M2562">
        <v>-1436300000</v>
      </c>
    </row>
    <row r="2563" spans="1:13" x14ac:dyDescent="0.3">
      <c r="A2563" s="23">
        <v>45849</v>
      </c>
      <c r="B2563" t="s">
        <v>12</v>
      </c>
      <c r="C2563" t="s">
        <v>132</v>
      </c>
      <c r="D2563" t="s">
        <v>17</v>
      </c>
      <c r="E2563" t="s">
        <v>40</v>
      </c>
      <c r="F2563">
        <v>2500000000</v>
      </c>
      <c r="G2563" t="s">
        <v>25</v>
      </c>
      <c r="H2563" t="s">
        <v>81</v>
      </c>
      <c r="I2563" t="s">
        <v>9</v>
      </c>
      <c r="L2563" t="s">
        <v>161</v>
      </c>
      <c r="M2563">
        <v>-2500000000</v>
      </c>
    </row>
    <row r="2564" spans="1:13" x14ac:dyDescent="0.3">
      <c r="A2564" s="23">
        <v>45848</v>
      </c>
      <c r="B2564" t="s">
        <v>12</v>
      </c>
      <c r="C2564" t="s">
        <v>132</v>
      </c>
      <c r="D2564" t="s">
        <v>16</v>
      </c>
      <c r="E2564" t="s">
        <v>40</v>
      </c>
      <c r="F2564">
        <v>6279000000</v>
      </c>
      <c r="G2564" t="s">
        <v>25</v>
      </c>
      <c r="H2564" t="s">
        <v>81</v>
      </c>
      <c r="I2564" t="s">
        <v>9</v>
      </c>
      <c r="L2564" t="s">
        <v>161</v>
      </c>
      <c r="M2564">
        <v>6279000000</v>
      </c>
    </row>
    <row r="2565" spans="1:13" x14ac:dyDescent="0.3">
      <c r="A2565" s="23">
        <v>45848</v>
      </c>
      <c r="B2565" t="s">
        <v>12</v>
      </c>
      <c r="C2565" t="s">
        <v>132</v>
      </c>
      <c r="D2565" t="s">
        <v>17</v>
      </c>
      <c r="E2565" t="s">
        <v>40</v>
      </c>
      <c r="F2565">
        <v>5600000</v>
      </c>
      <c r="G2565" t="s">
        <v>25</v>
      </c>
      <c r="H2565" t="s">
        <v>81</v>
      </c>
      <c r="I2565" t="s">
        <v>9</v>
      </c>
      <c r="L2565" t="s">
        <v>161</v>
      </c>
      <c r="M2565">
        <v>-5600000</v>
      </c>
    </row>
    <row r="2566" spans="1:13" x14ac:dyDescent="0.3">
      <c r="A2566" s="23">
        <v>45839</v>
      </c>
      <c r="B2566" t="s">
        <v>12</v>
      </c>
      <c r="C2566" t="s">
        <v>132</v>
      </c>
      <c r="D2566" t="s">
        <v>17</v>
      </c>
      <c r="E2566" t="s">
        <v>40</v>
      </c>
      <c r="F2566">
        <v>13000000000</v>
      </c>
      <c r="G2566" t="s">
        <v>25</v>
      </c>
      <c r="H2566" t="s">
        <v>81</v>
      </c>
      <c r="I2566" t="s">
        <v>9</v>
      </c>
      <c r="L2566" t="s">
        <v>161</v>
      </c>
      <c r="M2566">
        <v>-13000000000</v>
      </c>
    </row>
    <row r="2567" spans="1:13" x14ac:dyDescent="0.3">
      <c r="A2567" s="23">
        <v>45835</v>
      </c>
      <c r="B2567" t="s">
        <v>12</v>
      </c>
      <c r="C2567" t="s">
        <v>132</v>
      </c>
      <c r="D2567" t="s">
        <v>16</v>
      </c>
      <c r="E2567" t="s">
        <v>40</v>
      </c>
      <c r="F2567">
        <v>4740000000</v>
      </c>
      <c r="G2567" t="s">
        <v>25</v>
      </c>
      <c r="H2567" t="s">
        <v>81</v>
      </c>
      <c r="I2567" t="s">
        <v>9</v>
      </c>
      <c r="L2567" t="s">
        <v>161</v>
      </c>
      <c r="M2567">
        <v>4740000000</v>
      </c>
    </row>
    <row r="2568" spans="1:13" x14ac:dyDescent="0.3">
      <c r="A2568" s="23">
        <v>45834</v>
      </c>
      <c r="B2568" t="s">
        <v>12</v>
      </c>
      <c r="C2568" t="s">
        <v>132</v>
      </c>
      <c r="D2568" t="s">
        <v>17</v>
      </c>
      <c r="E2568" t="s">
        <v>40</v>
      </c>
      <c r="F2568">
        <v>200000000</v>
      </c>
      <c r="G2568" t="s">
        <v>25</v>
      </c>
      <c r="H2568" t="s">
        <v>81</v>
      </c>
      <c r="I2568" t="s">
        <v>9</v>
      </c>
      <c r="L2568" t="s">
        <v>161</v>
      </c>
      <c r="M2568">
        <v>-200000000</v>
      </c>
    </row>
    <row r="2569" spans="1:13" x14ac:dyDescent="0.3">
      <c r="A2569" s="23">
        <v>45833</v>
      </c>
      <c r="B2569" t="s">
        <v>12</v>
      </c>
      <c r="C2569" t="s">
        <v>132</v>
      </c>
      <c r="D2569" t="s">
        <v>17</v>
      </c>
      <c r="E2569" t="s">
        <v>40</v>
      </c>
      <c r="F2569">
        <v>766000000</v>
      </c>
      <c r="G2569" t="s">
        <v>25</v>
      </c>
      <c r="H2569" t="s">
        <v>81</v>
      </c>
      <c r="I2569" t="s">
        <v>9</v>
      </c>
      <c r="L2569" t="s">
        <v>161</v>
      </c>
      <c r="M2569">
        <v>-766000000</v>
      </c>
    </row>
    <row r="2570" spans="1:13" x14ac:dyDescent="0.3">
      <c r="A2570" s="23">
        <v>45832</v>
      </c>
      <c r="B2570" t="s">
        <v>12</v>
      </c>
      <c r="C2570" t="s">
        <v>132</v>
      </c>
      <c r="D2570" t="s">
        <v>16</v>
      </c>
      <c r="E2570" t="s">
        <v>40</v>
      </c>
      <c r="F2570">
        <v>617100000</v>
      </c>
      <c r="G2570" t="s">
        <v>25</v>
      </c>
      <c r="H2570" t="s">
        <v>81</v>
      </c>
      <c r="I2570" t="s">
        <v>9</v>
      </c>
      <c r="L2570" t="s">
        <v>161</v>
      </c>
      <c r="M2570">
        <v>617100000</v>
      </c>
    </row>
    <row r="2571" spans="1:13" x14ac:dyDescent="0.3">
      <c r="A2571" s="23">
        <v>45827</v>
      </c>
      <c r="B2571" t="s">
        <v>12</v>
      </c>
      <c r="C2571" t="s">
        <v>132</v>
      </c>
      <c r="D2571" t="s">
        <v>16</v>
      </c>
      <c r="E2571" t="s">
        <v>40</v>
      </c>
      <c r="F2571">
        <v>175675836.13999999</v>
      </c>
      <c r="G2571" t="s">
        <v>25</v>
      </c>
      <c r="H2571" t="s">
        <v>81</v>
      </c>
      <c r="I2571" t="s">
        <v>9</v>
      </c>
      <c r="L2571" t="s">
        <v>161</v>
      </c>
      <c r="M2571">
        <v>175675836.13999999</v>
      </c>
    </row>
    <row r="2572" spans="1:13" x14ac:dyDescent="0.3">
      <c r="A2572" s="23">
        <v>45827</v>
      </c>
      <c r="B2572" t="s">
        <v>12</v>
      </c>
      <c r="C2572" t="s">
        <v>132</v>
      </c>
      <c r="D2572" t="s">
        <v>17</v>
      </c>
      <c r="E2572" t="s">
        <v>40</v>
      </c>
      <c r="F2572">
        <v>500000000</v>
      </c>
      <c r="G2572" t="s">
        <v>25</v>
      </c>
      <c r="H2572" t="s">
        <v>81</v>
      </c>
      <c r="I2572" t="s">
        <v>9</v>
      </c>
      <c r="L2572" t="s">
        <v>161</v>
      </c>
      <c r="M2572">
        <v>-500000000</v>
      </c>
    </row>
    <row r="2573" spans="1:13" x14ac:dyDescent="0.3">
      <c r="A2573" s="23">
        <v>45812</v>
      </c>
      <c r="B2573" t="s">
        <v>12</v>
      </c>
      <c r="C2573" t="s">
        <v>132</v>
      </c>
      <c r="D2573" t="s">
        <v>17</v>
      </c>
      <c r="E2573" t="s">
        <v>40</v>
      </c>
      <c r="F2573">
        <v>1000000000</v>
      </c>
      <c r="G2573" t="s">
        <v>25</v>
      </c>
      <c r="H2573" t="s">
        <v>81</v>
      </c>
      <c r="I2573" t="s">
        <v>9</v>
      </c>
      <c r="L2573" t="s">
        <v>161</v>
      </c>
      <c r="M2573">
        <v>-1000000000</v>
      </c>
    </row>
    <row r="2574" spans="1:13" x14ac:dyDescent="0.3">
      <c r="A2574" s="23">
        <v>45804</v>
      </c>
      <c r="B2574" t="s">
        <v>12</v>
      </c>
      <c r="C2574" t="s">
        <v>132</v>
      </c>
      <c r="D2574" t="s">
        <v>16</v>
      </c>
      <c r="E2574" t="s">
        <v>40</v>
      </c>
      <c r="F2574">
        <v>98179000</v>
      </c>
      <c r="G2574" t="s">
        <v>25</v>
      </c>
      <c r="H2574" t="s">
        <v>81</v>
      </c>
      <c r="I2574" t="s">
        <v>9</v>
      </c>
      <c r="L2574" t="s">
        <v>161</v>
      </c>
      <c r="M2574">
        <v>98179000</v>
      </c>
    </row>
    <row r="2575" spans="1:13" x14ac:dyDescent="0.3">
      <c r="A2575" s="23">
        <v>45803</v>
      </c>
      <c r="B2575" t="s">
        <v>12</v>
      </c>
      <c r="C2575" t="s">
        <v>132</v>
      </c>
      <c r="D2575" t="s">
        <v>17</v>
      </c>
      <c r="E2575" t="s">
        <v>40</v>
      </c>
      <c r="F2575">
        <v>1500600000</v>
      </c>
      <c r="G2575" t="s">
        <v>25</v>
      </c>
      <c r="H2575" t="s">
        <v>81</v>
      </c>
      <c r="I2575" t="s">
        <v>9</v>
      </c>
      <c r="L2575" t="s">
        <v>161</v>
      </c>
      <c r="M2575">
        <v>-1500600000</v>
      </c>
    </row>
    <row r="2576" spans="1:13" x14ac:dyDescent="0.3">
      <c r="A2576" s="23">
        <v>45800</v>
      </c>
      <c r="B2576" t="s">
        <v>12</v>
      </c>
      <c r="C2576" t="s">
        <v>132</v>
      </c>
      <c r="D2576" t="s">
        <v>17</v>
      </c>
      <c r="E2576" t="s">
        <v>40</v>
      </c>
      <c r="F2576">
        <v>150000</v>
      </c>
      <c r="G2576" t="s">
        <v>25</v>
      </c>
      <c r="H2576" t="s">
        <v>81</v>
      </c>
      <c r="I2576" t="s">
        <v>9</v>
      </c>
      <c r="L2576" t="s">
        <v>161</v>
      </c>
      <c r="M2576">
        <v>-150000</v>
      </c>
    </row>
    <row r="2577" spans="1:13" x14ac:dyDescent="0.3">
      <c r="A2577" s="23">
        <v>45797</v>
      </c>
      <c r="B2577" t="s">
        <v>12</v>
      </c>
      <c r="C2577" t="s">
        <v>132</v>
      </c>
      <c r="D2577" t="s">
        <v>17</v>
      </c>
      <c r="E2577" t="s">
        <v>40</v>
      </c>
      <c r="F2577">
        <v>914000000</v>
      </c>
      <c r="G2577" t="s">
        <v>25</v>
      </c>
      <c r="H2577" t="s">
        <v>81</v>
      </c>
      <c r="I2577" t="s">
        <v>9</v>
      </c>
      <c r="L2577" t="s">
        <v>161</v>
      </c>
      <c r="M2577">
        <v>-914000000</v>
      </c>
    </row>
    <row r="2578" spans="1:13" x14ac:dyDescent="0.3">
      <c r="A2578" s="23">
        <v>45793</v>
      </c>
      <c r="B2578" t="s">
        <v>12</v>
      </c>
      <c r="C2578" t="s">
        <v>132</v>
      </c>
      <c r="D2578" t="s">
        <v>16</v>
      </c>
      <c r="E2578" t="s">
        <v>40</v>
      </c>
      <c r="F2578">
        <v>195809397.77000001</v>
      </c>
      <c r="G2578" t="s">
        <v>25</v>
      </c>
      <c r="H2578" t="s">
        <v>81</v>
      </c>
      <c r="I2578" t="s">
        <v>9</v>
      </c>
      <c r="L2578" t="s">
        <v>161</v>
      </c>
      <c r="M2578">
        <v>195809397.77000001</v>
      </c>
    </row>
    <row r="2579" spans="1:13" x14ac:dyDescent="0.3">
      <c r="A2579" s="23">
        <v>45791</v>
      </c>
      <c r="B2579" t="s">
        <v>12</v>
      </c>
      <c r="C2579" t="s">
        <v>132</v>
      </c>
      <c r="D2579" t="s">
        <v>17</v>
      </c>
      <c r="E2579" t="s">
        <v>40</v>
      </c>
      <c r="F2579">
        <v>500000000</v>
      </c>
      <c r="G2579" t="s">
        <v>25</v>
      </c>
      <c r="H2579" t="s">
        <v>81</v>
      </c>
      <c r="I2579" t="s">
        <v>9</v>
      </c>
      <c r="L2579" t="s">
        <v>161</v>
      </c>
      <c r="M2579">
        <v>-500000000</v>
      </c>
    </row>
    <row r="2580" spans="1:13" x14ac:dyDescent="0.3">
      <c r="A2580" s="23">
        <v>45790</v>
      </c>
      <c r="B2580" t="s">
        <v>12</v>
      </c>
      <c r="C2580" t="s">
        <v>132</v>
      </c>
      <c r="D2580" t="s">
        <v>16</v>
      </c>
      <c r="E2580" t="s">
        <v>40</v>
      </c>
      <c r="F2580">
        <v>338000000</v>
      </c>
      <c r="G2580" t="s">
        <v>25</v>
      </c>
      <c r="H2580" t="s">
        <v>81</v>
      </c>
      <c r="I2580" t="s">
        <v>9</v>
      </c>
      <c r="L2580" t="s">
        <v>161</v>
      </c>
      <c r="M2580">
        <v>338000000</v>
      </c>
    </row>
    <row r="2581" spans="1:13" x14ac:dyDescent="0.3">
      <c r="A2581" s="23">
        <v>45790</v>
      </c>
      <c r="B2581" t="s">
        <v>12</v>
      </c>
      <c r="C2581" t="s">
        <v>132</v>
      </c>
      <c r="D2581" t="s">
        <v>17</v>
      </c>
      <c r="E2581" t="s">
        <v>40</v>
      </c>
      <c r="F2581">
        <v>1000000000</v>
      </c>
      <c r="G2581" t="s">
        <v>25</v>
      </c>
      <c r="H2581" t="s">
        <v>81</v>
      </c>
      <c r="I2581" t="s">
        <v>9</v>
      </c>
      <c r="L2581" t="s">
        <v>161</v>
      </c>
      <c r="M2581">
        <v>-1000000000</v>
      </c>
    </row>
    <row r="2582" spans="1:13" x14ac:dyDescent="0.3">
      <c r="A2582" s="23">
        <v>45789</v>
      </c>
      <c r="B2582" t="s">
        <v>12</v>
      </c>
      <c r="C2582" t="s">
        <v>132</v>
      </c>
      <c r="D2582" t="s">
        <v>17</v>
      </c>
      <c r="E2582" t="s">
        <v>40</v>
      </c>
      <c r="F2582">
        <v>3100000000</v>
      </c>
      <c r="G2582" t="s">
        <v>25</v>
      </c>
      <c r="H2582" t="s">
        <v>81</v>
      </c>
      <c r="I2582" t="s">
        <v>9</v>
      </c>
      <c r="L2582" t="s">
        <v>161</v>
      </c>
      <c r="M2582">
        <v>-3100000000</v>
      </c>
    </row>
    <row r="2583" spans="1:13" x14ac:dyDescent="0.3">
      <c r="A2583" s="23">
        <v>45786</v>
      </c>
      <c r="B2583" t="s">
        <v>12</v>
      </c>
      <c r="C2583" t="s">
        <v>132</v>
      </c>
      <c r="D2583" t="s">
        <v>17</v>
      </c>
      <c r="E2583" t="s">
        <v>40</v>
      </c>
      <c r="F2583">
        <v>92460787</v>
      </c>
      <c r="G2583" t="s">
        <v>25</v>
      </c>
      <c r="H2583" t="s">
        <v>81</v>
      </c>
      <c r="I2583" t="s">
        <v>9</v>
      </c>
      <c r="L2583" t="s">
        <v>161</v>
      </c>
      <c r="M2583">
        <v>-92460787</v>
      </c>
    </row>
    <row r="2584" spans="1:13" x14ac:dyDescent="0.3">
      <c r="A2584" s="23">
        <v>45786</v>
      </c>
      <c r="B2584" t="s">
        <v>12</v>
      </c>
      <c r="C2584" t="s">
        <v>132</v>
      </c>
      <c r="D2584" t="s">
        <v>16</v>
      </c>
      <c r="E2584" t="s">
        <v>40</v>
      </c>
      <c r="F2584">
        <v>6749000000</v>
      </c>
      <c r="G2584" t="s">
        <v>25</v>
      </c>
      <c r="H2584" t="s">
        <v>81</v>
      </c>
      <c r="I2584" t="s">
        <v>9</v>
      </c>
      <c r="L2584" t="s">
        <v>161</v>
      </c>
      <c r="M2584">
        <v>6749000000</v>
      </c>
    </row>
    <row r="2585" spans="1:13" x14ac:dyDescent="0.3">
      <c r="A2585" s="23">
        <v>45786</v>
      </c>
      <c r="B2585" t="s">
        <v>12</v>
      </c>
      <c r="C2585" t="s">
        <v>132</v>
      </c>
      <c r="D2585" t="s">
        <v>17</v>
      </c>
      <c r="E2585" t="s">
        <v>40</v>
      </c>
      <c r="F2585">
        <v>116800000</v>
      </c>
      <c r="G2585" t="s">
        <v>25</v>
      </c>
      <c r="H2585" t="s">
        <v>81</v>
      </c>
      <c r="I2585" t="s">
        <v>9</v>
      </c>
      <c r="L2585" t="s">
        <v>161</v>
      </c>
      <c r="M2585">
        <v>-116800000</v>
      </c>
    </row>
    <row r="2586" spans="1:13" x14ac:dyDescent="0.3">
      <c r="A2586" s="23">
        <v>45785</v>
      </c>
      <c r="B2586" t="s">
        <v>12</v>
      </c>
      <c r="C2586" t="s">
        <v>132</v>
      </c>
      <c r="D2586" t="s">
        <v>16</v>
      </c>
      <c r="E2586" t="s">
        <v>40</v>
      </c>
      <c r="F2586">
        <v>4354300000</v>
      </c>
      <c r="G2586" t="s">
        <v>25</v>
      </c>
      <c r="H2586" t="s">
        <v>81</v>
      </c>
      <c r="I2586" t="s">
        <v>9</v>
      </c>
      <c r="L2586" t="s">
        <v>161</v>
      </c>
      <c r="M2586">
        <v>4354300000</v>
      </c>
    </row>
    <row r="2587" spans="1:13" x14ac:dyDescent="0.3">
      <c r="A2587" s="23">
        <v>45784</v>
      </c>
      <c r="B2587" t="s">
        <v>12</v>
      </c>
      <c r="C2587" t="s">
        <v>132</v>
      </c>
      <c r="D2587" t="s">
        <v>16</v>
      </c>
      <c r="E2587" t="s">
        <v>40</v>
      </c>
      <c r="F2587">
        <v>5585000000</v>
      </c>
      <c r="G2587" t="s">
        <v>25</v>
      </c>
      <c r="H2587" t="s">
        <v>81</v>
      </c>
      <c r="I2587" t="s">
        <v>9</v>
      </c>
      <c r="L2587" t="s">
        <v>161</v>
      </c>
      <c r="M2587">
        <v>5585000000</v>
      </c>
    </row>
    <row r="2588" spans="1:13" x14ac:dyDescent="0.3">
      <c r="A2588" s="23">
        <v>45772</v>
      </c>
      <c r="B2588" t="s">
        <v>12</v>
      </c>
      <c r="C2588" t="s">
        <v>132</v>
      </c>
      <c r="D2588" t="s">
        <v>16</v>
      </c>
      <c r="E2588" t="s">
        <v>40</v>
      </c>
      <c r="F2588">
        <v>140100000</v>
      </c>
      <c r="G2588" t="s">
        <v>25</v>
      </c>
      <c r="H2588" t="s">
        <v>81</v>
      </c>
      <c r="I2588" t="s">
        <v>9</v>
      </c>
      <c r="L2588" t="s">
        <v>161</v>
      </c>
      <c r="M2588">
        <v>140100000</v>
      </c>
    </row>
    <row r="2589" spans="1:13" x14ac:dyDescent="0.3">
      <c r="A2589" s="23">
        <v>45771</v>
      </c>
      <c r="B2589" t="s">
        <v>12</v>
      </c>
      <c r="C2589" t="s">
        <v>132</v>
      </c>
      <c r="D2589" t="s">
        <v>17</v>
      </c>
      <c r="E2589" t="s">
        <v>40</v>
      </c>
      <c r="F2589">
        <v>49100000</v>
      </c>
      <c r="G2589" t="s">
        <v>25</v>
      </c>
      <c r="H2589" t="s">
        <v>81</v>
      </c>
      <c r="I2589" t="s">
        <v>9</v>
      </c>
      <c r="L2589" t="s">
        <v>161</v>
      </c>
      <c r="M2589">
        <v>-49100000</v>
      </c>
    </row>
    <row r="2590" spans="1:13" x14ac:dyDescent="0.3">
      <c r="A2590" s="23">
        <v>45769</v>
      </c>
      <c r="B2590" t="s">
        <v>12</v>
      </c>
      <c r="C2590" t="s">
        <v>132</v>
      </c>
      <c r="D2590" t="s">
        <v>16</v>
      </c>
      <c r="E2590" t="s">
        <v>40</v>
      </c>
      <c r="F2590">
        <v>34207061.93</v>
      </c>
      <c r="G2590" t="s">
        <v>25</v>
      </c>
      <c r="H2590" t="s">
        <v>81</v>
      </c>
      <c r="I2590" t="s">
        <v>9</v>
      </c>
      <c r="L2590" t="s">
        <v>161</v>
      </c>
      <c r="M2590">
        <v>34207061.93</v>
      </c>
    </row>
    <row r="2591" spans="1:13" x14ac:dyDescent="0.3">
      <c r="A2591" s="23">
        <v>45762</v>
      </c>
      <c r="B2591" t="s">
        <v>12</v>
      </c>
      <c r="C2591" t="s">
        <v>132</v>
      </c>
      <c r="D2591" t="s">
        <v>16</v>
      </c>
      <c r="E2591" t="s">
        <v>40</v>
      </c>
      <c r="F2591">
        <v>678000000</v>
      </c>
      <c r="G2591" t="s">
        <v>25</v>
      </c>
      <c r="H2591" t="s">
        <v>81</v>
      </c>
      <c r="I2591" t="s">
        <v>9</v>
      </c>
      <c r="L2591" t="s">
        <v>161</v>
      </c>
      <c r="M2591">
        <v>678000000</v>
      </c>
    </row>
    <row r="2592" spans="1:13" x14ac:dyDescent="0.3">
      <c r="A2592" s="23">
        <v>45757</v>
      </c>
      <c r="B2592" t="s">
        <v>12</v>
      </c>
      <c r="C2592" t="s">
        <v>132</v>
      </c>
      <c r="D2592" t="s">
        <v>17</v>
      </c>
      <c r="E2592" t="s">
        <v>40</v>
      </c>
      <c r="F2592">
        <v>2500000000</v>
      </c>
      <c r="G2592" t="s">
        <v>25</v>
      </c>
      <c r="H2592" t="s">
        <v>81</v>
      </c>
      <c r="I2592" t="s">
        <v>9</v>
      </c>
      <c r="L2592" t="s">
        <v>161</v>
      </c>
      <c r="M2592">
        <v>-2500000000</v>
      </c>
    </row>
    <row r="2593" spans="1:13" x14ac:dyDescent="0.3">
      <c r="A2593" s="23">
        <v>45748</v>
      </c>
      <c r="B2593" t="s">
        <v>12</v>
      </c>
      <c r="C2593" t="s">
        <v>132</v>
      </c>
      <c r="D2593" t="s">
        <v>16</v>
      </c>
      <c r="E2593" t="s">
        <v>40</v>
      </c>
      <c r="F2593">
        <v>300500000</v>
      </c>
      <c r="G2593" t="s">
        <v>25</v>
      </c>
      <c r="H2593" t="s">
        <v>81</v>
      </c>
      <c r="I2593" t="s">
        <v>9</v>
      </c>
      <c r="L2593" t="s">
        <v>161</v>
      </c>
      <c r="M2593">
        <v>300500000</v>
      </c>
    </row>
    <row r="2594" spans="1:13" x14ac:dyDescent="0.3">
      <c r="A2594" s="23">
        <v>45743</v>
      </c>
      <c r="B2594" t="s">
        <v>12</v>
      </c>
      <c r="C2594" t="s">
        <v>132</v>
      </c>
      <c r="D2594" t="s">
        <v>16</v>
      </c>
      <c r="E2594" t="s">
        <v>40</v>
      </c>
      <c r="F2594">
        <v>72771166.069999993</v>
      </c>
      <c r="G2594" t="s">
        <v>25</v>
      </c>
      <c r="H2594" t="s">
        <v>81</v>
      </c>
      <c r="I2594" t="s">
        <v>9</v>
      </c>
      <c r="L2594" t="s">
        <v>161</v>
      </c>
      <c r="M2594">
        <v>72771166.069999993</v>
      </c>
    </row>
    <row r="2595" spans="1:13" x14ac:dyDescent="0.3">
      <c r="A2595" s="23">
        <v>45742</v>
      </c>
      <c r="B2595" t="s">
        <v>12</v>
      </c>
      <c r="C2595" t="s">
        <v>132</v>
      </c>
      <c r="D2595" t="s">
        <v>17</v>
      </c>
      <c r="E2595" t="s">
        <v>40</v>
      </c>
      <c r="F2595">
        <v>847000000</v>
      </c>
      <c r="G2595" t="s">
        <v>25</v>
      </c>
      <c r="H2595" t="s">
        <v>81</v>
      </c>
      <c r="I2595" t="s">
        <v>9</v>
      </c>
      <c r="L2595" t="s">
        <v>161</v>
      </c>
      <c r="M2595">
        <v>-847000000</v>
      </c>
    </row>
    <row r="2596" spans="1:13" x14ac:dyDescent="0.3">
      <c r="A2596" s="23">
        <v>45737</v>
      </c>
      <c r="B2596" t="s">
        <v>12</v>
      </c>
      <c r="C2596" t="s">
        <v>132</v>
      </c>
      <c r="D2596" t="s">
        <v>17</v>
      </c>
      <c r="E2596" t="s">
        <v>40</v>
      </c>
      <c r="F2596">
        <v>154000000</v>
      </c>
      <c r="G2596" t="s">
        <v>25</v>
      </c>
      <c r="H2596" t="s">
        <v>81</v>
      </c>
      <c r="I2596" t="s">
        <v>9</v>
      </c>
      <c r="L2596" t="s">
        <v>161</v>
      </c>
      <c r="M2596">
        <v>-154000000</v>
      </c>
    </row>
    <row r="2597" spans="1:13" x14ac:dyDescent="0.3">
      <c r="A2597" s="23">
        <v>45736</v>
      </c>
      <c r="B2597" t="s">
        <v>12</v>
      </c>
      <c r="C2597" t="s">
        <v>132</v>
      </c>
      <c r="D2597" t="s">
        <v>17</v>
      </c>
      <c r="E2597" t="s">
        <v>40</v>
      </c>
      <c r="F2597">
        <v>1372000000</v>
      </c>
      <c r="G2597" t="s">
        <v>25</v>
      </c>
      <c r="H2597" t="s">
        <v>81</v>
      </c>
      <c r="I2597" t="s">
        <v>9</v>
      </c>
      <c r="L2597" t="s">
        <v>161</v>
      </c>
      <c r="M2597">
        <v>-1372000000</v>
      </c>
    </row>
    <row r="2598" spans="1:13" x14ac:dyDescent="0.3">
      <c r="A2598" s="23">
        <v>45735</v>
      </c>
      <c r="B2598" t="s">
        <v>12</v>
      </c>
      <c r="C2598" t="s">
        <v>132</v>
      </c>
      <c r="D2598" t="s">
        <v>16</v>
      </c>
      <c r="E2598" t="s">
        <v>40</v>
      </c>
      <c r="F2598">
        <v>2700000000</v>
      </c>
      <c r="G2598" t="s">
        <v>25</v>
      </c>
      <c r="H2598" t="s">
        <v>81</v>
      </c>
      <c r="I2598" t="s">
        <v>9</v>
      </c>
      <c r="L2598" t="s">
        <v>161</v>
      </c>
      <c r="M2598">
        <v>2700000000</v>
      </c>
    </row>
    <row r="2599" spans="1:13" x14ac:dyDescent="0.3">
      <c r="A2599" s="23">
        <v>45734</v>
      </c>
      <c r="B2599" t="s">
        <v>12</v>
      </c>
      <c r="C2599" t="s">
        <v>132</v>
      </c>
      <c r="D2599" t="s">
        <v>17</v>
      </c>
      <c r="E2599" t="s">
        <v>40</v>
      </c>
      <c r="F2599">
        <v>222100000</v>
      </c>
      <c r="G2599" t="s">
        <v>25</v>
      </c>
      <c r="H2599" t="s">
        <v>81</v>
      </c>
      <c r="I2599" t="s">
        <v>9</v>
      </c>
      <c r="L2599" t="s">
        <v>161</v>
      </c>
      <c r="M2599">
        <v>-222100000</v>
      </c>
    </row>
    <row r="2600" spans="1:13" x14ac:dyDescent="0.3">
      <c r="A2600" s="23">
        <v>45729</v>
      </c>
      <c r="B2600" t="s">
        <v>12</v>
      </c>
      <c r="C2600" t="s">
        <v>132</v>
      </c>
      <c r="D2600" t="s">
        <v>17</v>
      </c>
      <c r="E2600" t="s">
        <v>40</v>
      </c>
      <c r="F2600">
        <v>184300000</v>
      </c>
      <c r="G2600" t="s">
        <v>25</v>
      </c>
      <c r="H2600" t="s">
        <v>81</v>
      </c>
      <c r="I2600" t="s">
        <v>9</v>
      </c>
      <c r="L2600" t="s">
        <v>161</v>
      </c>
      <c r="M2600">
        <v>-184300000</v>
      </c>
    </row>
    <row r="2601" spans="1:13" x14ac:dyDescent="0.3">
      <c r="A2601" s="23">
        <v>45727</v>
      </c>
      <c r="B2601" t="s">
        <v>12</v>
      </c>
      <c r="C2601" t="s">
        <v>132</v>
      </c>
      <c r="D2601" t="s">
        <v>17</v>
      </c>
      <c r="E2601" t="s">
        <v>40</v>
      </c>
      <c r="F2601">
        <v>628300000</v>
      </c>
      <c r="G2601" t="s">
        <v>25</v>
      </c>
      <c r="H2601" t="s">
        <v>81</v>
      </c>
      <c r="I2601" t="s">
        <v>9</v>
      </c>
      <c r="L2601" t="s">
        <v>161</v>
      </c>
      <c r="M2601">
        <v>-628300000</v>
      </c>
    </row>
    <row r="2602" spans="1:13" x14ac:dyDescent="0.3">
      <c r="A2602" s="23">
        <v>45715</v>
      </c>
      <c r="B2602" t="s">
        <v>12</v>
      </c>
      <c r="C2602" t="s">
        <v>132</v>
      </c>
      <c r="D2602" t="s">
        <v>16</v>
      </c>
      <c r="E2602" t="s">
        <v>40</v>
      </c>
      <c r="F2602">
        <v>2000000000</v>
      </c>
      <c r="G2602" t="s">
        <v>25</v>
      </c>
      <c r="H2602" t="s">
        <v>81</v>
      </c>
      <c r="I2602" t="s">
        <v>9</v>
      </c>
      <c r="L2602" t="s">
        <v>161</v>
      </c>
      <c r="M2602">
        <v>2000000000</v>
      </c>
    </row>
    <row r="2603" spans="1:13" x14ac:dyDescent="0.3">
      <c r="A2603" s="23">
        <v>45714</v>
      </c>
      <c r="B2603" t="s">
        <v>12</v>
      </c>
      <c r="C2603" t="s">
        <v>132</v>
      </c>
      <c r="D2603" t="s">
        <v>17</v>
      </c>
      <c r="E2603" t="s">
        <v>40</v>
      </c>
      <c r="F2603">
        <v>2000000000</v>
      </c>
      <c r="G2603" t="s">
        <v>25</v>
      </c>
      <c r="H2603" t="s">
        <v>81</v>
      </c>
      <c r="I2603" t="s">
        <v>9</v>
      </c>
      <c r="L2603" t="s">
        <v>161</v>
      </c>
      <c r="M2603">
        <v>-2000000000</v>
      </c>
    </row>
    <row r="2604" spans="1:13" x14ac:dyDescent="0.3">
      <c r="A2604" s="23">
        <v>45709</v>
      </c>
      <c r="B2604" t="s">
        <v>12</v>
      </c>
      <c r="C2604" t="s">
        <v>132</v>
      </c>
      <c r="D2604" t="s">
        <v>16</v>
      </c>
      <c r="E2604" t="s">
        <v>40</v>
      </c>
      <c r="F2604">
        <v>46000000</v>
      </c>
      <c r="G2604" t="s">
        <v>25</v>
      </c>
      <c r="H2604" t="s">
        <v>81</v>
      </c>
      <c r="I2604" t="s">
        <v>9</v>
      </c>
      <c r="L2604" t="s">
        <v>161</v>
      </c>
      <c r="M2604">
        <v>46000000</v>
      </c>
    </row>
    <row r="2605" spans="1:13" x14ac:dyDescent="0.3">
      <c r="A2605" s="23">
        <v>45709</v>
      </c>
      <c r="B2605" t="s">
        <v>12</v>
      </c>
      <c r="C2605" t="s">
        <v>132</v>
      </c>
      <c r="D2605" t="s">
        <v>16</v>
      </c>
      <c r="E2605" t="s">
        <v>40</v>
      </c>
      <c r="F2605">
        <v>3086300000</v>
      </c>
      <c r="G2605" t="s">
        <v>25</v>
      </c>
      <c r="H2605" t="s">
        <v>81</v>
      </c>
      <c r="I2605" t="s">
        <v>9</v>
      </c>
      <c r="L2605" t="s">
        <v>161</v>
      </c>
      <c r="M2605">
        <v>3086300000</v>
      </c>
    </row>
    <row r="2606" spans="1:13" x14ac:dyDescent="0.3">
      <c r="A2606" s="23">
        <v>45877</v>
      </c>
      <c r="B2606" t="s">
        <v>12</v>
      </c>
      <c r="C2606" t="s">
        <v>132</v>
      </c>
      <c r="D2606" t="s">
        <v>17</v>
      </c>
      <c r="E2606" t="s">
        <v>255</v>
      </c>
      <c r="F2606">
        <v>54971043</v>
      </c>
      <c r="G2606" t="s">
        <v>256</v>
      </c>
      <c r="H2606" t="s">
        <v>81</v>
      </c>
      <c r="I2606" t="s">
        <v>9</v>
      </c>
      <c r="L2606" t="s">
        <v>161</v>
      </c>
      <c r="M2606">
        <v>-54971043</v>
      </c>
    </row>
    <row r="2607" spans="1:13" x14ac:dyDescent="0.3">
      <c r="A2607" s="23">
        <v>45874</v>
      </c>
      <c r="B2607" t="s">
        <v>12</v>
      </c>
      <c r="C2607" t="s">
        <v>132</v>
      </c>
      <c r="D2607" t="s">
        <v>16</v>
      </c>
      <c r="E2607" t="s">
        <v>255</v>
      </c>
      <c r="F2607">
        <v>500000000</v>
      </c>
      <c r="G2607" t="s">
        <v>256</v>
      </c>
      <c r="H2607" t="s">
        <v>81</v>
      </c>
      <c r="I2607" t="s">
        <v>9</v>
      </c>
      <c r="L2607" t="s">
        <v>161</v>
      </c>
      <c r="M2607">
        <v>500000000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767A-2B0B-42A7-BCCC-B84293DF0434}">
  <sheetPr codeName="Hoja21"/>
  <dimension ref="A1:M2607"/>
  <sheetViews>
    <sheetView workbookViewId="0">
      <selection activeCell="A3" sqref="A3:M2607"/>
    </sheetView>
  </sheetViews>
  <sheetFormatPr baseColWidth="10" defaultRowHeight="14.4" x14ac:dyDescent="0.3"/>
  <cols>
    <col min="1" max="1" width="11.5546875" bestFit="1" customWidth="1"/>
    <col min="2" max="2" width="13.6640625" bestFit="1" customWidth="1"/>
    <col min="3" max="3" width="13.33203125" bestFit="1" customWidth="1"/>
    <col min="4" max="4" width="13.6640625" bestFit="1" customWidth="1"/>
    <col min="5" max="5" width="28.6640625" bestFit="1" customWidth="1"/>
    <col min="6" max="6" width="12" bestFit="1" customWidth="1"/>
    <col min="7" max="7" width="32" bestFit="1" customWidth="1"/>
    <col min="8" max="8" width="11.5546875" bestFit="1" customWidth="1"/>
    <col min="9" max="9" width="15.6640625" bestFit="1" customWidth="1"/>
    <col min="10" max="10" width="16" bestFit="1" customWidth="1"/>
    <col min="11" max="12" width="11.5546875" bestFit="1" customWidth="1"/>
    <col min="13" max="13" width="12.6640625" bestFit="1" customWidth="1"/>
  </cols>
  <sheetData>
    <row r="1" spans="1:13" x14ac:dyDescent="0.3">
      <c r="A1" s="32" t="s">
        <v>257</v>
      </c>
    </row>
    <row r="3" spans="1:13" x14ac:dyDescent="0.3">
      <c r="A3" t="s">
        <v>0</v>
      </c>
      <c r="B3" t="s">
        <v>11</v>
      </c>
      <c r="C3" t="s">
        <v>104</v>
      </c>
      <c r="D3" t="s">
        <v>21</v>
      </c>
      <c r="E3" t="s">
        <v>19</v>
      </c>
      <c r="F3" t="s">
        <v>20</v>
      </c>
      <c r="G3" t="s">
        <v>4</v>
      </c>
      <c r="H3" t="s">
        <v>1</v>
      </c>
      <c r="I3" t="s">
        <v>10</v>
      </c>
      <c r="J3" t="s">
        <v>145</v>
      </c>
      <c r="K3" t="s">
        <v>146</v>
      </c>
      <c r="L3" t="s">
        <v>148</v>
      </c>
      <c r="M3" t="s">
        <v>85</v>
      </c>
    </row>
    <row r="4" spans="1:13" x14ac:dyDescent="0.3">
      <c r="A4" s="23">
        <v>45877</v>
      </c>
      <c r="B4" t="s">
        <v>12</v>
      </c>
      <c r="C4" t="s">
        <v>132</v>
      </c>
      <c r="D4" t="s">
        <v>17</v>
      </c>
      <c r="E4" t="s">
        <v>136</v>
      </c>
      <c r="F4">
        <v>1262374704.8499999</v>
      </c>
      <c r="G4" t="s">
        <v>134</v>
      </c>
      <c r="H4" t="s">
        <v>81</v>
      </c>
      <c r="I4" t="s">
        <v>9</v>
      </c>
      <c r="L4" t="s">
        <v>161</v>
      </c>
      <c r="M4">
        <v>-1262374704.8499999</v>
      </c>
    </row>
    <row r="5" spans="1:13" x14ac:dyDescent="0.3">
      <c r="A5" s="23">
        <v>45877</v>
      </c>
      <c r="B5" t="s">
        <v>12</v>
      </c>
      <c r="C5" t="s">
        <v>132</v>
      </c>
      <c r="D5" t="s">
        <v>17</v>
      </c>
      <c r="E5" t="s">
        <v>136</v>
      </c>
      <c r="F5">
        <v>435174624.88999999</v>
      </c>
      <c r="G5" t="s">
        <v>134</v>
      </c>
      <c r="H5" t="s">
        <v>81</v>
      </c>
      <c r="I5" t="s">
        <v>9</v>
      </c>
      <c r="L5" t="s">
        <v>161</v>
      </c>
      <c r="M5">
        <v>-435174624.88999999</v>
      </c>
    </row>
    <row r="6" spans="1:13" x14ac:dyDescent="0.3">
      <c r="A6" s="23">
        <v>45876</v>
      </c>
      <c r="B6" t="s">
        <v>12</v>
      </c>
      <c r="C6" t="s">
        <v>132</v>
      </c>
      <c r="D6" t="s">
        <v>16</v>
      </c>
      <c r="E6" t="s">
        <v>136</v>
      </c>
      <c r="F6">
        <v>38369398.32</v>
      </c>
      <c r="G6" t="s">
        <v>134</v>
      </c>
      <c r="H6" t="s">
        <v>81</v>
      </c>
      <c r="I6" t="s">
        <v>9</v>
      </c>
      <c r="L6" t="s">
        <v>161</v>
      </c>
      <c r="M6">
        <v>38369398.32</v>
      </c>
    </row>
    <row r="7" spans="1:13" x14ac:dyDescent="0.3">
      <c r="A7" s="23">
        <v>45874</v>
      </c>
      <c r="B7" t="s">
        <v>12</v>
      </c>
      <c r="C7" t="s">
        <v>132</v>
      </c>
      <c r="D7" t="s">
        <v>17</v>
      </c>
      <c r="E7" t="s">
        <v>136</v>
      </c>
      <c r="F7">
        <v>137610239.81999999</v>
      </c>
      <c r="G7" t="s">
        <v>134</v>
      </c>
      <c r="H7" t="s">
        <v>81</v>
      </c>
      <c r="I7" t="s">
        <v>9</v>
      </c>
      <c r="L7" t="s">
        <v>161</v>
      </c>
      <c r="M7">
        <v>-137610239.81999999</v>
      </c>
    </row>
    <row r="8" spans="1:13" x14ac:dyDescent="0.3">
      <c r="A8" s="23">
        <v>45874</v>
      </c>
      <c r="B8" t="s">
        <v>12</v>
      </c>
      <c r="C8" t="s">
        <v>132</v>
      </c>
      <c r="D8" t="s">
        <v>17</v>
      </c>
      <c r="E8" t="s">
        <v>136</v>
      </c>
      <c r="F8">
        <v>248003561.75999999</v>
      </c>
      <c r="G8" t="s">
        <v>134</v>
      </c>
      <c r="H8" t="s">
        <v>81</v>
      </c>
      <c r="I8" t="s">
        <v>9</v>
      </c>
      <c r="L8" t="s">
        <v>161</v>
      </c>
      <c r="M8">
        <v>-248003561.75999999</v>
      </c>
    </row>
    <row r="9" spans="1:13" x14ac:dyDescent="0.3">
      <c r="A9" s="23">
        <v>45868</v>
      </c>
      <c r="B9" t="s">
        <v>12</v>
      </c>
      <c r="C9" t="s">
        <v>132</v>
      </c>
      <c r="D9" t="s">
        <v>17</v>
      </c>
      <c r="E9" t="s">
        <v>136</v>
      </c>
      <c r="F9">
        <v>462611272.85000002</v>
      </c>
      <c r="G9" t="s">
        <v>134</v>
      </c>
      <c r="H9" t="s">
        <v>81</v>
      </c>
      <c r="I9" t="s">
        <v>9</v>
      </c>
      <c r="L9" t="s">
        <v>161</v>
      </c>
      <c r="M9">
        <v>-462611272.85000002</v>
      </c>
    </row>
    <row r="10" spans="1:13" x14ac:dyDescent="0.3">
      <c r="A10" s="23">
        <v>45868</v>
      </c>
      <c r="B10" t="s">
        <v>12</v>
      </c>
      <c r="C10" t="s">
        <v>132</v>
      </c>
      <c r="D10" t="s">
        <v>17</v>
      </c>
      <c r="E10" t="s">
        <v>136</v>
      </c>
      <c r="F10">
        <v>55559585</v>
      </c>
      <c r="G10" t="s">
        <v>134</v>
      </c>
      <c r="H10" t="s">
        <v>81</v>
      </c>
      <c r="I10" t="s">
        <v>9</v>
      </c>
      <c r="L10" t="s">
        <v>161</v>
      </c>
      <c r="M10">
        <v>-55559585</v>
      </c>
    </row>
    <row r="11" spans="1:13" x14ac:dyDescent="0.3">
      <c r="A11" s="23">
        <v>45867</v>
      </c>
      <c r="B11" t="s">
        <v>12</v>
      </c>
      <c r="C11" t="s">
        <v>132</v>
      </c>
      <c r="D11" t="s">
        <v>17</v>
      </c>
      <c r="E11" t="s">
        <v>136</v>
      </c>
      <c r="F11">
        <v>300000000</v>
      </c>
      <c r="G11" t="s">
        <v>134</v>
      </c>
      <c r="H11" t="s">
        <v>81</v>
      </c>
      <c r="I11" t="s">
        <v>9</v>
      </c>
      <c r="L11" t="s">
        <v>161</v>
      </c>
      <c r="M11">
        <v>-300000000</v>
      </c>
    </row>
    <row r="12" spans="1:13" x14ac:dyDescent="0.3">
      <c r="A12" s="23">
        <v>45866</v>
      </c>
      <c r="B12" t="s">
        <v>12</v>
      </c>
      <c r="C12" t="s">
        <v>132</v>
      </c>
      <c r="D12" t="s">
        <v>17</v>
      </c>
      <c r="E12" t="s">
        <v>136</v>
      </c>
      <c r="F12">
        <v>253169664</v>
      </c>
      <c r="G12" t="s">
        <v>134</v>
      </c>
      <c r="H12" t="s">
        <v>81</v>
      </c>
      <c r="I12" t="s">
        <v>9</v>
      </c>
      <c r="L12" t="s">
        <v>161</v>
      </c>
      <c r="M12">
        <v>-253169664</v>
      </c>
    </row>
    <row r="13" spans="1:13" x14ac:dyDescent="0.3">
      <c r="A13" s="23">
        <v>45863</v>
      </c>
      <c r="B13" t="s">
        <v>12</v>
      </c>
      <c r="C13" t="s">
        <v>132</v>
      </c>
      <c r="D13" t="s">
        <v>17</v>
      </c>
      <c r="E13" t="s">
        <v>136</v>
      </c>
      <c r="F13">
        <v>166782531</v>
      </c>
      <c r="G13" t="s">
        <v>134</v>
      </c>
      <c r="H13" t="s">
        <v>81</v>
      </c>
      <c r="I13" t="s">
        <v>9</v>
      </c>
      <c r="L13" t="s">
        <v>161</v>
      </c>
      <c r="M13">
        <v>-166782531</v>
      </c>
    </row>
    <row r="14" spans="1:13" x14ac:dyDescent="0.3">
      <c r="A14" s="23">
        <v>45862</v>
      </c>
      <c r="B14" t="s">
        <v>12</v>
      </c>
      <c r="C14" t="s">
        <v>132</v>
      </c>
      <c r="D14" t="s">
        <v>17</v>
      </c>
      <c r="E14" t="s">
        <v>136</v>
      </c>
      <c r="F14">
        <v>117117575</v>
      </c>
      <c r="G14" t="s">
        <v>134</v>
      </c>
      <c r="H14" t="s">
        <v>81</v>
      </c>
      <c r="I14" t="s">
        <v>9</v>
      </c>
      <c r="L14" t="s">
        <v>161</v>
      </c>
      <c r="M14">
        <v>-117117575</v>
      </c>
    </row>
    <row r="15" spans="1:13" x14ac:dyDescent="0.3">
      <c r="A15" s="23">
        <v>45861</v>
      </c>
      <c r="B15" t="s">
        <v>12</v>
      </c>
      <c r="C15" t="s">
        <v>132</v>
      </c>
      <c r="D15" t="s">
        <v>16</v>
      </c>
      <c r="E15" t="s">
        <v>136</v>
      </c>
      <c r="F15">
        <v>1873762000</v>
      </c>
      <c r="G15" t="s">
        <v>134</v>
      </c>
      <c r="H15" t="s">
        <v>81</v>
      </c>
      <c r="I15" t="s">
        <v>9</v>
      </c>
      <c r="L15" t="s">
        <v>161</v>
      </c>
      <c r="M15">
        <v>1873762000</v>
      </c>
    </row>
    <row r="16" spans="1:13" x14ac:dyDescent="0.3">
      <c r="A16" s="23">
        <v>45861</v>
      </c>
      <c r="B16" t="s">
        <v>12</v>
      </c>
      <c r="C16" t="s">
        <v>132</v>
      </c>
      <c r="D16" t="s">
        <v>17</v>
      </c>
      <c r="E16" t="s">
        <v>136</v>
      </c>
      <c r="F16">
        <v>132284278.34999999</v>
      </c>
      <c r="G16" t="s">
        <v>134</v>
      </c>
      <c r="H16" t="s">
        <v>81</v>
      </c>
      <c r="I16" t="s">
        <v>9</v>
      </c>
      <c r="L16" t="s">
        <v>161</v>
      </c>
      <c r="M16">
        <v>-132284278.34999999</v>
      </c>
    </row>
    <row r="17" spans="1:13" x14ac:dyDescent="0.3">
      <c r="A17" s="23">
        <v>45861</v>
      </c>
      <c r="B17" t="s">
        <v>12</v>
      </c>
      <c r="C17" t="s">
        <v>132</v>
      </c>
      <c r="D17" t="s">
        <v>17</v>
      </c>
      <c r="E17" t="s">
        <v>136</v>
      </c>
      <c r="F17">
        <v>188009300.22</v>
      </c>
      <c r="G17" t="s">
        <v>134</v>
      </c>
      <c r="H17" t="s">
        <v>81</v>
      </c>
      <c r="I17" t="s">
        <v>9</v>
      </c>
      <c r="L17" t="s">
        <v>161</v>
      </c>
      <c r="M17">
        <v>-188009300.22</v>
      </c>
    </row>
    <row r="18" spans="1:13" x14ac:dyDescent="0.3">
      <c r="A18" s="23">
        <v>45855</v>
      </c>
      <c r="B18" t="s">
        <v>12</v>
      </c>
      <c r="C18" t="s">
        <v>132</v>
      </c>
      <c r="D18" t="s">
        <v>16</v>
      </c>
      <c r="E18" t="s">
        <v>136</v>
      </c>
      <c r="F18">
        <v>1083100000</v>
      </c>
      <c r="G18" t="s">
        <v>134</v>
      </c>
      <c r="H18" t="s">
        <v>81</v>
      </c>
      <c r="I18" t="s">
        <v>9</v>
      </c>
      <c r="L18" t="s">
        <v>161</v>
      </c>
      <c r="M18">
        <v>1083100000</v>
      </c>
    </row>
    <row r="19" spans="1:13" x14ac:dyDescent="0.3">
      <c r="A19" s="23">
        <v>45854</v>
      </c>
      <c r="B19" t="s">
        <v>12</v>
      </c>
      <c r="C19" t="s">
        <v>132</v>
      </c>
      <c r="D19" t="s">
        <v>17</v>
      </c>
      <c r="E19" t="s">
        <v>136</v>
      </c>
      <c r="F19">
        <v>68579700</v>
      </c>
      <c r="G19" t="s">
        <v>134</v>
      </c>
      <c r="H19" t="s">
        <v>81</v>
      </c>
      <c r="I19" t="s">
        <v>9</v>
      </c>
      <c r="L19" t="s">
        <v>161</v>
      </c>
      <c r="M19">
        <v>-68579700</v>
      </c>
    </row>
    <row r="20" spans="1:13" x14ac:dyDescent="0.3">
      <c r="A20" s="23">
        <v>45854</v>
      </c>
      <c r="B20" t="s">
        <v>12</v>
      </c>
      <c r="C20" t="s">
        <v>132</v>
      </c>
      <c r="D20" t="s">
        <v>17</v>
      </c>
      <c r="E20" t="s">
        <v>136</v>
      </c>
      <c r="F20">
        <v>253247540.63999999</v>
      </c>
      <c r="G20" t="s">
        <v>134</v>
      </c>
      <c r="H20" t="s">
        <v>81</v>
      </c>
      <c r="I20" t="s">
        <v>9</v>
      </c>
      <c r="L20" t="s">
        <v>161</v>
      </c>
      <c r="M20">
        <v>-253247540.63999999</v>
      </c>
    </row>
    <row r="21" spans="1:13" x14ac:dyDescent="0.3">
      <c r="A21" s="23">
        <v>45853</v>
      </c>
      <c r="B21" t="s">
        <v>12</v>
      </c>
      <c r="C21" t="s">
        <v>132</v>
      </c>
      <c r="D21" t="s">
        <v>17</v>
      </c>
      <c r="E21" t="s">
        <v>136</v>
      </c>
      <c r="F21">
        <v>237488808.96000001</v>
      </c>
      <c r="G21" t="s">
        <v>134</v>
      </c>
      <c r="H21" t="s">
        <v>81</v>
      </c>
      <c r="I21" t="s">
        <v>9</v>
      </c>
      <c r="L21" t="s">
        <v>161</v>
      </c>
      <c r="M21">
        <v>-237488808.96000001</v>
      </c>
    </row>
    <row r="22" spans="1:13" x14ac:dyDescent="0.3">
      <c r="A22" s="23">
        <v>45852</v>
      </c>
      <c r="B22" t="s">
        <v>12</v>
      </c>
      <c r="C22" t="s">
        <v>132</v>
      </c>
      <c r="D22" t="s">
        <v>16</v>
      </c>
      <c r="E22" t="s">
        <v>136</v>
      </c>
      <c r="F22">
        <v>1166130903.2</v>
      </c>
      <c r="G22" t="s">
        <v>134</v>
      </c>
      <c r="H22" t="s">
        <v>81</v>
      </c>
      <c r="I22" t="s">
        <v>9</v>
      </c>
      <c r="L22" t="s">
        <v>161</v>
      </c>
      <c r="M22">
        <v>1166130903.2</v>
      </c>
    </row>
    <row r="23" spans="1:13" x14ac:dyDescent="0.3">
      <c r="A23" s="23">
        <v>45852</v>
      </c>
      <c r="B23" t="s">
        <v>12</v>
      </c>
      <c r="C23" t="s">
        <v>132</v>
      </c>
      <c r="D23" t="s">
        <v>17</v>
      </c>
      <c r="E23" t="s">
        <v>136</v>
      </c>
      <c r="F23">
        <v>315507795.87</v>
      </c>
      <c r="G23" t="s">
        <v>134</v>
      </c>
      <c r="H23" t="s">
        <v>81</v>
      </c>
      <c r="I23" t="s">
        <v>9</v>
      </c>
      <c r="L23" t="s">
        <v>161</v>
      </c>
      <c r="M23">
        <v>-315507795.87</v>
      </c>
    </row>
    <row r="24" spans="1:13" x14ac:dyDescent="0.3">
      <c r="A24" s="23">
        <v>45849</v>
      </c>
      <c r="B24" t="s">
        <v>12</v>
      </c>
      <c r="C24" t="s">
        <v>132</v>
      </c>
      <c r="D24" t="s">
        <v>16</v>
      </c>
      <c r="E24" t="s">
        <v>136</v>
      </c>
      <c r="F24">
        <v>393460000</v>
      </c>
      <c r="G24" t="s">
        <v>134</v>
      </c>
      <c r="H24" t="s">
        <v>81</v>
      </c>
      <c r="I24" t="s">
        <v>9</v>
      </c>
      <c r="L24" t="s">
        <v>161</v>
      </c>
      <c r="M24">
        <v>393460000</v>
      </c>
    </row>
    <row r="25" spans="1:13" x14ac:dyDescent="0.3">
      <c r="A25" s="23">
        <v>45849</v>
      </c>
      <c r="B25" t="s">
        <v>12</v>
      </c>
      <c r="C25" t="s">
        <v>132</v>
      </c>
      <c r="D25" t="s">
        <v>16</v>
      </c>
      <c r="E25" t="s">
        <v>136</v>
      </c>
      <c r="F25">
        <v>1000000000</v>
      </c>
      <c r="G25" t="s">
        <v>134</v>
      </c>
      <c r="H25" t="s">
        <v>81</v>
      </c>
      <c r="I25" t="s">
        <v>9</v>
      </c>
      <c r="L25" t="s">
        <v>161</v>
      </c>
      <c r="M25">
        <v>1000000000</v>
      </c>
    </row>
    <row r="26" spans="1:13" x14ac:dyDescent="0.3">
      <c r="A26" s="23">
        <v>45848</v>
      </c>
      <c r="B26" t="s">
        <v>12</v>
      </c>
      <c r="C26" t="s">
        <v>132</v>
      </c>
      <c r="D26" t="s">
        <v>17</v>
      </c>
      <c r="E26" t="s">
        <v>136</v>
      </c>
      <c r="F26">
        <v>71713404.890000001</v>
      </c>
      <c r="G26" t="s">
        <v>134</v>
      </c>
      <c r="H26" t="s">
        <v>81</v>
      </c>
      <c r="I26" t="s">
        <v>9</v>
      </c>
      <c r="L26" t="s">
        <v>161</v>
      </c>
      <c r="M26">
        <v>-71713404.890000001</v>
      </c>
    </row>
    <row r="27" spans="1:13" x14ac:dyDescent="0.3">
      <c r="A27" s="23">
        <v>45848</v>
      </c>
      <c r="B27" t="s">
        <v>12</v>
      </c>
      <c r="C27" t="s">
        <v>132</v>
      </c>
      <c r="D27" t="s">
        <v>17</v>
      </c>
      <c r="E27" t="s">
        <v>136</v>
      </c>
      <c r="F27">
        <v>76876842.049999997</v>
      </c>
      <c r="G27" t="s">
        <v>134</v>
      </c>
      <c r="H27" t="s">
        <v>81</v>
      </c>
      <c r="I27" t="s">
        <v>9</v>
      </c>
      <c r="L27" t="s">
        <v>161</v>
      </c>
      <c r="M27">
        <v>-76876842.049999997</v>
      </c>
    </row>
    <row r="28" spans="1:13" x14ac:dyDescent="0.3">
      <c r="A28" s="23">
        <v>45846</v>
      </c>
      <c r="B28" t="s">
        <v>12</v>
      </c>
      <c r="C28" t="s">
        <v>132</v>
      </c>
      <c r="D28" t="s">
        <v>17</v>
      </c>
      <c r="E28" t="s">
        <v>136</v>
      </c>
      <c r="F28">
        <v>254439256.31999999</v>
      </c>
      <c r="G28" t="s">
        <v>134</v>
      </c>
      <c r="H28" t="s">
        <v>81</v>
      </c>
      <c r="I28" t="s">
        <v>9</v>
      </c>
      <c r="L28" t="s">
        <v>161</v>
      </c>
      <c r="M28">
        <v>-254439256.31999999</v>
      </c>
    </row>
    <row r="29" spans="1:13" x14ac:dyDescent="0.3">
      <c r="A29" s="23">
        <v>45846</v>
      </c>
      <c r="B29" t="s">
        <v>12</v>
      </c>
      <c r="C29" t="s">
        <v>132</v>
      </c>
      <c r="D29" t="s">
        <v>17</v>
      </c>
      <c r="E29" t="s">
        <v>136</v>
      </c>
      <c r="F29">
        <v>86996101.920000002</v>
      </c>
      <c r="G29" t="s">
        <v>134</v>
      </c>
      <c r="H29" t="s">
        <v>81</v>
      </c>
      <c r="I29" t="s">
        <v>9</v>
      </c>
      <c r="L29" t="s">
        <v>161</v>
      </c>
      <c r="M29">
        <v>-86996101.920000002</v>
      </c>
    </row>
    <row r="30" spans="1:13" x14ac:dyDescent="0.3">
      <c r="A30" s="23">
        <v>45846</v>
      </c>
      <c r="B30" t="s">
        <v>12</v>
      </c>
      <c r="C30" t="s">
        <v>132</v>
      </c>
      <c r="D30" t="s">
        <v>16</v>
      </c>
      <c r="E30" t="s">
        <v>136</v>
      </c>
      <c r="F30">
        <v>46547701.390000001</v>
      </c>
      <c r="G30" t="s">
        <v>134</v>
      </c>
      <c r="H30" t="s">
        <v>81</v>
      </c>
      <c r="I30" t="s">
        <v>9</v>
      </c>
      <c r="L30" t="s">
        <v>161</v>
      </c>
      <c r="M30">
        <v>46547701.390000001</v>
      </c>
    </row>
    <row r="31" spans="1:13" x14ac:dyDescent="0.3">
      <c r="A31" s="23">
        <v>45845</v>
      </c>
      <c r="B31" t="s">
        <v>12</v>
      </c>
      <c r="C31" t="s">
        <v>132</v>
      </c>
      <c r="D31" t="s">
        <v>17</v>
      </c>
      <c r="E31" t="s">
        <v>136</v>
      </c>
      <c r="F31">
        <v>1851613343.6900001</v>
      </c>
      <c r="G31" t="s">
        <v>134</v>
      </c>
      <c r="H31" t="s">
        <v>81</v>
      </c>
      <c r="I31" t="s">
        <v>9</v>
      </c>
      <c r="L31" t="s">
        <v>161</v>
      </c>
      <c r="M31">
        <v>-1851613343.6900001</v>
      </c>
    </row>
    <row r="32" spans="1:13" x14ac:dyDescent="0.3">
      <c r="A32" s="23">
        <v>45845</v>
      </c>
      <c r="B32" t="s">
        <v>12</v>
      </c>
      <c r="C32" t="s">
        <v>132</v>
      </c>
      <c r="D32" t="s">
        <v>17</v>
      </c>
      <c r="E32" t="s">
        <v>136</v>
      </c>
      <c r="F32">
        <v>5895722822.3800001</v>
      </c>
      <c r="G32" t="s">
        <v>134</v>
      </c>
      <c r="H32" t="s">
        <v>81</v>
      </c>
      <c r="I32" t="s">
        <v>9</v>
      </c>
      <c r="L32" t="s">
        <v>161</v>
      </c>
      <c r="M32">
        <v>-5895722822.3800001</v>
      </c>
    </row>
    <row r="33" spans="1:13" x14ac:dyDescent="0.3">
      <c r="A33" s="23">
        <v>45841</v>
      </c>
      <c r="B33" t="s">
        <v>12</v>
      </c>
      <c r="C33" t="s">
        <v>132</v>
      </c>
      <c r="D33" t="s">
        <v>17</v>
      </c>
      <c r="E33" t="s">
        <v>136</v>
      </c>
      <c r="F33">
        <v>99632412.400000006</v>
      </c>
      <c r="G33" t="s">
        <v>134</v>
      </c>
      <c r="H33" t="s">
        <v>81</v>
      </c>
      <c r="I33" t="s">
        <v>9</v>
      </c>
      <c r="L33" t="s">
        <v>161</v>
      </c>
      <c r="M33">
        <v>-99632412.400000006</v>
      </c>
    </row>
    <row r="34" spans="1:13" x14ac:dyDescent="0.3">
      <c r="A34" s="23">
        <v>45841</v>
      </c>
      <c r="B34" t="s">
        <v>12</v>
      </c>
      <c r="C34" t="s">
        <v>132</v>
      </c>
      <c r="D34" t="s">
        <v>17</v>
      </c>
      <c r="E34" t="s">
        <v>136</v>
      </c>
      <c r="F34">
        <v>65415509.649999999</v>
      </c>
      <c r="G34" t="s">
        <v>134</v>
      </c>
      <c r="H34" t="s">
        <v>81</v>
      </c>
      <c r="I34" t="s">
        <v>9</v>
      </c>
      <c r="L34" t="s">
        <v>161</v>
      </c>
      <c r="M34">
        <v>-65415509.649999999</v>
      </c>
    </row>
    <row r="35" spans="1:13" x14ac:dyDescent="0.3">
      <c r="A35" s="23">
        <v>45840</v>
      </c>
      <c r="B35" t="s">
        <v>12</v>
      </c>
      <c r="C35" t="s">
        <v>132</v>
      </c>
      <c r="D35" t="s">
        <v>16</v>
      </c>
      <c r="E35" t="s">
        <v>136</v>
      </c>
      <c r="F35">
        <v>800000000</v>
      </c>
      <c r="G35" t="s">
        <v>134</v>
      </c>
      <c r="H35" t="s">
        <v>81</v>
      </c>
      <c r="I35" t="s">
        <v>9</v>
      </c>
      <c r="L35" t="s">
        <v>161</v>
      </c>
      <c r="M35">
        <v>800000000</v>
      </c>
    </row>
    <row r="36" spans="1:13" x14ac:dyDescent="0.3">
      <c r="A36" s="23">
        <v>45839</v>
      </c>
      <c r="B36" t="s">
        <v>12</v>
      </c>
      <c r="C36" t="s">
        <v>132</v>
      </c>
      <c r="D36" t="s">
        <v>16</v>
      </c>
      <c r="E36" t="s">
        <v>136</v>
      </c>
      <c r="F36">
        <v>6900000000</v>
      </c>
      <c r="G36" t="s">
        <v>134</v>
      </c>
      <c r="H36" t="s">
        <v>81</v>
      </c>
      <c r="I36" t="s">
        <v>9</v>
      </c>
      <c r="L36" t="s">
        <v>161</v>
      </c>
      <c r="M36">
        <v>6900000000</v>
      </c>
    </row>
    <row r="37" spans="1:13" x14ac:dyDescent="0.3">
      <c r="A37" s="23">
        <v>45833</v>
      </c>
      <c r="B37" t="s">
        <v>12</v>
      </c>
      <c r="C37" t="s">
        <v>132</v>
      </c>
      <c r="D37" t="s">
        <v>17</v>
      </c>
      <c r="E37" t="s">
        <v>136</v>
      </c>
      <c r="F37">
        <v>60272490.490000002</v>
      </c>
      <c r="G37" t="s">
        <v>134</v>
      </c>
      <c r="H37" t="s">
        <v>81</v>
      </c>
      <c r="I37" t="s">
        <v>9</v>
      </c>
      <c r="L37" t="s">
        <v>161</v>
      </c>
      <c r="M37">
        <v>-60272490.490000002</v>
      </c>
    </row>
    <row r="38" spans="1:13" x14ac:dyDescent="0.3">
      <c r="A38" s="23">
        <v>45833</v>
      </c>
      <c r="B38" t="s">
        <v>12</v>
      </c>
      <c r="C38" t="s">
        <v>132</v>
      </c>
      <c r="D38" t="s">
        <v>17</v>
      </c>
      <c r="E38" t="s">
        <v>136</v>
      </c>
      <c r="F38">
        <v>60923752.649999999</v>
      </c>
      <c r="G38" t="s">
        <v>134</v>
      </c>
      <c r="H38" t="s">
        <v>81</v>
      </c>
      <c r="I38" t="s">
        <v>9</v>
      </c>
      <c r="L38" t="s">
        <v>161</v>
      </c>
      <c r="M38">
        <v>-60923752.649999999</v>
      </c>
    </row>
    <row r="39" spans="1:13" x14ac:dyDescent="0.3">
      <c r="A39" s="23">
        <v>45827</v>
      </c>
      <c r="B39" t="s">
        <v>12</v>
      </c>
      <c r="C39" t="s">
        <v>132</v>
      </c>
      <c r="D39" t="s">
        <v>16</v>
      </c>
      <c r="E39" t="s">
        <v>136</v>
      </c>
      <c r="F39">
        <v>6976107.6500000004</v>
      </c>
      <c r="G39" t="s">
        <v>134</v>
      </c>
      <c r="H39" t="s">
        <v>81</v>
      </c>
      <c r="I39" t="s">
        <v>9</v>
      </c>
      <c r="L39" t="s">
        <v>161</v>
      </c>
      <c r="M39">
        <v>6976107.6500000004</v>
      </c>
    </row>
    <row r="40" spans="1:13" x14ac:dyDescent="0.3">
      <c r="A40" s="23">
        <v>45825</v>
      </c>
      <c r="B40" t="s">
        <v>12</v>
      </c>
      <c r="C40" t="s">
        <v>132</v>
      </c>
      <c r="D40" t="s">
        <v>17</v>
      </c>
      <c r="E40" t="s">
        <v>136</v>
      </c>
      <c r="F40">
        <v>24792192.690000001</v>
      </c>
      <c r="G40" t="s">
        <v>134</v>
      </c>
      <c r="H40" t="s">
        <v>81</v>
      </c>
      <c r="I40" t="s">
        <v>9</v>
      </c>
      <c r="L40" t="s">
        <v>161</v>
      </c>
      <c r="M40">
        <v>-24792192.690000001</v>
      </c>
    </row>
    <row r="41" spans="1:13" x14ac:dyDescent="0.3">
      <c r="A41" s="23">
        <v>45821</v>
      </c>
      <c r="B41" t="s">
        <v>12</v>
      </c>
      <c r="C41" t="s">
        <v>132</v>
      </c>
      <c r="D41" t="s">
        <v>17</v>
      </c>
      <c r="E41" t="s">
        <v>136</v>
      </c>
      <c r="F41">
        <v>50142314.229999997</v>
      </c>
      <c r="G41" t="s">
        <v>134</v>
      </c>
      <c r="H41" t="s">
        <v>81</v>
      </c>
      <c r="I41" t="s">
        <v>9</v>
      </c>
      <c r="L41" t="s">
        <v>161</v>
      </c>
      <c r="M41">
        <v>-50142314.229999997</v>
      </c>
    </row>
    <row r="42" spans="1:13" x14ac:dyDescent="0.3">
      <c r="A42" s="23">
        <v>45819</v>
      </c>
      <c r="B42" t="s">
        <v>12</v>
      </c>
      <c r="C42" t="s">
        <v>132</v>
      </c>
      <c r="D42" t="s">
        <v>16</v>
      </c>
      <c r="E42" t="s">
        <v>136</v>
      </c>
      <c r="F42">
        <v>5570875</v>
      </c>
      <c r="G42" t="s">
        <v>134</v>
      </c>
      <c r="H42" t="s">
        <v>81</v>
      </c>
      <c r="I42" t="s">
        <v>9</v>
      </c>
      <c r="L42" t="s">
        <v>161</v>
      </c>
      <c r="M42">
        <v>5570875</v>
      </c>
    </row>
    <row r="43" spans="1:13" x14ac:dyDescent="0.3">
      <c r="A43" s="23">
        <v>45818</v>
      </c>
      <c r="B43" t="s">
        <v>12</v>
      </c>
      <c r="C43" t="s">
        <v>132</v>
      </c>
      <c r="D43" t="s">
        <v>17</v>
      </c>
      <c r="E43" t="s">
        <v>136</v>
      </c>
      <c r="F43">
        <v>76016631.549999997</v>
      </c>
      <c r="G43" t="s">
        <v>134</v>
      </c>
      <c r="H43" t="s">
        <v>81</v>
      </c>
      <c r="I43" t="s">
        <v>9</v>
      </c>
      <c r="L43" t="s">
        <v>161</v>
      </c>
      <c r="M43">
        <v>-76016631.549999997</v>
      </c>
    </row>
    <row r="44" spans="1:13" x14ac:dyDescent="0.3">
      <c r="A44" s="23">
        <v>45818</v>
      </c>
      <c r="B44" t="s">
        <v>12</v>
      </c>
      <c r="C44" t="s">
        <v>132</v>
      </c>
      <c r="D44" t="s">
        <v>17</v>
      </c>
      <c r="E44" t="s">
        <v>136</v>
      </c>
      <c r="F44">
        <v>508694792</v>
      </c>
      <c r="G44" t="s">
        <v>134</v>
      </c>
      <c r="H44" t="s">
        <v>81</v>
      </c>
      <c r="I44" t="s">
        <v>9</v>
      </c>
      <c r="L44" t="s">
        <v>161</v>
      </c>
      <c r="M44">
        <v>-508694792</v>
      </c>
    </row>
    <row r="45" spans="1:13" x14ac:dyDescent="0.3">
      <c r="A45" s="23">
        <v>45817</v>
      </c>
      <c r="B45" t="s">
        <v>12</v>
      </c>
      <c r="C45" t="s">
        <v>132</v>
      </c>
      <c r="D45" t="s">
        <v>16</v>
      </c>
      <c r="E45" t="s">
        <v>136</v>
      </c>
      <c r="F45">
        <v>18680684.140000001</v>
      </c>
      <c r="G45" t="s">
        <v>134</v>
      </c>
      <c r="H45" t="s">
        <v>81</v>
      </c>
      <c r="I45" t="s">
        <v>9</v>
      </c>
      <c r="L45" t="s">
        <v>161</v>
      </c>
      <c r="M45">
        <v>18680684.140000001</v>
      </c>
    </row>
    <row r="46" spans="1:13" x14ac:dyDescent="0.3">
      <c r="A46" s="23">
        <v>45813</v>
      </c>
      <c r="B46" t="s">
        <v>12</v>
      </c>
      <c r="C46" t="s">
        <v>132</v>
      </c>
      <c r="D46" t="s">
        <v>17</v>
      </c>
      <c r="E46" t="s">
        <v>136</v>
      </c>
      <c r="F46">
        <v>668516745.05999994</v>
      </c>
      <c r="G46" t="s">
        <v>134</v>
      </c>
      <c r="H46" t="s">
        <v>81</v>
      </c>
      <c r="I46" t="s">
        <v>9</v>
      </c>
      <c r="L46" t="s">
        <v>161</v>
      </c>
      <c r="M46">
        <v>-668516745.05999994</v>
      </c>
    </row>
    <row r="47" spans="1:13" x14ac:dyDescent="0.3">
      <c r="A47" s="23">
        <v>45812</v>
      </c>
      <c r="B47" t="s">
        <v>12</v>
      </c>
      <c r="C47" t="s">
        <v>132</v>
      </c>
      <c r="D47" t="s">
        <v>16</v>
      </c>
      <c r="E47" t="s">
        <v>136</v>
      </c>
      <c r="F47">
        <v>1000000000</v>
      </c>
      <c r="G47" t="s">
        <v>134</v>
      </c>
      <c r="H47" t="s">
        <v>81</v>
      </c>
      <c r="I47" t="s">
        <v>9</v>
      </c>
      <c r="L47" t="s">
        <v>161</v>
      </c>
      <c r="M47">
        <v>1000000000</v>
      </c>
    </row>
    <row r="48" spans="1:13" x14ac:dyDescent="0.3">
      <c r="A48" s="23">
        <v>45805</v>
      </c>
      <c r="B48" t="s">
        <v>12</v>
      </c>
      <c r="C48" t="s">
        <v>132</v>
      </c>
      <c r="D48" t="s">
        <v>17</v>
      </c>
      <c r="E48" t="s">
        <v>136</v>
      </c>
      <c r="F48">
        <v>51723041.439999998</v>
      </c>
      <c r="G48" t="s">
        <v>134</v>
      </c>
      <c r="H48" t="s">
        <v>81</v>
      </c>
      <c r="I48" t="s">
        <v>9</v>
      </c>
      <c r="L48" t="s">
        <v>161</v>
      </c>
      <c r="M48">
        <v>-51723041.439999998</v>
      </c>
    </row>
    <row r="49" spans="1:13" x14ac:dyDescent="0.3">
      <c r="A49" s="23">
        <v>45805</v>
      </c>
      <c r="B49" t="s">
        <v>12</v>
      </c>
      <c r="C49" t="s">
        <v>132</v>
      </c>
      <c r="D49" t="s">
        <v>17</v>
      </c>
      <c r="E49" t="s">
        <v>136</v>
      </c>
      <c r="F49">
        <v>70587475.799999997</v>
      </c>
      <c r="G49" t="s">
        <v>134</v>
      </c>
      <c r="H49" t="s">
        <v>81</v>
      </c>
      <c r="I49" t="s">
        <v>9</v>
      </c>
      <c r="L49" t="s">
        <v>161</v>
      </c>
      <c r="M49">
        <v>-70587475.799999997</v>
      </c>
    </row>
    <row r="50" spans="1:13" x14ac:dyDescent="0.3">
      <c r="A50" s="23">
        <v>45804</v>
      </c>
      <c r="B50" t="s">
        <v>12</v>
      </c>
      <c r="C50" t="s">
        <v>132</v>
      </c>
      <c r="D50" t="s">
        <v>16</v>
      </c>
      <c r="E50" t="s">
        <v>136</v>
      </c>
      <c r="F50">
        <v>7856000</v>
      </c>
      <c r="G50" t="s">
        <v>134</v>
      </c>
      <c r="H50" t="s">
        <v>81</v>
      </c>
      <c r="I50" t="s">
        <v>9</v>
      </c>
      <c r="L50" t="s">
        <v>161</v>
      </c>
      <c r="M50">
        <v>7856000</v>
      </c>
    </row>
    <row r="51" spans="1:13" x14ac:dyDescent="0.3">
      <c r="A51" s="23">
        <v>45803</v>
      </c>
      <c r="B51" t="s">
        <v>12</v>
      </c>
      <c r="C51" t="s">
        <v>132</v>
      </c>
      <c r="D51" t="s">
        <v>17</v>
      </c>
      <c r="E51" t="s">
        <v>136</v>
      </c>
      <c r="F51">
        <v>1605426715</v>
      </c>
      <c r="G51" t="s">
        <v>134</v>
      </c>
      <c r="H51" t="s">
        <v>81</v>
      </c>
      <c r="I51" t="s">
        <v>9</v>
      </c>
      <c r="L51" t="s">
        <v>161</v>
      </c>
      <c r="M51">
        <v>-1605426715</v>
      </c>
    </row>
    <row r="52" spans="1:13" x14ac:dyDescent="0.3">
      <c r="A52" s="23">
        <v>45803</v>
      </c>
      <c r="B52" t="s">
        <v>12</v>
      </c>
      <c r="C52" t="s">
        <v>132</v>
      </c>
      <c r="D52" t="s">
        <v>16</v>
      </c>
      <c r="E52" t="s">
        <v>136</v>
      </c>
      <c r="F52">
        <v>1500000000</v>
      </c>
      <c r="G52" t="s">
        <v>134</v>
      </c>
      <c r="H52" t="s">
        <v>81</v>
      </c>
      <c r="I52" t="s">
        <v>9</v>
      </c>
      <c r="L52" t="s">
        <v>161</v>
      </c>
      <c r="M52">
        <v>1500000000</v>
      </c>
    </row>
    <row r="53" spans="1:13" x14ac:dyDescent="0.3">
      <c r="A53" s="23">
        <v>45799</v>
      </c>
      <c r="B53" t="s">
        <v>12</v>
      </c>
      <c r="C53" t="s">
        <v>132</v>
      </c>
      <c r="D53" t="s">
        <v>17</v>
      </c>
      <c r="E53" t="s">
        <v>136</v>
      </c>
      <c r="F53">
        <v>193470461.66999999</v>
      </c>
      <c r="G53" t="s">
        <v>134</v>
      </c>
      <c r="H53" t="s">
        <v>81</v>
      </c>
      <c r="I53" t="s">
        <v>9</v>
      </c>
      <c r="L53" t="s">
        <v>161</v>
      </c>
      <c r="M53">
        <v>-193470461.66999999</v>
      </c>
    </row>
    <row r="54" spans="1:13" x14ac:dyDescent="0.3">
      <c r="A54" s="23">
        <v>45799</v>
      </c>
      <c r="B54" t="s">
        <v>12</v>
      </c>
      <c r="C54" t="s">
        <v>132</v>
      </c>
      <c r="D54" t="s">
        <v>17</v>
      </c>
      <c r="E54" t="s">
        <v>136</v>
      </c>
      <c r="F54">
        <v>200000000</v>
      </c>
      <c r="G54" t="s">
        <v>134</v>
      </c>
      <c r="H54" t="s">
        <v>81</v>
      </c>
      <c r="I54" t="s">
        <v>9</v>
      </c>
      <c r="L54" t="s">
        <v>161</v>
      </c>
      <c r="M54">
        <v>-200000000</v>
      </c>
    </row>
    <row r="55" spans="1:13" x14ac:dyDescent="0.3">
      <c r="A55" s="23">
        <v>45797</v>
      </c>
      <c r="B55" t="s">
        <v>12</v>
      </c>
      <c r="C55" t="s">
        <v>132</v>
      </c>
      <c r="D55" t="s">
        <v>16</v>
      </c>
      <c r="E55" t="s">
        <v>136</v>
      </c>
      <c r="F55">
        <v>76043491</v>
      </c>
      <c r="G55" t="s">
        <v>134</v>
      </c>
      <c r="H55" t="s">
        <v>81</v>
      </c>
      <c r="I55" t="s">
        <v>9</v>
      </c>
      <c r="L55" t="s">
        <v>161</v>
      </c>
      <c r="M55">
        <v>76043491</v>
      </c>
    </row>
    <row r="56" spans="1:13" x14ac:dyDescent="0.3">
      <c r="A56" s="23">
        <v>45791</v>
      </c>
      <c r="B56" t="s">
        <v>12</v>
      </c>
      <c r="C56" t="s">
        <v>132</v>
      </c>
      <c r="D56" t="s">
        <v>16</v>
      </c>
      <c r="E56" t="s">
        <v>136</v>
      </c>
      <c r="F56">
        <v>763193122</v>
      </c>
      <c r="G56" t="s">
        <v>134</v>
      </c>
      <c r="H56" t="s">
        <v>81</v>
      </c>
      <c r="I56" t="s">
        <v>9</v>
      </c>
      <c r="L56" t="s">
        <v>161</v>
      </c>
      <c r="M56">
        <v>763193122</v>
      </c>
    </row>
    <row r="57" spans="1:13" x14ac:dyDescent="0.3">
      <c r="A57" s="23">
        <v>45792</v>
      </c>
      <c r="B57" t="s">
        <v>12</v>
      </c>
      <c r="C57" t="s">
        <v>132</v>
      </c>
      <c r="D57" t="s">
        <v>17</v>
      </c>
      <c r="E57" t="s">
        <v>136</v>
      </c>
      <c r="F57">
        <v>282143766.51999998</v>
      </c>
      <c r="G57" t="s">
        <v>134</v>
      </c>
      <c r="H57" t="s">
        <v>81</v>
      </c>
      <c r="I57" t="s">
        <v>9</v>
      </c>
      <c r="L57" t="s">
        <v>161</v>
      </c>
      <c r="M57">
        <v>-282143766.51999998</v>
      </c>
    </row>
    <row r="58" spans="1:13" x14ac:dyDescent="0.3">
      <c r="A58" s="23">
        <v>45790</v>
      </c>
      <c r="B58" t="s">
        <v>12</v>
      </c>
      <c r="C58" t="s">
        <v>132</v>
      </c>
      <c r="D58" t="s">
        <v>17</v>
      </c>
      <c r="E58" t="s">
        <v>136</v>
      </c>
      <c r="F58">
        <v>1487627081.6400001</v>
      </c>
      <c r="G58" t="s">
        <v>134</v>
      </c>
      <c r="H58" t="s">
        <v>81</v>
      </c>
      <c r="I58" t="s">
        <v>9</v>
      </c>
      <c r="L58" t="s">
        <v>161</v>
      </c>
      <c r="M58">
        <v>-1487627081.6400001</v>
      </c>
    </row>
    <row r="59" spans="1:13" x14ac:dyDescent="0.3">
      <c r="A59" s="23">
        <v>45790</v>
      </c>
      <c r="B59" t="s">
        <v>12</v>
      </c>
      <c r="C59" t="s">
        <v>132</v>
      </c>
      <c r="D59" t="s">
        <v>17</v>
      </c>
      <c r="E59" t="s">
        <v>136</v>
      </c>
      <c r="F59">
        <v>263761290.81</v>
      </c>
      <c r="G59" t="s">
        <v>134</v>
      </c>
      <c r="H59" t="s">
        <v>81</v>
      </c>
      <c r="I59" t="s">
        <v>9</v>
      </c>
      <c r="L59" t="s">
        <v>161</v>
      </c>
      <c r="M59">
        <v>-263761290.81</v>
      </c>
    </row>
    <row r="60" spans="1:13" x14ac:dyDescent="0.3">
      <c r="A60" s="23">
        <v>45790</v>
      </c>
      <c r="B60" t="s">
        <v>12</v>
      </c>
      <c r="C60" t="s">
        <v>132</v>
      </c>
      <c r="D60" t="s">
        <v>17</v>
      </c>
      <c r="E60" t="s">
        <v>136</v>
      </c>
      <c r="F60">
        <v>132171444.66</v>
      </c>
      <c r="G60" t="s">
        <v>134</v>
      </c>
      <c r="H60" t="s">
        <v>81</v>
      </c>
      <c r="I60" t="s">
        <v>9</v>
      </c>
      <c r="L60" t="s">
        <v>161</v>
      </c>
      <c r="M60">
        <v>-132171444.66</v>
      </c>
    </row>
    <row r="61" spans="1:13" x14ac:dyDescent="0.3">
      <c r="A61" s="23">
        <v>45785</v>
      </c>
      <c r="B61" t="s">
        <v>12</v>
      </c>
      <c r="C61" t="s">
        <v>132</v>
      </c>
      <c r="D61" t="s">
        <v>17</v>
      </c>
      <c r="E61" t="s">
        <v>136</v>
      </c>
      <c r="F61">
        <v>572000000</v>
      </c>
      <c r="G61" t="s">
        <v>134</v>
      </c>
      <c r="H61" t="s">
        <v>81</v>
      </c>
      <c r="I61" t="s">
        <v>9</v>
      </c>
      <c r="L61" t="s">
        <v>161</v>
      </c>
      <c r="M61">
        <v>-572000000</v>
      </c>
    </row>
    <row r="62" spans="1:13" x14ac:dyDescent="0.3">
      <c r="A62" s="23">
        <v>45785</v>
      </c>
      <c r="B62" t="s">
        <v>12</v>
      </c>
      <c r="C62" t="s">
        <v>132</v>
      </c>
      <c r="D62" t="s">
        <v>17</v>
      </c>
      <c r="E62" t="s">
        <v>136</v>
      </c>
      <c r="F62">
        <v>233492639.69999999</v>
      </c>
      <c r="G62" t="s">
        <v>134</v>
      </c>
      <c r="H62" t="s">
        <v>81</v>
      </c>
      <c r="I62" t="s">
        <v>9</v>
      </c>
      <c r="L62" t="s">
        <v>161</v>
      </c>
      <c r="M62">
        <v>-233492639.69999999</v>
      </c>
    </row>
    <row r="63" spans="1:13" x14ac:dyDescent="0.3">
      <c r="A63" s="23">
        <v>45785</v>
      </c>
      <c r="B63" t="s">
        <v>12</v>
      </c>
      <c r="C63" t="s">
        <v>132</v>
      </c>
      <c r="D63" t="s">
        <v>17</v>
      </c>
      <c r="E63" t="s">
        <v>136</v>
      </c>
      <c r="F63">
        <v>50280541.990000002</v>
      </c>
      <c r="G63" t="s">
        <v>134</v>
      </c>
      <c r="H63" t="s">
        <v>81</v>
      </c>
      <c r="I63" t="s">
        <v>9</v>
      </c>
      <c r="L63" t="s">
        <v>161</v>
      </c>
      <c r="M63">
        <v>-50280541.990000002</v>
      </c>
    </row>
    <row r="64" spans="1:13" x14ac:dyDescent="0.3">
      <c r="A64" s="23">
        <v>45782</v>
      </c>
      <c r="B64" t="s">
        <v>12</v>
      </c>
      <c r="C64" t="s">
        <v>132</v>
      </c>
      <c r="D64" t="s">
        <v>17</v>
      </c>
      <c r="E64" t="s">
        <v>136</v>
      </c>
      <c r="F64">
        <v>665802130.5</v>
      </c>
      <c r="G64" t="s">
        <v>134</v>
      </c>
      <c r="H64" t="s">
        <v>81</v>
      </c>
      <c r="I64" t="s">
        <v>9</v>
      </c>
      <c r="L64" t="s">
        <v>161</v>
      </c>
      <c r="M64">
        <v>-665802130.5</v>
      </c>
    </row>
    <row r="65" spans="1:13" x14ac:dyDescent="0.3">
      <c r="A65" s="23">
        <v>45776</v>
      </c>
      <c r="B65" t="s">
        <v>12</v>
      </c>
      <c r="C65" t="s">
        <v>132</v>
      </c>
      <c r="D65" t="s">
        <v>17</v>
      </c>
      <c r="E65" t="s">
        <v>136</v>
      </c>
      <c r="F65">
        <v>137973989.09</v>
      </c>
      <c r="G65" t="s">
        <v>134</v>
      </c>
      <c r="H65" t="s">
        <v>81</v>
      </c>
      <c r="I65" t="s">
        <v>9</v>
      </c>
      <c r="L65" t="s">
        <v>161</v>
      </c>
      <c r="M65">
        <v>-137973989.09</v>
      </c>
    </row>
    <row r="66" spans="1:13" x14ac:dyDescent="0.3">
      <c r="A66" s="23">
        <v>45770</v>
      </c>
      <c r="B66" t="s">
        <v>12</v>
      </c>
      <c r="C66" t="s">
        <v>132</v>
      </c>
      <c r="D66" t="s">
        <v>16</v>
      </c>
      <c r="E66" t="s">
        <v>136</v>
      </c>
      <c r="F66">
        <v>827589477.87</v>
      </c>
      <c r="G66" t="s">
        <v>134</v>
      </c>
      <c r="H66" t="s">
        <v>81</v>
      </c>
      <c r="I66" t="s">
        <v>9</v>
      </c>
      <c r="L66" t="s">
        <v>161</v>
      </c>
      <c r="M66">
        <v>827589477.87</v>
      </c>
    </row>
    <row r="67" spans="1:13" x14ac:dyDescent="0.3">
      <c r="A67" s="23">
        <v>45769</v>
      </c>
      <c r="B67" t="s">
        <v>12</v>
      </c>
      <c r="C67" t="s">
        <v>132</v>
      </c>
      <c r="D67" t="s">
        <v>17</v>
      </c>
      <c r="E67" t="s">
        <v>136</v>
      </c>
      <c r="F67">
        <v>72559389.25</v>
      </c>
      <c r="G67" t="s">
        <v>134</v>
      </c>
      <c r="H67" t="s">
        <v>81</v>
      </c>
      <c r="I67" t="s">
        <v>9</v>
      </c>
      <c r="L67" t="s">
        <v>161</v>
      </c>
      <c r="M67">
        <v>-72559389.25</v>
      </c>
    </row>
    <row r="68" spans="1:13" x14ac:dyDescent="0.3">
      <c r="A68" s="23">
        <v>45769</v>
      </c>
      <c r="B68" t="s">
        <v>12</v>
      </c>
      <c r="C68" t="s">
        <v>132</v>
      </c>
      <c r="D68" t="s">
        <v>17</v>
      </c>
      <c r="E68" t="s">
        <v>136</v>
      </c>
      <c r="F68">
        <v>47465937.75</v>
      </c>
      <c r="G68" t="s">
        <v>134</v>
      </c>
      <c r="H68" t="s">
        <v>81</v>
      </c>
      <c r="I68" t="s">
        <v>9</v>
      </c>
      <c r="L68" t="s">
        <v>161</v>
      </c>
      <c r="M68">
        <v>-47465937.75</v>
      </c>
    </row>
    <row r="69" spans="1:13" x14ac:dyDescent="0.3">
      <c r="A69" s="23">
        <v>45768</v>
      </c>
      <c r="B69" t="s">
        <v>12</v>
      </c>
      <c r="C69" t="s">
        <v>132</v>
      </c>
      <c r="D69" t="s">
        <v>17</v>
      </c>
      <c r="E69" t="s">
        <v>136</v>
      </c>
      <c r="F69">
        <v>72000000</v>
      </c>
      <c r="G69" t="s">
        <v>134</v>
      </c>
      <c r="H69" t="s">
        <v>81</v>
      </c>
      <c r="I69" t="s">
        <v>9</v>
      </c>
      <c r="L69" t="s">
        <v>161</v>
      </c>
      <c r="M69">
        <v>-72000000</v>
      </c>
    </row>
    <row r="70" spans="1:13" x14ac:dyDescent="0.3">
      <c r="A70" s="23">
        <v>45757</v>
      </c>
      <c r="B70" t="s">
        <v>12</v>
      </c>
      <c r="C70" t="s">
        <v>132</v>
      </c>
      <c r="D70" t="s">
        <v>16</v>
      </c>
      <c r="E70" t="s">
        <v>136</v>
      </c>
      <c r="F70">
        <v>4000000000</v>
      </c>
      <c r="G70" t="s">
        <v>134</v>
      </c>
      <c r="H70" t="s">
        <v>81</v>
      </c>
      <c r="I70" t="s">
        <v>9</v>
      </c>
      <c r="L70" t="s">
        <v>161</v>
      </c>
      <c r="M70">
        <v>4000000000</v>
      </c>
    </row>
    <row r="71" spans="1:13" x14ac:dyDescent="0.3">
      <c r="A71" s="23">
        <v>45756</v>
      </c>
      <c r="B71" t="s">
        <v>12</v>
      </c>
      <c r="C71" t="s">
        <v>132</v>
      </c>
      <c r="D71" t="s">
        <v>17</v>
      </c>
      <c r="E71" t="s">
        <v>136</v>
      </c>
      <c r="F71">
        <v>92279755.359999999</v>
      </c>
      <c r="G71" t="s">
        <v>134</v>
      </c>
      <c r="H71" t="s">
        <v>81</v>
      </c>
      <c r="I71" t="s">
        <v>9</v>
      </c>
      <c r="L71" t="s">
        <v>161</v>
      </c>
      <c r="M71">
        <v>-92279755.359999999</v>
      </c>
    </row>
    <row r="72" spans="1:13" x14ac:dyDescent="0.3">
      <c r="A72" s="23">
        <v>45756</v>
      </c>
      <c r="B72" t="s">
        <v>12</v>
      </c>
      <c r="C72" t="s">
        <v>132</v>
      </c>
      <c r="D72" t="s">
        <v>17</v>
      </c>
      <c r="E72" t="s">
        <v>136</v>
      </c>
      <c r="F72">
        <v>29962793.489999998</v>
      </c>
      <c r="G72" t="s">
        <v>134</v>
      </c>
      <c r="H72" t="s">
        <v>81</v>
      </c>
      <c r="I72" t="s">
        <v>9</v>
      </c>
      <c r="L72" t="s">
        <v>161</v>
      </c>
      <c r="M72">
        <v>-29962793.489999998</v>
      </c>
    </row>
    <row r="73" spans="1:13" x14ac:dyDescent="0.3">
      <c r="A73" s="23">
        <v>45756</v>
      </c>
      <c r="B73" t="s">
        <v>12</v>
      </c>
      <c r="C73" t="s">
        <v>132</v>
      </c>
      <c r="D73" t="s">
        <v>17</v>
      </c>
      <c r="E73" t="s">
        <v>136</v>
      </c>
      <c r="F73">
        <v>115504767.59999999</v>
      </c>
      <c r="G73" t="s">
        <v>134</v>
      </c>
      <c r="H73" t="s">
        <v>81</v>
      </c>
      <c r="I73" t="s">
        <v>9</v>
      </c>
      <c r="L73" t="s">
        <v>161</v>
      </c>
      <c r="M73">
        <v>-115504767.59999999</v>
      </c>
    </row>
    <row r="74" spans="1:13" x14ac:dyDescent="0.3">
      <c r="A74" s="23">
        <v>45756</v>
      </c>
      <c r="B74" t="s">
        <v>12</v>
      </c>
      <c r="C74" t="s">
        <v>132</v>
      </c>
      <c r="D74" t="s">
        <v>16</v>
      </c>
      <c r="E74" t="s">
        <v>136</v>
      </c>
      <c r="F74">
        <v>188825517</v>
      </c>
      <c r="G74" t="s">
        <v>134</v>
      </c>
      <c r="H74" t="s">
        <v>81</v>
      </c>
      <c r="I74" t="s">
        <v>9</v>
      </c>
      <c r="L74" t="s">
        <v>161</v>
      </c>
      <c r="M74">
        <v>188825517</v>
      </c>
    </row>
    <row r="75" spans="1:13" x14ac:dyDescent="0.3">
      <c r="A75" s="23">
        <v>45755</v>
      </c>
      <c r="B75" t="s">
        <v>12</v>
      </c>
      <c r="C75" t="s">
        <v>132</v>
      </c>
      <c r="D75" t="s">
        <v>17</v>
      </c>
      <c r="E75" t="s">
        <v>136</v>
      </c>
      <c r="F75">
        <v>100916135.64</v>
      </c>
      <c r="G75" t="s">
        <v>134</v>
      </c>
      <c r="H75" t="s">
        <v>81</v>
      </c>
      <c r="I75" t="s">
        <v>9</v>
      </c>
      <c r="L75" t="s">
        <v>161</v>
      </c>
      <c r="M75">
        <v>-100916135.64</v>
      </c>
    </row>
    <row r="76" spans="1:13" x14ac:dyDescent="0.3">
      <c r="A76" s="23">
        <v>45755</v>
      </c>
      <c r="B76" t="s">
        <v>12</v>
      </c>
      <c r="C76" t="s">
        <v>132</v>
      </c>
      <c r="D76" t="s">
        <v>17</v>
      </c>
      <c r="E76" t="s">
        <v>136</v>
      </c>
      <c r="F76">
        <v>230483680</v>
      </c>
      <c r="G76" t="s">
        <v>134</v>
      </c>
      <c r="H76" t="s">
        <v>81</v>
      </c>
      <c r="I76" t="s">
        <v>9</v>
      </c>
      <c r="L76" t="s">
        <v>161</v>
      </c>
      <c r="M76">
        <v>-230483680</v>
      </c>
    </row>
    <row r="77" spans="1:13" x14ac:dyDescent="0.3">
      <c r="A77" s="23">
        <v>45751</v>
      </c>
      <c r="B77" t="s">
        <v>12</v>
      </c>
      <c r="C77" t="s">
        <v>132</v>
      </c>
      <c r="D77" t="s">
        <v>17</v>
      </c>
      <c r="E77" t="s">
        <v>136</v>
      </c>
      <c r="F77">
        <v>73710316.129999995</v>
      </c>
      <c r="G77" t="s">
        <v>134</v>
      </c>
      <c r="H77" t="s">
        <v>81</v>
      </c>
      <c r="I77" t="s">
        <v>9</v>
      </c>
      <c r="L77" t="s">
        <v>161</v>
      </c>
      <c r="M77">
        <v>-73710316.129999995</v>
      </c>
    </row>
    <row r="78" spans="1:13" x14ac:dyDescent="0.3">
      <c r="A78" s="23">
        <v>45747</v>
      </c>
      <c r="B78" t="s">
        <v>12</v>
      </c>
      <c r="C78" t="s">
        <v>132</v>
      </c>
      <c r="D78" t="s">
        <v>17</v>
      </c>
      <c r="E78" t="s">
        <v>136</v>
      </c>
      <c r="F78">
        <v>123148074.95999999</v>
      </c>
      <c r="G78" t="s">
        <v>134</v>
      </c>
      <c r="H78" t="s">
        <v>81</v>
      </c>
      <c r="I78" t="s">
        <v>9</v>
      </c>
      <c r="L78" t="s">
        <v>161</v>
      </c>
      <c r="M78">
        <v>-123148074.95999999</v>
      </c>
    </row>
    <row r="79" spans="1:13" x14ac:dyDescent="0.3">
      <c r="A79" s="23">
        <v>45743</v>
      </c>
      <c r="B79" t="s">
        <v>12</v>
      </c>
      <c r="C79" t="s">
        <v>132</v>
      </c>
      <c r="D79" t="s">
        <v>16</v>
      </c>
      <c r="E79" t="s">
        <v>136</v>
      </c>
      <c r="F79">
        <v>3838633.61</v>
      </c>
      <c r="G79" t="s">
        <v>134</v>
      </c>
      <c r="H79" t="s">
        <v>81</v>
      </c>
      <c r="I79" t="s">
        <v>9</v>
      </c>
      <c r="L79" t="s">
        <v>161</v>
      </c>
      <c r="M79">
        <v>3838633.61</v>
      </c>
    </row>
    <row r="80" spans="1:13" x14ac:dyDescent="0.3">
      <c r="A80" s="23">
        <v>45729</v>
      </c>
      <c r="B80" t="s">
        <v>12</v>
      </c>
      <c r="C80" t="s">
        <v>132</v>
      </c>
      <c r="D80" t="s">
        <v>17</v>
      </c>
      <c r="E80" t="s">
        <v>136</v>
      </c>
      <c r="F80">
        <v>148148656.59999999</v>
      </c>
      <c r="G80" t="s">
        <v>134</v>
      </c>
      <c r="H80" t="s">
        <v>81</v>
      </c>
      <c r="I80" t="s">
        <v>9</v>
      </c>
      <c r="L80" t="s">
        <v>161</v>
      </c>
      <c r="M80">
        <v>-148148656.59999999</v>
      </c>
    </row>
    <row r="81" spans="1:13" x14ac:dyDescent="0.3">
      <c r="A81" s="23">
        <v>45728</v>
      </c>
      <c r="B81" t="s">
        <v>12</v>
      </c>
      <c r="C81" t="s">
        <v>132</v>
      </c>
      <c r="D81" t="s">
        <v>17</v>
      </c>
      <c r="E81" t="s">
        <v>136</v>
      </c>
      <c r="F81">
        <v>43291656.439999998</v>
      </c>
      <c r="G81" t="s">
        <v>134</v>
      </c>
      <c r="H81" t="s">
        <v>81</v>
      </c>
      <c r="I81" t="s">
        <v>9</v>
      </c>
      <c r="L81" t="s">
        <v>161</v>
      </c>
      <c r="M81">
        <v>-43291656.439999998</v>
      </c>
    </row>
    <row r="82" spans="1:13" x14ac:dyDescent="0.3">
      <c r="A82" s="23">
        <v>45728</v>
      </c>
      <c r="B82" t="s">
        <v>12</v>
      </c>
      <c r="C82" t="s">
        <v>132</v>
      </c>
      <c r="D82" t="s">
        <v>17</v>
      </c>
      <c r="E82" t="s">
        <v>136</v>
      </c>
      <c r="F82">
        <v>196543072.94999999</v>
      </c>
      <c r="G82" t="s">
        <v>134</v>
      </c>
      <c r="H82" t="s">
        <v>81</v>
      </c>
      <c r="I82" t="s">
        <v>9</v>
      </c>
      <c r="L82" t="s">
        <v>161</v>
      </c>
      <c r="M82">
        <v>-196543072.94999999</v>
      </c>
    </row>
    <row r="83" spans="1:13" x14ac:dyDescent="0.3">
      <c r="A83" s="23">
        <v>45722</v>
      </c>
      <c r="B83" t="s">
        <v>12</v>
      </c>
      <c r="C83" t="s">
        <v>132</v>
      </c>
      <c r="D83" t="s">
        <v>17</v>
      </c>
      <c r="E83" t="s">
        <v>136</v>
      </c>
      <c r="F83">
        <v>29216530.579999998</v>
      </c>
      <c r="G83" t="s">
        <v>134</v>
      </c>
      <c r="H83" t="s">
        <v>81</v>
      </c>
      <c r="I83" t="s">
        <v>9</v>
      </c>
      <c r="L83" t="s">
        <v>161</v>
      </c>
      <c r="M83">
        <v>-29216530.579999998</v>
      </c>
    </row>
    <row r="84" spans="1:13" x14ac:dyDescent="0.3">
      <c r="A84" s="23">
        <v>45722</v>
      </c>
      <c r="B84" t="s">
        <v>12</v>
      </c>
      <c r="C84" t="s">
        <v>132</v>
      </c>
      <c r="D84" t="s">
        <v>17</v>
      </c>
      <c r="E84" t="s">
        <v>136</v>
      </c>
      <c r="F84">
        <v>74444257.519999996</v>
      </c>
      <c r="G84" t="s">
        <v>134</v>
      </c>
      <c r="H84" t="s">
        <v>81</v>
      </c>
      <c r="I84" t="s">
        <v>9</v>
      </c>
      <c r="L84" t="s">
        <v>161</v>
      </c>
      <c r="M84">
        <v>-74444257.519999996</v>
      </c>
    </row>
    <row r="85" spans="1:13" x14ac:dyDescent="0.3">
      <c r="A85" s="23">
        <v>45716</v>
      </c>
      <c r="B85" t="s">
        <v>12</v>
      </c>
      <c r="C85" t="s">
        <v>132</v>
      </c>
      <c r="D85" t="s">
        <v>17</v>
      </c>
      <c r="E85" t="s">
        <v>136</v>
      </c>
      <c r="F85">
        <v>50870708.920000002</v>
      </c>
      <c r="G85" t="s">
        <v>134</v>
      </c>
      <c r="H85" t="s">
        <v>81</v>
      </c>
      <c r="I85" t="s">
        <v>9</v>
      </c>
      <c r="L85" t="s">
        <v>161</v>
      </c>
      <c r="M85">
        <v>-50870708.920000002</v>
      </c>
    </row>
    <row r="86" spans="1:13" x14ac:dyDescent="0.3">
      <c r="A86" s="23">
        <v>45716</v>
      </c>
      <c r="B86" t="s">
        <v>12</v>
      </c>
      <c r="C86" t="s">
        <v>132</v>
      </c>
      <c r="D86" t="s">
        <v>17</v>
      </c>
      <c r="E86" t="s">
        <v>136</v>
      </c>
      <c r="F86">
        <v>46825523.509999998</v>
      </c>
      <c r="G86" t="s">
        <v>134</v>
      </c>
      <c r="H86" t="s">
        <v>81</v>
      </c>
      <c r="I86" t="s">
        <v>9</v>
      </c>
      <c r="L86" t="s">
        <v>161</v>
      </c>
      <c r="M86">
        <v>-46825523.509999998</v>
      </c>
    </row>
    <row r="87" spans="1:13" x14ac:dyDescent="0.3">
      <c r="A87" s="23">
        <v>45714</v>
      </c>
      <c r="B87" t="s">
        <v>12</v>
      </c>
      <c r="C87" t="s">
        <v>132</v>
      </c>
      <c r="D87" t="s">
        <v>16</v>
      </c>
      <c r="E87" t="s">
        <v>136</v>
      </c>
      <c r="F87">
        <v>4054297.67</v>
      </c>
      <c r="G87" t="s">
        <v>134</v>
      </c>
      <c r="H87" t="s">
        <v>81</v>
      </c>
      <c r="I87" t="s">
        <v>9</v>
      </c>
      <c r="L87" t="s">
        <v>161</v>
      </c>
      <c r="M87">
        <v>4054297.67</v>
      </c>
    </row>
    <row r="88" spans="1:13" x14ac:dyDescent="0.3">
      <c r="A88" s="23">
        <v>45714</v>
      </c>
      <c r="B88" t="s">
        <v>12</v>
      </c>
      <c r="C88" t="s">
        <v>132</v>
      </c>
      <c r="D88" t="s">
        <v>16</v>
      </c>
      <c r="E88" t="s">
        <v>136</v>
      </c>
      <c r="F88">
        <v>846434909</v>
      </c>
      <c r="G88" t="s">
        <v>134</v>
      </c>
      <c r="H88" t="s">
        <v>81</v>
      </c>
      <c r="I88" t="s">
        <v>9</v>
      </c>
      <c r="L88" t="s">
        <v>161</v>
      </c>
      <c r="M88">
        <v>846434909</v>
      </c>
    </row>
    <row r="89" spans="1:13" x14ac:dyDescent="0.3">
      <c r="A89" s="23">
        <v>45713</v>
      </c>
      <c r="B89" t="s">
        <v>12</v>
      </c>
      <c r="C89" t="s">
        <v>132</v>
      </c>
      <c r="D89" t="s">
        <v>17</v>
      </c>
      <c r="E89" t="s">
        <v>136</v>
      </c>
      <c r="F89">
        <v>215609209.08000001</v>
      </c>
      <c r="G89" t="s">
        <v>134</v>
      </c>
      <c r="H89" t="s">
        <v>81</v>
      </c>
      <c r="I89" t="s">
        <v>9</v>
      </c>
      <c r="L89" t="s">
        <v>161</v>
      </c>
      <c r="M89">
        <v>-215609209.08000001</v>
      </c>
    </row>
    <row r="90" spans="1:13" x14ac:dyDescent="0.3">
      <c r="A90" s="23">
        <v>45712</v>
      </c>
      <c r="B90" t="s">
        <v>12</v>
      </c>
      <c r="C90" t="s">
        <v>132</v>
      </c>
      <c r="D90" t="s">
        <v>16</v>
      </c>
      <c r="E90" t="s">
        <v>136</v>
      </c>
      <c r="F90">
        <v>209304661</v>
      </c>
      <c r="G90" t="s">
        <v>134</v>
      </c>
      <c r="H90" t="s">
        <v>81</v>
      </c>
      <c r="I90" t="s">
        <v>9</v>
      </c>
      <c r="L90" t="s">
        <v>161</v>
      </c>
      <c r="M90">
        <v>209304661</v>
      </c>
    </row>
    <row r="91" spans="1:13" x14ac:dyDescent="0.3">
      <c r="A91" s="23">
        <v>45707</v>
      </c>
      <c r="B91" t="s">
        <v>12</v>
      </c>
      <c r="C91" t="s">
        <v>132</v>
      </c>
      <c r="D91" t="s">
        <v>17</v>
      </c>
      <c r="E91" t="s">
        <v>136</v>
      </c>
      <c r="F91">
        <v>105056582</v>
      </c>
      <c r="G91" t="s">
        <v>134</v>
      </c>
      <c r="H91" t="s">
        <v>81</v>
      </c>
      <c r="I91" t="s">
        <v>9</v>
      </c>
      <c r="L91" t="s">
        <v>161</v>
      </c>
      <c r="M91">
        <v>-105056582</v>
      </c>
    </row>
    <row r="92" spans="1:13" x14ac:dyDescent="0.3">
      <c r="A92" s="23">
        <v>45700</v>
      </c>
      <c r="B92" t="s">
        <v>12</v>
      </c>
      <c r="C92" t="s">
        <v>132</v>
      </c>
      <c r="D92" t="s">
        <v>16</v>
      </c>
      <c r="E92" t="s">
        <v>136</v>
      </c>
      <c r="F92">
        <v>438760124.44</v>
      </c>
      <c r="G92" t="s">
        <v>134</v>
      </c>
      <c r="H92" t="s">
        <v>81</v>
      </c>
      <c r="I92" t="s">
        <v>9</v>
      </c>
      <c r="L92" t="s">
        <v>161</v>
      </c>
      <c r="M92">
        <v>438760124.44</v>
      </c>
    </row>
    <row r="93" spans="1:13" x14ac:dyDescent="0.3">
      <c r="A93" s="23">
        <v>45695</v>
      </c>
      <c r="B93" t="s">
        <v>12</v>
      </c>
      <c r="C93" t="s">
        <v>132</v>
      </c>
      <c r="D93" t="s">
        <v>16</v>
      </c>
      <c r="E93" t="s">
        <v>136</v>
      </c>
      <c r="F93">
        <v>232740000</v>
      </c>
      <c r="G93" t="s">
        <v>134</v>
      </c>
      <c r="H93" t="s">
        <v>81</v>
      </c>
      <c r="I93" t="s">
        <v>9</v>
      </c>
      <c r="L93" t="s">
        <v>161</v>
      </c>
      <c r="M93">
        <v>232740000</v>
      </c>
    </row>
    <row r="94" spans="1:13" x14ac:dyDescent="0.3">
      <c r="A94" s="23">
        <v>44756</v>
      </c>
      <c r="B94" t="s">
        <v>12</v>
      </c>
      <c r="C94" t="s">
        <v>132</v>
      </c>
      <c r="D94" t="s">
        <v>16</v>
      </c>
      <c r="E94" t="s">
        <v>136</v>
      </c>
      <c r="F94">
        <v>100000000</v>
      </c>
      <c r="G94" t="s">
        <v>134</v>
      </c>
      <c r="H94" t="s">
        <v>81</v>
      </c>
      <c r="I94" t="s">
        <v>9</v>
      </c>
      <c r="L94" t="s">
        <v>161</v>
      </c>
      <c r="M94">
        <v>100000000</v>
      </c>
    </row>
    <row r="95" spans="1:13" x14ac:dyDescent="0.3">
      <c r="A95" s="23">
        <v>44757</v>
      </c>
      <c r="B95" t="s">
        <v>12</v>
      </c>
      <c r="C95" t="s">
        <v>132</v>
      </c>
      <c r="D95" t="s">
        <v>17</v>
      </c>
      <c r="E95" t="s">
        <v>136</v>
      </c>
      <c r="F95">
        <v>32575270.359999999</v>
      </c>
      <c r="G95" t="s">
        <v>134</v>
      </c>
      <c r="H95" t="s">
        <v>81</v>
      </c>
      <c r="I95" t="s">
        <v>9</v>
      </c>
      <c r="L95" t="s">
        <v>161</v>
      </c>
      <c r="M95">
        <v>-32575270.359999999</v>
      </c>
    </row>
    <row r="96" spans="1:13" x14ac:dyDescent="0.3">
      <c r="A96" s="23">
        <v>44760</v>
      </c>
      <c r="B96" t="s">
        <v>12</v>
      </c>
      <c r="C96" t="s">
        <v>132</v>
      </c>
      <c r="D96" t="s">
        <v>16</v>
      </c>
      <c r="E96" t="s">
        <v>136</v>
      </c>
      <c r="F96">
        <v>104569.83</v>
      </c>
      <c r="G96" t="s">
        <v>134</v>
      </c>
      <c r="H96" t="s">
        <v>81</v>
      </c>
      <c r="I96" t="s">
        <v>9</v>
      </c>
      <c r="J96" t="s">
        <v>155</v>
      </c>
      <c r="L96" t="s">
        <v>161</v>
      </c>
      <c r="M96">
        <v>104569.83</v>
      </c>
    </row>
    <row r="97" spans="1:13" x14ac:dyDescent="0.3">
      <c r="A97" s="23">
        <v>44764</v>
      </c>
      <c r="B97" t="s">
        <v>12</v>
      </c>
      <c r="C97" t="s">
        <v>132</v>
      </c>
      <c r="D97" t="s">
        <v>16</v>
      </c>
      <c r="E97" t="s">
        <v>136</v>
      </c>
      <c r="F97">
        <v>512469.88</v>
      </c>
      <c r="G97" t="s">
        <v>134</v>
      </c>
      <c r="H97" t="s">
        <v>81</v>
      </c>
      <c r="I97" t="s">
        <v>9</v>
      </c>
      <c r="J97" t="s">
        <v>155</v>
      </c>
      <c r="L97" t="s">
        <v>161</v>
      </c>
      <c r="M97">
        <v>512469.88</v>
      </c>
    </row>
    <row r="98" spans="1:13" x14ac:dyDescent="0.3">
      <c r="A98" s="23">
        <v>45680</v>
      </c>
      <c r="B98" t="s">
        <v>12</v>
      </c>
      <c r="C98" t="s">
        <v>132</v>
      </c>
      <c r="D98" t="s">
        <v>16</v>
      </c>
      <c r="E98" t="s">
        <v>136</v>
      </c>
      <c r="F98">
        <v>29350859</v>
      </c>
      <c r="G98" t="s">
        <v>134</v>
      </c>
      <c r="H98" t="s">
        <v>81</v>
      </c>
      <c r="I98" t="s">
        <v>9</v>
      </c>
      <c r="L98" t="s">
        <v>161</v>
      </c>
      <c r="M98">
        <v>29350859</v>
      </c>
    </row>
    <row r="99" spans="1:13" x14ac:dyDescent="0.3">
      <c r="A99" s="23">
        <v>45680</v>
      </c>
      <c r="B99" t="s">
        <v>12</v>
      </c>
      <c r="C99" t="s">
        <v>132</v>
      </c>
      <c r="D99" t="s">
        <v>17</v>
      </c>
      <c r="E99" t="s">
        <v>136</v>
      </c>
      <c r="F99">
        <v>257009600</v>
      </c>
      <c r="G99" t="s">
        <v>134</v>
      </c>
      <c r="H99" t="s">
        <v>81</v>
      </c>
      <c r="I99" t="s">
        <v>9</v>
      </c>
      <c r="L99" t="s">
        <v>161</v>
      </c>
      <c r="M99">
        <v>-257009600</v>
      </c>
    </row>
    <row r="100" spans="1:13" x14ac:dyDescent="0.3">
      <c r="A100" s="23">
        <v>45680</v>
      </c>
      <c r="B100" t="s">
        <v>12</v>
      </c>
      <c r="C100" t="s">
        <v>132</v>
      </c>
      <c r="D100" t="s">
        <v>17</v>
      </c>
      <c r="E100" t="s">
        <v>136</v>
      </c>
      <c r="F100">
        <v>474344940.25</v>
      </c>
      <c r="G100" t="s">
        <v>134</v>
      </c>
      <c r="H100" t="s">
        <v>81</v>
      </c>
      <c r="I100" t="s">
        <v>9</v>
      </c>
      <c r="L100" t="s">
        <v>161</v>
      </c>
      <c r="M100">
        <v>-474344940.25</v>
      </c>
    </row>
    <row r="101" spans="1:13" x14ac:dyDescent="0.3">
      <c r="A101" s="23">
        <v>45679</v>
      </c>
      <c r="B101" t="s">
        <v>12</v>
      </c>
      <c r="C101" t="s">
        <v>132</v>
      </c>
      <c r="D101" t="s">
        <v>17</v>
      </c>
      <c r="E101" t="s">
        <v>136</v>
      </c>
      <c r="F101">
        <v>91050944</v>
      </c>
      <c r="G101" t="s">
        <v>134</v>
      </c>
      <c r="H101" t="s">
        <v>81</v>
      </c>
      <c r="I101" t="s">
        <v>9</v>
      </c>
      <c r="L101" t="s">
        <v>161</v>
      </c>
      <c r="M101">
        <v>-91050944</v>
      </c>
    </row>
    <row r="102" spans="1:13" x14ac:dyDescent="0.3">
      <c r="A102" s="23">
        <v>44770</v>
      </c>
      <c r="B102" t="s">
        <v>12</v>
      </c>
      <c r="C102" t="s">
        <v>132</v>
      </c>
      <c r="D102" t="s">
        <v>17</v>
      </c>
      <c r="E102" t="s">
        <v>136</v>
      </c>
      <c r="F102">
        <v>68041769.349999994</v>
      </c>
      <c r="G102" t="s">
        <v>134</v>
      </c>
      <c r="H102" t="s">
        <v>81</v>
      </c>
      <c r="I102" t="s">
        <v>9</v>
      </c>
      <c r="L102" t="s">
        <v>161</v>
      </c>
      <c r="M102">
        <v>-68041769.349999994</v>
      </c>
    </row>
    <row r="103" spans="1:13" x14ac:dyDescent="0.3">
      <c r="A103" s="23">
        <v>45679</v>
      </c>
      <c r="B103" t="s">
        <v>12</v>
      </c>
      <c r="C103" t="s">
        <v>132</v>
      </c>
      <c r="D103" t="s">
        <v>16</v>
      </c>
      <c r="E103" t="s">
        <v>136</v>
      </c>
      <c r="F103">
        <v>800000000</v>
      </c>
      <c r="G103" t="s">
        <v>134</v>
      </c>
      <c r="H103" t="s">
        <v>81</v>
      </c>
      <c r="I103" t="s">
        <v>9</v>
      </c>
      <c r="L103" t="s">
        <v>161</v>
      </c>
      <c r="M103">
        <v>800000000</v>
      </c>
    </row>
    <row r="104" spans="1:13" x14ac:dyDescent="0.3">
      <c r="A104" s="23">
        <v>45678</v>
      </c>
      <c r="B104" t="s">
        <v>12</v>
      </c>
      <c r="C104" t="s">
        <v>132</v>
      </c>
      <c r="D104" t="s">
        <v>17</v>
      </c>
      <c r="E104" t="s">
        <v>136</v>
      </c>
      <c r="F104">
        <v>336058232</v>
      </c>
      <c r="G104" t="s">
        <v>134</v>
      </c>
      <c r="H104" t="s">
        <v>81</v>
      </c>
      <c r="I104" t="s">
        <v>9</v>
      </c>
      <c r="L104" t="s">
        <v>161</v>
      </c>
      <c r="M104">
        <v>-336058232</v>
      </c>
    </row>
    <row r="105" spans="1:13" x14ac:dyDescent="0.3">
      <c r="A105" s="23">
        <v>45674</v>
      </c>
      <c r="B105" t="s">
        <v>12</v>
      </c>
      <c r="C105" t="s">
        <v>132</v>
      </c>
      <c r="D105" t="s">
        <v>16</v>
      </c>
      <c r="E105" t="s">
        <v>136</v>
      </c>
      <c r="F105">
        <v>270251000</v>
      </c>
      <c r="G105" t="s">
        <v>134</v>
      </c>
      <c r="H105" t="s">
        <v>81</v>
      </c>
      <c r="I105" t="s">
        <v>9</v>
      </c>
      <c r="L105" t="s">
        <v>161</v>
      </c>
      <c r="M105">
        <v>270251000</v>
      </c>
    </row>
    <row r="106" spans="1:13" x14ac:dyDescent="0.3">
      <c r="A106" s="23">
        <v>44783</v>
      </c>
      <c r="B106" t="s">
        <v>12</v>
      </c>
      <c r="C106" t="s">
        <v>132</v>
      </c>
      <c r="D106" t="s">
        <v>16</v>
      </c>
      <c r="E106" t="s">
        <v>136</v>
      </c>
      <c r="F106">
        <v>200000000</v>
      </c>
      <c r="G106" t="s">
        <v>134</v>
      </c>
      <c r="H106" t="s">
        <v>81</v>
      </c>
      <c r="I106" t="s">
        <v>9</v>
      </c>
      <c r="L106" t="s">
        <v>161</v>
      </c>
      <c r="M106">
        <v>200000000</v>
      </c>
    </row>
    <row r="107" spans="1:13" x14ac:dyDescent="0.3">
      <c r="A107" s="23">
        <v>44784</v>
      </c>
      <c r="B107" t="s">
        <v>12</v>
      </c>
      <c r="C107" t="s">
        <v>132</v>
      </c>
      <c r="D107" t="s">
        <v>17</v>
      </c>
      <c r="E107" t="s">
        <v>136</v>
      </c>
      <c r="F107">
        <v>170085321</v>
      </c>
      <c r="G107" t="s">
        <v>134</v>
      </c>
      <c r="H107" t="s">
        <v>81</v>
      </c>
      <c r="I107" t="s">
        <v>9</v>
      </c>
      <c r="L107" t="s">
        <v>161</v>
      </c>
      <c r="M107">
        <v>-170085321</v>
      </c>
    </row>
    <row r="108" spans="1:13" x14ac:dyDescent="0.3">
      <c r="A108" s="23">
        <v>44791</v>
      </c>
      <c r="B108" t="s">
        <v>12</v>
      </c>
      <c r="C108" t="s">
        <v>132</v>
      </c>
      <c r="D108" t="s">
        <v>17</v>
      </c>
      <c r="E108" t="s">
        <v>136</v>
      </c>
      <c r="F108">
        <v>24724289.899999999</v>
      </c>
      <c r="G108" t="s">
        <v>134</v>
      </c>
      <c r="H108" t="s">
        <v>81</v>
      </c>
      <c r="I108" t="s">
        <v>9</v>
      </c>
      <c r="L108" t="s">
        <v>161</v>
      </c>
      <c r="M108">
        <v>-24724289.899999999</v>
      </c>
    </row>
    <row r="109" spans="1:13" x14ac:dyDescent="0.3">
      <c r="A109" s="23">
        <v>44792</v>
      </c>
      <c r="B109" t="s">
        <v>12</v>
      </c>
      <c r="C109" t="s">
        <v>132</v>
      </c>
      <c r="D109" t="s">
        <v>17</v>
      </c>
      <c r="E109" t="s">
        <v>136</v>
      </c>
      <c r="F109">
        <v>2500000</v>
      </c>
      <c r="G109" t="s">
        <v>134</v>
      </c>
      <c r="H109" t="s">
        <v>81</v>
      </c>
      <c r="I109" t="s">
        <v>9</v>
      </c>
      <c r="L109" t="s">
        <v>161</v>
      </c>
      <c r="M109">
        <v>-2500000</v>
      </c>
    </row>
    <row r="110" spans="1:13" x14ac:dyDescent="0.3">
      <c r="A110" s="23">
        <v>45665</v>
      </c>
      <c r="B110" t="s">
        <v>12</v>
      </c>
      <c r="C110" t="s">
        <v>132</v>
      </c>
      <c r="D110" t="s">
        <v>16</v>
      </c>
      <c r="E110" t="s">
        <v>136</v>
      </c>
      <c r="F110">
        <v>156858176</v>
      </c>
      <c r="G110" t="s">
        <v>134</v>
      </c>
      <c r="H110" t="s">
        <v>81</v>
      </c>
      <c r="I110" t="s">
        <v>9</v>
      </c>
      <c r="L110" t="s">
        <v>161</v>
      </c>
      <c r="M110">
        <v>156858176</v>
      </c>
    </row>
    <row r="111" spans="1:13" x14ac:dyDescent="0.3">
      <c r="A111" s="23">
        <v>44795</v>
      </c>
      <c r="B111" t="s">
        <v>12</v>
      </c>
      <c r="C111" t="s">
        <v>132</v>
      </c>
      <c r="D111" t="s">
        <v>17</v>
      </c>
      <c r="E111" t="s">
        <v>136</v>
      </c>
      <c r="F111">
        <v>2690389.1</v>
      </c>
      <c r="G111" t="s">
        <v>134</v>
      </c>
      <c r="H111" t="s">
        <v>81</v>
      </c>
      <c r="I111" t="s">
        <v>9</v>
      </c>
      <c r="L111" t="s">
        <v>161</v>
      </c>
      <c r="M111">
        <v>-2690389.1</v>
      </c>
    </row>
    <row r="112" spans="1:13" x14ac:dyDescent="0.3">
      <c r="A112" s="23">
        <v>45600</v>
      </c>
      <c r="B112" t="s">
        <v>12</v>
      </c>
      <c r="C112" t="s">
        <v>132</v>
      </c>
      <c r="D112" t="s">
        <v>17</v>
      </c>
      <c r="E112" t="s">
        <v>136</v>
      </c>
      <c r="F112">
        <v>78284712.730000004</v>
      </c>
      <c r="G112" t="s">
        <v>134</v>
      </c>
      <c r="H112" t="s">
        <v>81</v>
      </c>
      <c r="I112" t="s">
        <v>9</v>
      </c>
      <c r="L112" t="s">
        <v>161</v>
      </c>
      <c r="M112">
        <v>-78284712.730000004</v>
      </c>
    </row>
    <row r="113" spans="1:13" x14ac:dyDescent="0.3">
      <c r="A113" s="23">
        <v>45600</v>
      </c>
      <c r="B113" t="s">
        <v>12</v>
      </c>
      <c r="C113" t="s">
        <v>132</v>
      </c>
      <c r="D113" t="s">
        <v>17</v>
      </c>
      <c r="E113" t="s">
        <v>136</v>
      </c>
      <c r="F113">
        <v>300000000</v>
      </c>
      <c r="G113" t="s">
        <v>134</v>
      </c>
      <c r="H113" t="s">
        <v>81</v>
      </c>
      <c r="I113" t="s">
        <v>9</v>
      </c>
      <c r="L113" t="s">
        <v>161</v>
      </c>
      <c r="M113">
        <v>-300000000</v>
      </c>
    </row>
    <row r="114" spans="1:13" x14ac:dyDescent="0.3">
      <c r="A114" s="23">
        <v>45597</v>
      </c>
      <c r="B114" t="s">
        <v>12</v>
      </c>
      <c r="C114" t="s">
        <v>132</v>
      </c>
      <c r="D114" t="s">
        <v>17</v>
      </c>
      <c r="E114" t="s">
        <v>136</v>
      </c>
      <c r="F114">
        <v>60418687.270000003</v>
      </c>
      <c r="G114" t="s">
        <v>134</v>
      </c>
      <c r="H114" t="s">
        <v>81</v>
      </c>
      <c r="I114" t="s">
        <v>9</v>
      </c>
      <c r="L114" t="s">
        <v>161</v>
      </c>
      <c r="M114">
        <v>-60418687.270000003</v>
      </c>
    </row>
    <row r="115" spans="1:13" x14ac:dyDescent="0.3">
      <c r="A115" s="23">
        <v>45597</v>
      </c>
      <c r="B115" t="s">
        <v>12</v>
      </c>
      <c r="C115" t="s">
        <v>132</v>
      </c>
      <c r="D115" t="s">
        <v>17</v>
      </c>
      <c r="E115" t="s">
        <v>136</v>
      </c>
      <c r="F115">
        <v>50000000</v>
      </c>
      <c r="G115" t="s">
        <v>134</v>
      </c>
      <c r="H115" t="s">
        <v>81</v>
      </c>
      <c r="I115" t="s">
        <v>9</v>
      </c>
      <c r="L115" t="s">
        <v>161</v>
      </c>
      <c r="M115">
        <v>-50000000</v>
      </c>
    </row>
    <row r="116" spans="1:13" x14ac:dyDescent="0.3">
      <c r="A116" s="23">
        <v>45595</v>
      </c>
      <c r="B116" t="s">
        <v>12</v>
      </c>
      <c r="C116" t="s">
        <v>132</v>
      </c>
      <c r="D116" t="s">
        <v>16</v>
      </c>
      <c r="E116" t="s">
        <v>136</v>
      </c>
      <c r="F116">
        <v>155440000</v>
      </c>
      <c r="G116" t="s">
        <v>134</v>
      </c>
      <c r="H116" t="s">
        <v>81</v>
      </c>
      <c r="I116" t="s">
        <v>9</v>
      </c>
      <c r="L116" t="s">
        <v>161</v>
      </c>
      <c r="M116">
        <v>155440000</v>
      </c>
    </row>
    <row r="117" spans="1:13" x14ac:dyDescent="0.3">
      <c r="A117" s="23">
        <v>45586</v>
      </c>
      <c r="B117" t="s">
        <v>12</v>
      </c>
      <c r="C117" t="s">
        <v>132</v>
      </c>
      <c r="D117" t="s">
        <v>16</v>
      </c>
      <c r="E117" t="s">
        <v>136</v>
      </c>
      <c r="F117">
        <v>333263400</v>
      </c>
      <c r="G117" t="s">
        <v>134</v>
      </c>
      <c r="H117" t="s">
        <v>81</v>
      </c>
      <c r="I117" t="s">
        <v>9</v>
      </c>
      <c r="L117" t="s">
        <v>161</v>
      </c>
      <c r="M117">
        <v>333263400</v>
      </c>
    </row>
    <row r="118" spans="1:13" x14ac:dyDescent="0.3">
      <c r="A118" s="23">
        <v>45583</v>
      </c>
      <c r="B118" t="s">
        <v>12</v>
      </c>
      <c r="C118" t="s">
        <v>132</v>
      </c>
      <c r="D118" t="s">
        <v>17</v>
      </c>
      <c r="E118" t="s">
        <v>136</v>
      </c>
      <c r="F118">
        <v>82893815.180000007</v>
      </c>
      <c r="G118" t="s">
        <v>134</v>
      </c>
      <c r="H118" t="s">
        <v>81</v>
      </c>
      <c r="I118" t="s">
        <v>9</v>
      </c>
      <c r="L118" t="s">
        <v>161</v>
      </c>
      <c r="M118">
        <v>-82893815.180000007</v>
      </c>
    </row>
    <row r="119" spans="1:13" x14ac:dyDescent="0.3">
      <c r="A119" s="23">
        <v>45583</v>
      </c>
      <c r="B119" t="s">
        <v>12</v>
      </c>
      <c r="C119" t="s">
        <v>132</v>
      </c>
      <c r="D119" t="s">
        <v>17</v>
      </c>
      <c r="E119" t="s">
        <v>136</v>
      </c>
      <c r="F119">
        <v>215467465.94999999</v>
      </c>
      <c r="G119" t="s">
        <v>134</v>
      </c>
      <c r="H119" t="s">
        <v>81</v>
      </c>
      <c r="I119" t="s">
        <v>9</v>
      </c>
      <c r="L119" t="s">
        <v>161</v>
      </c>
      <c r="M119">
        <v>-215467465.94999999</v>
      </c>
    </row>
    <row r="120" spans="1:13" x14ac:dyDescent="0.3">
      <c r="A120" s="23">
        <v>45582</v>
      </c>
      <c r="B120" t="s">
        <v>12</v>
      </c>
      <c r="C120" t="s">
        <v>132</v>
      </c>
      <c r="D120" t="s">
        <v>16</v>
      </c>
      <c r="E120" t="s">
        <v>136</v>
      </c>
      <c r="F120">
        <v>226237612</v>
      </c>
      <c r="G120" t="s">
        <v>134</v>
      </c>
      <c r="H120" t="s">
        <v>81</v>
      </c>
      <c r="I120" t="s">
        <v>9</v>
      </c>
      <c r="L120" t="s">
        <v>161</v>
      </c>
      <c r="M120">
        <v>226237612</v>
      </c>
    </row>
    <row r="121" spans="1:13" x14ac:dyDescent="0.3">
      <c r="A121" s="23">
        <v>45582</v>
      </c>
      <c r="B121" t="s">
        <v>12</v>
      </c>
      <c r="C121" t="s">
        <v>132</v>
      </c>
      <c r="D121" t="s">
        <v>17</v>
      </c>
      <c r="E121" t="s">
        <v>136</v>
      </c>
      <c r="F121">
        <v>130000000</v>
      </c>
      <c r="G121" t="s">
        <v>134</v>
      </c>
      <c r="H121" t="s">
        <v>81</v>
      </c>
      <c r="I121" t="s">
        <v>9</v>
      </c>
      <c r="L121" t="s">
        <v>161</v>
      </c>
      <c r="M121">
        <v>-130000000</v>
      </c>
    </row>
    <row r="122" spans="1:13" x14ac:dyDescent="0.3">
      <c r="A122" s="23">
        <v>45579</v>
      </c>
      <c r="B122" t="s">
        <v>12</v>
      </c>
      <c r="C122" t="s">
        <v>132</v>
      </c>
      <c r="D122" t="s">
        <v>17</v>
      </c>
      <c r="E122" t="s">
        <v>136</v>
      </c>
      <c r="F122">
        <v>150000000</v>
      </c>
      <c r="G122" t="s">
        <v>134</v>
      </c>
      <c r="H122" t="s">
        <v>81</v>
      </c>
      <c r="I122" t="s">
        <v>9</v>
      </c>
      <c r="L122" t="s">
        <v>161</v>
      </c>
      <c r="M122">
        <v>-150000000</v>
      </c>
    </row>
    <row r="123" spans="1:13" x14ac:dyDescent="0.3">
      <c r="A123" s="23">
        <v>45574</v>
      </c>
      <c r="B123" t="s">
        <v>12</v>
      </c>
      <c r="C123" t="s">
        <v>132</v>
      </c>
      <c r="D123" t="s">
        <v>16</v>
      </c>
      <c r="E123" t="s">
        <v>136</v>
      </c>
      <c r="F123">
        <v>82851700</v>
      </c>
      <c r="G123" t="s">
        <v>134</v>
      </c>
      <c r="H123" t="s">
        <v>81</v>
      </c>
      <c r="I123" t="s">
        <v>9</v>
      </c>
      <c r="L123" t="s">
        <v>161</v>
      </c>
      <c r="M123">
        <v>82851700</v>
      </c>
    </row>
    <row r="124" spans="1:13" x14ac:dyDescent="0.3">
      <c r="A124" s="23">
        <v>45574</v>
      </c>
      <c r="B124" t="s">
        <v>12</v>
      </c>
      <c r="C124" t="s">
        <v>132</v>
      </c>
      <c r="D124" t="s">
        <v>17</v>
      </c>
      <c r="E124" t="s">
        <v>136</v>
      </c>
      <c r="F124">
        <v>214600000</v>
      </c>
      <c r="G124" t="s">
        <v>134</v>
      </c>
      <c r="H124" t="s">
        <v>81</v>
      </c>
      <c r="I124" t="s">
        <v>9</v>
      </c>
      <c r="L124" t="s">
        <v>161</v>
      </c>
      <c r="M124">
        <v>-214600000</v>
      </c>
    </row>
    <row r="125" spans="1:13" x14ac:dyDescent="0.3">
      <c r="A125" s="23">
        <v>45569</v>
      </c>
      <c r="B125" t="s">
        <v>12</v>
      </c>
      <c r="C125" t="s">
        <v>132</v>
      </c>
      <c r="D125" t="s">
        <v>17</v>
      </c>
      <c r="E125" t="s">
        <v>136</v>
      </c>
      <c r="F125">
        <v>112312456.87</v>
      </c>
      <c r="G125" t="s">
        <v>134</v>
      </c>
      <c r="H125" t="s">
        <v>81</v>
      </c>
      <c r="I125" t="s">
        <v>9</v>
      </c>
      <c r="L125" t="s">
        <v>161</v>
      </c>
      <c r="M125">
        <v>-112312456.87</v>
      </c>
    </row>
    <row r="126" spans="1:13" x14ac:dyDescent="0.3">
      <c r="A126" s="23">
        <v>45568</v>
      </c>
      <c r="B126" t="s">
        <v>12</v>
      </c>
      <c r="C126" t="s">
        <v>132</v>
      </c>
      <c r="D126" t="s">
        <v>16</v>
      </c>
      <c r="E126" t="s">
        <v>136</v>
      </c>
      <c r="F126">
        <v>296184426</v>
      </c>
      <c r="G126" t="s">
        <v>134</v>
      </c>
      <c r="H126" t="s">
        <v>81</v>
      </c>
      <c r="I126" t="s">
        <v>9</v>
      </c>
      <c r="L126" t="s">
        <v>161</v>
      </c>
      <c r="M126">
        <v>296184426</v>
      </c>
    </row>
    <row r="127" spans="1:13" x14ac:dyDescent="0.3">
      <c r="A127" s="23">
        <v>44921</v>
      </c>
      <c r="B127" t="s">
        <v>12</v>
      </c>
      <c r="C127" t="s">
        <v>132</v>
      </c>
      <c r="D127" t="s">
        <v>16</v>
      </c>
      <c r="E127" t="s">
        <v>136</v>
      </c>
      <c r="F127">
        <v>634469.93999999994</v>
      </c>
      <c r="G127" t="s">
        <v>134</v>
      </c>
      <c r="H127" t="s">
        <v>81</v>
      </c>
      <c r="I127" t="s">
        <v>9</v>
      </c>
      <c r="J127" t="s">
        <v>155</v>
      </c>
      <c r="L127" t="s">
        <v>161</v>
      </c>
      <c r="M127">
        <v>634469.93999999994</v>
      </c>
    </row>
    <row r="128" spans="1:13" x14ac:dyDescent="0.3">
      <c r="A128" s="23">
        <v>45567</v>
      </c>
      <c r="B128" t="s">
        <v>12</v>
      </c>
      <c r="C128" t="s">
        <v>132</v>
      </c>
      <c r="D128" t="s">
        <v>16</v>
      </c>
      <c r="E128" t="s">
        <v>136</v>
      </c>
      <c r="F128">
        <v>300000000</v>
      </c>
      <c r="G128" t="s">
        <v>134</v>
      </c>
      <c r="H128" t="s">
        <v>81</v>
      </c>
      <c r="I128" t="s">
        <v>9</v>
      </c>
      <c r="L128" t="s">
        <v>161</v>
      </c>
      <c r="M128">
        <v>300000000</v>
      </c>
    </row>
    <row r="129" spans="1:13" x14ac:dyDescent="0.3">
      <c r="A129" s="23">
        <v>44937</v>
      </c>
      <c r="B129" t="s">
        <v>12</v>
      </c>
      <c r="C129" t="s">
        <v>132</v>
      </c>
      <c r="D129" t="s">
        <v>16</v>
      </c>
      <c r="E129" t="s">
        <v>136</v>
      </c>
      <c r="F129">
        <v>160000000</v>
      </c>
      <c r="G129" t="s">
        <v>134</v>
      </c>
      <c r="H129" t="s">
        <v>81</v>
      </c>
      <c r="I129" t="s">
        <v>9</v>
      </c>
      <c r="L129" t="s">
        <v>161</v>
      </c>
      <c r="M129">
        <v>160000000</v>
      </c>
    </row>
    <row r="130" spans="1:13" x14ac:dyDescent="0.3">
      <c r="A130" s="23">
        <v>44938</v>
      </c>
      <c r="B130" t="s">
        <v>12</v>
      </c>
      <c r="C130" t="s">
        <v>132</v>
      </c>
      <c r="D130" t="s">
        <v>17</v>
      </c>
      <c r="E130" t="s">
        <v>136</v>
      </c>
      <c r="F130">
        <v>160634469.94</v>
      </c>
      <c r="G130" t="s">
        <v>134</v>
      </c>
      <c r="H130" t="s">
        <v>81</v>
      </c>
      <c r="I130" t="s">
        <v>9</v>
      </c>
      <c r="L130" t="s">
        <v>161</v>
      </c>
      <c r="M130">
        <v>-160634469.94</v>
      </c>
    </row>
    <row r="131" spans="1:13" x14ac:dyDescent="0.3">
      <c r="A131" s="23">
        <v>44942</v>
      </c>
      <c r="B131" t="s">
        <v>12</v>
      </c>
      <c r="C131" t="s">
        <v>132</v>
      </c>
      <c r="D131" t="s">
        <v>16</v>
      </c>
      <c r="E131" t="s">
        <v>136</v>
      </c>
      <c r="F131">
        <v>1500000</v>
      </c>
      <c r="G131" t="s">
        <v>134</v>
      </c>
      <c r="H131" t="s">
        <v>81</v>
      </c>
      <c r="I131" t="s">
        <v>9</v>
      </c>
      <c r="L131" t="s">
        <v>161</v>
      </c>
      <c r="M131">
        <v>1500000</v>
      </c>
    </row>
    <row r="132" spans="1:13" x14ac:dyDescent="0.3">
      <c r="A132" s="23">
        <v>44945</v>
      </c>
      <c r="B132" t="s">
        <v>12</v>
      </c>
      <c r="C132" t="s">
        <v>132</v>
      </c>
      <c r="D132" t="s">
        <v>16</v>
      </c>
      <c r="E132" t="s">
        <v>136</v>
      </c>
      <c r="F132">
        <v>35000000</v>
      </c>
      <c r="G132" t="s">
        <v>134</v>
      </c>
      <c r="H132" t="s">
        <v>81</v>
      </c>
      <c r="I132" t="s">
        <v>9</v>
      </c>
      <c r="L132" t="s">
        <v>161</v>
      </c>
      <c r="M132">
        <v>35000000</v>
      </c>
    </row>
    <row r="133" spans="1:13" x14ac:dyDescent="0.3">
      <c r="A133" s="23">
        <v>45544</v>
      </c>
      <c r="B133" t="s">
        <v>12</v>
      </c>
      <c r="C133" t="s">
        <v>132</v>
      </c>
      <c r="D133" t="s">
        <v>17</v>
      </c>
      <c r="E133" t="s">
        <v>136</v>
      </c>
      <c r="F133">
        <v>65361350.710000001</v>
      </c>
      <c r="G133" t="s">
        <v>134</v>
      </c>
      <c r="H133" t="s">
        <v>81</v>
      </c>
      <c r="I133" t="s">
        <v>9</v>
      </c>
      <c r="L133" t="s">
        <v>161</v>
      </c>
      <c r="M133">
        <v>-65361350.710000001</v>
      </c>
    </row>
    <row r="134" spans="1:13" x14ac:dyDescent="0.3">
      <c r="A134" s="23">
        <v>45544</v>
      </c>
      <c r="B134" t="s">
        <v>12</v>
      </c>
      <c r="C134" t="s">
        <v>132</v>
      </c>
      <c r="D134" t="s">
        <v>16</v>
      </c>
      <c r="E134" t="s">
        <v>136</v>
      </c>
      <c r="F134">
        <v>325305.19</v>
      </c>
      <c r="G134" t="s">
        <v>134</v>
      </c>
      <c r="H134" t="s">
        <v>81</v>
      </c>
      <c r="I134" t="s">
        <v>9</v>
      </c>
      <c r="L134" t="s">
        <v>161</v>
      </c>
      <c r="M134">
        <v>325305.19</v>
      </c>
    </row>
    <row r="135" spans="1:13" x14ac:dyDescent="0.3">
      <c r="A135" s="23">
        <v>44951</v>
      </c>
      <c r="B135" t="s">
        <v>12</v>
      </c>
      <c r="C135" t="s">
        <v>132</v>
      </c>
      <c r="D135" t="s">
        <v>16</v>
      </c>
      <c r="E135" t="s">
        <v>136</v>
      </c>
      <c r="F135">
        <v>13500000</v>
      </c>
      <c r="G135" t="s">
        <v>134</v>
      </c>
      <c r="H135" t="s">
        <v>81</v>
      </c>
      <c r="I135" t="s">
        <v>9</v>
      </c>
      <c r="L135" t="s">
        <v>161</v>
      </c>
      <c r="M135">
        <v>13500000</v>
      </c>
    </row>
    <row r="136" spans="1:13" x14ac:dyDescent="0.3">
      <c r="A136" s="23">
        <v>44959</v>
      </c>
      <c r="B136" t="s">
        <v>12</v>
      </c>
      <c r="C136" t="s">
        <v>132</v>
      </c>
      <c r="D136" t="s">
        <v>17</v>
      </c>
      <c r="E136" t="s">
        <v>136</v>
      </c>
      <c r="F136">
        <v>47000000</v>
      </c>
      <c r="G136" t="s">
        <v>134</v>
      </c>
      <c r="H136" t="s">
        <v>81</v>
      </c>
      <c r="I136" t="s">
        <v>9</v>
      </c>
      <c r="L136" t="s">
        <v>161</v>
      </c>
      <c r="M136">
        <v>-47000000</v>
      </c>
    </row>
    <row r="137" spans="1:13" x14ac:dyDescent="0.3">
      <c r="A137" s="23">
        <v>45538</v>
      </c>
      <c r="B137" t="s">
        <v>12</v>
      </c>
      <c r="C137" t="s">
        <v>132</v>
      </c>
      <c r="D137" t="s">
        <v>17</v>
      </c>
      <c r="E137" t="s">
        <v>136</v>
      </c>
      <c r="F137">
        <v>159989000</v>
      </c>
      <c r="G137" t="s">
        <v>134</v>
      </c>
      <c r="H137" t="s">
        <v>81</v>
      </c>
      <c r="I137" t="s">
        <v>9</v>
      </c>
      <c r="L137" t="s">
        <v>161</v>
      </c>
      <c r="M137">
        <v>-159989000</v>
      </c>
    </row>
    <row r="138" spans="1:13" x14ac:dyDescent="0.3">
      <c r="A138" s="23">
        <v>45538</v>
      </c>
      <c r="B138" t="s">
        <v>12</v>
      </c>
      <c r="C138" t="s">
        <v>132</v>
      </c>
      <c r="D138" t="s">
        <v>17</v>
      </c>
      <c r="E138" t="s">
        <v>136</v>
      </c>
      <c r="F138">
        <v>193903690</v>
      </c>
      <c r="G138" t="s">
        <v>134</v>
      </c>
      <c r="H138" t="s">
        <v>81</v>
      </c>
      <c r="I138" t="s">
        <v>9</v>
      </c>
      <c r="L138" t="s">
        <v>161</v>
      </c>
      <c r="M138">
        <v>-193903690</v>
      </c>
    </row>
    <row r="139" spans="1:13" x14ac:dyDescent="0.3">
      <c r="A139" s="23">
        <v>44966</v>
      </c>
      <c r="B139" t="s">
        <v>12</v>
      </c>
      <c r="C139" t="s">
        <v>132</v>
      </c>
      <c r="D139" t="s">
        <v>17</v>
      </c>
      <c r="E139" t="s">
        <v>136</v>
      </c>
      <c r="F139">
        <v>3000000</v>
      </c>
      <c r="G139" t="s">
        <v>134</v>
      </c>
      <c r="H139" t="s">
        <v>81</v>
      </c>
      <c r="I139" t="s">
        <v>9</v>
      </c>
      <c r="L139" t="s">
        <v>161</v>
      </c>
      <c r="M139">
        <v>-3000000</v>
      </c>
    </row>
    <row r="140" spans="1:13" x14ac:dyDescent="0.3">
      <c r="A140" s="23">
        <v>45533</v>
      </c>
      <c r="B140" t="s">
        <v>12</v>
      </c>
      <c r="C140" t="s">
        <v>132</v>
      </c>
      <c r="D140" t="s">
        <v>17</v>
      </c>
      <c r="E140" t="s">
        <v>136</v>
      </c>
      <c r="F140">
        <v>234139586.34</v>
      </c>
      <c r="G140" t="s">
        <v>134</v>
      </c>
      <c r="H140" t="s">
        <v>81</v>
      </c>
      <c r="I140" t="s">
        <v>9</v>
      </c>
      <c r="L140" t="s">
        <v>161</v>
      </c>
      <c r="M140">
        <v>-234139586.34</v>
      </c>
    </row>
    <row r="141" spans="1:13" x14ac:dyDescent="0.3">
      <c r="A141" s="23">
        <v>45532</v>
      </c>
      <c r="B141" t="s">
        <v>12</v>
      </c>
      <c r="C141" t="s">
        <v>132</v>
      </c>
      <c r="D141" t="s">
        <v>16</v>
      </c>
      <c r="E141" t="s">
        <v>136</v>
      </c>
      <c r="F141">
        <v>400000000</v>
      </c>
      <c r="G141" t="s">
        <v>134</v>
      </c>
      <c r="H141" t="s">
        <v>81</v>
      </c>
      <c r="I141" t="s">
        <v>9</v>
      </c>
      <c r="L141" t="s">
        <v>161</v>
      </c>
      <c r="M141">
        <v>400000000</v>
      </c>
    </row>
    <row r="142" spans="1:13" x14ac:dyDescent="0.3">
      <c r="A142" s="23">
        <v>45531</v>
      </c>
      <c r="B142" t="s">
        <v>12</v>
      </c>
      <c r="C142" t="s">
        <v>132</v>
      </c>
      <c r="D142" t="s">
        <v>16</v>
      </c>
      <c r="E142" t="s">
        <v>136</v>
      </c>
      <c r="F142">
        <v>19194894</v>
      </c>
      <c r="G142" t="s">
        <v>134</v>
      </c>
      <c r="H142" t="s">
        <v>81</v>
      </c>
      <c r="I142" t="s">
        <v>9</v>
      </c>
      <c r="L142" t="s">
        <v>161</v>
      </c>
      <c r="M142">
        <v>19194894</v>
      </c>
    </row>
    <row r="143" spans="1:13" x14ac:dyDescent="0.3">
      <c r="A143" s="23">
        <v>45524</v>
      </c>
      <c r="B143" t="s">
        <v>12</v>
      </c>
      <c r="C143" t="s">
        <v>132</v>
      </c>
      <c r="D143" t="s">
        <v>16</v>
      </c>
      <c r="E143" t="s">
        <v>136</v>
      </c>
      <c r="F143">
        <v>126195060</v>
      </c>
      <c r="G143" t="s">
        <v>134</v>
      </c>
      <c r="H143" t="s">
        <v>81</v>
      </c>
      <c r="I143" t="s">
        <v>9</v>
      </c>
      <c r="L143" t="s">
        <v>161</v>
      </c>
      <c r="M143">
        <v>126195060</v>
      </c>
    </row>
    <row r="144" spans="1:13" x14ac:dyDescent="0.3">
      <c r="A144" s="23">
        <v>45519</v>
      </c>
      <c r="B144" t="s">
        <v>12</v>
      </c>
      <c r="C144" t="s">
        <v>132</v>
      </c>
      <c r="D144" t="s">
        <v>17</v>
      </c>
      <c r="E144" t="s">
        <v>136</v>
      </c>
      <c r="F144">
        <v>56759719</v>
      </c>
      <c r="G144" t="s">
        <v>134</v>
      </c>
      <c r="H144" t="s">
        <v>81</v>
      </c>
      <c r="I144" t="s">
        <v>9</v>
      </c>
      <c r="L144" t="s">
        <v>161</v>
      </c>
      <c r="M144">
        <v>-56759719</v>
      </c>
    </row>
    <row r="145" spans="1:13" x14ac:dyDescent="0.3">
      <c r="A145" s="23">
        <v>45519</v>
      </c>
      <c r="B145" t="s">
        <v>12</v>
      </c>
      <c r="C145" t="s">
        <v>132</v>
      </c>
      <c r="D145" t="s">
        <v>17</v>
      </c>
      <c r="E145" t="s">
        <v>136</v>
      </c>
      <c r="F145">
        <v>51425111</v>
      </c>
      <c r="G145" t="s">
        <v>134</v>
      </c>
      <c r="H145" t="s">
        <v>81</v>
      </c>
      <c r="I145" t="s">
        <v>9</v>
      </c>
      <c r="L145" t="s">
        <v>161</v>
      </c>
      <c r="M145">
        <v>-51425111</v>
      </c>
    </row>
    <row r="146" spans="1:13" x14ac:dyDescent="0.3">
      <c r="A146" s="23">
        <v>45519</v>
      </c>
      <c r="B146" t="s">
        <v>12</v>
      </c>
      <c r="C146" t="s">
        <v>132</v>
      </c>
      <c r="D146" t="s">
        <v>16</v>
      </c>
      <c r="E146" t="s">
        <v>136</v>
      </c>
      <c r="F146">
        <v>12036500</v>
      </c>
      <c r="G146" t="s">
        <v>134</v>
      </c>
      <c r="H146" t="s">
        <v>81</v>
      </c>
      <c r="I146" t="s">
        <v>9</v>
      </c>
      <c r="L146" t="s">
        <v>161</v>
      </c>
      <c r="M146">
        <v>12036500</v>
      </c>
    </row>
    <row r="147" spans="1:13" x14ac:dyDescent="0.3">
      <c r="A147" s="23">
        <v>45001</v>
      </c>
      <c r="B147" t="s">
        <v>12</v>
      </c>
      <c r="C147" t="s">
        <v>132</v>
      </c>
      <c r="D147" t="s">
        <v>16</v>
      </c>
      <c r="E147" t="s">
        <v>136</v>
      </c>
      <c r="F147">
        <v>300000000</v>
      </c>
      <c r="G147" t="s">
        <v>134</v>
      </c>
      <c r="H147" t="s">
        <v>81</v>
      </c>
      <c r="I147" t="s">
        <v>9</v>
      </c>
      <c r="L147" t="s">
        <v>161</v>
      </c>
      <c r="M147">
        <v>300000000</v>
      </c>
    </row>
    <row r="148" spans="1:13" x14ac:dyDescent="0.3">
      <c r="A148" s="23">
        <v>45518</v>
      </c>
      <c r="B148" t="s">
        <v>12</v>
      </c>
      <c r="C148" t="s">
        <v>132</v>
      </c>
      <c r="D148" t="s">
        <v>17</v>
      </c>
      <c r="E148" t="s">
        <v>136</v>
      </c>
      <c r="F148">
        <v>599864958</v>
      </c>
      <c r="G148" t="s">
        <v>134</v>
      </c>
      <c r="H148" t="s">
        <v>81</v>
      </c>
      <c r="I148" t="s">
        <v>9</v>
      </c>
      <c r="L148" t="s">
        <v>161</v>
      </c>
      <c r="M148">
        <v>-599864958</v>
      </c>
    </row>
    <row r="149" spans="1:13" x14ac:dyDescent="0.3">
      <c r="A149" s="23">
        <v>45517</v>
      </c>
      <c r="B149" t="s">
        <v>12</v>
      </c>
      <c r="C149" t="s">
        <v>132</v>
      </c>
      <c r="D149" t="s">
        <v>16</v>
      </c>
      <c r="E149" t="s">
        <v>136</v>
      </c>
      <c r="F149">
        <v>500000000</v>
      </c>
      <c r="G149" t="s">
        <v>134</v>
      </c>
      <c r="H149" t="s">
        <v>81</v>
      </c>
      <c r="I149" t="s">
        <v>9</v>
      </c>
      <c r="L149" t="s">
        <v>161</v>
      </c>
      <c r="M149">
        <v>500000000</v>
      </c>
    </row>
    <row r="150" spans="1:13" x14ac:dyDescent="0.3">
      <c r="A150" s="23">
        <v>45516</v>
      </c>
      <c r="B150" t="s">
        <v>12</v>
      </c>
      <c r="C150" t="s">
        <v>132</v>
      </c>
      <c r="D150" t="s">
        <v>16</v>
      </c>
      <c r="E150" t="s">
        <v>136</v>
      </c>
      <c r="F150">
        <v>250000000</v>
      </c>
      <c r="G150" t="s">
        <v>134</v>
      </c>
      <c r="H150" t="s">
        <v>81</v>
      </c>
      <c r="I150" t="s">
        <v>9</v>
      </c>
      <c r="L150" t="s">
        <v>161</v>
      </c>
      <c r="M150">
        <v>250000000</v>
      </c>
    </row>
    <row r="151" spans="1:13" x14ac:dyDescent="0.3">
      <c r="A151" s="23">
        <v>45511</v>
      </c>
      <c r="B151" t="s">
        <v>12</v>
      </c>
      <c r="C151" t="s">
        <v>132</v>
      </c>
      <c r="D151" t="s">
        <v>17</v>
      </c>
      <c r="E151" t="s">
        <v>136</v>
      </c>
      <c r="F151">
        <v>150016945.13999999</v>
      </c>
      <c r="G151" t="s">
        <v>134</v>
      </c>
      <c r="H151" t="s">
        <v>81</v>
      </c>
      <c r="I151" t="s">
        <v>9</v>
      </c>
      <c r="L151" t="s">
        <v>161</v>
      </c>
      <c r="M151">
        <v>-150016945.13999999</v>
      </c>
    </row>
    <row r="152" spans="1:13" x14ac:dyDescent="0.3">
      <c r="A152" s="23">
        <v>45510</v>
      </c>
      <c r="B152" t="s">
        <v>12</v>
      </c>
      <c r="C152" t="s">
        <v>132</v>
      </c>
      <c r="D152" t="s">
        <v>17</v>
      </c>
      <c r="E152" t="s">
        <v>136</v>
      </c>
      <c r="F152">
        <v>349863574</v>
      </c>
      <c r="G152" t="s">
        <v>134</v>
      </c>
      <c r="H152" t="s">
        <v>81</v>
      </c>
      <c r="I152" t="s">
        <v>9</v>
      </c>
      <c r="L152" t="s">
        <v>161</v>
      </c>
      <c r="M152">
        <v>-349863574</v>
      </c>
    </row>
    <row r="153" spans="1:13" x14ac:dyDescent="0.3">
      <c r="A153" s="23">
        <v>45510</v>
      </c>
      <c r="B153" t="s">
        <v>12</v>
      </c>
      <c r="C153" t="s">
        <v>132</v>
      </c>
      <c r="D153" t="s">
        <v>16</v>
      </c>
      <c r="E153" t="s">
        <v>136</v>
      </c>
      <c r="F153">
        <v>153572175</v>
      </c>
      <c r="G153" t="s">
        <v>134</v>
      </c>
      <c r="H153" t="s">
        <v>81</v>
      </c>
      <c r="I153" t="s">
        <v>9</v>
      </c>
      <c r="L153" t="s">
        <v>161</v>
      </c>
      <c r="M153">
        <v>153572175</v>
      </c>
    </row>
    <row r="154" spans="1:13" x14ac:dyDescent="0.3">
      <c r="A154" s="23">
        <v>45008</v>
      </c>
      <c r="B154" t="s">
        <v>12</v>
      </c>
      <c r="C154" t="s">
        <v>132</v>
      </c>
      <c r="D154" t="s">
        <v>17</v>
      </c>
      <c r="E154" t="s">
        <v>136</v>
      </c>
      <c r="F154">
        <v>150000000</v>
      </c>
      <c r="G154" t="s">
        <v>134</v>
      </c>
      <c r="H154" t="s">
        <v>81</v>
      </c>
      <c r="I154" t="s">
        <v>9</v>
      </c>
      <c r="L154" t="s">
        <v>161</v>
      </c>
      <c r="M154">
        <v>-150000000</v>
      </c>
    </row>
    <row r="155" spans="1:13" x14ac:dyDescent="0.3">
      <c r="A155" s="23">
        <v>45509</v>
      </c>
      <c r="B155" t="s">
        <v>12</v>
      </c>
      <c r="C155" t="s">
        <v>132</v>
      </c>
      <c r="D155" t="s">
        <v>17</v>
      </c>
      <c r="E155" t="s">
        <v>136</v>
      </c>
      <c r="F155">
        <v>395445996.13</v>
      </c>
      <c r="G155" t="s">
        <v>134</v>
      </c>
      <c r="H155" t="s">
        <v>81</v>
      </c>
      <c r="I155" t="s">
        <v>9</v>
      </c>
      <c r="L155" t="s">
        <v>161</v>
      </c>
      <c r="M155">
        <v>-395445996.13</v>
      </c>
    </row>
    <row r="156" spans="1:13" x14ac:dyDescent="0.3">
      <c r="A156" s="23">
        <v>45509</v>
      </c>
      <c r="B156" t="s">
        <v>12</v>
      </c>
      <c r="C156" t="s">
        <v>132</v>
      </c>
      <c r="D156" t="s">
        <v>16</v>
      </c>
      <c r="E156" t="s">
        <v>136</v>
      </c>
      <c r="F156">
        <v>400000000</v>
      </c>
      <c r="G156" t="s">
        <v>134</v>
      </c>
      <c r="H156" t="s">
        <v>81</v>
      </c>
      <c r="I156" t="s">
        <v>9</v>
      </c>
      <c r="L156" t="s">
        <v>161</v>
      </c>
      <c r="M156">
        <v>400000000</v>
      </c>
    </row>
    <row r="157" spans="1:13" x14ac:dyDescent="0.3">
      <c r="A157" s="23">
        <v>45013</v>
      </c>
      <c r="B157" t="s">
        <v>12</v>
      </c>
      <c r="C157" t="s">
        <v>132</v>
      </c>
      <c r="D157" t="s">
        <v>16</v>
      </c>
      <c r="E157" t="s">
        <v>136</v>
      </c>
      <c r="F157">
        <v>200000000</v>
      </c>
      <c r="G157" t="s">
        <v>134</v>
      </c>
      <c r="H157" t="s">
        <v>81</v>
      </c>
      <c r="I157" t="s">
        <v>9</v>
      </c>
      <c r="L157" t="s">
        <v>161</v>
      </c>
      <c r="M157">
        <v>200000000</v>
      </c>
    </row>
    <row r="158" spans="1:13" x14ac:dyDescent="0.3">
      <c r="A158" s="23">
        <v>45505</v>
      </c>
      <c r="B158" t="s">
        <v>12</v>
      </c>
      <c r="C158" t="s">
        <v>132</v>
      </c>
      <c r="D158" t="s">
        <v>16</v>
      </c>
      <c r="E158" t="s">
        <v>136</v>
      </c>
      <c r="F158">
        <v>50646400</v>
      </c>
      <c r="G158" t="s">
        <v>134</v>
      </c>
      <c r="H158" t="s">
        <v>81</v>
      </c>
      <c r="I158" t="s">
        <v>9</v>
      </c>
      <c r="L158" t="s">
        <v>161</v>
      </c>
      <c r="M158">
        <v>50646400</v>
      </c>
    </row>
    <row r="159" spans="1:13" x14ac:dyDescent="0.3">
      <c r="A159" s="23">
        <v>45504</v>
      </c>
      <c r="B159" t="s">
        <v>12</v>
      </c>
      <c r="C159" t="s">
        <v>132</v>
      </c>
      <c r="D159" t="s">
        <v>16</v>
      </c>
      <c r="E159" t="s">
        <v>136</v>
      </c>
      <c r="F159">
        <v>18917000</v>
      </c>
      <c r="G159" t="s">
        <v>134</v>
      </c>
      <c r="H159" t="s">
        <v>81</v>
      </c>
      <c r="I159" t="s">
        <v>9</v>
      </c>
      <c r="L159" t="s">
        <v>161</v>
      </c>
      <c r="M159">
        <v>18917000</v>
      </c>
    </row>
    <row r="160" spans="1:13" x14ac:dyDescent="0.3">
      <c r="A160" s="23">
        <v>45015</v>
      </c>
      <c r="B160" t="s">
        <v>12</v>
      </c>
      <c r="C160" t="s">
        <v>132</v>
      </c>
      <c r="D160" t="s">
        <v>17</v>
      </c>
      <c r="E160" t="s">
        <v>136</v>
      </c>
      <c r="F160">
        <v>150000000</v>
      </c>
      <c r="G160" t="s">
        <v>134</v>
      </c>
      <c r="H160" t="s">
        <v>81</v>
      </c>
      <c r="I160" t="s">
        <v>9</v>
      </c>
      <c r="L160" t="s">
        <v>161</v>
      </c>
      <c r="M160">
        <v>-150000000</v>
      </c>
    </row>
    <row r="161" spans="1:13" x14ac:dyDescent="0.3">
      <c r="A161" s="23">
        <v>45491</v>
      </c>
      <c r="B161" t="s">
        <v>12</v>
      </c>
      <c r="C161" t="s">
        <v>132</v>
      </c>
      <c r="D161" t="s">
        <v>16</v>
      </c>
      <c r="E161" t="s">
        <v>136</v>
      </c>
      <c r="F161">
        <v>19426675</v>
      </c>
      <c r="G161" t="s">
        <v>134</v>
      </c>
      <c r="H161" t="s">
        <v>81</v>
      </c>
      <c r="I161" t="s">
        <v>9</v>
      </c>
      <c r="L161" t="s">
        <v>161</v>
      </c>
      <c r="M161">
        <v>19426675</v>
      </c>
    </row>
    <row r="162" spans="1:13" x14ac:dyDescent="0.3">
      <c r="A162" s="23">
        <v>45490</v>
      </c>
      <c r="B162" t="s">
        <v>12</v>
      </c>
      <c r="C162" t="s">
        <v>132</v>
      </c>
      <c r="D162" t="s">
        <v>16</v>
      </c>
      <c r="E162" t="s">
        <v>136</v>
      </c>
      <c r="F162">
        <v>112817732</v>
      </c>
      <c r="G162" t="s">
        <v>134</v>
      </c>
      <c r="H162" t="s">
        <v>81</v>
      </c>
      <c r="I162" t="s">
        <v>9</v>
      </c>
      <c r="L162" t="s">
        <v>161</v>
      </c>
      <c r="M162">
        <v>112817732</v>
      </c>
    </row>
    <row r="163" spans="1:13" x14ac:dyDescent="0.3">
      <c r="A163" s="23">
        <v>45489</v>
      </c>
      <c r="B163" t="s">
        <v>12</v>
      </c>
      <c r="C163" t="s">
        <v>132</v>
      </c>
      <c r="D163" t="s">
        <v>17</v>
      </c>
      <c r="E163" t="s">
        <v>136</v>
      </c>
      <c r="F163">
        <v>62576572.939999998</v>
      </c>
      <c r="G163" t="s">
        <v>134</v>
      </c>
      <c r="H163" t="s">
        <v>81</v>
      </c>
      <c r="I163" t="s">
        <v>9</v>
      </c>
      <c r="L163" t="s">
        <v>161</v>
      </c>
      <c r="M163">
        <v>-62576572.939999998</v>
      </c>
    </row>
    <row r="164" spans="1:13" x14ac:dyDescent="0.3">
      <c r="A164" s="23">
        <v>45478</v>
      </c>
      <c r="B164" t="s">
        <v>12</v>
      </c>
      <c r="C164" t="s">
        <v>132</v>
      </c>
      <c r="D164" t="s">
        <v>16</v>
      </c>
      <c r="E164" t="s">
        <v>136</v>
      </c>
      <c r="F164">
        <v>69246900</v>
      </c>
      <c r="G164" t="s">
        <v>134</v>
      </c>
      <c r="H164" t="s">
        <v>81</v>
      </c>
      <c r="I164" t="s">
        <v>9</v>
      </c>
      <c r="L164" t="s">
        <v>161</v>
      </c>
      <c r="M164">
        <v>69246900</v>
      </c>
    </row>
    <row r="165" spans="1:13" x14ac:dyDescent="0.3">
      <c r="A165" s="23">
        <v>45469</v>
      </c>
      <c r="B165" t="s">
        <v>12</v>
      </c>
      <c r="C165" t="s">
        <v>132</v>
      </c>
      <c r="D165" t="s">
        <v>16</v>
      </c>
      <c r="E165" t="s">
        <v>136</v>
      </c>
      <c r="G165" t="s">
        <v>134</v>
      </c>
      <c r="H165" t="s">
        <v>81</v>
      </c>
      <c r="I165" t="s">
        <v>9</v>
      </c>
      <c r="L165" t="s">
        <v>161</v>
      </c>
      <c r="M165">
        <v>0</v>
      </c>
    </row>
    <row r="166" spans="1:13" x14ac:dyDescent="0.3">
      <c r="A166" s="23">
        <v>45468</v>
      </c>
      <c r="B166" t="s">
        <v>12</v>
      </c>
      <c r="C166" t="s">
        <v>132</v>
      </c>
      <c r="D166" t="s">
        <v>16</v>
      </c>
      <c r="E166" t="s">
        <v>136</v>
      </c>
      <c r="F166">
        <v>73117200</v>
      </c>
      <c r="G166" t="s">
        <v>134</v>
      </c>
      <c r="H166" t="s">
        <v>81</v>
      </c>
      <c r="I166" t="s">
        <v>9</v>
      </c>
      <c r="L166" t="s">
        <v>161</v>
      </c>
      <c r="M166">
        <v>73117200</v>
      </c>
    </row>
    <row r="167" spans="1:13" x14ac:dyDescent="0.3">
      <c r="A167" s="23">
        <v>45055</v>
      </c>
      <c r="B167" t="s">
        <v>12</v>
      </c>
      <c r="C167" t="s">
        <v>132</v>
      </c>
      <c r="D167" t="s">
        <v>17</v>
      </c>
      <c r="E167" t="s">
        <v>136</v>
      </c>
      <c r="F167">
        <v>200000000</v>
      </c>
      <c r="G167" t="s">
        <v>134</v>
      </c>
      <c r="H167" t="s">
        <v>81</v>
      </c>
      <c r="I167" t="s">
        <v>9</v>
      </c>
      <c r="L167" t="s">
        <v>161</v>
      </c>
      <c r="M167">
        <v>-200000000</v>
      </c>
    </row>
    <row r="168" spans="1:13" x14ac:dyDescent="0.3">
      <c r="A168" s="23">
        <v>45467</v>
      </c>
      <c r="B168" t="s">
        <v>12</v>
      </c>
      <c r="C168" t="s">
        <v>132</v>
      </c>
      <c r="D168" t="s">
        <v>16</v>
      </c>
      <c r="E168" t="s">
        <v>136</v>
      </c>
      <c r="G168" t="s">
        <v>134</v>
      </c>
      <c r="H168" t="s">
        <v>81</v>
      </c>
      <c r="I168" t="s">
        <v>9</v>
      </c>
      <c r="L168" t="s">
        <v>161</v>
      </c>
      <c r="M168">
        <v>0</v>
      </c>
    </row>
    <row r="169" spans="1:13" x14ac:dyDescent="0.3">
      <c r="A169" s="23">
        <v>45461</v>
      </c>
      <c r="B169" t="s">
        <v>12</v>
      </c>
      <c r="C169" t="s">
        <v>132</v>
      </c>
      <c r="D169" t="s">
        <v>17</v>
      </c>
      <c r="E169" t="s">
        <v>136</v>
      </c>
      <c r="F169">
        <v>580942732</v>
      </c>
      <c r="G169" t="s">
        <v>134</v>
      </c>
      <c r="H169" t="s">
        <v>81</v>
      </c>
      <c r="I169" t="s">
        <v>9</v>
      </c>
      <c r="L169" t="s">
        <v>161</v>
      </c>
      <c r="M169">
        <v>-580942732</v>
      </c>
    </row>
    <row r="170" spans="1:13" x14ac:dyDescent="0.3">
      <c r="A170" s="23">
        <v>45056</v>
      </c>
      <c r="B170" t="s">
        <v>12</v>
      </c>
      <c r="C170" t="s">
        <v>132</v>
      </c>
      <c r="D170" t="s">
        <v>16</v>
      </c>
      <c r="E170" t="s">
        <v>136</v>
      </c>
      <c r="F170">
        <v>324926941.16000003</v>
      </c>
      <c r="G170" t="s">
        <v>134</v>
      </c>
      <c r="H170" t="s">
        <v>81</v>
      </c>
      <c r="I170" t="s">
        <v>9</v>
      </c>
      <c r="L170" t="s">
        <v>161</v>
      </c>
      <c r="M170">
        <v>324926941.16000003</v>
      </c>
    </row>
    <row r="171" spans="1:13" x14ac:dyDescent="0.3">
      <c r="A171" s="23">
        <v>45460</v>
      </c>
      <c r="B171" t="s">
        <v>12</v>
      </c>
      <c r="C171" t="s">
        <v>132</v>
      </c>
      <c r="D171" t="s">
        <v>16</v>
      </c>
      <c r="E171" t="s">
        <v>136</v>
      </c>
      <c r="F171">
        <v>17380000</v>
      </c>
      <c r="G171" t="s">
        <v>134</v>
      </c>
      <c r="H171" t="s">
        <v>81</v>
      </c>
      <c r="I171" t="s">
        <v>9</v>
      </c>
      <c r="L171" t="s">
        <v>161</v>
      </c>
      <c r="M171">
        <v>17380000</v>
      </c>
    </row>
    <row r="172" spans="1:13" x14ac:dyDescent="0.3">
      <c r="A172" s="23">
        <v>45457</v>
      </c>
      <c r="B172" t="s">
        <v>12</v>
      </c>
      <c r="C172" t="s">
        <v>132</v>
      </c>
      <c r="D172" t="s">
        <v>17</v>
      </c>
      <c r="E172" t="s">
        <v>136</v>
      </c>
      <c r="F172">
        <v>666934161</v>
      </c>
      <c r="G172" t="s">
        <v>134</v>
      </c>
      <c r="H172" t="s">
        <v>81</v>
      </c>
      <c r="I172" t="s">
        <v>9</v>
      </c>
      <c r="L172" t="s">
        <v>161</v>
      </c>
      <c r="M172">
        <v>-666934161</v>
      </c>
    </row>
    <row r="173" spans="1:13" x14ac:dyDescent="0.3">
      <c r="A173" s="23">
        <v>45058</v>
      </c>
      <c r="B173" t="s">
        <v>12</v>
      </c>
      <c r="C173" t="s">
        <v>132</v>
      </c>
      <c r="D173" t="s">
        <v>17</v>
      </c>
      <c r="E173" t="s">
        <v>136</v>
      </c>
      <c r="F173">
        <v>324926941.16000003</v>
      </c>
      <c r="G173" t="s">
        <v>134</v>
      </c>
      <c r="H173" t="s">
        <v>81</v>
      </c>
      <c r="I173" t="s">
        <v>9</v>
      </c>
      <c r="L173" t="s">
        <v>161</v>
      </c>
      <c r="M173">
        <v>-324926941.16000003</v>
      </c>
    </row>
    <row r="174" spans="1:13" x14ac:dyDescent="0.3">
      <c r="A174" s="23">
        <v>45457</v>
      </c>
      <c r="B174" t="s">
        <v>12</v>
      </c>
      <c r="C174" t="s">
        <v>132</v>
      </c>
      <c r="D174" t="s">
        <v>16</v>
      </c>
      <c r="E174" t="s">
        <v>136</v>
      </c>
      <c r="F174">
        <v>500000000</v>
      </c>
      <c r="G174" t="s">
        <v>134</v>
      </c>
      <c r="H174" t="s">
        <v>81</v>
      </c>
      <c r="I174" t="s">
        <v>9</v>
      </c>
      <c r="L174" t="s">
        <v>161</v>
      </c>
      <c r="M174">
        <v>500000000</v>
      </c>
    </row>
    <row r="175" spans="1:13" x14ac:dyDescent="0.3">
      <c r="A175" s="23">
        <v>45456</v>
      </c>
      <c r="B175" t="s">
        <v>12</v>
      </c>
      <c r="C175" t="s">
        <v>132</v>
      </c>
      <c r="D175" t="s">
        <v>16</v>
      </c>
      <c r="E175" t="s">
        <v>136</v>
      </c>
      <c r="F175">
        <v>500000000</v>
      </c>
      <c r="G175" t="s">
        <v>134</v>
      </c>
      <c r="H175" t="s">
        <v>81</v>
      </c>
      <c r="I175" t="s">
        <v>9</v>
      </c>
      <c r="L175" t="s">
        <v>161</v>
      </c>
      <c r="M175">
        <v>500000000</v>
      </c>
    </row>
    <row r="176" spans="1:13" x14ac:dyDescent="0.3">
      <c r="A176" s="23">
        <v>45455</v>
      </c>
      <c r="B176" t="s">
        <v>12</v>
      </c>
      <c r="C176" t="s">
        <v>132</v>
      </c>
      <c r="D176" t="s">
        <v>16</v>
      </c>
      <c r="E176" t="s">
        <v>136</v>
      </c>
      <c r="F176">
        <v>121163150</v>
      </c>
      <c r="G176" t="s">
        <v>134</v>
      </c>
      <c r="H176" t="s">
        <v>81</v>
      </c>
      <c r="I176" t="s">
        <v>9</v>
      </c>
      <c r="L176" t="s">
        <v>161</v>
      </c>
      <c r="M176">
        <v>121163150</v>
      </c>
    </row>
    <row r="177" spans="1:13" x14ac:dyDescent="0.3">
      <c r="A177" s="23">
        <v>45455</v>
      </c>
      <c r="B177" t="s">
        <v>12</v>
      </c>
      <c r="C177" t="s">
        <v>132</v>
      </c>
      <c r="D177" t="s">
        <v>17</v>
      </c>
      <c r="E177" t="s">
        <v>136</v>
      </c>
      <c r="F177">
        <v>339812469</v>
      </c>
      <c r="G177" t="s">
        <v>134</v>
      </c>
      <c r="H177" t="s">
        <v>81</v>
      </c>
      <c r="I177" t="s">
        <v>9</v>
      </c>
      <c r="L177" t="s">
        <v>161</v>
      </c>
      <c r="M177">
        <v>-339812469</v>
      </c>
    </row>
    <row r="178" spans="1:13" x14ac:dyDescent="0.3">
      <c r="A178" s="23">
        <v>45069</v>
      </c>
      <c r="B178" t="s">
        <v>12</v>
      </c>
      <c r="C178" t="s">
        <v>132</v>
      </c>
      <c r="D178" t="s">
        <v>16</v>
      </c>
      <c r="E178" t="s">
        <v>136</v>
      </c>
      <c r="F178">
        <v>240215037.04999998</v>
      </c>
      <c r="G178" t="s">
        <v>134</v>
      </c>
      <c r="H178" t="s">
        <v>81</v>
      </c>
      <c r="I178" t="s">
        <v>9</v>
      </c>
      <c r="L178" t="s">
        <v>161</v>
      </c>
      <c r="M178">
        <v>240215037.05000001</v>
      </c>
    </row>
    <row r="179" spans="1:13" x14ac:dyDescent="0.3">
      <c r="A179" s="23">
        <v>45070</v>
      </c>
      <c r="B179" t="s">
        <v>12</v>
      </c>
      <c r="C179" t="s">
        <v>132</v>
      </c>
      <c r="D179" t="s">
        <v>17</v>
      </c>
      <c r="E179" t="s">
        <v>136</v>
      </c>
      <c r="F179">
        <v>82300000</v>
      </c>
      <c r="G179" t="s">
        <v>134</v>
      </c>
      <c r="H179" t="s">
        <v>81</v>
      </c>
      <c r="I179" t="s">
        <v>9</v>
      </c>
      <c r="L179" t="s">
        <v>161</v>
      </c>
      <c r="M179">
        <v>-82300000</v>
      </c>
    </row>
    <row r="180" spans="1:13" x14ac:dyDescent="0.3">
      <c r="A180" s="23">
        <v>45447</v>
      </c>
      <c r="B180" t="s">
        <v>12</v>
      </c>
      <c r="C180" t="s">
        <v>132</v>
      </c>
      <c r="D180" t="s">
        <v>16</v>
      </c>
      <c r="E180" t="s">
        <v>136</v>
      </c>
      <c r="F180">
        <v>131039973</v>
      </c>
      <c r="G180" t="s">
        <v>134</v>
      </c>
      <c r="H180" t="s">
        <v>81</v>
      </c>
      <c r="I180" t="s">
        <v>9</v>
      </c>
      <c r="L180" t="s">
        <v>161</v>
      </c>
      <c r="M180">
        <v>131039973</v>
      </c>
    </row>
    <row r="181" spans="1:13" x14ac:dyDescent="0.3">
      <c r="A181" s="23">
        <v>45075</v>
      </c>
      <c r="B181" t="s">
        <v>12</v>
      </c>
      <c r="C181" t="s">
        <v>132</v>
      </c>
      <c r="D181" t="s">
        <v>17</v>
      </c>
      <c r="E181" t="s">
        <v>136</v>
      </c>
      <c r="F181">
        <v>120000000</v>
      </c>
      <c r="G181" t="s">
        <v>134</v>
      </c>
      <c r="H181" t="s">
        <v>81</v>
      </c>
      <c r="I181" t="s">
        <v>9</v>
      </c>
      <c r="L181" t="s">
        <v>161</v>
      </c>
      <c r="M181">
        <v>-120000000</v>
      </c>
    </row>
    <row r="182" spans="1:13" x14ac:dyDescent="0.3">
      <c r="A182" s="23">
        <v>45077</v>
      </c>
      <c r="B182" t="s">
        <v>12</v>
      </c>
      <c r="C182" t="s">
        <v>132</v>
      </c>
      <c r="D182" t="s">
        <v>17</v>
      </c>
      <c r="E182" t="s">
        <v>136</v>
      </c>
      <c r="F182">
        <v>22500000</v>
      </c>
      <c r="G182" t="s">
        <v>134</v>
      </c>
      <c r="H182" t="s">
        <v>81</v>
      </c>
      <c r="I182" t="s">
        <v>9</v>
      </c>
      <c r="L182" t="s">
        <v>161</v>
      </c>
      <c r="M182">
        <v>-22500000</v>
      </c>
    </row>
    <row r="183" spans="1:13" x14ac:dyDescent="0.3">
      <c r="A183" s="23">
        <v>45077</v>
      </c>
      <c r="B183" t="s">
        <v>12</v>
      </c>
      <c r="C183" t="s">
        <v>132</v>
      </c>
      <c r="D183" t="s">
        <v>16</v>
      </c>
      <c r="E183" t="s">
        <v>136</v>
      </c>
      <c r="F183">
        <v>99896900</v>
      </c>
      <c r="G183" t="s">
        <v>134</v>
      </c>
      <c r="H183" t="s">
        <v>81</v>
      </c>
      <c r="I183" t="s">
        <v>9</v>
      </c>
      <c r="L183" t="s">
        <v>161</v>
      </c>
      <c r="M183">
        <v>99896900</v>
      </c>
    </row>
    <row r="184" spans="1:13" x14ac:dyDescent="0.3">
      <c r="A184" s="23">
        <v>45442</v>
      </c>
      <c r="B184" t="s">
        <v>12</v>
      </c>
      <c r="C184" t="s">
        <v>132</v>
      </c>
      <c r="D184" t="s">
        <v>16</v>
      </c>
      <c r="E184" t="s">
        <v>136</v>
      </c>
      <c r="F184">
        <v>51667200</v>
      </c>
      <c r="G184" t="s">
        <v>134</v>
      </c>
      <c r="H184" t="s">
        <v>81</v>
      </c>
      <c r="I184" t="s">
        <v>9</v>
      </c>
      <c r="L184" t="s">
        <v>161</v>
      </c>
      <c r="M184">
        <v>51667200</v>
      </c>
    </row>
    <row r="185" spans="1:13" x14ac:dyDescent="0.3">
      <c r="A185" s="23">
        <v>45078</v>
      </c>
      <c r="B185" t="s">
        <v>12</v>
      </c>
      <c r="C185" t="s">
        <v>132</v>
      </c>
      <c r="D185" t="s">
        <v>17</v>
      </c>
      <c r="E185" t="s">
        <v>136</v>
      </c>
      <c r="F185">
        <v>115311937.05000001</v>
      </c>
      <c r="G185" t="s">
        <v>134</v>
      </c>
      <c r="H185" t="s">
        <v>81</v>
      </c>
      <c r="I185" t="s">
        <v>9</v>
      </c>
      <c r="L185" t="s">
        <v>161</v>
      </c>
      <c r="M185">
        <v>-115311937.05</v>
      </c>
    </row>
    <row r="186" spans="1:13" x14ac:dyDescent="0.3">
      <c r="A186" s="23">
        <v>45440</v>
      </c>
      <c r="B186" t="s">
        <v>12</v>
      </c>
      <c r="C186" t="s">
        <v>132</v>
      </c>
      <c r="D186" t="s">
        <v>16</v>
      </c>
      <c r="E186" t="s">
        <v>136</v>
      </c>
      <c r="F186">
        <v>86973064</v>
      </c>
      <c r="G186" t="s">
        <v>134</v>
      </c>
      <c r="H186" t="s">
        <v>81</v>
      </c>
      <c r="I186" t="s">
        <v>9</v>
      </c>
      <c r="L186" t="s">
        <v>161</v>
      </c>
      <c r="M186">
        <v>86973064</v>
      </c>
    </row>
    <row r="187" spans="1:13" x14ac:dyDescent="0.3">
      <c r="A187" s="23">
        <v>45083</v>
      </c>
      <c r="B187" t="s">
        <v>12</v>
      </c>
      <c r="C187" t="s">
        <v>132</v>
      </c>
      <c r="D187" t="s">
        <v>16</v>
      </c>
      <c r="E187" t="s">
        <v>136</v>
      </c>
      <c r="F187">
        <v>50091378.450000003</v>
      </c>
      <c r="G187" t="s">
        <v>134</v>
      </c>
      <c r="H187" t="s">
        <v>81</v>
      </c>
      <c r="I187" t="s">
        <v>9</v>
      </c>
      <c r="L187" t="s">
        <v>161</v>
      </c>
      <c r="M187">
        <v>50091378.450000003</v>
      </c>
    </row>
    <row r="188" spans="1:13" x14ac:dyDescent="0.3">
      <c r="A188" s="23">
        <v>45084</v>
      </c>
      <c r="B188" t="s">
        <v>12</v>
      </c>
      <c r="C188" t="s">
        <v>132</v>
      </c>
      <c r="D188" t="s">
        <v>17</v>
      </c>
      <c r="E188" t="s">
        <v>136</v>
      </c>
      <c r="F188">
        <v>31000000</v>
      </c>
      <c r="G188" t="s">
        <v>134</v>
      </c>
      <c r="H188" t="s">
        <v>81</v>
      </c>
      <c r="I188" t="s">
        <v>9</v>
      </c>
      <c r="L188" t="s">
        <v>161</v>
      </c>
      <c r="M188">
        <v>-31000000</v>
      </c>
    </row>
    <row r="189" spans="1:13" x14ac:dyDescent="0.3">
      <c r="A189" s="23">
        <v>45084</v>
      </c>
      <c r="B189" t="s">
        <v>12</v>
      </c>
      <c r="C189" t="s">
        <v>132</v>
      </c>
      <c r="D189" t="s">
        <v>17</v>
      </c>
      <c r="E189" t="s">
        <v>136</v>
      </c>
      <c r="F189">
        <v>19091378.449999988</v>
      </c>
      <c r="G189" t="s">
        <v>134</v>
      </c>
      <c r="H189" t="s">
        <v>81</v>
      </c>
      <c r="I189" t="s">
        <v>9</v>
      </c>
      <c r="L189" t="s">
        <v>161</v>
      </c>
      <c r="M189">
        <v>-19091378.449999999</v>
      </c>
    </row>
    <row r="190" spans="1:13" x14ac:dyDescent="0.3">
      <c r="A190" s="23">
        <v>45433</v>
      </c>
      <c r="B190" t="s">
        <v>12</v>
      </c>
      <c r="C190" t="s">
        <v>132</v>
      </c>
      <c r="D190" t="s">
        <v>17</v>
      </c>
      <c r="E190" t="s">
        <v>136</v>
      </c>
      <c r="F190">
        <v>70726462</v>
      </c>
      <c r="G190" t="s">
        <v>134</v>
      </c>
      <c r="H190" t="s">
        <v>81</v>
      </c>
      <c r="I190" t="s">
        <v>9</v>
      </c>
      <c r="L190" t="s">
        <v>161</v>
      </c>
      <c r="M190">
        <v>-70726462</v>
      </c>
    </row>
    <row r="191" spans="1:13" x14ac:dyDescent="0.3">
      <c r="A191" s="23">
        <v>45433</v>
      </c>
      <c r="B191" t="s">
        <v>12</v>
      </c>
      <c r="C191" t="s">
        <v>132</v>
      </c>
      <c r="D191" t="s">
        <v>17</v>
      </c>
      <c r="E191" t="s">
        <v>136</v>
      </c>
      <c r="F191">
        <v>96437807</v>
      </c>
      <c r="G191" t="s">
        <v>134</v>
      </c>
      <c r="H191" t="s">
        <v>81</v>
      </c>
      <c r="I191" t="s">
        <v>9</v>
      </c>
      <c r="L191" t="s">
        <v>161</v>
      </c>
      <c r="M191">
        <v>-96437807</v>
      </c>
    </row>
    <row r="192" spans="1:13" x14ac:dyDescent="0.3">
      <c r="A192" s="23">
        <v>45428</v>
      </c>
      <c r="B192" t="s">
        <v>12</v>
      </c>
      <c r="C192" t="s">
        <v>132</v>
      </c>
      <c r="D192" t="s">
        <v>16</v>
      </c>
      <c r="E192" t="s">
        <v>136</v>
      </c>
      <c r="F192">
        <v>81959575</v>
      </c>
      <c r="G192" t="s">
        <v>134</v>
      </c>
      <c r="H192" t="s">
        <v>81</v>
      </c>
      <c r="I192" t="s">
        <v>9</v>
      </c>
      <c r="L192" t="s">
        <v>161</v>
      </c>
      <c r="M192">
        <v>81959575</v>
      </c>
    </row>
    <row r="193" spans="1:13" x14ac:dyDescent="0.3">
      <c r="A193" s="23">
        <v>45428</v>
      </c>
      <c r="B193" t="s">
        <v>12</v>
      </c>
      <c r="C193" t="s">
        <v>132</v>
      </c>
      <c r="D193" t="s">
        <v>17</v>
      </c>
      <c r="E193" t="s">
        <v>136</v>
      </c>
      <c r="F193">
        <v>26994273</v>
      </c>
      <c r="G193" t="s">
        <v>134</v>
      </c>
      <c r="H193" t="s">
        <v>81</v>
      </c>
      <c r="I193" t="s">
        <v>9</v>
      </c>
      <c r="L193" t="s">
        <v>161</v>
      </c>
      <c r="M193">
        <v>-26994273</v>
      </c>
    </row>
    <row r="194" spans="1:13" x14ac:dyDescent="0.3">
      <c r="A194" s="23">
        <v>45427</v>
      </c>
      <c r="B194" t="s">
        <v>12</v>
      </c>
      <c r="C194" t="s">
        <v>132</v>
      </c>
      <c r="D194" t="s">
        <v>16</v>
      </c>
      <c r="E194" t="s">
        <v>136</v>
      </c>
      <c r="F194">
        <v>300000000</v>
      </c>
      <c r="G194" t="s">
        <v>134</v>
      </c>
      <c r="H194" t="s">
        <v>81</v>
      </c>
      <c r="I194" t="s">
        <v>9</v>
      </c>
      <c r="L194" t="s">
        <v>161</v>
      </c>
      <c r="M194">
        <v>300000000</v>
      </c>
    </row>
    <row r="195" spans="1:13" x14ac:dyDescent="0.3">
      <c r="A195" s="23">
        <v>45426</v>
      </c>
      <c r="B195" t="s">
        <v>12</v>
      </c>
      <c r="C195" t="s">
        <v>132</v>
      </c>
      <c r="D195" t="s">
        <v>17</v>
      </c>
      <c r="E195" t="s">
        <v>136</v>
      </c>
      <c r="F195">
        <v>978668240</v>
      </c>
      <c r="G195" t="s">
        <v>134</v>
      </c>
      <c r="H195" t="s">
        <v>81</v>
      </c>
      <c r="I195" t="s">
        <v>9</v>
      </c>
      <c r="L195" t="s">
        <v>161</v>
      </c>
      <c r="M195">
        <v>-978668240</v>
      </c>
    </row>
    <row r="196" spans="1:13" x14ac:dyDescent="0.3">
      <c r="A196" s="23">
        <v>45099</v>
      </c>
      <c r="B196" t="s">
        <v>12</v>
      </c>
      <c r="C196" t="s">
        <v>132</v>
      </c>
      <c r="D196" t="s">
        <v>16</v>
      </c>
      <c r="E196" t="s">
        <v>136</v>
      </c>
      <c r="F196">
        <v>215000000</v>
      </c>
      <c r="G196" t="s">
        <v>134</v>
      </c>
      <c r="H196" t="s">
        <v>81</v>
      </c>
      <c r="I196" t="s">
        <v>9</v>
      </c>
      <c r="L196" t="s">
        <v>161</v>
      </c>
      <c r="M196">
        <v>215000000</v>
      </c>
    </row>
    <row r="197" spans="1:13" x14ac:dyDescent="0.3">
      <c r="A197" s="23">
        <v>45425</v>
      </c>
      <c r="B197" t="s">
        <v>12</v>
      </c>
      <c r="C197" t="s">
        <v>132</v>
      </c>
      <c r="D197" t="s">
        <v>17</v>
      </c>
      <c r="E197" t="s">
        <v>136</v>
      </c>
      <c r="F197">
        <v>884127000</v>
      </c>
      <c r="G197" t="s">
        <v>134</v>
      </c>
      <c r="H197" t="s">
        <v>81</v>
      </c>
      <c r="I197" t="s">
        <v>9</v>
      </c>
      <c r="L197" t="s">
        <v>161</v>
      </c>
      <c r="M197">
        <v>-884127000</v>
      </c>
    </row>
    <row r="198" spans="1:13" x14ac:dyDescent="0.3">
      <c r="A198" s="23">
        <v>45100</v>
      </c>
      <c r="B198" t="s">
        <v>12</v>
      </c>
      <c r="C198" t="s">
        <v>132</v>
      </c>
      <c r="D198" t="s">
        <v>17</v>
      </c>
      <c r="E198" t="s">
        <v>136</v>
      </c>
      <c r="F198">
        <v>212500000</v>
      </c>
      <c r="G198" t="s">
        <v>134</v>
      </c>
      <c r="H198" t="s">
        <v>81</v>
      </c>
      <c r="I198" t="s">
        <v>9</v>
      </c>
      <c r="L198" t="s">
        <v>161</v>
      </c>
      <c r="M198">
        <v>-212500000</v>
      </c>
    </row>
    <row r="199" spans="1:13" x14ac:dyDescent="0.3">
      <c r="A199" s="23">
        <v>45425</v>
      </c>
      <c r="B199" t="s">
        <v>12</v>
      </c>
      <c r="C199" t="s">
        <v>132</v>
      </c>
      <c r="D199" t="s">
        <v>16</v>
      </c>
      <c r="E199" t="s">
        <v>136</v>
      </c>
      <c r="F199">
        <v>800000000</v>
      </c>
      <c r="G199" t="s">
        <v>134</v>
      </c>
      <c r="H199" t="s">
        <v>81</v>
      </c>
      <c r="I199" t="s">
        <v>9</v>
      </c>
      <c r="L199" t="s">
        <v>161</v>
      </c>
      <c r="M199">
        <v>800000000</v>
      </c>
    </row>
    <row r="200" spans="1:13" x14ac:dyDescent="0.3">
      <c r="A200" s="23">
        <v>45103</v>
      </c>
      <c r="B200" t="s">
        <v>12</v>
      </c>
      <c r="C200" t="s">
        <v>132</v>
      </c>
      <c r="D200" t="s">
        <v>16</v>
      </c>
      <c r="E200" t="s">
        <v>136</v>
      </c>
      <c r="F200">
        <v>110000000</v>
      </c>
      <c r="G200" t="s">
        <v>134</v>
      </c>
      <c r="H200" t="s">
        <v>81</v>
      </c>
      <c r="I200" t="s">
        <v>9</v>
      </c>
      <c r="L200" t="s">
        <v>161</v>
      </c>
      <c r="M200">
        <v>110000000</v>
      </c>
    </row>
    <row r="201" spans="1:13" x14ac:dyDescent="0.3">
      <c r="A201" s="23">
        <v>45425</v>
      </c>
      <c r="B201" t="s">
        <v>12</v>
      </c>
      <c r="C201" t="s">
        <v>132</v>
      </c>
      <c r="D201" t="s">
        <v>16</v>
      </c>
      <c r="E201" t="s">
        <v>136</v>
      </c>
      <c r="F201">
        <v>36237000</v>
      </c>
      <c r="G201" t="s">
        <v>134</v>
      </c>
      <c r="H201" t="s">
        <v>81</v>
      </c>
      <c r="I201" t="s">
        <v>9</v>
      </c>
      <c r="L201" t="s">
        <v>161</v>
      </c>
      <c r="M201">
        <v>36237000</v>
      </c>
    </row>
    <row r="202" spans="1:13" x14ac:dyDescent="0.3">
      <c r="A202" s="23">
        <v>45121</v>
      </c>
      <c r="B202" t="s">
        <v>12</v>
      </c>
      <c r="C202" t="s">
        <v>132</v>
      </c>
      <c r="D202" t="s">
        <v>17</v>
      </c>
      <c r="E202" t="s">
        <v>136</v>
      </c>
      <c r="F202">
        <v>112500000</v>
      </c>
      <c r="G202" t="s">
        <v>134</v>
      </c>
      <c r="H202" t="s">
        <v>81</v>
      </c>
      <c r="I202" t="s">
        <v>9</v>
      </c>
      <c r="L202" t="s">
        <v>161</v>
      </c>
      <c r="M202">
        <v>-112500000</v>
      </c>
    </row>
    <row r="203" spans="1:13" x14ac:dyDescent="0.3">
      <c r="A203" s="23">
        <v>45128</v>
      </c>
      <c r="B203" t="s">
        <v>12</v>
      </c>
      <c r="C203" t="s">
        <v>132</v>
      </c>
      <c r="D203" t="s">
        <v>16</v>
      </c>
      <c r="E203" t="s">
        <v>136</v>
      </c>
      <c r="F203">
        <v>264721248.66</v>
      </c>
      <c r="G203" t="s">
        <v>134</v>
      </c>
      <c r="H203" t="s">
        <v>81</v>
      </c>
      <c r="I203" t="s">
        <v>9</v>
      </c>
      <c r="L203" t="s">
        <v>161</v>
      </c>
      <c r="M203">
        <v>264721248.66</v>
      </c>
    </row>
    <row r="204" spans="1:13" x14ac:dyDescent="0.3">
      <c r="A204" s="23">
        <v>45422</v>
      </c>
      <c r="B204" t="s">
        <v>12</v>
      </c>
      <c r="C204" t="s">
        <v>132</v>
      </c>
      <c r="D204" t="s">
        <v>16</v>
      </c>
      <c r="E204" t="s">
        <v>136</v>
      </c>
      <c r="F204">
        <v>1000000000</v>
      </c>
      <c r="G204" t="s">
        <v>134</v>
      </c>
      <c r="H204" t="s">
        <v>81</v>
      </c>
      <c r="I204" t="s">
        <v>9</v>
      </c>
      <c r="L204" t="s">
        <v>161</v>
      </c>
      <c r="M204">
        <v>1000000000</v>
      </c>
    </row>
    <row r="205" spans="1:13" x14ac:dyDescent="0.3">
      <c r="A205" s="23">
        <v>45421</v>
      </c>
      <c r="B205" t="s">
        <v>12</v>
      </c>
      <c r="C205" t="s">
        <v>132</v>
      </c>
      <c r="D205" t="s">
        <v>16</v>
      </c>
      <c r="E205" t="s">
        <v>136</v>
      </c>
      <c r="F205">
        <v>67790450</v>
      </c>
      <c r="G205" t="s">
        <v>134</v>
      </c>
      <c r="H205" t="s">
        <v>81</v>
      </c>
      <c r="I205" t="s">
        <v>9</v>
      </c>
      <c r="L205" t="s">
        <v>161</v>
      </c>
      <c r="M205">
        <v>67790450</v>
      </c>
    </row>
    <row r="206" spans="1:13" x14ac:dyDescent="0.3">
      <c r="A206" s="23">
        <v>45420</v>
      </c>
      <c r="B206" t="s">
        <v>12</v>
      </c>
      <c r="C206" t="s">
        <v>132</v>
      </c>
      <c r="D206" t="s">
        <v>16</v>
      </c>
      <c r="E206" t="s">
        <v>136</v>
      </c>
      <c r="F206">
        <v>1843750</v>
      </c>
      <c r="G206" t="s">
        <v>134</v>
      </c>
      <c r="H206" t="s">
        <v>81</v>
      </c>
      <c r="I206" t="s">
        <v>9</v>
      </c>
      <c r="L206" t="s">
        <v>161</v>
      </c>
      <c r="M206">
        <v>1843750</v>
      </c>
    </row>
    <row r="207" spans="1:13" x14ac:dyDescent="0.3">
      <c r="A207" s="23">
        <v>45132</v>
      </c>
      <c r="B207" t="s">
        <v>12</v>
      </c>
      <c r="C207" t="s">
        <v>132</v>
      </c>
      <c r="D207" t="s">
        <v>16</v>
      </c>
      <c r="E207" t="s">
        <v>136</v>
      </c>
      <c r="F207">
        <v>1245847.92</v>
      </c>
      <c r="G207" t="s">
        <v>134</v>
      </c>
      <c r="H207" t="s">
        <v>81</v>
      </c>
      <c r="I207" t="s">
        <v>9</v>
      </c>
      <c r="J207" t="s">
        <v>155</v>
      </c>
      <c r="L207" t="s">
        <v>161</v>
      </c>
      <c r="M207">
        <v>1245847.92</v>
      </c>
    </row>
    <row r="208" spans="1:13" x14ac:dyDescent="0.3">
      <c r="A208" s="23">
        <v>45419</v>
      </c>
      <c r="B208" t="s">
        <v>12</v>
      </c>
      <c r="C208" t="s">
        <v>132</v>
      </c>
      <c r="D208" t="s">
        <v>17</v>
      </c>
      <c r="E208" t="s">
        <v>136</v>
      </c>
      <c r="F208">
        <v>881558762</v>
      </c>
      <c r="G208" t="s">
        <v>134</v>
      </c>
      <c r="H208" t="s">
        <v>81</v>
      </c>
      <c r="I208" t="s">
        <v>9</v>
      </c>
      <c r="L208" t="s">
        <v>161</v>
      </c>
      <c r="M208">
        <v>-881558762</v>
      </c>
    </row>
    <row r="209" spans="1:13" x14ac:dyDescent="0.3">
      <c r="A209" s="23">
        <v>45418</v>
      </c>
      <c r="B209" t="s">
        <v>12</v>
      </c>
      <c r="C209" t="s">
        <v>132</v>
      </c>
      <c r="D209" t="s">
        <v>17</v>
      </c>
      <c r="E209" t="s">
        <v>136</v>
      </c>
      <c r="F209">
        <v>880059446</v>
      </c>
      <c r="G209" t="s">
        <v>134</v>
      </c>
      <c r="H209" t="s">
        <v>81</v>
      </c>
      <c r="I209" t="s">
        <v>9</v>
      </c>
      <c r="L209" t="s">
        <v>161</v>
      </c>
      <c r="M209">
        <v>-880059446</v>
      </c>
    </row>
    <row r="210" spans="1:13" x14ac:dyDescent="0.3">
      <c r="A210" s="23">
        <v>45132</v>
      </c>
      <c r="B210" t="s">
        <v>12</v>
      </c>
      <c r="C210" t="s">
        <v>132</v>
      </c>
      <c r="D210" t="s">
        <v>17</v>
      </c>
      <c r="E210" t="s">
        <v>136</v>
      </c>
      <c r="F210">
        <v>60000000</v>
      </c>
      <c r="G210" t="s">
        <v>134</v>
      </c>
      <c r="H210" t="s">
        <v>81</v>
      </c>
      <c r="I210" t="s">
        <v>9</v>
      </c>
      <c r="L210" t="s">
        <v>161</v>
      </c>
      <c r="M210">
        <v>-60000000</v>
      </c>
    </row>
    <row r="211" spans="1:13" x14ac:dyDescent="0.3">
      <c r="A211" s="23">
        <v>45418</v>
      </c>
      <c r="B211" t="s">
        <v>12</v>
      </c>
      <c r="C211" t="s">
        <v>132</v>
      </c>
      <c r="D211" t="s">
        <v>17</v>
      </c>
      <c r="E211" t="s">
        <v>136</v>
      </c>
      <c r="F211">
        <v>52282127</v>
      </c>
      <c r="G211" t="s">
        <v>134</v>
      </c>
      <c r="H211" t="s">
        <v>81</v>
      </c>
      <c r="I211" t="s">
        <v>9</v>
      </c>
      <c r="L211" t="s">
        <v>161</v>
      </c>
      <c r="M211">
        <v>-52282127</v>
      </c>
    </row>
    <row r="212" spans="1:13" x14ac:dyDescent="0.3">
      <c r="A212" s="23">
        <v>45415</v>
      </c>
      <c r="B212" t="s">
        <v>12</v>
      </c>
      <c r="C212" t="s">
        <v>132</v>
      </c>
      <c r="D212" t="s">
        <v>16</v>
      </c>
      <c r="E212" t="s">
        <v>136</v>
      </c>
      <c r="F212">
        <v>45760400</v>
      </c>
      <c r="G212" t="s">
        <v>134</v>
      </c>
      <c r="H212" t="s">
        <v>81</v>
      </c>
      <c r="I212" t="s">
        <v>9</v>
      </c>
      <c r="L212" t="s">
        <v>161</v>
      </c>
      <c r="M212">
        <v>45760400</v>
      </c>
    </row>
    <row r="213" spans="1:13" x14ac:dyDescent="0.3">
      <c r="A213" s="23">
        <v>45134</v>
      </c>
      <c r="B213" t="s">
        <v>12</v>
      </c>
      <c r="C213" t="s">
        <v>132</v>
      </c>
      <c r="D213" t="s">
        <v>17</v>
      </c>
      <c r="E213" t="s">
        <v>136</v>
      </c>
      <c r="F213">
        <v>16000000</v>
      </c>
      <c r="G213" t="s">
        <v>134</v>
      </c>
      <c r="H213" t="s">
        <v>81</v>
      </c>
      <c r="I213" t="s">
        <v>9</v>
      </c>
      <c r="L213" t="s">
        <v>161</v>
      </c>
      <c r="M213">
        <v>-16000000</v>
      </c>
    </row>
    <row r="214" spans="1:13" x14ac:dyDescent="0.3">
      <c r="A214" s="23">
        <v>45138</v>
      </c>
      <c r="B214" t="s">
        <v>12</v>
      </c>
      <c r="C214" t="s">
        <v>132</v>
      </c>
      <c r="D214" t="s">
        <v>17</v>
      </c>
      <c r="E214" t="s">
        <v>136</v>
      </c>
      <c r="F214">
        <v>81900000</v>
      </c>
      <c r="G214" t="s">
        <v>134</v>
      </c>
      <c r="H214" t="s">
        <v>81</v>
      </c>
      <c r="I214" t="s">
        <v>9</v>
      </c>
      <c r="L214" t="s">
        <v>161</v>
      </c>
      <c r="M214">
        <v>-81900000</v>
      </c>
    </row>
    <row r="215" spans="1:13" x14ac:dyDescent="0.3">
      <c r="A215" s="23">
        <v>45407</v>
      </c>
      <c r="B215" t="s">
        <v>12</v>
      </c>
      <c r="C215" t="s">
        <v>132</v>
      </c>
      <c r="D215" t="s">
        <v>16</v>
      </c>
      <c r="E215" t="s">
        <v>136</v>
      </c>
      <c r="F215">
        <v>61650000</v>
      </c>
      <c r="G215" t="s">
        <v>134</v>
      </c>
      <c r="H215" t="s">
        <v>81</v>
      </c>
      <c r="I215" t="s">
        <v>9</v>
      </c>
      <c r="L215" t="s">
        <v>161</v>
      </c>
      <c r="M215">
        <v>61650000</v>
      </c>
    </row>
    <row r="216" spans="1:13" x14ac:dyDescent="0.3">
      <c r="A216" s="23">
        <v>45141</v>
      </c>
      <c r="B216" t="s">
        <v>12</v>
      </c>
      <c r="C216" t="s">
        <v>132</v>
      </c>
      <c r="D216" t="s">
        <v>17</v>
      </c>
      <c r="E216" t="s">
        <v>136</v>
      </c>
      <c r="F216">
        <v>108067096.58</v>
      </c>
      <c r="G216" t="s">
        <v>134</v>
      </c>
      <c r="H216" t="s">
        <v>81</v>
      </c>
      <c r="I216" t="s">
        <v>9</v>
      </c>
      <c r="L216" t="s">
        <v>161</v>
      </c>
      <c r="M216">
        <v>-108067096.58</v>
      </c>
    </row>
    <row r="217" spans="1:13" x14ac:dyDescent="0.3">
      <c r="A217" s="23">
        <v>45406</v>
      </c>
      <c r="B217" t="s">
        <v>12</v>
      </c>
      <c r="C217" t="s">
        <v>132</v>
      </c>
      <c r="D217" t="s">
        <v>16</v>
      </c>
      <c r="E217" t="s">
        <v>136</v>
      </c>
      <c r="F217">
        <v>10084800</v>
      </c>
      <c r="G217" t="s">
        <v>134</v>
      </c>
      <c r="H217" t="s">
        <v>81</v>
      </c>
      <c r="I217" t="s">
        <v>9</v>
      </c>
      <c r="L217" t="s">
        <v>161</v>
      </c>
      <c r="M217">
        <v>10084800</v>
      </c>
    </row>
    <row r="218" spans="1:13" x14ac:dyDescent="0.3">
      <c r="A218" s="23">
        <v>45406</v>
      </c>
      <c r="B218" t="s">
        <v>12</v>
      </c>
      <c r="C218" t="s">
        <v>132</v>
      </c>
      <c r="D218" t="s">
        <v>16</v>
      </c>
      <c r="E218" t="s">
        <v>136</v>
      </c>
      <c r="F218">
        <v>285630950</v>
      </c>
      <c r="G218" t="s">
        <v>134</v>
      </c>
      <c r="H218" t="s">
        <v>81</v>
      </c>
      <c r="I218" t="s">
        <v>9</v>
      </c>
      <c r="L218" t="s">
        <v>161</v>
      </c>
      <c r="M218">
        <v>285630950</v>
      </c>
    </row>
    <row r="219" spans="1:13" x14ac:dyDescent="0.3">
      <c r="A219" s="23">
        <v>45401</v>
      </c>
      <c r="B219" t="s">
        <v>12</v>
      </c>
      <c r="C219" t="s">
        <v>132</v>
      </c>
      <c r="D219" t="s">
        <v>16</v>
      </c>
      <c r="E219" t="s">
        <v>136</v>
      </c>
      <c r="F219">
        <v>42104853</v>
      </c>
      <c r="G219" t="s">
        <v>134</v>
      </c>
      <c r="H219" t="s">
        <v>81</v>
      </c>
      <c r="I219" t="s">
        <v>9</v>
      </c>
      <c r="L219" t="s">
        <v>161</v>
      </c>
      <c r="M219">
        <v>42104853</v>
      </c>
    </row>
    <row r="220" spans="1:13" x14ac:dyDescent="0.3">
      <c r="A220" s="23">
        <v>45393</v>
      </c>
      <c r="B220" t="s">
        <v>12</v>
      </c>
      <c r="C220" t="s">
        <v>132</v>
      </c>
      <c r="D220" t="s">
        <v>16</v>
      </c>
      <c r="E220" t="s">
        <v>136</v>
      </c>
      <c r="F220">
        <v>5600000</v>
      </c>
      <c r="G220" t="s">
        <v>134</v>
      </c>
      <c r="H220" t="s">
        <v>81</v>
      </c>
      <c r="I220" t="s">
        <v>9</v>
      </c>
      <c r="L220" t="s">
        <v>161</v>
      </c>
      <c r="M220">
        <v>5600000</v>
      </c>
    </row>
    <row r="221" spans="1:13" x14ac:dyDescent="0.3">
      <c r="A221" s="23">
        <v>45148</v>
      </c>
      <c r="B221" t="s">
        <v>12</v>
      </c>
      <c r="C221" t="s">
        <v>132</v>
      </c>
      <c r="D221" t="s">
        <v>16</v>
      </c>
      <c r="E221" t="s">
        <v>136</v>
      </c>
      <c r="F221">
        <v>120000000</v>
      </c>
      <c r="G221" t="s">
        <v>134</v>
      </c>
      <c r="H221" t="s">
        <v>81</v>
      </c>
      <c r="I221" t="s">
        <v>9</v>
      </c>
      <c r="L221" t="s">
        <v>161</v>
      </c>
      <c r="M221">
        <v>120000000</v>
      </c>
    </row>
    <row r="222" spans="1:13" x14ac:dyDescent="0.3">
      <c r="A222" s="23">
        <v>45152</v>
      </c>
      <c r="B222" t="s">
        <v>12</v>
      </c>
      <c r="C222" t="s">
        <v>132</v>
      </c>
      <c r="D222" t="s">
        <v>17</v>
      </c>
      <c r="E222" t="s">
        <v>136</v>
      </c>
      <c r="F222">
        <v>120000000</v>
      </c>
      <c r="G222" t="s">
        <v>134</v>
      </c>
      <c r="H222" t="s">
        <v>81</v>
      </c>
      <c r="I222" t="s">
        <v>9</v>
      </c>
      <c r="L222" t="s">
        <v>161</v>
      </c>
      <c r="M222">
        <v>-120000000</v>
      </c>
    </row>
    <row r="223" spans="1:13" x14ac:dyDescent="0.3">
      <c r="A223" s="23">
        <v>45387</v>
      </c>
      <c r="B223" t="s">
        <v>12</v>
      </c>
      <c r="C223" t="s">
        <v>132</v>
      </c>
      <c r="D223" t="s">
        <v>16</v>
      </c>
      <c r="E223" t="s">
        <v>136</v>
      </c>
      <c r="F223">
        <v>595386000</v>
      </c>
      <c r="G223" t="s">
        <v>134</v>
      </c>
      <c r="H223" t="s">
        <v>81</v>
      </c>
      <c r="I223" t="s">
        <v>9</v>
      </c>
      <c r="L223" t="s">
        <v>161</v>
      </c>
      <c r="M223">
        <v>595386000</v>
      </c>
    </row>
    <row r="224" spans="1:13" x14ac:dyDescent="0.3">
      <c r="A224" s="23">
        <v>45153</v>
      </c>
      <c r="B224" t="s">
        <v>12</v>
      </c>
      <c r="C224" t="s">
        <v>132</v>
      </c>
      <c r="D224" t="s">
        <v>16</v>
      </c>
      <c r="E224" t="s">
        <v>136</v>
      </c>
      <c r="F224">
        <v>268000000</v>
      </c>
      <c r="G224" t="s">
        <v>134</v>
      </c>
      <c r="H224" t="s">
        <v>81</v>
      </c>
      <c r="I224" t="s">
        <v>9</v>
      </c>
      <c r="L224" t="s">
        <v>161</v>
      </c>
      <c r="M224">
        <v>268000000</v>
      </c>
    </row>
    <row r="225" spans="1:13" x14ac:dyDescent="0.3">
      <c r="A225" s="23">
        <v>45387</v>
      </c>
      <c r="B225" t="s">
        <v>12</v>
      </c>
      <c r="C225" t="s">
        <v>132</v>
      </c>
      <c r="D225" t="s">
        <v>17</v>
      </c>
      <c r="E225" t="s">
        <v>136</v>
      </c>
      <c r="F225">
        <v>152994326</v>
      </c>
      <c r="G225" t="s">
        <v>134</v>
      </c>
      <c r="H225" t="s">
        <v>81</v>
      </c>
      <c r="I225" t="s">
        <v>9</v>
      </c>
      <c r="L225" t="s">
        <v>161</v>
      </c>
      <c r="M225">
        <v>-152994326</v>
      </c>
    </row>
    <row r="226" spans="1:13" x14ac:dyDescent="0.3">
      <c r="A226" s="23">
        <v>45386</v>
      </c>
      <c r="B226" t="s">
        <v>12</v>
      </c>
      <c r="C226" t="s">
        <v>132</v>
      </c>
      <c r="D226" t="s">
        <v>16</v>
      </c>
      <c r="E226" t="s">
        <v>136</v>
      </c>
      <c r="F226">
        <v>446900000</v>
      </c>
      <c r="G226" t="s">
        <v>134</v>
      </c>
      <c r="H226" t="s">
        <v>81</v>
      </c>
      <c r="I226" t="s">
        <v>9</v>
      </c>
      <c r="L226" t="s">
        <v>161</v>
      </c>
      <c r="M226">
        <v>446900000</v>
      </c>
    </row>
    <row r="227" spans="1:13" x14ac:dyDescent="0.3">
      <c r="A227" s="23">
        <v>45154</v>
      </c>
      <c r="B227" t="s">
        <v>12</v>
      </c>
      <c r="C227" t="s">
        <v>132</v>
      </c>
      <c r="D227" t="s">
        <v>17</v>
      </c>
      <c r="E227" t="s">
        <v>136</v>
      </c>
      <c r="F227">
        <v>268000000</v>
      </c>
      <c r="G227" t="s">
        <v>134</v>
      </c>
      <c r="H227" t="s">
        <v>81</v>
      </c>
      <c r="I227" t="s">
        <v>9</v>
      </c>
      <c r="L227" t="s">
        <v>161</v>
      </c>
      <c r="M227">
        <v>-268000000</v>
      </c>
    </row>
    <row r="228" spans="1:13" x14ac:dyDescent="0.3">
      <c r="A228" s="23">
        <v>45386</v>
      </c>
      <c r="B228" t="s">
        <v>12</v>
      </c>
      <c r="C228" t="s">
        <v>132</v>
      </c>
      <c r="D228" t="s">
        <v>17</v>
      </c>
      <c r="E228" t="s">
        <v>136</v>
      </c>
      <c r="F228">
        <v>42852998</v>
      </c>
      <c r="G228" t="s">
        <v>134</v>
      </c>
      <c r="H228" t="s">
        <v>81</v>
      </c>
      <c r="I228" t="s">
        <v>9</v>
      </c>
      <c r="L228" t="s">
        <v>161</v>
      </c>
      <c r="M228">
        <v>-42852998</v>
      </c>
    </row>
    <row r="229" spans="1:13" x14ac:dyDescent="0.3">
      <c r="A229" s="23">
        <v>45386</v>
      </c>
      <c r="B229" t="s">
        <v>12</v>
      </c>
      <c r="C229" t="s">
        <v>132</v>
      </c>
      <c r="D229" t="s">
        <v>17</v>
      </c>
      <c r="E229" t="s">
        <v>136</v>
      </c>
      <c r="F229">
        <v>50000000</v>
      </c>
      <c r="G229" t="s">
        <v>134</v>
      </c>
      <c r="H229" t="s">
        <v>81</v>
      </c>
      <c r="I229" t="s">
        <v>9</v>
      </c>
      <c r="L229" t="s">
        <v>161</v>
      </c>
      <c r="M229">
        <v>-50000000</v>
      </c>
    </row>
    <row r="230" spans="1:13" x14ac:dyDescent="0.3">
      <c r="A230" s="23">
        <v>45383</v>
      </c>
      <c r="B230" t="s">
        <v>12</v>
      </c>
      <c r="C230" t="s">
        <v>132</v>
      </c>
      <c r="D230" t="s">
        <v>16</v>
      </c>
      <c r="E230" t="s">
        <v>136</v>
      </c>
      <c r="F230">
        <v>24340000</v>
      </c>
      <c r="G230" t="s">
        <v>134</v>
      </c>
      <c r="H230" t="s">
        <v>81</v>
      </c>
      <c r="I230" t="s">
        <v>9</v>
      </c>
      <c r="L230" t="s">
        <v>161</v>
      </c>
      <c r="M230">
        <v>24340000</v>
      </c>
    </row>
    <row r="231" spans="1:13" x14ac:dyDescent="0.3">
      <c r="A231" s="23">
        <v>45155</v>
      </c>
      <c r="B231" t="s">
        <v>12</v>
      </c>
      <c r="C231" t="s">
        <v>132</v>
      </c>
      <c r="D231" t="s">
        <v>16</v>
      </c>
      <c r="E231" t="s">
        <v>136</v>
      </c>
      <c r="F231">
        <v>268000000</v>
      </c>
      <c r="G231" t="s">
        <v>134</v>
      </c>
      <c r="H231" t="s">
        <v>81</v>
      </c>
      <c r="I231" t="s">
        <v>9</v>
      </c>
      <c r="L231" t="s">
        <v>161</v>
      </c>
      <c r="M231">
        <v>268000000</v>
      </c>
    </row>
    <row r="232" spans="1:13" x14ac:dyDescent="0.3">
      <c r="A232" s="23">
        <v>45378</v>
      </c>
      <c r="B232" t="s">
        <v>12</v>
      </c>
      <c r="C232" t="s">
        <v>132</v>
      </c>
      <c r="D232" t="s">
        <v>16</v>
      </c>
      <c r="E232" t="s">
        <v>136</v>
      </c>
      <c r="F232">
        <v>375145000</v>
      </c>
      <c r="G232" t="s">
        <v>134</v>
      </c>
      <c r="H232" t="s">
        <v>81</v>
      </c>
      <c r="I232" t="s">
        <v>9</v>
      </c>
      <c r="L232" t="s">
        <v>161</v>
      </c>
      <c r="M232">
        <v>375145000</v>
      </c>
    </row>
    <row r="233" spans="1:13" x14ac:dyDescent="0.3">
      <c r="A233" s="23">
        <v>45156</v>
      </c>
      <c r="B233" t="s">
        <v>12</v>
      </c>
      <c r="C233" t="s">
        <v>132</v>
      </c>
      <c r="D233" t="s">
        <v>17</v>
      </c>
      <c r="E233" t="s">
        <v>136</v>
      </c>
      <c r="F233">
        <v>142548591.40000001</v>
      </c>
      <c r="G233" t="s">
        <v>134</v>
      </c>
      <c r="H233" t="s">
        <v>81</v>
      </c>
      <c r="I233" t="s">
        <v>9</v>
      </c>
      <c r="L233" t="s">
        <v>161</v>
      </c>
      <c r="M233">
        <v>-142548591.40000001</v>
      </c>
    </row>
    <row r="234" spans="1:13" x14ac:dyDescent="0.3">
      <c r="A234" s="23">
        <v>45377</v>
      </c>
      <c r="B234" t="s">
        <v>12</v>
      </c>
      <c r="C234" t="s">
        <v>132</v>
      </c>
      <c r="D234" t="s">
        <v>17</v>
      </c>
      <c r="E234" t="s">
        <v>136</v>
      </c>
      <c r="F234">
        <v>400000000</v>
      </c>
      <c r="G234" t="s">
        <v>134</v>
      </c>
      <c r="H234" t="s">
        <v>81</v>
      </c>
      <c r="I234" t="s">
        <v>9</v>
      </c>
      <c r="L234" t="s">
        <v>161</v>
      </c>
      <c r="M234">
        <v>-400000000</v>
      </c>
    </row>
    <row r="235" spans="1:13" x14ac:dyDescent="0.3">
      <c r="A235" s="23">
        <v>45376</v>
      </c>
      <c r="B235" t="s">
        <v>12</v>
      </c>
      <c r="C235" t="s">
        <v>132</v>
      </c>
      <c r="D235" t="s">
        <v>17</v>
      </c>
      <c r="E235" t="s">
        <v>136</v>
      </c>
      <c r="F235">
        <v>60503080</v>
      </c>
      <c r="G235" t="s">
        <v>134</v>
      </c>
      <c r="H235" t="s">
        <v>81</v>
      </c>
      <c r="I235" t="s">
        <v>9</v>
      </c>
      <c r="L235" t="s">
        <v>161</v>
      </c>
      <c r="M235">
        <v>-60503080</v>
      </c>
    </row>
    <row r="236" spans="1:13" x14ac:dyDescent="0.3">
      <c r="A236" s="23">
        <v>45376</v>
      </c>
      <c r="B236" t="s">
        <v>12</v>
      </c>
      <c r="C236" t="s">
        <v>132</v>
      </c>
      <c r="D236" t="s">
        <v>17</v>
      </c>
      <c r="E236" t="s">
        <v>136</v>
      </c>
      <c r="F236">
        <v>38720240</v>
      </c>
      <c r="G236" t="s">
        <v>134</v>
      </c>
      <c r="H236" t="s">
        <v>81</v>
      </c>
      <c r="I236" t="s">
        <v>9</v>
      </c>
      <c r="L236" t="s">
        <v>161</v>
      </c>
      <c r="M236">
        <v>-38720240</v>
      </c>
    </row>
    <row r="237" spans="1:13" x14ac:dyDescent="0.3">
      <c r="A237" s="23">
        <v>45160</v>
      </c>
      <c r="B237" t="s">
        <v>12</v>
      </c>
      <c r="C237" t="s">
        <v>132</v>
      </c>
      <c r="D237" t="s">
        <v>17</v>
      </c>
      <c r="E237" t="s">
        <v>136</v>
      </c>
      <c r="F237">
        <v>125451408.59999999</v>
      </c>
      <c r="G237" t="s">
        <v>134</v>
      </c>
      <c r="H237" t="s">
        <v>81</v>
      </c>
      <c r="I237" t="s">
        <v>9</v>
      </c>
      <c r="L237" t="s">
        <v>161</v>
      </c>
      <c r="M237">
        <v>-125451408.59999999</v>
      </c>
    </row>
    <row r="238" spans="1:13" x14ac:dyDescent="0.3">
      <c r="A238" s="23">
        <v>45372</v>
      </c>
      <c r="B238" t="s">
        <v>12</v>
      </c>
      <c r="C238" t="s">
        <v>132</v>
      </c>
      <c r="D238" t="s">
        <v>16</v>
      </c>
      <c r="E238" t="s">
        <v>136</v>
      </c>
      <c r="F238">
        <v>251314000</v>
      </c>
      <c r="G238" t="s">
        <v>134</v>
      </c>
      <c r="H238" t="s">
        <v>81</v>
      </c>
      <c r="I238" t="s">
        <v>9</v>
      </c>
      <c r="L238" t="s">
        <v>161</v>
      </c>
      <c r="M238">
        <v>251314000</v>
      </c>
    </row>
    <row r="239" spans="1:13" x14ac:dyDescent="0.3">
      <c r="A239" s="23">
        <v>45372</v>
      </c>
      <c r="B239" t="s">
        <v>12</v>
      </c>
      <c r="C239" t="s">
        <v>132</v>
      </c>
      <c r="D239" t="s">
        <v>17</v>
      </c>
      <c r="E239" t="s">
        <v>136</v>
      </c>
      <c r="F239">
        <v>33593592.299999997</v>
      </c>
      <c r="G239" t="s">
        <v>134</v>
      </c>
      <c r="H239" t="s">
        <v>81</v>
      </c>
      <c r="I239" t="s">
        <v>9</v>
      </c>
      <c r="L239" t="s">
        <v>161</v>
      </c>
      <c r="M239">
        <v>-33593592.299999997</v>
      </c>
    </row>
    <row r="240" spans="1:13" x14ac:dyDescent="0.3">
      <c r="A240" s="23">
        <v>45372</v>
      </c>
      <c r="B240" t="s">
        <v>12</v>
      </c>
      <c r="C240" t="s">
        <v>132</v>
      </c>
      <c r="D240" t="s">
        <v>17</v>
      </c>
      <c r="E240" t="s">
        <v>136</v>
      </c>
      <c r="F240">
        <v>26341708</v>
      </c>
      <c r="G240" t="s">
        <v>134</v>
      </c>
      <c r="H240" t="s">
        <v>81</v>
      </c>
      <c r="I240" t="s">
        <v>9</v>
      </c>
      <c r="L240" t="s">
        <v>161</v>
      </c>
      <c r="M240">
        <v>-26341708</v>
      </c>
    </row>
    <row r="241" spans="1:13" x14ac:dyDescent="0.3">
      <c r="A241" s="23">
        <v>45161</v>
      </c>
      <c r="B241" t="s">
        <v>12</v>
      </c>
      <c r="C241" t="s">
        <v>132</v>
      </c>
      <c r="D241" t="s">
        <v>16</v>
      </c>
      <c r="E241" t="s">
        <v>136</v>
      </c>
      <c r="F241">
        <v>400000000</v>
      </c>
      <c r="G241" t="s">
        <v>134</v>
      </c>
      <c r="H241" t="s">
        <v>81</v>
      </c>
      <c r="I241" t="s">
        <v>9</v>
      </c>
      <c r="L241" t="s">
        <v>161</v>
      </c>
      <c r="M241">
        <v>400000000</v>
      </c>
    </row>
    <row r="242" spans="1:13" x14ac:dyDescent="0.3">
      <c r="A242" s="23">
        <v>45162</v>
      </c>
      <c r="B242" t="s">
        <v>12</v>
      </c>
      <c r="C242" t="s">
        <v>132</v>
      </c>
      <c r="D242" t="s">
        <v>17</v>
      </c>
      <c r="E242" t="s">
        <v>136</v>
      </c>
      <c r="F242">
        <v>400000000</v>
      </c>
      <c r="G242" t="s">
        <v>134</v>
      </c>
      <c r="H242" t="s">
        <v>81</v>
      </c>
      <c r="I242" t="s">
        <v>9</v>
      </c>
      <c r="L242" t="s">
        <v>161</v>
      </c>
      <c r="M242">
        <v>-400000000</v>
      </c>
    </row>
    <row r="243" spans="1:13" x14ac:dyDescent="0.3">
      <c r="A243" s="23">
        <v>45366</v>
      </c>
      <c r="B243" t="s">
        <v>12</v>
      </c>
      <c r="C243" t="s">
        <v>132</v>
      </c>
      <c r="D243" t="s">
        <v>16</v>
      </c>
      <c r="E243" t="s">
        <v>136</v>
      </c>
      <c r="F243">
        <v>91611000</v>
      </c>
      <c r="G243" t="s">
        <v>134</v>
      </c>
      <c r="H243" t="s">
        <v>81</v>
      </c>
      <c r="I243" t="s">
        <v>9</v>
      </c>
      <c r="L243" t="s">
        <v>161</v>
      </c>
      <c r="M243">
        <v>91611000</v>
      </c>
    </row>
    <row r="244" spans="1:13" x14ac:dyDescent="0.3">
      <c r="A244" s="23">
        <v>45166</v>
      </c>
      <c r="B244" t="s">
        <v>12</v>
      </c>
      <c r="C244" t="s">
        <v>132</v>
      </c>
      <c r="D244" t="s">
        <v>16</v>
      </c>
      <c r="E244" t="s">
        <v>136</v>
      </c>
      <c r="F244">
        <v>783736292.79999995</v>
      </c>
      <c r="G244" t="s">
        <v>134</v>
      </c>
      <c r="H244" t="s">
        <v>81</v>
      </c>
      <c r="I244" t="s">
        <v>9</v>
      </c>
      <c r="L244" t="s">
        <v>161</v>
      </c>
      <c r="M244">
        <v>783736292.79999995</v>
      </c>
    </row>
    <row r="245" spans="1:13" x14ac:dyDescent="0.3">
      <c r="A245" s="23">
        <v>45362</v>
      </c>
      <c r="B245" t="s">
        <v>12</v>
      </c>
      <c r="C245" t="s">
        <v>132</v>
      </c>
      <c r="D245" t="s">
        <v>17</v>
      </c>
      <c r="E245" t="s">
        <v>136</v>
      </c>
      <c r="F245">
        <v>300000000</v>
      </c>
      <c r="G245" t="s">
        <v>134</v>
      </c>
      <c r="H245" t="s">
        <v>81</v>
      </c>
      <c r="I245" t="s">
        <v>9</v>
      </c>
      <c r="L245" t="s">
        <v>161</v>
      </c>
      <c r="M245">
        <v>-300000000</v>
      </c>
    </row>
    <row r="246" spans="1:13" x14ac:dyDescent="0.3">
      <c r="A246" s="23">
        <v>45359</v>
      </c>
      <c r="B246" t="s">
        <v>12</v>
      </c>
      <c r="C246" t="s">
        <v>132</v>
      </c>
      <c r="D246" t="s">
        <v>16</v>
      </c>
      <c r="E246" t="s">
        <v>136</v>
      </c>
      <c r="F246">
        <v>8900000</v>
      </c>
      <c r="G246" t="s">
        <v>134</v>
      </c>
      <c r="H246" t="s">
        <v>81</v>
      </c>
      <c r="I246" t="s">
        <v>9</v>
      </c>
      <c r="L246" t="s">
        <v>161</v>
      </c>
      <c r="M246">
        <v>8900000</v>
      </c>
    </row>
    <row r="247" spans="1:13" x14ac:dyDescent="0.3">
      <c r="A247" s="23">
        <v>45359</v>
      </c>
      <c r="B247" t="s">
        <v>12</v>
      </c>
      <c r="C247" t="s">
        <v>132</v>
      </c>
      <c r="D247" t="s">
        <v>17</v>
      </c>
      <c r="E247" t="s">
        <v>136</v>
      </c>
      <c r="F247">
        <v>36037312.420000002</v>
      </c>
      <c r="G247" t="s">
        <v>134</v>
      </c>
      <c r="H247" t="s">
        <v>81</v>
      </c>
      <c r="I247" t="s">
        <v>9</v>
      </c>
      <c r="L247" t="s">
        <v>161</v>
      </c>
      <c r="M247">
        <v>-36037312.420000002</v>
      </c>
    </row>
    <row r="248" spans="1:13" x14ac:dyDescent="0.3">
      <c r="A248" s="23">
        <v>45358</v>
      </c>
      <c r="B248" t="s">
        <v>12</v>
      </c>
      <c r="C248" t="s">
        <v>132</v>
      </c>
      <c r="D248" t="s">
        <v>16</v>
      </c>
      <c r="E248" t="s">
        <v>136</v>
      </c>
      <c r="F248">
        <v>352500000</v>
      </c>
      <c r="G248" t="s">
        <v>134</v>
      </c>
      <c r="H248" t="s">
        <v>81</v>
      </c>
      <c r="I248" t="s">
        <v>9</v>
      </c>
      <c r="L248" t="s">
        <v>161</v>
      </c>
      <c r="M248">
        <v>352500000</v>
      </c>
    </row>
    <row r="249" spans="1:13" x14ac:dyDescent="0.3">
      <c r="A249" s="23">
        <v>45358</v>
      </c>
      <c r="B249" t="s">
        <v>12</v>
      </c>
      <c r="C249" t="s">
        <v>132</v>
      </c>
      <c r="D249" t="s">
        <v>16</v>
      </c>
      <c r="E249" t="s">
        <v>136</v>
      </c>
      <c r="F249">
        <v>300000000</v>
      </c>
      <c r="G249" t="s">
        <v>134</v>
      </c>
      <c r="H249" t="s">
        <v>81</v>
      </c>
      <c r="I249" t="s">
        <v>9</v>
      </c>
      <c r="L249" t="s">
        <v>161</v>
      </c>
      <c r="M249">
        <v>300000000</v>
      </c>
    </row>
    <row r="250" spans="1:13" x14ac:dyDescent="0.3">
      <c r="A250" s="23">
        <v>45169</v>
      </c>
      <c r="B250" t="s">
        <v>12</v>
      </c>
      <c r="C250" t="s">
        <v>132</v>
      </c>
      <c r="D250" t="s">
        <v>17</v>
      </c>
      <c r="E250" t="s">
        <v>136</v>
      </c>
      <c r="F250">
        <v>265485583.15000001</v>
      </c>
      <c r="G250" t="s">
        <v>134</v>
      </c>
      <c r="H250" t="s">
        <v>81</v>
      </c>
      <c r="I250" t="s">
        <v>9</v>
      </c>
      <c r="L250" t="s">
        <v>161</v>
      </c>
      <c r="M250">
        <v>-265485583.15000001</v>
      </c>
    </row>
    <row r="251" spans="1:13" x14ac:dyDescent="0.3">
      <c r="A251" s="23">
        <v>45357</v>
      </c>
      <c r="B251" t="s">
        <v>12</v>
      </c>
      <c r="C251" t="s">
        <v>132</v>
      </c>
      <c r="D251" t="s">
        <v>17</v>
      </c>
      <c r="E251" t="s">
        <v>136</v>
      </c>
      <c r="F251">
        <v>75084268.909999996</v>
      </c>
      <c r="G251" t="s">
        <v>134</v>
      </c>
      <c r="H251" t="s">
        <v>81</v>
      </c>
      <c r="I251" t="s">
        <v>9</v>
      </c>
      <c r="L251" t="s">
        <v>161</v>
      </c>
      <c r="M251">
        <v>-75084268.909999996</v>
      </c>
    </row>
    <row r="252" spans="1:13" x14ac:dyDescent="0.3">
      <c r="A252" s="23">
        <v>45357</v>
      </c>
      <c r="B252" t="s">
        <v>12</v>
      </c>
      <c r="C252" t="s">
        <v>132</v>
      </c>
      <c r="D252" t="s">
        <v>17</v>
      </c>
      <c r="E252" t="s">
        <v>136</v>
      </c>
      <c r="F252">
        <v>34159498.299999997</v>
      </c>
      <c r="G252" t="s">
        <v>134</v>
      </c>
      <c r="H252" t="s">
        <v>81</v>
      </c>
      <c r="I252" t="s">
        <v>9</v>
      </c>
      <c r="L252" t="s">
        <v>161</v>
      </c>
      <c r="M252">
        <v>-34159498.299999997</v>
      </c>
    </row>
    <row r="253" spans="1:13" x14ac:dyDescent="0.3">
      <c r="A253" s="23">
        <v>45356</v>
      </c>
      <c r="B253" t="s">
        <v>12</v>
      </c>
      <c r="C253" t="s">
        <v>132</v>
      </c>
      <c r="D253" t="s">
        <v>16</v>
      </c>
      <c r="E253" t="s">
        <v>136</v>
      </c>
      <c r="F253">
        <v>0</v>
      </c>
      <c r="G253" t="s">
        <v>134</v>
      </c>
      <c r="H253" t="s">
        <v>81</v>
      </c>
      <c r="I253" t="s">
        <v>9</v>
      </c>
      <c r="L253" t="s">
        <v>161</v>
      </c>
      <c r="M253">
        <v>0</v>
      </c>
    </row>
    <row r="254" spans="1:13" x14ac:dyDescent="0.3">
      <c r="A254" s="23">
        <v>45170</v>
      </c>
      <c r="B254" t="s">
        <v>12</v>
      </c>
      <c r="C254" t="s">
        <v>132</v>
      </c>
      <c r="D254" t="s">
        <v>16</v>
      </c>
      <c r="E254" t="s">
        <v>136</v>
      </c>
      <c r="F254">
        <v>6065941.9000000004</v>
      </c>
      <c r="G254" t="s">
        <v>134</v>
      </c>
      <c r="H254" t="s">
        <v>81</v>
      </c>
      <c r="I254" t="s">
        <v>9</v>
      </c>
      <c r="L254" t="s">
        <v>161</v>
      </c>
      <c r="M254">
        <v>6065941.9000000004</v>
      </c>
    </row>
    <row r="255" spans="1:13" x14ac:dyDescent="0.3">
      <c r="A255" s="23">
        <v>45350</v>
      </c>
      <c r="B255" t="s">
        <v>12</v>
      </c>
      <c r="C255" t="s">
        <v>132</v>
      </c>
      <c r="D255" t="s">
        <v>17</v>
      </c>
      <c r="E255" t="s">
        <v>136</v>
      </c>
      <c r="F255">
        <v>843000000</v>
      </c>
      <c r="G255" t="s">
        <v>134</v>
      </c>
      <c r="H255" t="s">
        <v>81</v>
      </c>
      <c r="I255" t="s">
        <v>9</v>
      </c>
      <c r="L255" t="s">
        <v>161</v>
      </c>
      <c r="M255">
        <v>-843000000</v>
      </c>
    </row>
    <row r="256" spans="1:13" x14ac:dyDescent="0.3">
      <c r="A256" s="23">
        <v>45349</v>
      </c>
      <c r="B256" t="s">
        <v>12</v>
      </c>
      <c r="C256" t="s">
        <v>132</v>
      </c>
      <c r="D256" t="s">
        <v>16</v>
      </c>
      <c r="E256" t="s">
        <v>136</v>
      </c>
      <c r="F256">
        <v>4638629.8899999997</v>
      </c>
      <c r="G256" t="s">
        <v>134</v>
      </c>
      <c r="H256" t="s">
        <v>81</v>
      </c>
      <c r="I256" t="s">
        <v>9</v>
      </c>
      <c r="L256" t="s">
        <v>161</v>
      </c>
      <c r="M256">
        <v>4638629.8899999997</v>
      </c>
    </row>
    <row r="257" spans="1:13" x14ac:dyDescent="0.3">
      <c r="A257" s="23">
        <v>45349</v>
      </c>
      <c r="B257" t="s">
        <v>12</v>
      </c>
      <c r="C257" t="s">
        <v>132</v>
      </c>
      <c r="D257" t="s">
        <v>16</v>
      </c>
      <c r="E257" t="s">
        <v>136</v>
      </c>
      <c r="F257">
        <v>300000000</v>
      </c>
      <c r="G257" t="s">
        <v>134</v>
      </c>
      <c r="H257" t="s">
        <v>81</v>
      </c>
      <c r="I257" t="s">
        <v>9</v>
      </c>
      <c r="L257" t="s">
        <v>161</v>
      </c>
      <c r="M257">
        <v>300000000</v>
      </c>
    </row>
    <row r="258" spans="1:13" x14ac:dyDescent="0.3">
      <c r="A258" s="23">
        <v>45348</v>
      </c>
      <c r="B258" t="s">
        <v>12</v>
      </c>
      <c r="C258" t="s">
        <v>132</v>
      </c>
      <c r="D258" t="s">
        <v>16</v>
      </c>
      <c r="E258" t="s">
        <v>136</v>
      </c>
      <c r="F258">
        <v>500000000</v>
      </c>
      <c r="G258" t="s">
        <v>134</v>
      </c>
      <c r="H258" t="s">
        <v>81</v>
      </c>
      <c r="I258" t="s">
        <v>9</v>
      </c>
      <c r="L258" t="s">
        <v>161</v>
      </c>
      <c r="M258">
        <v>500000000</v>
      </c>
    </row>
    <row r="259" spans="1:13" x14ac:dyDescent="0.3">
      <c r="A259" s="23">
        <v>45348</v>
      </c>
      <c r="B259" t="s">
        <v>12</v>
      </c>
      <c r="C259" t="s">
        <v>132</v>
      </c>
      <c r="D259" t="s">
        <v>17</v>
      </c>
      <c r="E259" t="s">
        <v>136</v>
      </c>
      <c r="F259">
        <v>105616527.11</v>
      </c>
      <c r="G259" t="s">
        <v>134</v>
      </c>
      <c r="H259" t="s">
        <v>81</v>
      </c>
      <c r="I259" t="s">
        <v>9</v>
      </c>
      <c r="L259" t="s">
        <v>161</v>
      </c>
      <c r="M259">
        <v>-105616527.11</v>
      </c>
    </row>
    <row r="260" spans="1:13" x14ac:dyDescent="0.3">
      <c r="A260" s="23">
        <v>45344</v>
      </c>
      <c r="B260" t="s">
        <v>12</v>
      </c>
      <c r="C260" t="s">
        <v>132</v>
      </c>
      <c r="D260" t="s">
        <v>17</v>
      </c>
      <c r="E260" t="s">
        <v>136</v>
      </c>
      <c r="F260">
        <v>284622102.77999997</v>
      </c>
      <c r="G260" t="s">
        <v>134</v>
      </c>
      <c r="H260" t="s">
        <v>81</v>
      </c>
      <c r="I260" t="s">
        <v>9</v>
      </c>
      <c r="L260" t="s">
        <v>161</v>
      </c>
      <c r="M260">
        <v>-284622102.77999997</v>
      </c>
    </row>
    <row r="261" spans="1:13" x14ac:dyDescent="0.3">
      <c r="A261" s="23">
        <v>45343</v>
      </c>
      <c r="B261" t="s">
        <v>12</v>
      </c>
      <c r="C261" t="s">
        <v>132</v>
      </c>
      <c r="D261" t="s">
        <v>17</v>
      </c>
      <c r="E261" t="s">
        <v>136</v>
      </c>
      <c r="F261">
        <v>835000000</v>
      </c>
      <c r="G261" t="s">
        <v>134</v>
      </c>
      <c r="H261" t="s">
        <v>81</v>
      </c>
      <c r="I261" t="s">
        <v>9</v>
      </c>
      <c r="L261" t="s">
        <v>161</v>
      </c>
      <c r="M261">
        <v>-835000000</v>
      </c>
    </row>
    <row r="262" spans="1:13" x14ac:dyDescent="0.3">
      <c r="A262" s="23">
        <v>45343</v>
      </c>
      <c r="B262" t="s">
        <v>12</v>
      </c>
      <c r="C262" t="s">
        <v>132</v>
      </c>
      <c r="D262" t="s">
        <v>16</v>
      </c>
      <c r="E262" t="s">
        <v>136</v>
      </c>
      <c r="F262">
        <v>14600000</v>
      </c>
      <c r="G262" t="s">
        <v>134</v>
      </c>
      <c r="H262" t="s">
        <v>81</v>
      </c>
      <c r="I262" t="s">
        <v>9</v>
      </c>
      <c r="L262" t="s">
        <v>161</v>
      </c>
      <c r="M262">
        <v>14600000</v>
      </c>
    </row>
    <row r="263" spans="1:13" x14ac:dyDescent="0.3">
      <c r="A263" s="23">
        <v>45337</v>
      </c>
      <c r="B263" t="s">
        <v>12</v>
      </c>
      <c r="C263" t="s">
        <v>132</v>
      </c>
      <c r="D263" t="s">
        <v>17</v>
      </c>
      <c r="E263" t="s">
        <v>136</v>
      </c>
      <c r="F263">
        <v>1384300000</v>
      </c>
      <c r="G263" t="s">
        <v>134</v>
      </c>
      <c r="H263" t="s">
        <v>81</v>
      </c>
      <c r="I263" t="s">
        <v>9</v>
      </c>
      <c r="L263" t="s">
        <v>161</v>
      </c>
      <c r="M263">
        <v>-1384300000</v>
      </c>
    </row>
    <row r="264" spans="1:13" x14ac:dyDescent="0.3">
      <c r="A264" s="23">
        <v>45177</v>
      </c>
      <c r="B264" t="s">
        <v>12</v>
      </c>
      <c r="C264" t="s">
        <v>132</v>
      </c>
      <c r="D264" t="s">
        <v>16</v>
      </c>
      <c r="E264" t="s">
        <v>136</v>
      </c>
      <c r="F264">
        <v>11295339.460000001</v>
      </c>
      <c r="G264" t="s">
        <v>134</v>
      </c>
      <c r="H264" t="s">
        <v>81</v>
      </c>
      <c r="I264" t="s">
        <v>9</v>
      </c>
      <c r="L264" t="s">
        <v>161</v>
      </c>
      <c r="M264">
        <v>11295339.460000001</v>
      </c>
    </row>
    <row r="265" spans="1:13" x14ac:dyDescent="0.3">
      <c r="A265" s="23">
        <v>45337</v>
      </c>
      <c r="B265" t="s">
        <v>12</v>
      </c>
      <c r="C265" t="s">
        <v>132</v>
      </c>
      <c r="D265" t="s">
        <v>16</v>
      </c>
      <c r="E265" t="s">
        <v>136</v>
      </c>
      <c r="F265">
        <v>40361824.549999997</v>
      </c>
      <c r="G265" t="s">
        <v>134</v>
      </c>
      <c r="H265" t="s">
        <v>81</v>
      </c>
      <c r="I265" t="s">
        <v>9</v>
      </c>
      <c r="L265" t="s">
        <v>161</v>
      </c>
      <c r="M265">
        <v>40361824.549999997</v>
      </c>
    </row>
    <row r="266" spans="1:13" x14ac:dyDescent="0.3">
      <c r="A266" s="23">
        <v>45177</v>
      </c>
      <c r="B266" t="s">
        <v>12</v>
      </c>
      <c r="C266" t="s">
        <v>132</v>
      </c>
      <c r="D266" t="s">
        <v>17</v>
      </c>
      <c r="E266" t="s">
        <v>136</v>
      </c>
      <c r="F266">
        <v>187500000</v>
      </c>
      <c r="G266" t="s">
        <v>134</v>
      </c>
      <c r="H266" t="s">
        <v>81</v>
      </c>
      <c r="I266" t="s">
        <v>9</v>
      </c>
      <c r="L266" t="s">
        <v>161</v>
      </c>
      <c r="M266">
        <v>-187500000</v>
      </c>
    </row>
    <row r="267" spans="1:13" x14ac:dyDescent="0.3">
      <c r="A267" s="23">
        <v>45336</v>
      </c>
      <c r="B267" t="s">
        <v>12</v>
      </c>
      <c r="C267" t="s">
        <v>132</v>
      </c>
      <c r="D267" t="s">
        <v>16</v>
      </c>
      <c r="E267" t="s">
        <v>136</v>
      </c>
      <c r="F267">
        <v>100000000</v>
      </c>
      <c r="G267" t="s">
        <v>134</v>
      </c>
      <c r="H267" t="s">
        <v>81</v>
      </c>
      <c r="I267" t="s">
        <v>9</v>
      </c>
      <c r="L267" t="s">
        <v>161</v>
      </c>
      <c r="M267">
        <v>100000000</v>
      </c>
    </row>
    <row r="268" spans="1:13" x14ac:dyDescent="0.3">
      <c r="A268" s="23">
        <v>45331</v>
      </c>
      <c r="B268" t="s">
        <v>12</v>
      </c>
      <c r="C268" t="s">
        <v>132</v>
      </c>
      <c r="D268" t="s">
        <v>16</v>
      </c>
      <c r="E268" t="s">
        <v>136</v>
      </c>
      <c r="F268">
        <v>16000000</v>
      </c>
      <c r="G268" t="s">
        <v>134</v>
      </c>
      <c r="H268" t="s">
        <v>81</v>
      </c>
      <c r="I268" t="s">
        <v>9</v>
      </c>
      <c r="L268" t="s">
        <v>161</v>
      </c>
      <c r="M268">
        <v>16000000</v>
      </c>
    </row>
    <row r="269" spans="1:13" x14ac:dyDescent="0.3">
      <c r="A269" s="23">
        <v>45331</v>
      </c>
      <c r="B269" t="s">
        <v>12</v>
      </c>
      <c r="C269" t="s">
        <v>132</v>
      </c>
      <c r="D269" t="s">
        <v>17</v>
      </c>
      <c r="E269" t="s">
        <v>136</v>
      </c>
      <c r="F269">
        <v>124353010.56</v>
      </c>
      <c r="G269" t="s">
        <v>134</v>
      </c>
      <c r="H269" t="s">
        <v>81</v>
      </c>
      <c r="I269" t="s">
        <v>9</v>
      </c>
      <c r="L269" t="s">
        <v>161</v>
      </c>
      <c r="M269">
        <v>-124353010.56</v>
      </c>
    </row>
    <row r="270" spans="1:13" x14ac:dyDescent="0.3">
      <c r="A270" s="23">
        <v>45181</v>
      </c>
      <c r="B270" t="s">
        <v>12</v>
      </c>
      <c r="C270" t="s">
        <v>132</v>
      </c>
      <c r="D270" t="s">
        <v>17</v>
      </c>
      <c r="E270" t="s">
        <v>136</v>
      </c>
      <c r="F270">
        <v>348111991.00999999</v>
      </c>
      <c r="G270" t="s">
        <v>134</v>
      </c>
      <c r="H270" t="s">
        <v>81</v>
      </c>
      <c r="I270" t="s">
        <v>9</v>
      </c>
      <c r="L270" t="s">
        <v>161</v>
      </c>
      <c r="M270">
        <v>-348111991.00999999</v>
      </c>
    </row>
    <row r="271" spans="1:13" x14ac:dyDescent="0.3">
      <c r="A271" s="23">
        <v>45330</v>
      </c>
      <c r="B271" t="s">
        <v>12</v>
      </c>
      <c r="C271" t="s">
        <v>132</v>
      </c>
      <c r="D271" t="s">
        <v>17</v>
      </c>
      <c r="E271" t="s">
        <v>136</v>
      </c>
      <c r="F271">
        <v>155708813.99000001</v>
      </c>
      <c r="G271" t="s">
        <v>134</v>
      </c>
      <c r="H271" t="s">
        <v>81</v>
      </c>
      <c r="I271" t="s">
        <v>9</v>
      </c>
      <c r="L271" t="s">
        <v>161</v>
      </c>
      <c r="M271">
        <v>-155708813.99000001</v>
      </c>
    </row>
    <row r="272" spans="1:13" x14ac:dyDescent="0.3">
      <c r="A272" s="23">
        <v>45330</v>
      </c>
      <c r="B272" t="s">
        <v>12</v>
      </c>
      <c r="C272" t="s">
        <v>132</v>
      </c>
      <c r="D272" t="s">
        <v>16</v>
      </c>
      <c r="E272" t="s">
        <v>136</v>
      </c>
      <c r="F272">
        <v>200000000</v>
      </c>
      <c r="G272" t="s">
        <v>134</v>
      </c>
      <c r="H272" t="s">
        <v>81</v>
      </c>
      <c r="I272" t="s">
        <v>9</v>
      </c>
      <c r="L272" t="s">
        <v>161</v>
      </c>
      <c r="M272">
        <v>200000000</v>
      </c>
    </row>
    <row r="273" spans="1:13" x14ac:dyDescent="0.3">
      <c r="A273" s="23">
        <v>45328</v>
      </c>
      <c r="B273" t="s">
        <v>12</v>
      </c>
      <c r="C273" t="s">
        <v>132</v>
      </c>
      <c r="D273" t="s">
        <v>16</v>
      </c>
      <c r="E273" t="s">
        <v>136</v>
      </c>
      <c r="F273">
        <v>31004967</v>
      </c>
      <c r="G273" t="s">
        <v>134</v>
      </c>
      <c r="H273" t="s">
        <v>81</v>
      </c>
      <c r="I273" t="s">
        <v>9</v>
      </c>
      <c r="L273" t="s">
        <v>161</v>
      </c>
      <c r="M273">
        <v>31004967</v>
      </c>
    </row>
    <row r="274" spans="1:13" x14ac:dyDescent="0.3">
      <c r="A274" s="23">
        <v>45328</v>
      </c>
      <c r="B274" t="s">
        <v>12</v>
      </c>
      <c r="C274" t="s">
        <v>132</v>
      </c>
      <c r="D274" t="s">
        <v>16</v>
      </c>
      <c r="E274" t="s">
        <v>136</v>
      </c>
      <c r="F274">
        <v>500000000</v>
      </c>
      <c r="G274" t="s">
        <v>134</v>
      </c>
      <c r="H274" t="s">
        <v>81</v>
      </c>
      <c r="I274" t="s">
        <v>9</v>
      </c>
      <c r="L274" t="s">
        <v>161</v>
      </c>
      <c r="M274">
        <v>500000000</v>
      </c>
    </row>
    <row r="275" spans="1:13" x14ac:dyDescent="0.3">
      <c r="A275" s="23">
        <v>45327</v>
      </c>
      <c r="B275" t="s">
        <v>12</v>
      </c>
      <c r="C275" t="s">
        <v>132</v>
      </c>
      <c r="D275" t="s">
        <v>17</v>
      </c>
      <c r="E275" t="s">
        <v>136</v>
      </c>
      <c r="F275">
        <v>825700000</v>
      </c>
      <c r="G275" t="s">
        <v>134</v>
      </c>
      <c r="H275" t="s">
        <v>81</v>
      </c>
      <c r="I275" t="s">
        <v>9</v>
      </c>
      <c r="L275" t="s">
        <v>161</v>
      </c>
      <c r="M275">
        <v>-825700000</v>
      </c>
    </row>
    <row r="276" spans="1:13" x14ac:dyDescent="0.3">
      <c r="A276" s="23">
        <v>45182</v>
      </c>
      <c r="B276" t="s">
        <v>12</v>
      </c>
      <c r="C276" t="s">
        <v>132</v>
      </c>
      <c r="D276" t="s">
        <v>16</v>
      </c>
      <c r="E276" t="s">
        <v>136</v>
      </c>
      <c r="F276">
        <v>359235587.31</v>
      </c>
      <c r="G276" t="s">
        <v>134</v>
      </c>
      <c r="H276" t="s">
        <v>81</v>
      </c>
      <c r="I276" t="s">
        <v>9</v>
      </c>
      <c r="L276" t="s">
        <v>161</v>
      </c>
      <c r="M276">
        <v>359235587.31</v>
      </c>
    </row>
    <row r="277" spans="1:13" x14ac:dyDescent="0.3">
      <c r="A277" s="23">
        <v>45183</v>
      </c>
      <c r="B277" t="s">
        <v>12</v>
      </c>
      <c r="C277" t="s">
        <v>132</v>
      </c>
      <c r="D277" t="s">
        <v>17</v>
      </c>
      <c r="E277" t="s">
        <v>136</v>
      </c>
      <c r="F277">
        <v>200000000</v>
      </c>
      <c r="G277" t="s">
        <v>134</v>
      </c>
      <c r="H277" t="s">
        <v>81</v>
      </c>
      <c r="I277" t="s">
        <v>9</v>
      </c>
      <c r="L277" t="s">
        <v>161</v>
      </c>
      <c r="M277">
        <v>-200000000</v>
      </c>
    </row>
    <row r="278" spans="1:13" x14ac:dyDescent="0.3">
      <c r="A278" s="23">
        <v>45327</v>
      </c>
      <c r="B278" t="s">
        <v>12</v>
      </c>
      <c r="C278" t="s">
        <v>132</v>
      </c>
      <c r="D278" t="s">
        <v>17</v>
      </c>
      <c r="E278" t="s">
        <v>136</v>
      </c>
      <c r="F278">
        <v>181004967</v>
      </c>
      <c r="G278" t="s">
        <v>134</v>
      </c>
      <c r="H278" t="s">
        <v>81</v>
      </c>
      <c r="I278" t="s">
        <v>9</v>
      </c>
      <c r="L278" t="s">
        <v>161</v>
      </c>
      <c r="M278">
        <v>-181004967</v>
      </c>
    </row>
    <row r="279" spans="1:13" x14ac:dyDescent="0.3">
      <c r="A279" s="23">
        <v>45323</v>
      </c>
      <c r="B279" t="s">
        <v>12</v>
      </c>
      <c r="C279" t="s">
        <v>132</v>
      </c>
      <c r="D279" t="s">
        <v>17</v>
      </c>
      <c r="E279" t="s">
        <v>136</v>
      </c>
      <c r="F279">
        <v>822600000</v>
      </c>
      <c r="G279" t="s">
        <v>134</v>
      </c>
      <c r="H279" t="s">
        <v>81</v>
      </c>
      <c r="I279" t="s">
        <v>9</v>
      </c>
      <c r="L279" t="s">
        <v>161</v>
      </c>
      <c r="M279">
        <v>-822600000</v>
      </c>
    </row>
    <row r="280" spans="1:13" x14ac:dyDescent="0.3">
      <c r="A280" s="23">
        <v>45184</v>
      </c>
      <c r="B280" t="s">
        <v>12</v>
      </c>
      <c r="C280" t="s">
        <v>132</v>
      </c>
      <c r="D280" t="s">
        <v>17</v>
      </c>
      <c r="E280" t="s">
        <v>136</v>
      </c>
      <c r="F280">
        <v>113476995.42</v>
      </c>
      <c r="G280" t="s">
        <v>134</v>
      </c>
      <c r="H280" t="s">
        <v>81</v>
      </c>
      <c r="I280" t="s">
        <v>9</v>
      </c>
      <c r="L280" t="s">
        <v>161</v>
      </c>
      <c r="M280">
        <v>-113476995.42</v>
      </c>
    </row>
    <row r="281" spans="1:13" x14ac:dyDescent="0.3">
      <c r="A281" s="23">
        <v>45184</v>
      </c>
      <c r="B281" t="s">
        <v>12</v>
      </c>
      <c r="C281" t="s">
        <v>132</v>
      </c>
      <c r="D281" t="s">
        <v>16</v>
      </c>
      <c r="E281" t="s">
        <v>136</v>
      </c>
      <c r="F281">
        <v>1379837.93</v>
      </c>
      <c r="G281" t="s">
        <v>134</v>
      </c>
      <c r="H281" t="s">
        <v>81</v>
      </c>
      <c r="I281" t="s">
        <v>9</v>
      </c>
      <c r="L281" t="s">
        <v>161</v>
      </c>
      <c r="M281">
        <v>1379837.93</v>
      </c>
    </row>
    <row r="282" spans="1:13" x14ac:dyDescent="0.3">
      <c r="A282" s="23">
        <v>45323</v>
      </c>
      <c r="B282" t="s">
        <v>12</v>
      </c>
      <c r="C282" t="s">
        <v>132</v>
      </c>
      <c r="D282" t="s">
        <v>16</v>
      </c>
      <c r="E282" t="s">
        <v>136</v>
      </c>
      <c r="F282">
        <v>300000000</v>
      </c>
      <c r="G282" t="s">
        <v>134</v>
      </c>
      <c r="H282" t="s">
        <v>81</v>
      </c>
      <c r="I282" t="s">
        <v>9</v>
      </c>
      <c r="L282" t="s">
        <v>161</v>
      </c>
      <c r="M282">
        <v>300000000</v>
      </c>
    </row>
    <row r="283" spans="1:13" x14ac:dyDescent="0.3">
      <c r="A283" s="23">
        <v>45323</v>
      </c>
      <c r="B283" t="s">
        <v>12</v>
      </c>
      <c r="C283" t="s">
        <v>132</v>
      </c>
      <c r="D283" t="s">
        <v>16</v>
      </c>
      <c r="E283" t="s">
        <v>136</v>
      </c>
      <c r="F283">
        <v>15754822.73</v>
      </c>
      <c r="G283" t="s">
        <v>134</v>
      </c>
      <c r="H283" t="s">
        <v>81</v>
      </c>
      <c r="I283" t="s">
        <v>9</v>
      </c>
      <c r="L283" t="s">
        <v>161</v>
      </c>
      <c r="M283">
        <v>15754822.73</v>
      </c>
    </row>
    <row r="284" spans="1:13" x14ac:dyDescent="0.3">
      <c r="A284" s="23">
        <v>45322</v>
      </c>
      <c r="B284" t="s">
        <v>12</v>
      </c>
      <c r="C284" t="s">
        <v>132</v>
      </c>
      <c r="D284" t="s">
        <v>16</v>
      </c>
      <c r="E284" t="s">
        <v>136</v>
      </c>
      <c r="F284">
        <v>200000000</v>
      </c>
      <c r="G284" t="s">
        <v>134</v>
      </c>
      <c r="H284" t="s">
        <v>81</v>
      </c>
      <c r="I284" t="s">
        <v>9</v>
      </c>
      <c r="L284" t="s">
        <v>161</v>
      </c>
      <c r="M284">
        <v>200000000</v>
      </c>
    </row>
    <row r="285" spans="1:13" x14ac:dyDescent="0.3">
      <c r="A285" s="23">
        <v>45322</v>
      </c>
      <c r="B285" t="s">
        <v>12</v>
      </c>
      <c r="C285" t="s">
        <v>132</v>
      </c>
      <c r="D285" t="s">
        <v>17</v>
      </c>
      <c r="E285" t="s">
        <v>136</v>
      </c>
      <c r="F285">
        <v>164444822.72999999</v>
      </c>
      <c r="G285" t="s">
        <v>134</v>
      </c>
      <c r="H285" t="s">
        <v>81</v>
      </c>
      <c r="I285" t="s">
        <v>9</v>
      </c>
      <c r="L285" t="s">
        <v>161</v>
      </c>
      <c r="M285">
        <v>-164444822.72999999</v>
      </c>
    </row>
    <row r="286" spans="1:13" x14ac:dyDescent="0.3">
      <c r="A286" s="23">
        <v>45321</v>
      </c>
      <c r="B286" t="s">
        <v>12</v>
      </c>
      <c r="C286" t="s">
        <v>132</v>
      </c>
      <c r="D286" t="s">
        <v>16</v>
      </c>
      <c r="E286" t="s">
        <v>136</v>
      </c>
      <c r="F286">
        <v>1600000000</v>
      </c>
      <c r="G286" t="s">
        <v>134</v>
      </c>
      <c r="H286" t="s">
        <v>81</v>
      </c>
      <c r="I286" t="s">
        <v>9</v>
      </c>
      <c r="L286" t="s">
        <v>161</v>
      </c>
      <c r="M286">
        <v>1600000000</v>
      </c>
    </row>
    <row r="287" spans="1:13" x14ac:dyDescent="0.3">
      <c r="A287" s="23">
        <v>45320</v>
      </c>
      <c r="B287" t="s">
        <v>12</v>
      </c>
      <c r="C287" t="s">
        <v>132</v>
      </c>
      <c r="D287" t="s">
        <v>16</v>
      </c>
      <c r="E287" t="s">
        <v>136</v>
      </c>
      <c r="F287">
        <v>1800000000</v>
      </c>
      <c r="G287" t="s">
        <v>134</v>
      </c>
      <c r="H287" t="s">
        <v>81</v>
      </c>
      <c r="I287" t="s">
        <v>9</v>
      </c>
      <c r="L287" t="s">
        <v>161</v>
      </c>
      <c r="M287">
        <v>1800000000</v>
      </c>
    </row>
    <row r="288" spans="1:13" x14ac:dyDescent="0.3">
      <c r="A288" s="23">
        <v>45317</v>
      </c>
      <c r="B288" t="s">
        <v>12</v>
      </c>
      <c r="C288" t="s">
        <v>132</v>
      </c>
      <c r="D288" t="s">
        <v>16</v>
      </c>
      <c r="E288" t="s">
        <v>136</v>
      </c>
      <c r="F288">
        <v>3110380.07</v>
      </c>
      <c r="G288" t="s">
        <v>134</v>
      </c>
      <c r="H288" t="s">
        <v>81</v>
      </c>
      <c r="I288" t="s">
        <v>9</v>
      </c>
      <c r="L288" t="s">
        <v>161</v>
      </c>
      <c r="M288">
        <v>3110380.07</v>
      </c>
    </row>
    <row r="289" spans="1:13" x14ac:dyDescent="0.3">
      <c r="A289" s="23">
        <v>45316</v>
      </c>
      <c r="B289" t="s">
        <v>12</v>
      </c>
      <c r="C289" t="s">
        <v>132</v>
      </c>
      <c r="D289" t="s">
        <v>17</v>
      </c>
      <c r="E289" t="s">
        <v>136</v>
      </c>
      <c r="F289">
        <v>820355979</v>
      </c>
      <c r="G289" t="s">
        <v>134</v>
      </c>
      <c r="H289" t="s">
        <v>81</v>
      </c>
      <c r="I289" t="s">
        <v>9</v>
      </c>
      <c r="L289" t="s">
        <v>161</v>
      </c>
      <c r="M289">
        <v>-820355979</v>
      </c>
    </row>
    <row r="290" spans="1:13" x14ac:dyDescent="0.3">
      <c r="A290" s="23">
        <v>45314</v>
      </c>
      <c r="B290" t="s">
        <v>12</v>
      </c>
      <c r="C290" t="s">
        <v>132</v>
      </c>
      <c r="D290" t="s">
        <v>16</v>
      </c>
      <c r="E290" t="s">
        <v>136</v>
      </c>
      <c r="F290">
        <v>900000000</v>
      </c>
      <c r="G290" t="s">
        <v>134</v>
      </c>
      <c r="H290" t="s">
        <v>81</v>
      </c>
      <c r="I290" t="s">
        <v>9</v>
      </c>
      <c r="L290" t="s">
        <v>161</v>
      </c>
      <c r="M290">
        <v>900000000</v>
      </c>
    </row>
    <row r="291" spans="1:13" x14ac:dyDescent="0.3">
      <c r="A291" s="23">
        <v>45188</v>
      </c>
      <c r="B291" t="s">
        <v>12</v>
      </c>
      <c r="C291" t="s">
        <v>132</v>
      </c>
      <c r="D291" t="s">
        <v>16</v>
      </c>
      <c r="E291" t="s">
        <v>136</v>
      </c>
      <c r="F291">
        <v>189282512.55000001</v>
      </c>
      <c r="G291" t="s">
        <v>134</v>
      </c>
      <c r="H291" t="s">
        <v>81</v>
      </c>
      <c r="I291" t="s">
        <v>9</v>
      </c>
      <c r="L291" t="s">
        <v>161</v>
      </c>
      <c r="M291">
        <v>189282512.55000001</v>
      </c>
    </row>
    <row r="292" spans="1:13" x14ac:dyDescent="0.3">
      <c r="A292" s="23">
        <v>45310</v>
      </c>
      <c r="B292" t="s">
        <v>12</v>
      </c>
      <c r="C292" t="s">
        <v>132</v>
      </c>
      <c r="D292" t="s">
        <v>17</v>
      </c>
      <c r="E292" t="s">
        <v>136</v>
      </c>
      <c r="F292">
        <v>807264401.07000005</v>
      </c>
      <c r="G292" t="s">
        <v>134</v>
      </c>
      <c r="H292" t="s">
        <v>81</v>
      </c>
      <c r="I292" t="s">
        <v>9</v>
      </c>
      <c r="L292" t="s">
        <v>161</v>
      </c>
      <c r="M292">
        <v>-807264401.07000005</v>
      </c>
    </row>
    <row r="293" spans="1:13" x14ac:dyDescent="0.3">
      <c r="A293" s="23">
        <v>45308</v>
      </c>
      <c r="B293" t="s">
        <v>12</v>
      </c>
      <c r="C293" t="s">
        <v>132</v>
      </c>
      <c r="D293" t="s">
        <v>16</v>
      </c>
      <c r="E293" t="s">
        <v>136</v>
      </c>
      <c r="F293">
        <v>1000000000</v>
      </c>
      <c r="G293" t="s">
        <v>134</v>
      </c>
      <c r="H293" t="s">
        <v>81</v>
      </c>
      <c r="I293" t="s">
        <v>9</v>
      </c>
      <c r="L293" t="s">
        <v>161</v>
      </c>
      <c r="M293">
        <v>1000000000</v>
      </c>
    </row>
    <row r="294" spans="1:13" x14ac:dyDescent="0.3">
      <c r="A294" s="23">
        <v>45307</v>
      </c>
      <c r="B294" t="s">
        <v>12</v>
      </c>
      <c r="C294" t="s">
        <v>132</v>
      </c>
      <c r="D294" t="s">
        <v>17</v>
      </c>
      <c r="E294" t="s">
        <v>136</v>
      </c>
      <c r="F294">
        <v>195700000</v>
      </c>
      <c r="G294" t="s">
        <v>134</v>
      </c>
      <c r="H294" t="s">
        <v>81</v>
      </c>
      <c r="I294" t="s">
        <v>9</v>
      </c>
      <c r="L294" t="s">
        <v>161</v>
      </c>
      <c r="M294">
        <v>-195700000</v>
      </c>
    </row>
    <row r="295" spans="1:13" x14ac:dyDescent="0.3">
      <c r="A295" s="23">
        <v>45306</v>
      </c>
      <c r="B295" t="s">
        <v>12</v>
      </c>
      <c r="C295" t="s">
        <v>132</v>
      </c>
      <c r="D295" t="s">
        <v>17</v>
      </c>
      <c r="E295" t="s">
        <v>136</v>
      </c>
      <c r="F295">
        <v>147000000</v>
      </c>
      <c r="G295" t="s">
        <v>134</v>
      </c>
      <c r="H295" t="s">
        <v>81</v>
      </c>
      <c r="I295" t="s">
        <v>9</v>
      </c>
      <c r="L295" t="s">
        <v>161</v>
      </c>
      <c r="M295">
        <v>-147000000</v>
      </c>
    </row>
    <row r="296" spans="1:13" x14ac:dyDescent="0.3">
      <c r="A296" s="23">
        <v>45190</v>
      </c>
      <c r="B296" t="s">
        <v>12</v>
      </c>
      <c r="C296" t="s">
        <v>132</v>
      </c>
      <c r="D296" t="s">
        <v>17</v>
      </c>
      <c r="E296" t="s">
        <v>136</v>
      </c>
      <c r="F296">
        <v>116000000</v>
      </c>
      <c r="G296" t="s">
        <v>134</v>
      </c>
      <c r="H296" t="s">
        <v>81</v>
      </c>
      <c r="I296" t="s">
        <v>9</v>
      </c>
      <c r="L296" t="s">
        <v>161</v>
      </c>
      <c r="M296">
        <v>-116000000</v>
      </c>
    </row>
    <row r="297" spans="1:13" x14ac:dyDescent="0.3">
      <c r="A297" s="23">
        <v>45191</v>
      </c>
      <c r="B297" t="s">
        <v>12</v>
      </c>
      <c r="C297" t="s">
        <v>132</v>
      </c>
      <c r="D297" t="s">
        <v>17</v>
      </c>
      <c r="E297" t="s">
        <v>136</v>
      </c>
      <c r="F297">
        <v>43400000</v>
      </c>
      <c r="G297" t="s">
        <v>134</v>
      </c>
      <c r="H297" t="s">
        <v>81</v>
      </c>
      <c r="I297" t="s">
        <v>9</v>
      </c>
      <c r="L297" t="s">
        <v>161</v>
      </c>
      <c r="M297">
        <v>-43400000</v>
      </c>
    </row>
    <row r="298" spans="1:13" x14ac:dyDescent="0.3">
      <c r="A298" s="23">
        <v>45194</v>
      </c>
      <c r="B298" t="s">
        <v>12</v>
      </c>
      <c r="C298" t="s">
        <v>132</v>
      </c>
      <c r="D298" t="s">
        <v>17</v>
      </c>
      <c r="E298" t="s">
        <v>136</v>
      </c>
      <c r="F298">
        <v>77020942.370000005</v>
      </c>
      <c r="G298" t="s">
        <v>134</v>
      </c>
      <c r="H298" t="s">
        <v>81</v>
      </c>
      <c r="I298" t="s">
        <v>9</v>
      </c>
      <c r="L298" t="s">
        <v>161</v>
      </c>
      <c r="M298">
        <v>-77020942.370000005</v>
      </c>
    </row>
    <row r="299" spans="1:13" x14ac:dyDescent="0.3">
      <c r="A299" s="23">
        <v>45299</v>
      </c>
      <c r="B299" t="s">
        <v>12</v>
      </c>
      <c r="C299" t="s">
        <v>132</v>
      </c>
      <c r="D299" t="s">
        <v>16</v>
      </c>
      <c r="E299" t="s">
        <v>136</v>
      </c>
      <c r="F299">
        <v>900000</v>
      </c>
      <c r="G299" t="s">
        <v>134</v>
      </c>
      <c r="H299" t="s">
        <v>81</v>
      </c>
      <c r="I299" t="s">
        <v>9</v>
      </c>
      <c r="L299" t="s">
        <v>161</v>
      </c>
      <c r="M299">
        <v>900000</v>
      </c>
    </row>
    <row r="300" spans="1:13" x14ac:dyDescent="0.3">
      <c r="A300" s="23">
        <v>45295</v>
      </c>
      <c r="B300" t="s">
        <v>12</v>
      </c>
      <c r="C300" t="s">
        <v>132</v>
      </c>
      <c r="D300" t="s">
        <v>16</v>
      </c>
      <c r="E300" t="s">
        <v>136</v>
      </c>
      <c r="F300">
        <v>400000000</v>
      </c>
      <c r="G300" t="s">
        <v>134</v>
      </c>
      <c r="H300" t="s">
        <v>81</v>
      </c>
      <c r="I300" t="s">
        <v>9</v>
      </c>
      <c r="L300" t="s">
        <v>161</v>
      </c>
      <c r="M300">
        <v>400000000</v>
      </c>
    </row>
    <row r="301" spans="1:13" x14ac:dyDescent="0.3">
      <c r="A301" s="23">
        <v>45195</v>
      </c>
      <c r="B301" t="s">
        <v>12</v>
      </c>
      <c r="C301" t="s">
        <v>132</v>
      </c>
      <c r="D301" t="s">
        <v>16</v>
      </c>
      <c r="E301" t="s">
        <v>136</v>
      </c>
      <c r="F301">
        <v>400000000</v>
      </c>
      <c r="G301" t="s">
        <v>134</v>
      </c>
      <c r="H301" t="s">
        <v>81</v>
      </c>
      <c r="I301" t="s">
        <v>9</v>
      </c>
      <c r="L301" t="s">
        <v>161</v>
      </c>
      <c r="M301">
        <v>400000000</v>
      </c>
    </row>
    <row r="302" spans="1:13" x14ac:dyDescent="0.3">
      <c r="A302" s="23">
        <v>45198</v>
      </c>
      <c r="B302" t="s">
        <v>12</v>
      </c>
      <c r="C302" t="s">
        <v>132</v>
      </c>
      <c r="D302" t="s">
        <v>17</v>
      </c>
      <c r="E302" t="s">
        <v>136</v>
      </c>
      <c r="F302">
        <v>354754219.14999998</v>
      </c>
      <c r="G302" t="s">
        <v>134</v>
      </c>
      <c r="H302" t="s">
        <v>81</v>
      </c>
      <c r="I302" t="s">
        <v>9</v>
      </c>
      <c r="L302" t="s">
        <v>161</v>
      </c>
      <c r="M302">
        <v>-354754219.14999998</v>
      </c>
    </row>
    <row r="303" spans="1:13" x14ac:dyDescent="0.3">
      <c r="A303" s="23">
        <v>45201</v>
      </c>
      <c r="B303" t="s">
        <v>12</v>
      </c>
      <c r="C303" t="s">
        <v>132</v>
      </c>
      <c r="D303" t="s">
        <v>17</v>
      </c>
      <c r="E303" t="s">
        <v>136</v>
      </c>
      <c r="F303">
        <v>44400258.890000001</v>
      </c>
      <c r="G303" t="s">
        <v>134</v>
      </c>
      <c r="H303" t="s">
        <v>81</v>
      </c>
      <c r="I303" t="s">
        <v>9</v>
      </c>
      <c r="L303" t="s">
        <v>161</v>
      </c>
      <c r="M303">
        <v>-44400258.890000001</v>
      </c>
    </row>
    <row r="304" spans="1:13" x14ac:dyDescent="0.3">
      <c r="A304" s="23">
        <v>45287</v>
      </c>
      <c r="B304" t="s">
        <v>12</v>
      </c>
      <c r="C304" t="s">
        <v>132</v>
      </c>
      <c r="D304" t="s">
        <v>17</v>
      </c>
      <c r="E304" t="s">
        <v>136</v>
      </c>
      <c r="F304">
        <v>714000000</v>
      </c>
      <c r="G304" t="s">
        <v>134</v>
      </c>
      <c r="H304" t="s">
        <v>81</v>
      </c>
      <c r="I304" t="s">
        <v>9</v>
      </c>
      <c r="L304" t="s">
        <v>161</v>
      </c>
      <c r="M304">
        <v>-714000000</v>
      </c>
    </row>
    <row r="305" spans="1:13" x14ac:dyDescent="0.3">
      <c r="A305" s="23">
        <v>45286</v>
      </c>
      <c r="B305" t="s">
        <v>12</v>
      </c>
      <c r="C305" t="s">
        <v>132</v>
      </c>
      <c r="D305" t="s">
        <v>17</v>
      </c>
      <c r="E305" t="s">
        <v>136</v>
      </c>
      <c r="F305">
        <v>364233281.58999997</v>
      </c>
      <c r="G305" t="s">
        <v>134</v>
      </c>
      <c r="H305" t="s">
        <v>81</v>
      </c>
      <c r="I305" t="s">
        <v>9</v>
      </c>
      <c r="L305" t="s">
        <v>161</v>
      </c>
      <c r="M305">
        <v>-364233281.58999997</v>
      </c>
    </row>
    <row r="306" spans="1:13" x14ac:dyDescent="0.3">
      <c r="A306" s="23">
        <v>45282</v>
      </c>
      <c r="B306" t="s">
        <v>12</v>
      </c>
      <c r="C306" t="s">
        <v>132</v>
      </c>
      <c r="D306" t="s">
        <v>16</v>
      </c>
      <c r="E306" t="s">
        <v>136</v>
      </c>
      <c r="F306">
        <v>429134651.85000002</v>
      </c>
      <c r="G306" t="s">
        <v>134</v>
      </c>
      <c r="H306" t="s">
        <v>81</v>
      </c>
      <c r="I306" t="s">
        <v>9</v>
      </c>
      <c r="L306" t="s">
        <v>161</v>
      </c>
      <c r="M306">
        <v>429134651.85000002</v>
      </c>
    </row>
    <row r="307" spans="1:13" x14ac:dyDescent="0.3">
      <c r="A307" s="23">
        <v>45281</v>
      </c>
      <c r="B307" t="s">
        <v>12</v>
      </c>
      <c r="C307" t="s">
        <v>132</v>
      </c>
      <c r="D307" t="s">
        <v>16</v>
      </c>
      <c r="E307" t="s">
        <v>136</v>
      </c>
      <c r="F307">
        <v>77046629.739999995</v>
      </c>
      <c r="G307" t="s">
        <v>134</v>
      </c>
      <c r="H307" t="s">
        <v>81</v>
      </c>
      <c r="I307" t="s">
        <v>9</v>
      </c>
      <c r="L307" t="s">
        <v>161</v>
      </c>
      <c r="M307">
        <v>77046629.739999995</v>
      </c>
    </row>
    <row r="308" spans="1:13" x14ac:dyDescent="0.3">
      <c r="A308" s="23">
        <v>45203</v>
      </c>
      <c r="B308" t="s">
        <v>12</v>
      </c>
      <c r="C308" t="s">
        <v>132</v>
      </c>
      <c r="D308" t="s">
        <v>16</v>
      </c>
      <c r="E308" t="s">
        <v>136</v>
      </c>
      <c r="F308">
        <v>205000000</v>
      </c>
      <c r="G308" t="s">
        <v>134</v>
      </c>
      <c r="H308" t="s">
        <v>81</v>
      </c>
      <c r="I308" t="s">
        <v>9</v>
      </c>
      <c r="L308" t="s">
        <v>161</v>
      </c>
      <c r="M308">
        <v>205000000</v>
      </c>
    </row>
    <row r="309" spans="1:13" x14ac:dyDescent="0.3">
      <c r="A309" s="23">
        <v>45275</v>
      </c>
      <c r="B309" t="s">
        <v>12</v>
      </c>
      <c r="C309" t="s">
        <v>132</v>
      </c>
      <c r="D309" t="s">
        <v>16</v>
      </c>
      <c r="E309" t="s">
        <v>136</v>
      </c>
      <c r="F309">
        <v>572052000</v>
      </c>
      <c r="G309" t="s">
        <v>134</v>
      </c>
      <c r="H309" t="s">
        <v>81</v>
      </c>
      <c r="I309" t="s">
        <v>9</v>
      </c>
      <c r="L309" t="s">
        <v>161</v>
      </c>
      <c r="M309">
        <v>572052000</v>
      </c>
    </row>
    <row r="310" spans="1:13" x14ac:dyDescent="0.3">
      <c r="A310" s="23">
        <v>45204</v>
      </c>
      <c r="B310" t="s">
        <v>12</v>
      </c>
      <c r="C310" t="s">
        <v>132</v>
      </c>
      <c r="D310" t="s">
        <v>17</v>
      </c>
      <c r="E310" t="s">
        <v>136</v>
      </c>
      <c r="F310">
        <v>199441660.44999999</v>
      </c>
      <c r="G310" t="s">
        <v>134</v>
      </c>
      <c r="H310" t="s">
        <v>81</v>
      </c>
      <c r="I310" t="s">
        <v>9</v>
      </c>
      <c r="L310" t="s">
        <v>161</v>
      </c>
      <c r="M310">
        <v>-199441660.44999999</v>
      </c>
    </row>
    <row r="311" spans="1:13" x14ac:dyDescent="0.3">
      <c r="A311" s="23">
        <v>45205</v>
      </c>
      <c r="B311" t="s">
        <v>12</v>
      </c>
      <c r="C311" t="s">
        <v>132</v>
      </c>
      <c r="D311" t="s">
        <v>17</v>
      </c>
      <c r="E311" t="s">
        <v>136</v>
      </c>
      <c r="F311">
        <v>6403861.5099999998</v>
      </c>
      <c r="G311" t="s">
        <v>134</v>
      </c>
      <c r="H311" t="s">
        <v>81</v>
      </c>
      <c r="I311" t="s">
        <v>9</v>
      </c>
      <c r="L311" t="s">
        <v>161</v>
      </c>
      <c r="M311">
        <v>-6403861.5099999998</v>
      </c>
    </row>
    <row r="312" spans="1:13" x14ac:dyDescent="0.3">
      <c r="A312" s="23">
        <v>45267</v>
      </c>
      <c r="B312" t="s">
        <v>12</v>
      </c>
      <c r="C312" t="s">
        <v>132</v>
      </c>
      <c r="D312" t="s">
        <v>17</v>
      </c>
      <c r="E312" t="s">
        <v>136</v>
      </c>
      <c r="F312">
        <v>57546500</v>
      </c>
      <c r="G312" t="s">
        <v>134</v>
      </c>
      <c r="H312" t="s">
        <v>81</v>
      </c>
      <c r="I312" t="s">
        <v>9</v>
      </c>
      <c r="L312" t="s">
        <v>161</v>
      </c>
      <c r="M312">
        <v>-57546500</v>
      </c>
    </row>
    <row r="313" spans="1:13" x14ac:dyDescent="0.3">
      <c r="A313" s="23">
        <v>45266</v>
      </c>
      <c r="B313" t="s">
        <v>12</v>
      </c>
      <c r="C313" t="s">
        <v>132</v>
      </c>
      <c r="D313" t="s">
        <v>16</v>
      </c>
      <c r="E313" t="s">
        <v>136</v>
      </c>
      <c r="F313">
        <v>40000000</v>
      </c>
      <c r="G313" t="s">
        <v>134</v>
      </c>
      <c r="H313" t="s">
        <v>81</v>
      </c>
      <c r="I313" t="s">
        <v>9</v>
      </c>
      <c r="L313" t="s">
        <v>161</v>
      </c>
      <c r="M313">
        <v>40000000</v>
      </c>
    </row>
    <row r="314" spans="1:13" x14ac:dyDescent="0.3">
      <c r="A314" s="23">
        <v>45265</v>
      </c>
      <c r="B314" t="s">
        <v>12</v>
      </c>
      <c r="C314" t="s">
        <v>132</v>
      </c>
      <c r="D314" t="s">
        <v>17</v>
      </c>
      <c r="E314" t="s">
        <v>136</v>
      </c>
      <c r="F314">
        <v>41000000</v>
      </c>
      <c r="G314" t="s">
        <v>134</v>
      </c>
      <c r="H314" t="s">
        <v>81</v>
      </c>
      <c r="I314" t="s">
        <v>9</v>
      </c>
      <c r="L314" t="s">
        <v>161</v>
      </c>
      <c r="M314">
        <v>-41000000</v>
      </c>
    </row>
    <row r="315" spans="1:13" x14ac:dyDescent="0.3">
      <c r="A315" s="23">
        <v>45261</v>
      </c>
      <c r="B315" t="s">
        <v>12</v>
      </c>
      <c r="C315" t="s">
        <v>132</v>
      </c>
      <c r="D315" t="s">
        <v>17</v>
      </c>
      <c r="E315" t="s">
        <v>136</v>
      </c>
      <c r="F315">
        <v>200000000</v>
      </c>
      <c r="G315" t="s">
        <v>134</v>
      </c>
      <c r="H315" t="s">
        <v>81</v>
      </c>
      <c r="I315" t="s">
        <v>9</v>
      </c>
      <c r="L315" t="s">
        <v>161</v>
      </c>
      <c r="M315">
        <v>-200000000</v>
      </c>
    </row>
    <row r="316" spans="1:13" x14ac:dyDescent="0.3">
      <c r="A316" s="23">
        <v>45260</v>
      </c>
      <c r="B316" t="s">
        <v>12</v>
      </c>
      <c r="C316" t="s">
        <v>132</v>
      </c>
      <c r="D316" t="s">
        <v>17</v>
      </c>
      <c r="E316" t="s">
        <v>136</v>
      </c>
      <c r="F316">
        <v>229000000</v>
      </c>
      <c r="G316" t="s">
        <v>134</v>
      </c>
      <c r="H316" t="s">
        <v>81</v>
      </c>
      <c r="I316" t="s">
        <v>9</v>
      </c>
      <c r="L316" t="s">
        <v>161</v>
      </c>
      <c r="M316">
        <v>-229000000</v>
      </c>
    </row>
    <row r="317" spans="1:13" x14ac:dyDescent="0.3">
      <c r="A317" s="23">
        <v>45259</v>
      </c>
      <c r="B317" t="s">
        <v>12</v>
      </c>
      <c r="C317" t="s">
        <v>132</v>
      </c>
      <c r="D317" t="s">
        <v>16</v>
      </c>
      <c r="E317" t="s">
        <v>136</v>
      </c>
      <c r="F317">
        <v>232186500</v>
      </c>
      <c r="G317" t="s">
        <v>134</v>
      </c>
      <c r="H317" t="s">
        <v>81</v>
      </c>
      <c r="I317" t="s">
        <v>9</v>
      </c>
      <c r="L317" t="s">
        <v>161</v>
      </c>
      <c r="M317">
        <v>232186500</v>
      </c>
    </row>
    <row r="318" spans="1:13" x14ac:dyDescent="0.3">
      <c r="A318" s="23">
        <v>45258</v>
      </c>
      <c r="B318" t="s">
        <v>12</v>
      </c>
      <c r="C318" t="s">
        <v>132</v>
      </c>
      <c r="D318" t="s">
        <v>17</v>
      </c>
      <c r="E318" t="s">
        <v>136</v>
      </c>
      <c r="F318">
        <v>36200000</v>
      </c>
      <c r="G318" t="s">
        <v>134</v>
      </c>
      <c r="H318" t="s">
        <v>81</v>
      </c>
      <c r="I318" t="s">
        <v>9</v>
      </c>
      <c r="L318" t="s">
        <v>161</v>
      </c>
      <c r="M318">
        <v>-36200000</v>
      </c>
    </row>
    <row r="319" spans="1:13" x14ac:dyDescent="0.3">
      <c r="A319" s="23">
        <v>45257</v>
      </c>
      <c r="B319" t="s">
        <v>12</v>
      </c>
      <c r="C319" t="s">
        <v>132</v>
      </c>
      <c r="D319" t="s">
        <v>17</v>
      </c>
      <c r="E319" t="s">
        <v>136</v>
      </c>
      <c r="F319">
        <v>148600000</v>
      </c>
      <c r="G319" t="s">
        <v>134</v>
      </c>
      <c r="H319" t="s">
        <v>81</v>
      </c>
      <c r="I319" t="s">
        <v>9</v>
      </c>
      <c r="L319" t="s">
        <v>161</v>
      </c>
      <c r="M319">
        <v>-148600000</v>
      </c>
    </row>
    <row r="320" spans="1:13" x14ac:dyDescent="0.3">
      <c r="A320" s="23">
        <v>45254</v>
      </c>
      <c r="B320" t="s">
        <v>12</v>
      </c>
      <c r="C320" t="s">
        <v>132</v>
      </c>
      <c r="D320" t="s">
        <v>16</v>
      </c>
      <c r="E320" t="s">
        <v>136</v>
      </c>
      <c r="F320">
        <v>152640000</v>
      </c>
      <c r="G320" t="s">
        <v>134</v>
      </c>
      <c r="H320" t="s">
        <v>81</v>
      </c>
      <c r="I320" t="s">
        <v>9</v>
      </c>
      <c r="L320" t="s">
        <v>161</v>
      </c>
      <c r="M320">
        <v>152640000</v>
      </c>
    </row>
    <row r="321" spans="1:13" x14ac:dyDescent="0.3">
      <c r="A321" s="23">
        <v>45252</v>
      </c>
      <c r="B321" t="s">
        <v>12</v>
      </c>
      <c r="C321" t="s">
        <v>132</v>
      </c>
      <c r="D321" t="s">
        <v>16</v>
      </c>
      <c r="E321" t="s">
        <v>136</v>
      </c>
      <c r="F321">
        <v>287520000</v>
      </c>
      <c r="G321" t="s">
        <v>134</v>
      </c>
      <c r="H321" t="s">
        <v>81</v>
      </c>
      <c r="I321" t="s">
        <v>9</v>
      </c>
      <c r="L321" t="s">
        <v>161</v>
      </c>
      <c r="M321">
        <v>287520000</v>
      </c>
    </row>
    <row r="322" spans="1:13" x14ac:dyDescent="0.3">
      <c r="A322" s="23">
        <v>45247</v>
      </c>
      <c r="B322" t="s">
        <v>12</v>
      </c>
      <c r="C322" t="s">
        <v>132</v>
      </c>
      <c r="D322" t="s">
        <v>17</v>
      </c>
      <c r="E322" t="s">
        <v>136</v>
      </c>
      <c r="F322">
        <v>333595015.64999998</v>
      </c>
      <c r="G322" t="s">
        <v>134</v>
      </c>
      <c r="H322" t="s">
        <v>81</v>
      </c>
      <c r="I322" t="s">
        <v>9</v>
      </c>
      <c r="L322" t="s">
        <v>161</v>
      </c>
      <c r="M322">
        <v>-333595015.64999998</v>
      </c>
    </row>
    <row r="323" spans="1:13" x14ac:dyDescent="0.3">
      <c r="A323" s="23">
        <v>45246</v>
      </c>
      <c r="B323" t="s">
        <v>12</v>
      </c>
      <c r="C323" t="s">
        <v>132</v>
      </c>
      <c r="D323" t="s">
        <v>16</v>
      </c>
      <c r="E323" t="s">
        <v>136</v>
      </c>
      <c r="F323">
        <v>57955000</v>
      </c>
      <c r="G323" t="s">
        <v>134</v>
      </c>
      <c r="H323" t="s">
        <v>81</v>
      </c>
      <c r="I323" t="s">
        <v>9</v>
      </c>
      <c r="L323" t="s">
        <v>161</v>
      </c>
      <c r="M323">
        <v>57955000</v>
      </c>
    </row>
    <row r="324" spans="1:13" x14ac:dyDescent="0.3">
      <c r="A324" s="23">
        <v>45246</v>
      </c>
      <c r="B324" t="s">
        <v>12</v>
      </c>
      <c r="C324" t="s">
        <v>132</v>
      </c>
      <c r="D324" t="s">
        <v>16</v>
      </c>
      <c r="E324" t="s">
        <v>136</v>
      </c>
      <c r="F324">
        <v>158000000</v>
      </c>
      <c r="G324" t="s">
        <v>134</v>
      </c>
      <c r="H324" t="s">
        <v>81</v>
      </c>
      <c r="I324" t="s">
        <v>9</v>
      </c>
      <c r="L324" t="s">
        <v>161</v>
      </c>
      <c r="M324">
        <v>158000000</v>
      </c>
    </row>
    <row r="325" spans="1:13" x14ac:dyDescent="0.3">
      <c r="A325" s="23">
        <v>45246</v>
      </c>
      <c r="B325" t="s">
        <v>12</v>
      </c>
      <c r="C325" t="s">
        <v>132</v>
      </c>
      <c r="D325" t="s">
        <v>17</v>
      </c>
      <c r="E325" t="s">
        <v>136</v>
      </c>
      <c r="F325">
        <v>5949984.3499999996</v>
      </c>
      <c r="G325" t="s">
        <v>134</v>
      </c>
      <c r="H325" t="s">
        <v>81</v>
      </c>
      <c r="I325" t="s">
        <v>9</v>
      </c>
      <c r="L325" t="s">
        <v>161</v>
      </c>
      <c r="M325">
        <v>-5949984.3499999996</v>
      </c>
    </row>
    <row r="326" spans="1:13" x14ac:dyDescent="0.3">
      <c r="A326" s="23">
        <v>45239</v>
      </c>
      <c r="B326" t="s">
        <v>12</v>
      </c>
      <c r="C326" t="s">
        <v>132</v>
      </c>
      <c r="D326" t="s">
        <v>17</v>
      </c>
      <c r="E326" t="s">
        <v>136</v>
      </c>
      <c r="F326">
        <v>279200000</v>
      </c>
      <c r="G326" t="s">
        <v>134</v>
      </c>
      <c r="H326" t="s">
        <v>81</v>
      </c>
      <c r="I326" t="s">
        <v>9</v>
      </c>
      <c r="L326" t="s">
        <v>161</v>
      </c>
      <c r="M326">
        <v>-279200000</v>
      </c>
    </row>
    <row r="327" spans="1:13" x14ac:dyDescent="0.3">
      <c r="A327" s="23">
        <v>45237</v>
      </c>
      <c r="B327" t="s">
        <v>12</v>
      </c>
      <c r="C327" t="s">
        <v>132</v>
      </c>
      <c r="D327" t="s">
        <v>16</v>
      </c>
      <c r="E327" t="s">
        <v>136</v>
      </c>
      <c r="F327">
        <v>402790000</v>
      </c>
      <c r="G327" t="s">
        <v>134</v>
      </c>
      <c r="H327" t="s">
        <v>81</v>
      </c>
      <c r="I327" t="s">
        <v>9</v>
      </c>
      <c r="L327" t="s">
        <v>161</v>
      </c>
      <c r="M327">
        <v>402790000</v>
      </c>
    </row>
    <row r="328" spans="1:13" x14ac:dyDescent="0.3">
      <c r="A328" s="23">
        <v>44562</v>
      </c>
      <c r="B328" t="s">
        <v>12</v>
      </c>
      <c r="C328" t="s">
        <v>132</v>
      </c>
      <c r="D328" t="s">
        <v>16</v>
      </c>
      <c r="E328" t="s">
        <v>41</v>
      </c>
      <c r="F328">
        <v>41904153.740000002</v>
      </c>
      <c r="G328" t="s">
        <v>26</v>
      </c>
      <c r="H328" t="s">
        <v>81</v>
      </c>
      <c r="I328" t="s">
        <v>9</v>
      </c>
      <c r="L328" t="s">
        <v>161</v>
      </c>
      <c r="M328">
        <v>41904153.740000002</v>
      </c>
    </row>
    <row r="329" spans="1:13" x14ac:dyDescent="0.3">
      <c r="A329" s="23">
        <v>44564</v>
      </c>
      <c r="B329" t="s">
        <v>12</v>
      </c>
      <c r="C329" t="s">
        <v>132</v>
      </c>
      <c r="D329" t="s">
        <v>17</v>
      </c>
      <c r="E329" t="s">
        <v>41</v>
      </c>
      <c r="F329">
        <v>41904153.740000002</v>
      </c>
      <c r="G329" t="s">
        <v>26</v>
      </c>
      <c r="H329" t="s">
        <v>81</v>
      </c>
      <c r="I329" t="s">
        <v>9</v>
      </c>
      <c r="L329" t="s">
        <v>161</v>
      </c>
      <c r="M329">
        <v>-41904153.740000002</v>
      </c>
    </row>
    <row r="330" spans="1:13" x14ac:dyDescent="0.3">
      <c r="A330" s="23">
        <v>44564</v>
      </c>
      <c r="B330" t="s">
        <v>12</v>
      </c>
      <c r="C330" t="s">
        <v>132</v>
      </c>
      <c r="D330" t="s">
        <v>16</v>
      </c>
      <c r="E330" t="s">
        <v>41</v>
      </c>
      <c r="F330">
        <v>620000000</v>
      </c>
      <c r="G330" t="s">
        <v>26</v>
      </c>
      <c r="H330" t="s">
        <v>81</v>
      </c>
      <c r="I330" t="s">
        <v>9</v>
      </c>
      <c r="L330" t="s">
        <v>161</v>
      </c>
      <c r="M330">
        <v>620000000</v>
      </c>
    </row>
    <row r="331" spans="1:13" x14ac:dyDescent="0.3">
      <c r="A331" s="23">
        <v>44565</v>
      </c>
      <c r="B331" t="s">
        <v>12</v>
      </c>
      <c r="C331" t="s">
        <v>132</v>
      </c>
      <c r="D331" t="s">
        <v>17</v>
      </c>
      <c r="E331" t="s">
        <v>41</v>
      </c>
      <c r="F331">
        <v>54839712.810000002</v>
      </c>
      <c r="G331" t="s">
        <v>26</v>
      </c>
      <c r="H331" t="s">
        <v>81</v>
      </c>
      <c r="I331" t="s">
        <v>9</v>
      </c>
      <c r="L331" t="s">
        <v>161</v>
      </c>
      <c r="M331">
        <v>-54839712.810000002</v>
      </c>
    </row>
    <row r="332" spans="1:13" x14ac:dyDescent="0.3">
      <c r="A332" s="23">
        <v>44566</v>
      </c>
      <c r="B332" t="s">
        <v>12</v>
      </c>
      <c r="C332" t="s">
        <v>132</v>
      </c>
      <c r="D332" t="s">
        <v>17</v>
      </c>
      <c r="E332" t="s">
        <v>41</v>
      </c>
      <c r="F332">
        <v>10000000</v>
      </c>
      <c r="G332" t="s">
        <v>26</v>
      </c>
      <c r="H332" t="s">
        <v>81</v>
      </c>
      <c r="I332" t="s">
        <v>9</v>
      </c>
      <c r="L332" t="s">
        <v>161</v>
      </c>
      <c r="M332">
        <v>-10000000</v>
      </c>
    </row>
    <row r="333" spans="1:13" x14ac:dyDescent="0.3">
      <c r="A333" s="23">
        <v>44567</v>
      </c>
      <c r="B333" t="s">
        <v>12</v>
      </c>
      <c r="C333" t="s">
        <v>132</v>
      </c>
      <c r="D333" t="s">
        <v>17</v>
      </c>
      <c r="E333" t="s">
        <v>41</v>
      </c>
      <c r="F333">
        <v>20700000</v>
      </c>
      <c r="G333" t="s">
        <v>26</v>
      </c>
      <c r="H333" t="s">
        <v>81</v>
      </c>
      <c r="I333" t="s">
        <v>9</v>
      </c>
      <c r="L333" t="s">
        <v>161</v>
      </c>
      <c r="M333">
        <v>-20700000</v>
      </c>
    </row>
    <row r="334" spans="1:13" x14ac:dyDescent="0.3">
      <c r="A334" s="23">
        <v>45870</v>
      </c>
      <c r="B334" t="s">
        <v>12</v>
      </c>
      <c r="C334" t="s">
        <v>132</v>
      </c>
      <c r="D334" t="s">
        <v>17</v>
      </c>
      <c r="E334" t="s">
        <v>41</v>
      </c>
      <c r="F334">
        <v>57994966</v>
      </c>
      <c r="G334" t="s">
        <v>26</v>
      </c>
      <c r="H334" t="s">
        <v>81</v>
      </c>
      <c r="I334" t="s">
        <v>9</v>
      </c>
      <c r="L334" t="s">
        <v>161</v>
      </c>
      <c r="M334">
        <v>-57994966</v>
      </c>
    </row>
    <row r="335" spans="1:13" x14ac:dyDescent="0.3">
      <c r="A335" s="23">
        <v>44568</v>
      </c>
      <c r="B335" t="s">
        <v>12</v>
      </c>
      <c r="C335" t="s">
        <v>132</v>
      </c>
      <c r="D335" t="s">
        <v>17</v>
      </c>
      <c r="E335" t="s">
        <v>41</v>
      </c>
      <c r="F335">
        <v>26000000</v>
      </c>
      <c r="G335" t="s">
        <v>26</v>
      </c>
      <c r="H335" t="s">
        <v>81</v>
      </c>
      <c r="I335" t="s">
        <v>9</v>
      </c>
      <c r="L335" t="s">
        <v>161</v>
      </c>
      <c r="M335">
        <v>-26000000</v>
      </c>
    </row>
    <row r="336" spans="1:13" x14ac:dyDescent="0.3">
      <c r="A336" s="23">
        <v>44571</v>
      </c>
      <c r="B336" t="s">
        <v>12</v>
      </c>
      <c r="C336" t="s">
        <v>132</v>
      </c>
      <c r="D336" t="s">
        <v>17</v>
      </c>
      <c r="E336" t="s">
        <v>41</v>
      </c>
      <c r="F336">
        <v>478600000</v>
      </c>
      <c r="G336" t="s">
        <v>26</v>
      </c>
      <c r="H336" t="s">
        <v>81</v>
      </c>
      <c r="I336" t="s">
        <v>9</v>
      </c>
      <c r="L336" t="s">
        <v>161</v>
      </c>
      <c r="M336">
        <v>-478600000</v>
      </c>
    </row>
    <row r="337" spans="1:13" x14ac:dyDescent="0.3">
      <c r="A337" s="23">
        <v>44571</v>
      </c>
      <c r="B337" t="s">
        <v>12</v>
      </c>
      <c r="C337" t="s">
        <v>132</v>
      </c>
      <c r="D337" t="s">
        <v>17</v>
      </c>
      <c r="E337" t="s">
        <v>41</v>
      </c>
      <c r="F337">
        <v>17700000</v>
      </c>
      <c r="G337" t="s">
        <v>26</v>
      </c>
      <c r="H337" t="s">
        <v>81</v>
      </c>
      <c r="I337" t="s">
        <v>9</v>
      </c>
      <c r="L337" t="s">
        <v>161</v>
      </c>
      <c r="M337">
        <v>-17700000</v>
      </c>
    </row>
    <row r="338" spans="1:13" x14ac:dyDescent="0.3">
      <c r="A338" s="23">
        <v>44572</v>
      </c>
      <c r="B338" t="s">
        <v>12</v>
      </c>
      <c r="C338" t="s">
        <v>132</v>
      </c>
      <c r="D338" t="s">
        <v>16</v>
      </c>
      <c r="E338" t="s">
        <v>41</v>
      </c>
      <c r="F338">
        <v>4500000</v>
      </c>
      <c r="G338" t="s">
        <v>26</v>
      </c>
      <c r="H338" t="s">
        <v>81</v>
      </c>
      <c r="I338" t="s">
        <v>9</v>
      </c>
      <c r="L338" t="s">
        <v>161</v>
      </c>
      <c r="M338">
        <v>4500000</v>
      </c>
    </row>
    <row r="339" spans="1:13" x14ac:dyDescent="0.3">
      <c r="A339" s="23">
        <v>45863</v>
      </c>
      <c r="B339" t="s">
        <v>12</v>
      </c>
      <c r="C339" t="s">
        <v>132</v>
      </c>
      <c r="D339" t="s">
        <v>16</v>
      </c>
      <c r="E339" t="s">
        <v>41</v>
      </c>
      <c r="F339">
        <v>31162963.870000001</v>
      </c>
      <c r="G339" t="s">
        <v>26</v>
      </c>
      <c r="H339" t="s">
        <v>81</v>
      </c>
      <c r="I339" t="s">
        <v>9</v>
      </c>
      <c r="L339" t="s">
        <v>161</v>
      </c>
      <c r="M339">
        <v>31162963.870000001</v>
      </c>
    </row>
    <row r="340" spans="1:13" x14ac:dyDescent="0.3">
      <c r="A340" s="23">
        <v>45863</v>
      </c>
      <c r="B340" t="s">
        <v>12</v>
      </c>
      <c r="C340" t="s">
        <v>132</v>
      </c>
      <c r="D340" t="s">
        <v>17</v>
      </c>
      <c r="E340" t="s">
        <v>41</v>
      </c>
      <c r="F340">
        <v>100000000</v>
      </c>
      <c r="G340" t="s">
        <v>26</v>
      </c>
      <c r="H340" t="s">
        <v>81</v>
      </c>
      <c r="I340" t="s">
        <v>9</v>
      </c>
      <c r="L340" t="s">
        <v>161</v>
      </c>
      <c r="M340">
        <v>-100000000</v>
      </c>
    </row>
    <row r="341" spans="1:13" x14ac:dyDescent="0.3">
      <c r="A341" s="23">
        <v>44581</v>
      </c>
      <c r="B341" t="s">
        <v>12</v>
      </c>
      <c r="C341" t="s">
        <v>132</v>
      </c>
      <c r="D341" t="s">
        <v>17</v>
      </c>
      <c r="E341" t="s">
        <v>41</v>
      </c>
      <c r="F341">
        <v>2300000</v>
      </c>
      <c r="G341" t="s">
        <v>26</v>
      </c>
      <c r="H341" t="s">
        <v>81</v>
      </c>
      <c r="I341" t="s">
        <v>9</v>
      </c>
      <c r="L341" t="s">
        <v>161</v>
      </c>
      <c r="M341">
        <v>-2300000</v>
      </c>
    </row>
    <row r="342" spans="1:13" x14ac:dyDescent="0.3">
      <c r="A342" s="23">
        <v>45862</v>
      </c>
      <c r="B342" t="s">
        <v>12</v>
      </c>
      <c r="C342" t="s">
        <v>132</v>
      </c>
      <c r="D342" t="s">
        <v>17</v>
      </c>
      <c r="E342" t="s">
        <v>41</v>
      </c>
      <c r="F342">
        <v>37400000</v>
      </c>
      <c r="G342" t="s">
        <v>26</v>
      </c>
      <c r="H342" t="s">
        <v>81</v>
      </c>
      <c r="I342" t="s">
        <v>9</v>
      </c>
      <c r="L342" t="s">
        <v>161</v>
      </c>
      <c r="M342">
        <v>-37400000</v>
      </c>
    </row>
    <row r="343" spans="1:13" x14ac:dyDescent="0.3">
      <c r="A343" s="23">
        <v>44582</v>
      </c>
      <c r="B343" t="s">
        <v>12</v>
      </c>
      <c r="C343" t="s">
        <v>132</v>
      </c>
      <c r="D343" t="s">
        <v>16</v>
      </c>
      <c r="E343" t="s">
        <v>41</v>
      </c>
      <c r="F343">
        <v>2301189.5</v>
      </c>
      <c r="G343" t="s">
        <v>26</v>
      </c>
      <c r="H343" t="s">
        <v>81</v>
      </c>
      <c r="I343" t="s">
        <v>9</v>
      </c>
      <c r="L343" t="s">
        <v>161</v>
      </c>
      <c r="M343">
        <v>2301189.5</v>
      </c>
    </row>
    <row r="344" spans="1:13" x14ac:dyDescent="0.3">
      <c r="A344" s="23">
        <v>44585</v>
      </c>
      <c r="B344" t="s">
        <v>12</v>
      </c>
      <c r="C344" t="s">
        <v>132</v>
      </c>
      <c r="D344" t="s">
        <v>17</v>
      </c>
      <c r="E344" t="s">
        <v>41</v>
      </c>
      <c r="F344">
        <v>10200000</v>
      </c>
      <c r="G344" t="s">
        <v>26</v>
      </c>
      <c r="H344" t="s">
        <v>81</v>
      </c>
      <c r="I344" t="s">
        <v>9</v>
      </c>
      <c r="L344" t="s">
        <v>161</v>
      </c>
      <c r="M344">
        <v>-10200000</v>
      </c>
    </row>
    <row r="345" spans="1:13" x14ac:dyDescent="0.3">
      <c r="A345" s="23">
        <v>44586</v>
      </c>
      <c r="B345" t="s">
        <v>12</v>
      </c>
      <c r="C345" t="s">
        <v>132</v>
      </c>
      <c r="D345" t="s">
        <v>17</v>
      </c>
      <c r="E345" t="s">
        <v>41</v>
      </c>
      <c r="F345">
        <v>6461476.6900000004</v>
      </c>
      <c r="G345" t="s">
        <v>26</v>
      </c>
      <c r="H345" t="s">
        <v>81</v>
      </c>
      <c r="I345" t="s">
        <v>9</v>
      </c>
      <c r="L345" t="s">
        <v>161</v>
      </c>
      <c r="M345">
        <v>-6461476.6900000004</v>
      </c>
    </row>
    <row r="346" spans="1:13" x14ac:dyDescent="0.3">
      <c r="A346" s="23">
        <v>44587</v>
      </c>
      <c r="B346" t="s">
        <v>12</v>
      </c>
      <c r="C346" t="s">
        <v>132</v>
      </c>
      <c r="D346" t="s">
        <v>16</v>
      </c>
      <c r="E346" t="s">
        <v>41</v>
      </c>
      <c r="F346">
        <v>8400000</v>
      </c>
      <c r="G346" t="s">
        <v>26</v>
      </c>
      <c r="H346" t="s">
        <v>81</v>
      </c>
      <c r="I346" t="s">
        <v>9</v>
      </c>
      <c r="L346" t="s">
        <v>161</v>
      </c>
      <c r="M346">
        <v>8400000</v>
      </c>
    </row>
    <row r="347" spans="1:13" x14ac:dyDescent="0.3">
      <c r="A347" s="23">
        <v>44592</v>
      </c>
      <c r="B347" t="s">
        <v>12</v>
      </c>
      <c r="C347" t="s">
        <v>132</v>
      </c>
      <c r="D347" t="s">
        <v>16</v>
      </c>
      <c r="E347" t="s">
        <v>41</v>
      </c>
      <c r="F347">
        <v>41696.550000000003</v>
      </c>
      <c r="G347" t="s">
        <v>26</v>
      </c>
      <c r="H347" t="s">
        <v>81</v>
      </c>
      <c r="I347" t="s">
        <v>9</v>
      </c>
      <c r="L347" t="s">
        <v>161</v>
      </c>
      <c r="M347">
        <v>41696.550000000003</v>
      </c>
    </row>
    <row r="348" spans="1:13" x14ac:dyDescent="0.3">
      <c r="A348" s="23">
        <v>45849</v>
      </c>
      <c r="B348" t="s">
        <v>12</v>
      </c>
      <c r="C348" t="s">
        <v>132</v>
      </c>
      <c r="D348" t="s">
        <v>16</v>
      </c>
      <c r="E348" t="s">
        <v>41</v>
      </c>
      <c r="F348">
        <v>119659320.92</v>
      </c>
      <c r="G348" t="s">
        <v>26</v>
      </c>
      <c r="H348" t="s">
        <v>81</v>
      </c>
      <c r="I348" t="s">
        <v>9</v>
      </c>
      <c r="L348" t="s">
        <v>161</v>
      </c>
      <c r="M348">
        <v>119659320.92</v>
      </c>
    </row>
    <row r="349" spans="1:13" x14ac:dyDescent="0.3">
      <c r="A349" s="23">
        <v>44596</v>
      </c>
      <c r="B349" t="s">
        <v>12</v>
      </c>
      <c r="C349" t="s">
        <v>132</v>
      </c>
      <c r="D349" t="s">
        <v>17</v>
      </c>
      <c r="E349" t="s">
        <v>41</v>
      </c>
      <c r="F349">
        <v>8441696.5500000007</v>
      </c>
      <c r="G349" t="s">
        <v>26</v>
      </c>
      <c r="H349" t="s">
        <v>81</v>
      </c>
      <c r="I349" t="s">
        <v>9</v>
      </c>
      <c r="L349" t="s">
        <v>161</v>
      </c>
      <c r="M349">
        <v>-8441696.5500000007</v>
      </c>
    </row>
    <row r="350" spans="1:13" x14ac:dyDescent="0.3">
      <c r="A350" s="23">
        <v>45846</v>
      </c>
      <c r="B350" t="s">
        <v>12</v>
      </c>
      <c r="C350" t="s">
        <v>132</v>
      </c>
      <c r="D350" t="s">
        <v>17</v>
      </c>
      <c r="E350" t="s">
        <v>41</v>
      </c>
      <c r="F350">
        <v>105700000</v>
      </c>
      <c r="G350" t="s">
        <v>26</v>
      </c>
      <c r="H350" t="s">
        <v>81</v>
      </c>
      <c r="I350" t="s">
        <v>9</v>
      </c>
      <c r="L350" t="s">
        <v>161</v>
      </c>
      <c r="M350">
        <v>-105700000</v>
      </c>
    </row>
    <row r="351" spans="1:13" x14ac:dyDescent="0.3">
      <c r="A351" s="23">
        <v>44602</v>
      </c>
      <c r="B351" t="s">
        <v>12</v>
      </c>
      <c r="C351" t="s">
        <v>132</v>
      </c>
      <c r="D351" t="s">
        <v>16</v>
      </c>
      <c r="E351" t="s">
        <v>41</v>
      </c>
      <c r="F351">
        <v>48500000</v>
      </c>
      <c r="G351" t="s">
        <v>26</v>
      </c>
      <c r="H351" t="s">
        <v>81</v>
      </c>
      <c r="I351" t="s">
        <v>9</v>
      </c>
      <c r="L351" t="s">
        <v>161</v>
      </c>
      <c r="M351">
        <v>48500000</v>
      </c>
    </row>
    <row r="352" spans="1:13" x14ac:dyDescent="0.3">
      <c r="A352" s="23">
        <v>44603</v>
      </c>
      <c r="B352" t="s">
        <v>12</v>
      </c>
      <c r="C352" t="s">
        <v>132</v>
      </c>
      <c r="D352" t="s">
        <v>17</v>
      </c>
      <c r="E352" t="s">
        <v>41</v>
      </c>
      <c r="F352">
        <v>9100000</v>
      </c>
      <c r="G352" t="s">
        <v>26</v>
      </c>
      <c r="H352" t="s">
        <v>81</v>
      </c>
      <c r="I352" t="s">
        <v>9</v>
      </c>
      <c r="L352" t="s">
        <v>161</v>
      </c>
      <c r="M352">
        <v>-9100000</v>
      </c>
    </row>
    <row r="353" spans="1:13" x14ac:dyDescent="0.3">
      <c r="A353" s="23">
        <v>44606</v>
      </c>
      <c r="B353" t="s">
        <v>12</v>
      </c>
      <c r="C353" t="s">
        <v>132</v>
      </c>
      <c r="D353" t="s">
        <v>17</v>
      </c>
      <c r="E353" t="s">
        <v>41</v>
      </c>
      <c r="F353">
        <v>26000000</v>
      </c>
      <c r="G353" t="s">
        <v>26</v>
      </c>
      <c r="H353" t="s">
        <v>81</v>
      </c>
      <c r="I353" t="s">
        <v>9</v>
      </c>
      <c r="L353" t="s">
        <v>161</v>
      </c>
      <c r="M353">
        <v>-26000000</v>
      </c>
    </row>
    <row r="354" spans="1:13" x14ac:dyDescent="0.3">
      <c r="A354" s="23">
        <v>44609</v>
      </c>
      <c r="B354" t="s">
        <v>12</v>
      </c>
      <c r="C354" t="s">
        <v>132</v>
      </c>
      <c r="D354" t="s">
        <v>16</v>
      </c>
      <c r="E354" t="s">
        <v>41</v>
      </c>
      <c r="F354">
        <v>82500000</v>
      </c>
      <c r="G354" t="s">
        <v>26</v>
      </c>
      <c r="H354" t="s">
        <v>81</v>
      </c>
      <c r="I354" t="s">
        <v>9</v>
      </c>
      <c r="L354" t="s">
        <v>161</v>
      </c>
      <c r="M354">
        <v>82500000</v>
      </c>
    </row>
    <row r="355" spans="1:13" x14ac:dyDescent="0.3">
      <c r="A355" s="23">
        <v>45845</v>
      </c>
      <c r="B355" t="s">
        <v>12</v>
      </c>
      <c r="C355" t="s">
        <v>132</v>
      </c>
      <c r="D355" t="s">
        <v>17</v>
      </c>
      <c r="E355" t="s">
        <v>41</v>
      </c>
      <c r="F355">
        <v>305400000</v>
      </c>
      <c r="G355" t="s">
        <v>26</v>
      </c>
      <c r="H355" t="s">
        <v>81</v>
      </c>
      <c r="I355" t="s">
        <v>9</v>
      </c>
      <c r="L355" t="s">
        <v>161</v>
      </c>
      <c r="M355">
        <v>-305400000</v>
      </c>
    </row>
    <row r="356" spans="1:13" x14ac:dyDescent="0.3">
      <c r="A356" s="23">
        <v>44610</v>
      </c>
      <c r="B356" t="s">
        <v>12</v>
      </c>
      <c r="C356" t="s">
        <v>132</v>
      </c>
      <c r="D356" t="s">
        <v>17</v>
      </c>
      <c r="E356" t="s">
        <v>41</v>
      </c>
      <c r="F356">
        <v>10600000</v>
      </c>
      <c r="G356" t="s">
        <v>26</v>
      </c>
      <c r="H356" t="s">
        <v>81</v>
      </c>
      <c r="I356" t="s">
        <v>9</v>
      </c>
      <c r="L356" t="s">
        <v>161</v>
      </c>
      <c r="M356">
        <v>-10600000</v>
      </c>
    </row>
    <row r="357" spans="1:13" x14ac:dyDescent="0.3">
      <c r="A357" s="23">
        <v>44615</v>
      </c>
      <c r="B357" t="s">
        <v>12</v>
      </c>
      <c r="C357" t="s">
        <v>132</v>
      </c>
      <c r="D357" t="s">
        <v>17</v>
      </c>
      <c r="E357" t="s">
        <v>41</v>
      </c>
      <c r="F357">
        <v>10000000</v>
      </c>
      <c r="G357" t="s">
        <v>26</v>
      </c>
      <c r="H357" t="s">
        <v>81</v>
      </c>
      <c r="I357" t="s">
        <v>9</v>
      </c>
      <c r="L357" t="s">
        <v>161</v>
      </c>
      <c r="M357">
        <v>-10000000</v>
      </c>
    </row>
    <row r="358" spans="1:13" x14ac:dyDescent="0.3">
      <c r="A358" s="23">
        <v>44616</v>
      </c>
      <c r="B358" t="s">
        <v>12</v>
      </c>
      <c r="C358" t="s">
        <v>132</v>
      </c>
      <c r="D358" t="s">
        <v>17</v>
      </c>
      <c r="E358" t="s">
        <v>41</v>
      </c>
      <c r="F358">
        <v>17600000</v>
      </c>
      <c r="G358" t="s">
        <v>26</v>
      </c>
      <c r="H358" t="s">
        <v>81</v>
      </c>
      <c r="I358" t="s">
        <v>9</v>
      </c>
      <c r="L358" t="s">
        <v>161</v>
      </c>
      <c r="M358">
        <v>-17600000</v>
      </c>
    </row>
    <row r="359" spans="1:13" x14ac:dyDescent="0.3">
      <c r="A359" s="23">
        <v>44620</v>
      </c>
      <c r="B359" t="s">
        <v>12</v>
      </c>
      <c r="C359" t="s">
        <v>132</v>
      </c>
      <c r="D359" t="s">
        <v>16</v>
      </c>
      <c r="E359" t="s">
        <v>41</v>
      </c>
      <c r="F359">
        <v>976951.7</v>
      </c>
      <c r="G359" t="s">
        <v>26</v>
      </c>
      <c r="H359" t="s">
        <v>81</v>
      </c>
      <c r="I359" t="s">
        <v>9</v>
      </c>
      <c r="L359" t="s">
        <v>161</v>
      </c>
      <c r="M359">
        <v>976951.7</v>
      </c>
    </row>
    <row r="360" spans="1:13" x14ac:dyDescent="0.3">
      <c r="A360" s="23">
        <v>45839</v>
      </c>
      <c r="B360" t="s">
        <v>12</v>
      </c>
      <c r="C360" t="s">
        <v>132</v>
      </c>
      <c r="D360" t="s">
        <v>17</v>
      </c>
      <c r="E360" t="s">
        <v>41</v>
      </c>
      <c r="F360">
        <v>1716500000</v>
      </c>
      <c r="G360" t="s">
        <v>26</v>
      </c>
      <c r="H360" t="s">
        <v>81</v>
      </c>
      <c r="I360" t="s">
        <v>9</v>
      </c>
      <c r="L360" t="s">
        <v>161</v>
      </c>
      <c r="M360">
        <v>-1716500000</v>
      </c>
    </row>
    <row r="361" spans="1:13" x14ac:dyDescent="0.3">
      <c r="A361" s="23">
        <v>44622</v>
      </c>
      <c r="B361" t="s">
        <v>12</v>
      </c>
      <c r="C361" t="s">
        <v>132</v>
      </c>
      <c r="D361" t="s">
        <v>17</v>
      </c>
      <c r="E361" t="s">
        <v>41</v>
      </c>
      <c r="F361">
        <v>28900000</v>
      </c>
      <c r="G361" t="s">
        <v>26</v>
      </c>
      <c r="H361" t="s">
        <v>81</v>
      </c>
      <c r="I361" t="s">
        <v>9</v>
      </c>
      <c r="L361" t="s">
        <v>161</v>
      </c>
      <c r="M361">
        <v>-28900000</v>
      </c>
    </row>
    <row r="362" spans="1:13" x14ac:dyDescent="0.3">
      <c r="A362" s="23">
        <v>45835</v>
      </c>
      <c r="B362" t="s">
        <v>12</v>
      </c>
      <c r="C362" t="s">
        <v>132</v>
      </c>
      <c r="D362" t="s">
        <v>17</v>
      </c>
      <c r="E362" t="s">
        <v>41</v>
      </c>
      <c r="F362">
        <v>317300000</v>
      </c>
      <c r="G362" t="s">
        <v>26</v>
      </c>
      <c r="H362" t="s">
        <v>81</v>
      </c>
      <c r="I362" t="s">
        <v>9</v>
      </c>
      <c r="L362" t="s">
        <v>161</v>
      </c>
      <c r="M362">
        <v>-317300000</v>
      </c>
    </row>
    <row r="363" spans="1:13" x14ac:dyDescent="0.3">
      <c r="A363" s="23">
        <v>44623</v>
      </c>
      <c r="B363" t="s">
        <v>12</v>
      </c>
      <c r="C363" t="s">
        <v>132</v>
      </c>
      <c r="D363" t="s">
        <v>17</v>
      </c>
      <c r="E363" t="s">
        <v>41</v>
      </c>
      <c r="F363">
        <v>26200000</v>
      </c>
      <c r="G363" t="s">
        <v>26</v>
      </c>
      <c r="H363" t="s">
        <v>81</v>
      </c>
      <c r="I363" t="s">
        <v>9</v>
      </c>
      <c r="L363" t="s">
        <v>161</v>
      </c>
      <c r="M363">
        <v>-26200000</v>
      </c>
    </row>
    <row r="364" spans="1:13" x14ac:dyDescent="0.3">
      <c r="A364" s="23">
        <v>45835</v>
      </c>
      <c r="B364" t="s">
        <v>12</v>
      </c>
      <c r="C364" t="s">
        <v>132</v>
      </c>
      <c r="D364" t="s">
        <v>17</v>
      </c>
      <c r="E364" t="s">
        <v>41</v>
      </c>
      <c r="F364">
        <v>263800000</v>
      </c>
      <c r="G364" t="s">
        <v>26</v>
      </c>
      <c r="H364" t="s">
        <v>81</v>
      </c>
      <c r="I364" t="s">
        <v>9</v>
      </c>
      <c r="L364" t="s">
        <v>161</v>
      </c>
      <c r="M364">
        <v>-263800000</v>
      </c>
    </row>
    <row r="365" spans="1:13" x14ac:dyDescent="0.3">
      <c r="A365" s="23">
        <v>45834</v>
      </c>
      <c r="B365" t="s">
        <v>12</v>
      </c>
      <c r="C365" t="s">
        <v>132</v>
      </c>
      <c r="D365" t="s">
        <v>16</v>
      </c>
      <c r="E365" t="s">
        <v>41</v>
      </c>
      <c r="F365">
        <v>28300000</v>
      </c>
      <c r="G365" t="s">
        <v>26</v>
      </c>
      <c r="H365" t="s">
        <v>81</v>
      </c>
      <c r="I365" t="s">
        <v>9</v>
      </c>
      <c r="L365" t="s">
        <v>161</v>
      </c>
      <c r="M365">
        <v>28300000</v>
      </c>
    </row>
    <row r="366" spans="1:13" x14ac:dyDescent="0.3">
      <c r="A366" s="23">
        <v>44628</v>
      </c>
      <c r="B366" t="s">
        <v>12</v>
      </c>
      <c r="C366" t="s">
        <v>132</v>
      </c>
      <c r="D366" t="s">
        <v>17</v>
      </c>
      <c r="E366" t="s">
        <v>41</v>
      </c>
      <c r="F366">
        <v>600000</v>
      </c>
      <c r="G366" t="s">
        <v>26</v>
      </c>
      <c r="H366" t="s">
        <v>81</v>
      </c>
      <c r="I366" t="s">
        <v>9</v>
      </c>
      <c r="L366" t="s">
        <v>161</v>
      </c>
      <c r="M366">
        <v>-600000</v>
      </c>
    </row>
    <row r="367" spans="1:13" x14ac:dyDescent="0.3">
      <c r="A367" s="23">
        <v>44629</v>
      </c>
      <c r="B367" t="s">
        <v>12</v>
      </c>
      <c r="C367" t="s">
        <v>132</v>
      </c>
      <c r="D367" t="s">
        <v>16</v>
      </c>
      <c r="E367" t="s">
        <v>41</v>
      </c>
      <c r="F367">
        <v>71300000</v>
      </c>
      <c r="G367" t="s">
        <v>26</v>
      </c>
      <c r="H367" t="s">
        <v>81</v>
      </c>
      <c r="I367" t="s">
        <v>9</v>
      </c>
      <c r="L367" t="s">
        <v>161</v>
      </c>
      <c r="M367">
        <v>71300000</v>
      </c>
    </row>
    <row r="368" spans="1:13" x14ac:dyDescent="0.3">
      <c r="A368" s="23">
        <v>44630</v>
      </c>
      <c r="B368" t="s">
        <v>12</v>
      </c>
      <c r="C368" t="s">
        <v>132</v>
      </c>
      <c r="D368" t="s">
        <v>17</v>
      </c>
      <c r="E368" t="s">
        <v>41</v>
      </c>
      <c r="F368">
        <v>51800000</v>
      </c>
      <c r="G368" t="s">
        <v>26</v>
      </c>
      <c r="H368" t="s">
        <v>81</v>
      </c>
      <c r="I368" t="s">
        <v>9</v>
      </c>
      <c r="L368" t="s">
        <v>161</v>
      </c>
      <c r="M368">
        <v>-51800000</v>
      </c>
    </row>
    <row r="369" spans="1:13" x14ac:dyDescent="0.3">
      <c r="A369" s="23">
        <v>44631</v>
      </c>
      <c r="B369" t="s">
        <v>12</v>
      </c>
      <c r="C369" t="s">
        <v>132</v>
      </c>
      <c r="D369" t="s">
        <v>17</v>
      </c>
      <c r="E369" t="s">
        <v>41</v>
      </c>
      <c r="F369">
        <v>15000000</v>
      </c>
      <c r="G369" t="s">
        <v>26</v>
      </c>
      <c r="H369" t="s">
        <v>81</v>
      </c>
      <c r="I369" t="s">
        <v>9</v>
      </c>
      <c r="L369" t="s">
        <v>161</v>
      </c>
      <c r="M369">
        <v>-15000000</v>
      </c>
    </row>
    <row r="370" spans="1:13" x14ac:dyDescent="0.3">
      <c r="A370" s="23">
        <v>45827</v>
      </c>
      <c r="B370" t="s">
        <v>12</v>
      </c>
      <c r="C370" t="s">
        <v>132</v>
      </c>
      <c r="D370" t="s">
        <v>17</v>
      </c>
      <c r="E370" t="s">
        <v>41</v>
      </c>
      <c r="F370">
        <v>945500000</v>
      </c>
      <c r="G370" t="s">
        <v>26</v>
      </c>
      <c r="H370" t="s">
        <v>81</v>
      </c>
      <c r="I370" t="s">
        <v>9</v>
      </c>
      <c r="L370" t="s">
        <v>161</v>
      </c>
      <c r="M370">
        <v>-945500000</v>
      </c>
    </row>
    <row r="371" spans="1:13" x14ac:dyDescent="0.3">
      <c r="A371" s="23">
        <v>44634</v>
      </c>
      <c r="B371" t="s">
        <v>12</v>
      </c>
      <c r="C371" t="s">
        <v>132</v>
      </c>
      <c r="D371" t="s">
        <v>17</v>
      </c>
      <c r="E371" t="s">
        <v>41</v>
      </c>
      <c r="F371">
        <v>600000</v>
      </c>
      <c r="G371" t="s">
        <v>26</v>
      </c>
      <c r="H371" t="s">
        <v>81</v>
      </c>
      <c r="I371" t="s">
        <v>9</v>
      </c>
      <c r="L371" t="s">
        <v>161</v>
      </c>
      <c r="M371">
        <v>-600000</v>
      </c>
    </row>
    <row r="372" spans="1:13" x14ac:dyDescent="0.3">
      <c r="A372" s="23">
        <v>45826</v>
      </c>
      <c r="B372" t="s">
        <v>12</v>
      </c>
      <c r="C372" t="s">
        <v>132</v>
      </c>
      <c r="D372" t="s">
        <v>17</v>
      </c>
      <c r="E372" t="s">
        <v>41</v>
      </c>
      <c r="F372">
        <v>1027200000</v>
      </c>
      <c r="G372" t="s">
        <v>26</v>
      </c>
      <c r="H372" t="s">
        <v>81</v>
      </c>
      <c r="I372" t="s">
        <v>9</v>
      </c>
      <c r="L372" t="s">
        <v>161</v>
      </c>
      <c r="M372">
        <v>-1027200000</v>
      </c>
    </row>
    <row r="373" spans="1:13" x14ac:dyDescent="0.3">
      <c r="A373" s="23">
        <v>45825</v>
      </c>
      <c r="B373" t="s">
        <v>12</v>
      </c>
      <c r="C373" t="s">
        <v>132</v>
      </c>
      <c r="D373" t="s">
        <v>17</v>
      </c>
      <c r="E373" t="s">
        <v>41</v>
      </c>
      <c r="F373">
        <v>440300000</v>
      </c>
      <c r="G373" t="s">
        <v>26</v>
      </c>
      <c r="H373" t="s">
        <v>81</v>
      </c>
      <c r="I373" t="s">
        <v>9</v>
      </c>
      <c r="L373" t="s">
        <v>161</v>
      </c>
      <c r="M373">
        <v>-440300000</v>
      </c>
    </row>
    <row r="374" spans="1:13" x14ac:dyDescent="0.3">
      <c r="A374" s="23">
        <v>44635</v>
      </c>
      <c r="B374" t="s">
        <v>12</v>
      </c>
      <c r="C374" t="s">
        <v>132</v>
      </c>
      <c r="D374" t="s">
        <v>16</v>
      </c>
      <c r="E374" t="s">
        <v>41</v>
      </c>
      <c r="F374">
        <v>11400000</v>
      </c>
      <c r="G374" t="s">
        <v>26</v>
      </c>
      <c r="H374" t="s">
        <v>81</v>
      </c>
      <c r="I374" t="s">
        <v>9</v>
      </c>
      <c r="L374" t="s">
        <v>161</v>
      </c>
      <c r="M374">
        <v>11400000</v>
      </c>
    </row>
    <row r="375" spans="1:13" x14ac:dyDescent="0.3">
      <c r="A375" s="23">
        <v>45821</v>
      </c>
      <c r="B375" t="s">
        <v>12</v>
      </c>
      <c r="C375" t="s">
        <v>132</v>
      </c>
      <c r="D375" t="s">
        <v>17</v>
      </c>
      <c r="E375" t="s">
        <v>41</v>
      </c>
      <c r="F375">
        <v>327000000</v>
      </c>
      <c r="G375" t="s">
        <v>26</v>
      </c>
      <c r="H375" t="s">
        <v>81</v>
      </c>
      <c r="I375" t="s">
        <v>9</v>
      </c>
      <c r="L375" t="s">
        <v>161</v>
      </c>
      <c r="M375">
        <v>-327000000</v>
      </c>
    </row>
    <row r="376" spans="1:13" x14ac:dyDescent="0.3">
      <c r="A376" s="23">
        <v>45820</v>
      </c>
      <c r="B376" t="s">
        <v>12</v>
      </c>
      <c r="C376" t="s">
        <v>132</v>
      </c>
      <c r="D376" t="s">
        <v>17</v>
      </c>
      <c r="E376" t="s">
        <v>41</v>
      </c>
      <c r="F376">
        <v>142000000</v>
      </c>
      <c r="G376" t="s">
        <v>26</v>
      </c>
      <c r="H376" t="s">
        <v>81</v>
      </c>
      <c r="I376" t="s">
        <v>9</v>
      </c>
      <c r="L376" t="s">
        <v>161</v>
      </c>
      <c r="M376">
        <v>-142000000</v>
      </c>
    </row>
    <row r="377" spans="1:13" x14ac:dyDescent="0.3">
      <c r="A377" s="23">
        <v>45819</v>
      </c>
      <c r="B377" t="s">
        <v>12</v>
      </c>
      <c r="C377" t="s">
        <v>132</v>
      </c>
      <c r="D377" t="s">
        <v>17</v>
      </c>
      <c r="E377" t="s">
        <v>41</v>
      </c>
      <c r="F377">
        <v>355400000</v>
      </c>
      <c r="G377" t="s">
        <v>26</v>
      </c>
      <c r="H377" t="s">
        <v>81</v>
      </c>
      <c r="I377" t="s">
        <v>9</v>
      </c>
      <c r="L377" t="s">
        <v>161</v>
      </c>
      <c r="M377">
        <v>-355400000</v>
      </c>
    </row>
    <row r="378" spans="1:13" x14ac:dyDescent="0.3">
      <c r="A378" s="23">
        <v>44637</v>
      </c>
      <c r="B378" t="s">
        <v>12</v>
      </c>
      <c r="C378" t="s">
        <v>132</v>
      </c>
      <c r="D378" t="s">
        <v>16</v>
      </c>
      <c r="E378" t="s">
        <v>41</v>
      </c>
      <c r="F378">
        <v>35500000</v>
      </c>
      <c r="G378" t="s">
        <v>26</v>
      </c>
      <c r="H378" t="s">
        <v>81</v>
      </c>
      <c r="I378" t="s">
        <v>9</v>
      </c>
      <c r="L378" t="s">
        <v>161</v>
      </c>
      <c r="M378">
        <v>35500000</v>
      </c>
    </row>
    <row r="379" spans="1:13" x14ac:dyDescent="0.3">
      <c r="A379" s="23">
        <v>44638</v>
      </c>
      <c r="B379" t="s">
        <v>12</v>
      </c>
      <c r="C379" t="s">
        <v>132</v>
      </c>
      <c r="D379" t="s">
        <v>17</v>
      </c>
      <c r="E379" t="s">
        <v>41</v>
      </c>
      <c r="F379">
        <v>32000000</v>
      </c>
      <c r="G379" t="s">
        <v>26</v>
      </c>
      <c r="H379" t="s">
        <v>81</v>
      </c>
      <c r="I379" t="s">
        <v>9</v>
      </c>
      <c r="L379" t="s">
        <v>161</v>
      </c>
      <c r="M379">
        <v>-32000000</v>
      </c>
    </row>
    <row r="380" spans="1:13" x14ac:dyDescent="0.3">
      <c r="A380" s="23">
        <v>44641</v>
      </c>
      <c r="B380" t="s">
        <v>12</v>
      </c>
      <c r="C380" t="s">
        <v>132</v>
      </c>
      <c r="D380" t="s">
        <v>17</v>
      </c>
      <c r="E380" t="s">
        <v>41</v>
      </c>
      <c r="F380">
        <v>12100000</v>
      </c>
      <c r="G380" t="s">
        <v>26</v>
      </c>
      <c r="H380" t="s">
        <v>81</v>
      </c>
      <c r="I380" t="s">
        <v>9</v>
      </c>
      <c r="L380" t="s">
        <v>161</v>
      </c>
      <c r="M380">
        <v>-12100000</v>
      </c>
    </row>
    <row r="381" spans="1:13" x14ac:dyDescent="0.3">
      <c r="A381" s="23">
        <v>44642</v>
      </c>
      <c r="B381" t="s">
        <v>12</v>
      </c>
      <c r="C381" t="s">
        <v>132</v>
      </c>
      <c r="D381" t="s">
        <v>16</v>
      </c>
      <c r="E381" t="s">
        <v>41</v>
      </c>
      <c r="F381">
        <v>105700000</v>
      </c>
      <c r="G381" t="s">
        <v>26</v>
      </c>
      <c r="H381" t="s">
        <v>81</v>
      </c>
      <c r="I381" t="s">
        <v>9</v>
      </c>
      <c r="L381" t="s">
        <v>161</v>
      </c>
      <c r="M381">
        <v>105700000</v>
      </c>
    </row>
    <row r="382" spans="1:13" x14ac:dyDescent="0.3">
      <c r="A382" s="23">
        <v>45818</v>
      </c>
      <c r="B382" t="s">
        <v>12</v>
      </c>
      <c r="C382" t="s">
        <v>132</v>
      </c>
      <c r="D382" t="s">
        <v>17</v>
      </c>
      <c r="E382" t="s">
        <v>41</v>
      </c>
      <c r="F382">
        <v>97100000</v>
      </c>
      <c r="G382" t="s">
        <v>26</v>
      </c>
      <c r="H382" t="s">
        <v>81</v>
      </c>
      <c r="I382" t="s">
        <v>9</v>
      </c>
      <c r="L382" t="s">
        <v>161</v>
      </c>
      <c r="M382">
        <v>-97100000</v>
      </c>
    </row>
    <row r="383" spans="1:13" x14ac:dyDescent="0.3">
      <c r="A383" s="23">
        <v>45817</v>
      </c>
      <c r="B383" t="s">
        <v>12</v>
      </c>
      <c r="C383" t="s">
        <v>132</v>
      </c>
      <c r="D383" t="s">
        <v>17</v>
      </c>
      <c r="E383" t="s">
        <v>41</v>
      </c>
      <c r="F383">
        <v>894900000</v>
      </c>
      <c r="G383" t="s">
        <v>26</v>
      </c>
      <c r="H383" t="s">
        <v>81</v>
      </c>
      <c r="I383" t="s">
        <v>9</v>
      </c>
      <c r="L383" t="s">
        <v>161</v>
      </c>
      <c r="M383">
        <v>-894900000</v>
      </c>
    </row>
    <row r="384" spans="1:13" x14ac:dyDescent="0.3">
      <c r="A384" s="23">
        <v>44643</v>
      </c>
      <c r="B384" t="s">
        <v>12</v>
      </c>
      <c r="C384" t="s">
        <v>132</v>
      </c>
      <c r="D384" t="s">
        <v>17</v>
      </c>
      <c r="E384" t="s">
        <v>41</v>
      </c>
      <c r="F384">
        <v>6000000</v>
      </c>
      <c r="G384" t="s">
        <v>26</v>
      </c>
      <c r="H384" t="s">
        <v>81</v>
      </c>
      <c r="I384" t="s">
        <v>9</v>
      </c>
      <c r="L384" t="s">
        <v>161</v>
      </c>
      <c r="M384">
        <v>-6000000</v>
      </c>
    </row>
    <row r="385" spans="1:13" x14ac:dyDescent="0.3">
      <c r="A385" s="23">
        <v>44645</v>
      </c>
      <c r="B385" t="s">
        <v>12</v>
      </c>
      <c r="C385" t="s">
        <v>132</v>
      </c>
      <c r="D385" t="s">
        <v>17</v>
      </c>
      <c r="E385" t="s">
        <v>41</v>
      </c>
      <c r="F385">
        <v>36900000</v>
      </c>
      <c r="G385" t="s">
        <v>26</v>
      </c>
      <c r="H385" t="s">
        <v>81</v>
      </c>
      <c r="I385" t="s">
        <v>9</v>
      </c>
      <c r="L385" t="s">
        <v>161</v>
      </c>
      <c r="M385">
        <v>-36900000</v>
      </c>
    </row>
    <row r="386" spans="1:13" x14ac:dyDescent="0.3">
      <c r="A386" s="23">
        <v>45814</v>
      </c>
      <c r="B386" t="s">
        <v>12</v>
      </c>
      <c r="C386" t="s">
        <v>132</v>
      </c>
      <c r="D386" t="s">
        <v>16</v>
      </c>
      <c r="E386" t="s">
        <v>41</v>
      </c>
      <c r="F386">
        <v>1127400000</v>
      </c>
      <c r="G386" t="s">
        <v>26</v>
      </c>
      <c r="H386" t="s">
        <v>81</v>
      </c>
      <c r="I386" t="s">
        <v>9</v>
      </c>
      <c r="L386" t="s">
        <v>161</v>
      </c>
      <c r="M386">
        <v>1127400000</v>
      </c>
    </row>
    <row r="387" spans="1:13" x14ac:dyDescent="0.3">
      <c r="A387" s="23">
        <v>44649</v>
      </c>
      <c r="B387" t="s">
        <v>12</v>
      </c>
      <c r="C387" t="s">
        <v>132</v>
      </c>
      <c r="D387" t="s">
        <v>16</v>
      </c>
      <c r="E387" t="s">
        <v>41</v>
      </c>
      <c r="F387">
        <v>27000000</v>
      </c>
      <c r="G387" t="s">
        <v>26</v>
      </c>
      <c r="H387" t="s">
        <v>81</v>
      </c>
      <c r="I387" t="s">
        <v>9</v>
      </c>
      <c r="L387" t="s">
        <v>161</v>
      </c>
      <c r="M387">
        <v>27000000</v>
      </c>
    </row>
    <row r="388" spans="1:13" x14ac:dyDescent="0.3">
      <c r="A388" s="23">
        <v>44650</v>
      </c>
      <c r="B388" t="s">
        <v>12</v>
      </c>
      <c r="C388" t="s">
        <v>132</v>
      </c>
      <c r="D388" t="s">
        <v>16</v>
      </c>
      <c r="E388" t="s">
        <v>41</v>
      </c>
      <c r="F388">
        <v>33300000</v>
      </c>
      <c r="G388" t="s">
        <v>26</v>
      </c>
      <c r="H388" t="s">
        <v>81</v>
      </c>
      <c r="I388" t="s">
        <v>9</v>
      </c>
      <c r="L388" t="s">
        <v>161</v>
      </c>
      <c r="M388">
        <v>33300000</v>
      </c>
    </row>
    <row r="389" spans="1:13" x14ac:dyDescent="0.3">
      <c r="A389" s="23">
        <v>44651</v>
      </c>
      <c r="B389" t="s">
        <v>12</v>
      </c>
      <c r="C389" t="s">
        <v>132</v>
      </c>
      <c r="D389" t="s">
        <v>17</v>
      </c>
      <c r="E389" t="s">
        <v>41</v>
      </c>
      <c r="F389">
        <v>45100000</v>
      </c>
      <c r="G389" t="s">
        <v>26</v>
      </c>
      <c r="H389" t="s">
        <v>81</v>
      </c>
      <c r="I389" t="s">
        <v>9</v>
      </c>
      <c r="L389" t="s">
        <v>161</v>
      </c>
      <c r="M389">
        <v>-45100000</v>
      </c>
    </row>
    <row r="390" spans="1:13" x14ac:dyDescent="0.3">
      <c r="A390" s="23">
        <v>45811</v>
      </c>
      <c r="B390" t="s">
        <v>12</v>
      </c>
      <c r="C390" t="s">
        <v>132</v>
      </c>
      <c r="D390" t="s">
        <v>17</v>
      </c>
      <c r="E390" t="s">
        <v>41</v>
      </c>
      <c r="F390">
        <v>111900000</v>
      </c>
      <c r="G390" t="s">
        <v>26</v>
      </c>
      <c r="H390" t="s">
        <v>81</v>
      </c>
      <c r="I390" t="s">
        <v>9</v>
      </c>
      <c r="L390" t="s">
        <v>161</v>
      </c>
      <c r="M390">
        <v>-111900000</v>
      </c>
    </row>
    <row r="391" spans="1:13" x14ac:dyDescent="0.3">
      <c r="A391" s="23">
        <v>45810</v>
      </c>
      <c r="B391" t="s">
        <v>12</v>
      </c>
      <c r="C391" t="s">
        <v>132</v>
      </c>
      <c r="D391" t="s">
        <v>17</v>
      </c>
      <c r="E391" t="s">
        <v>41</v>
      </c>
      <c r="F391">
        <v>905300000</v>
      </c>
      <c r="G391" t="s">
        <v>26</v>
      </c>
      <c r="H391" t="s">
        <v>81</v>
      </c>
      <c r="I391" t="s">
        <v>9</v>
      </c>
      <c r="L391" t="s">
        <v>161</v>
      </c>
      <c r="M391">
        <v>-905300000</v>
      </c>
    </row>
    <row r="392" spans="1:13" x14ac:dyDescent="0.3">
      <c r="A392" s="23">
        <v>45807</v>
      </c>
      <c r="B392" t="s">
        <v>12</v>
      </c>
      <c r="C392" t="s">
        <v>132</v>
      </c>
      <c r="D392" t="s">
        <v>16</v>
      </c>
      <c r="E392" t="s">
        <v>41</v>
      </c>
      <c r="F392">
        <v>2035800000</v>
      </c>
      <c r="G392" t="s">
        <v>26</v>
      </c>
      <c r="H392" t="s">
        <v>81</v>
      </c>
      <c r="I392" t="s">
        <v>9</v>
      </c>
      <c r="L392" t="s">
        <v>161</v>
      </c>
      <c r="M392">
        <v>2035800000</v>
      </c>
    </row>
    <row r="393" spans="1:13" x14ac:dyDescent="0.3">
      <c r="A393" s="23">
        <v>45806</v>
      </c>
      <c r="B393" t="s">
        <v>12</v>
      </c>
      <c r="C393" t="s">
        <v>132</v>
      </c>
      <c r="D393" t="s">
        <v>17</v>
      </c>
      <c r="E393" t="s">
        <v>41</v>
      </c>
      <c r="F393">
        <v>78700000</v>
      </c>
      <c r="G393" t="s">
        <v>26</v>
      </c>
      <c r="H393" t="s">
        <v>81</v>
      </c>
      <c r="I393" t="s">
        <v>9</v>
      </c>
      <c r="L393" t="s">
        <v>161</v>
      </c>
      <c r="M393">
        <v>-78700000</v>
      </c>
    </row>
    <row r="394" spans="1:13" x14ac:dyDescent="0.3">
      <c r="A394" s="23">
        <v>44655</v>
      </c>
      <c r="B394" t="s">
        <v>12</v>
      </c>
      <c r="C394" t="s">
        <v>132</v>
      </c>
      <c r="D394" t="s">
        <v>17</v>
      </c>
      <c r="E394" t="s">
        <v>41</v>
      </c>
      <c r="F394">
        <v>70000000</v>
      </c>
      <c r="G394" t="s">
        <v>26</v>
      </c>
      <c r="H394" t="s">
        <v>81</v>
      </c>
      <c r="I394" t="s">
        <v>9</v>
      </c>
      <c r="L394" t="s">
        <v>161</v>
      </c>
      <c r="M394">
        <v>-70000000</v>
      </c>
    </row>
    <row r="395" spans="1:13" x14ac:dyDescent="0.3">
      <c r="A395" s="23">
        <v>45805</v>
      </c>
      <c r="B395" t="s">
        <v>12</v>
      </c>
      <c r="C395" t="s">
        <v>132</v>
      </c>
      <c r="D395" t="s">
        <v>16</v>
      </c>
      <c r="E395" t="s">
        <v>41</v>
      </c>
      <c r="F395">
        <v>82500000</v>
      </c>
      <c r="G395" t="s">
        <v>26</v>
      </c>
      <c r="H395" t="s">
        <v>81</v>
      </c>
      <c r="I395" t="s">
        <v>9</v>
      </c>
      <c r="L395" t="s">
        <v>161</v>
      </c>
      <c r="M395">
        <v>82500000</v>
      </c>
    </row>
    <row r="396" spans="1:13" x14ac:dyDescent="0.3">
      <c r="A396" s="23">
        <v>45804</v>
      </c>
      <c r="B396" t="s">
        <v>12</v>
      </c>
      <c r="C396" t="s">
        <v>132</v>
      </c>
      <c r="D396" t="s">
        <v>16</v>
      </c>
      <c r="E396" t="s">
        <v>41</v>
      </c>
      <c r="F396">
        <v>174200000</v>
      </c>
      <c r="G396" t="s">
        <v>26</v>
      </c>
      <c r="H396" t="s">
        <v>81</v>
      </c>
      <c r="I396" t="s">
        <v>9</v>
      </c>
      <c r="L396" t="s">
        <v>161</v>
      </c>
      <c r="M396">
        <v>174200000</v>
      </c>
    </row>
    <row r="397" spans="1:13" x14ac:dyDescent="0.3">
      <c r="A397" s="23">
        <v>44659</v>
      </c>
      <c r="B397" t="s">
        <v>12</v>
      </c>
      <c r="C397" t="s">
        <v>132</v>
      </c>
      <c r="D397" t="s">
        <v>16</v>
      </c>
      <c r="E397" t="s">
        <v>41</v>
      </c>
      <c r="F397">
        <v>10200000</v>
      </c>
      <c r="G397" t="s">
        <v>26</v>
      </c>
      <c r="H397" t="s">
        <v>81</v>
      </c>
      <c r="I397" t="s">
        <v>9</v>
      </c>
      <c r="L397" t="s">
        <v>161</v>
      </c>
      <c r="M397">
        <v>10200000</v>
      </c>
    </row>
    <row r="398" spans="1:13" x14ac:dyDescent="0.3">
      <c r="A398" s="23">
        <v>45804</v>
      </c>
      <c r="B398" t="s">
        <v>12</v>
      </c>
      <c r="C398" t="s">
        <v>132</v>
      </c>
      <c r="D398" t="s">
        <v>16</v>
      </c>
      <c r="E398" t="s">
        <v>41</v>
      </c>
      <c r="F398">
        <v>40463000</v>
      </c>
      <c r="G398" t="s">
        <v>26</v>
      </c>
      <c r="H398" t="s">
        <v>81</v>
      </c>
      <c r="I398" t="s">
        <v>9</v>
      </c>
      <c r="L398" t="s">
        <v>161</v>
      </c>
      <c r="M398">
        <v>40463000</v>
      </c>
    </row>
    <row r="399" spans="1:13" x14ac:dyDescent="0.3">
      <c r="A399" s="23">
        <v>45803</v>
      </c>
      <c r="B399" t="s">
        <v>12</v>
      </c>
      <c r="C399" t="s">
        <v>132</v>
      </c>
      <c r="D399" t="s">
        <v>17</v>
      </c>
      <c r="E399" t="s">
        <v>41</v>
      </c>
      <c r="F399">
        <v>306400000</v>
      </c>
      <c r="G399" t="s">
        <v>26</v>
      </c>
      <c r="H399" t="s">
        <v>81</v>
      </c>
      <c r="I399" t="s">
        <v>9</v>
      </c>
      <c r="L399" t="s">
        <v>161</v>
      </c>
      <c r="M399">
        <v>-306400000</v>
      </c>
    </row>
    <row r="400" spans="1:13" x14ac:dyDescent="0.3">
      <c r="A400" s="23">
        <v>45800</v>
      </c>
      <c r="B400" t="s">
        <v>12</v>
      </c>
      <c r="C400" t="s">
        <v>132</v>
      </c>
      <c r="D400" t="s">
        <v>17</v>
      </c>
      <c r="E400" t="s">
        <v>41</v>
      </c>
      <c r="F400">
        <v>238700000</v>
      </c>
      <c r="G400" t="s">
        <v>26</v>
      </c>
      <c r="H400" t="s">
        <v>81</v>
      </c>
      <c r="I400" t="s">
        <v>9</v>
      </c>
      <c r="L400" t="s">
        <v>161</v>
      </c>
      <c r="M400">
        <v>-238700000</v>
      </c>
    </row>
    <row r="401" spans="1:13" x14ac:dyDescent="0.3">
      <c r="A401" s="23">
        <v>45799</v>
      </c>
      <c r="B401" t="s">
        <v>12</v>
      </c>
      <c r="C401" t="s">
        <v>132</v>
      </c>
      <c r="D401" t="s">
        <v>17</v>
      </c>
      <c r="E401" t="s">
        <v>41</v>
      </c>
      <c r="F401">
        <v>306000000</v>
      </c>
      <c r="G401" t="s">
        <v>26</v>
      </c>
      <c r="H401" t="s">
        <v>81</v>
      </c>
      <c r="I401" t="s">
        <v>9</v>
      </c>
      <c r="L401" t="s">
        <v>161</v>
      </c>
      <c r="M401">
        <v>-306000000</v>
      </c>
    </row>
    <row r="402" spans="1:13" x14ac:dyDescent="0.3">
      <c r="A402" s="23">
        <v>45798</v>
      </c>
      <c r="B402" t="s">
        <v>12</v>
      </c>
      <c r="C402" t="s">
        <v>132</v>
      </c>
      <c r="D402" t="s">
        <v>17</v>
      </c>
      <c r="E402" t="s">
        <v>41</v>
      </c>
      <c r="F402">
        <v>192300000</v>
      </c>
      <c r="G402" t="s">
        <v>26</v>
      </c>
      <c r="H402" t="s">
        <v>81</v>
      </c>
      <c r="I402" t="s">
        <v>9</v>
      </c>
      <c r="L402" t="s">
        <v>161</v>
      </c>
      <c r="M402">
        <v>-192300000</v>
      </c>
    </row>
    <row r="403" spans="1:13" x14ac:dyDescent="0.3">
      <c r="A403" s="23">
        <v>44672</v>
      </c>
      <c r="B403" t="s">
        <v>12</v>
      </c>
      <c r="C403" t="s">
        <v>132</v>
      </c>
      <c r="D403" t="s">
        <v>16</v>
      </c>
      <c r="E403" t="s">
        <v>41</v>
      </c>
      <c r="F403">
        <v>90000000</v>
      </c>
      <c r="G403" t="s">
        <v>26</v>
      </c>
      <c r="H403" t="s">
        <v>81</v>
      </c>
      <c r="I403" t="s">
        <v>9</v>
      </c>
      <c r="L403" t="s">
        <v>161</v>
      </c>
      <c r="M403">
        <v>90000000</v>
      </c>
    </row>
    <row r="404" spans="1:13" x14ac:dyDescent="0.3">
      <c r="A404" s="23">
        <v>45796</v>
      </c>
      <c r="B404" t="s">
        <v>12</v>
      </c>
      <c r="C404" t="s">
        <v>132</v>
      </c>
      <c r="D404" t="s">
        <v>16</v>
      </c>
      <c r="E404" t="s">
        <v>41</v>
      </c>
      <c r="F404">
        <v>18600000</v>
      </c>
      <c r="G404" t="s">
        <v>26</v>
      </c>
      <c r="H404" t="s">
        <v>81</v>
      </c>
      <c r="I404" t="s">
        <v>9</v>
      </c>
      <c r="L404" t="s">
        <v>161</v>
      </c>
      <c r="M404">
        <v>18600000</v>
      </c>
    </row>
    <row r="405" spans="1:13" x14ac:dyDescent="0.3">
      <c r="A405" s="23">
        <v>45793</v>
      </c>
      <c r="B405" t="s">
        <v>12</v>
      </c>
      <c r="C405" t="s">
        <v>132</v>
      </c>
      <c r="D405" t="s">
        <v>16</v>
      </c>
      <c r="E405" t="s">
        <v>41</v>
      </c>
      <c r="F405">
        <v>75343717.280000001</v>
      </c>
      <c r="G405" t="s">
        <v>26</v>
      </c>
      <c r="H405" t="s">
        <v>81</v>
      </c>
      <c r="I405" t="s">
        <v>9</v>
      </c>
      <c r="L405" t="s">
        <v>161</v>
      </c>
      <c r="M405">
        <v>75343717.280000001</v>
      </c>
    </row>
    <row r="406" spans="1:13" x14ac:dyDescent="0.3">
      <c r="A406" s="23">
        <v>45793</v>
      </c>
      <c r="B406" t="s">
        <v>12</v>
      </c>
      <c r="C406" t="s">
        <v>132</v>
      </c>
      <c r="D406" t="s">
        <v>16</v>
      </c>
      <c r="E406" t="s">
        <v>41</v>
      </c>
      <c r="F406">
        <v>56400000</v>
      </c>
      <c r="G406" t="s">
        <v>26</v>
      </c>
      <c r="H406" t="s">
        <v>81</v>
      </c>
      <c r="I406" t="s">
        <v>9</v>
      </c>
      <c r="L406" t="s">
        <v>161</v>
      </c>
      <c r="M406">
        <v>56400000</v>
      </c>
    </row>
    <row r="407" spans="1:13" x14ac:dyDescent="0.3">
      <c r="A407" s="23">
        <v>45792</v>
      </c>
      <c r="B407" t="s">
        <v>12</v>
      </c>
      <c r="C407" t="s">
        <v>132</v>
      </c>
      <c r="D407" t="s">
        <v>17</v>
      </c>
      <c r="E407" t="s">
        <v>41</v>
      </c>
      <c r="F407">
        <v>197500000</v>
      </c>
      <c r="G407" t="s">
        <v>26</v>
      </c>
      <c r="H407" t="s">
        <v>81</v>
      </c>
      <c r="I407" t="s">
        <v>9</v>
      </c>
      <c r="L407" t="s">
        <v>161</v>
      </c>
      <c r="M407">
        <v>-197500000</v>
      </c>
    </row>
    <row r="408" spans="1:13" x14ac:dyDescent="0.3">
      <c r="A408" s="23">
        <v>44676</v>
      </c>
      <c r="B408" t="s">
        <v>12</v>
      </c>
      <c r="C408" t="s">
        <v>132</v>
      </c>
      <c r="D408" t="s">
        <v>17</v>
      </c>
      <c r="E408" t="s">
        <v>41</v>
      </c>
      <c r="F408">
        <v>7200000</v>
      </c>
      <c r="G408" t="s">
        <v>26</v>
      </c>
      <c r="H408" t="s">
        <v>81</v>
      </c>
      <c r="I408" t="s">
        <v>9</v>
      </c>
      <c r="L408" t="s">
        <v>161</v>
      </c>
      <c r="M408">
        <v>-7200000</v>
      </c>
    </row>
    <row r="409" spans="1:13" x14ac:dyDescent="0.3">
      <c r="A409" s="23">
        <v>45791</v>
      </c>
      <c r="B409" t="s">
        <v>12</v>
      </c>
      <c r="C409" t="s">
        <v>132</v>
      </c>
      <c r="D409" t="s">
        <v>16</v>
      </c>
      <c r="E409" t="s">
        <v>41</v>
      </c>
      <c r="F409">
        <v>16900000</v>
      </c>
      <c r="G409" t="s">
        <v>26</v>
      </c>
      <c r="H409" t="s">
        <v>81</v>
      </c>
      <c r="I409" t="s">
        <v>9</v>
      </c>
      <c r="L409" t="s">
        <v>161</v>
      </c>
      <c r="M409">
        <v>16900000</v>
      </c>
    </row>
    <row r="410" spans="1:13" x14ac:dyDescent="0.3">
      <c r="A410" s="23">
        <v>44681</v>
      </c>
      <c r="B410" t="s">
        <v>12</v>
      </c>
      <c r="C410" t="s">
        <v>132</v>
      </c>
      <c r="D410" t="s">
        <v>16</v>
      </c>
      <c r="E410" t="s">
        <v>41</v>
      </c>
      <c r="F410">
        <v>1972717.1</v>
      </c>
      <c r="G410" t="s">
        <v>26</v>
      </c>
      <c r="H410" t="s">
        <v>81</v>
      </c>
      <c r="I410" t="s">
        <v>9</v>
      </c>
      <c r="L410" t="s">
        <v>161</v>
      </c>
      <c r="M410">
        <v>1972717.1</v>
      </c>
    </row>
    <row r="411" spans="1:13" x14ac:dyDescent="0.3">
      <c r="A411" s="23">
        <v>44681</v>
      </c>
      <c r="B411" t="s">
        <v>12</v>
      </c>
      <c r="C411" t="s">
        <v>132</v>
      </c>
      <c r="D411" t="s">
        <v>16</v>
      </c>
      <c r="E411" t="s">
        <v>41</v>
      </c>
      <c r="F411">
        <v>1027844.46</v>
      </c>
      <c r="G411" t="s">
        <v>26</v>
      </c>
      <c r="H411" t="s">
        <v>81</v>
      </c>
      <c r="I411" t="s">
        <v>9</v>
      </c>
      <c r="L411" t="s">
        <v>161</v>
      </c>
      <c r="M411">
        <v>1027844.46</v>
      </c>
    </row>
    <row r="412" spans="1:13" x14ac:dyDescent="0.3">
      <c r="A412" s="23">
        <v>44683</v>
      </c>
      <c r="B412" t="s">
        <v>12</v>
      </c>
      <c r="C412" t="s">
        <v>132</v>
      </c>
      <c r="D412" t="s">
        <v>17</v>
      </c>
      <c r="E412" t="s">
        <v>41</v>
      </c>
      <c r="F412">
        <v>21000000</v>
      </c>
      <c r="G412" t="s">
        <v>26</v>
      </c>
      <c r="H412" t="s">
        <v>81</v>
      </c>
      <c r="I412" t="s">
        <v>9</v>
      </c>
      <c r="L412" t="s">
        <v>161</v>
      </c>
      <c r="M412">
        <v>-21000000</v>
      </c>
    </row>
    <row r="413" spans="1:13" x14ac:dyDescent="0.3">
      <c r="A413" s="23">
        <v>44683</v>
      </c>
      <c r="B413" t="s">
        <v>12</v>
      </c>
      <c r="C413" t="s">
        <v>132</v>
      </c>
      <c r="D413" t="s">
        <v>17</v>
      </c>
      <c r="E413" t="s">
        <v>41</v>
      </c>
      <c r="F413">
        <v>91027844.459999993</v>
      </c>
      <c r="G413" t="s">
        <v>26</v>
      </c>
      <c r="H413" t="s">
        <v>81</v>
      </c>
      <c r="I413" t="s">
        <v>9</v>
      </c>
      <c r="L413" t="s">
        <v>161</v>
      </c>
      <c r="M413">
        <v>-91027844.459999993</v>
      </c>
    </row>
    <row r="414" spans="1:13" x14ac:dyDescent="0.3">
      <c r="A414" s="23">
        <v>44684</v>
      </c>
      <c r="B414" t="s">
        <v>12</v>
      </c>
      <c r="C414" t="s">
        <v>132</v>
      </c>
      <c r="D414" t="s">
        <v>16</v>
      </c>
      <c r="E414" t="s">
        <v>41</v>
      </c>
      <c r="F414">
        <v>91500000</v>
      </c>
      <c r="G414" t="s">
        <v>26</v>
      </c>
      <c r="H414" t="s">
        <v>81</v>
      </c>
      <c r="I414" t="s">
        <v>9</v>
      </c>
      <c r="L414" t="s">
        <v>161</v>
      </c>
      <c r="M414">
        <v>91500000</v>
      </c>
    </row>
    <row r="415" spans="1:13" x14ac:dyDescent="0.3">
      <c r="A415" s="23">
        <v>44686</v>
      </c>
      <c r="B415" t="s">
        <v>12</v>
      </c>
      <c r="C415" t="s">
        <v>132</v>
      </c>
      <c r="D415" t="s">
        <v>17</v>
      </c>
      <c r="E415" t="s">
        <v>41</v>
      </c>
      <c r="F415">
        <v>51800000</v>
      </c>
      <c r="G415" t="s">
        <v>26</v>
      </c>
      <c r="H415" t="s">
        <v>81</v>
      </c>
      <c r="I415" t="s">
        <v>9</v>
      </c>
      <c r="L415" t="s">
        <v>161</v>
      </c>
      <c r="M415">
        <v>-51800000</v>
      </c>
    </row>
    <row r="416" spans="1:13" x14ac:dyDescent="0.3">
      <c r="A416" s="23">
        <v>44687</v>
      </c>
      <c r="B416" t="s">
        <v>12</v>
      </c>
      <c r="C416" t="s">
        <v>132</v>
      </c>
      <c r="D416" t="s">
        <v>17</v>
      </c>
      <c r="E416" t="s">
        <v>41</v>
      </c>
      <c r="F416">
        <v>15300000</v>
      </c>
      <c r="G416" t="s">
        <v>26</v>
      </c>
      <c r="H416" t="s">
        <v>81</v>
      </c>
      <c r="I416" t="s">
        <v>9</v>
      </c>
      <c r="L416" t="s">
        <v>161</v>
      </c>
      <c r="M416">
        <v>-15300000</v>
      </c>
    </row>
    <row r="417" spans="1:13" x14ac:dyDescent="0.3">
      <c r="A417" s="23">
        <v>45786</v>
      </c>
      <c r="B417" t="s">
        <v>12</v>
      </c>
      <c r="C417" t="s">
        <v>132</v>
      </c>
      <c r="D417" t="s">
        <v>16</v>
      </c>
      <c r="E417" t="s">
        <v>41</v>
      </c>
      <c r="F417">
        <v>2000000000</v>
      </c>
      <c r="G417" t="s">
        <v>26</v>
      </c>
      <c r="H417" t="s">
        <v>81</v>
      </c>
      <c r="I417" t="s">
        <v>9</v>
      </c>
      <c r="L417" t="s">
        <v>161</v>
      </c>
      <c r="M417">
        <v>2000000000</v>
      </c>
    </row>
    <row r="418" spans="1:13" x14ac:dyDescent="0.3">
      <c r="A418" s="23">
        <v>44690</v>
      </c>
      <c r="B418" t="s">
        <v>12</v>
      </c>
      <c r="C418" t="s">
        <v>132</v>
      </c>
      <c r="D418" t="s">
        <v>17</v>
      </c>
      <c r="E418" t="s">
        <v>41</v>
      </c>
      <c r="F418">
        <v>20600000</v>
      </c>
      <c r="G418" t="s">
        <v>26</v>
      </c>
      <c r="H418" t="s">
        <v>81</v>
      </c>
      <c r="I418" t="s">
        <v>9</v>
      </c>
      <c r="L418" t="s">
        <v>161</v>
      </c>
      <c r="M418">
        <v>-20600000</v>
      </c>
    </row>
    <row r="419" spans="1:13" x14ac:dyDescent="0.3">
      <c r="A419" s="23">
        <v>45782</v>
      </c>
      <c r="B419" t="s">
        <v>12</v>
      </c>
      <c r="C419" t="s">
        <v>132</v>
      </c>
      <c r="D419" t="s">
        <v>17</v>
      </c>
      <c r="E419" t="s">
        <v>41</v>
      </c>
      <c r="F419">
        <v>215000000</v>
      </c>
      <c r="G419" t="s">
        <v>26</v>
      </c>
      <c r="H419" t="s">
        <v>81</v>
      </c>
      <c r="I419" t="s">
        <v>9</v>
      </c>
      <c r="L419" t="s">
        <v>161</v>
      </c>
      <c r="M419">
        <v>-215000000</v>
      </c>
    </row>
    <row r="420" spans="1:13" x14ac:dyDescent="0.3">
      <c r="A420" s="23">
        <v>45776</v>
      </c>
      <c r="B420" t="s">
        <v>12</v>
      </c>
      <c r="C420" t="s">
        <v>132</v>
      </c>
      <c r="D420" t="s">
        <v>17</v>
      </c>
      <c r="E420" t="s">
        <v>41</v>
      </c>
      <c r="F420">
        <v>339600000</v>
      </c>
      <c r="G420" t="s">
        <v>26</v>
      </c>
      <c r="H420" t="s">
        <v>81</v>
      </c>
      <c r="I420" t="s">
        <v>9</v>
      </c>
      <c r="L420" t="s">
        <v>161</v>
      </c>
      <c r="M420">
        <v>-339600000</v>
      </c>
    </row>
    <row r="421" spans="1:13" x14ac:dyDescent="0.3">
      <c r="A421" s="23">
        <v>45775</v>
      </c>
      <c r="B421" t="s">
        <v>12</v>
      </c>
      <c r="C421" t="s">
        <v>132</v>
      </c>
      <c r="D421" t="s">
        <v>17</v>
      </c>
      <c r="E421" t="s">
        <v>41</v>
      </c>
      <c r="F421">
        <v>170000000</v>
      </c>
      <c r="G421" t="s">
        <v>26</v>
      </c>
      <c r="H421" t="s">
        <v>81</v>
      </c>
      <c r="I421" t="s">
        <v>9</v>
      </c>
      <c r="L421" t="s">
        <v>161</v>
      </c>
      <c r="M421">
        <v>-170000000</v>
      </c>
    </row>
    <row r="422" spans="1:13" x14ac:dyDescent="0.3">
      <c r="A422" s="23">
        <v>44693</v>
      </c>
      <c r="B422" t="s">
        <v>12</v>
      </c>
      <c r="C422" t="s">
        <v>132</v>
      </c>
      <c r="D422" t="s">
        <v>16</v>
      </c>
      <c r="E422" t="s">
        <v>41</v>
      </c>
      <c r="F422">
        <v>63000000</v>
      </c>
      <c r="G422" t="s">
        <v>26</v>
      </c>
      <c r="H422" t="s">
        <v>81</v>
      </c>
      <c r="I422" t="s">
        <v>9</v>
      </c>
      <c r="L422" t="s">
        <v>161</v>
      </c>
      <c r="M422">
        <v>63000000</v>
      </c>
    </row>
    <row r="423" spans="1:13" x14ac:dyDescent="0.3">
      <c r="A423" s="23">
        <v>45771</v>
      </c>
      <c r="B423" t="s">
        <v>12</v>
      </c>
      <c r="C423" t="s">
        <v>132</v>
      </c>
      <c r="D423" t="s">
        <v>17</v>
      </c>
      <c r="E423" t="s">
        <v>41</v>
      </c>
      <c r="F423">
        <v>150000000</v>
      </c>
      <c r="G423" t="s">
        <v>26</v>
      </c>
      <c r="H423" t="s">
        <v>81</v>
      </c>
      <c r="I423" t="s">
        <v>9</v>
      </c>
      <c r="L423" t="s">
        <v>161</v>
      </c>
      <c r="M423">
        <v>-150000000</v>
      </c>
    </row>
    <row r="424" spans="1:13" x14ac:dyDescent="0.3">
      <c r="A424" s="23">
        <v>45770</v>
      </c>
      <c r="B424" t="s">
        <v>12</v>
      </c>
      <c r="C424" t="s">
        <v>132</v>
      </c>
      <c r="D424" t="s">
        <v>16</v>
      </c>
      <c r="E424" t="s">
        <v>41</v>
      </c>
      <c r="F424">
        <v>1051000000</v>
      </c>
      <c r="G424" t="s">
        <v>26</v>
      </c>
      <c r="H424" t="s">
        <v>81</v>
      </c>
      <c r="I424" t="s">
        <v>9</v>
      </c>
      <c r="L424" t="s">
        <v>161</v>
      </c>
      <c r="M424">
        <v>1051000000</v>
      </c>
    </row>
    <row r="425" spans="1:13" x14ac:dyDescent="0.3">
      <c r="A425" s="23">
        <v>44694</v>
      </c>
      <c r="B425" t="s">
        <v>12</v>
      </c>
      <c r="C425" t="s">
        <v>132</v>
      </c>
      <c r="D425" t="s">
        <v>16</v>
      </c>
      <c r="E425" t="s">
        <v>41</v>
      </c>
      <c r="F425">
        <v>2900000</v>
      </c>
      <c r="G425" t="s">
        <v>26</v>
      </c>
      <c r="H425" t="s">
        <v>81</v>
      </c>
      <c r="I425" t="s">
        <v>9</v>
      </c>
      <c r="L425" t="s">
        <v>161</v>
      </c>
      <c r="M425">
        <v>2900000</v>
      </c>
    </row>
    <row r="426" spans="1:13" x14ac:dyDescent="0.3">
      <c r="A426" s="23">
        <v>44694</v>
      </c>
      <c r="B426" t="s">
        <v>12</v>
      </c>
      <c r="C426" t="s">
        <v>132</v>
      </c>
      <c r="D426" t="s">
        <v>17</v>
      </c>
      <c r="E426" t="s">
        <v>41</v>
      </c>
      <c r="F426">
        <v>68449668.799999997</v>
      </c>
      <c r="G426" t="s">
        <v>26</v>
      </c>
      <c r="H426" t="s">
        <v>81</v>
      </c>
      <c r="I426" t="s">
        <v>9</v>
      </c>
      <c r="L426" t="s">
        <v>161</v>
      </c>
      <c r="M426">
        <v>-68449668.799999997</v>
      </c>
    </row>
    <row r="427" spans="1:13" x14ac:dyDescent="0.3">
      <c r="A427" s="23">
        <v>44697</v>
      </c>
      <c r="B427" t="s">
        <v>12</v>
      </c>
      <c r="C427" t="s">
        <v>132</v>
      </c>
      <c r="D427" t="s">
        <v>16</v>
      </c>
      <c r="E427" t="s">
        <v>41</v>
      </c>
      <c r="F427">
        <v>152300000</v>
      </c>
      <c r="G427" t="s">
        <v>26</v>
      </c>
      <c r="H427" t="s">
        <v>81</v>
      </c>
      <c r="I427" t="s">
        <v>9</v>
      </c>
      <c r="L427" t="s">
        <v>161</v>
      </c>
      <c r="M427">
        <v>152300000</v>
      </c>
    </row>
    <row r="428" spans="1:13" x14ac:dyDescent="0.3">
      <c r="A428" s="23">
        <v>45769</v>
      </c>
      <c r="B428" t="s">
        <v>12</v>
      </c>
      <c r="C428" t="s">
        <v>132</v>
      </c>
      <c r="D428" t="s">
        <v>16</v>
      </c>
      <c r="E428" t="s">
        <v>41</v>
      </c>
      <c r="F428">
        <v>912000000</v>
      </c>
      <c r="G428" t="s">
        <v>26</v>
      </c>
      <c r="H428" t="s">
        <v>81</v>
      </c>
      <c r="I428" t="s">
        <v>9</v>
      </c>
      <c r="L428" t="s">
        <v>161</v>
      </c>
      <c r="M428">
        <v>912000000</v>
      </c>
    </row>
    <row r="429" spans="1:13" x14ac:dyDescent="0.3">
      <c r="A429" s="23">
        <v>45769</v>
      </c>
      <c r="B429" t="s">
        <v>12</v>
      </c>
      <c r="C429" t="s">
        <v>132</v>
      </c>
      <c r="D429" t="s">
        <v>16</v>
      </c>
      <c r="E429" t="s">
        <v>41</v>
      </c>
      <c r="F429">
        <v>24214919.620000001</v>
      </c>
      <c r="G429" t="s">
        <v>26</v>
      </c>
      <c r="H429" t="s">
        <v>81</v>
      </c>
      <c r="I429" t="s">
        <v>9</v>
      </c>
      <c r="L429" t="s">
        <v>161</v>
      </c>
      <c r="M429">
        <v>24214919.620000001</v>
      </c>
    </row>
    <row r="430" spans="1:13" x14ac:dyDescent="0.3">
      <c r="A430" s="23">
        <v>44700</v>
      </c>
      <c r="B430" t="s">
        <v>12</v>
      </c>
      <c r="C430" t="s">
        <v>132</v>
      </c>
      <c r="D430" t="s">
        <v>17</v>
      </c>
      <c r="E430" t="s">
        <v>41</v>
      </c>
      <c r="F430">
        <v>78600000</v>
      </c>
      <c r="G430" t="s">
        <v>26</v>
      </c>
      <c r="H430" t="s">
        <v>81</v>
      </c>
      <c r="I430" t="s">
        <v>9</v>
      </c>
      <c r="L430" t="s">
        <v>161</v>
      </c>
      <c r="M430">
        <v>-78600000</v>
      </c>
    </row>
    <row r="431" spans="1:13" x14ac:dyDescent="0.3">
      <c r="A431" s="23">
        <v>45768</v>
      </c>
      <c r="B431" t="s">
        <v>12</v>
      </c>
      <c r="C431" t="s">
        <v>132</v>
      </c>
      <c r="D431" t="s">
        <v>17</v>
      </c>
      <c r="E431" t="s">
        <v>41</v>
      </c>
      <c r="F431">
        <v>238300000</v>
      </c>
      <c r="G431" t="s">
        <v>26</v>
      </c>
      <c r="H431" t="s">
        <v>81</v>
      </c>
      <c r="I431" t="s">
        <v>9</v>
      </c>
      <c r="L431" t="s">
        <v>161</v>
      </c>
      <c r="M431">
        <v>-238300000</v>
      </c>
    </row>
    <row r="432" spans="1:13" x14ac:dyDescent="0.3">
      <c r="A432" s="23">
        <v>44704</v>
      </c>
      <c r="B432" t="s">
        <v>12</v>
      </c>
      <c r="C432" t="s">
        <v>132</v>
      </c>
      <c r="D432" t="s">
        <v>17</v>
      </c>
      <c r="E432" t="s">
        <v>41</v>
      </c>
      <c r="F432">
        <v>76600000</v>
      </c>
      <c r="G432" t="s">
        <v>26</v>
      </c>
      <c r="H432" t="s">
        <v>81</v>
      </c>
      <c r="I432" t="s">
        <v>9</v>
      </c>
      <c r="L432" t="s">
        <v>161</v>
      </c>
      <c r="M432">
        <v>-76600000</v>
      </c>
    </row>
    <row r="433" spans="1:13" x14ac:dyDescent="0.3">
      <c r="A433" s="23">
        <v>45763</v>
      </c>
      <c r="B433" t="s">
        <v>12</v>
      </c>
      <c r="C433" t="s">
        <v>132</v>
      </c>
      <c r="D433" t="s">
        <v>16</v>
      </c>
      <c r="E433" t="s">
        <v>41</v>
      </c>
      <c r="F433">
        <v>2000000000</v>
      </c>
      <c r="G433" t="s">
        <v>26</v>
      </c>
      <c r="H433" t="s">
        <v>81</v>
      </c>
      <c r="I433" t="s">
        <v>9</v>
      </c>
      <c r="L433" t="s">
        <v>161</v>
      </c>
      <c r="M433">
        <v>2000000000</v>
      </c>
    </row>
    <row r="434" spans="1:13" x14ac:dyDescent="0.3">
      <c r="A434" s="23">
        <v>44705</v>
      </c>
      <c r="B434" t="s">
        <v>12</v>
      </c>
      <c r="C434" t="s">
        <v>132</v>
      </c>
      <c r="D434" t="s">
        <v>16</v>
      </c>
      <c r="E434" t="s">
        <v>41</v>
      </c>
      <c r="F434">
        <v>158500000</v>
      </c>
      <c r="G434" t="s">
        <v>26</v>
      </c>
      <c r="H434" t="s">
        <v>81</v>
      </c>
      <c r="I434" t="s">
        <v>9</v>
      </c>
      <c r="L434" t="s">
        <v>161</v>
      </c>
      <c r="M434">
        <v>158500000</v>
      </c>
    </row>
    <row r="435" spans="1:13" x14ac:dyDescent="0.3">
      <c r="A435" s="23">
        <v>45762</v>
      </c>
      <c r="B435" t="s">
        <v>12</v>
      </c>
      <c r="C435" t="s">
        <v>132</v>
      </c>
      <c r="D435" t="s">
        <v>17</v>
      </c>
      <c r="E435" t="s">
        <v>41</v>
      </c>
      <c r="F435">
        <v>6000000</v>
      </c>
      <c r="G435" t="s">
        <v>26</v>
      </c>
      <c r="H435" t="s">
        <v>81</v>
      </c>
      <c r="I435" t="s">
        <v>9</v>
      </c>
      <c r="L435" t="s">
        <v>161</v>
      </c>
      <c r="M435">
        <v>-6000000</v>
      </c>
    </row>
    <row r="436" spans="1:13" x14ac:dyDescent="0.3">
      <c r="A436" s="23">
        <v>45762</v>
      </c>
      <c r="B436" t="s">
        <v>12</v>
      </c>
      <c r="C436" t="s">
        <v>132</v>
      </c>
      <c r="D436" t="s">
        <v>16</v>
      </c>
      <c r="E436" t="s">
        <v>41</v>
      </c>
      <c r="F436">
        <v>479200000</v>
      </c>
      <c r="G436" t="s">
        <v>26</v>
      </c>
      <c r="H436" t="s">
        <v>81</v>
      </c>
      <c r="I436" t="s">
        <v>9</v>
      </c>
      <c r="L436" t="s">
        <v>161</v>
      </c>
      <c r="M436">
        <v>479200000</v>
      </c>
    </row>
    <row r="437" spans="1:13" x14ac:dyDescent="0.3">
      <c r="A437" s="23">
        <v>45761</v>
      </c>
      <c r="B437" t="s">
        <v>12</v>
      </c>
      <c r="C437" t="s">
        <v>132</v>
      </c>
      <c r="D437" t="s">
        <v>17</v>
      </c>
      <c r="E437" t="s">
        <v>41</v>
      </c>
      <c r="F437">
        <v>380500000</v>
      </c>
      <c r="G437" t="s">
        <v>26</v>
      </c>
      <c r="H437" t="s">
        <v>81</v>
      </c>
      <c r="I437" t="s">
        <v>9</v>
      </c>
      <c r="L437" t="s">
        <v>161</v>
      </c>
      <c r="M437">
        <v>-380500000</v>
      </c>
    </row>
    <row r="438" spans="1:13" x14ac:dyDescent="0.3">
      <c r="A438" s="23">
        <v>44707</v>
      </c>
      <c r="B438" t="s">
        <v>12</v>
      </c>
      <c r="C438" t="s">
        <v>132</v>
      </c>
      <c r="D438" t="s">
        <v>17</v>
      </c>
      <c r="E438" t="s">
        <v>41</v>
      </c>
      <c r="F438">
        <v>38900000</v>
      </c>
      <c r="G438" t="s">
        <v>26</v>
      </c>
      <c r="H438" t="s">
        <v>81</v>
      </c>
      <c r="I438" t="s">
        <v>9</v>
      </c>
      <c r="L438" t="s">
        <v>161</v>
      </c>
      <c r="M438">
        <v>-38900000</v>
      </c>
    </row>
    <row r="439" spans="1:13" x14ac:dyDescent="0.3">
      <c r="A439" s="23">
        <v>45758</v>
      </c>
      <c r="B439" t="s">
        <v>12</v>
      </c>
      <c r="C439" t="s">
        <v>132</v>
      </c>
      <c r="D439" t="s">
        <v>17</v>
      </c>
      <c r="E439" t="s">
        <v>41</v>
      </c>
      <c r="F439">
        <v>2200000</v>
      </c>
      <c r="G439" t="s">
        <v>26</v>
      </c>
      <c r="H439" t="s">
        <v>81</v>
      </c>
      <c r="I439" t="s">
        <v>9</v>
      </c>
      <c r="L439" t="s">
        <v>161</v>
      </c>
      <c r="M439">
        <v>-2200000</v>
      </c>
    </row>
    <row r="440" spans="1:13" x14ac:dyDescent="0.3">
      <c r="A440" s="23">
        <v>44708</v>
      </c>
      <c r="B440" t="s">
        <v>12</v>
      </c>
      <c r="C440" t="s">
        <v>132</v>
      </c>
      <c r="D440" t="s">
        <v>17</v>
      </c>
      <c r="E440" t="s">
        <v>41</v>
      </c>
      <c r="F440">
        <v>4000000</v>
      </c>
      <c r="G440" t="s">
        <v>26</v>
      </c>
      <c r="H440" t="s">
        <v>81</v>
      </c>
      <c r="I440" t="s">
        <v>9</v>
      </c>
      <c r="L440" t="s">
        <v>161</v>
      </c>
      <c r="M440">
        <v>-4000000</v>
      </c>
    </row>
    <row r="441" spans="1:13" x14ac:dyDescent="0.3">
      <c r="A441" s="23">
        <v>45757</v>
      </c>
      <c r="B441" t="s">
        <v>12</v>
      </c>
      <c r="C441" t="s">
        <v>132</v>
      </c>
      <c r="D441" t="s">
        <v>17</v>
      </c>
      <c r="E441" t="s">
        <v>41</v>
      </c>
      <c r="F441">
        <v>1600000000</v>
      </c>
      <c r="G441" t="s">
        <v>26</v>
      </c>
      <c r="H441" t="s">
        <v>81</v>
      </c>
      <c r="I441" t="s">
        <v>9</v>
      </c>
      <c r="L441" t="s">
        <v>161</v>
      </c>
      <c r="M441">
        <v>-1600000000</v>
      </c>
    </row>
    <row r="442" spans="1:13" x14ac:dyDescent="0.3">
      <c r="A442" s="23">
        <v>44712</v>
      </c>
      <c r="B442" t="s">
        <v>12</v>
      </c>
      <c r="C442" t="s">
        <v>132</v>
      </c>
      <c r="D442" t="s">
        <v>16</v>
      </c>
      <c r="E442" t="s">
        <v>41</v>
      </c>
      <c r="F442">
        <v>307300000</v>
      </c>
      <c r="G442" t="s">
        <v>26</v>
      </c>
      <c r="H442" t="s">
        <v>81</v>
      </c>
      <c r="I442" t="s">
        <v>9</v>
      </c>
      <c r="L442" t="s">
        <v>161</v>
      </c>
      <c r="M442">
        <v>307300000</v>
      </c>
    </row>
    <row r="443" spans="1:13" x14ac:dyDescent="0.3">
      <c r="A443" s="23">
        <v>45756</v>
      </c>
      <c r="B443" t="s">
        <v>12</v>
      </c>
      <c r="C443" t="s">
        <v>132</v>
      </c>
      <c r="D443" t="s">
        <v>16</v>
      </c>
      <c r="E443" t="s">
        <v>41</v>
      </c>
      <c r="F443">
        <v>93000000</v>
      </c>
      <c r="G443" t="s">
        <v>26</v>
      </c>
      <c r="H443" t="s">
        <v>81</v>
      </c>
      <c r="I443" t="s">
        <v>9</v>
      </c>
      <c r="L443" t="s">
        <v>161</v>
      </c>
      <c r="M443">
        <v>93000000</v>
      </c>
    </row>
    <row r="444" spans="1:13" x14ac:dyDescent="0.3">
      <c r="A444" s="23">
        <v>45756</v>
      </c>
      <c r="B444" t="s">
        <v>12</v>
      </c>
      <c r="C444" t="s">
        <v>132</v>
      </c>
      <c r="D444" t="s">
        <v>16</v>
      </c>
      <c r="E444" t="s">
        <v>41</v>
      </c>
      <c r="F444">
        <v>1774700000</v>
      </c>
      <c r="G444" t="s">
        <v>26</v>
      </c>
      <c r="H444" t="s">
        <v>81</v>
      </c>
      <c r="I444" t="s">
        <v>9</v>
      </c>
      <c r="L444" t="s">
        <v>161</v>
      </c>
      <c r="M444">
        <v>1774700000</v>
      </c>
    </row>
    <row r="445" spans="1:13" x14ac:dyDescent="0.3">
      <c r="A445" s="23">
        <v>45755</v>
      </c>
      <c r="B445" t="s">
        <v>12</v>
      </c>
      <c r="C445" t="s">
        <v>132</v>
      </c>
      <c r="D445" t="s">
        <v>17</v>
      </c>
      <c r="E445" t="s">
        <v>41</v>
      </c>
      <c r="F445">
        <v>65300000</v>
      </c>
      <c r="G445" t="s">
        <v>26</v>
      </c>
      <c r="H445" t="s">
        <v>81</v>
      </c>
      <c r="I445" t="s">
        <v>9</v>
      </c>
      <c r="L445" t="s">
        <v>161</v>
      </c>
      <c r="M445">
        <v>-65300000</v>
      </c>
    </row>
    <row r="446" spans="1:13" x14ac:dyDescent="0.3">
      <c r="A446" s="23">
        <v>45754</v>
      </c>
      <c r="B446" t="s">
        <v>12</v>
      </c>
      <c r="C446" t="s">
        <v>132</v>
      </c>
      <c r="D446" t="s">
        <v>17</v>
      </c>
      <c r="E446" t="s">
        <v>41</v>
      </c>
      <c r="F446">
        <v>71300000</v>
      </c>
      <c r="G446" t="s">
        <v>26</v>
      </c>
      <c r="H446" t="s">
        <v>81</v>
      </c>
      <c r="I446" t="s">
        <v>9</v>
      </c>
      <c r="L446" t="s">
        <v>161</v>
      </c>
      <c r="M446">
        <v>-71300000</v>
      </c>
    </row>
    <row r="447" spans="1:13" x14ac:dyDescent="0.3">
      <c r="A447" s="23">
        <v>44714</v>
      </c>
      <c r="B447" t="s">
        <v>12</v>
      </c>
      <c r="C447" t="s">
        <v>132</v>
      </c>
      <c r="D447" t="s">
        <v>17</v>
      </c>
      <c r="E447" t="s">
        <v>41</v>
      </c>
      <c r="F447">
        <v>167500000</v>
      </c>
      <c r="G447" t="s">
        <v>26</v>
      </c>
      <c r="H447" t="s">
        <v>81</v>
      </c>
      <c r="I447" t="s">
        <v>9</v>
      </c>
      <c r="L447" t="s">
        <v>161</v>
      </c>
      <c r="M447">
        <v>-167500000</v>
      </c>
    </row>
    <row r="448" spans="1:13" x14ac:dyDescent="0.3">
      <c r="A448" s="23">
        <v>45751</v>
      </c>
      <c r="B448" t="s">
        <v>12</v>
      </c>
      <c r="C448" t="s">
        <v>132</v>
      </c>
      <c r="D448" t="s">
        <v>17</v>
      </c>
      <c r="E448" t="s">
        <v>41</v>
      </c>
      <c r="F448">
        <v>217200000</v>
      </c>
      <c r="G448" t="s">
        <v>26</v>
      </c>
      <c r="H448" t="s">
        <v>81</v>
      </c>
      <c r="I448" t="s">
        <v>9</v>
      </c>
      <c r="L448" t="s">
        <v>161</v>
      </c>
      <c r="M448">
        <v>-217200000</v>
      </c>
    </row>
    <row r="449" spans="1:13" x14ac:dyDescent="0.3">
      <c r="A449" s="23">
        <v>44715</v>
      </c>
      <c r="B449" t="s">
        <v>12</v>
      </c>
      <c r="C449" t="s">
        <v>132</v>
      </c>
      <c r="D449" t="s">
        <v>17</v>
      </c>
      <c r="E449" t="s">
        <v>41</v>
      </c>
      <c r="F449">
        <v>200000000</v>
      </c>
      <c r="G449" t="s">
        <v>26</v>
      </c>
      <c r="H449" t="s">
        <v>81</v>
      </c>
      <c r="I449" t="s">
        <v>9</v>
      </c>
      <c r="L449" t="s">
        <v>161</v>
      </c>
      <c r="M449">
        <v>-200000000</v>
      </c>
    </row>
    <row r="450" spans="1:13" x14ac:dyDescent="0.3">
      <c r="A450" s="23">
        <v>45750</v>
      </c>
      <c r="B450" t="s">
        <v>12</v>
      </c>
      <c r="C450" t="s">
        <v>132</v>
      </c>
      <c r="D450" t="s">
        <v>16</v>
      </c>
      <c r="E450" t="s">
        <v>41</v>
      </c>
      <c r="F450">
        <v>3600000</v>
      </c>
      <c r="G450" t="s">
        <v>26</v>
      </c>
      <c r="H450" t="s">
        <v>81</v>
      </c>
      <c r="I450" t="s">
        <v>9</v>
      </c>
      <c r="L450" t="s">
        <v>161</v>
      </c>
      <c r="M450">
        <v>3600000</v>
      </c>
    </row>
    <row r="451" spans="1:13" x14ac:dyDescent="0.3">
      <c r="A451" s="23">
        <v>44715</v>
      </c>
      <c r="B451" t="s">
        <v>12</v>
      </c>
      <c r="C451" t="s">
        <v>132</v>
      </c>
      <c r="D451" t="s">
        <v>17</v>
      </c>
      <c r="E451" t="s">
        <v>41</v>
      </c>
      <c r="F451">
        <v>11200000</v>
      </c>
      <c r="G451" t="s">
        <v>26</v>
      </c>
      <c r="H451" t="s">
        <v>81</v>
      </c>
      <c r="I451" t="s">
        <v>9</v>
      </c>
      <c r="L451" t="s">
        <v>161</v>
      </c>
      <c r="M451">
        <v>-11200000</v>
      </c>
    </row>
    <row r="452" spans="1:13" x14ac:dyDescent="0.3">
      <c r="A452" s="23">
        <v>45748</v>
      </c>
      <c r="B452" t="s">
        <v>12</v>
      </c>
      <c r="C452" t="s">
        <v>132</v>
      </c>
      <c r="D452" t="s">
        <v>17</v>
      </c>
      <c r="E452" t="s">
        <v>41</v>
      </c>
      <c r="F452">
        <v>54900000</v>
      </c>
      <c r="G452" t="s">
        <v>26</v>
      </c>
      <c r="H452" t="s">
        <v>81</v>
      </c>
      <c r="I452" t="s">
        <v>9</v>
      </c>
      <c r="L452" t="s">
        <v>161</v>
      </c>
      <c r="M452">
        <v>-54900000</v>
      </c>
    </row>
    <row r="453" spans="1:13" x14ac:dyDescent="0.3">
      <c r="A453" s="23">
        <v>44718</v>
      </c>
      <c r="B453" t="s">
        <v>12</v>
      </c>
      <c r="C453" t="s">
        <v>132</v>
      </c>
      <c r="D453" t="s">
        <v>17</v>
      </c>
      <c r="E453" t="s">
        <v>41</v>
      </c>
      <c r="F453">
        <v>42300000</v>
      </c>
      <c r="G453" t="s">
        <v>26</v>
      </c>
      <c r="H453" t="s">
        <v>81</v>
      </c>
      <c r="I453" t="s">
        <v>9</v>
      </c>
      <c r="L453" t="s">
        <v>161</v>
      </c>
      <c r="M453">
        <v>-42300000</v>
      </c>
    </row>
    <row r="454" spans="1:13" x14ac:dyDescent="0.3">
      <c r="A454" s="23">
        <v>45747</v>
      </c>
      <c r="B454" t="s">
        <v>12</v>
      </c>
      <c r="C454" t="s">
        <v>132</v>
      </c>
      <c r="D454" t="s">
        <v>17</v>
      </c>
      <c r="E454" t="s">
        <v>41</v>
      </c>
      <c r="F454">
        <v>77200000</v>
      </c>
      <c r="G454" t="s">
        <v>26</v>
      </c>
      <c r="H454" t="s">
        <v>81</v>
      </c>
      <c r="I454" t="s">
        <v>9</v>
      </c>
      <c r="L454" t="s">
        <v>161</v>
      </c>
      <c r="M454">
        <v>-77200000</v>
      </c>
    </row>
    <row r="455" spans="1:13" x14ac:dyDescent="0.3">
      <c r="A455" s="23">
        <v>45743</v>
      </c>
      <c r="B455" t="s">
        <v>12</v>
      </c>
      <c r="C455" t="s">
        <v>132</v>
      </c>
      <c r="D455" t="s">
        <v>16</v>
      </c>
      <c r="E455" t="s">
        <v>41</v>
      </c>
      <c r="F455">
        <v>11634127</v>
      </c>
      <c r="G455" t="s">
        <v>26</v>
      </c>
      <c r="H455" t="s">
        <v>81</v>
      </c>
      <c r="I455" t="s">
        <v>9</v>
      </c>
      <c r="L455" t="s">
        <v>161</v>
      </c>
      <c r="M455">
        <v>11634127</v>
      </c>
    </row>
    <row r="456" spans="1:13" x14ac:dyDescent="0.3">
      <c r="A456" s="23">
        <v>44719</v>
      </c>
      <c r="B456" t="s">
        <v>12</v>
      </c>
      <c r="C456" t="s">
        <v>132</v>
      </c>
      <c r="D456" t="s">
        <v>16</v>
      </c>
      <c r="E456" t="s">
        <v>41</v>
      </c>
      <c r="F456">
        <v>22300000</v>
      </c>
      <c r="G456" t="s">
        <v>26</v>
      </c>
      <c r="H456" t="s">
        <v>81</v>
      </c>
      <c r="I456" t="s">
        <v>9</v>
      </c>
      <c r="L456" t="s">
        <v>161</v>
      </c>
      <c r="M456">
        <v>22300000</v>
      </c>
    </row>
    <row r="457" spans="1:13" x14ac:dyDescent="0.3">
      <c r="A457" s="23">
        <v>44720</v>
      </c>
      <c r="B457" t="s">
        <v>12</v>
      </c>
      <c r="C457" t="s">
        <v>132</v>
      </c>
      <c r="D457" t="s">
        <v>17</v>
      </c>
      <c r="E457" t="s">
        <v>41</v>
      </c>
      <c r="F457">
        <v>15500000</v>
      </c>
      <c r="G457" t="s">
        <v>26</v>
      </c>
      <c r="H457" t="s">
        <v>81</v>
      </c>
      <c r="I457" t="s">
        <v>9</v>
      </c>
      <c r="L457" t="s">
        <v>161</v>
      </c>
      <c r="M457">
        <v>-15500000</v>
      </c>
    </row>
    <row r="458" spans="1:13" x14ac:dyDescent="0.3">
      <c r="A458" s="23">
        <v>45743</v>
      </c>
      <c r="B458" t="s">
        <v>12</v>
      </c>
      <c r="C458" t="s">
        <v>132</v>
      </c>
      <c r="D458" t="s">
        <v>16</v>
      </c>
      <c r="E458" t="s">
        <v>41</v>
      </c>
      <c r="F458">
        <v>218000000</v>
      </c>
      <c r="G458" t="s">
        <v>26</v>
      </c>
      <c r="H458" t="s">
        <v>81</v>
      </c>
      <c r="I458" t="s">
        <v>9</v>
      </c>
      <c r="L458" t="s">
        <v>161</v>
      </c>
      <c r="M458">
        <v>218000000</v>
      </c>
    </row>
    <row r="459" spans="1:13" x14ac:dyDescent="0.3">
      <c r="A459" s="23">
        <v>44721</v>
      </c>
      <c r="B459" t="s">
        <v>12</v>
      </c>
      <c r="C459" t="s">
        <v>132</v>
      </c>
      <c r="D459" t="s">
        <v>16</v>
      </c>
      <c r="E459" t="s">
        <v>41</v>
      </c>
      <c r="F459">
        <v>114200000</v>
      </c>
      <c r="G459" t="s">
        <v>26</v>
      </c>
      <c r="H459" t="s">
        <v>81</v>
      </c>
      <c r="I459" t="s">
        <v>9</v>
      </c>
      <c r="L459" t="s">
        <v>161</v>
      </c>
      <c r="M459">
        <v>114200000</v>
      </c>
    </row>
    <row r="460" spans="1:13" x14ac:dyDescent="0.3">
      <c r="A460" s="23">
        <v>45741</v>
      </c>
      <c r="B460" t="s">
        <v>12</v>
      </c>
      <c r="C460" t="s">
        <v>132</v>
      </c>
      <c r="D460" t="s">
        <v>16</v>
      </c>
      <c r="E460" t="s">
        <v>41</v>
      </c>
      <c r="F460">
        <v>461600000</v>
      </c>
      <c r="G460" t="s">
        <v>26</v>
      </c>
      <c r="H460" t="s">
        <v>81</v>
      </c>
      <c r="I460" t="s">
        <v>9</v>
      </c>
      <c r="L460" t="s">
        <v>161</v>
      </c>
      <c r="M460">
        <v>461600000</v>
      </c>
    </row>
    <row r="461" spans="1:13" x14ac:dyDescent="0.3">
      <c r="A461" s="23">
        <v>45737</v>
      </c>
      <c r="B461" t="s">
        <v>12</v>
      </c>
      <c r="C461" t="s">
        <v>132</v>
      </c>
      <c r="D461" t="s">
        <v>16</v>
      </c>
      <c r="E461" t="s">
        <v>41</v>
      </c>
      <c r="F461">
        <v>107500000</v>
      </c>
      <c r="G461" t="s">
        <v>26</v>
      </c>
      <c r="H461" t="s">
        <v>81</v>
      </c>
      <c r="I461" t="s">
        <v>9</v>
      </c>
      <c r="L461" t="s">
        <v>161</v>
      </c>
      <c r="M461">
        <v>107500000</v>
      </c>
    </row>
    <row r="462" spans="1:13" x14ac:dyDescent="0.3">
      <c r="A462" s="23">
        <v>44722</v>
      </c>
      <c r="B462" t="s">
        <v>12</v>
      </c>
      <c r="C462" t="s">
        <v>132</v>
      </c>
      <c r="D462" t="s">
        <v>17</v>
      </c>
      <c r="E462" t="s">
        <v>41</v>
      </c>
      <c r="F462">
        <v>8500000</v>
      </c>
      <c r="G462" t="s">
        <v>26</v>
      </c>
      <c r="H462" t="s">
        <v>81</v>
      </c>
      <c r="I462" t="s">
        <v>9</v>
      </c>
      <c r="L462" t="s">
        <v>161</v>
      </c>
      <c r="M462">
        <v>-8500000</v>
      </c>
    </row>
    <row r="463" spans="1:13" x14ac:dyDescent="0.3">
      <c r="A463" s="23">
        <v>44725</v>
      </c>
      <c r="B463" t="s">
        <v>12</v>
      </c>
      <c r="C463" t="s">
        <v>132</v>
      </c>
      <c r="D463" t="s">
        <v>17</v>
      </c>
      <c r="E463" t="s">
        <v>41</v>
      </c>
      <c r="F463">
        <v>58200000</v>
      </c>
      <c r="G463" t="s">
        <v>26</v>
      </c>
      <c r="H463" t="s">
        <v>81</v>
      </c>
      <c r="I463" t="s">
        <v>9</v>
      </c>
      <c r="L463" t="s">
        <v>161</v>
      </c>
      <c r="M463">
        <v>-58200000</v>
      </c>
    </row>
    <row r="464" spans="1:13" x14ac:dyDescent="0.3">
      <c r="A464" s="23">
        <v>45735</v>
      </c>
      <c r="B464" t="s">
        <v>12</v>
      </c>
      <c r="C464" t="s">
        <v>132</v>
      </c>
      <c r="D464" t="s">
        <v>17</v>
      </c>
      <c r="E464" t="s">
        <v>41</v>
      </c>
      <c r="F464">
        <v>67100000</v>
      </c>
      <c r="G464" t="s">
        <v>26</v>
      </c>
      <c r="H464" t="s">
        <v>81</v>
      </c>
      <c r="I464" t="s">
        <v>9</v>
      </c>
      <c r="L464" t="s">
        <v>161</v>
      </c>
      <c r="M464">
        <v>-67100000</v>
      </c>
    </row>
    <row r="465" spans="1:13" x14ac:dyDescent="0.3">
      <c r="A465" s="23">
        <v>44726</v>
      </c>
      <c r="B465" t="s">
        <v>12</v>
      </c>
      <c r="C465" t="s">
        <v>132</v>
      </c>
      <c r="D465" t="s">
        <v>16</v>
      </c>
      <c r="E465" t="s">
        <v>41</v>
      </c>
      <c r="F465">
        <v>221000000</v>
      </c>
      <c r="G465" t="s">
        <v>26</v>
      </c>
      <c r="H465" t="s">
        <v>81</v>
      </c>
      <c r="I465" t="s">
        <v>9</v>
      </c>
      <c r="L465" t="s">
        <v>161</v>
      </c>
      <c r="M465">
        <v>221000000</v>
      </c>
    </row>
    <row r="466" spans="1:13" x14ac:dyDescent="0.3">
      <c r="A466" s="23">
        <v>44727</v>
      </c>
      <c r="B466" t="s">
        <v>12</v>
      </c>
      <c r="C466" t="s">
        <v>132</v>
      </c>
      <c r="D466" t="s">
        <v>17</v>
      </c>
      <c r="E466" t="s">
        <v>41</v>
      </c>
      <c r="F466">
        <v>55300000</v>
      </c>
      <c r="G466" t="s">
        <v>26</v>
      </c>
      <c r="H466" t="s">
        <v>81</v>
      </c>
      <c r="I466" t="s">
        <v>9</v>
      </c>
      <c r="L466" t="s">
        <v>161</v>
      </c>
      <c r="M466">
        <v>-55300000</v>
      </c>
    </row>
    <row r="467" spans="1:13" x14ac:dyDescent="0.3">
      <c r="A467" s="23">
        <v>45733</v>
      </c>
      <c r="B467" t="s">
        <v>12</v>
      </c>
      <c r="C467" t="s">
        <v>132</v>
      </c>
      <c r="D467" t="s">
        <v>17</v>
      </c>
      <c r="E467" t="s">
        <v>41</v>
      </c>
      <c r="F467">
        <v>36700000</v>
      </c>
      <c r="G467" t="s">
        <v>26</v>
      </c>
      <c r="H467" t="s">
        <v>81</v>
      </c>
      <c r="I467" t="s">
        <v>9</v>
      </c>
      <c r="L467" t="s">
        <v>161</v>
      </c>
      <c r="M467">
        <v>-36700000</v>
      </c>
    </row>
    <row r="468" spans="1:13" x14ac:dyDescent="0.3">
      <c r="A468" s="23">
        <v>45730</v>
      </c>
      <c r="B468" t="s">
        <v>12</v>
      </c>
      <c r="C468" t="s">
        <v>132</v>
      </c>
      <c r="D468" t="s">
        <v>17</v>
      </c>
      <c r="E468" t="s">
        <v>41</v>
      </c>
      <c r="F468">
        <v>102300000</v>
      </c>
      <c r="G468" t="s">
        <v>26</v>
      </c>
      <c r="H468" t="s">
        <v>81</v>
      </c>
      <c r="I468" t="s">
        <v>9</v>
      </c>
      <c r="L468" t="s">
        <v>161</v>
      </c>
      <c r="M468">
        <v>-102300000</v>
      </c>
    </row>
    <row r="469" spans="1:13" x14ac:dyDescent="0.3">
      <c r="A469" s="23">
        <v>44728</v>
      </c>
      <c r="B469" t="s">
        <v>12</v>
      </c>
      <c r="C469" t="s">
        <v>132</v>
      </c>
      <c r="D469" t="s">
        <v>17</v>
      </c>
      <c r="E469" t="s">
        <v>41</v>
      </c>
      <c r="F469">
        <v>79800000</v>
      </c>
      <c r="G469" t="s">
        <v>26</v>
      </c>
      <c r="H469" t="s">
        <v>81</v>
      </c>
      <c r="I469" t="s">
        <v>9</v>
      </c>
      <c r="L469" t="s">
        <v>161</v>
      </c>
      <c r="M469">
        <v>-79800000</v>
      </c>
    </row>
    <row r="470" spans="1:13" x14ac:dyDescent="0.3">
      <c r="A470" s="23">
        <v>45729</v>
      </c>
      <c r="B470" t="s">
        <v>12</v>
      </c>
      <c r="C470" t="s">
        <v>132</v>
      </c>
      <c r="D470" t="s">
        <v>17</v>
      </c>
      <c r="E470" t="s">
        <v>41</v>
      </c>
      <c r="F470">
        <v>29200000</v>
      </c>
      <c r="G470" t="s">
        <v>26</v>
      </c>
      <c r="H470" t="s">
        <v>81</v>
      </c>
      <c r="I470" t="s">
        <v>9</v>
      </c>
      <c r="L470" t="s">
        <v>161</v>
      </c>
      <c r="M470">
        <v>-29200000</v>
      </c>
    </row>
    <row r="471" spans="1:13" x14ac:dyDescent="0.3">
      <c r="A471" s="23">
        <v>44733</v>
      </c>
      <c r="B471" t="s">
        <v>12</v>
      </c>
      <c r="C471" t="s">
        <v>132</v>
      </c>
      <c r="D471" t="s">
        <v>17</v>
      </c>
      <c r="E471" t="s">
        <v>41</v>
      </c>
      <c r="F471">
        <v>120000000</v>
      </c>
      <c r="G471" t="s">
        <v>26</v>
      </c>
      <c r="H471" t="s">
        <v>81</v>
      </c>
      <c r="I471" t="s">
        <v>9</v>
      </c>
      <c r="L471" t="s">
        <v>161</v>
      </c>
      <c r="M471">
        <v>-120000000</v>
      </c>
    </row>
    <row r="472" spans="1:13" x14ac:dyDescent="0.3">
      <c r="A472" s="23">
        <v>45728</v>
      </c>
      <c r="B472" t="s">
        <v>12</v>
      </c>
      <c r="C472" t="s">
        <v>132</v>
      </c>
      <c r="D472" t="s">
        <v>17</v>
      </c>
      <c r="E472" t="s">
        <v>41</v>
      </c>
      <c r="F472">
        <v>228800000</v>
      </c>
      <c r="G472" t="s">
        <v>26</v>
      </c>
      <c r="H472" t="s">
        <v>81</v>
      </c>
      <c r="I472" t="s">
        <v>9</v>
      </c>
      <c r="L472" t="s">
        <v>161</v>
      </c>
      <c r="M472">
        <v>-228800000</v>
      </c>
    </row>
    <row r="473" spans="1:13" x14ac:dyDescent="0.3">
      <c r="A473" s="23">
        <v>44734</v>
      </c>
      <c r="B473" t="s">
        <v>12</v>
      </c>
      <c r="C473" t="s">
        <v>132</v>
      </c>
      <c r="D473" t="s">
        <v>16</v>
      </c>
      <c r="E473" t="s">
        <v>41</v>
      </c>
      <c r="F473">
        <v>150000000</v>
      </c>
      <c r="G473" t="s">
        <v>26</v>
      </c>
      <c r="H473" t="s">
        <v>81</v>
      </c>
      <c r="I473" t="s">
        <v>9</v>
      </c>
      <c r="L473" t="s">
        <v>161</v>
      </c>
      <c r="M473">
        <v>150000000</v>
      </c>
    </row>
    <row r="474" spans="1:13" x14ac:dyDescent="0.3">
      <c r="A474" s="23">
        <v>45726</v>
      </c>
      <c r="B474" t="s">
        <v>12</v>
      </c>
      <c r="C474" t="s">
        <v>132</v>
      </c>
      <c r="D474" t="s">
        <v>17</v>
      </c>
      <c r="E474" t="s">
        <v>41</v>
      </c>
      <c r="F474">
        <v>506800000</v>
      </c>
      <c r="G474" t="s">
        <v>26</v>
      </c>
      <c r="H474" t="s">
        <v>81</v>
      </c>
      <c r="I474" t="s">
        <v>9</v>
      </c>
      <c r="L474" t="s">
        <v>161</v>
      </c>
      <c r="M474">
        <v>-506800000</v>
      </c>
    </row>
    <row r="475" spans="1:13" x14ac:dyDescent="0.3">
      <c r="A475" s="23">
        <v>45723</v>
      </c>
      <c r="B475" t="s">
        <v>12</v>
      </c>
      <c r="C475" t="s">
        <v>132</v>
      </c>
      <c r="D475" t="s">
        <v>16</v>
      </c>
      <c r="E475" t="s">
        <v>41</v>
      </c>
      <c r="F475">
        <v>170000000</v>
      </c>
      <c r="G475" t="s">
        <v>26</v>
      </c>
      <c r="H475" t="s">
        <v>81</v>
      </c>
      <c r="I475" t="s">
        <v>9</v>
      </c>
      <c r="L475" t="s">
        <v>161</v>
      </c>
      <c r="M475">
        <v>170000000</v>
      </c>
    </row>
    <row r="476" spans="1:13" x14ac:dyDescent="0.3">
      <c r="A476" s="23">
        <v>44735</v>
      </c>
      <c r="B476" t="s">
        <v>12</v>
      </c>
      <c r="C476" t="s">
        <v>132</v>
      </c>
      <c r="D476" t="s">
        <v>17</v>
      </c>
      <c r="E476" t="s">
        <v>41</v>
      </c>
      <c r="F476">
        <v>63300000</v>
      </c>
      <c r="G476" t="s">
        <v>26</v>
      </c>
      <c r="H476" t="s">
        <v>81</v>
      </c>
      <c r="I476" t="s">
        <v>9</v>
      </c>
      <c r="L476" t="s">
        <v>161</v>
      </c>
      <c r="M476">
        <v>-63300000</v>
      </c>
    </row>
    <row r="477" spans="1:13" x14ac:dyDescent="0.3">
      <c r="A477" s="23">
        <v>45722</v>
      </c>
      <c r="B477" t="s">
        <v>12</v>
      </c>
      <c r="C477" t="s">
        <v>132</v>
      </c>
      <c r="D477" t="s">
        <v>17</v>
      </c>
      <c r="E477" t="s">
        <v>41</v>
      </c>
      <c r="F477">
        <v>133600000</v>
      </c>
      <c r="G477" t="s">
        <v>26</v>
      </c>
      <c r="H477" t="s">
        <v>81</v>
      </c>
      <c r="I477" t="s">
        <v>9</v>
      </c>
      <c r="L477" t="s">
        <v>161</v>
      </c>
      <c r="M477">
        <v>-133600000</v>
      </c>
    </row>
    <row r="478" spans="1:13" x14ac:dyDescent="0.3">
      <c r="A478" s="23">
        <v>45721</v>
      </c>
      <c r="B478" t="s">
        <v>12</v>
      </c>
      <c r="C478" t="s">
        <v>132</v>
      </c>
      <c r="D478" t="s">
        <v>17</v>
      </c>
      <c r="E478" t="s">
        <v>41</v>
      </c>
      <c r="F478">
        <v>147400000</v>
      </c>
      <c r="G478" t="s">
        <v>26</v>
      </c>
      <c r="H478" t="s">
        <v>81</v>
      </c>
      <c r="I478" t="s">
        <v>9</v>
      </c>
      <c r="L478" t="s">
        <v>161</v>
      </c>
      <c r="M478">
        <v>-147400000</v>
      </c>
    </row>
    <row r="479" spans="1:13" x14ac:dyDescent="0.3">
      <c r="A479" s="23">
        <v>45716</v>
      </c>
      <c r="B479" t="s">
        <v>12</v>
      </c>
      <c r="C479" t="s">
        <v>132</v>
      </c>
      <c r="D479" t="s">
        <v>16</v>
      </c>
      <c r="E479" t="s">
        <v>41</v>
      </c>
      <c r="F479">
        <v>27276917.309999999</v>
      </c>
      <c r="G479" t="s">
        <v>26</v>
      </c>
      <c r="H479" t="s">
        <v>81</v>
      </c>
      <c r="I479" t="s">
        <v>9</v>
      </c>
      <c r="L479" t="s">
        <v>161</v>
      </c>
      <c r="M479">
        <v>27276917.309999999</v>
      </c>
    </row>
    <row r="480" spans="1:13" x14ac:dyDescent="0.3">
      <c r="A480" s="23">
        <v>44739</v>
      </c>
      <c r="B480" t="s">
        <v>12</v>
      </c>
      <c r="C480" t="s">
        <v>132</v>
      </c>
      <c r="D480" t="s">
        <v>17</v>
      </c>
      <c r="E480" t="s">
        <v>41</v>
      </c>
      <c r="F480">
        <v>42400000</v>
      </c>
      <c r="G480" t="s">
        <v>26</v>
      </c>
      <c r="H480" t="s">
        <v>81</v>
      </c>
      <c r="I480" t="s">
        <v>9</v>
      </c>
      <c r="L480" t="s">
        <v>161</v>
      </c>
      <c r="M480">
        <v>-42400000</v>
      </c>
    </row>
    <row r="481" spans="1:13" x14ac:dyDescent="0.3">
      <c r="A481" s="23">
        <v>44739</v>
      </c>
      <c r="B481" t="s">
        <v>12</v>
      </c>
      <c r="C481" t="s">
        <v>132</v>
      </c>
      <c r="D481" t="s">
        <v>17</v>
      </c>
      <c r="E481" t="s">
        <v>41</v>
      </c>
      <c r="F481">
        <v>18500000</v>
      </c>
      <c r="G481" t="s">
        <v>26</v>
      </c>
      <c r="H481" t="s">
        <v>81</v>
      </c>
      <c r="I481" t="s">
        <v>9</v>
      </c>
      <c r="L481" t="s">
        <v>161</v>
      </c>
      <c r="M481">
        <v>-18500000</v>
      </c>
    </row>
    <row r="482" spans="1:13" x14ac:dyDescent="0.3">
      <c r="A482" s="23">
        <v>45716</v>
      </c>
      <c r="B482" t="s">
        <v>12</v>
      </c>
      <c r="C482" t="s">
        <v>132</v>
      </c>
      <c r="D482" t="s">
        <v>17</v>
      </c>
      <c r="E482" t="s">
        <v>41</v>
      </c>
      <c r="F482">
        <v>1200000000</v>
      </c>
      <c r="G482" t="s">
        <v>26</v>
      </c>
      <c r="H482" t="s">
        <v>81</v>
      </c>
      <c r="I482" t="s">
        <v>9</v>
      </c>
      <c r="L482" t="s">
        <v>161</v>
      </c>
      <c r="M482">
        <v>-1200000000</v>
      </c>
    </row>
    <row r="483" spans="1:13" x14ac:dyDescent="0.3">
      <c r="A483" s="23">
        <v>45716</v>
      </c>
      <c r="B483" t="s">
        <v>12</v>
      </c>
      <c r="C483" t="s">
        <v>132</v>
      </c>
      <c r="D483" t="s">
        <v>16</v>
      </c>
      <c r="E483" t="s">
        <v>41</v>
      </c>
      <c r="F483">
        <v>304100000</v>
      </c>
      <c r="G483" t="s">
        <v>26</v>
      </c>
      <c r="H483" t="s">
        <v>81</v>
      </c>
      <c r="I483" t="s">
        <v>9</v>
      </c>
      <c r="L483" t="s">
        <v>161</v>
      </c>
      <c r="M483">
        <v>304100000</v>
      </c>
    </row>
    <row r="484" spans="1:13" x14ac:dyDescent="0.3">
      <c r="A484" s="23">
        <v>44740</v>
      </c>
      <c r="B484" t="s">
        <v>12</v>
      </c>
      <c r="C484" t="s">
        <v>132</v>
      </c>
      <c r="D484" t="s">
        <v>17</v>
      </c>
      <c r="E484" t="s">
        <v>41</v>
      </c>
      <c r="F484">
        <v>31600000</v>
      </c>
      <c r="G484" t="s">
        <v>26</v>
      </c>
      <c r="H484" t="s">
        <v>81</v>
      </c>
      <c r="I484" t="s">
        <v>9</v>
      </c>
      <c r="L484" t="s">
        <v>161</v>
      </c>
      <c r="M484">
        <v>-31600000</v>
      </c>
    </row>
    <row r="485" spans="1:13" x14ac:dyDescent="0.3">
      <c r="A485" s="23">
        <v>45714</v>
      </c>
      <c r="B485" t="s">
        <v>12</v>
      </c>
      <c r="C485" t="s">
        <v>132</v>
      </c>
      <c r="D485" t="s">
        <v>17</v>
      </c>
      <c r="E485" t="s">
        <v>41</v>
      </c>
      <c r="F485">
        <v>23300000</v>
      </c>
      <c r="G485" t="s">
        <v>26</v>
      </c>
      <c r="H485" t="s">
        <v>81</v>
      </c>
      <c r="I485" t="s">
        <v>9</v>
      </c>
      <c r="L485" t="s">
        <v>161</v>
      </c>
      <c r="M485">
        <v>-23300000</v>
      </c>
    </row>
    <row r="486" spans="1:13" x14ac:dyDescent="0.3">
      <c r="A486" s="23">
        <v>45713</v>
      </c>
      <c r="B486" t="s">
        <v>12</v>
      </c>
      <c r="C486" t="s">
        <v>132</v>
      </c>
      <c r="D486" t="s">
        <v>17</v>
      </c>
      <c r="E486" t="s">
        <v>41</v>
      </c>
      <c r="F486">
        <v>234700000</v>
      </c>
      <c r="G486" t="s">
        <v>26</v>
      </c>
      <c r="H486" t="s">
        <v>81</v>
      </c>
      <c r="I486" t="s">
        <v>9</v>
      </c>
      <c r="L486" t="s">
        <v>161</v>
      </c>
      <c r="M486">
        <v>-234700000</v>
      </c>
    </row>
    <row r="487" spans="1:13" x14ac:dyDescent="0.3">
      <c r="A487" s="23">
        <v>45712</v>
      </c>
      <c r="B487" t="s">
        <v>12</v>
      </c>
      <c r="C487" t="s">
        <v>132</v>
      </c>
      <c r="D487" t="s">
        <v>17</v>
      </c>
      <c r="E487" t="s">
        <v>41</v>
      </c>
      <c r="F487">
        <v>81900000</v>
      </c>
      <c r="G487" t="s">
        <v>26</v>
      </c>
      <c r="H487" t="s">
        <v>81</v>
      </c>
      <c r="I487" t="s">
        <v>9</v>
      </c>
      <c r="L487" t="s">
        <v>161</v>
      </c>
      <c r="M487">
        <v>-81900000</v>
      </c>
    </row>
    <row r="488" spans="1:13" x14ac:dyDescent="0.3">
      <c r="A488" s="23">
        <v>45709</v>
      </c>
      <c r="B488" t="s">
        <v>12</v>
      </c>
      <c r="C488" t="s">
        <v>132</v>
      </c>
      <c r="D488" t="s">
        <v>16</v>
      </c>
      <c r="E488" t="s">
        <v>41</v>
      </c>
      <c r="F488">
        <v>8000000</v>
      </c>
      <c r="G488" t="s">
        <v>26</v>
      </c>
      <c r="H488" t="s">
        <v>81</v>
      </c>
      <c r="I488" t="s">
        <v>9</v>
      </c>
      <c r="L488" t="s">
        <v>161</v>
      </c>
      <c r="M488">
        <v>8000000</v>
      </c>
    </row>
    <row r="489" spans="1:13" x14ac:dyDescent="0.3">
      <c r="A489" s="23">
        <v>44743</v>
      </c>
      <c r="B489" t="s">
        <v>12</v>
      </c>
      <c r="C489" t="s">
        <v>132</v>
      </c>
      <c r="D489" t="s">
        <v>17</v>
      </c>
      <c r="E489" t="s">
        <v>41</v>
      </c>
      <c r="F489">
        <v>16300000</v>
      </c>
      <c r="G489" t="s">
        <v>26</v>
      </c>
      <c r="H489" t="s">
        <v>81</v>
      </c>
      <c r="I489" t="s">
        <v>9</v>
      </c>
      <c r="L489" t="s">
        <v>161</v>
      </c>
      <c r="M489">
        <v>-16300000</v>
      </c>
    </row>
    <row r="490" spans="1:13" x14ac:dyDescent="0.3">
      <c r="A490" s="23">
        <v>45708</v>
      </c>
      <c r="B490" t="s">
        <v>12</v>
      </c>
      <c r="C490" t="s">
        <v>132</v>
      </c>
      <c r="D490" t="s">
        <v>17</v>
      </c>
      <c r="E490" t="s">
        <v>41</v>
      </c>
      <c r="F490">
        <v>172300000</v>
      </c>
      <c r="G490" t="s">
        <v>26</v>
      </c>
      <c r="H490" t="s">
        <v>81</v>
      </c>
      <c r="I490" t="s">
        <v>9</v>
      </c>
      <c r="L490" t="s">
        <v>161</v>
      </c>
      <c r="M490">
        <v>-172300000</v>
      </c>
    </row>
    <row r="491" spans="1:13" x14ac:dyDescent="0.3">
      <c r="A491" s="23">
        <v>45707</v>
      </c>
      <c r="B491" t="s">
        <v>12</v>
      </c>
      <c r="C491" t="s">
        <v>132</v>
      </c>
      <c r="D491" t="s">
        <v>17</v>
      </c>
      <c r="E491" t="s">
        <v>41</v>
      </c>
      <c r="F491">
        <v>16000000</v>
      </c>
      <c r="G491" t="s">
        <v>26</v>
      </c>
      <c r="H491" t="s">
        <v>81</v>
      </c>
      <c r="I491" t="s">
        <v>9</v>
      </c>
      <c r="L491" t="s">
        <v>161</v>
      </c>
      <c r="M491">
        <v>-16000000</v>
      </c>
    </row>
    <row r="492" spans="1:13" x14ac:dyDescent="0.3">
      <c r="A492" s="23">
        <v>45706</v>
      </c>
      <c r="B492" t="s">
        <v>12</v>
      </c>
      <c r="C492" t="s">
        <v>132</v>
      </c>
      <c r="D492" t="s">
        <v>16</v>
      </c>
      <c r="E492" t="s">
        <v>41</v>
      </c>
      <c r="F492">
        <v>1050000000</v>
      </c>
      <c r="G492" t="s">
        <v>26</v>
      </c>
      <c r="H492" t="s">
        <v>81</v>
      </c>
      <c r="I492" t="s">
        <v>9</v>
      </c>
      <c r="L492" t="s">
        <v>161</v>
      </c>
      <c r="M492">
        <v>1050000000</v>
      </c>
    </row>
    <row r="493" spans="1:13" x14ac:dyDescent="0.3">
      <c r="A493" s="23">
        <v>45705</v>
      </c>
      <c r="B493" t="s">
        <v>12</v>
      </c>
      <c r="C493" t="s">
        <v>132</v>
      </c>
      <c r="D493" t="s">
        <v>17</v>
      </c>
      <c r="E493" t="s">
        <v>41</v>
      </c>
      <c r="F493">
        <v>158900000</v>
      </c>
      <c r="G493" t="s">
        <v>26</v>
      </c>
      <c r="H493" t="s">
        <v>81</v>
      </c>
      <c r="I493" t="s">
        <v>9</v>
      </c>
      <c r="L493" t="s">
        <v>161</v>
      </c>
      <c r="M493">
        <v>-158900000</v>
      </c>
    </row>
    <row r="494" spans="1:13" x14ac:dyDescent="0.3">
      <c r="A494" s="23">
        <v>45701</v>
      </c>
      <c r="B494" t="s">
        <v>12</v>
      </c>
      <c r="C494" t="s">
        <v>132</v>
      </c>
      <c r="D494" t="s">
        <v>16</v>
      </c>
      <c r="E494" t="s">
        <v>41</v>
      </c>
      <c r="F494">
        <v>900000000</v>
      </c>
      <c r="G494" t="s">
        <v>26</v>
      </c>
      <c r="H494" t="s">
        <v>81</v>
      </c>
      <c r="I494" t="s">
        <v>9</v>
      </c>
      <c r="L494" t="s">
        <v>161</v>
      </c>
      <c r="M494">
        <v>900000000</v>
      </c>
    </row>
    <row r="495" spans="1:13" x14ac:dyDescent="0.3">
      <c r="A495" s="23">
        <v>45699</v>
      </c>
      <c r="B495" t="s">
        <v>12</v>
      </c>
      <c r="C495" t="s">
        <v>132</v>
      </c>
      <c r="D495" t="s">
        <v>17</v>
      </c>
      <c r="E495" t="s">
        <v>41</v>
      </c>
      <c r="F495">
        <v>85700000</v>
      </c>
      <c r="G495" t="s">
        <v>26</v>
      </c>
      <c r="H495" t="s">
        <v>81</v>
      </c>
      <c r="I495" t="s">
        <v>9</v>
      </c>
      <c r="L495" t="s">
        <v>161</v>
      </c>
      <c r="M495">
        <v>-85700000</v>
      </c>
    </row>
    <row r="496" spans="1:13" x14ac:dyDescent="0.3">
      <c r="A496" s="23">
        <v>45698</v>
      </c>
      <c r="B496" t="s">
        <v>12</v>
      </c>
      <c r="C496" t="s">
        <v>132</v>
      </c>
      <c r="D496" t="s">
        <v>17</v>
      </c>
      <c r="E496" t="s">
        <v>41</v>
      </c>
      <c r="F496">
        <v>419000000</v>
      </c>
      <c r="G496" t="s">
        <v>26</v>
      </c>
      <c r="H496" t="s">
        <v>81</v>
      </c>
      <c r="I496" t="s">
        <v>9</v>
      </c>
      <c r="L496" t="s">
        <v>161</v>
      </c>
      <c r="M496">
        <v>-419000000</v>
      </c>
    </row>
    <row r="497" spans="1:13" x14ac:dyDescent="0.3">
      <c r="A497" s="23">
        <v>44754</v>
      </c>
      <c r="B497" t="s">
        <v>12</v>
      </c>
      <c r="C497" t="s">
        <v>132</v>
      </c>
      <c r="D497" t="s">
        <v>16</v>
      </c>
      <c r="E497" t="s">
        <v>41</v>
      </c>
      <c r="F497">
        <v>364000000</v>
      </c>
      <c r="G497" t="s">
        <v>26</v>
      </c>
      <c r="H497" t="s">
        <v>81</v>
      </c>
      <c r="I497" t="s">
        <v>9</v>
      </c>
      <c r="L497" t="s">
        <v>161</v>
      </c>
      <c r="M497">
        <v>364000000</v>
      </c>
    </row>
    <row r="498" spans="1:13" x14ac:dyDescent="0.3">
      <c r="A498" s="23">
        <v>44756</v>
      </c>
      <c r="B498" t="s">
        <v>12</v>
      </c>
      <c r="C498" t="s">
        <v>132</v>
      </c>
      <c r="D498" t="s">
        <v>17</v>
      </c>
      <c r="E498" t="s">
        <v>41</v>
      </c>
      <c r="F498">
        <v>114000000</v>
      </c>
      <c r="G498" t="s">
        <v>26</v>
      </c>
      <c r="H498" t="s">
        <v>81</v>
      </c>
      <c r="I498" t="s">
        <v>9</v>
      </c>
      <c r="L498" t="s">
        <v>161</v>
      </c>
      <c r="M498">
        <v>-114000000</v>
      </c>
    </row>
    <row r="499" spans="1:13" x14ac:dyDescent="0.3">
      <c r="A499" s="23">
        <v>44757</v>
      </c>
      <c r="B499" t="s">
        <v>12</v>
      </c>
      <c r="C499" t="s">
        <v>132</v>
      </c>
      <c r="D499" t="s">
        <v>17</v>
      </c>
      <c r="E499" t="s">
        <v>41</v>
      </c>
      <c r="F499">
        <v>29700000</v>
      </c>
      <c r="G499" t="s">
        <v>26</v>
      </c>
      <c r="H499" t="s">
        <v>81</v>
      </c>
      <c r="I499" t="s">
        <v>9</v>
      </c>
      <c r="L499" t="s">
        <v>161</v>
      </c>
      <c r="M499">
        <v>-29700000</v>
      </c>
    </row>
    <row r="500" spans="1:13" x14ac:dyDescent="0.3">
      <c r="A500" s="23">
        <v>45695</v>
      </c>
      <c r="B500" t="s">
        <v>12</v>
      </c>
      <c r="C500" t="s">
        <v>132</v>
      </c>
      <c r="D500" t="s">
        <v>16</v>
      </c>
      <c r="E500" t="s">
        <v>41</v>
      </c>
      <c r="F500">
        <v>17340000</v>
      </c>
      <c r="G500" t="s">
        <v>26</v>
      </c>
      <c r="H500" t="s">
        <v>81</v>
      </c>
      <c r="I500" t="s">
        <v>9</v>
      </c>
      <c r="L500" t="s">
        <v>161</v>
      </c>
      <c r="M500">
        <v>17340000</v>
      </c>
    </row>
    <row r="501" spans="1:13" x14ac:dyDescent="0.3">
      <c r="A501" s="23">
        <v>45695</v>
      </c>
      <c r="B501" t="s">
        <v>12</v>
      </c>
      <c r="C501" t="s">
        <v>132</v>
      </c>
      <c r="D501" t="s">
        <v>17</v>
      </c>
      <c r="E501" t="s">
        <v>41</v>
      </c>
      <c r="F501">
        <v>17200000</v>
      </c>
      <c r="G501" t="s">
        <v>26</v>
      </c>
      <c r="H501" t="s">
        <v>81</v>
      </c>
      <c r="I501" t="s">
        <v>9</v>
      </c>
      <c r="L501" t="s">
        <v>161</v>
      </c>
      <c r="M501">
        <v>-17200000</v>
      </c>
    </row>
    <row r="502" spans="1:13" x14ac:dyDescent="0.3">
      <c r="A502" s="23">
        <v>44760</v>
      </c>
      <c r="B502" t="s">
        <v>12</v>
      </c>
      <c r="C502" t="s">
        <v>132</v>
      </c>
      <c r="D502" t="s">
        <v>16</v>
      </c>
      <c r="E502" t="s">
        <v>41</v>
      </c>
      <c r="F502">
        <v>1754339.79</v>
      </c>
      <c r="G502" t="s">
        <v>26</v>
      </c>
      <c r="H502" t="s">
        <v>81</v>
      </c>
      <c r="I502" t="s">
        <v>9</v>
      </c>
      <c r="J502" t="s">
        <v>155</v>
      </c>
      <c r="L502" t="s">
        <v>161</v>
      </c>
      <c r="M502">
        <v>1754339.79</v>
      </c>
    </row>
    <row r="503" spans="1:13" x14ac:dyDescent="0.3">
      <c r="A503" s="23">
        <v>45694</v>
      </c>
      <c r="B503" t="s">
        <v>12</v>
      </c>
      <c r="C503" t="s">
        <v>132</v>
      </c>
      <c r="D503" t="s">
        <v>17</v>
      </c>
      <c r="E503" t="s">
        <v>41</v>
      </c>
      <c r="F503">
        <v>245100000</v>
      </c>
      <c r="G503" t="s">
        <v>26</v>
      </c>
      <c r="H503" t="s">
        <v>81</v>
      </c>
      <c r="I503" t="s">
        <v>9</v>
      </c>
      <c r="L503" t="s">
        <v>161</v>
      </c>
      <c r="M503">
        <v>-245100000</v>
      </c>
    </row>
    <row r="504" spans="1:13" x14ac:dyDescent="0.3">
      <c r="A504" s="23">
        <v>45693</v>
      </c>
      <c r="B504" t="s">
        <v>12</v>
      </c>
      <c r="C504" t="s">
        <v>132</v>
      </c>
      <c r="D504" t="s">
        <v>16</v>
      </c>
      <c r="E504" t="s">
        <v>41</v>
      </c>
      <c r="F504">
        <v>300000000</v>
      </c>
      <c r="G504" t="s">
        <v>26</v>
      </c>
      <c r="H504" t="s">
        <v>81</v>
      </c>
      <c r="I504" t="s">
        <v>9</v>
      </c>
      <c r="L504" t="s">
        <v>161</v>
      </c>
      <c r="M504">
        <v>300000000</v>
      </c>
    </row>
    <row r="505" spans="1:13" x14ac:dyDescent="0.3">
      <c r="A505" s="23">
        <v>45692</v>
      </c>
      <c r="B505" t="s">
        <v>12</v>
      </c>
      <c r="C505" t="s">
        <v>132</v>
      </c>
      <c r="D505" t="s">
        <v>17</v>
      </c>
      <c r="E505" t="s">
        <v>41</v>
      </c>
      <c r="F505">
        <v>106700000</v>
      </c>
      <c r="G505" t="s">
        <v>26</v>
      </c>
      <c r="H505" t="s">
        <v>81</v>
      </c>
      <c r="I505" t="s">
        <v>9</v>
      </c>
      <c r="L505" t="s">
        <v>161</v>
      </c>
      <c r="M505">
        <v>-106700000</v>
      </c>
    </row>
    <row r="506" spans="1:13" x14ac:dyDescent="0.3">
      <c r="A506" s="23">
        <v>45691</v>
      </c>
      <c r="B506" t="s">
        <v>12</v>
      </c>
      <c r="C506" t="s">
        <v>132</v>
      </c>
      <c r="D506" t="s">
        <v>17</v>
      </c>
      <c r="E506" t="s">
        <v>41</v>
      </c>
      <c r="F506">
        <v>20000000</v>
      </c>
      <c r="G506" t="s">
        <v>26</v>
      </c>
      <c r="H506" t="s">
        <v>81</v>
      </c>
      <c r="I506" t="s">
        <v>9</v>
      </c>
      <c r="L506" t="s">
        <v>161</v>
      </c>
      <c r="M506">
        <v>-20000000</v>
      </c>
    </row>
    <row r="507" spans="1:13" x14ac:dyDescent="0.3">
      <c r="A507" s="23">
        <v>45691</v>
      </c>
      <c r="B507" t="s">
        <v>12</v>
      </c>
      <c r="C507" t="s">
        <v>132</v>
      </c>
      <c r="D507" t="s">
        <v>17</v>
      </c>
      <c r="E507" t="s">
        <v>41</v>
      </c>
      <c r="F507">
        <v>185400000</v>
      </c>
      <c r="G507" t="s">
        <v>26</v>
      </c>
      <c r="H507" t="s">
        <v>81</v>
      </c>
      <c r="I507" t="s">
        <v>9</v>
      </c>
      <c r="L507" t="s">
        <v>161</v>
      </c>
      <c r="M507">
        <v>-185400000</v>
      </c>
    </row>
    <row r="508" spans="1:13" x14ac:dyDescent="0.3">
      <c r="A508" s="23">
        <v>45688</v>
      </c>
      <c r="B508" t="s">
        <v>12</v>
      </c>
      <c r="C508" t="s">
        <v>132</v>
      </c>
      <c r="D508" t="s">
        <v>16</v>
      </c>
      <c r="E508" t="s">
        <v>41</v>
      </c>
      <c r="F508">
        <v>1000000000</v>
      </c>
      <c r="G508" t="s">
        <v>26</v>
      </c>
      <c r="H508" t="s">
        <v>81</v>
      </c>
      <c r="I508" t="s">
        <v>9</v>
      </c>
      <c r="L508" t="s">
        <v>161</v>
      </c>
      <c r="M508">
        <v>1000000000</v>
      </c>
    </row>
    <row r="509" spans="1:13" x14ac:dyDescent="0.3">
      <c r="A509" s="23">
        <v>44760</v>
      </c>
      <c r="B509" t="s">
        <v>12</v>
      </c>
      <c r="C509" t="s">
        <v>132</v>
      </c>
      <c r="D509" t="s">
        <v>17</v>
      </c>
      <c r="E509" t="s">
        <v>41</v>
      </c>
      <c r="F509">
        <v>222054339.78999999</v>
      </c>
      <c r="G509" t="s">
        <v>26</v>
      </c>
      <c r="H509" t="s">
        <v>81</v>
      </c>
      <c r="I509" t="s">
        <v>9</v>
      </c>
      <c r="L509" t="s">
        <v>161</v>
      </c>
      <c r="M509">
        <v>-222054339.78999999</v>
      </c>
    </row>
    <row r="510" spans="1:13" x14ac:dyDescent="0.3">
      <c r="A510" s="23">
        <v>45686</v>
      </c>
      <c r="B510" t="s">
        <v>12</v>
      </c>
      <c r="C510" t="s">
        <v>132</v>
      </c>
      <c r="D510" t="s">
        <v>17</v>
      </c>
      <c r="E510" t="s">
        <v>41</v>
      </c>
      <c r="F510">
        <v>205000000</v>
      </c>
      <c r="G510" t="s">
        <v>26</v>
      </c>
      <c r="H510" t="s">
        <v>81</v>
      </c>
      <c r="I510" t="s">
        <v>9</v>
      </c>
      <c r="L510" t="s">
        <v>161</v>
      </c>
      <c r="M510">
        <v>-205000000</v>
      </c>
    </row>
    <row r="511" spans="1:13" x14ac:dyDescent="0.3">
      <c r="A511" s="23">
        <v>45685</v>
      </c>
      <c r="B511" t="s">
        <v>12</v>
      </c>
      <c r="C511" t="s">
        <v>132</v>
      </c>
      <c r="D511" t="s">
        <v>16</v>
      </c>
      <c r="E511" t="s">
        <v>41</v>
      </c>
      <c r="F511">
        <v>585700000</v>
      </c>
      <c r="G511" t="s">
        <v>26</v>
      </c>
      <c r="H511" t="s">
        <v>81</v>
      </c>
      <c r="I511" t="s">
        <v>9</v>
      </c>
      <c r="L511" t="s">
        <v>161</v>
      </c>
      <c r="M511">
        <v>585700000</v>
      </c>
    </row>
    <row r="512" spans="1:13" x14ac:dyDescent="0.3">
      <c r="A512" s="23">
        <v>44764</v>
      </c>
      <c r="B512" t="s">
        <v>12</v>
      </c>
      <c r="C512" t="s">
        <v>132</v>
      </c>
      <c r="D512" t="s">
        <v>16</v>
      </c>
      <c r="E512" t="s">
        <v>41</v>
      </c>
      <c r="F512">
        <v>30700000</v>
      </c>
      <c r="G512" t="s">
        <v>26</v>
      </c>
      <c r="H512" t="s">
        <v>81</v>
      </c>
      <c r="I512" t="s">
        <v>9</v>
      </c>
      <c r="L512" t="s">
        <v>161</v>
      </c>
      <c r="M512">
        <v>30700000</v>
      </c>
    </row>
    <row r="513" spans="1:13" x14ac:dyDescent="0.3">
      <c r="A513" s="23">
        <v>45681</v>
      </c>
      <c r="B513" t="s">
        <v>12</v>
      </c>
      <c r="C513" t="s">
        <v>132</v>
      </c>
      <c r="D513" t="s">
        <v>17</v>
      </c>
      <c r="E513" t="s">
        <v>41</v>
      </c>
      <c r="F513">
        <v>150000000</v>
      </c>
      <c r="G513" t="s">
        <v>26</v>
      </c>
      <c r="H513" t="s">
        <v>81</v>
      </c>
      <c r="I513" t="s">
        <v>9</v>
      </c>
      <c r="L513" t="s">
        <v>161</v>
      </c>
      <c r="M513">
        <v>-150000000</v>
      </c>
    </row>
    <row r="514" spans="1:13" x14ac:dyDescent="0.3">
      <c r="A514" s="23">
        <v>44768</v>
      </c>
      <c r="B514" t="s">
        <v>12</v>
      </c>
      <c r="C514" t="s">
        <v>132</v>
      </c>
      <c r="D514" t="s">
        <v>17</v>
      </c>
      <c r="E514" t="s">
        <v>41</v>
      </c>
      <c r="F514">
        <v>30700000</v>
      </c>
      <c r="G514" t="s">
        <v>26</v>
      </c>
      <c r="H514" t="s">
        <v>81</v>
      </c>
      <c r="I514" t="s">
        <v>9</v>
      </c>
      <c r="L514" t="s">
        <v>161</v>
      </c>
      <c r="M514">
        <v>-30700000</v>
      </c>
    </row>
    <row r="515" spans="1:13" x14ac:dyDescent="0.3">
      <c r="A515" s="23">
        <v>45680</v>
      </c>
      <c r="B515" t="s">
        <v>12</v>
      </c>
      <c r="C515" t="s">
        <v>132</v>
      </c>
      <c r="D515" t="s">
        <v>17</v>
      </c>
      <c r="E515" t="s">
        <v>41</v>
      </c>
      <c r="F515">
        <v>281200000</v>
      </c>
      <c r="G515" t="s">
        <v>26</v>
      </c>
      <c r="H515" t="s">
        <v>81</v>
      </c>
      <c r="I515" t="s">
        <v>9</v>
      </c>
      <c r="L515" t="s">
        <v>161</v>
      </c>
      <c r="M515">
        <v>-281200000</v>
      </c>
    </row>
    <row r="516" spans="1:13" x14ac:dyDescent="0.3">
      <c r="A516" s="23">
        <v>45679</v>
      </c>
      <c r="B516" t="s">
        <v>12</v>
      </c>
      <c r="C516" t="s">
        <v>132</v>
      </c>
      <c r="D516" t="s">
        <v>16</v>
      </c>
      <c r="E516" t="s">
        <v>41</v>
      </c>
      <c r="F516">
        <v>240200000</v>
      </c>
      <c r="G516" t="s">
        <v>26</v>
      </c>
      <c r="H516" t="s">
        <v>81</v>
      </c>
      <c r="I516" t="s">
        <v>9</v>
      </c>
      <c r="L516" t="s">
        <v>161</v>
      </c>
      <c r="M516">
        <v>240200000</v>
      </c>
    </row>
    <row r="517" spans="1:13" x14ac:dyDescent="0.3">
      <c r="A517" s="23">
        <v>45678</v>
      </c>
      <c r="B517" t="s">
        <v>12</v>
      </c>
      <c r="C517" t="s">
        <v>132</v>
      </c>
      <c r="D517" t="s">
        <v>17</v>
      </c>
      <c r="E517" t="s">
        <v>41</v>
      </c>
      <c r="F517">
        <v>162300000</v>
      </c>
      <c r="G517" t="s">
        <v>26</v>
      </c>
      <c r="H517" t="s">
        <v>81</v>
      </c>
      <c r="I517" t="s">
        <v>9</v>
      </c>
      <c r="L517" t="s">
        <v>161</v>
      </c>
      <c r="M517">
        <v>-162300000</v>
      </c>
    </row>
    <row r="518" spans="1:13" x14ac:dyDescent="0.3">
      <c r="A518" s="23">
        <v>45677</v>
      </c>
      <c r="B518" t="s">
        <v>12</v>
      </c>
      <c r="C518" t="s">
        <v>132</v>
      </c>
      <c r="D518" t="s">
        <v>17</v>
      </c>
      <c r="E518" t="s">
        <v>41</v>
      </c>
      <c r="F518">
        <v>144700000</v>
      </c>
      <c r="G518" t="s">
        <v>26</v>
      </c>
      <c r="H518" t="s">
        <v>81</v>
      </c>
      <c r="I518" t="s">
        <v>9</v>
      </c>
      <c r="L518" t="s">
        <v>161</v>
      </c>
      <c r="M518">
        <v>-144700000</v>
      </c>
    </row>
    <row r="519" spans="1:13" x14ac:dyDescent="0.3">
      <c r="A519" s="23">
        <v>45674</v>
      </c>
      <c r="B519" t="s">
        <v>12</v>
      </c>
      <c r="C519" t="s">
        <v>132</v>
      </c>
      <c r="D519" t="s">
        <v>16</v>
      </c>
      <c r="E519" t="s">
        <v>41</v>
      </c>
      <c r="F519">
        <v>101000000</v>
      </c>
      <c r="G519" t="s">
        <v>26</v>
      </c>
      <c r="H519" t="s">
        <v>81</v>
      </c>
      <c r="I519" t="s">
        <v>9</v>
      </c>
      <c r="L519" t="s">
        <v>161</v>
      </c>
      <c r="M519">
        <v>101000000</v>
      </c>
    </row>
    <row r="520" spans="1:13" x14ac:dyDescent="0.3">
      <c r="A520" s="23">
        <v>45672</v>
      </c>
      <c r="B520" t="s">
        <v>12</v>
      </c>
      <c r="C520" t="s">
        <v>132</v>
      </c>
      <c r="D520" t="s">
        <v>16</v>
      </c>
      <c r="E520" t="s">
        <v>41</v>
      </c>
      <c r="F520">
        <v>206500000</v>
      </c>
      <c r="G520" t="s">
        <v>26</v>
      </c>
      <c r="H520" t="s">
        <v>81</v>
      </c>
      <c r="I520" t="s">
        <v>9</v>
      </c>
      <c r="L520" t="s">
        <v>161</v>
      </c>
      <c r="M520">
        <v>206500000</v>
      </c>
    </row>
    <row r="521" spans="1:13" x14ac:dyDescent="0.3">
      <c r="A521" s="23">
        <v>45671</v>
      </c>
      <c r="B521" t="s">
        <v>12</v>
      </c>
      <c r="C521" t="s">
        <v>132</v>
      </c>
      <c r="D521" t="s">
        <v>17</v>
      </c>
      <c r="E521" t="s">
        <v>41</v>
      </c>
      <c r="F521">
        <v>422800000</v>
      </c>
      <c r="G521" t="s">
        <v>26</v>
      </c>
      <c r="H521" t="s">
        <v>81</v>
      </c>
      <c r="I521" t="s">
        <v>9</v>
      </c>
      <c r="L521" t="s">
        <v>161</v>
      </c>
      <c r="M521">
        <v>-422800000</v>
      </c>
    </row>
    <row r="522" spans="1:13" x14ac:dyDescent="0.3">
      <c r="A522" s="23">
        <v>45670</v>
      </c>
      <c r="B522" t="s">
        <v>12</v>
      </c>
      <c r="C522" t="s">
        <v>132</v>
      </c>
      <c r="D522" t="s">
        <v>16</v>
      </c>
      <c r="E522" t="s">
        <v>41</v>
      </c>
      <c r="F522">
        <v>194400000</v>
      </c>
      <c r="G522" t="s">
        <v>26</v>
      </c>
      <c r="H522" t="s">
        <v>81</v>
      </c>
      <c r="I522" t="s">
        <v>9</v>
      </c>
      <c r="L522" t="s">
        <v>161</v>
      </c>
      <c r="M522">
        <v>194400000</v>
      </c>
    </row>
    <row r="523" spans="1:13" x14ac:dyDescent="0.3">
      <c r="A523" s="23">
        <v>45667</v>
      </c>
      <c r="B523" t="s">
        <v>12</v>
      </c>
      <c r="C523" t="s">
        <v>132</v>
      </c>
      <c r="D523" t="s">
        <v>16</v>
      </c>
      <c r="E523" t="s">
        <v>41</v>
      </c>
      <c r="F523">
        <v>549200000</v>
      </c>
      <c r="G523" t="s">
        <v>26</v>
      </c>
      <c r="H523" t="s">
        <v>81</v>
      </c>
      <c r="I523" t="s">
        <v>9</v>
      </c>
      <c r="L523" t="s">
        <v>161</v>
      </c>
      <c r="M523">
        <v>549200000</v>
      </c>
    </row>
    <row r="524" spans="1:13" x14ac:dyDescent="0.3">
      <c r="A524" s="23">
        <v>45664</v>
      </c>
      <c r="B524" t="s">
        <v>12</v>
      </c>
      <c r="C524" t="s">
        <v>132</v>
      </c>
      <c r="D524" t="s">
        <v>17</v>
      </c>
      <c r="E524" t="s">
        <v>41</v>
      </c>
      <c r="F524">
        <v>67000000</v>
      </c>
      <c r="G524" t="s">
        <v>26</v>
      </c>
      <c r="H524" t="s">
        <v>81</v>
      </c>
      <c r="I524" t="s">
        <v>9</v>
      </c>
      <c r="L524" t="s">
        <v>161</v>
      </c>
      <c r="M524">
        <v>-67000000</v>
      </c>
    </row>
    <row r="525" spans="1:13" x14ac:dyDescent="0.3">
      <c r="A525" s="23">
        <v>45660</v>
      </c>
      <c r="B525" t="s">
        <v>12</v>
      </c>
      <c r="C525" t="s">
        <v>132</v>
      </c>
      <c r="D525" t="s">
        <v>17</v>
      </c>
      <c r="E525" t="s">
        <v>41</v>
      </c>
      <c r="F525">
        <v>64900000</v>
      </c>
      <c r="G525" t="s">
        <v>26</v>
      </c>
      <c r="H525" t="s">
        <v>81</v>
      </c>
      <c r="I525" t="s">
        <v>9</v>
      </c>
      <c r="L525" t="s">
        <v>161</v>
      </c>
      <c r="M525">
        <v>-64900000</v>
      </c>
    </row>
    <row r="526" spans="1:13" x14ac:dyDescent="0.3">
      <c r="A526" s="23">
        <v>45659</v>
      </c>
      <c r="B526" t="s">
        <v>12</v>
      </c>
      <c r="C526" t="s">
        <v>132</v>
      </c>
      <c r="D526" t="s">
        <v>17</v>
      </c>
      <c r="E526" t="s">
        <v>41</v>
      </c>
      <c r="F526">
        <v>13200000</v>
      </c>
      <c r="G526" t="s">
        <v>26</v>
      </c>
      <c r="H526" t="s">
        <v>81</v>
      </c>
      <c r="I526" t="s">
        <v>9</v>
      </c>
      <c r="L526" t="s">
        <v>161</v>
      </c>
      <c r="M526">
        <v>-13200000</v>
      </c>
    </row>
    <row r="527" spans="1:13" x14ac:dyDescent="0.3">
      <c r="A527" s="23">
        <v>45659</v>
      </c>
      <c r="B527" t="s">
        <v>12</v>
      </c>
      <c r="C527" t="s">
        <v>132</v>
      </c>
      <c r="D527" t="s">
        <v>17</v>
      </c>
      <c r="E527" t="s">
        <v>41</v>
      </c>
      <c r="F527">
        <v>259900000</v>
      </c>
      <c r="G527" t="s">
        <v>26</v>
      </c>
      <c r="H527" t="s">
        <v>81</v>
      </c>
      <c r="I527" t="s">
        <v>9</v>
      </c>
      <c r="L527" t="s">
        <v>161</v>
      </c>
      <c r="M527">
        <v>-259900000</v>
      </c>
    </row>
    <row r="528" spans="1:13" x14ac:dyDescent="0.3">
      <c r="A528" s="23">
        <v>45656</v>
      </c>
      <c r="B528" t="s">
        <v>12</v>
      </c>
      <c r="C528" t="s">
        <v>132</v>
      </c>
      <c r="D528" t="s">
        <v>16</v>
      </c>
      <c r="E528" t="s">
        <v>41</v>
      </c>
      <c r="F528">
        <v>450000000</v>
      </c>
      <c r="G528" t="s">
        <v>26</v>
      </c>
      <c r="H528" t="s">
        <v>81</v>
      </c>
      <c r="I528" t="s">
        <v>9</v>
      </c>
      <c r="L528" t="s">
        <v>161</v>
      </c>
      <c r="M528">
        <v>450000000</v>
      </c>
    </row>
    <row r="529" spans="1:13" x14ac:dyDescent="0.3">
      <c r="A529" s="23">
        <v>45656</v>
      </c>
      <c r="B529" t="s">
        <v>12</v>
      </c>
      <c r="C529" t="s">
        <v>132</v>
      </c>
      <c r="D529" t="s">
        <v>17</v>
      </c>
      <c r="E529" t="s">
        <v>41</v>
      </c>
      <c r="F529">
        <v>647832079</v>
      </c>
      <c r="G529" t="s">
        <v>26</v>
      </c>
      <c r="H529" t="s">
        <v>81</v>
      </c>
      <c r="I529" t="s">
        <v>9</v>
      </c>
      <c r="L529" t="s">
        <v>161</v>
      </c>
      <c r="M529">
        <v>-647832079</v>
      </c>
    </row>
    <row r="530" spans="1:13" x14ac:dyDescent="0.3">
      <c r="A530" s="23">
        <v>45653</v>
      </c>
      <c r="B530" t="s">
        <v>12</v>
      </c>
      <c r="C530" t="s">
        <v>132</v>
      </c>
      <c r="D530" t="s">
        <v>17</v>
      </c>
      <c r="E530" t="s">
        <v>41</v>
      </c>
      <c r="F530">
        <v>1000000000</v>
      </c>
      <c r="G530" t="s">
        <v>26</v>
      </c>
      <c r="H530" t="s">
        <v>81</v>
      </c>
      <c r="I530" t="s">
        <v>9</v>
      </c>
      <c r="L530" t="s">
        <v>161</v>
      </c>
      <c r="M530">
        <v>-1000000000</v>
      </c>
    </row>
    <row r="531" spans="1:13" x14ac:dyDescent="0.3">
      <c r="A531" s="23">
        <v>45652</v>
      </c>
      <c r="B531" t="s">
        <v>12</v>
      </c>
      <c r="C531" t="s">
        <v>132</v>
      </c>
      <c r="D531" t="s">
        <v>17</v>
      </c>
      <c r="E531" t="s">
        <v>41</v>
      </c>
      <c r="F531">
        <v>196800000</v>
      </c>
      <c r="G531" t="s">
        <v>26</v>
      </c>
      <c r="H531" t="s">
        <v>81</v>
      </c>
      <c r="I531" t="s">
        <v>9</v>
      </c>
      <c r="L531" t="s">
        <v>161</v>
      </c>
      <c r="M531">
        <v>-196800000</v>
      </c>
    </row>
    <row r="532" spans="1:13" x14ac:dyDescent="0.3">
      <c r="A532" s="23">
        <v>45649</v>
      </c>
      <c r="B532" t="s">
        <v>12</v>
      </c>
      <c r="C532" t="s">
        <v>132</v>
      </c>
      <c r="D532" t="s">
        <v>16</v>
      </c>
      <c r="E532" t="s">
        <v>41</v>
      </c>
      <c r="F532">
        <v>1500000000</v>
      </c>
      <c r="G532" t="s">
        <v>26</v>
      </c>
      <c r="H532" t="s">
        <v>81</v>
      </c>
      <c r="I532" t="s">
        <v>9</v>
      </c>
      <c r="L532" t="s">
        <v>161</v>
      </c>
      <c r="M532">
        <v>1500000000</v>
      </c>
    </row>
    <row r="533" spans="1:13" x14ac:dyDescent="0.3">
      <c r="A533" s="23">
        <v>45646</v>
      </c>
      <c r="B533" t="s">
        <v>12</v>
      </c>
      <c r="C533" t="s">
        <v>132</v>
      </c>
      <c r="D533" t="s">
        <v>17</v>
      </c>
      <c r="E533" t="s">
        <v>41</v>
      </c>
      <c r="F533">
        <v>160600000</v>
      </c>
      <c r="G533" t="s">
        <v>26</v>
      </c>
      <c r="H533" t="s">
        <v>81</v>
      </c>
      <c r="I533" t="s">
        <v>9</v>
      </c>
      <c r="L533" t="s">
        <v>161</v>
      </c>
      <c r="M533">
        <v>-160600000</v>
      </c>
    </row>
    <row r="534" spans="1:13" x14ac:dyDescent="0.3">
      <c r="A534" s="23">
        <v>45645</v>
      </c>
      <c r="B534" t="s">
        <v>12</v>
      </c>
      <c r="C534" t="s">
        <v>132</v>
      </c>
      <c r="D534" t="s">
        <v>16</v>
      </c>
      <c r="E534" t="s">
        <v>41</v>
      </c>
      <c r="F534">
        <v>469700000</v>
      </c>
      <c r="G534" t="s">
        <v>26</v>
      </c>
      <c r="H534" t="s">
        <v>81</v>
      </c>
      <c r="I534" t="s">
        <v>9</v>
      </c>
      <c r="L534" t="s">
        <v>161</v>
      </c>
      <c r="M534">
        <v>469700000</v>
      </c>
    </row>
    <row r="535" spans="1:13" x14ac:dyDescent="0.3">
      <c r="A535" s="23">
        <v>45644</v>
      </c>
      <c r="B535" t="s">
        <v>12</v>
      </c>
      <c r="C535" t="s">
        <v>132</v>
      </c>
      <c r="D535" t="s">
        <v>16</v>
      </c>
      <c r="E535" t="s">
        <v>41</v>
      </c>
      <c r="F535">
        <v>28200000</v>
      </c>
      <c r="G535" t="s">
        <v>26</v>
      </c>
      <c r="H535" t="s">
        <v>81</v>
      </c>
      <c r="I535" t="s">
        <v>9</v>
      </c>
      <c r="L535" t="s">
        <v>161</v>
      </c>
      <c r="M535">
        <v>28200000</v>
      </c>
    </row>
    <row r="536" spans="1:13" x14ac:dyDescent="0.3">
      <c r="A536" s="23">
        <v>45643</v>
      </c>
      <c r="B536" t="s">
        <v>12</v>
      </c>
      <c r="C536" t="s">
        <v>132</v>
      </c>
      <c r="D536" t="s">
        <v>17</v>
      </c>
      <c r="E536" t="s">
        <v>41</v>
      </c>
      <c r="F536">
        <v>112800000</v>
      </c>
      <c r="G536" t="s">
        <v>26</v>
      </c>
      <c r="H536" t="s">
        <v>81</v>
      </c>
      <c r="I536" t="s">
        <v>9</v>
      </c>
      <c r="L536" t="s">
        <v>161</v>
      </c>
      <c r="M536">
        <v>-112800000</v>
      </c>
    </row>
    <row r="537" spans="1:13" x14ac:dyDescent="0.3">
      <c r="A537" s="23">
        <v>45642</v>
      </c>
      <c r="B537" t="s">
        <v>12</v>
      </c>
      <c r="C537" t="s">
        <v>132</v>
      </c>
      <c r="D537" t="s">
        <v>17</v>
      </c>
      <c r="E537" t="s">
        <v>41</v>
      </c>
      <c r="F537">
        <v>100000000</v>
      </c>
      <c r="G537" t="s">
        <v>26</v>
      </c>
      <c r="H537" t="s">
        <v>81</v>
      </c>
      <c r="I537" t="s">
        <v>9</v>
      </c>
      <c r="L537" t="s">
        <v>161</v>
      </c>
      <c r="M537">
        <v>-100000000</v>
      </c>
    </row>
    <row r="538" spans="1:13" x14ac:dyDescent="0.3">
      <c r="A538" s="23">
        <v>45639</v>
      </c>
      <c r="B538" t="s">
        <v>12</v>
      </c>
      <c r="C538" t="s">
        <v>132</v>
      </c>
      <c r="D538" t="s">
        <v>16</v>
      </c>
      <c r="E538" t="s">
        <v>41</v>
      </c>
      <c r="F538">
        <v>210700000</v>
      </c>
      <c r="G538" t="s">
        <v>26</v>
      </c>
      <c r="H538" t="s">
        <v>81</v>
      </c>
      <c r="I538" t="s">
        <v>9</v>
      </c>
      <c r="L538" t="s">
        <v>161</v>
      </c>
      <c r="M538">
        <v>210700000</v>
      </c>
    </row>
    <row r="539" spans="1:13" x14ac:dyDescent="0.3">
      <c r="A539" s="23">
        <v>45638</v>
      </c>
      <c r="B539" t="s">
        <v>12</v>
      </c>
      <c r="C539" t="s">
        <v>132</v>
      </c>
      <c r="D539" t="s">
        <v>17</v>
      </c>
      <c r="E539" t="s">
        <v>41</v>
      </c>
      <c r="F539">
        <v>130000000</v>
      </c>
      <c r="G539" t="s">
        <v>26</v>
      </c>
      <c r="H539" t="s">
        <v>81</v>
      </c>
      <c r="I539" t="s">
        <v>9</v>
      </c>
      <c r="L539" t="s">
        <v>161</v>
      </c>
      <c r="M539">
        <v>-130000000</v>
      </c>
    </row>
    <row r="540" spans="1:13" x14ac:dyDescent="0.3">
      <c r="A540" s="23">
        <v>44819</v>
      </c>
      <c r="B540" t="s">
        <v>12</v>
      </c>
      <c r="C540" t="s">
        <v>132</v>
      </c>
      <c r="D540" t="s">
        <v>16</v>
      </c>
      <c r="E540" t="s">
        <v>41</v>
      </c>
      <c r="F540">
        <v>135000000</v>
      </c>
      <c r="G540" t="s">
        <v>26</v>
      </c>
      <c r="H540" t="s">
        <v>81</v>
      </c>
      <c r="I540" t="s">
        <v>9</v>
      </c>
      <c r="L540" t="s">
        <v>161</v>
      </c>
      <c r="M540">
        <v>135000000</v>
      </c>
    </row>
    <row r="541" spans="1:13" x14ac:dyDescent="0.3">
      <c r="A541" s="23">
        <v>44820</v>
      </c>
      <c r="B541" t="s">
        <v>12</v>
      </c>
      <c r="C541" t="s">
        <v>132</v>
      </c>
      <c r="D541" t="s">
        <v>17</v>
      </c>
      <c r="E541" t="s">
        <v>41</v>
      </c>
      <c r="F541">
        <v>135000000</v>
      </c>
      <c r="G541" t="s">
        <v>26</v>
      </c>
      <c r="H541" t="s">
        <v>81</v>
      </c>
      <c r="I541" t="s">
        <v>9</v>
      </c>
      <c r="L541" t="s">
        <v>161</v>
      </c>
      <c r="M541">
        <v>-135000000</v>
      </c>
    </row>
    <row r="542" spans="1:13" x14ac:dyDescent="0.3">
      <c r="A542" s="23">
        <v>45636</v>
      </c>
      <c r="B542" t="s">
        <v>12</v>
      </c>
      <c r="C542" t="s">
        <v>132</v>
      </c>
      <c r="D542" t="s">
        <v>17</v>
      </c>
      <c r="E542" t="s">
        <v>41</v>
      </c>
      <c r="F542">
        <v>69400000</v>
      </c>
      <c r="G542" t="s">
        <v>26</v>
      </c>
      <c r="H542" t="s">
        <v>81</v>
      </c>
      <c r="I542" t="s">
        <v>9</v>
      </c>
      <c r="L542" t="s">
        <v>161</v>
      </c>
      <c r="M542">
        <v>-69400000</v>
      </c>
    </row>
    <row r="543" spans="1:13" x14ac:dyDescent="0.3">
      <c r="A543" s="23">
        <v>45635</v>
      </c>
      <c r="B543" t="s">
        <v>12</v>
      </c>
      <c r="C543" t="s">
        <v>132</v>
      </c>
      <c r="D543" t="s">
        <v>17</v>
      </c>
      <c r="E543" t="s">
        <v>41</v>
      </c>
      <c r="F543">
        <v>357100000</v>
      </c>
      <c r="G543" t="s">
        <v>26</v>
      </c>
      <c r="H543" t="s">
        <v>81</v>
      </c>
      <c r="I543" t="s">
        <v>9</v>
      </c>
      <c r="L543" t="s">
        <v>161</v>
      </c>
      <c r="M543">
        <v>-357100000</v>
      </c>
    </row>
    <row r="544" spans="1:13" x14ac:dyDescent="0.3">
      <c r="A544" s="23">
        <v>45632</v>
      </c>
      <c r="B544" t="s">
        <v>12</v>
      </c>
      <c r="C544" t="s">
        <v>132</v>
      </c>
      <c r="D544" t="s">
        <v>16</v>
      </c>
      <c r="E544" t="s">
        <v>41</v>
      </c>
      <c r="F544">
        <v>510000000</v>
      </c>
      <c r="G544" t="s">
        <v>26</v>
      </c>
      <c r="H544" t="s">
        <v>81</v>
      </c>
      <c r="I544" t="s">
        <v>9</v>
      </c>
      <c r="L544" t="s">
        <v>161</v>
      </c>
      <c r="M544">
        <v>510000000</v>
      </c>
    </row>
    <row r="545" spans="1:13" x14ac:dyDescent="0.3">
      <c r="A545" s="23">
        <v>45631</v>
      </c>
      <c r="B545" t="s">
        <v>12</v>
      </c>
      <c r="C545" t="s">
        <v>132</v>
      </c>
      <c r="D545" t="s">
        <v>17</v>
      </c>
      <c r="E545" t="s">
        <v>41</v>
      </c>
      <c r="F545">
        <v>76500000</v>
      </c>
      <c r="G545" t="s">
        <v>26</v>
      </c>
      <c r="H545" t="s">
        <v>81</v>
      </c>
      <c r="I545" t="s">
        <v>9</v>
      </c>
      <c r="L545" t="s">
        <v>161</v>
      </c>
      <c r="M545">
        <v>-76500000</v>
      </c>
    </row>
    <row r="546" spans="1:13" x14ac:dyDescent="0.3">
      <c r="A546" s="23">
        <v>45630</v>
      </c>
      <c r="B546" t="s">
        <v>12</v>
      </c>
      <c r="C546" t="s">
        <v>132</v>
      </c>
      <c r="D546" t="s">
        <v>16</v>
      </c>
      <c r="E546" t="s">
        <v>41</v>
      </c>
      <c r="F546">
        <v>6933200</v>
      </c>
      <c r="G546" t="s">
        <v>26</v>
      </c>
      <c r="H546" t="s">
        <v>81</v>
      </c>
      <c r="I546" t="s">
        <v>9</v>
      </c>
      <c r="L546" t="s">
        <v>161</v>
      </c>
      <c r="M546">
        <v>6933200</v>
      </c>
    </row>
    <row r="547" spans="1:13" x14ac:dyDescent="0.3">
      <c r="A547" s="23">
        <v>45630</v>
      </c>
      <c r="B547" t="s">
        <v>12</v>
      </c>
      <c r="C547" t="s">
        <v>132</v>
      </c>
      <c r="D547" t="s">
        <v>17</v>
      </c>
      <c r="E547" t="s">
        <v>41</v>
      </c>
      <c r="F547">
        <v>55700000</v>
      </c>
      <c r="G547" t="s">
        <v>26</v>
      </c>
      <c r="H547" t="s">
        <v>81</v>
      </c>
      <c r="I547" t="s">
        <v>9</v>
      </c>
      <c r="L547" t="s">
        <v>161</v>
      </c>
      <c r="M547">
        <v>-55700000</v>
      </c>
    </row>
    <row r="548" spans="1:13" x14ac:dyDescent="0.3">
      <c r="A548" s="23">
        <v>45629</v>
      </c>
      <c r="B548" t="s">
        <v>12</v>
      </c>
      <c r="C548" t="s">
        <v>132</v>
      </c>
      <c r="D548" t="s">
        <v>17</v>
      </c>
      <c r="E548" t="s">
        <v>41</v>
      </c>
      <c r="F548">
        <v>31400000</v>
      </c>
      <c r="G548" t="s">
        <v>26</v>
      </c>
      <c r="H548" t="s">
        <v>81</v>
      </c>
      <c r="I548" t="s">
        <v>9</v>
      </c>
      <c r="L548" t="s">
        <v>161</v>
      </c>
      <c r="M548">
        <v>-31400000</v>
      </c>
    </row>
    <row r="549" spans="1:13" x14ac:dyDescent="0.3">
      <c r="A549" s="23">
        <v>45625</v>
      </c>
      <c r="B549" t="s">
        <v>12</v>
      </c>
      <c r="C549" t="s">
        <v>132</v>
      </c>
      <c r="D549" t="s">
        <v>17</v>
      </c>
      <c r="E549" t="s">
        <v>41</v>
      </c>
      <c r="F549">
        <v>174100000</v>
      </c>
      <c r="G549" t="s">
        <v>26</v>
      </c>
      <c r="H549" t="s">
        <v>81</v>
      </c>
      <c r="I549" t="s">
        <v>9</v>
      </c>
      <c r="L549" t="s">
        <v>161</v>
      </c>
      <c r="M549">
        <v>-174100000</v>
      </c>
    </row>
    <row r="550" spans="1:13" x14ac:dyDescent="0.3">
      <c r="A550" s="23">
        <v>45624</v>
      </c>
      <c r="B550" t="s">
        <v>12</v>
      </c>
      <c r="C550" t="s">
        <v>132</v>
      </c>
      <c r="D550" t="s">
        <v>17</v>
      </c>
      <c r="E550" t="s">
        <v>41</v>
      </c>
      <c r="F550">
        <v>70800000</v>
      </c>
      <c r="G550" t="s">
        <v>26</v>
      </c>
      <c r="H550" t="s">
        <v>81</v>
      </c>
      <c r="I550" t="s">
        <v>9</v>
      </c>
      <c r="L550" t="s">
        <v>161</v>
      </c>
      <c r="M550">
        <v>-70800000</v>
      </c>
    </row>
    <row r="551" spans="1:13" x14ac:dyDescent="0.3">
      <c r="A551" s="23">
        <v>45623</v>
      </c>
      <c r="B551" t="s">
        <v>12</v>
      </c>
      <c r="C551" t="s">
        <v>132</v>
      </c>
      <c r="D551" t="s">
        <v>16</v>
      </c>
      <c r="E551" t="s">
        <v>41</v>
      </c>
      <c r="F551">
        <v>400000000</v>
      </c>
      <c r="G551" t="s">
        <v>26</v>
      </c>
      <c r="H551" t="s">
        <v>81</v>
      </c>
      <c r="I551" t="s">
        <v>9</v>
      </c>
      <c r="L551" t="s">
        <v>161</v>
      </c>
      <c r="M551">
        <v>400000000</v>
      </c>
    </row>
    <row r="552" spans="1:13" x14ac:dyDescent="0.3">
      <c r="A552" s="23">
        <v>45622</v>
      </c>
      <c r="B552" t="s">
        <v>12</v>
      </c>
      <c r="C552" t="s">
        <v>132</v>
      </c>
      <c r="D552" t="s">
        <v>17</v>
      </c>
      <c r="E552" t="s">
        <v>41</v>
      </c>
      <c r="F552">
        <v>21600000</v>
      </c>
      <c r="G552" t="s">
        <v>26</v>
      </c>
      <c r="H552" t="s">
        <v>81</v>
      </c>
      <c r="I552" t="s">
        <v>9</v>
      </c>
      <c r="L552" t="s">
        <v>161</v>
      </c>
      <c r="M552">
        <v>-21600000</v>
      </c>
    </row>
    <row r="553" spans="1:13" x14ac:dyDescent="0.3">
      <c r="A553" s="23">
        <v>45621</v>
      </c>
      <c r="B553" t="s">
        <v>12</v>
      </c>
      <c r="C553" t="s">
        <v>132</v>
      </c>
      <c r="D553" t="s">
        <v>17</v>
      </c>
      <c r="E553" t="s">
        <v>41</v>
      </c>
      <c r="F553">
        <v>66000000</v>
      </c>
      <c r="G553" t="s">
        <v>26</v>
      </c>
      <c r="H553" t="s">
        <v>81</v>
      </c>
      <c r="I553" t="s">
        <v>9</v>
      </c>
      <c r="L553" t="s">
        <v>161</v>
      </c>
      <c r="M553">
        <v>-66000000</v>
      </c>
    </row>
    <row r="554" spans="1:13" x14ac:dyDescent="0.3">
      <c r="A554" s="23">
        <v>44848</v>
      </c>
      <c r="B554" t="s">
        <v>12</v>
      </c>
      <c r="C554" t="s">
        <v>132</v>
      </c>
      <c r="D554" t="s">
        <v>16</v>
      </c>
      <c r="E554" t="s">
        <v>41</v>
      </c>
      <c r="F554">
        <v>271800000</v>
      </c>
      <c r="G554" t="s">
        <v>26</v>
      </c>
      <c r="H554" t="s">
        <v>81</v>
      </c>
      <c r="I554" t="s">
        <v>9</v>
      </c>
      <c r="L554" t="s">
        <v>161</v>
      </c>
      <c r="M554">
        <v>271800000</v>
      </c>
    </row>
    <row r="555" spans="1:13" x14ac:dyDescent="0.3">
      <c r="A555" s="23">
        <v>44851</v>
      </c>
      <c r="B555" t="s">
        <v>12</v>
      </c>
      <c r="C555" t="s">
        <v>132</v>
      </c>
      <c r="D555" t="s">
        <v>17</v>
      </c>
      <c r="E555" t="s">
        <v>41</v>
      </c>
      <c r="F555">
        <v>129600000</v>
      </c>
      <c r="G555" t="s">
        <v>26</v>
      </c>
      <c r="H555" t="s">
        <v>81</v>
      </c>
      <c r="I555" t="s">
        <v>9</v>
      </c>
      <c r="L555" t="s">
        <v>161</v>
      </c>
      <c r="M555">
        <v>-129600000</v>
      </c>
    </row>
    <row r="556" spans="1:13" x14ac:dyDescent="0.3">
      <c r="A556" s="23">
        <v>45618</v>
      </c>
      <c r="B556" t="s">
        <v>12</v>
      </c>
      <c r="C556" t="s">
        <v>132</v>
      </c>
      <c r="D556" t="s">
        <v>17</v>
      </c>
      <c r="E556" t="s">
        <v>41</v>
      </c>
      <c r="F556">
        <v>125600000</v>
      </c>
      <c r="G556" t="s">
        <v>26</v>
      </c>
      <c r="H556" t="s">
        <v>81</v>
      </c>
      <c r="I556" t="s">
        <v>9</v>
      </c>
      <c r="L556" t="s">
        <v>161</v>
      </c>
      <c r="M556">
        <v>-125600000</v>
      </c>
    </row>
    <row r="557" spans="1:13" x14ac:dyDescent="0.3">
      <c r="A557" s="23">
        <v>45617</v>
      </c>
      <c r="B557" t="s">
        <v>12</v>
      </c>
      <c r="C557" t="s">
        <v>132</v>
      </c>
      <c r="D557" t="s">
        <v>17</v>
      </c>
      <c r="E557" t="s">
        <v>41</v>
      </c>
      <c r="F557">
        <v>119900000</v>
      </c>
      <c r="G557" t="s">
        <v>26</v>
      </c>
      <c r="H557" t="s">
        <v>81</v>
      </c>
      <c r="I557" t="s">
        <v>9</v>
      </c>
      <c r="L557" t="s">
        <v>161</v>
      </c>
      <c r="M557">
        <v>-119900000</v>
      </c>
    </row>
    <row r="558" spans="1:13" x14ac:dyDescent="0.3">
      <c r="A558" s="23">
        <v>44853</v>
      </c>
      <c r="B558" t="s">
        <v>12</v>
      </c>
      <c r="C558" t="s">
        <v>132</v>
      </c>
      <c r="D558" t="s">
        <v>17</v>
      </c>
      <c r="E558" t="s">
        <v>41</v>
      </c>
      <c r="F558">
        <v>11200000</v>
      </c>
      <c r="G558" t="s">
        <v>26</v>
      </c>
      <c r="H558" t="s">
        <v>81</v>
      </c>
      <c r="I558" t="s">
        <v>9</v>
      </c>
      <c r="L558" t="s">
        <v>161</v>
      </c>
      <c r="M558">
        <v>-11200000</v>
      </c>
    </row>
    <row r="559" spans="1:13" x14ac:dyDescent="0.3">
      <c r="A559" s="23">
        <v>44854</v>
      </c>
      <c r="B559" t="s">
        <v>12</v>
      </c>
      <c r="C559" t="s">
        <v>132</v>
      </c>
      <c r="D559" t="s">
        <v>17</v>
      </c>
      <c r="E559" t="s">
        <v>41</v>
      </c>
      <c r="F559">
        <v>36400000</v>
      </c>
      <c r="G559" t="s">
        <v>26</v>
      </c>
      <c r="H559" t="s">
        <v>81</v>
      </c>
      <c r="I559" t="s">
        <v>9</v>
      </c>
      <c r="L559" t="s">
        <v>161</v>
      </c>
      <c r="M559">
        <v>-36400000</v>
      </c>
    </row>
    <row r="560" spans="1:13" x14ac:dyDescent="0.3">
      <c r="A560" s="23">
        <v>44855</v>
      </c>
      <c r="B560" t="s">
        <v>12</v>
      </c>
      <c r="C560" t="s">
        <v>132</v>
      </c>
      <c r="D560" t="s">
        <v>17</v>
      </c>
      <c r="E560" t="s">
        <v>41</v>
      </c>
      <c r="F560">
        <v>94600000.000000045</v>
      </c>
      <c r="G560" t="s">
        <v>26</v>
      </c>
      <c r="H560" t="s">
        <v>81</v>
      </c>
      <c r="I560" t="s">
        <v>9</v>
      </c>
      <c r="L560" t="s">
        <v>161</v>
      </c>
      <c r="M560">
        <v>-94600000</v>
      </c>
    </row>
    <row r="561" spans="1:13" x14ac:dyDescent="0.3">
      <c r="A561" s="23">
        <v>45611</v>
      </c>
      <c r="B561" t="s">
        <v>12</v>
      </c>
      <c r="C561" t="s">
        <v>132</v>
      </c>
      <c r="D561" t="s">
        <v>17</v>
      </c>
      <c r="E561" t="s">
        <v>41</v>
      </c>
      <c r="F561">
        <v>300000000</v>
      </c>
      <c r="G561" t="s">
        <v>26</v>
      </c>
      <c r="H561" t="s">
        <v>81</v>
      </c>
      <c r="I561" t="s">
        <v>9</v>
      </c>
      <c r="L561" t="s">
        <v>161</v>
      </c>
      <c r="M561">
        <v>-300000000</v>
      </c>
    </row>
    <row r="562" spans="1:13" x14ac:dyDescent="0.3">
      <c r="A562" s="23">
        <v>45610</v>
      </c>
      <c r="B562" t="s">
        <v>12</v>
      </c>
      <c r="C562" t="s">
        <v>132</v>
      </c>
      <c r="D562" t="s">
        <v>17</v>
      </c>
      <c r="E562" t="s">
        <v>41</v>
      </c>
      <c r="F562">
        <v>157900000</v>
      </c>
      <c r="G562" t="s">
        <v>26</v>
      </c>
      <c r="H562" t="s">
        <v>81</v>
      </c>
      <c r="I562" t="s">
        <v>9</v>
      </c>
      <c r="L562" t="s">
        <v>161</v>
      </c>
      <c r="M562">
        <v>-157900000</v>
      </c>
    </row>
    <row r="563" spans="1:13" x14ac:dyDescent="0.3">
      <c r="A563" s="23">
        <v>45609</v>
      </c>
      <c r="B563" t="s">
        <v>12</v>
      </c>
      <c r="C563" t="s">
        <v>132</v>
      </c>
      <c r="D563" t="s">
        <v>17</v>
      </c>
      <c r="E563" t="s">
        <v>41</v>
      </c>
      <c r="F563">
        <v>172700000</v>
      </c>
      <c r="G563" t="s">
        <v>26</v>
      </c>
      <c r="H563" t="s">
        <v>81</v>
      </c>
      <c r="I563" t="s">
        <v>9</v>
      </c>
      <c r="L563" t="s">
        <v>161</v>
      </c>
      <c r="M563">
        <v>-172700000</v>
      </c>
    </row>
    <row r="564" spans="1:13" x14ac:dyDescent="0.3">
      <c r="A564" s="23">
        <v>45608</v>
      </c>
      <c r="B564" t="s">
        <v>12</v>
      </c>
      <c r="C564" t="s">
        <v>132</v>
      </c>
      <c r="D564" t="s">
        <v>16</v>
      </c>
      <c r="E564" t="s">
        <v>41</v>
      </c>
      <c r="F564">
        <v>1000000000</v>
      </c>
      <c r="G564" t="s">
        <v>26</v>
      </c>
      <c r="H564" t="s">
        <v>81</v>
      </c>
      <c r="I564" t="s">
        <v>9</v>
      </c>
      <c r="L564" t="s">
        <v>161</v>
      </c>
      <c r="M564">
        <v>1000000000</v>
      </c>
    </row>
    <row r="565" spans="1:13" x14ac:dyDescent="0.3">
      <c r="A565" s="23">
        <v>45607</v>
      </c>
      <c r="B565" t="s">
        <v>12</v>
      </c>
      <c r="C565" t="s">
        <v>132</v>
      </c>
      <c r="D565" t="s">
        <v>16</v>
      </c>
      <c r="E565" t="s">
        <v>41</v>
      </c>
      <c r="F565">
        <v>6682207</v>
      </c>
      <c r="G565" t="s">
        <v>26</v>
      </c>
      <c r="H565" t="s">
        <v>81</v>
      </c>
      <c r="I565" t="s">
        <v>9</v>
      </c>
      <c r="L565" t="s">
        <v>161</v>
      </c>
      <c r="M565">
        <v>6682207</v>
      </c>
    </row>
    <row r="566" spans="1:13" x14ac:dyDescent="0.3">
      <c r="A566" s="23">
        <v>45607</v>
      </c>
      <c r="B566" t="s">
        <v>12</v>
      </c>
      <c r="C566" t="s">
        <v>132</v>
      </c>
      <c r="D566" t="s">
        <v>17</v>
      </c>
      <c r="E566" t="s">
        <v>41</v>
      </c>
      <c r="F566">
        <v>48200000</v>
      </c>
      <c r="G566" t="s">
        <v>26</v>
      </c>
      <c r="H566" t="s">
        <v>81</v>
      </c>
      <c r="I566" t="s">
        <v>9</v>
      </c>
      <c r="L566" t="s">
        <v>161</v>
      </c>
      <c r="M566">
        <v>-48200000</v>
      </c>
    </row>
    <row r="567" spans="1:13" x14ac:dyDescent="0.3">
      <c r="A567" s="23">
        <v>45604</v>
      </c>
      <c r="B567" t="s">
        <v>12</v>
      </c>
      <c r="C567" t="s">
        <v>132</v>
      </c>
      <c r="D567" t="s">
        <v>17</v>
      </c>
      <c r="E567" t="s">
        <v>41</v>
      </c>
      <c r="F567">
        <v>500000</v>
      </c>
      <c r="G567" t="s">
        <v>26</v>
      </c>
      <c r="H567" t="s">
        <v>81</v>
      </c>
      <c r="I567" t="s">
        <v>9</v>
      </c>
      <c r="L567" t="s">
        <v>161</v>
      </c>
      <c r="M567">
        <v>-500000</v>
      </c>
    </row>
    <row r="568" spans="1:13" x14ac:dyDescent="0.3">
      <c r="A568" s="23">
        <v>45601</v>
      </c>
      <c r="B568" t="s">
        <v>12</v>
      </c>
      <c r="C568" t="s">
        <v>132</v>
      </c>
      <c r="D568" t="s">
        <v>17</v>
      </c>
      <c r="E568" t="s">
        <v>41</v>
      </c>
      <c r="F568">
        <v>30100000</v>
      </c>
      <c r="G568" t="s">
        <v>26</v>
      </c>
      <c r="H568" t="s">
        <v>81</v>
      </c>
      <c r="I568" t="s">
        <v>9</v>
      </c>
      <c r="L568" t="s">
        <v>161</v>
      </c>
      <c r="M568">
        <v>-30100000</v>
      </c>
    </row>
    <row r="569" spans="1:13" x14ac:dyDescent="0.3">
      <c r="A569" s="23">
        <v>45600</v>
      </c>
      <c r="B569" t="s">
        <v>12</v>
      </c>
      <c r="C569" t="s">
        <v>132</v>
      </c>
      <c r="D569" t="s">
        <v>17</v>
      </c>
      <c r="E569" t="s">
        <v>41</v>
      </c>
      <c r="F569">
        <v>53000000</v>
      </c>
      <c r="G569" t="s">
        <v>26</v>
      </c>
      <c r="H569" t="s">
        <v>81</v>
      </c>
      <c r="I569" t="s">
        <v>9</v>
      </c>
      <c r="L569" t="s">
        <v>161</v>
      </c>
      <c r="M569">
        <v>-53000000</v>
      </c>
    </row>
    <row r="570" spans="1:13" x14ac:dyDescent="0.3">
      <c r="A570" s="23">
        <v>45596</v>
      </c>
      <c r="B570" t="s">
        <v>12</v>
      </c>
      <c r="C570" t="s">
        <v>132</v>
      </c>
      <c r="D570" t="s">
        <v>16</v>
      </c>
      <c r="E570" t="s">
        <v>41</v>
      </c>
      <c r="F570">
        <v>100000000</v>
      </c>
      <c r="G570" t="s">
        <v>26</v>
      </c>
      <c r="H570" t="s">
        <v>81</v>
      </c>
      <c r="I570" t="s">
        <v>9</v>
      </c>
      <c r="L570" t="s">
        <v>161</v>
      </c>
      <c r="M570">
        <v>100000000</v>
      </c>
    </row>
    <row r="571" spans="1:13" x14ac:dyDescent="0.3">
      <c r="A571" s="23">
        <v>45595</v>
      </c>
      <c r="B571" t="s">
        <v>12</v>
      </c>
      <c r="C571" t="s">
        <v>132</v>
      </c>
      <c r="D571" t="s">
        <v>17</v>
      </c>
      <c r="E571" t="s">
        <v>41</v>
      </c>
      <c r="F571">
        <v>50500000</v>
      </c>
      <c r="G571" t="s">
        <v>26</v>
      </c>
      <c r="H571" t="s">
        <v>81</v>
      </c>
      <c r="I571" t="s">
        <v>9</v>
      </c>
      <c r="L571" t="s">
        <v>161</v>
      </c>
      <c r="M571">
        <v>-50500000</v>
      </c>
    </row>
    <row r="572" spans="1:13" x14ac:dyDescent="0.3">
      <c r="A572" s="23">
        <v>45594</v>
      </c>
      <c r="B572" t="s">
        <v>12</v>
      </c>
      <c r="C572" t="s">
        <v>132</v>
      </c>
      <c r="D572" t="s">
        <v>17</v>
      </c>
      <c r="E572" t="s">
        <v>41</v>
      </c>
      <c r="F572">
        <v>24900000</v>
      </c>
      <c r="G572" t="s">
        <v>26</v>
      </c>
      <c r="H572" t="s">
        <v>81</v>
      </c>
      <c r="I572" t="s">
        <v>9</v>
      </c>
      <c r="L572" t="s">
        <v>161</v>
      </c>
      <c r="M572">
        <v>-24900000</v>
      </c>
    </row>
    <row r="573" spans="1:13" x14ac:dyDescent="0.3">
      <c r="A573" s="23">
        <v>45593</v>
      </c>
      <c r="B573" t="s">
        <v>12</v>
      </c>
      <c r="C573" t="s">
        <v>132</v>
      </c>
      <c r="D573" t="s">
        <v>17</v>
      </c>
      <c r="E573" t="s">
        <v>41</v>
      </c>
      <c r="F573">
        <v>74100000</v>
      </c>
      <c r="G573" t="s">
        <v>26</v>
      </c>
      <c r="H573" t="s">
        <v>81</v>
      </c>
      <c r="I573" t="s">
        <v>9</v>
      </c>
      <c r="L573" t="s">
        <v>161</v>
      </c>
      <c r="M573">
        <v>-74100000</v>
      </c>
    </row>
    <row r="574" spans="1:13" x14ac:dyDescent="0.3">
      <c r="A574" s="23">
        <v>45590</v>
      </c>
      <c r="B574" t="s">
        <v>12</v>
      </c>
      <c r="C574" t="s">
        <v>132</v>
      </c>
      <c r="D574" t="s">
        <v>17</v>
      </c>
      <c r="E574" t="s">
        <v>41</v>
      </c>
      <c r="F574">
        <v>100000000</v>
      </c>
      <c r="G574" t="s">
        <v>26</v>
      </c>
      <c r="H574" t="s">
        <v>81</v>
      </c>
      <c r="I574" t="s">
        <v>9</v>
      </c>
      <c r="L574" t="s">
        <v>161</v>
      </c>
      <c r="M574">
        <v>-100000000</v>
      </c>
    </row>
    <row r="575" spans="1:13" x14ac:dyDescent="0.3">
      <c r="A575" s="23">
        <v>45589</v>
      </c>
      <c r="B575" t="s">
        <v>12</v>
      </c>
      <c r="C575" t="s">
        <v>132</v>
      </c>
      <c r="D575" t="s">
        <v>17</v>
      </c>
      <c r="E575" t="s">
        <v>41</v>
      </c>
      <c r="F575">
        <v>94200000</v>
      </c>
      <c r="G575" t="s">
        <v>26</v>
      </c>
      <c r="H575" t="s">
        <v>81</v>
      </c>
      <c r="I575" t="s">
        <v>9</v>
      </c>
      <c r="L575" t="s">
        <v>161</v>
      </c>
      <c r="M575">
        <v>-94200000</v>
      </c>
    </row>
    <row r="576" spans="1:13" x14ac:dyDescent="0.3">
      <c r="A576" s="23">
        <v>45588</v>
      </c>
      <c r="B576" t="s">
        <v>12</v>
      </c>
      <c r="C576" t="s">
        <v>132</v>
      </c>
      <c r="D576" t="s">
        <v>17</v>
      </c>
      <c r="E576" t="s">
        <v>41</v>
      </c>
      <c r="F576">
        <v>24200000</v>
      </c>
      <c r="G576" t="s">
        <v>26</v>
      </c>
      <c r="H576" t="s">
        <v>81</v>
      </c>
      <c r="I576" t="s">
        <v>9</v>
      </c>
      <c r="L576" t="s">
        <v>161</v>
      </c>
      <c r="M576">
        <v>-24200000</v>
      </c>
    </row>
    <row r="577" spans="1:13" x14ac:dyDescent="0.3">
      <c r="A577" s="23">
        <v>45587</v>
      </c>
      <c r="B577" t="s">
        <v>12</v>
      </c>
      <c r="C577" t="s">
        <v>132</v>
      </c>
      <c r="D577" t="s">
        <v>17</v>
      </c>
      <c r="E577" t="s">
        <v>41</v>
      </c>
      <c r="F577">
        <v>203000000</v>
      </c>
      <c r="G577" t="s">
        <v>26</v>
      </c>
      <c r="H577" t="s">
        <v>81</v>
      </c>
      <c r="I577" t="s">
        <v>9</v>
      </c>
      <c r="L577" t="s">
        <v>161</v>
      </c>
      <c r="M577">
        <v>-203000000</v>
      </c>
    </row>
    <row r="578" spans="1:13" x14ac:dyDescent="0.3">
      <c r="A578" s="23">
        <v>45586</v>
      </c>
      <c r="B578" t="s">
        <v>12</v>
      </c>
      <c r="C578" t="s">
        <v>132</v>
      </c>
      <c r="D578" t="s">
        <v>17</v>
      </c>
      <c r="E578" t="s">
        <v>41</v>
      </c>
      <c r="F578">
        <v>400000000</v>
      </c>
      <c r="G578" t="s">
        <v>26</v>
      </c>
      <c r="H578" t="s">
        <v>81</v>
      </c>
      <c r="I578" t="s">
        <v>9</v>
      </c>
      <c r="L578" t="s">
        <v>161</v>
      </c>
      <c r="M578">
        <v>-400000000</v>
      </c>
    </row>
    <row r="579" spans="1:13" x14ac:dyDescent="0.3">
      <c r="A579" s="23">
        <v>45583</v>
      </c>
      <c r="B579" t="s">
        <v>12</v>
      </c>
      <c r="C579" t="s">
        <v>132</v>
      </c>
      <c r="D579" t="s">
        <v>16</v>
      </c>
      <c r="E579" t="s">
        <v>41</v>
      </c>
      <c r="F579">
        <v>1000000000</v>
      </c>
      <c r="G579" t="s">
        <v>26</v>
      </c>
      <c r="H579" t="s">
        <v>81</v>
      </c>
      <c r="I579" t="s">
        <v>9</v>
      </c>
      <c r="L579" t="s">
        <v>161</v>
      </c>
      <c r="M579">
        <v>1000000000</v>
      </c>
    </row>
    <row r="580" spans="1:13" x14ac:dyDescent="0.3">
      <c r="A580" s="23">
        <v>45582</v>
      </c>
      <c r="B580" t="s">
        <v>12</v>
      </c>
      <c r="C580" t="s">
        <v>132</v>
      </c>
      <c r="D580" t="s">
        <v>17</v>
      </c>
      <c r="E580" t="s">
        <v>41</v>
      </c>
      <c r="F580">
        <v>800000</v>
      </c>
      <c r="G580" t="s">
        <v>26</v>
      </c>
      <c r="H580" t="s">
        <v>81</v>
      </c>
      <c r="I580" t="s">
        <v>9</v>
      </c>
      <c r="L580" t="s">
        <v>161</v>
      </c>
      <c r="M580">
        <v>-800000</v>
      </c>
    </row>
    <row r="581" spans="1:13" x14ac:dyDescent="0.3">
      <c r="A581" s="23">
        <v>44907</v>
      </c>
      <c r="B581" t="s">
        <v>12</v>
      </c>
      <c r="C581" t="s">
        <v>132</v>
      </c>
      <c r="D581" t="s">
        <v>16</v>
      </c>
      <c r="E581" t="s">
        <v>41</v>
      </c>
      <c r="F581">
        <v>33000000</v>
      </c>
      <c r="G581" t="s">
        <v>26</v>
      </c>
      <c r="H581" t="s">
        <v>81</v>
      </c>
      <c r="I581" t="s">
        <v>9</v>
      </c>
      <c r="L581" t="s">
        <v>161</v>
      </c>
      <c r="M581">
        <v>33000000</v>
      </c>
    </row>
    <row r="582" spans="1:13" x14ac:dyDescent="0.3">
      <c r="A582" s="23">
        <v>45582</v>
      </c>
      <c r="B582" t="s">
        <v>12</v>
      </c>
      <c r="C582" t="s">
        <v>132</v>
      </c>
      <c r="D582" t="s">
        <v>16</v>
      </c>
      <c r="E582" t="s">
        <v>41</v>
      </c>
      <c r="F582">
        <v>2856672</v>
      </c>
      <c r="G582" t="s">
        <v>26</v>
      </c>
      <c r="H582" t="s">
        <v>81</v>
      </c>
      <c r="I582" t="s">
        <v>9</v>
      </c>
      <c r="L582" t="s">
        <v>161</v>
      </c>
      <c r="M582">
        <v>2856672</v>
      </c>
    </row>
    <row r="583" spans="1:13" x14ac:dyDescent="0.3">
      <c r="A583" s="23">
        <v>44908</v>
      </c>
      <c r="B583" t="s">
        <v>12</v>
      </c>
      <c r="C583" t="s">
        <v>132</v>
      </c>
      <c r="D583" t="s">
        <v>17</v>
      </c>
      <c r="E583" t="s">
        <v>41</v>
      </c>
      <c r="F583">
        <v>33000000</v>
      </c>
      <c r="G583" t="s">
        <v>26</v>
      </c>
      <c r="H583" t="s">
        <v>81</v>
      </c>
      <c r="I583" t="s">
        <v>9</v>
      </c>
      <c r="L583" t="s">
        <v>161</v>
      </c>
      <c r="M583">
        <v>-33000000</v>
      </c>
    </row>
    <row r="584" spans="1:13" x14ac:dyDescent="0.3">
      <c r="A584" s="23">
        <v>45581</v>
      </c>
      <c r="B584" t="s">
        <v>12</v>
      </c>
      <c r="C584" t="s">
        <v>132</v>
      </c>
      <c r="D584" t="s">
        <v>17</v>
      </c>
      <c r="E584" t="s">
        <v>41</v>
      </c>
      <c r="F584">
        <v>69500000</v>
      </c>
      <c r="G584" t="s">
        <v>26</v>
      </c>
      <c r="H584" t="s">
        <v>81</v>
      </c>
      <c r="I584" t="s">
        <v>9</v>
      </c>
      <c r="L584" t="s">
        <v>161</v>
      </c>
      <c r="M584">
        <v>-69500000</v>
      </c>
    </row>
    <row r="585" spans="1:13" x14ac:dyDescent="0.3">
      <c r="A585" s="23">
        <v>45580</v>
      </c>
      <c r="B585" t="s">
        <v>12</v>
      </c>
      <c r="C585" t="s">
        <v>132</v>
      </c>
      <c r="D585" t="s">
        <v>16</v>
      </c>
      <c r="E585" t="s">
        <v>41</v>
      </c>
      <c r="F585">
        <v>34800000</v>
      </c>
      <c r="G585" t="s">
        <v>26</v>
      </c>
      <c r="H585" t="s">
        <v>81</v>
      </c>
      <c r="I585" t="s">
        <v>9</v>
      </c>
      <c r="L585" t="s">
        <v>161</v>
      </c>
      <c r="M585">
        <v>34800000</v>
      </c>
    </row>
    <row r="586" spans="1:13" x14ac:dyDescent="0.3">
      <c r="A586" s="23">
        <v>44910</v>
      </c>
      <c r="B586" t="s">
        <v>12</v>
      </c>
      <c r="C586" t="s">
        <v>132</v>
      </c>
      <c r="D586" t="s">
        <v>16</v>
      </c>
      <c r="E586" t="s">
        <v>41</v>
      </c>
      <c r="F586">
        <v>99700000</v>
      </c>
      <c r="G586" t="s">
        <v>26</v>
      </c>
      <c r="H586" t="s">
        <v>81</v>
      </c>
      <c r="I586" t="s">
        <v>9</v>
      </c>
      <c r="L586" t="s">
        <v>161</v>
      </c>
      <c r="M586">
        <v>99700000</v>
      </c>
    </row>
    <row r="587" spans="1:13" x14ac:dyDescent="0.3">
      <c r="A587" s="23">
        <v>45579</v>
      </c>
      <c r="B587" t="s">
        <v>12</v>
      </c>
      <c r="C587" t="s">
        <v>132</v>
      </c>
      <c r="D587" t="s">
        <v>17</v>
      </c>
      <c r="E587" t="s">
        <v>41</v>
      </c>
      <c r="F587">
        <v>3700000</v>
      </c>
      <c r="G587" t="s">
        <v>26</v>
      </c>
      <c r="H587" t="s">
        <v>81</v>
      </c>
      <c r="I587" t="s">
        <v>9</v>
      </c>
      <c r="L587" t="s">
        <v>161</v>
      </c>
      <c r="M587">
        <v>-3700000</v>
      </c>
    </row>
    <row r="588" spans="1:13" x14ac:dyDescent="0.3">
      <c r="A588" s="23">
        <v>44911</v>
      </c>
      <c r="B588" t="s">
        <v>12</v>
      </c>
      <c r="C588" t="s">
        <v>132</v>
      </c>
      <c r="D588" t="s">
        <v>17</v>
      </c>
      <c r="E588" t="s">
        <v>41</v>
      </c>
      <c r="F588">
        <v>99700000</v>
      </c>
      <c r="G588" t="s">
        <v>26</v>
      </c>
      <c r="H588" t="s">
        <v>81</v>
      </c>
      <c r="I588" t="s">
        <v>9</v>
      </c>
      <c r="L588" t="s">
        <v>161</v>
      </c>
      <c r="M588">
        <v>-99700000</v>
      </c>
    </row>
    <row r="589" spans="1:13" x14ac:dyDescent="0.3">
      <c r="A589" s="23">
        <v>45574</v>
      </c>
      <c r="B589" t="s">
        <v>12</v>
      </c>
      <c r="C589" t="s">
        <v>132</v>
      </c>
      <c r="D589" t="s">
        <v>17</v>
      </c>
      <c r="E589" t="s">
        <v>41</v>
      </c>
      <c r="F589">
        <v>100000000</v>
      </c>
      <c r="G589" t="s">
        <v>26</v>
      </c>
      <c r="H589" t="s">
        <v>81</v>
      </c>
      <c r="I589" t="s">
        <v>9</v>
      </c>
      <c r="L589" t="s">
        <v>161</v>
      </c>
      <c r="M589">
        <v>-100000000</v>
      </c>
    </row>
    <row r="590" spans="1:13" x14ac:dyDescent="0.3">
      <c r="A590" s="23">
        <v>45573</v>
      </c>
      <c r="B590" t="s">
        <v>12</v>
      </c>
      <c r="C590" t="s">
        <v>132</v>
      </c>
      <c r="D590" t="s">
        <v>17</v>
      </c>
      <c r="E590" t="s">
        <v>41</v>
      </c>
      <c r="F590">
        <v>16000000</v>
      </c>
      <c r="G590" t="s">
        <v>26</v>
      </c>
      <c r="H590" t="s">
        <v>81</v>
      </c>
      <c r="I590" t="s">
        <v>9</v>
      </c>
      <c r="L590" t="s">
        <v>161</v>
      </c>
      <c r="M590">
        <v>-16000000</v>
      </c>
    </row>
    <row r="591" spans="1:13" x14ac:dyDescent="0.3">
      <c r="A591" s="23">
        <v>45572</v>
      </c>
      <c r="B591" t="s">
        <v>12</v>
      </c>
      <c r="C591" t="s">
        <v>132</v>
      </c>
      <c r="D591" t="s">
        <v>17</v>
      </c>
      <c r="E591" t="s">
        <v>41</v>
      </c>
      <c r="F591">
        <v>56600000</v>
      </c>
      <c r="G591" t="s">
        <v>26</v>
      </c>
      <c r="H591" t="s">
        <v>81</v>
      </c>
      <c r="I591" t="s">
        <v>9</v>
      </c>
      <c r="L591" t="s">
        <v>161</v>
      </c>
      <c r="M591">
        <v>-56600000</v>
      </c>
    </row>
    <row r="592" spans="1:13" x14ac:dyDescent="0.3">
      <c r="A592" s="23">
        <v>44916</v>
      </c>
      <c r="B592" t="s">
        <v>12</v>
      </c>
      <c r="C592" t="s">
        <v>132</v>
      </c>
      <c r="D592" t="s">
        <v>16</v>
      </c>
      <c r="E592" t="s">
        <v>41</v>
      </c>
      <c r="F592">
        <v>61100000</v>
      </c>
      <c r="G592" t="s">
        <v>26</v>
      </c>
      <c r="H592" t="s">
        <v>81</v>
      </c>
      <c r="I592" t="s">
        <v>9</v>
      </c>
      <c r="L592" t="s">
        <v>161</v>
      </c>
      <c r="M592">
        <v>61100000</v>
      </c>
    </row>
    <row r="593" spans="1:13" x14ac:dyDescent="0.3">
      <c r="A593" s="23">
        <v>45569</v>
      </c>
      <c r="B593" t="s">
        <v>12</v>
      </c>
      <c r="C593" t="s">
        <v>132</v>
      </c>
      <c r="D593" t="s">
        <v>17</v>
      </c>
      <c r="E593" t="s">
        <v>41</v>
      </c>
      <c r="F593">
        <v>206100000</v>
      </c>
      <c r="G593" t="s">
        <v>26</v>
      </c>
      <c r="H593" t="s">
        <v>81</v>
      </c>
      <c r="I593" t="s">
        <v>9</v>
      </c>
      <c r="L593" t="s">
        <v>161</v>
      </c>
      <c r="M593">
        <v>-206100000</v>
      </c>
    </row>
    <row r="594" spans="1:13" x14ac:dyDescent="0.3">
      <c r="A594" s="23">
        <v>44921</v>
      </c>
      <c r="B594" t="s">
        <v>12</v>
      </c>
      <c r="C594" t="s">
        <v>132</v>
      </c>
      <c r="D594" t="s">
        <v>16</v>
      </c>
      <c r="E594" t="s">
        <v>41</v>
      </c>
      <c r="F594">
        <v>508024.62</v>
      </c>
      <c r="G594" t="s">
        <v>26</v>
      </c>
      <c r="H594" t="s">
        <v>81</v>
      </c>
      <c r="I594" t="s">
        <v>9</v>
      </c>
      <c r="J594" t="s">
        <v>155</v>
      </c>
      <c r="L594" t="s">
        <v>161</v>
      </c>
      <c r="M594">
        <v>508024.62</v>
      </c>
    </row>
    <row r="595" spans="1:13" x14ac:dyDescent="0.3">
      <c r="A595" s="23">
        <v>45568</v>
      </c>
      <c r="B595" t="s">
        <v>12</v>
      </c>
      <c r="C595" t="s">
        <v>132</v>
      </c>
      <c r="D595" t="s">
        <v>17</v>
      </c>
      <c r="E595" t="s">
        <v>41</v>
      </c>
      <c r="F595">
        <v>231500000</v>
      </c>
      <c r="G595" t="s">
        <v>26</v>
      </c>
      <c r="H595" t="s">
        <v>81</v>
      </c>
      <c r="I595" t="s">
        <v>9</v>
      </c>
      <c r="L595" t="s">
        <v>161</v>
      </c>
      <c r="M595">
        <v>-231500000</v>
      </c>
    </row>
    <row r="596" spans="1:13" x14ac:dyDescent="0.3">
      <c r="A596" s="23">
        <v>45567</v>
      </c>
      <c r="B596" t="s">
        <v>12</v>
      </c>
      <c r="C596" t="s">
        <v>132</v>
      </c>
      <c r="D596" t="s">
        <v>16</v>
      </c>
      <c r="E596" t="s">
        <v>41</v>
      </c>
      <c r="F596">
        <v>600000000</v>
      </c>
      <c r="G596" t="s">
        <v>26</v>
      </c>
      <c r="H596" t="s">
        <v>81</v>
      </c>
      <c r="I596" t="s">
        <v>9</v>
      </c>
      <c r="L596" t="s">
        <v>161</v>
      </c>
      <c r="M596">
        <v>600000000</v>
      </c>
    </row>
    <row r="597" spans="1:13" x14ac:dyDescent="0.3">
      <c r="A597" s="23">
        <v>44922</v>
      </c>
      <c r="B597" t="s">
        <v>12</v>
      </c>
      <c r="C597" t="s">
        <v>132</v>
      </c>
      <c r="D597" t="s">
        <v>17</v>
      </c>
      <c r="E597" t="s">
        <v>41</v>
      </c>
      <c r="F597">
        <v>35000000</v>
      </c>
      <c r="G597" t="s">
        <v>26</v>
      </c>
      <c r="H597" t="s">
        <v>81</v>
      </c>
      <c r="I597" t="s">
        <v>9</v>
      </c>
      <c r="L597" t="s">
        <v>161</v>
      </c>
      <c r="M597">
        <v>-35000000</v>
      </c>
    </row>
    <row r="598" spans="1:13" x14ac:dyDescent="0.3">
      <c r="A598" s="23">
        <v>45566</v>
      </c>
      <c r="B598" t="s">
        <v>12</v>
      </c>
      <c r="C598" t="s">
        <v>132</v>
      </c>
      <c r="D598" t="s">
        <v>17</v>
      </c>
      <c r="E598" t="s">
        <v>41</v>
      </c>
      <c r="F598">
        <v>129900000</v>
      </c>
      <c r="G598" t="s">
        <v>26</v>
      </c>
      <c r="H598" t="s">
        <v>81</v>
      </c>
      <c r="I598" t="s">
        <v>9</v>
      </c>
      <c r="L598" t="s">
        <v>161</v>
      </c>
      <c r="M598">
        <v>-129900000</v>
      </c>
    </row>
    <row r="599" spans="1:13" x14ac:dyDescent="0.3">
      <c r="A599" s="23">
        <v>45566</v>
      </c>
      <c r="B599" t="s">
        <v>12</v>
      </c>
      <c r="C599" t="s">
        <v>132</v>
      </c>
      <c r="D599" t="s">
        <v>17</v>
      </c>
      <c r="E599" t="s">
        <v>41</v>
      </c>
      <c r="F599">
        <v>37000000</v>
      </c>
      <c r="G599" t="s">
        <v>26</v>
      </c>
      <c r="H599" t="s">
        <v>81</v>
      </c>
      <c r="I599" t="s">
        <v>9</v>
      </c>
      <c r="L599" t="s">
        <v>161</v>
      </c>
      <c r="M599">
        <v>-37000000</v>
      </c>
    </row>
    <row r="600" spans="1:13" x14ac:dyDescent="0.3">
      <c r="A600" s="23">
        <v>45565</v>
      </c>
      <c r="B600" t="s">
        <v>12</v>
      </c>
      <c r="C600" t="s">
        <v>132</v>
      </c>
      <c r="D600" t="s">
        <v>17</v>
      </c>
      <c r="E600" t="s">
        <v>41</v>
      </c>
      <c r="F600">
        <v>191200000</v>
      </c>
      <c r="G600" t="s">
        <v>26</v>
      </c>
      <c r="H600" t="s">
        <v>81</v>
      </c>
      <c r="I600" t="s">
        <v>9</v>
      </c>
      <c r="L600" t="s">
        <v>161</v>
      </c>
      <c r="M600">
        <v>-191200000</v>
      </c>
    </row>
    <row r="601" spans="1:13" x14ac:dyDescent="0.3">
      <c r="A601" s="23">
        <v>44925</v>
      </c>
      <c r="B601" t="s">
        <v>12</v>
      </c>
      <c r="C601" t="s">
        <v>132</v>
      </c>
      <c r="D601" t="s">
        <v>17</v>
      </c>
      <c r="E601" t="s">
        <v>41</v>
      </c>
      <c r="F601">
        <v>26608024.620000001</v>
      </c>
      <c r="G601" t="s">
        <v>26</v>
      </c>
      <c r="H601" t="s">
        <v>81</v>
      </c>
      <c r="I601" t="s">
        <v>9</v>
      </c>
      <c r="L601" t="s">
        <v>161</v>
      </c>
      <c r="M601">
        <v>-26608024.620000001</v>
      </c>
    </row>
    <row r="602" spans="1:13" x14ac:dyDescent="0.3">
      <c r="A602" s="23">
        <v>45565</v>
      </c>
      <c r="B602" t="s">
        <v>12</v>
      </c>
      <c r="C602" t="s">
        <v>132</v>
      </c>
      <c r="D602" t="s">
        <v>16</v>
      </c>
      <c r="E602" t="s">
        <v>41</v>
      </c>
      <c r="F602">
        <v>19400000</v>
      </c>
      <c r="G602" t="s">
        <v>26</v>
      </c>
      <c r="H602" t="s">
        <v>81</v>
      </c>
      <c r="I602" t="s">
        <v>9</v>
      </c>
      <c r="L602" t="s">
        <v>161</v>
      </c>
      <c r="M602">
        <v>19400000</v>
      </c>
    </row>
    <row r="603" spans="1:13" x14ac:dyDescent="0.3">
      <c r="A603" s="23">
        <v>45562</v>
      </c>
      <c r="B603" t="s">
        <v>12</v>
      </c>
      <c r="C603" t="s">
        <v>132</v>
      </c>
      <c r="D603" t="s">
        <v>17</v>
      </c>
      <c r="E603" t="s">
        <v>41</v>
      </c>
      <c r="F603">
        <v>187300000</v>
      </c>
      <c r="G603" t="s">
        <v>26</v>
      </c>
      <c r="H603" t="s">
        <v>81</v>
      </c>
      <c r="I603" t="s">
        <v>9</v>
      </c>
      <c r="L603" t="s">
        <v>161</v>
      </c>
      <c r="M603">
        <v>-187300000</v>
      </c>
    </row>
    <row r="604" spans="1:13" x14ac:dyDescent="0.3">
      <c r="A604" s="23">
        <v>44932</v>
      </c>
      <c r="B604" t="s">
        <v>12</v>
      </c>
      <c r="C604" t="s">
        <v>132</v>
      </c>
      <c r="D604" t="s">
        <v>16</v>
      </c>
      <c r="E604" t="s">
        <v>41</v>
      </c>
      <c r="F604">
        <v>233000000</v>
      </c>
      <c r="G604" t="s">
        <v>26</v>
      </c>
      <c r="H604" t="s">
        <v>81</v>
      </c>
      <c r="I604" t="s">
        <v>9</v>
      </c>
      <c r="L604" t="s">
        <v>161</v>
      </c>
      <c r="M604">
        <v>233000000</v>
      </c>
    </row>
    <row r="605" spans="1:13" x14ac:dyDescent="0.3">
      <c r="A605" s="23">
        <v>44935</v>
      </c>
      <c r="B605" t="s">
        <v>12</v>
      </c>
      <c r="C605" t="s">
        <v>132</v>
      </c>
      <c r="D605" t="s">
        <v>17</v>
      </c>
      <c r="E605" t="s">
        <v>41</v>
      </c>
      <c r="F605">
        <v>175300000</v>
      </c>
      <c r="G605" t="s">
        <v>26</v>
      </c>
      <c r="H605" t="s">
        <v>81</v>
      </c>
      <c r="I605" t="s">
        <v>9</v>
      </c>
      <c r="L605" t="s">
        <v>161</v>
      </c>
      <c r="M605">
        <v>-175300000</v>
      </c>
    </row>
    <row r="606" spans="1:13" x14ac:dyDescent="0.3">
      <c r="A606" s="23">
        <v>45561</v>
      </c>
      <c r="B606" t="s">
        <v>12</v>
      </c>
      <c r="C606" t="s">
        <v>132</v>
      </c>
      <c r="D606" t="s">
        <v>17</v>
      </c>
      <c r="E606" t="s">
        <v>41</v>
      </c>
      <c r="F606">
        <v>3200000</v>
      </c>
      <c r="G606" t="s">
        <v>26</v>
      </c>
      <c r="H606" t="s">
        <v>81</v>
      </c>
      <c r="I606" t="s">
        <v>9</v>
      </c>
      <c r="L606" t="s">
        <v>161</v>
      </c>
      <c r="M606">
        <v>-3200000</v>
      </c>
    </row>
    <row r="607" spans="1:13" x14ac:dyDescent="0.3">
      <c r="A607" s="23">
        <v>45560</v>
      </c>
      <c r="B607" t="s">
        <v>12</v>
      </c>
      <c r="C607" t="s">
        <v>132</v>
      </c>
      <c r="D607" t="s">
        <v>17</v>
      </c>
      <c r="E607" t="s">
        <v>41</v>
      </c>
      <c r="F607">
        <v>385100000</v>
      </c>
      <c r="G607" t="s">
        <v>26</v>
      </c>
      <c r="H607" t="s">
        <v>81</v>
      </c>
      <c r="I607" t="s">
        <v>9</v>
      </c>
      <c r="L607" t="s">
        <v>161</v>
      </c>
      <c r="M607">
        <v>-385100000</v>
      </c>
    </row>
    <row r="608" spans="1:13" x14ac:dyDescent="0.3">
      <c r="A608" s="23">
        <v>44937</v>
      </c>
      <c r="B608" t="s">
        <v>12</v>
      </c>
      <c r="C608" t="s">
        <v>132</v>
      </c>
      <c r="D608" t="s">
        <v>17</v>
      </c>
      <c r="E608" t="s">
        <v>41</v>
      </c>
      <c r="F608">
        <v>35400000</v>
      </c>
      <c r="G608" t="s">
        <v>26</v>
      </c>
      <c r="H608" t="s">
        <v>81</v>
      </c>
      <c r="I608" t="s">
        <v>9</v>
      </c>
      <c r="L608" t="s">
        <v>161</v>
      </c>
      <c r="M608">
        <v>-35400000</v>
      </c>
    </row>
    <row r="609" spans="1:13" x14ac:dyDescent="0.3">
      <c r="A609" s="23">
        <v>45558</v>
      </c>
      <c r="B609" t="s">
        <v>12</v>
      </c>
      <c r="C609" t="s">
        <v>132</v>
      </c>
      <c r="D609" t="s">
        <v>17</v>
      </c>
      <c r="E609" t="s">
        <v>41</v>
      </c>
      <c r="F609">
        <v>176300000</v>
      </c>
      <c r="G609" t="s">
        <v>26</v>
      </c>
      <c r="H609" t="s">
        <v>81</v>
      </c>
      <c r="I609" t="s">
        <v>9</v>
      </c>
      <c r="L609" t="s">
        <v>161</v>
      </c>
      <c r="M609">
        <v>-176300000</v>
      </c>
    </row>
    <row r="610" spans="1:13" x14ac:dyDescent="0.3">
      <c r="A610" s="23">
        <v>44938</v>
      </c>
      <c r="B610" t="s">
        <v>12</v>
      </c>
      <c r="C610" t="s">
        <v>132</v>
      </c>
      <c r="D610" t="s">
        <v>17</v>
      </c>
      <c r="E610" t="s">
        <v>41</v>
      </c>
      <c r="F610">
        <v>22300000</v>
      </c>
      <c r="G610" t="s">
        <v>26</v>
      </c>
      <c r="H610" t="s">
        <v>81</v>
      </c>
      <c r="I610" t="s">
        <v>9</v>
      </c>
      <c r="L610" t="s">
        <v>161</v>
      </c>
      <c r="M610">
        <v>-22300000</v>
      </c>
    </row>
    <row r="611" spans="1:13" x14ac:dyDescent="0.3">
      <c r="A611" s="23">
        <v>45554</v>
      </c>
      <c r="B611" t="s">
        <v>12</v>
      </c>
      <c r="C611" t="s">
        <v>132</v>
      </c>
      <c r="D611" t="s">
        <v>17</v>
      </c>
      <c r="E611" t="s">
        <v>41</v>
      </c>
      <c r="F611">
        <v>404200000</v>
      </c>
      <c r="G611" t="s">
        <v>26</v>
      </c>
      <c r="H611" t="s">
        <v>81</v>
      </c>
      <c r="I611" t="s">
        <v>9</v>
      </c>
      <c r="L611" t="s">
        <v>161</v>
      </c>
      <c r="M611">
        <v>-404200000</v>
      </c>
    </row>
    <row r="612" spans="1:13" x14ac:dyDescent="0.3">
      <c r="A612" s="23">
        <v>44942</v>
      </c>
      <c r="B612" t="s">
        <v>12</v>
      </c>
      <c r="C612" t="s">
        <v>132</v>
      </c>
      <c r="D612" t="s">
        <v>16</v>
      </c>
      <c r="E612" t="s">
        <v>41</v>
      </c>
      <c r="F612">
        <v>71200000</v>
      </c>
      <c r="G612" t="s">
        <v>26</v>
      </c>
      <c r="H612" t="s">
        <v>81</v>
      </c>
      <c r="I612" t="s">
        <v>9</v>
      </c>
      <c r="L612" t="s">
        <v>161</v>
      </c>
      <c r="M612">
        <v>71200000</v>
      </c>
    </row>
    <row r="613" spans="1:13" x14ac:dyDescent="0.3">
      <c r="A613" s="23">
        <v>45553</v>
      </c>
      <c r="B613" t="s">
        <v>12</v>
      </c>
      <c r="C613" t="s">
        <v>132</v>
      </c>
      <c r="D613" t="s">
        <v>16</v>
      </c>
      <c r="E613" t="s">
        <v>41</v>
      </c>
      <c r="F613">
        <v>1000000000</v>
      </c>
      <c r="G613" t="s">
        <v>26</v>
      </c>
      <c r="H613" t="s">
        <v>81</v>
      </c>
      <c r="I613" t="s">
        <v>9</v>
      </c>
      <c r="L613" t="s">
        <v>161</v>
      </c>
      <c r="M613">
        <v>1000000000</v>
      </c>
    </row>
    <row r="614" spans="1:13" x14ac:dyDescent="0.3">
      <c r="A614" s="23">
        <v>44943</v>
      </c>
      <c r="B614" t="s">
        <v>12</v>
      </c>
      <c r="C614" t="s">
        <v>132</v>
      </c>
      <c r="D614" t="s">
        <v>16</v>
      </c>
      <c r="E614" t="s">
        <v>41</v>
      </c>
      <c r="F614">
        <v>21000000</v>
      </c>
      <c r="G614" t="s">
        <v>26</v>
      </c>
      <c r="H614" t="s">
        <v>81</v>
      </c>
      <c r="I614" t="s">
        <v>9</v>
      </c>
      <c r="L614" t="s">
        <v>161</v>
      </c>
      <c r="M614">
        <v>21000000</v>
      </c>
    </row>
    <row r="615" spans="1:13" x14ac:dyDescent="0.3">
      <c r="A615" s="23">
        <v>45552</v>
      </c>
      <c r="B615" t="s">
        <v>12</v>
      </c>
      <c r="C615" t="s">
        <v>132</v>
      </c>
      <c r="D615" t="s">
        <v>17</v>
      </c>
      <c r="E615" t="s">
        <v>41</v>
      </c>
      <c r="F615">
        <v>63400000</v>
      </c>
      <c r="G615" t="s">
        <v>26</v>
      </c>
      <c r="H615" t="s">
        <v>81</v>
      </c>
      <c r="I615" t="s">
        <v>9</v>
      </c>
      <c r="L615" t="s">
        <v>161</v>
      </c>
      <c r="M615">
        <v>-63400000</v>
      </c>
    </row>
    <row r="616" spans="1:13" x14ac:dyDescent="0.3">
      <c r="A616" s="23">
        <v>44944</v>
      </c>
      <c r="B616" t="s">
        <v>12</v>
      </c>
      <c r="C616" t="s">
        <v>132</v>
      </c>
      <c r="D616" t="s">
        <v>17</v>
      </c>
      <c r="E616" t="s">
        <v>41</v>
      </c>
      <c r="F616">
        <v>53200000</v>
      </c>
      <c r="G616" t="s">
        <v>26</v>
      </c>
      <c r="H616" t="s">
        <v>81</v>
      </c>
      <c r="I616" t="s">
        <v>9</v>
      </c>
      <c r="L616" t="s">
        <v>161</v>
      </c>
      <c r="M616">
        <v>-53200000</v>
      </c>
    </row>
    <row r="617" spans="1:13" x14ac:dyDescent="0.3">
      <c r="A617" s="23">
        <v>45551</v>
      </c>
      <c r="B617" t="s">
        <v>12</v>
      </c>
      <c r="C617" t="s">
        <v>132</v>
      </c>
      <c r="D617" t="s">
        <v>17</v>
      </c>
      <c r="E617" t="s">
        <v>41</v>
      </c>
      <c r="F617">
        <v>106100000</v>
      </c>
      <c r="G617" t="s">
        <v>26</v>
      </c>
      <c r="H617" t="s">
        <v>81</v>
      </c>
      <c r="I617" t="s">
        <v>9</v>
      </c>
      <c r="L617" t="s">
        <v>161</v>
      </c>
      <c r="M617">
        <v>-106100000</v>
      </c>
    </row>
    <row r="618" spans="1:13" x14ac:dyDescent="0.3">
      <c r="A618" s="23">
        <v>45548</v>
      </c>
      <c r="B618" t="s">
        <v>12</v>
      </c>
      <c r="C618" t="s">
        <v>132</v>
      </c>
      <c r="D618" t="s">
        <v>17</v>
      </c>
      <c r="E618" t="s">
        <v>41</v>
      </c>
      <c r="F618">
        <v>295500000</v>
      </c>
      <c r="G618" t="s">
        <v>26</v>
      </c>
      <c r="H618" t="s">
        <v>81</v>
      </c>
      <c r="I618" t="s">
        <v>9</v>
      </c>
      <c r="L618" t="s">
        <v>161</v>
      </c>
      <c r="M618">
        <v>-295500000</v>
      </c>
    </row>
    <row r="619" spans="1:13" x14ac:dyDescent="0.3">
      <c r="A619" s="23">
        <v>44945</v>
      </c>
      <c r="B619" t="s">
        <v>12</v>
      </c>
      <c r="C619" t="s">
        <v>132</v>
      </c>
      <c r="D619" t="s">
        <v>17</v>
      </c>
      <c r="E619" t="s">
        <v>41</v>
      </c>
      <c r="F619">
        <v>35000000</v>
      </c>
      <c r="G619" t="s">
        <v>26</v>
      </c>
      <c r="H619" t="s">
        <v>81</v>
      </c>
      <c r="I619" t="s">
        <v>9</v>
      </c>
      <c r="L619" t="s">
        <v>161</v>
      </c>
      <c r="M619">
        <v>-35000000</v>
      </c>
    </row>
    <row r="620" spans="1:13" x14ac:dyDescent="0.3">
      <c r="A620" s="23">
        <v>45547</v>
      </c>
      <c r="B620" t="s">
        <v>12</v>
      </c>
      <c r="C620" t="s">
        <v>132</v>
      </c>
      <c r="D620" t="s">
        <v>16</v>
      </c>
      <c r="E620" t="s">
        <v>41</v>
      </c>
      <c r="F620">
        <v>524400000</v>
      </c>
      <c r="G620" t="s">
        <v>26</v>
      </c>
      <c r="H620" t="s">
        <v>81</v>
      </c>
      <c r="I620" t="s">
        <v>9</v>
      </c>
      <c r="L620" t="s">
        <v>161</v>
      </c>
      <c r="M620">
        <v>524400000</v>
      </c>
    </row>
    <row r="621" spans="1:13" x14ac:dyDescent="0.3">
      <c r="A621" s="23">
        <v>45546</v>
      </c>
      <c r="B621" t="s">
        <v>12</v>
      </c>
      <c r="C621" t="s">
        <v>132</v>
      </c>
      <c r="D621" t="s">
        <v>17</v>
      </c>
      <c r="E621" t="s">
        <v>41</v>
      </c>
      <c r="F621">
        <v>101200000</v>
      </c>
      <c r="G621" t="s">
        <v>26</v>
      </c>
      <c r="H621" t="s">
        <v>81</v>
      </c>
      <c r="I621" t="s">
        <v>9</v>
      </c>
      <c r="L621" t="s">
        <v>161</v>
      </c>
      <c r="M621">
        <v>-101200000</v>
      </c>
    </row>
    <row r="622" spans="1:13" x14ac:dyDescent="0.3">
      <c r="A622" s="23">
        <v>45545</v>
      </c>
      <c r="B622" t="s">
        <v>12</v>
      </c>
      <c r="C622" t="s">
        <v>132</v>
      </c>
      <c r="D622" t="s">
        <v>16</v>
      </c>
      <c r="E622" t="s">
        <v>41</v>
      </c>
      <c r="F622">
        <v>78300000</v>
      </c>
      <c r="G622" t="s">
        <v>26</v>
      </c>
      <c r="H622" t="s">
        <v>81</v>
      </c>
      <c r="I622" t="s">
        <v>9</v>
      </c>
      <c r="L622" t="s">
        <v>161</v>
      </c>
      <c r="M622">
        <v>78300000</v>
      </c>
    </row>
    <row r="623" spans="1:13" x14ac:dyDescent="0.3">
      <c r="A623" s="23">
        <v>44950</v>
      </c>
      <c r="B623" t="s">
        <v>12</v>
      </c>
      <c r="C623" t="s">
        <v>132</v>
      </c>
      <c r="D623" t="s">
        <v>16</v>
      </c>
      <c r="E623" t="s">
        <v>41</v>
      </c>
      <c r="F623">
        <v>1300000</v>
      </c>
      <c r="G623" t="s">
        <v>26</v>
      </c>
      <c r="H623" t="s">
        <v>81</v>
      </c>
      <c r="I623" t="s">
        <v>9</v>
      </c>
      <c r="L623" t="s">
        <v>161</v>
      </c>
      <c r="M623">
        <v>1300000</v>
      </c>
    </row>
    <row r="624" spans="1:13" x14ac:dyDescent="0.3">
      <c r="A624" s="23">
        <v>44951</v>
      </c>
      <c r="B624" t="s">
        <v>12</v>
      </c>
      <c r="C624" t="s">
        <v>132</v>
      </c>
      <c r="D624" t="s">
        <v>16</v>
      </c>
      <c r="E624" t="s">
        <v>41</v>
      </c>
      <c r="F624">
        <v>253000000</v>
      </c>
      <c r="G624" t="s">
        <v>26</v>
      </c>
      <c r="H624" t="s">
        <v>81</v>
      </c>
      <c r="I624" t="s">
        <v>9</v>
      </c>
      <c r="L624" t="s">
        <v>161</v>
      </c>
      <c r="M624">
        <v>253000000</v>
      </c>
    </row>
    <row r="625" spans="1:13" x14ac:dyDescent="0.3">
      <c r="A625" s="23">
        <v>45541</v>
      </c>
      <c r="B625" t="s">
        <v>12</v>
      </c>
      <c r="C625" t="s">
        <v>132</v>
      </c>
      <c r="D625" t="s">
        <v>17</v>
      </c>
      <c r="E625" t="s">
        <v>41</v>
      </c>
      <c r="F625">
        <v>188500000</v>
      </c>
      <c r="G625" t="s">
        <v>26</v>
      </c>
      <c r="H625" t="s">
        <v>81</v>
      </c>
      <c r="I625" t="s">
        <v>9</v>
      </c>
      <c r="L625" t="s">
        <v>161</v>
      </c>
      <c r="M625">
        <v>-188500000</v>
      </c>
    </row>
    <row r="626" spans="1:13" x14ac:dyDescent="0.3">
      <c r="A626" s="23">
        <v>44952</v>
      </c>
      <c r="B626" t="s">
        <v>12</v>
      </c>
      <c r="C626" t="s">
        <v>132</v>
      </c>
      <c r="D626" t="s">
        <v>17</v>
      </c>
      <c r="E626" t="s">
        <v>41</v>
      </c>
      <c r="F626">
        <v>116200000</v>
      </c>
      <c r="G626" t="s">
        <v>26</v>
      </c>
      <c r="H626" t="s">
        <v>81</v>
      </c>
      <c r="I626" t="s">
        <v>9</v>
      </c>
      <c r="L626" t="s">
        <v>161</v>
      </c>
      <c r="M626">
        <v>-116200000</v>
      </c>
    </row>
    <row r="627" spans="1:13" x14ac:dyDescent="0.3">
      <c r="A627" s="23">
        <v>44953</v>
      </c>
      <c r="B627" t="s">
        <v>12</v>
      </c>
      <c r="C627" t="s">
        <v>132</v>
      </c>
      <c r="D627" t="s">
        <v>17</v>
      </c>
      <c r="E627" t="s">
        <v>41</v>
      </c>
      <c r="F627">
        <v>41100000</v>
      </c>
      <c r="G627" t="s">
        <v>26</v>
      </c>
      <c r="H627" t="s">
        <v>81</v>
      </c>
      <c r="I627" t="s">
        <v>9</v>
      </c>
      <c r="L627" t="s">
        <v>161</v>
      </c>
      <c r="M627">
        <v>-41100000</v>
      </c>
    </row>
    <row r="628" spans="1:13" x14ac:dyDescent="0.3">
      <c r="A628" s="23">
        <v>45540</v>
      </c>
      <c r="B628" t="s">
        <v>12</v>
      </c>
      <c r="C628" t="s">
        <v>132</v>
      </c>
      <c r="D628" t="s">
        <v>17</v>
      </c>
      <c r="E628" t="s">
        <v>41</v>
      </c>
      <c r="F628">
        <v>57000000</v>
      </c>
      <c r="G628" t="s">
        <v>26</v>
      </c>
      <c r="H628" t="s">
        <v>81</v>
      </c>
      <c r="I628" t="s">
        <v>9</v>
      </c>
      <c r="L628" t="s">
        <v>161</v>
      </c>
      <c r="M628">
        <v>-57000000</v>
      </c>
    </row>
    <row r="629" spans="1:13" x14ac:dyDescent="0.3">
      <c r="A629" s="23">
        <v>45539</v>
      </c>
      <c r="B629" t="s">
        <v>12</v>
      </c>
      <c r="C629" t="s">
        <v>132</v>
      </c>
      <c r="D629" t="s">
        <v>17</v>
      </c>
      <c r="E629" t="s">
        <v>41</v>
      </c>
      <c r="F629">
        <v>176000000</v>
      </c>
      <c r="G629" t="s">
        <v>26</v>
      </c>
      <c r="H629" t="s">
        <v>81</v>
      </c>
      <c r="I629" t="s">
        <v>9</v>
      </c>
      <c r="L629" t="s">
        <v>161</v>
      </c>
      <c r="M629">
        <v>-176000000</v>
      </c>
    </row>
    <row r="630" spans="1:13" x14ac:dyDescent="0.3">
      <c r="A630" s="23">
        <v>44959</v>
      </c>
      <c r="B630" t="s">
        <v>12</v>
      </c>
      <c r="C630" t="s">
        <v>132</v>
      </c>
      <c r="D630" t="s">
        <v>17</v>
      </c>
      <c r="E630" t="s">
        <v>41</v>
      </c>
      <c r="F630">
        <v>7500000</v>
      </c>
      <c r="G630" t="s">
        <v>26</v>
      </c>
      <c r="H630" t="s">
        <v>81</v>
      </c>
      <c r="I630" t="s">
        <v>9</v>
      </c>
      <c r="L630" t="s">
        <v>161</v>
      </c>
      <c r="M630">
        <v>-7500000</v>
      </c>
    </row>
    <row r="631" spans="1:13" x14ac:dyDescent="0.3">
      <c r="A631" s="23">
        <v>44960</v>
      </c>
      <c r="B631" t="s">
        <v>12</v>
      </c>
      <c r="C631" t="s">
        <v>132</v>
      </c>
      <c r="D631" t="s">
        <v>17</v>
      </c>
      <c r="E631" t="s">
        <v>41</v>
      </c>
      <c r="F631">
        <v>93499999.99999994</v>
      </c>
      <c r="G631" t="s">
        <v>26</v>
      </c>
      <c r="H631" t="s">
        <v>81</v>
      </c>
      <c r="I631" t="s">
        <v>9</v>
      </c>
      <c r="L631" t="s">
        <v>161</v>
      </c>
      <c r="M631">
        <v>-93500000</v>
      </c>
    </row>
    <row r="632" spans="1:13" x14ac:dyDescent="0.3">
      <c r="A632" s="23">
        <v>45538</v>
      </c>
      <c r="B632" t="s">
        <v>12</v>
      </c>
      <c r="C632" t="s">
        <v>132</v>
      </c>
      <c r="D632" t="s">
        <v>16</v>
      </c>
      <c r="E632" t="s">
        <v>41</v>
      </c>
      <c r="F632">
        <v>17039000</v>
      </c>
      <c r="G632" t="s">
        <v>26</v>
      </c>
      <c r="H632" t="s">
        <v>81</v>
      </c>
      <c r="I632" t="s">
        <v>9</v>
      </c>
      <c r="L632" t="s">
        <v>161</v>
      </c>
      <c r="M632">
        <v>17039000</v>
      </c>
    </row>
    <row r="633" spans="1:13" x14ac:dyDescent="0.3">
      <c r="A633" s="23">
        <v>45538</v>
      </c>
      <c r="B633" t="s">
        <v>12</v>
      </c>
      <c r="C633" t="s">
        <v>132</v>
      </c>
      <c r="D633" t="s">
        <v>16</v>
      </c>
      <c r="E633" t="s">
        <v>41</v>
      </c>
      <c r="F633">
        <v>887000000</v>
      </c>
      <c r="G633" t="s">
        <v>26</v>
      </c>
      <c r="H633" t="s">
        <v>81</v>
      </c>
      <c r="I633" t="s">
        <v>9</v>
      </c>
      <c r="L633" t="s">
        <v>161</v>
      </c>
      <c r="M633">
        <v>887000000</v>
      </c>
    </row>
    <row r="634" spans="1:13" x14ac:dyDescent="0.3">
      <c r="A634" s="23">
        <v>45537</v>
      </c>
      <c r="B634" t="s">
        <v>12</v>
      </c>
      <c r="C634" t="s">
        <v>132</v>
      </c>
      <c r="D634" t="s">
        <v>17</v>
      </c>
      <c r="E634" t="s">
        <v>41</v>
      </c>
      <c r="F634">
        <v>82100000</v>
      </c>
      <c r="G634" t="s">
        <v>26</v>
      </c>
      <c r="H634" t="s">
        <v>81</v>
      </c>
      <c r="I634" t="s">
        <v>9</v>
      </c>
      <c r="L634" t="s">
        <v>161</v>
      </c>
      <c r="M634">
        <v>-82100000</v>
      </c>
    </row>
    <row r="635" spans="1:13" x14ac:dyDescent="0.3">
      <c r="A635" s="23">
        <v>45534</v>
      </c>
      <c r="B635" t="s">
        <v>12</v>
      </c>
      <c r="C635" t="s">
        <v>132</v>
      </c>
      <c r="D635" t="s">
        <v>17</v>
      </c>
      <c r="E635" t="s">
        <v>41</v>
      </c>
      <c r="F635">
        <v>379400000</v>
      </c>
      <c r="G635" t="s">
        <v>26</v>
      </c>
      <c r="H635" t="s">
        <v>81</v>
      </c>
      <c r="I635" t="s">
        <v>9</v>
      </c>
      <c r="L635" t="s">
        <v>161</v>
      </c>
      <c r="M635">
        <v>-379400000</v>
      </c>
    </row>
    <row r="636" spans="1:13" x14ac:dyDescent="0.3">
      <c r="A636" s="23">
        <v>45533</v>
      </c>
      <c r="B636" t="s">
        <v>12</v>
      </c>
      <c r="C636" t="s">
        <v>132</v>
      </c>
      <c r="D636" t="s">
        <v>17</v>
      </c>
      <c r="E636" t="s">
        <v>41</v>
      </c>
      <c r="F636">
        <v>214500000</v>
      </c>
      <c r="G636" t="s">
        <v>26</v>
      </c>
      <c r="H636" t="s">
        <v>81</v>
      </c>
      <c r="I636" t="s">
        <v>9</v>
      </c>
      <c r="L636" t="s">
        <v>161</v>
      </c>
      <c r="M636">
        <v>-214500000</v>
      </c>
    </row>
    <row r="637" spans="1:13" x14ac:dyDescent="0.3">
      <c r="A637" s="23">
        <v>44973</v>
      </c>
      <c r="B637" t="s">
        <v>12</v>
      </c>
      <c r="C637" t="s">
        <v>132</v>
      </c>
      <c r="D637" t="s">
        <v>16</v>
      </c>
      <c r="E637" t="s">
        <v>41</v>
      </c>
      <c r="F637">
        <v>60400000</v>
      </c>
      <c r="G637" t="s">
        <v>26</v>
      </c>
      <c r="H637" t="s">
        <v>81</v>
      </c>
      <c r="I637" t="s">
        <v>9</v>
      </c>
      <c r="L637" t="s">
        <v>161</v>
      </c>
      <c r="M637">
        <v>60400000</v>
      </c>
    </row>
    <row r="638" spans="1:13" x14ac:dyDescent="0.3">
      <c r="A638" s="23">
        <v>45532</v>
      </c>
      <c r="B638" t="s">
        <v>12</v>
      </c>
      <c r="C638" t="s">
        <v>132</v>
      </c>
      <c r="D638" t="s">
        <v>16</v>
      </c>
      <c r="E638" t="s">
        <v>41</v>
      </c>
      <c r="F638">
        <v>704000000</v>
      </c>
      <c r="G638" t="s">
        <v>26</v>
      </c>
      <c r="H638" t="s">
        <v>81</v>
      </c>
      <c r="I638" t="s">
        <v>9</v>
      </c>
      <c r="L638" t="s">
        <v>161</v>
      </c>
      <c r="M638">
        <v>704000000</v>
      </c>
    </row>
    <row r="639" spans="1:13" x14ac:dyDescent="0.3">
      <c r="A639" s="23">
        <v>44979</v>
      </c>
      <c r="B639" t="s">
        <v>12</v>
      </c>
      <c r="C639" t="s">
        <v>132</v>
      </c>
      <c r="D639" t="s">
        <v>17</v>
      </c>
      <c r="E639" t="s">
        <v>41</v>
      </c>
      <c r="F639">
        <v>60400000.00000006</v>
      </c>
      <c r="G639" t="s">
        <v>26</v>
      </c>
      <c r="H639" t="s">
        <v>81</v>
      </c>
      <c r="I639" t="s">
        <v>9</v>
      </c>
      <c r="L639" t="s">
        <v>161</v>
      </c>
      <c r="M639">
        <v>-60400000</v>
      </c>
    </row>
    <row r="640" spans="1:13" x14ac:dyDescent="0.3">
      <c r="A640" s="23">
        <v>44981</v>
      </c>
      <c r="B640" t="s">
        <v>12</v>
      </c>
      <c r="C640" t="s">
        <v>132</v>
      </c>
      <c r="D640" t="s">
        <v>17</v>
      </c>
      <c r="E640" t="s">
        <v>41</v>
      </c>
      <c r="F640">
        <v>9800000</v>
      </c>
      <c r="G640" t="s">
        <v>26</v>
      </c>
      <c r="H640" t="s">
        <v>81</v>
      </c>
      <c r="I640" t="s">
        <v>9</v>
      </c>
      <c r="L640" t="s">
        <v>161</v>
      </c>
      <c r="M640">
        <v>-9800000</v>
      </c>
    </row>
    <row r="641" spans="1:13" x14ac:dyDescent="0.3">
      <c r="A641" s="23">
        <v>44984</v>
      </c>
      <c r="B641" t="s">
        <v>12</v>
      </c>
      <c r="C641" t="s">
        <v>132</v>
      </c>
      <c r="D641" t="s">
        <v>17</v>
      </c>
      <c r="E641" t="s">
        <v>41</v>
      </c>
      <c r="F641">
        <v>61700000</v>
      </c>
      <c r="G641" t="s">
        <v>26</v>
      </c>
      <c r="H641" t="s">
        <v>81</v>
      </c>
      <c r="I641" t="s">
        <v>9</v>
      </c>
      <c r="L641" t="s">
        <v>161</v>
      </c>
      <c r="M641">
        <v>-61700000</v>
      </c>
    </row>
    <row r="642" spans="1:13" x14ac:dyDescent="0.3">
      <c r="A642" s="23">
        <v>44985</v>
      </c>
      <c r="B642" t="s">
        <v>12</v>
      </c>
      <c r="C642" t="s">
        <v>132</v>
      </c>
      <c r="D642" t="s">
        <v>16</v>
      </c>
      <c r="E642" t="s">
        <v>41</v>
      </c>
      <c r="F642">
        <v>150000000</v>
      </c>
      <c r="G642" t="s">
        <v>26</v>
      </c>
      <c r="H642" t="s">
        <v>81</v>
      </c>
      <c r="I642" t="s">
        <v>9</v>
      </c>
      <c r="L642" t="s">
        <v>161</v>
      </c>
      <c r="M642">
        <v>150000000</v>
      </c>
    </row>
    <row r="643" spans="1:13" x14ac:dyDescent="0.3">
      <c r="A643" s="23">
        <v>44986</v>
      </c>
      <c r="B643" t="s">
        <v>12</v>
      </c>
      <c r="C643" t="s">
        <v>132</v>
      </c>
      <c r="D643" t="s">
        <v>16</v>
      </c>
      <c r="E643" t="s">
        <v>41</v>
      </c>
      <c r="F643">
        <v>24700000</v>
      </c>
      <c r="G643" t="s">
        <v>26</v>
      </c>
      <c r="H643" t="s">
        <v>81</v>
      </c>
      <c r="I643" t="s">
        <v>9</v>
      </c>
      <c r="L643" t="s">
        <v>161</v>
      </c>
      <c r="M643">
        <v>24700000</v>
      </c>
    </row>
    <row r="644" spans="1:13" x14ac:dyDescent="0.3">
      <c r="A644" s="23">
        <v>44987</v>
      </c>
      <c r="B644" t="s">
        <v>12</v>
      </c>
      <c r="C644" t="s">
        <v>132</v>
      </c>
      <c r="D644" t="s">
        <v>17</v>
      </c>
      <c r="E644" t="s">
        <v>41</v>
      </c>
      <c r="F644">
        <v>55100000</v>
      </c>
      <c r="G644" t="s">
        <v>26</v>
      </c>
      <c r="H644" t="s">
        <v>81</v>
      </c>
      <c r="I644" t="s">
        <v>9</v>
      </c>
      <c r="L644" t="s">
        <v>161</v>
      </c>
      <c r="M644">
        <v>-55100000</v>
      </c>
    </row>
    <row r="645" spans="1:13" x14ac:dyDescent="0.3">
      <c r="A645" s="23">
        <v>45531</v>
      </c>
      <c r="B645" t="s">
        <v>12</v>
      </c>
      <c r="C645" t="s">
        <v>132</v>
      </c>
      <c r="D645" t="s">
        <v>17</v>
      </c>
      <c r="E645" t="s">
        <v>41</v>
      </c>
      <c r="F645">
        <v>65400000</v>
      </c>
      <c r="G645" t="s">
        <v>26</v>
      </c>
      <c r="H645" t="s">
        <v>81</v>
      </c>
      <c r="I645" t="s">
        <v>9</v>
      </c>
      <c r="L645" t="s">
        <v>161</v>
      </c>
      <c r="M645">
        <v>-65400000</v>
      </c>
    </row>
    <row r="646" spans="1:13" x14ac:dyDescent="0.3">
      <c r="A646" s="23">
        <v>44988</v>
      </c>
      <c r="B646" t="s">
        <v>12</v>
      </c>
      <c r="C646" t="s">
        <v>132</v>
      </c>
      <c r="D646" t="s">
        <v>17</v>
      </c>
      <c r="E646" t="s">
        <v>41</v>
      </c>
      <c r="F646">
        <v>20200000</v>
      </c>
      <c r="G646" t="s">
        <v>26</v>
      </c>
      <c r="H646" t="s">
        <v>81</v>
      </c>
      <c r="I646" t="s">
        <v>9</v>
      </c>
      <c r="L646" t="s">
        <v>161</v>
      </c>
      <c r="M646">
        <v>-20200000</v>
      </c>
    </row>
    <row r="647" spans="1:13" x14ac:dyDescent="0.3">
      <c r="A647" s="23">
        <v>45530</v>
      </c>
      <c r="B647" t="s">
        <v>12</v>
      </c>
      <c r="C647" t="s">
        <v>132</v>
      </c>
      <c r="D647" t="s">
        <v>17</v>
      </c>
      <c r="E647" t="s">
        <v>41</v>
      </c>
      <c r="F647">
        <v>33000000</v>
      </c>
      <c r="G647" t="s">
        <v>26</v>
      </c>
      <c r="H647" t="s">
        <v>81</v>
      </c>
      <c r="I647" t="s">
        <v>9</v>
      </c>
      <c r="L647" t="s">
        <v>161</v>
      </c>
      <c r="M647">
        <v>-33000000</v>
      </c>
    </row>
    <row r="648" spans="1:13" x14ac:dyDescent="0.3">
      <c r="A648" s="23">
        <v>45527</v>
      </c>
      <c r="B648" t="s">
        <v>12</v>
      </c>
      <c r="C648" t="s">
        <v>132</v>
      </c>
      <c r="D648" t="s">
        <v>17</v>
      </c>
      <c r="E648" t="s">
        <v>41</v>
      </c>
      <c r="F648">
        <v>40800000</v>
      </c>
      <c r="G648" t="s">
        <v>26</v>
      </c>
      <c r="H648" t="s">
        <v>81</v>
      </c>
      <c r="I648" t="s">
        <v>9</v>
      </c>
      <c r="L648" t="s">
        <v>161</v>
      </c>
      <c r="M648">
        <v>-40800000</v>
      </c>
    </row>
    <row r="649" spans="1:13" x14ac:dyDescent="0.3">
      <c r="A649" s="23">
        <v>44992</v>
      </c>
      <c r="B649" t="s">
        <v>12</v>
      </c>
      <c r="C649" t="s">
        <v>132</v>
      </c>
      <c r="D649" t="s">
        <v>16</v>
      </c>
      <c r="E649" t="s">
        <v>41</v>
      </c>
      <c r="F649">
        <v>300000000</v>
      </c>
      <c r="G649" t="s">
        <v>26</v>
      </c>
      <c r="H649" t="s">
        <v>81</v>
      </c>
      <c r="I649" t="s">
        <v>9</v>
      </c>
      <c r="L649" t="s">
        <v>161</v>
      </c>
      <c r="M649">
        <v>300000000</v>
      </c>
    </row>
    <row r="650" spans="1:13" x14ac:dyDescent="0.3">
      <c r="A650" s="23">
        <v>44993</v>
      </c>
      <c r="B650" t="s">
        <v>12</v>
      </c>
      <c r="C650" t="s">
        <v>132</v>
      </c>
      <c r="D650" t="s">
        <v>16</v>
      </c>
      <c r="E650" t="s">
        <v>41</v>
      </c>
      <c r="F650">
        <v>145500000</v>
      </c>
      <c r="G650" t="s">
        <v>26</v>
      </c>
      <c r="H650" t="s">
        <v>81</v>
      </c>
      <c r="I650" t="s">
        <v>9</v>
      </c>
      <c r="L650" t="s">
        <v>161</v>
      </c>
      <c r="M650">
        <v>145500000</v>
      </c>
    </row>
    <row r="651" spans="1:13" x14ac:dyDescent="0.3">
      <c r="A651" s="23">
        <v>45525</v>
      </c>
      <c r="B651" t="s">
        <v>12</v>
      </c>
      <c r="C651" t="s">
        <v>132</v>
      </c>
      <c r="D651" t="s">
        <v>17</v>
      </c>
      <c r="E651" t="s">
        <v>41</v>
      </c>
      <c r="F651">
        <v>256600000</v>
      </c>
      <c r="G651" t="s">
        <v>26</v>
      </c>
      <c r="H651" t="s">
        <v>81</v>
      </c>
      <c r="I651" t="s">
        <v>9</v>
      </c>
      <c r="L651" t="s">
        <v>161</v>
      </c>
      <c r="M651">
        <v>-256600000</v>
      </c>
    </row>
    <row r="652" spans="1:13" x14ac:dyDescent="0.3">
      <c r="A652" s="23">
        <v>44995</v>
      </c>
      <c r="B652" t="s">
        <v>12</v>
      </c>
      <c r="C652" t="s">
        <v>132</v>
      </c>
      <c r="D652" t="s">
        <v>16</v>
      </c>
      <c r="E652" t="s">
        <v>41</v>
      </c>
      <c r="F652">
        <v>3834290.19000006</v>
      </c>
      <c r="G652" t="s">
        <v>26</v>
      </c>
      <c r="H652" t="s">
        <v>81</v>
      </c>
      <c r="I652" t="s">
        <v>9</v>
      </c>
      <c r="L652" t="s">
        <v>161</v>
      </c>
      <c r="M652">
        <v>3834290.19</v>
      </c>
    </row>
    <row r="653" spans="1:13" x14ac:dyDescent="0.3">
      <c r="A653" s="23">
        <v>44995</v>
      </c>
      <c r="B653" t="s">
        <v>12</v>
      </c>
      <c r="C653" t="s">
        <v>132</v>
      </c>
      <c r="D653" t="s">
        <v>17</v>
      </c>
      <c r="E653" t="s">
        <v>41</v>
      </c>
      <c r="F653">
        <v>552900000</v>
      </c>
      <c r="G653" t="s">
        <v>26</v>
      </c>
      <c r="H653" t="s">
        <v>81</v>
      </c>
      <c r="I653" t="s">
        <v>9</v>
      </c>
      <c r="L653" t="s">
        <v>161</v>
      </c>
      <c r="M653">
        <v>-552900000</v>
      </c>
    </row>
    <row r="654" spans="1:13" x14ac:dyDescent="0.3">
      <c r="A654" s="23">
        <v>45524</v>
      </c>
      <c r="B654" t="s">
        <v>12</v>
      </c>
      <c r="C654" t="s">
        <v>132</v>
      </c>
      <c r="D654" t="s">
        <v>17</v>
      </c>
      <c r="E654" t="s">
        <v>41</v>
      </c>
      <c r="F654">
        <v>157300000</v>
      </c>
      <c r="G654" t="s">
        <v>26</v>
      </c>
      <c r="H654" t="s">
        <v>81</v>
      </c>
      <c r="I654" t="s">
        <v>9</v>
      </c>
      <c r="L654" t="s">
        <v>161</v>
      </c>
      <c r="M654">
        <v>-157300000</v>
      </c>
    </row>
    <row r="655" spans="1:13" x14ac:dyDescent="0.3">
      <c r="A655" s="23">
        <v>44999</v>
      </c>
      <c r="B655" t="s">
        <v>12</v>
      </c>
      <c r="C655" t="s">
        <v>132</v>
      </c>
      <c r="D655" t="s">
        <v>16</v>
      </c>
      <c r="E655" t="s">
        <v>41</v>
      </c>
      <c r="F655">
        <v>200000000</v>
      </c>
      <c r="G655" t="s">
        <v>26</v>
      </c>
      <c r="H655" t="s">
        <v>81</v>
      </c>
      <c r="I655" t="s">
        <v>9</v>
      </c>
      <c r="L655" t="s">
        <v>161</v>
      </c>
      <c r="M655">
        <v>200000000</v>
      </c>
    </row>
    <row r="656" spans="1:13" x14ac:dyDescent="0.3">
      <c r="A656" s="23">
        <v>45520</v>
      </c>
      <c r="B656" t="s">
        <v>12</v>
      </c>
      <c r="C656" t="s">
        <v>132</v>
      </c>
      <c r="D656" t="s">
        <v>17</v>
      </c>
      <c r="E656" t="s">
        <v>41</v>
      </c>
      <c r="F656">
        <v>101200000</v>
      </c>
      <c r="G656" t="s">
        <v>26</v>
      </c>
      <c r="H656" t="s">
        <v>81</v>
      </c>
      <c r="I656" t="s">
        <v>9</v>
      </c>
      <c r="L656" t="s">
        <v>161</v>
      </c>
      <c r="M656">
        <v>-101200000</v>
      </c>
    </row>
    <row r="657" spans="1:13" x14ac:dyDescent="0.3">
      <c r="A657" s="23">
        <v>45000</v>
      </c>
      <c r="B657" t="s">
        <v>12</v>
      </c>
      <c r="C657" t="s">
        <v>132</v>
      </c>
      <c r="D657" t="s">
        <v>17</v>
      </c>
      <c r="E657" t="s">
        <v>41</v>
      </c>
      <c r="F657">
        <v>42200000</v>
      </c>
      <c r="G657" t="s">
        <v>26</v>
      </c>
      <c r="H657" t="s">
        <v>81</v>
      </c>
      <c r="I657" t="s">
        <v>9</v>
      </c>
      <c r="L657" t="s">
        <v>161</v>
      </c>
      <c r="M657">
        <v>-42200000</v>
      </c>
    </row>
    <row r="658" spans="1:13" x14ac:dyDescent="0.3">
      <c r="A658" s="23">
        <v>45519</v>
      </c>
      <c r="B658" t="s">
        <v>12</v>
      </c>
      <c r="C658" t="s">
        <v>132</v>
      </c>
      <c r="D658" t="s">
        <v>17</v>
      </c>
      <c r="E658" t="s">
        <v>41</v>
      </c>
      <c r="F658">
        <v>284900000</v>
      </c>
      <c r="G658" t="s">
        <v>26</v>
      </c>
      <c r="H658" t="s">
        <v>81</v>
      </c>
      <c r="I658" t="s">
        <v>9</v>
      </c>
      <c r="L658" t="s">
        <v>161</v>
      </c>
      <c r="M658">
        <v>-284900000</v>
      </c>
    </row>
    <row r="659" spans="1:13" x14ac:dyDescent="0.3">
      <c r="A659" s="23">
        <v>45001</v>
      </c>
      <c r="B659" t="s">
        <v>12</v>
      </c>
      <c r="C659" t="s">
        <v>132</v>
      </c>
      <c r="D659" t="s">
        <v>16</v>
      </c>
      <c r="E659" t="s">
        <v>41</v>
      </c>
      <c r="F659">
        <v>77400000</v>
      </c>
      <c r="G659" t="s">
        <v>26</v>
      </c>
      <c r="H659" t="s">
        <v>81</v>
      </c>
      <c r="I659" t="s">
        <v>9</v>
      </c>
      <c r="L659" t="s">
        <v>161</v>
      </c>
      <c r="M659">
        <v>77400000</v>
      </c>
    </row>
    <row r="660" spans="1:13" x14ac:dyDescent="0.3">
      <c r="A660" s="23">
        <v>45517</v>
      </c>
      <c r="B660" t="s">
        <v>12</v>
      </c>
      <c r="C660" t="s">
        <v>132</v>
      </c>
      <c r="D660" t="s">
        <v>16</v>
      </c>
      <c r="E660" t="s">
        <v>41</v>
      </c>
      <c r="F660">
        <v>600000000</v>
      </c>
      <c r="G660" t="s">
        <v>26</v>
      </c>
      <c r="H660" t="s">
        <v>81</v>
      </c>
      <c r="I660" t="s">
        <v>9</v>
      </c>
      <c r="L660" t="s">
        <v>161</v>
      </c>
      <c r="M660">
        <v>600000000</v>
      </c>
    </row>
    <row r="661" spans="1:13" x14ac:dyDescent="0.3">
      <c r="A661" s="23">
        <v>45007</v>
      </c>
      <c r="B661" t="s">
        <v>12</v>
      </c>
      <c r="C661" t="s">
        <v>132</v>
      </c>
      <c r="D661" t="s">
        <v>17</v>
      </c>
      <c r="E661" t="s">
        <v>41</v>
      </c>
      <c r="F661">
        <v>14800000</v>
      </c>
      <c r="G661" t="s">
        <v>26</v>
      </c>
      <c r="H661" t="s">
        <v>81</v>
      </c>
      <c r="I661" t="s">
        <v>9</v>
      </c>
      <c r="L661" t="s">
        <v>161</v>
      </c>
      <c r="M661">
        <v>-14800000</v>
      </c>
    </row>
    <row r="662" spans="1:13" x14ac:dyDescent="0.3">
      <c r="A662" s="23">
        <v>45008</v>
      </c>
      <c r="B662" t="s">
        <v>12</v>
      </c>
      <c r="C662" t="s">
        <v>132</v>
      </c>
      <c r="D662" t="s">
        <v>16</v>
      </c>
      <c r="E662" t="s">
        <v>41</v>
      </c>
      <c r="F662">
        <v>75400000</v>
      </c>
      <c r="G662" t="s">
        <v>26</v>
      </c>
      <c r="H662" t="s">
        <v>81</v>
      </c>
      <c r="I662" t="s">
        <v>9</v>
      </c>
      <c r="L662" t="s">
        <v>161</v>
      </c>
      <c r="M662">
        <v>75400000</v>
      </c>
    </row>
    <row r="663" spans="1:13" x14ac:dyDescent="0.3">
      <c r="A663" s="23">
        <v>45008</v>
      </c>
      <c r="B663" t="s">
        <v>12</v>
      </c>
      <c r="C663" t="s">
        <v>132</v>
      </c>
      <c r="D663" t="s">
        <v>17</v>
      </c>
      <c r="E663" t="s">
        <v>41</v>
      </c>
      <c r="F663">
        <v>17000000</v>
      </c>
      <c r="G663" t="s">
        <v>26</v>
      </c>
      <c r="H663" t="s">
        <v>81</v>
      </c>
      <c r="I663" t="s">
        <v>9</v>
      </c>
      <c r="L663" t="s">
        <v>161</v>
      </c>
      <c r="M663">
        <v>-17000000</v>
      </c>
    </row>
    <row r="664" spans="1:13" x14ac:dyDescent="0.3">
      <c r="A664" s="23">
        <v>45509</v>
      </c>
      <c r="B664" t="s">
        <v>12</v>
      </c>
      <c r="C664" t="s">
        <v>132</v>
      </c>
      <c r="D664" t="s">
        <v>17</v>
      </c>
      <c r="E664" t="s">
        <v>41</v>
      </c>
      <c r="F664">
        <v>682500000</v>
      </c>
      <c r="G664" t="s">
        <v>26</v>
      </c>
      <c r="H664" t="s">
        <v>81</v>
      </c>
      <c r="I664" t="s">
        <v>9</v>
      </c>
      <c r="L664" t="s">
        <v>161</v>
      </c>
      <c r="M664">
        <v>-682500000</v>
      </c>
    </row>
    <row r="665" spans="1:13" x14ac:dyDescent="0.3">
      <c r="A665" s="23">
        <v>45013</v>
      </c>
      <c r="B665" t="s">
        <v>12</v>
      </c>
      <c r="C665" t="s">
        <v>132</v>
      </c>
      <c r="D665" t="s">
        <v>17</v>
      </c>
      <c r="E665" t="s">
        <v>41</v>
      </c>
      <c r="F665">
        <v>100000000</v>
      </c>
      <c r="G665" t="s">
        <v>26</v>
      </c>
      <c r="H665" t="s">
        <v>81</v>
      </c>
      <c r="I665" t="s">
        <v>9</v>
      </c>
      <c r="L665" t="s">
        <v>161</v>
      </c>
      <c r="M665">
        <v>-100000000</v>
      </c>
    </row>
    <row r="666" spans="1:13" x14ac:dyDescent="0.3">
      <c r="A666" s="23">
        <v>45506</v>
      </c>
      <c r="B666" t="s">
        <v>12</v>
      </c>
      <c r="C666" t="s">
        <v>132</v>
      </c>
      <c r="D666" t="s">
        <v>17</v>
      </c>
      <c r="E666" t="s">
        <v>41</v>
      </c>
      <c r="F666">
        <v>86800000</v>
      </c>
      <c r="G666" t="s">
        <v>26</v>
      </c>
      <c r="H666" t="s">
        <v>81</v>
      </c>
      <c r="I666" t="s">
        <v>9</v>
      </c>
      <c r="L666" t="s">
        <v>161</v>
      </c>
      <c r="M666">
        <v>-86800000</v>
      </c>
    </row>
    <row r="667" spans="1:13" x14ac:dyDescent="0.3">
      <c r="A667" s="23">
        <v>45014</v>
      </c>
      <c r="B667" t="s">
        <v>12</v>
      </c>
      <c r="C667" t="s">
        <v>132</v>
      </c>
      <c r="D667" t="s">
        <v>17</v>
      </c>
      <c r="E667" t="s">
        <v>41</v>
      </c>
      <c r="F667">
        <v>8500000</v>
      </c>
      <c r="G667" t="s">
        <v>26</v>
      </c>
      <c r="H667" t="s">
        <v>81</v>
      </c>
      <c r="I667" t="s">
        <v>9</v>
      </c>
      <c r="L667" t="s">
        <v>161</v>
      </c>
      <c r="M667">
        <v>-8500000</v>
      </c>
    </row>
    <row r="668" spans="1:13" x14ac:dyDescent="0.3">
      <c r="A668" s="23">
        <v>45016</v>
      </c>
      <c r="B668" t="s">
        <v>12</v>
      </c>
      <c r="C668" t="s">
        <v>132</v>
      </c>
      <c r="D668" t="s">
        <v>16</v>
      </c>
      <c r="E668" t="s">
        <v>41</v>
      </c>
      <c r="F668">
        <v>59900000</v>
      </c>
      <c r="G668" t="s">
        <v>26</v>
      </c>
      <c r="H668" t="s">
        <v>81</v>
      </c>
      <c r="I668" t="s">
        <v>9</v>
      </c>
      <c r="L668" t="s">
        <v>161</v>
      </c>
      <c r="M668">
        <v>59900000</v>
      </c>
    </row>
    <row r="669" spans="1:13" x14ac:dyDescent="0.3">
      <c r="A669" s="23">
        <v>45504</v>
      </c>
      <c r="B669" t="s">
        <v>12</v>
      </c>
      <c r="C669" t="s">
        <v>132</v>
      </c>
      <c r="D669" t="s">
        <v>16</v>
      </c>
      <c r="E669" t="s">
        <v>41</v>
      </c>
      <c r="F669">
        <v>43761000</v>
      </c>
      <c r="G669" t="s">
        <v>26</v>
      </c>
      <c r="H669" t="s">
        <v>81</v>
      </c>
      <c r="I669" t="s">
        <v>9</v>
      </c>
      <c r="L669" t="s">
        <v>161</v>
      </c>
      <c r="M669">
        <v>43761000</v>
      </c>
    </row>
    <row r="670" spans="1:13" x14ac:dyDescent="0.3">
      <c r="A670" s="23">
        <v>45504</v>
      </c>
      <c r="B670" t="s">
        <v>12</v>
      </c>
      <c r="C670" t="s">
        <v>132</v>
      </c>
      <c r="D670" t="s">
        <v>17</v>
      </c>
      <c r="E670" t="s">
        <v>41</v>
      </c>
      <c r="F670">
        <v>28500000</v>
      </c>
      <c r="G670" t="s">
        <v>26</v>
      </c>
      <c r="H670" t="s">
        <v>81</v>
      </c>
      <c r="I670" t="s">
        <v>9</v>
      </c>
      <c r="L670" t="s">
        <v>161</v>
      </c>
      <c r="M670">
        <v>-28500000</v>
      </c>
    </row>
    <row r="671" spans="1:13" x14ac:dyDescent="0.3">
      <c r="A671" s="23">
        <v>45019</v>
      </c>
      <c r="B671" t="s">
        <v>12</v>
      </c>
      <c r="C671" t="s">
        <v>132</v>
      </c>
      <c r="D671" t="s">
        <v>17</v>
      </c>
      <c r="E671" t="s">
        <v>41</v>
      </c>
      <c r="F671">
        <v>39100000</v>
      </c>
      <c r="G671" t="s">
        <v>26</v>
      </c>
      <c r="H671" t="s">
        <v>81</v>
      </c>
      <c r="I671" t="s">
        <v>9</v>
      </c>
      <c r="L671" t="s">
        <v>161</v>
      </c>
      <c r="M671">
        <v>-39100000</v>
      </c>
    </row>
    <row r="672" spans="1:13" x14ac:dyDescent="0.3">
      <c r="A672" s="23">
        <v>45503</v>
      </c>
      <c r="B672" t="s">
        <v>12</v>
      </c>
      <c r="C672" t="s">
        <v>132</v>
      </c>
      <c r="D672" t="s">
        <v>16</v>
      </c>
      <c r="E672" t="s">
        <v>41</v>
      </c>
      <c r="F672">
        <v>1000000000</v>
      </c>
      <c r="G672" t="s">
        <v>26</v>
      </c>
      <c r="H672" t="s">
        <v>81</v>
      </c>
      <c r="I672" t="s">
        <v>9</v>
      </c>
      <c r="L672" t="s">
        <v>161</v>
      </c>
      <c r="M672">
        <v>1000000000</v>
      </c>
    </row>
    <row r="673" spans="1:13" x14ac:dyDescent="0.3">
      <c r="A673" s="23">
        <v>45020</v>
      </c>
      <c r="B673" t="s">
        <v>12</v>
      </c>
      <c r="C673" t="s">
        <v>132</v>
      </c>
      <c r="D673" t="s">
        <v>17</v>
      </c>
      <c r="E673" t="s">
        <v>41</v>
      </c>
      <c r="F673">
        <v>104900000</v>
      </c>
      <c r="G673" t="s">
        <v>26</v>
      </c>
      <c r="H673" t="s">
        <v>81</v>
      </c>
      <c r="I673" t="s">
        <v>9</v>
      </c>
      <c r="L673" t="s">
        <v>161</v>
      </c>
      <c r="M673">
        <v>-104900000</v>
      </c>
    </row>
    <row r="674" spans="1:13" x14ac:dyDescent="0.3">
      <c r="A674" s="23">
        <v>45497</v>
      </c>
      <c r="B674" t="s">
        <v>12</v>
      </c>
      <c r="C674" t="s">
        <v>132</v>
      </c>
      <c r="D674" t="s">
        <v>16</v>
      </c>
      <c r="E674" t="s">
        <v>41</v>
      </c>
      <c r="F674">
        <v>34400000</v>
      </c>
      <c r="G674" t="s">
        <v>26</v>
      </c>
      <c r="H674" t="s">
        <v>81</v>
      </c>
      <c r="I674" t="s">
        <v>9</v>
      </c>
      <c r="L674" t="s">
        <v>161</v>
      </c>
      <c r="M674">
        <v>34400000</v>
      </c>
    </row>
    <row r="675" spans="1:13" x14ac:dyDescent="0.3">
      <c r="A675" s="23">
        <v>45490</v>
      </c>
      <c r="B675" t="s">
        <v>12</v>
      </c>
      <c r="C675" t="s">
        <v>132</v>
      </c>
      <c r="D675" t="s">
        <v>17</v>
      </c>
      <c r="E675" t="s">
        <v>41</v>
      </c>
      <c r="F675">
        <v>20900000</v>
      </c>
      <c r="G675" t="s">
        <v>26</v>
      </c>
      <c r="H675" t="s">
        <v>81</v>
      </c>
      <c r="I675" t="s">
        <v>9</v>
      </c>
      <c r="L675" t="s">
        <v>161</v>
      </c>
      <c r="M675">
        <v>-20900000</v>
      </c>
    </row>
    <row r="676" spans="1:13" x14ac:dyDescent="0.3">
      <c r="A676" s="23">
        <v>45489</v>
      </c>
      <c r="B676" t="s">
        <v>12</v>
      </c>
      <c r="C676" t="s">
        <v>132</v>
      </c>
      <c r="D676" t="s">
        <v>17</v>
      </c>
      <c r="E676" t="s">
        <v>41</v>
      </c>
      <c r="F676">
        <v>202000000</v>
      </c>
      <c r="G676" t="s">
        <v>26</v>
      </c>
      <c r="H676" t="s">
        <v>81</v>
      </c>
      <c r="I676" t="s">
        <v>9</v>
      </c>
      <c r="L676" t="s">
        <v>161</v>
      </c>
      <c r="M676">
        <v>-202000000</v>
      </c>
    </row>
    <row r="677" spans="1:13" x14ac:dyDescent="0.3">
      <c r="A677" s="23">
        <v>45489</v>
      </c>
      <c r="B677" t="s">
        <v>12</v>
      </c>
      <c r="C677" t="s">
        <v>132</v>
      </c>
      <c r="D677" t="s">
        <v>17</v>
      </c>
      <c r="E677" t="s">
        <v>41</v>
      </c>
      <c r="F677">
        <v>5900000</v>
      </c>
      <c r="G677" t="s">
        <v>26</v>
      </c>
      <c r="H677" t="s">
        <v>81</v>
      </c>
      <c r="I677" t="s">
        <v>9</v>
      </c>
      <c r="L677" t="s">
        <v>161</v>
      </c>
      <c r="M677">
        <v>-5900000</v>
      </c>
    </row>
    <row r="678" spans="1:13" x14ac:dyDescent="0.3">
      <c r="A678" s="23">
        <v>45036</v>
      </c>
      <c r="B678" t="s">
        <v>12</v>
      </c>
      <c r="C678" t="s">
        <v>132</v>
      </c>
      <c r="D678" t="s">
        <v>16</v>
      </c>
      <c r="E678" t="s">
        <v>41</v>
      </c>
      <c r="F678">
        <v>35900000</v>
      </c>
      <c r="G678" t="s">
        <v>26</v>
      </c>
      <c r="H678" t="s">
        <v>81</v>
      </c>
      <c r="I678" t="s">
        <v>9</v>
      </c>
      <c r="L678" t="s">
        <v>161</v>
      </c>
      <c r="M678">
        <v>35900000</v>
      </c>
    </row>
    <row r="679" spans="1:13" x14ac:dyDescent="0.3">
      <c r="A679" s="23">
        <v>45488</v>
      </c>
      <c r="B679" t="s">
        <v>12</v>
      </c>
      <c r="C679" t="s">
        <v>132</v>
      </c>
      <c r="D679" t="s">
        <v>16</v>
      </c>
      <c r="E679" t="s">
        <v>41</v>
      </c>
      <c r="F679">
        <v>111200000</v>
      </c>
      <c r="G679" t="s">
        <v>26</v>
      </c>
      <c r="H679" t="s">
        <v>81</v>
      </c>
      <c r="I679" t="s">
        <v>9</v>
      </c>
      <c r="L679" t="s">
        <v>161</v>
      </c>
      <c r="M679">
        <v>111200000</v>
      </c>
    </row>
    <row r="680" spans="1:13" x14ac:dyDescent="0.3">
      <c r="A680" s="23">
        <v>45485</v>
      </c>
      <c r="B680" t="s">
        <v>12</v>
      </c>
      <c r="C680" t="s">
        <v>132</v>
      </c>
      <c r="D680" t="s">
        <v>17</v>
      </c>
      <c r="E680" t="s">
        <v>41</v>
      </c>
      <c r="F680">
        <v>277000000</v>
      </c>
      <c r="G680" t="s">
        <v>26</v>
      </c>
      <c r="H680" t="s">
        <v>81</v>
      </c>
      <c r="I680" t="s">
        <v>9</v>
      </c>
      <c r="L680" t="s">
        <v>161</v>
      </c>
      <c r="M680">
        <v>-277000000</v>
      </c>
    </row>
    <row r="681" spans="1:13" x14ac:dyDescent="0.3">
      <c r="A681" s="23">
        <v>45040</v>
      </c>
      <c r="B681" t="s">
        <v>12</v>
      </c>
      <c r="C681" t="s">
        <v>132</v>
      </c>
      <c r="D681" t="s">
        <v>16</v>
      </c>
      <c r="E681" t="s">
        <v>41</v>
      </c>
      <c r="F681">
        <v>142700000</v>
      </c>
      <c r="G681" t="s">
        <v>26</v>
      </c>
      <c r="H681" t="s">
        <v>81</v>
      </c>
      <c r="I681" t="s">
        <v>9</v>
      </c>
      <c r="L681" t="s">
        <v>161</v>
      </c>
      <c r="M681">
        <v>142700000</v>
      </c>
    </row>
    <row r="682" spans="1:13" x14ac:dyDescent="0.3">
      <c r="A682" s="23">
        <v>45481</v>
      </c>
      <c r="B682" t="s">
        <v>12</v>
      </c>
      <c r="C682" t="s">
        <v>132</v>
      </c>
      <c r="D682" t="s">
        <v>17</v>
      </c>
      <c r="E682" t="s">
        <v>41</v>
      </c>
      <c r="F682">
        <v>1010000000</v>
      </c>
      <c r="G682" t="s">
        <v>26</v>
      </c>
      <c r="H682" t="s">
        <v>81</v>
      </c>
      <c r="I682" t="s">
        <v>9</v>
      </c>
      <c r="L682" t="s">
        <v>161</v>
      </c>
      <c r="M682">
        <v>-1010000000</v>
      </c>
    </row>
    <row r="683" spans="1:13" x14ac:dyDescent="0.3">
      <c r="A683" s="23">
        <v>45042</v>
      </c>
      <c r="B683" t="s">
        <v>12</v>
      </c>
      <c r="C683" t="s">
        <v>132</v>
      </c>
      <c r="D683" t="s">
        <v>16</v>
      </c>
      <c r="E683" t="s">
        <v>41</v>
      </c>
      <c r="F683">
        <v>318600000</v>
      </c>
      <c r="G683" t="s">
        <v>26</v>
      </c>
      <c r="H683" t="s">
        <v>81</v>
      </c>
      <c r="I683" t="s">
        <v>9</v>
      </c>
      <c r="L683" t="s">
        <v>161</v>
      </c>
      <c r="M683">
        <v>318600000</v>
      </c>
    </row>
    <row r="684" spans="1:13" x14ac:dyDescent="0.3">
      <c r="A684" s="23">
        <v>45478</v>
      </c>
      <c r="B684" t="s">
        <v>12</v>
      </c>
      <c r="C684" t="s">
        <v>132</v>
      </c>
      <c r="D684" t="s">
        <v>17</v>
      </c>
      <c r="E684" t="s">
        <v>41</v>
      </c>
      <c r="F684">
        <v>268700000</v>
      </c>
      <c r="G684" t="s">
        <v>26</v>
      </c>
      <c r="H684" t="s">
        <v>81</v>
      </c>
      <c r="I684" t="s">
        <v>9</v>
      </c>
      <c r="L684" t="s">
        <v>161</v>
      </c>
      <c r="M684">
        <v>-268700000</v>
      </c>
    </row>
    <row r="685" spans="1:13" x14ac:dyDescent="0.3">
      <c r="A685" s="23">
        <v>45043</v>
      </c>
      <c r="B685" t="s">
        <v>12</v>
      </c>
      <c r="C685" t="s">
        <v>132</v>
      </c>
      <c r="D685" t="s">
        <v>17</v>
      </c>
      <c r="E685" t="s">
        <v>41</v>
      </c>
      <c r="F685">
        <v>65200000</v>
      </c>
      <c r="G685" t="s">
        <v>26</v>
      </c>
      <c r="H685" t="s">
        <v>81</v>
      </c>
      <c r="I685" t="s">
        <v>9</v>
      </c>
      <c r="L685" t="s">
        <v>161</v>
      </c>
      <c r="M685">
        <v>-65200000</v>
      </c>
    </row>
    <row r="686" spans="1:13" x14ac:dyDescent="0.3">
      <c r="A686" s="23">
        <v>45476</v>
      </c>
      <c r="B686" t="s">
        <v>12</v>
      </c>
      <c r="C686" t="s">
        <v>132</v>
      </c>
      <c r="D686" t="s">
        <v>17</v>
      </c>
      <c r="E686" t="s">
        <v>41</v>
      </c>
      <c r="F686">
        <v>245900000</v>
      </c>
      <c r="G686" t="s">
        <v>26</v>
      </c>
      <c r="H686" t="s">
        <v>81</v>
      </c>
      <c r="I686" t="s">
        <v>9</v>
      </c>
      <c r="L686" t="s">
        <v>161</v>
      </c>
      <c r="M686">
        <v>-245900000</v>
      </c>
    </row>
    <row r="687" spans="1:13" x14ac:dyDescent="0.3">
      <c r="A687" s="23">
        <v>45044</v>
      </c>
      <c r="B687" t="s">
        <v>12</v>
      </c>
      <c r="C687" t="s">
        <v>132</v>
      </c>
      <c r="D687" t="s">
        <v>17</v>
      </c>
      <c r="E687" t="s">
        <v>41</v>
      </c>
      <c r="F687">
        <v>51400000</v>
      </c>
      <c r="G687" t="s">
        <v>26</v>
      </c>
      <c r="H687" t="s">
        <v>81</v>
      </c>
      <c r="I687" t="s">
        <v>9</v>
      </c>
      <c r="L687" t="s">
        <v>161</v>
      </c>
      <c r="M687">
        <v>-51400000</v>
      </c>
    </row>
    <row r="688" spans="1:13" x14ac:dyDescent="0.3">
      <c r="A688" s="23">
        <v>45475</v>
      </c>
      <c r="B688" t="s">
        <v>12</v>
      </c>
      <c r="C688" t="s">
        <v>132</v>
      </c>
      <c r="D688" t="s">
        <v>17</v>
      </c>
      <c r="E688" t="s">
        <v>41</v>
      </c>
      <c r="F688">
        <v>139800000</v>
      </c>
      <c r="G688" t="s">
        <v>26</v>
      </c>
      <c r="H688" t="s">
        <v>81</v>
      </c>
      <c r="I688" t="s">
        <v>9</v>
      </c>
      <c r="L688" t="s">
        <v>161</v>
      </c>
      <c r="M688">
        <v>-139800000</v>
      </c>
    </row>
    <row r="689" spans="1:13" x14ac:dyDescent="0.3">
      <c r="A689" s="23">
        <v>45048</v>
      </c>
      <c r="B689" t="s">
        <v>12</v>
      </c>
      <c r="C689" t="s">
        <v>132</v>
      </c>
      <c r="D689" t="s">
        <v>17</v>
      </c>
      <c r="E689" t="s">
        <v>41</v>
      </c>
      <c r="F689">
        <v>173700000</v>
      </c>
      <c r="G689" t="s">
        <v>26</v>
      </c>
      <c r="H689" t="s">
        <v>81</v>
      </c>
      <c r="I689" t="s">
        <v>9</v>
      </c>
      <c r="L689" t="s">
        <v>161</v>
      </c>
      <c r="M689">
        <v>-173700000</v>
      </c>
    </row>
    <row r="690" spans="1:13" x14ac:dyDescent="0.3">
      <c r="A690" s="23">
        <v>45049</v>
      </c>
      <c r="B690" t="s">
        <v>12</v>
      </c>
      <c r="C690" t="s">
        <v>132</v>
      </c>
      <c r="D690" t="s">
        <v>17</v>
      </c>
      <c r="E690" t="s">
        <v>41</v>
      </c>
      <c r="F690">
        <v>5800000</v>
      </c>
      <c r="G690" t="s">
        <v>26</v>
      </c>
      <c r="H690" t="s">
        <v>81</v>
      </c>
      <c r="I690" t="s">
        <v>9</v>
      </c>
      <c r="L690" t="s">
        <v>161</v>
      </c>
      <c r="M690">
        <v>-5800000</v>
      </c>
    </row>
    <row r="691" spans="1:13" x14ac:dyDescent="0.3">
      <c r="A691" s="23">
        <v>45051</v>
      </c>
      <c r="B691" t="s">
        <v>12</v>
      </c>
      <c r="C691" t="s">
        <v>132</v>
      </c>
      <c r="D691" t="s">
        <v>17</v>
      </c>
      <c r="E691" t="s">
        <v>41</v>
      </c>
      <c r="F691">
        <v>22700000</v>
      </c>
      <c r="G691" t="s">
        <v>26</v>
      </c>
      <c r="H691" t="s">
        <v>81</v>
      </c>
      <c r="I691" t="s">
        <v>9</v>
      </c>
      <c r="L691" t="s">
        <v>161</v>
      </c>
      <c r="M691">
        <v>-22700000</v>
      </c>
    </row>
    <row r="692" spans="1:13" x14ac:dyDescent="0.3">
      <c r="A692" s="23">
        <v>45054</v>
      </c>
      <c r="B692" t="s">
        <v>12</v>
      </c>
      <c r="C692" t="s">
        <v>132</v>
      </c>
      <c r="D692" t="s">
        <v>17</v>
      </c>
      <c r="E692" t="s">
        <v>41</v>
      </c>
      <c r="F692">
        <v>119300000</v>
      </c>
      <c r="G692" t="s">
        <v>26</v>
      </c>
      <c r="H692" t="s">
        <v>81</v>
      </c>
      <c r="I692" t="s">
        <v>9</v>
      </c>
      <c r="L692" t="s">
        <v>161</v>
      </c>
      <c r="M692">
        <v>-119300000</v>
      </c>
    </row>
    <row r="693" spans="1:13" x14ac:dyDescent="0.3">
      <c r="A693" s="23">
        <v>45055</v>
      </c>
      <c r="B693" t="s">
        <v>12</v>
      </c>
      <c r="C693" t="s">
        <v>132</v>
      </c>
      <c r="D693" t="s">
        <v>16</v>
      </c>
      <c r="E693" t="s">
        <v>41</v>
      </c>
      <c r="F693">
        <v>16061345.279999999</v>
      </c>
      <c r="G693" t="s">
        <v>26</v>
      </c>
      <c r="H693" t="s">
        <v>81</v>
      </c>
      <c r="I693" t="s">
        <v>9</v>
      </c>
      <c r="L693" t="s">
        <v>161</v>
      </c>
      <c r="M693">
        <v>16061345.279999999</v>
      </c>
    </row>
    <row r="694" spans="1:13" x14ac:dyDescent="0.3">
      <c r="A694" s="23">
        <v>45462</v>
      </c>
      <c r="B694" t="s">
        <v>12</v>
      </c>
      <c r="C694" t="s">
        <v>132</v>
      </c>
      <c r="D694" t="s">
        <v>17</v>
      </c>
      <c r="E694" t="s">
        <v>41</v>
      </c>
      <c r="F694">
        <v>500000000</v>
      </c>
      <c r="G694" t="s">
        <v>26</v>
      </c>
      <c r="H694" t="s">
        <v>81</v>
      </c>
      <c r="I694" t="s">
        <v>9</v>
      </c>
      <c r="L694" t="s">
        <v>161</v>
      </c>
      <c r="M694">
        <v>-500000000</v>
      </c>
    </row>
    <row r="695" spans="1:13" x14ac:dyDescent="0.3">
      <c r="A695" s="23">
        <v>45056</v>
      </c>
      <c r="B695" t="s">
        <v>12</v>
      </c>
      <c r="C695" t="s">
        <v>132</v>
      </c>
      <c r="D695" t="s">
        <v>17</v>
      </c>
      <c r="E695" t="s">
        <v>41</v>
      </c>
      <c r="F695">
        <v>33800000</v>
      </c>
      <c r="G695" t="s">
        <v>26</v>
      </c>
      <c r="H695" t="s">
        <v>81</v>
      </c>
      <c r="I695" t="s">
        <v>9</v>
      </c>
      <c r="L695" t="s">
        <v>161</v>
      </c>
      <c r="M695">
        <v>-33800000</v>
      </c>
    </row>
    <row r="696" spans="1:13" x14ac:dyDescent="0.3">
      <c r="A696" s="23">
        <v>45058</v>
      </c>
      <c r="B696" t="s">
        <v>12</v>
      </c>
      <c r="C696" t="s">
        <v>132</v>
      </c>
      <c r="D696" t="s">
        <v>16</v>
      </c>
      <c r="E696" t="s">
        <v>41</v>
      </c>
      <c r="F696">
        <v>261900000</v>
      </c>
      <c r="G696" t="s">
        <v>26</v>
      </c>
      <c r="H696" t="s">
        <v>81</v>
      </c>
      <c r="I696" t="s">
        <v>9</v>
      </c>
      <c r="L696" t="s">
        <v>161</v>
      </c>
      <c r="M696">
        <v>261900000</v>
      </c>
    </row>
    <row r="697" spans="1:13" x14ac:dyDescent="0.3">
      <c r="A697" s="23">
        <v>45460</v>
      </c>
      <c r="B697" t="s">
        <v>12</v>
      </c>
      <c r="C697" t="s">
        <v>132</v>
      </c>
      <c r="D697" t="s">
        <v>16</v>
      </c>
      <c r="E697" t="s">
        <v>41</v>
      </c>
      <c r="F697">
        <v>57040000</v>
      </c>
      <c r="G697" t="s">
        <v>26</v>
      </c>
      <c r="H697" t="s">
        <v>81</v>
      </c>
      <c r="I697" t="s">
        <v>9</v>
      </c>
      <c r="L697" t="s">
        <v>161</v>
      </c>
      <c r="M697">
        <v>57040000</v>
      </c>
    </row>
    <row r="698" spans="1:13" x14ac:dyDescent="0.3">
      <c r="A698" s="23">
        <v>45061</v>
      </c>
      <c r="B698" t="s">
        <v>12</v>
      </c>
      <c r="C698" t="s">
        <v>132</v>
      </c>
      <c r="D698" t="s">
        <v>17</v>
      </c>
      <c r="E698" t="s">
        <v>41</v>
      </c>
      <c r="F698">
        <v>75100000</v>
      </c>
      <c r="G698" t="s">
        <v>26</v>
      </c>
      <c r="H698" t="s">
        <v>81</v>
      </c>
      <c r="I698" t="s">
        <v>9</v>
      </c>
      <c r="L698" t="s">
        <v>161</v>
      </c>
      <c r="M698">
        <v>-75100000</v>
      </c>
    </row>
    <row r="699" spans="1:13" x14ac:dyDescent="0.3">
      <c r="A699" s="23">
        <v>45062</v>
      </c>
      <c r="B699" t="s">
        <v>12</v>
      </c>
      <c r="C699" t="s">
        <v>132</v>
      </c>
      <c r="D699" t="s">
        <v>17</v>
      </c>
      <c r="E699" t="s">
        <v>41</v>
      </c>
      <c r="F699">
        <v>124500000</v>
      </c>
      <c r="G699" t="s">
        <v>26</v>
      </c>
      <c r="H699" t="s">
        <v>81</v>
      </c>
      <c r="I699" t="s">
        <v>9</v>
      </c>
      <c r="L699" t="s">
        <v>161</v>
      </c>
      <c r="M699">
        <v>-124500000</v>
      </c>
    </row>
    <row r="700" spans="1:13" x14ac:dyDescent="0.3">
      <c r="A700" s="23">
        <v>45063</v>
      </c>
      <c r="B700" t="s">
        <v>12</v>
      </c>
      <c r="C700" t="s">
        <v>132</v>
      </c>
      <c r="D700" t="s">
        <v>17</v>
      </c>
      <c r="E700" t="s">
        <v>41</v>
      </c>
      <c r="F700">
        <v>27800000</v>
      </c>
      <c r="G700" t="s">
        <v>26</v>
      </c>
      <c r="H700" t="s">
        <v>81</v>
      </c>
      <c r="I700" t="s">
        <v>9</v>
      </c>
      <c r="L700" t="s">
        <v>161</v>
      </c>
      <c r="M700">
        <v>-27800000</v>
      </c>
    </row>
    <row r="701" spans="1:13" x14ac:dyDescent="0.3">
      <c r="A701" s="23">
        <v>45064</v>
      </c>
      <c r="B701" t="s">
        <v>12</v>
      </c>
      <c r="C701" t="s">
        <v>132</v>
      </c>
      <c r="D701" t="s">
        <v>17</v>
      </c>
      <c r="E701" t="s">
        <v>41</v>
      </c>
      <c r="F701">
        <v>86200000</v>
      </c>
      <c r="G701" t="s">
        <v>26</v>
      </c>
      <c r="H701" t="s">
        <v>81</v>
      </c>
      <c r="I701" t="s">
        <v>9</v>
      </c>
      <c r="L701" t="s">
        <v>161</v>
      </c>
      <c r="M701">
        <v>-86200000</v>
      </c>
    </row>
    <row r="702" spans="1:13" x14ac:dyDescent="0.3">
      <c r="A702" s="23">
        <v>45456</v>
      </c>
      <c r="B702" t="s">
        <v>12</v>
      </c>
      <c r="C702" t="s">
        <v>132</v>
      </c>
      <c r="D702" t="s">
        <v>17</v>
      </c>
      <c r="E702" t="s">
        <v>41</v>
      </c>
      <c r="F702">
        <v>3204700000</v>
      </c>
      <c r="G702" t="s">
        <v>26</v>
      </c>
      <c r="H702" t="s">
        <v>81</v>
      </c>
      <c r="I702" t="s">
        <v>9</v>
      </c>
      <c r="L702" t="s">
        <v>161</v>
      </c>
      <c r="M702">
        <v>-3204700000</v>
      </c>
    </row>
    <row r="703" spans="1:13" x14ac:dyDescent="0.3">
      <c r="A703" s="23">
        <v>45065</v>
      </c>
      <c r="B703" t="s">
        <v>12</v>
      </c>
      <c r="C703" t="s">
        <v>132</v>
      </c>
      <c r="D703" t="s">
        <v>17</v>
      </c>
      <c r="E703" t="s">
        <v>41</v>
      </c>
      <c r="F703">
        <v>2700000</v>
      </c>
      <c r="G703" t="s">
        <v>26</v>
      </c>
      <c r="H703" t="s">
        <v>81</v>
      </c>
      <c r="I703" t="s">
        <v>9</v>
      </c>
      <c r="L703" t="s">
        <v>161</v>
      </c>
      <c r="M703">
        <v>-2700000</v>
      </c>
    </row>
    <row r="704" spans="1:13" x14ac:dyDescent="0.3">
      <c r="A704" s="23">
        <v>45453</v>
      </c>
      <c r="B704" t="s">
        <v>12</v>
      </c>
      <c r="C704" t="s">
        <v>132</v>
      </c>
      <c r="D704" t="s">
        <v>16</v>
      </c>
      <c r="E704" t="s">
        <v>41</v>
      </c>
      <c r="F704">
        <v>4500000000</v>
      </c>
      <c r="G704" t="s">
        <v>26</v>
      </c>
      <c r="H704" t="s">
        <v>81</v>
      </c>
      <c r="I704" t="s">
        <v>9</v>
      </c>
      <c r="L704" t="s">
        <v>161</v>
      </c>
      <c r="M704">
        <v>4500000000</v>
      </c>
    </row>
    <row r="705" spans="1:13" x14ac:dyDescent="0.3">
      <c r="A705" s="23">
        <v>45068</v>
      </c>
      <c r="B705" t="s">
        <v>12</v>
      </c>
      <c r="C705" t="s">
        <v>132</v>
      </c>
      <c r="D705" t="s">
        <v>16</v>
      </c>
      <c r="E705" t="s">
        <v>41</v>
      </c>
      <c r="F705">
        <v>12800000</v>
      </c>
      <c r="G705" t="s">
        <v>26</v>
      </c>
      <c r="H705" t="s">
        <v>81</v>
      </c>
      <c r="I705" t="s">
        <v>9</v>
      </c>
      <c r="L705" t="s">
        <v>161</v>
      </c>
      <c r="M705">
        <v>12800000</v>
      </c>
    </row>
    <row r="706" spans="1:13" x14ac:dyDescent="0.3">
      <c r="A706" s="23">
        <v>45070</v>
      </c>
      <c r="B706" t="s">
        <v>12</v>
      </c>
      <c r="C706" t="s">
        <v>132</v>
      </c>
      <c r="D706" t="s">
        <v>16</v>
      </c>
      <c r="E706" t="s">
        <v>41</v>
      </c>
      <c r="F706">
        <v>5000000</v>
      </c>
      <c r="G706" t="s">
        <v>26</v>
      </c>
      <c r="H706" t="s">
        <v>81</v>
      </c>
      <c r="I706" t="s">
        <v>9</v>
      </c>
      <c r="L706" t="s">
        <v>161</v>
      </c>
      <c r="M706">
        <v>5000000</v>
      </c>
    </row>
    <row r="707" spans="1:13" x14ac:dyDescent="0.3">
      <c r="A707" s="23">
        <v>45075</v>
      </c>
      <c r="B707" t="s">
        <v>12</v>
      </c>
      <c r="C707" t="s">
        <v>132</v>
      </c>
      <c r="D707" t="s">
        <v>16</v>
      </c>
      <c r="E707" t="s">
        <v>41</v>
      </c>
      <c r="F707">
        <v>5000000</v>
      </c>
      <c r="G707" t="s">
        <v>26</v>
      </c>
      <c r="H707" t="s">
        <v>81</v>
      </c>
      <c r="I707" t="s">
        <v>9</v>
      </c>
      <c r="L707" t="s">
        <v>161</v>
      </c>
      <c r="M707">
        <v>5000000</v>
      </c>
    </row>
    <row r="708" spans="1:13" x14ac:dyDescent="0.3">
      <c r="A708" s="23">
        <v>45076</v>
      </c>
      <c r="B708" t="s">
        <v>12</v>
      </c>
      <c r="C708" t="s">
        <v>132</v>
      </c>
      <c r="D708" t="s">
        <v>16</v>
      </c>
      <c r="E708" t="s">
        <v>41</v>
      </c>
      <c r="F708">
        <v>56400000</v>
      </c>
      <c r="G708" t="s">
        <v>26</v>
      </c>
      <c r="H708" t="s">
        <v>81</v>
      </c>
      <c r="I708" t="s">
        <v>9</v>
      </c>
      <c r="L708" t="s">
        <v>161</v>
      </c>
      <c r="M708">
        <v>56400000</v>
      </c>
    </row>
    <row r="709" spans="1:13" x14ac:dyDescent="0.3">
      <c r="A709" s="23">
        <v>45077</v>
      </c>
      <c r="B709" t="s">
        <v>12</v>
      </c>
      <c r="C709" t="s">
        <v>132</v>
      </c>
      <c r="D709" t="s">
        <v>17</v>
      </c>
      <c r="E709" t="s">
        <v>41</v>
      </c>
      <c r="F709">
        <v>76695635.470000029</v>
      </c>
      <c r="G709" t="s">
        <v>26</v>
      </c>
      <c r="H709" t="s">
        <v>81</v>
      </c>
      <c r="I709" t="s">
        <v>9</v>
      </c>
      <c r="L709" t="s">
        <v>161</v>
      </c>
      <c r="M709">
        <v>-76695635.469999999</v>
      </c>
    </row>
    <row r="710" spans="1:13" x14ac:dyDescent="0.3">
      <c r="A710" s="23">
        <v>45446</v>
      </c>
      <c r="B710" t="s">
        <v>12</v>
      </c>
      <c r="C710" t="s">
        <v>132</v>
      </c>
      <c r="D710" t="s">
        <v>16</v>
      </c>
      <c r="E710" t="s">
        <v>41</v>
      </c>
      <c r="F710">
        <v>1000000000</v>
      </c>
      <c r="G710" t="s">
        <v>26</v>
      </c>
      <c r="H710" t="s">
        <v>81</v>
      </c>
      <c r="I710" t="s">
        <v>9</v>
      </c>
      <c r="L710" t="s">
        <v>161</v>
      </c>
      <c r="M710">
        <v>1000000000</v>
      </c>
    </row>
    <row r="711" spans="1:13" x14ac:dyDescent="0.3">
      <c r="A711" s="23">
        <v>45442</v>
      </c>
      <c r="B711" t="s">
        <v>12</v>
      </c>
      <c r="C711" t="s">
        <v>132</v>
      </c>
      <c r="D711" t="s">
        <v>17</v>
      </c>
      <c r="E711" t="s">
        <v>41</v>
      </c>
      <c r="F711">
        <v>152300000</v>
      </c>
      <c r="G711" t="s">
        <v>26</v>
      </c>
      <c r="H711" t="s">
        <v>81</v>
      </c>
      <c r="I711" t="s">
        <v>9</v>
      </c>
      <c r="L711" t="s">
        <v>161</v>
      </c>
      <c r="M711">
        <v>-152300000</v>
      </c>
    </row>
    <row r="712" spans="1:13" x14ac:dyDescent="0.3">
      <c r="A712" s="23">
        <v>45441</v>
      </c>
      <c r="B712" t="s">
        <v>12</v>
      </c>
      <c r="C712" t="s">
        <v>132</v>
      </c>
      <c r="D712" t="s">
        <v>17</v>
      </c>
      <c r="E712" t="s">
        <v>41</v>
      </c>
      <c r="F712">
        <v>100000000</v>
      </c>
      <c r="G712" t="s">
        <v>26</v>
      </c>
      <c r="H712" t="s">
        <v>81</v>
      </c>
      <c r="I712" t="s">
        <v>9</v>
      </c>
      <c r="L712" t="s">
        <v>161</v>
      </c>
      <c r="M712">
        <v>-100000000</v>
      </c>
    </row>
    <row r="713" spans="1:13" x14ac:dyDescent="0.3">
      <c r="A713" s="23">
        <v>45439</v>
      </c>
      <c r="B713" t="s">
        <v>12</v>
      </c>
      <c r="C713" t="s">
        <v>132</v>
      </c>
      <c r="D713" t="s">
        <v>16</v>
      </c>
      <c r="E713" t="s">
        <v>41</v>
      </c>
      <c r="F713">
        <v>80000000</v>
      </c>
      <c r="G713" t="s">
        <v>26</v>
      </c>
      <c r="H713" t="s">
        <v>81</v>
      </c>
      <c r="I713" t="s">
        <v>9</v>
      </c>
      <c r="L713" t="s">
        <v>161</v>
      </c>
      <c r="M713">
        <v>80000000</v>
      </c>
    </row>
    <row r="714" spans="1:13" x14ac:dyDescent="0.3">
      <c r="A714" s="23">
        <v>45436</v>
      </c>
      <c r="B714" t="s">
        <v>12</v>
      </c>
      <c r="C714" t="s">
        <v>132</v>
      </c>
      <c r="D714" t="s">
        <v>17</v>
      </c>
      <c r="E714" t="s">
        <v>41</v>
      </c>
      <c r="F714">
        <v>7600000</v>
      </c>
      <c r="G714" t="s">
        <v>26</v>
      </c>
      <c r="H714" t="s">
        <v>81</v>
      </c>
      <c r="I714" t="s">
        <v>9</v>
      </c>
      <c r="L714" t="s">
        <v>161</v>
      </c>
      <c r="M714">
        <v>-7600000</v>
      </c>
    </row>
    <row r="715" spans="1:13" x14ac:dyDescent="0.3">
      <c r="A715" s="23">
        <v>45085</v>
      </c>
      <c r="B715" t="s">
        <v>12</v>
      </c>
      <c r="C715" t="s">
        <v>132</v>
      </c>
      <c r="D715" t="s">
        <v>16</v>
      </c>
      <c r="E715" t="s">
        <v>41</v>
      </c>
      <c r="F715">
        <v>2200000</v>
      </c>
      <c r="G715" t="s">
        <v>26</v>
      </c>
      <c r="H715" t="s">
        <v>81</v>
      </c>
      <c r="I715" t="s">
        <v>9</v>
      </c>
      <c r="L715" t="s">
        <v>161</v>
      </c>
      <c r="M715">
        <v>2200000</v>
      </c>
    </row>
    <row r="716" spans="1:13" x14ac:dyDescent="0.3">
      <c r="A716" s="23">
        <v>45086</v>
      </c>
      <c r="B716" t="s">
        <v>12</v>
      </c>
      <c r="C716" t="s">
        <v>132</v>
      </c>
      <c r="D716" t="s">
        <v>16</v>
      </c>
      <c r="E716" t="s">
        <v>41</v>
      </c>
      <c r="F716">
        <v>60000000</v>
      </c>
      <c r="G716" t="s">
        <v>26</v>
      </c>
      <c r="H716" t="s">
        <v>81</v>
      </c>
      <c r="I716" t="s">
        <v>9</v>
      </c>
      <c r="L716" t="s">
        <v>161</v>
      </c>
      <c r="M716">
        <v>60000000</v>
      </c>
    </row>
    <row r="717" spans="1:13" x14ac:dyDescent="0.3">
      <c r="A717" s="23">
        <v>45436</v>
      </c>
      <c r="B717" t="s">
        <v>12</v>
      </c>
      <c r="C717" t="s">
        <v>132</v>
      </c>
      <c r="D717" t="s">
        <v>17</v>
      </c>
      <c r="E717" t="s">
        <v>41</v>
      </c>
      <c r="F717">
        <v>134200000</v>
      </c>
      <c r="G717" t="s">
        <v>26</v>
      </c>
      <c r="H717" t="s">
        <v>81</v>
      </c>
      <c r="I717" t="s">
        <v>9</v>
      </c>
      <c r="L717" t="s">
        <v>161</v>
      </c>
      <c r="M717">
        <v>-134200000</v>
      </c>
    </row>
    <row r="718" spans="1:13" x14ac:dyDescent="0.3">
      <c r="A718" s="23">
        <v>45089</v>
      </c>
      <c r="B718" t="s">
        <v>12</v>
      </c>
      <c r="C718" t="s">
        <v>132</v>
      </c>
      <c r="D718" t="s">
        <v>16</v>
      </c>
      <c r="E718" t="s">
        <v>41</v>
      </c>
      <c r="F718">
        <v>150000000</v>
      </c>
      <c r="G718" t="s">
        <v>26</v>
      </c>
      <c r="H718" t="s">
        <v>81</v>
      </c>
      <c r="I718" t="s">
        <v>9</v>
      </c>
      <c r="L718" t="s">
        <v>161</v>
      </c>
      <c r="M718">
        <v>150000000</v>
      </c>
    </row>
    <row r="719" spans="1:13" x14ac:dyDescent="0.3">
      <c r="A719" s="23">
        <v>45090</v>
      </c>
      <c r="B719" t="s">
        <v>12</v>
      </c>
      <c r="C719" t="s">
        <v>132</v>
      </c>
      <c r="D719" t="s">
        <v>17</v>
      </c>
      <c r="E719" t="s">
        <v>41</v>
      </c>
      <c r="F719">
        <v>60700000</v>
      </c>
      <c r="G719" t="s">
        <v>26</v>
      </c>
      <c r="H719" t="s">
        <v>81</v>
      </c>
      <c r="I719" t="s">
        <v>9</v>
      </c>
      <c r="L719" t="s">
        <v>161</v>
      </c>
      <c r="M719">
        <v>-60700000</v>
      </c>
    </row>
    <row r="720" spans="1:13" x14ac:dyDescent="0.3">
      <c r="A720" s="23">
        <v>45433</v>
      </c>
      <c r="B720" t="s">
        <v>12</v>
      </c>
      <c r="C720" t="s">
        <v>132</v>
      </c>
      <c r="D720" t="s">
        <v>17</v>
      </c>
      <c r="E720" t="s">
        <v>41</v>
      </c>
      <c r="F720">
        <v>100000000</v>
      </c>
      <c r="G720" t="s">
        <v>26</v>
      </c>
      <c r="H720" t="s">
        <v>81</v>
      </c>
      <c r="I720" t="s">
        <v>9</v>
      </c>
      <c r="L720" t="s">
        <v>161</v>
      </c>
      <c r="M720">
        <v>-100000000</v>
      </c>
    </row>
    <row r="721" spans="1:13" x14ac:dyDescent="0.3">
      <c r="A721" s="23">
        <v>45091</v>
      </c>
      <c r="B721" t="s">
        <v>12</v>
      </c>
      <c r="C721" t="s">
        <v>132</v>
      </c>
      <c r="D721" t="s">
        <v>16</v>
      </c>
      <c r="E721" t="s">
        <v>41</v>
      </c>
      <c r="F721">
        <v>1219957.67</v>
      </c>
      <c r="G721" t="s">
        <v>26</v>
      </c>
      <c r="H721" t="s">
        <v>81</v>
      </c>
      <c r="I721" t="s">
        <v>9</v>
      </c>
      <c r="J721" t="s">
        <v>155</v>
      </c>
      <c r="L721" t="s">
        <v>161</v>
      </c>
      <c r="M721">
        <v>1219957.67</v>
      </c>
    </row>
    <row r="722" spans="1:13" x14ac:dyDescent="0.3">
      <c r="A722" s="23">
        <v>45432</v>
      </c>
      <c r="B722" t="s">
        <v>12</v>
      </c>
      <c r="C722" t="s">
        <v>132</v>
      </c>
      <c r="D722" t="s">
        <v>17</v>
      </c>
      <c r="E722" t="s">
        <v>41</v>
      </c>
      <c r="F722">
        <v>100500000</v>
      </c>
      <c r="G722" t="s">
        <v>26</v>
      </c>
      <c r="H722" t="s">
        <v>81</v>
      </c>
      <c r="I722" t="s">
        <v>9</v>
      </c>
      <c r="L722" t="s">
        <v>161</v>
      </c>
      <c r="M722">
        <v>-100500000</v>
      </c>
    </row>
    <row r="723" spans="1:13" x14ac:dyDescent="0.3">
      <c r="A723" s="23">
        <v>45091</v>
      </c>
      <c r="B723" t="s">
        <v>12</v>
      </c>
      <c r="C723" t="s">
        <v>132</v>
      </c>
      <c r="D723" t="s">
        <v>17</v>
      </c>
      <c r="E723" t="s">
        <v>41</v>
      </c>
      <c r="F723">
        <v>93200000</v>
      </c>
      <c r="G723" t="s">
        <v>26</v>
      </c>
      <c r="H723" t="s">
        <v>81</v>
      </c>
      <c r="I723" t="s">
        <v>9</v>
      </c>
      <c r="L723" t="s">
        <v>161</v>
      </c>
      <c r="M723">
        <v>-93200000</v>
      </c>
    </row>
    <row r="724" spans="1:13" x14ac:dyDescent="0.3">
      <c r="A724" s="23">
        <v>45093</v>
      </c>
      <c r="B724" t="s">
        <v>12</v>
      </c>
      <c r="C724" t="s">
        <v>132</v>
      </c>
      <c r="D724" t="s">
        <v>17</v>
      </c>
      <c r="E724" t="s">
        <v>41</v>
      </c>
      <c r="F724">
        <v>36200000</v>
      </c>
      <c r="G724" t="s">
        <v>26</v>
      </c>
      <c r="H724" t="s">
        <v>81</v>
      </c>
      <c r="I724" t="s">
        <v>9</v>
      </c>
      <c r="L724" t="s">
        <v>161</v>
      </c>
      <c r="M724">
        <v>-36200000</v>
      </c>
    </row>
    <row r="725" spans="1:13" x14ac:dyDescent="0.3">
      <c r="A725" s="23">
        <v>45099</v>
      </c>
      <c r="B725" t="s">
        <v>12</v>
      </c>
      <c r="C725" t="s">
        <v>132</v>
      </c>
      <c r="D725" t="s">
        <v>17</v>
      </c>
      <c r="E725" t="s">
        <v>41</v>
      </c>
      <c r="F725">
        <v>23319957.670000017</v>
      </c>
      <c r="G725" t="s">
        <v>26</v>
      </c>
      <c r="H725" t="s">
        <v>81</v>
      </c>
      <c r="I725" t="s">
        <v>9</v>
      </c>
      <c r="L725" t="s">
        <v>161</v>
      </c>
      <c r="M725">
        <v>-23319957.670000002</v>
      </c>
    </row>
    <row r="726" spans="1:13" x14ac:dyDescent="0.3">
      <c r="A726" s="23">
        <v>45425</v>
      </c>
      <c r="B726" t="s">
        <v>12</v>
      </c>
      <c r="C726" t="s">
        <v>132</v>
      </c>
      <c r="D726" t="s">
        <v>16</v>
      </c>
      <c r="E726" t="s">
        <v>41</v>
      </c>
      <c r="F726">
        <v>24870000</v>
      </c>
      <c r="G726" t="s">
        <v>26</v>
      </c>
      <c r="H726" t="s">
        <v>81</v>
      </c>
      <c r="I726" t="s">
        <v>9</v>
      </c>
      <c r="L726" t="s">
        <v>161</v>
      </c>
      <c r="M726">
        <v>24870000</v>
      </c>
    </row>
    <row r="727" spans="1:13" x14ac:dyDescent="0.3">
      <c r="A727" s="23">
        <v>45422</v>
      </c>
      <c r="B727" t="s">
        <v>12</v>
      </c>
      <c r="C727" t="s">
        <v>132</v>
      </c>
      <c r="D727" t="s">
        <v>17</v>
      </c>
      <c r="E727" t="s">
        <v>41</v>
      </c>
      <c r="F727">
        <v>1006000000</v>
      </c>
      <c r="G727" t="s">
        <v>26</v>
      </c>
      <c r="H727" t="s">
        <v>81</v>
      </c>
      <c r="I727" t="s">
        <v>9</v>
      </c>
      <c r="L727" t="s">
        <v>161</v>
      </c>
      <c r="M727">
        <v>-1006000000</v>
      </c>
    </row>
    <row r="728" spans="1:13" x14ac:dyDescent="0.3">
      <c r="A728" s="23">
        <v>45420</v>
      </c>
      <c r="B728" t="s">
        <v>12</v>
      </c>
      <c r="C728" t="s">
        <v>132</v>
      </c>
      <c r="D728" t="s">
        <v>16</v>
      </c>
      <c r="E728" t="s">
        <v>41</v>
      </c>
      <c r="F728">
        <v>1050000000</v>
      </c>
      <c r="G728" t="s">
        <v>26</v>
      </c>
      <c r="H728" t="s">
        <v>81</v>
      </c>
      <c r="I728" t="s">
        <v>9</v>
      </c>
      <c r="L728" t="s">
        <v>161</v>
      </c>
      <c r="M728">
        <v>1050000000</v>
      </c>
    </row>
    <row r="729" spans="1:13" x14ac:dyDescent="0.3">
      <c r="A729" s="23">
        <v>45418</v>
      </c>
      <c r="B729" t="s">
        <v>12</v>
      </c>
      <c r="C729" t="s">
        <v>132</v>
      </c>
      <c r="D729" t="s">
        <v>17</v>
      </c>
      <c r="E729" t="s">
        <v>41</v>
      </c>
      <c r="F729">
        <v>26000000</v>
      </c>
      <c r="G729" t="s">
        <v>26</v>
      </c>
      <c r="H729" t="s">
        <v>81</v>
      </c>
      <c r="I729" t="s">
        <v>9</v>
      </c>
      <c r="L729" t="s">
        <v>161</v>
      </c>
      <c r="M729">
        <v>-26000000</v>
      </c>
    </row>
    <row r="730" spans="1:13" x14ac:dyDescent="0.3">
      <c r="A730" s="23">
        <v>45414</v>
      </c>
      <c r="B730" t="s">
        <v>12</v>
      </c>
      <c r="C730" t="s">
        <v>132</v>
      </c>
      <c r="D730" t="s">
        <v>17</v>
      </c>
      <c r="E730" t="s">
        <v>41</v>
      </c>
      <c r="F730">
        <v>151300000</v>
      </c>
      <c r="G730" t="s">
        <v>26</v>
      </c>
      <c r="H730" t="s">
        <v>81</v>
      </c>
      <c r="I730" t="s">
        <v>9</v>
      </c>
      <c r="L730" t="s">
        <v>161</v>
      </c>
      <c r="M730">
        <v>-151300000</v>
      </c>
    </row>
    <row r="731" spans="1:13" x14ac:dyDescent="0.3">
      <c r="A731" s="23">
        <v>45412</v>
      </c>
      <c r="B731" t="s">
        <v>12</v>
      </c>
      <c r="C731" t="s">
        <v>132</v>
      </c>
      <c r="D731" t="s">
        <v>17</v>
      </c>
      <c r="E731" t="s">
        <v>41</v>
      </c>
      <c r="F731">
        <v>238100000</v>
      </c>
      <c r="G731" t="s">
        <v>26</v>
      </c>
      <c r="H731" t="s">
        <v>81</v>
      </c>
      <c r="I731" t="s">
        <v>9</v>
      </c>
      <c r="L731" t="s">
        <v>161</v>
      </c>
      <c r="M731">
        <v>-238100000</v>
      </c>
    </row>
    <row r="732" spans="1:13" x14ac:dyDescent="0.3">
      <c r="A732" s="23">
        <v>45408</v>
      </c>
      <c r="B732" t="s">
        <v>12</v>
      </c>
      <c r="C732" t="s">
        <v>132</v>
      </c>
      <c r="D732" t="s">
        <v>17</v>
      </c>
      <c r="E732" t="s">
        <v>41</v>
      </c>
      <c r="F732">
        <v>100000000</v>
      </c>
      <c r="G732" t="s">
        <v>26</v>
      </c>
      <c r="H732" t="s">
        <v>81</v>
      </c>
      <c r="I732" t="s">
        <v>9</v>
      </c>
      <c r="L732" t="s">
        <v>161</v>
      </c>
      <c r="M732">
        <v>-100000000</v>
      </c>
    </row>
    <row r="733" spans="1:13" x14ac:dyDescent="0.3">
      <c r="A733" s="23">
        <v>45407</v>
      </c>
      <c r="B733" t="s">
        <v>12</v>
      </c>
      <c r="C733" t="s">
        <v>132</v>
      </c>
      <c r="D733" t="s">
        <v>17</v>
      </c>
      <c r="E733" t="s">
        <v>41</v>
      </c>
      <c r="F733">
        <v>245000000</v>
      </c>
      <c r="G733" t="s">
        <v>26</v>
      </c>
      <c r="H733" t="s">
        <v>81</v>
      </c>
      <c r="I733" t="s">
        <v>9</v>
      </c>
      <c r="L733" t="s">
        <v>161</v>
      </c>
      <c r="M733">
        <v>-245000000</v>
      </c>
    </row>
    <row r="734" spans="1:13" x14ac:dyDescent="0.3">
      <c r="A734" s="23">
        <v>45139</v>
      </c>
      <c r="B734" t="s">
        <v>12</v>
      </c>
      <c r="C734" t="s">
        <v>132</v>
      </c>
      <c r="D734" t="s">
        <v>16</v>
      </c>
      <c r="E734" t="s">
        <v>41</v>
      </c>
      <c r="F734">
        <v>240000000</v>
      </c>
      <c r="G734" t="s">
        <v>26</v>
      </c>
      <c r="H734" t="s">
        <v>81</v>
      </c>
      <c r="I734" t="s">
        <v>9</v>
      </c>
      <c r="L734" t="s">
        <v>161</v>
      </c>
      <c r="M734">
        <v>240000000</v>
      </c>
    </row>
    <row r="735" spans="1:13" x14ac:dyDescent="0.3">
      <c r="A735" s="23">
        <v>45407</v>
      </c>
      <c r="B735" t="s">
        <v>12</v>
      </c>
      <c r="C735" t="s">
        <v>132</v>
      </c>
      <c r="D735" t="s">
        <v>16</v>
      </c>
      <c r="E735" t="s">
        <v>41</v>
      </c>
      <c r="F735">
        <v>67000000</v>
      </c>
      <c r="G735" t="s">
        <v>26</v>
      </c>
      <c r="H735" t="s">
        <v>81</v>
      </c>
      <c r="I735" t="s">
        <v>9</v>
      </c>
      <c r="L735" t="s">
        <v>161</v>
      </c>
      <c r="M735">
        <v>67000000</v>
      </c>
    </row>
    <row r="736" spans="1:13" x14ac:dyDescent="0.3">
      <c r="A736" s="23">
        <v>45140</v>
      </c>
      <c r="B736" t="s">
        <v>12</v>
      </c>
      <c r="C736" t="s">
        <v>132</v>
      </c>
      <c r="D736" t="s">
        <v>17</v>
      </c>
      <c r="E736" t="s">
        <v>41</v>
      </c>
      <c r="F736">
        <v>130000000</v>
      </c>
      <c r="G736" t="s">
        <v>26</v>
      </c>
      <c r="H736" t="s">
        <v>81</v>
      </c>
      <c r="I736" t="s">
        <v>9</v>
      </c>
      <c r="L736" t="s">
        <v>161</v>
      </c>
      <c r="M736">
        <v>-130000000</v>
      </c>
    </row>
    <row r="737" spans="1:13" x14ac:dyDescent="0.3">
      <c r="A737" s="23">
        <v>45141</v>
      </c>
      <c r="B737" t="s">
        <v>12</v>
      </c>
      <c r="C737" t="s">
        <v>132</v>
      </c>
      <c r="D737" t="s">
        <v>17</v>
      </c>
      <c r="E737" t="s">
        <v>41</v>
      </c>
      <c r="F737">
        <v>100000000</v>
      </c>
      <c r="G737" t="s">
        <v>26</v>
      </c>
      <c r="H737" t="s">
        <v>81</v>
      </c>
      <c r="I737" t="s">
        <v>9</v>
      </c>
      <c r="L737" t="s">
        <v>161</v>
      </c>
      <c r="M737">
        <v>-100000000</v>
      </c>
    </row>
    <row r="738" spans="1:13" x14ac:dyDescent="0.3">
      <c r="A738" s="23">
        <v>45142</v>
      </c>
      <c r="B738" t="s">
        <v>12</v>
      </c>
      <c r="C738" t="s">
        <v>132</v>
      </c>
      <c r="D738" t="s">
        <v>17</v>
      </c>
      <c r="E738" t="s">
        <v>41</v>
      </c>
      <c r="F738">
        <v>10000000</v>
      </c>
      <c r="G738" t="s">
        <v>26</v>
      </c>
      <c r="H738" t="s">
        <v>81</v>
      </c>
      <c r="I738" t="s">
        <v>9</v>
      </c>
      <c r="L738" t="s">
        <v>161</v>
      </c>
      <c r="M738">
        <v>-10000000</v>
      </c>
    </row>
    <row r="739" spans="1:13" x14ac:dyDescent="0.3">
      <c r="A739" s="23">
        <v>45406</v>
      </c>
      <c r="B739" t="s">
        <v>12</v>
      </c>
      <c r="C739" t="s">
        <v>132</v>
      </c>
      <c r="D739" t="s">
        <v>16</v>
      </c>
      <c r="E739" t="s">
        <v>41</v>
      </c>
      <c r="F739">
        <v>400000000</v>
      </c>
      <c r="G739" t="s">
        <v>26</v>
      </c>
      <c r="H739" t="s">
        <v>81</v>
      </c>
      <c r="I739" t="s">
        <v>9</v>
      </c>
      <c r="L739" t="s">
        <v>161</v>
      </c>
      <c r="M739">
        <v>400000000</v>
      </c>
    </row>
    <row r="740" spans="1:13" x14ac:dyDescent="0.3">
      <c r="A740" s="23">
        <v>45405</v>
      </c>
      <c r="B740" t="s">
        <v>12</v>
      </c>
      <c r="C740" t="s">
        <v>132</v>
      </c>
      <c r="D740" t="s">
        <v>17</v>
      </c>
      <c r="E740" t="s">
        <v>41</v>
      </c>
      <c r="F740">
        <v>197100000</v>
      </c>
      <c r="G740" t="s">
        <v>26</v>
      </c>
      <c r="H740" t="s">
        <v>81</v>
      </c>
      <c r="I740" t="s">
        <v>9</v>
      </c>
      <c r="L740" t="s">
        <v>161</v>
      </c>
      <c r="M740">
        <v>-197100000</v>
      </c>
    </row>
    <row r="741" spans="1:13" x14ac:dyDescent="0.3">
      <c r="A741" s="23">
        <v>45146</v>
      </c>
      <c r="B741" t="s">
        <v>12</v>
      </c>
      <c r="C741" t="s">
        <v>132</v>
      </c>
      <c r="D741" t="s">
        <v>16</v>
      </c>
      <c r="E741" t="s">
        <v>41</v>
      </c>
      <c r="F741">
        <v>150000000</v>
      </c>
      <c r="G741" t="s">
        <v>26</v>
      </c>
      <c r="H741" t="s">
        <v>81</v>
      </c>
      <c r="I741" t="s">
        <v>9</v>
      </c>
      <c r="L741" t="s">
        <v>161</v>
      </c>
      <c r="M741">
        <v>150000000</v>
      </c>
    </row>
    <row r="742" spans="1:13" x14ac:dyDescent="0.3">
      <c r="A742" s="23">
        <v>45400</v>
      </c>
      <c r="B742" t="s">
        <v>12</v>
      </c>
      <c r="C742" t="s">
        <v>132</v>
      </c>
      <c r="D742" t="s">
        <v>17</v>
      </c>
      <c r="E742" t="s">
        <v>41</v>
      </c>
      <c r="F742">
        <v>231400000</v>
      </c>
      <c r="G742" t="s">
        <v>26</v>
      </c>
      <c r="H742" t="s">
        <v>81</v>
      </c>
      <c r="I742" t="s">
        <v>9</v>
      </c>
      <c r="L742" t="s">
        <v>161</v>
      </c>
      <c r="M742">
        <v>-231400000</v>
      </c>
    </row>
    <row r="743" spans="1:13" x14ac:dyDescent="0.3">
      <c r="A743" s="23">
        <v>45399</v>
      </c>
      <c r="B743" t="s">
        <v>12</v>
      </c>
      <c r="C743" t="s">
        <v>132</v>
      </c>
      <c r="D743" t="s">
        <v>17</v>
      </c>
      <c r="E743" t="s">
        <v>41</v>
      </c>
      <c r="F743">
        <v>119000000</v>
      </c>
      <c r="G743" t="s">
        <v>26</v>
      </c>
      <c r="H743" t="s">
        <v>81</v>
      </c>
      <c r="I743" t="s">
        <v>9</v>
      </c>
      <c r="L743" t="s">
        <v>161</v>
      </c>
      <c r="M743">
        <v>-119000000</v>
      </c>
    </row>
    <row r="744" spans="1:13" x14ac:dyDescent="0.3">
      <c r="A744" s="23">
        <v>45147</v>
      </c>
      <c r="B744" t="s">
        <v>12</v>
      </c>
      <c r="C744" t="s">
        <v>132</v>
      </c>
      <c r="D744" t="s">
        <v>17</v>
      </c>
      <c r="E744" t="s">
        <v>41</v>
      </c>
      <c r="F744">
        <v>50000000</v>
      </c>
      <c r="G744" t="s">
        <v>26</v>
      </c>
      <c r="H744" t="s">
        <v>81</v>
      </c>
      <c r="I744" t="s">
        <v>9</v>
      </c>
      <c r="L744" t="s">
        <v>161</v>
      </c>
      <c r="M744">
        <v>-50000000</v>
      </c>
    </row>
    <row r="745" spans="1:13" x14ac:dyDescent="0.3">
      <c r="A745" s="23">
        <v>45398</v>
      </c>
      <c r="B745" t="s">
        <v>12</v>
      </c>
      <c r="C745" t="s">
        <v>132</v>
      </c>
      <c r="D745" t="s">
        <v>17</v>
      </c>
      <c r="E745" t="s">
        <v>41</v>
      </c>
      <c r="F745">
        <v>131600000</v>
      </c>
      <c r="G745" t="s">
        <v>26</v>
      </c>
      <c r="H745" t="s">
        <v>81</v>
      </c>
      <c r="I745" t="s">
        <v>9</v>
      </c>
      <c r="L745" t="s">
        <v>161</v>
      </c>
      <c r="M745">
        <v>-131600000</v>
      </c>
    </row>
    <row r="746" spans="1:13" x14ac:dyDescent="0.3">
      <c r="A746" s="23">
        <v>45148</v>
      </c>
      <c r="B746" t="s">
        <v>12</v>
      </c>
      <c r="C746" t="s">
        <v>132</v>
      </c>
      <c r="D746" t="s">
        <v>16</v>
      </c>
      <c r="E746" t="s">
        <v>41</v>
      </c>
      <c r="F746">
        <v>556348.07999999996</v>
      </c>
      <c r="G746" t="s">
        <v>26</v>
      </c>
      <c r="H746" t="s">
        <v>81</v>
      </c>
      <c r="I746" t="s">
        <v>9</v>
      </c>
      <c r="L746" t="s">
        <v>161</v>
      </c>
      <c r="M746">
        <v>556348.07999999996</v>
      </c>
    </row>
    <row r="747" spans="1:13" x14ac:dyDescent="0.3">
      <c r="A747" s="23">
        <v>45397</v>
      </c>
      <c r="B747" t="s">
        <v>12</v>
      </c>
      <c r="C747" t="s">
        <v>132</v>
      </c>
      <c r="D747" t="s">
        <v>17</v>
      </c>
      <c r="E747" t="s">
        <v>41</v>
      </c>
      <c r="F747">
        <v>400800000</v>
      </c>
      <c r="G747" t="s">
        <v>26</v>
      </c>
      <c r="H747" t="s">
        <v>81</v>
      </c>
      <c r="I747" t="s">
        <v>9</v>
      </c>
      <c r="L747" t="s">
        <v>161</v>
      </c>
      <c r="M747">
        <v>-400800000</v>
      </c>
    </row>
    <row r="748" spans="1:13" x14ac:dyDescent="0.3">
      <c r="A748" s="23">
        <v>45393</v>
      </c>
      <c r="B748" t="s">
        <v>12</v>
      </c>
      <c r="C748" t="s">
        <v>132</v>
      </c>
      <c r="D748" t="s">
        <v>16</v>
      </c>
      <c r="E748" t="s">
        <v>41</v>
      </c>
      <c r="F748">
        <v>214800000</v>
      </c>
      <c r="G748" t="s">
        <v>26</v>
      </c>
      <c r="H748" t="s">
        <v>81</v>
      </c>
      <c r="I748" t="s">
        <v>9</v>
      </c>
      <c r="L748" t="s">
        <v>161</v>
      </c>
      <c r="M748">
        <v>214800000</v>
      </c>
    </row>
    <row r="749" spans="1:13" x14ac:dyDescent="0.3">
      <c r="A749" s="23">
        <v>45148</v>
      </c>
      <c r="B749" t="s">
        <v>12</v>
      </c>
      <c r="C749" t="s">
        <v>132</v>
      </c>
      <c r="D749" t="s">
        <v>17</v>
      </c>
      <c r="E749" t="s">
        <v>41</v>
      </c>
      <c r="F749">
        <v>95000000</v>
      </c>
      <c r="G749" t="s">
        <v>26</v>
      </c>
      <c r="H749" t="s">
        <v>81</v>
      </c>
      <c r="I749" t="s">
        <v>9</v>
      </c>
      <c r="L749" t="s">
        <v>161</v>
      </c>
      <c r="M749">
        <v>-95000000</v>
      </c>
    </row>
    <row r="750" spans="1:13" x14ac:dyDescent="0.3">
      <c r="A750" s="23">
        <v>45391</v>
      </c>
      <c r="B750" t="s">
        <v>12</v>
      </c>
      <c r="C750" t="s">
        <v>132</v>
      </c>
      <c r="D750" t="s">
        <v>17</v>
      </c>
      <c r="E750" t="s">
        <v>41</v>
      </c>
      <c r="F750">
        <v>177900000</v>
      </c>
      <c r="G750" t="s">
        <v>26</v>
      </c>
      <c r="H750" t="s">
        <v>81</v>
      </c>
      <c r="I750" t="s">
        <v>9</v>
      </c>
      <c r="L750" t="s">
        <v>161</v>
      </c>
      <c r="M750">
        <v>-177900000</v>
      </c>
    </row>
    <row r="751" spans="1:13" x14ac:dyDescent="0.3">
      <c r="A751" s="23">
        <v>45149</v>
      </c>
      <c r="B751" t="s">
        <v>12</v>
      </c>
      <c r="C751" t="s">
        <v>132</v>
      </c>
      <c r="D751" t="s">
        <v>16</v>
      </c>
      <c r="E751" t="s">
        <v>41</v>
      </c>
      <c r="F751">
        <v>15600000</v>
      </c>
      <c r="G751" t="s">
        <v>26</v>
      </c>
      <c r="H751" t="s">
        <v>81</v>
      </c>
      <c r="I751" t="s">
        <v>9</v>
      </c>
      <c r="L751" t="s">
        <v>161</v>
      </c>
      <c r="M751">
        <v>15600000</v>
      </c>
    </row>
    <row r="752" spans="1:13" x14ac:dyDescent="0.3">
      <c r="A752" s="23">
        <v>45152</v>
      </c>
      <c r="B752" t="s">
        <v>12</v>
      </c>
      <c r="C752" t="s">
        <v>132</v>
      </c>
      <c r="D752" t="s">
        <v>17</v>
      </c>
      <c r="E752" t="s">
        <v>41</v>
      </c>
      <c r="F752">
        <v>21156348.079999998</v>
      </c>
      <c r="G752" t="s">
        <v>26</v>
      </c>
      <c r="H752" t="s">
        <v>81</v>
      </c>
      <c r="I752" t="s">
        <v>9</v>
      </c>
      <c r="L752" t="s">
        <v>161</v>
      </c>
      <c r="M752">
        <v>-21156348.079999998</v>
      </c>
    </row>
    <row r="753" spans="1:13" x14ac:dyDescent="0.3">
      <c r="A753" s="23">
        <v>45153</v>
      </c>
      <c r="B753" t="s">
        <v>12</v>
      </c>
      <c r="C753" t="s">
        <v>132</v>
      </c>
      <c r="D753" t="s">
        <v>16</v>
      </c>
      <c r="E753" t="s">
        <v>41</v>
      </c>
      <c r="F753">
        <v>250800000</v>
      </c>
      <c r="G753" t="s">
        <v>26</v>
      </c>
      <c r="H753" t="s">
        <v>81</v>
      </c>
      <c r="I753" t="s">
        <v>9</v>
      </c>
      <c r="L753" t="s">
        <v>161</v>
      </c>
      <c r="M753">
        <v>250800000</v>
      </c>
    </row>
    <row r="754" spans="1:13" x14ac:dyDescent="0.3">
      <c r="A754" s="23">
        <v>45386</v>
      </c>
      <c r="B754" t="s">
        <v>12</v>
      </c>
      <c r="C754" t="s">
        <v>132</v>
      </c>
      <c r="D754" t="s">
        <v>16</v>
      </c>
      <c r="E754" t="s">
        <v>41</v>
      </c>
      <c r="F754">
        <v>1100000000</v>
      </c>
      <c r="G754" t="s">
        <v>26</v>
      </c>
      <c r="H754" t="s">
        <v>81</v>
      </c>
      <c r="I754" t="s">
        <v>9</v>
      </c>
      <c r="L754" t="s">
        <v>161</v>
      </c>
      <c r="M754">
        <v>1100000000</v>
      </c>
    </row>
    <row r="755" spans="1:13" x14ac:dyDescent="0.3">
      <c r="A755" s="23">
        <v>45154</v>
      </c>
      <c r="B755" t="s">
        <v>12</v>
      </c>
      <c r="C755" t="s">
        <v>132</v>
      </c>
      <c r="D755" t="s">
        <v>17</v>
      </c>
      <c r="E755" t="s">
        <v>41</v>
      </c>
      <c r="F755">
        <v>248500000</v>
      </c>
      <c r="G755" t="s">
        <v>26</v>
      </c>
      <c r="H755" t="s">
        <v>81</v>
      </c>
      <c r="I755" t="s">
        <v>9</v>
      </c>
      <c r="L755" t="s">
        <v>161</v>
      </c>
      <c r="M755">
        <v>-248500000</v>
      </c>
    </row>
    <row r="756" spans="1:13" x14ac:dyDescent="0.3">
      <c r="A756" s="23">
        <v>45383</v>
      </c>
      <c r="B756" t="s">
        <v>12</v>
      </c>
      <c r="C756" t="s">
        <v>132</v>
      </c>
      <c r="D756" t="s">
        <v>16</v>
      </c>
      <c r="E756" t="s">
        <v>41</v>
      </c>
      <c r="F756">
        <v>21250000</v>
      </c>
      <c r="G756" t="s">
        <v>26</v>
      </c>
      <c r="H756" t="s">
        <v>81</v>
      </c>
      <c r="I756" t="s">
        <v>9</v>
      </c>
      <c r="L756" t="s">
        <v>161</v>
      </c>
      <c r="M756">
        <v>21250000</v>
      </c>
    </row>
    <row r="757" spans="1:13" x14ac:dyDescent="0.3">
      <c r="A757" s="23">
        <v>45155</v>
      </c>
      <c r="B757" t="s">
        <v>12</v>
      </c>
      <c r="C757" t="s">
        <v>132</v>
      </c>
      <c r="D757" t="s">
        <v>17</v>
      </c>
      <c r="E757" t="s">
        <v>41</v>
      </c>
      <c r="F757">
        <v>2300000</v>
      </c>
      <c r="G757" t="s">
        <v>26</v>
      </c>
      <c r="H757" t="s">
        <v>81</v>
      </c>
      <c r="I757" t="s">
        <v>9</v>
      </c>
      <c r="L757" t="s">
        <v>161</v>
      </c>
      <c r="M757">
        <v>-2300000</v>
      </c>
    </row>
    <row r="758" spans="1:13" x14ac:dyDescent="0.3">
      <c r="A758" s="23">
        <v>45377</v>
      </c>
      <c r="B758" t="s">
        <v>12</v>
      </c>
      <c r="C758" t="s">
        <v>132</v>
      </c>
      <c r="D758" t="s">
        <v>16</v>
      </c>
      <c r="E758" t="s">
        <v>41</v>
      </c>
      <c r="F758">
        <v>666900000</v>
      </c>
      <c r="G758" t="s">
        <v>26</v>
      </c>
      <c r="H758" t="s">
        <v>81</v>
      </c>
      <c r="I758" t="s">
        <v>9</v>
      </c>
      <c r="L758" t="s">
        <v>161</v>
      </c>
      <c r="M758">
        <v>666900000</v>
      </c>
    </row>
    <row r="759" spans="1:13" x14ac:dyDescent="0.3">
      <c r="A759" s="23">
        <v>45376</v>
      </c>
      <c r="B759" t="s">
        <v>12</v>
      </c>
      <c r="C759" t="s">
        <v>132</v>
      </c>
      <c r="D759" t="s">
        <v>17</v>
      </c>
      <c r="E759" t="s">
        <v>41</v>
      </c>
      <c r="F759">
        <v>103400000</v>
      </c>
      <c r="G759" t="s">
        <v>26</v>
      </c>
      <c r="H759" t="s">
        <v>81</v>
      </c>
      <c r="I759" t="s">
        <v>9</v>
      </c>
      <c r="L759" t="s">
        <v>161</v>
      </c>
      <c r="M759">
        <v>-103400000</v>
      </c>
    </row>
    <row r="760" spans="1:13" x14ac:dyDescent="0.3">
      <c r="A760" s="23">
        <v>45160</v>
      </c>
      <c r="B760" t="s">
        <v>12</v>
      </c>
      <c r="C760" t="s">
        <v>132</v>
      </c>
      <c r="D760" t="s">
        <v>16</v>
      </c>
      <c r="E760" t="s">
        <v>41</v>
      </c>
      <c r="F760">
        <v>78200000</v>
      </c>
      <c r="G760" t="s">
        <v>26</v>
      </c>
      <c r="H760" t="s">
        <v>81</v>
      </c>
      <c r="I760" t="s">
        <v>9</v>
      </c>
      <c r="L760" t="s">
        <v>161</v>
      </c>
      <c r="M760">
        <v>78200000</v>
      </c>
    </row>
    <row r="761" spans="1:13" x14ac:dyDescent="0.3">
      <c r="A761" s="23">
        <v>45372</v>
      </c>
      <c r="B761" t="s">
        <v>12</v>
      </c>
      <c r="C761" t="s">
        <v>132</v>
      </c>
      <c r="D761" t="s">
        <v>16</v>
      </c>
      <c r="E761" t="s">
        <v>41</v>
      </c>
      <c r="F761">
        <v>300000000</v>
      </c>
      <c r="G761" t="s">
        <v>26</v>
      </c>
      <c r="H761" t="s">
        <v>81</v>
      </c>
      <c r="I761" t="s">
        <v>9</v>
      </c>
      <c r="L761" t="s">
        <v>161</v>
      </c>
      <c r="M761">
        <v>300000000</v>
      </c>
    </row>
    <row r="762" spans="1:13" x14ac:dyDescent="0.3">
      <c r="A762" s="23">
        <v>45371</v>
      </c>
      <c r="B762" t="s">
        <v>12</v>
      </c>
      <c r="C762" t="s">
        <v>132</v>
      </c>
      <c r="D762" t="s">
        <v>17</v>
      </c>
      <c r="E762" t="s">
        <v>41</v>
      </c>
      <c r="F762">
        <v>25000000</v>
      </c>
      <c r="G762" t="s">
        <v>26</v>
      </c>
      <c r="H762" t="s">
        <v>81</v>
      </c>
      <c r="I762" t="s">
        <v>9</v>
      </c>
      <c r="L762" t="s">
        <v>161</v>
      </c>
      <c r="M762">
        <v>-25000000</v>
      </c>
    </row>
    <row r="763" spans="1:13" x14ac:dyDescent="0.3">
      <c r="A763" s="23">
        <v>45370</v>
      </c>
      <c r="B763" t="s">
        <v>12</v>
      </c>
      <c r="C763" t="s">
        <v>132</v>
      </c>
      <c r="D763" t="s">
        <v>17</v>
      </c>
      <c r="E763" t="s">
        <v>41</v>
      </c>
      <c r="F763">
        <v>50000000</v>
      </c>
      <c r="G763" t="s">
        <v>26</v>
      </c>
      <c r="H763" t="s">
        <v>81</v>
      </c>
      <c r="I763" t="s">
        <v>9</v>
      </c>
      <c r="L763" t="s">
        <v>161</v>
      </c>
      <c r="M763">
        <v>-50000000</v>
      </c>
    </row>
    <row r="764" spans="1:13" x14ac:dyDescent="0.3">
      <c r="A764" s="23">
        <v>45369</v>
      </c>
      <c r="B764" t="s">
        <v>12</v>
      </c>
      <c r="C764" t="s">
        <v>132</v>
      </c>
      <c r="D764" t="s">
        <v>17</v>
      </c>
      <c r="E764" t="s">
        <v>41</v>
      </c>
      <c r="F764">
        <v>50000000</v>
      </c>
      <c r="G764" t="s">
        <v>26</v>
      </c>
      <c r="H764" t="s">
        <v>81</v>
      </c>
      <c r="I764" t="s">
        <v>9</v>
      </c>
      <c r="L764" t="s">
        <v>161</v>
      </c>
      <c r="M764">
        <v>-50000000</v>
      </c>
    </row>
    <row r="765" spans="1:13" x14ac:dyDescent="0.3">
      <c r="A765" s="23">
        <v>45364</v>
      </c>
      <c r="B765" t="s">
        <v>12</v>
      </c>
      <c r="C765" t="s">
        <v>132</v>
      </c>
      <c r="D765" t="s">
        <v>17</v>
      </c>
      <c r="E765" t="s">
        <v>41</v>
      </c>
      <c r="F765">
        <v>30000000</v>
      </c>
      <c r="G765" t="s">
        <v>26</v>
      </c>
      <c r="H765" t="s">
        <v>81</v>
      </c>
      <c r="I765" t="s">
        <v>9</v>
      </c>
      <c r="L765" t="s">
        <v>161</v>
      </c>
      <c r="M765">
        <v>-30000000</v>
      </c>
    </row>
    <row r="766" spans="1:13" x14ac:dyDescent="0.3">
      <c r="A766" s="23">
        <v>45166</v>
      </c>
      <c r="B766" t="s">
        <v>12</v>
      </c>
      <c r="C766" t="s">
        <v>132</v>
      </c>
      <c r="D766" t="s">
        <v>17</v>
      </c>
      <c r="E766" t="s">
        <v>41</v>
      </c>
      <c r="F766">
        <v>500000</v>
      </c>
      <c r="G766" t="s">
        <v>26</v>
      </c>
      <c r="H766" t="s">
        <v>81</v>
      </c>
      <c r="I766" t="s">
        <v>9</v>
      </c>
      <c r="L766" t="s">
        <v>161</v>
      </c>
      <c r="M766">
        <v>-500000</v>
      </c>
    </row>
    <row r="767" spans="1:13" x14ac:dyDescent="0.3">
      <c r="A767" s="23">
        <v>45362</v>
      </c>
      <c r="B767" t="s">
        <v>12</v>
      </c>
      <c r="C767" t="s">
        <v>132</v>
      </c>
      <c r="D767" t="s">
        <v>17</v>
      </c>
      <c r="E767" t="s">
        <v>41</v>
      </c>
      <c r="F767">
        <v>282200000</v>
      </c>
      <c r="G767" t="s">
        <v>26</v>
      </c>
      <c r="H767" t="s">
        <v>81</v>
      </c>
      <c r="I767" t="s">
        <v>9</v>
      </c>
      <c r="L767" t="s">
        <v>161</v>
      </c>
      <c r="M767">
        <v>-282200000</v>
      </c>
    </row>
    <row r="768" spans="1:13" x14ac:dyDescent="0.3">
      <c r="A768" s="23">
        <v>45359</v>
      </c>
      <c r="B768" t="s">
        <v>12</v>
      </c>
      <c r="C768" t="s">
        <v>132</v>
      </c>
      <c r="D768" t="s">
        <v>16</v>
      </c>
      <c r="E768" t="s">
        <v>41</v>
      </c>
      <c r="F768">
        <v>13300000</v>
      </c>
      <c r="G768" t="s">
        <v>26</v>
      </c>
      <c r="H768" t="s">
        <v>81</v>
      </c>
      <c r="I768" t="s">
        <v>9</v>
      </c>
      <c r="L768" t="s">
        <v>161</v>
      </c>
      <c r="M768">
        <v>13300000</v>
      </c>
    </row>
    <row r="769" spans="1:13" x14ac:dyDescent="0.3">
      <c r="A769" s="23">
        <v>45359</v>
      </c>
      <c r="B769" t="s">
        <v>12</v>
      </c>
      <c r="C769" t="s">
        <v>132</v>
      </c>
      <c r="D769" t="s">
        <v>17</v>
      </c>
      <c r="E769" t="s">
        <v>41</v>
      </c>
      <c r="F769">
        <v>100000000</v>
      </c>
      <c r="G769" t="s">
        <v>26</v>
      </c>
      <c r="H769" t="s">
        <v>81</v>
      </c>
      <c r="I769" t="s">
        <v>9</v>
      </c>
      <c r="L769" t="s">
        <v>161</v>
      </c>
      <c r="M769">
        <v>-100000000</v>
      </c>
    </row>
    <row r="770" spans="1:13" x14ac:dyDescent="0.3">
      <c r="A770" s="23">
        <v>45358</v>
      </c>
      <c r="B770" t="s">
        <v>12</v>
      </c>
      <c r="C770" t="s">
        <v>132</v>
      </c>
      <c r="D770" t="s">
        <v>16</v>
      </c>
      <c r="E770" t="s">
        <v>41</v>
      </c>
      <c r="F770">
        <v>200000000</v>
      </c>
      <c r="G770" t="s">
        <v>26</v>
      </c>
      <c r="H770" t="s">
        <v>81</v>
      </c>
      <c r="I770" t="s">
        <v>9</v>
      </c>
      <c r="L770" t="s">
        <v>161</v>
      </c>
      <c r="M770">
        <v>200000000</v>
      </c>
    </row>
    <row r="771" spans="1:13" x14ac:dyDescent="0.3">
      <c r="A771" s="23">
        <v>45356</v>
      </c>
      <c r="B771" t="s">
        <v>12</v>
      </c>
      <c r="C771" t="s">
        <v>132</v>
      </c>
      <c r="D771" t="s">
        <v>16</v>
      </c>
      <c r="E771" t="s">
        <v>41</v>
      </c>
      <c r="F771">
        <v>154300000</v>
      </c>
      <c r="G771" t="s">
        <v>26</v>
      </c>
      <c r="H771" t="s">
        <v>81</v>
      </c>
      <c r="I771" t="s">
        <v>9</v>
      </c>
      <c r="L771" t="s">
        <v>161</v>
      </c>
      <c r="M771">
        <v>154300000</v>
      </c>
    </row>
    <row r="772" spans="1:13" x14ac:dyDescent="0.3">
      <c r="A772" s="23">
        <v>45170</v>
      </c>
      <c r="B772" t="s">
        <v>12</v>
      </c>
      <c r="C772" t="s">
        <v>132</v>
      </c>
      <c r="D772" t="s">
        <v>16</v>
      </c>
      <c r="E772" t="s">
        <v>41</v>
      </c>
      <c r="F772">
        <v>2033730.11</v>
      </c>
      <c r="G772" t="s">
        <v>26</v>
      </c>
      <c r="H772" t="s">
        <v>81</v>
      </c>
      <c r="I772" t="s">
        <v>9</v>
      </c>
      <c r="L772" t="s">
        <v>161</v>
      </c>
      <c r="M772">
        <v>2033730.11</v>
      </c>
    </row>
    <row r="773" spans="1:13" x14ac:dyDescent="0.3">
      <c r="A773" s="23">
        <v>45352</v>
      </c>
      <c r="B773" t="s">
        <v>12</v>
      </c>
      <c r="C773" t="s">
        <v>132</v>
      </c>
      <c r="D773" t="s">
        <v>17</v>
      </c>
      <c r="E773" t="s">
        <v>41</v>
      </c>
      <c r="F773">
        <v>303100000</v>
      </c>
      <c r="G773" t="s">
        <v>26</v>
      </c>
      <c r="H773" t="s">
        <v>81</v>
      </c>
      <c r="I773" t="s">
        <v>9</v>
      </c>
      <c r="L773" t="s">
        <v>161</v>
      </c>
      <c r="M773">
        <v>-303100000</v>
      </c>
    </row>
    <row r="774" spans="1:13" x14ac:dyDescent="0.3">
      <c r="A774" s="23">
        <v>45349</v>
      </c>
      <c r="B774" t="s">
        <v>12</v>
      </c>
      <c r="C774" t="s">
        <v>132</v>
      </c>
      <c r="D774" t="s">
        <v>16</v>
      </c>
      <c r="E774" t="s">
        <v>41</v>
      </c>
      <c r="F774">
        <v>15750000</v>
      </c>
      <c r="G774" t="s">
        <v>26</v>
      </c>
      <c r="H774" t="s">
        <v>81</v>
      </c>
      <c r="I774" t="s">
        <v>9</v>
      </c>
      <c r="L774" t="s">
        <v>161</v>
      </c>
      <c r="M774">
        <v>15750000</v>
      </c>
    </row>
    <row r="775" spans="1:13" x14ac:dyDescent="0.3">
      <c r="A775" s="23">
        <v>45349</v>
      </c>
      <c r="B775" t="s">
        <v>12</v>
      </c>
      <c r="C775" t="s">
        <v>132</v>
      </c>
      <c r="D775" t="s">
        <v>17</v>
      </c>
      <c r="E775" t="s">
        <v>41</v>
      </c>
      <c r="F775">
        <v>182400000</v>
      </c>
      <c r="G775" t="s">
        <v>26</v>
      </c>
      <c r="H775" t="s">
        <v>81</v>
      </c>
      <c r="I775" t="s">
        <v>9</v>
      </c>
      <c r="L775" t="s">
        <v>161</v>
      </c>
      <c r="M775">
        <v>-182400000</v>
      </c>
    </row>
    <row r="776" spans="1:13" x14ac:dyDescent="0.3">
      <c r="A776" s="23">
        <v>45348</v>
      </c>
      <c r="B776" t="s">
        <v>12</v>
      </c>
      <c r="C776" t="s">
        <v>132</v>
      </c>
      <c r="D776" t="s">
        <v>17</v>
      </c>
      <c r="E776" t="s">
        <v>41</v>
      </c>
      <c r="F776">
        <v>500000000</v>
      </c>
      <c r="G776" t="s">
        <v>26</v>
      </c>
      <c r="H776" t="s">
        <v>81</v>
      </c>
      <c r="I776" t="s">
        <v>9</v>
      </c>
      <c r="L776" t="s">
        <v>161</v>
      </c>
      <c r="M776">
        <v>-500000000</v>
      </c>
    </row>
    <row r="777" spans="1:13" x14ac:dyDescent="0.3">
      <c r="A777" s="23">
        <v>45173</v>
      </c>
      <c r="B777" t="s">
        <v>12</v>
      </c>
      <c r="C777" t="s">
        <v>132</v>
      </c>
      <c r="D777" t="s">
        <v>16</v>
      </c>
      <c r="E777" t="s">
        <v>41</v>
      </c>
      <c r="F777">
        <v>35700000</v>
      </c>
      <c r="G777" t="s">
        <v>26</v>
      </c>
      <c r="H777" t="s">
        <v>81</v>
      </c>
      <c r="I777" t="s">
        <v>9</v>
      </c>
      <c r="L777" t="s">
        <v>161</v>
      </c>
      <c r="M777">
        <v>35700000</v>
      </c>
    </row>
    <row r="778" spans="1:13" x14ac:dyDescent="0.3">
      <c r="A778" s="23">
        <v>45343</v>
      </c>
      <c r="B778" t="s">
        <v>12</v>
      </c>
      <c r="C778" t="s">
        <v>132</v>
      </c>
      <c r="D778" t="s">
        <v>16</v>
      </c>
      <c r="E778" t="s">
        <v>41</v>
      </c>
      <c r="F778">
        <v>5250000</v>
      </c>
      <c r="G778" t="s">
        <v>26</v>
      </c>
      <c r="H778" t="s">
        <v>81</v>
      </c>
      <c r="I778" t="s">
        <v>9</v>
      </c>
      <c r="L778" t="s">
        <v>161</v>
      </c>
      <c r="M778">
        <v>5250000</v>
      </c>
    </row>
    <row r="779" spans="1:13" x14ac:dyDescent="0.3">
      <c r="A779" s="23">
        <v>45342</v>
      </c>
      <c r="B779" t="s">
        <v>12</v>
      </c>
      <c r="C779" t="s">
        <v>132</v>
      </c>
      <c r="D779" t="s">
        <v>16</v>
      </c>
      <c r="E779" t="s">
        <v>41</v>
      </c>
      <c r="F779">
        <v>1000000000</v>
      </c>
      <c r="G779" t="s">
        <v>26</v>
      </c>
      <c r="H779" t="s">
        <v>81</v>
      </c>
      <c r="I779" t="s">
        <v>9</v>
      </c>
      <c r="L779" t="s">
        <v>161</v>
      </c>
      <c r="M779">
        <v>1000000000</v>
      </c>
    </row>
    <row r="780" spans="1:13" x14ac:dyDescent="0.3">
      <c r="A780" s="23">
        <v>45337</v>
      </c>
      <c r="B780" t="s">
        <v>12</v>
      </c>
      <c r="C780" t="s">
        <v>132</v>
      </c>
      <c r="D780" t="s">
        <v>16</v>
      </c>
      <c r="E780" t="s">
        <v>41</v>
      </c>
      <c r="F780">
        <v>200000000</v>
      </c>
      <c r="G780" t="s">
        <v>26</v>
      </c>
      <c r="H780" t="s">
        <v>81</v>
      </c>
      <c r="I780" t="s">
        <v>9</v>
      </c>
      <c r="L780" t="s">
        <v>161</v>
      </c>
      <c r="M780">
        <v>200000000</v>
      </c>
    </row>
    <row r="781" spans="1:13" x14ac:dyDescent="0.3">
      <c r="A781" s="23">
        <v>45177</v>
      </c>
      <c r="B781" t="s">
        <v>12</v>
      </c>
      <c r="C781" t="s">
        <v>132</v>
      </c>
      <c r="D781" t="s">
        <v>17</v>
      </c>
      <c r="E781" t="s">
        <v>41</v>
      </c>
      <c r="F781">
        <v>75200000</v>
      </c>
      <c r="G781" t="s">
        <v>26</v>
      </c>
      <c r="H781" t="s">
        <v>81</v>
      </c>
      <c r="I781" t="s">
        <v>9</v>
      </c>
      <c r="L781" t="s">
        <v>161</v>
      </c>
      <c r="M781">
        <v>-75200000</v>
      </c>
    </row>
    <row r="782" spans="1:13" x14ac:dyDescent="0.3">
      <c r="A782" s="23">
        <v>45337</v>
      </c>
      <c r="B782" t="s">
        <v>12</v>
      </c>
      <c r="C782" t="s">
        <v>132</v>
      </c>
      <c r="D782" t="s">
        <v>16</v>
      </c>
      <c r="E782" t="s">
        <v>41</v>
      </c>
      <c r="F782">
        <v>8600000</v>
      </c>
      <c r="G782" t="s">
        <v>26</v>
      </c>
      <c r="H782" t="s">
        <v>81</v>
      </c>
      <c r="I782" t="s">
        <v>9</v>
      </c>
      <c r="L782" t="s">
        <v>161</v>
      </c>
      <c r="M782">
        <v>8600000</v>
      </c>
    </row>
    <row r="783" spans="1:13" x14ac:dyDescent="0.3">
      <c r="A783" s="23">
        <v>45336</v>
      </c>
      <c r="B783" t="s">
        <v>12</v>
      </c>
      <c r="C783" t="s">
        <v>132</v>
      </c>
      <c r="D783" t="s">
        <v>17</v>
      </c>
      <c r="E783" t="s">
        <v>41</v>
      </c>
      <c r="F783">
        <v>100000000</v>
      </c>
      <c r="G783" t="s">
        <v>26</v>
      </c>
      <c r="H783" t="s">
        <v>81</v>
      </c>
      <c r="I783" t="s">
        <v>9</v>
      </c>
      <c r="L783" t="s">
        <v>161</v>
      </c>
      <c r="M783">
        <v>-100000000</v>
      </c>
    </row>
    <row r="784" spans="1:13" x14ac:dyDescent="0.3">
      <c r="A784" s="23">
        <v>45180</v>
      </c>
      <c r="B784" t="s">
        <v>12</v>
      </c>
      <c r="C784" t="s">
        <v>132</v>
      </c>
      <c r="D784" t="s">
        <v>17</v>
      </c>
      <c r="E784" t="s">
        <v>41</v>
      </c>
      <c r="F784">
        <v>30000000</v>
      </c>
      <c r="G784" t="s">
        <v>26</v>
      </c>
      <c r="H784" t="s">
        <v>81</v>
      </c>
      <c r="I784" t="s">
        <v>9</v>
      </c>
      <c r="L784" t="s">
        <v>161</v>
      </c>
      <c r="M784">
        <v>-30000000</v>
      </c>
    </row>
    <row r="785" spans="1:13" x14ac:dyDescent="0.3">
      <c r="A785" s="23">
        <v>45330</v>
      </c>
      <c r="B785" t="s">
        <v>12</v>
      </c>
      <c r="C785" t="s">
        <v>132</v>
      </c>
      <c r="D785" t="s">
        <v>17</v>
      </c>
      <c r="E785" t="s">
        <v>41</v>
      </c>
      <c r="F785">
        <v>275500000</v>
      </c>
      <c r="G785" t="s">
        <v>26</v>
      </c>
      <c r="H785" t="s">
        <v>81</v>
      </c>
      <c r="I785" t="s">
        <v>9</v>
      </c>
      <c r="L785" t="s">
        <v>161</v>
      </c>
      <c r="M785">
        <v>-275500000</v>
      </c>
    </row>
    <row r="786" spans="1:13" x14ac:dyDescent="0.3">
      <c r="A786" s="23">
        <v>45181</v>
      </c>
      <c r="B786" t="s">
        <v>12</v>
      </c>
      <c r="C786" t="s">
        <v>132</v>
      </c>
      <c r="D786" t="s">
        <v>16</v>
      </c>
      <c r="E786" t="s">
        <v>41</v>
      </c>
      <c r="F786">
        <v>57900000</v>
      </c>
      <c r="G786" t="s">
        <v>26</v>
      </c>
      <c r="H786" t="s">
        <v>81</v>
      </c>
      <c r="I786" t="s">
        <v>9</v>
      </c>
      <c r="L786" t="s">
        <v>161</v>
      </c>
      <c r="M786">
        <v>57900000</v>
      </c>
    </row>
    <row r="787" spans="1:13" x14ac:dyDescent="0.3">
      <c r="A787" s="23">
        <v>45328</v>
      </c>
      <c r="B787" t="s">
        <v>12</v>
      </c>
      <c r="C787" t="s">
        <v>132</v>
      </c>
      <c r="D787" t="s">
        <v>16</v>
      </c>
      <c r="E787" t="s">
        <v>41</v>
      </c>
      <c r="F787">
        <v>313000000</v>
      </c>
      <c r="G787" t="s">
        <v>26</v>
      </c>
      <c r="H787" t="s">
        <v>81</v>
      </c>
      <c r="I787" t="s">
        <v>9</v>
      </c>
      <c r="L787" t="s">
        <v>161</v>
      </c>
      <c r="M787">
        <v>313000000</v>
      </c>
    </row>
    <row r="788" spans="1:13" x14ac:dyDescent="0.3">
      <c r="A788" s="23">
        <v>45183</v>
      </c>
      <c r="B788" t="s">
        <v>12</v>
      </c>
      <c r="C788" t="s">
        <v>132</v>
      </c>
      <c r="D788" t="s">
        <v>17</v>
      </c>
      <c r="E788" t="s">
        <v>41</v>
      </c>
      <c r="F788">
        <v>54600000</v>
      </c>
      <c r="G788" t="s">
        <v>26</v>
      </c>
      <c r="H788" t="s">
        <v>81</v>
      </c>
      <c r="I788" t="s">
        <v>9</v>
      </c>
      <c r="L788" t="s">
        <v>161</v>
      </c>
      <c r="M788">
        <v>-54600000</v>
      </c>
    </row>
    <row r="789" spans="1:13" x14ac:dyDescent="0.3">
      <c r="A789" s="23">
        <v>45327</v>
      </c>
      <c r="B789" t="s">
        <v>12</v>
      </c>
      <c r="C789" t="s">
        <v>132</v>
      </c>
      <c r="D789" t="s">
        <v>17</v>
      </c>
      <c r="E789" t="s">
        <v>41</v>
      </c>
      <c r="F789">
        <v>50000000</v>
      </c>
      <c r="G789" t="s">
        <v>26</v>
      </c>
      <c r="H789" t="s">
        <v>81</v>
      </c>
      <c r="I789" t="s">
        <v>9</v>
      </c>
      <c r="L789" t="s">
        <v>161</v>
      </c>
      <c r="M789">
        <v>-50000000</v>
      </c>
    </row>
    <row r="790" spans="1:13" x14ac:dyDescent="0.3">
      <c r="A790" s="23">
        <v>45323</v>
      </c>
      <c r="B790" t="s">
        <v>12</v>
      </c>
      <c r="C790" t="s">
        <v>132</v>
      </c>
      <c r="D790" t="s">
        <v>17</v>
      </c>
      <c r="E790" t="s">
        <v>41</v>
      </c>
      <c r="F790">
        <v>334600000</v>
      </c>
      <c r="G790" t="s">
        <v>26</v>
      </c>
      <c r="H790" t="s">
        <v>81</v>
      </c>
      <c r="I790" t="s">
        <v>9</v>
      </c>
      <c r="L790" t="s">
        <v>161</v>
      </c>
      <c r="M790">
        <v>-334600000</v>
      </c>
    </row>
    <row r="791" spans="1:13" x14ac:dyDescent="0.3">
      <c r="A791" s="23">
        <v>45184</v>
      </c>
      <c r="B791" t="s">
        <v>12</v>
      </c>
      <c r="C791" t="s">
        <v>132</v>
      </c>
      <c r="D791" t="s">
        <v>16</v>
      </c>
      <c r="E791" t="s">
        <v>41</v>
      </c>
      <c r="F791">
        <v>2639307.5699999998</v>
      </c>
      <c r="G791" t="s">
        <v>26</v>
      </c>
      <c r="H791" t="s">
        <v>81</v>
      </c>
      <c r="I791" t="s">
        <v>9</v>
      </c>
      <c r="L791" t="s">
        <v>161</v>
      </c>
      <c r="M791">
        <v>2639307.5699999998</v>
      </c>
    </row>
    <row r="792" spans="1:13" x14ac:dyDescent="0.3">
      <c r="A792" s="23">
        <v>45321</v>
      </c>
      <c r="B792" t="s">
        <v>12</v>
      </c>
      <c r="C792" t="s">
        <v>132</v>
      </c>
      <c r="D792" t="s">
        <v>16</v>
      </c>
      <c r="E792" t="s">
        <v>41</v>
      </c>
      <c r="F792">
        <v>400000000</v>
      </c>
      <c r="G792" t="s">
        <v>26</v>
      </c>
      <c r="H792" t="s">
        <v>81</v>
      </c>
      <c r="I792" t="s">
        <v>9</v>
      </c>
      <c r="L792" t="s">
        <v>161</v>
      </c>
      <c r="M792">
        <v>400000000</v>
      </c>
    </row>
    <row r="793" spans="1:13" x14ac:dyDescent="0.3">
      <c r="A793" s="23">
        <v>45317</v>
      </c>
      <c r="B793" t="s">
        <v>12</v>
      </c>
      <c r="C793" t="s">
        <v>132</v>
      </c>
      <c r="D793" t="s">
        <v>16</v>
      </c>
      <c r="E793" t="s">
        <v>41</v>
      </c>
      <c r="F793">
        <v>4700000</v>
      </c>
      <c r="G793" t="s">
        <v>26</v>
      </c>
      <c r="H793" t="s">
        <v>81</v>
      </c>
      <c r="I793" t="s">
        <v>9</v>
      </c>
      <c r="L793" t="s">
        <v>161</v>
      </c>
      <c r="M793">
        <v>4700000</v>
      </c>
    </row>
    <row r="794" spans="1:13" x14ac:dyDescent="0.3">
      <c r="A794" s="23">
        <v>45310</v>
      </c>
      <c r="B794" t="s">
        <v>12</v>
      </c>
      <c r="C794" t="s">
        <v>132</v>
      </c>
      <c r="D794" t="s">
        <v>16</v>
      </c>
      <c r="E794" t="s">
        <v>41</v>
      </c>
      <c r="F794">
        <v>19300000</v>
      </c>
      <c r="G794" t="s">
        <v>26</v>
      </c>
      <c r="H794" t="s">
        <v>81</v>
      </c>
      <c r="I794" t="s">
        <v>9</v>
      </c>
      <c r="L794" t="s">
        <v>161</v>
      </c>
      <c r="M794">
        <v>19300000</v>
      </c>
    </row>
    <row r="795" spans="1:13" x14ac:dyDescent="0.3">
      <c r="A795" s="23">
        <v>45188</v>
      </c>
      <c r="B795" t="s">
        <v>12</v>
      </c>
      <c r="C795" t="s">
        <v>132</v>
      </c>
      <c r="D795" t="s">
        <v>16</v>
      </c>
      <c r="E795" t="s">
        <v>41</v>
      </c>
      <c r="F795">
        <v>35700000</v>
      </c>
      <c r="G795" t="s">
        <v>26</v>
      </c>
      <c r="H795" t="s">
        <v>81</v>
      </c>
      <c r="I795" t="s">
        <v>9</v>
      </c>
      <c r="L795" t="s">
        <v>161</v>
      </c>
      <c r="M795">
        <v>35700000</v>
      </c>
    </row>
    <row r="796" spans="1:13" x14ac:dyDescent="0.3">
      <c r="A796" s="23">
        <v>45307</v>
      </c>
      <c r="B796" t="s">
        <v>12</v>
      </c>
      <c r="C796" t="s">
        <v>132</v>
      </c>
      <c r="D796" t="s">
        <v>17</v>
      </c>
      <c r="E796" t="s">
        <v>41</v>
      </c>
      <c r="F796">
        <v>5000000</v>
      </c>
      <c r="G796" t="s">
        <v>26</v>
      </c>
      <c r="H796" t="s">
        <v>81</v>
      </c>
      <c r="I796" t="s">
        <v>9</v>
      </c>
      <c r="L796" t="s">
        <v>161</v>
      </c>
      <c r="M796">
        <v>-5000000</v>
      </c>
    </row>
    <row r="797" spans="1:13" x14ac:dyDescent="0.3">
      <c r="A797" s="23">
        <v>45190</v>
      </c>
      <c r="B797" t="s">
        <v>12</v>
      </c>
      <c r="C797" t="s">
        <v>132</v>
      </c>
      <c r="D797" t="s">
        <v>17</v>
      </c>
      <c r="E797" t="s">
        <v>41</v>
      </c>
      <c r="F797">
        <v>49700000</v>
      </c>
      <c r="G797" t="s">
        <v>26</v>
      </c>
      <c r="H797" t="s">
        <v>81</v>
      </c>
      <c r="I797" t="s">
        <v>9</v>
      </c>
      <c r="L797" t="s">
        <v>161</v>
      </c>
      <c r="M797">
        <v>-49700000</v>
      </c>
    </row>
    <row r="798" spans="1:13" x14ac:dyDescent="0.3">
      <c r="A798" s="23">
        <v>45194</v>
      </c>
      <c r="B798" t="s">
        <v>12</v>
      </c>
      <c r="C798" t="s">
        <v>132</v>
      </c>
      <c r="D798" t="s">
        <v>17</v>
      </c>
      <c r="E798" t="s">
        <v>41</v>
      </c>
      <c r="F798">
        <v>2173037.6800000002</v>
      </c>
      <c r="G798" t="s">
        <v>26</v>
      </c>
      <c r="H798" t="s">
        <v>81</v>
      </c>
      <c r="I798" t="s">
        <v>9</v>
      </c>
      <c r="L798" t="s">
        <v>161</v>
      </c>
      <c r="M798">
        <v>-2173037.6800000002</v>
      </c>
    </row>
    <row r="799" spans="1:13" x14ac:dyDescent="0.3">
      <c r="A799" s="23">
        <v>45299</v>
      </c>
      <c r="B799" t="s">
        <v>12</v>
      </c>
      <c r="C799" t="s">
        <v>132</v>
      </c>
      <c r="D799" t="s">
        <v>16</v>
      </c>
      <c r="E799" t="s">
        <v>41</v>
      </c>
      <c r="F799">
        <v>8700000</v>
      </c>
      <c r="G799" t="s">
        <v>26</v>
      </c>
      <c r="H799" t="s">
        <v>81</v>
      </c>
      <c r="I799" t="s">
        <v>9</v>
      </c>
      <c r="L799" t="s">
        <v>161</v>
      </c>
      <c r="M799">
        <v>8700000</v>
      </c>
    </row>
    <row r="800" spans="1:13" x14ac:dyDescent="0.3">
      <c r="A800" s="23">
        <v>45295</v>
      </c>
      <c r="B800" t="s">
        <v>12</v>
      </c>
      <c r="C800" t="s">
        <v>132</v>
      </c>
      <c r="D800" t="s">
        <v>17</v>
      </c>
      <c r="E800" t="s">
        <v>41</v>
      </c>
      <c r="F800">
        <v>300000000</v>
      </c>
      <c r="G800" t="s">
        <v>26</v>
      </c>
      <c r="H800" t="s">
        <v>81</v>
      </c>
      <c r="I800" t="s">
        <v>9</v>
      </c>
      <c r="L800" t="s">
        <v>161</v>
      </c>
      <c r="M800">
        <v>-300000000</v>
      </c>
    </row>
    <row r="801" spans="1:13" x14ac:dyDescent="0.3">
      <c r="A801" s="23">
        <v>45195</v>
      </c>
      <c r="B801" t="s">
        <v>12</v>
      </c>
      <c r="C801" t="s">
        <v>132</v>
      </c>
      <c r="D801" t="s">
        <v>16</v>
      </c>
      <c r="E801" t="s">
        <v>41</v>
      </c>
      <c r="F801">
        <v>80000000</v>
      </c>
      <c r="G801" t="s">
        <v>26</v>
      </c>
      <c r="H801" t="s">
        <v>81</v>
      </c>
      <c r="I801" t="s">
        <v>9</v>
      </c>
      <c r="L801" t="s">
        <v>161</v>
      </c>
      <c r="M801">
        <v>80000000</v>
      </c>
    </row>
    <row r="802" spans="1:13" x14ac:dyDescent="0.3">
      <c r="A802" s="23">
        <v>45294</v>
      </c>
      <c r="B802" t="s">
        <v>12</v>
      </c>
      <c r="C802" t="s">
        <v>132</v>
      </c>
      <c r="D802" t="s">
        <v>17</v>
      </c>
      <c r="E802" t="s">
        <v>41</v>
      </c>
      <c r="F802">
        <v>230300000</v>
      </c>
      <c r="G802" t="s">
        <v>26</v>
      </c>
      <c r="H802" t="s">
        <v>81</v>
      </c>
      <c r="I802" t="s">
        <v>9</v>
      </c>
      <c r="L802" t="s">
        <v>161</v>
      </c>
      <c r="M802">
        <v>-230300000</v>
      </c>
    </row>
    <row r="803" spans="1:13" x14ac:dyDescent="0.3">
      <c r="A803" s="23">
        <v>45196</v>
      </c>
      <c r="B803" t="s">
        <v>12</v>
      </c>
      <c r="C803" t="s">
        <v>132</v>
      </c>
      <c r="D803" t="s">
        <v>17</v>
      </c>
      <c r="E803" t="s">
        <v>41</v>
      </c>
      <c r="F803">
        <v>57900000</v>
      </c>
      <c r="G803" t="s">
        <v>26</v>
      </c>
      <c r="H803" t="s">
        <v>81</v>
      </c>
      <c r="I803" t="s">
        <v>9</v>
      </c>
      <c r="L803" t="s">
        <v>161</v>
      </c>
      <c r="M803">
        <v>-57900000</v>
      </c>
    </row>
    <row r="804" spans="1:13" x14ac:dyDescent="0.3">
      <c r="A804" s="23">
        <v>45289</v>
      </c>
      <c r="B804" t="s">
        <v>12</v>
      </c>
      <c r="C804" t="s">
        <v>132</v>
      </c>
      <c r="D804" t="s">
        <v>16</v>
      </c>
      <c r="E804" t="s">
        <v>41</v>
      </c>
      <c r="F804">
        <v>496200000</v>
      </c>
      <c r="G804" t="s">
        <v>26</v>
      </c>
      <c r="H804" t="s">
        <v>81</v>
      </c>
      <c r="I804" t="s">
        <v>9</v>
      </c>
      <c r="L804" t="s">
        <v>161</v>
      </c>
      <c r="M804">
        <v>496200000</v>
      </c>
    </row>
    <row r="805" spans="1:13" x14ac:dyDescent="0.3">
      <c r="A805" s="23">
        <v>45197</v>
      </c>
      <c r="B805" t="s">
        <v>12</v>
      </c>
      <c r="C805" t="s">
        <v>132</v>
      </c>
      <c r="D805" t="s">
        <v>17</v>
      </c>
      <c r="E805" t="s">
        <v>41</v>
      </c>
      <c r="F805">
        <v>12100000</v>
      </c>
      <c r="G805" t="s">
        <v>26</v>
      </c>
      <c r="H805" t="s">
        <v>81</v>
      </c>
      <c r="I805" t="s">
        <v>9</v>
      </c>
      <c r="L805" t="s">
        <v>161</v>
      </c>
      <c r="M805">
        <v>-12100000</v>
      </c>
    </row>
    <row r="806" spans="1:13" x14ac:dyDescent="0.3">
      <c r="A806" s="23">
        <v>45288</v>
      </c>
      <c r="B806" t="s">
        <v>12</v>
      </c>
      <c r="C806" t="s">
        <v>132</v>
      </c>
      <c r="D806" t="s">
        <v>17</v>
      </c>
      <c r="E806" t="s">
        <v>41</v>
      </c>
      <c r="F806">
        <v>389300000</v>
      </c>
      <c r="G806" t="s">
        <v>26</v>
      </c>
      <c r="H806" t="s">
        <v>81</v>
      </c>
      <c r="I806" t="s">
        <v>9</v>
      </c>
      <c r="L806" t="s">
        <v>161</v>
      </c>
      <c r="M806">
        <v>-389300000</v>
      </c>
    </row>
    <row r="807" spans="1:13" x14ac:dyDescent="0.3">
      <c r="A807" s="23">
        <v>45198</v>
      </c>
      <c r="B807" t="s">
        <v>12</v>
      </c>
      <c r="C807" t="s">
        <v>132</v>
      </c>
      <c r="D807" t="s">
        <v>17</v>
      </c>
      <c r="E807" t="s">
        <v>41</v>
      </c>
      <c r="F807">
        <v>10000000</v>
      </c>
      <c r="G807" t="s">
        <v>26</v>
      </c>
      <c r="H807" t="s">
        <v>81</v>
      </c>
      <c r="I807" t="s">
        <v>9</v>
      </c>
      <c r="L807" t="s">
        <v>161</v>
      </c>
      <c r="M807">
        <v>-10000000</v>
      </c>
    </row>
    <row r="808" spans="1:13" x14ac:dyDescent="0.3">
      <c r="A808" s="23">
        <v>45287</v>
      </c>
      <c r="B808" t="s">
        <v>12</v>
      </c>
      <c r="C808" t="s">
        <v>132</v>
      </c>
      <c r="D808" t="s">
        <v>16</v>
      </c>
      <c r="E808" t="s">
        <v>41</v>
      </c>
      <c r="F808">
        <v>442700000</v>
      </c>
      <c r="G808" t="s">
        <v>26</v>
      </c>
      <c r="H808" t="s">
        <v>81</v>
      </c>
      <c r="I808" t="s">
        <v>9</v>
      </c>
      <c r="L808" t="s">
        <v>161</v>
      </c>
      <c r="M808">
        <v>442700000</v>
      </c>
    </row>
    <row r="809" spans="1:13" x14ac:dyDescent="0.3">
      <c r="A809" s="23">
        <v>45287</v>
      </c>
      <c r="B809" t="s">
        <v>12</v>
      </c>
      <c r="C809" t="s">
        <v>132</v>
      </c>
      <c r="D809" t="s">
        <v>17</v>
      </c>
      <c r="E809" t="s">
        <v>41</v>
      </c>
      <c r="F809">
        <v>612762722.71000004</v>
      </c>
      <c r="G809" t="s">
        <v>26</v>
      </c>
      <c r="H809" t="s">
        <v>81</v>
      </c>
      <c r="I809" t="s">
        <v>9</v>
      </c>
      <c r="L809" t="s">
        <v>161</v>
      </c>
      <c r="M809">
        <v>-612762722.71000004</v>
      </c>
    </row>
    <row r="810" spans="1:13" x14ac:dyDescent="0.3">
      <c r="A810" s="23">
        <v>45286</v>
      </c>
      <c r="B810" t="s">
        <v>12</v>
      </c>
      <c r="C810" t="s">
        <v>132</v>
      </c>
      <c r="D810" t="s">
        <v>16</v>
      </c>
      <c r="E810" t="s">
        <v>41</v>
      </c>
      <c r="F810">
        <v>68000000</v>
      </c>
      <c r="G810" t="s">
        <v>26</v>
      </c>
      <c r="H810" t="s">
        <v>81</v>
      </c>
      <c r="I810" t="s">
        <v>9</v>
      </c>
      <c r="L810" t="s">
        <v>161</v>
      </c>
      <c r="M810">
        <v>68000000</v>
      </c>
    </row>
    <row r="811" spans="1:13" x14ac:dyDescent="0.3">
      <c r="A811" s="23">
        <v>45282</v>
      </c>
      <c r="B811" t="s">
        <v>12</v>
      </c>
      <c r="C811" t="s">
        <v>132</v>
      </c>
      <c r="D811" t="s">
        <v>16</v>
      </c>
      <c r="E811" t="s">
        <v>41</v>
      </c>
      <c r="F811">
        <v>32462722.710000001</v>
      </c>
      <c r="G811" t="s">
        <v>26</v>
      </c>
      <c r="H811" t="s">
        <v>81</v>
      </c>
      <c r="I811" t="s">
        <v>9</v>
      </c>
      <c r="L811" t="s">
        <v>161</v>
      </c>
      <c r="M811">
        <v>32462722.710000001</v>
      </c>
    </row>
    <row r="812" spans="1:13" x14ac:dyDescent="0.3">
      <c r="A812" s="23">
        <v>45281</v>
      </c>
      <c r="B812" t="s">
        <v>12</v>
      </c>
      <c r="C812" t="s">
        <v>132</v>
      </c>
      <c r="D812" t="s">
        <v>16</v>
      </c>
      <c r="E812" t="s">
        <v>41</v>
      </c>
      <c r="F812">
        <v>23200000</v>
      </c>
      <c r="G812" t="s">
        <v>26</v>
      </c>
      <c r="H812" t="s">
        <v>81</v>
      </c>
      <c r="I812" t="s">
        <v>9</v>
      </c>
      <c r="L812" t="s">
        <v>161</v>
      </c>
      <c r="M812">
        <v>23200000</v>
      </c>
    </row>
    <row r="813" spans="1:13" x14ac:dyDescent="0.3">
      <c r="A813" s="23">
        <v>45281</v>
      </c>
      <c r="B813" t="s">
        <v>12</v>
      </c>
      <c r="C813" t="s">
        <v>132</v>
      </c>
      <c r="D813" t="s">
        <v>17</v>
      </c>
      <c r="E813" t="s">
        <v>41</v>
      </c>
      <c r="F813">
        <v>217200000</v>
      </c>
      <c r="G813" t="s">
        <v>26</v>
      </c>
      <c r="H813" t="s">
        <v>81</v>
      </c>
      <c r="I813" t="s">
        <v>9</v>
      </c>
      <c r="L813" t="s">
        <v>161</v>
      </c>
      <c r="M813">
        <v>-217200000</v>
      </c>
    </row>
    <row r="814" spans="1:13" x14ac:dyDescent="0.3">
      <c r="A814" s="23">
        <v>45280</v>
      </c>
      <c r="B814" t="s">
        <v>12</v>
      </c>
      <c r="C814" t="s">
        <v>132</v>
      </c>
      <c r="D814" t="s">
        <v>17</v>
      </c>
      <c r="E814" t="s">
        <v>41</v>
      </c>
      <c r="F814">
        <v>47600000</v>
      </c>
      <c r="G814" t="s">
        <v>26</v>
      </c>
      <c r="H814" t="s">
        <v>81</v>
      </c>
      <c r="I814" t="s">
        <v>9</v>
      </c>
      <c r="L814" t="s">
        <v>161</v>
      </c>
      <c r="M814">
        <v>-47600000</v>
      </c>
    </row>
    <row r="815" spans="1:13" x14ac:dyDescent="0.3">
      <c r="A815" s="23">
        <v>45279</v>
      </c>
      <c r="B815" t="s">
        <v>12</v>
      </c>
      <c r="C815" t="s">
        <v>132</v>
      </c>
      <c r="D815" t="s">
        <v>17</v>
      </c>
      <c r="E815" t="s">
        <v>41</v>
      </c>
      <c r="F815">
        <v>908000000</v>
      </c>
      <c r="G815" t="s">
        <v>26</v>
      </c>
      <c r="H815" t="s">
        <v>81</v>
      </c>
      <c r="I815" t="s">
        <v>9</v>
      </c>
      <c r="L815" t="s">
        <v>161</v>
      </c>
      <c r="M815">
        <v>-908000000</v>
      </c>
    </row>
    <row r="816" spans="1:13" x14ac:dyDescent="0.3">
      <c r="A816" s="23">
        <v>45278</v>
      </c>
      <c r="B816" t="s">
        <v>12</v>
      </c>
      <c r="C816" t="s">
        <v>132</v>
      </c>
      <c r="D816" t="s">
        <v>17</v>
      </c>
      <c r="E816" t="s">
        <v>41</v>
      </c>
      <c r="F816">
        <v>1373600000</v>
      </c>
      <c r="G816" t="s">
        <v>26</v>
      </c>
      <c r="H816" t="s">
        <v>81</v>
      </c>
      <c r="I816" t="s">
        <v>9</v>
      </c>
      <c r="L816" t="s">
        <v>161</v>
      </c>
      <c r="M816">
        <v>-1373600000</v>
      </c>
    </row>
    <row r="817" spans="1:13" x14ac:dyDescent="0.3">
      <c r="A817" s="23">
        <v>45203</v>
      </c>
      <c r="B817" t="s">
        <v>12</v>
      </c>
      <c r="C817" t="s">
        <v>132</v>
      </c>
      <c r="D817" t="s">
        <v>16</v>
      </c>
      <c r="E817" t="s">
        <v>41</v>
      </c>
      <c r="F817">
        <v>16000000</v>
      </c>
      <c r="G817" t="s">
        <v>26</v>
      </c>
      <c r="H817" t="s">
        <v>81</v>
      </c>
      <c r="I817" t="s">
        <v>9</v>
      </c>
      <c r="L817" t="s">
        <v>161</v>
      </c>
      <c r="M817">
        <v>16000000</v>
      </c>
    </row>
    <row r="818" spans="1:13" x14ac:dyDescent="0.3">
      <c r="A818" s="23">
        <v>45204</v>
      </c>
      <c r="B818" t="s">
        <v>12</v>
      </c>
      <c r="C818" t="s">
        <v>132</v>
      </c>
      <c r="D818" t="s">
        <v>16</v>
      </c>
      <c r="E818" t="s">
        <v>41</v>
      </c>
      <c r="F818">
        <v>15300000</v>
      </c>
      <c r="G818" t="s">
        <v>26</v>
      </c>
      <c r="H818" t="s">
        <v>81</v>
      </c>
      <c r="I818" t="s">
        <v>9</v>
      </c>
      <c r="L818" t="s">
        <v>161</v>
      </c>
      <c r="M818">
        <v>15300000</v>
      </c>
    </row>
    <row r="819" spans="1:13" x14ac:dyDescent="0.3">
      <c r="A819" s="23">
        <v>45275</v>
      </c>
      <c r="B819" t="s">
        <v>12</v>
      </c>
      <c r="C819" t="s">
        <v>132</v>
      </c>
      <c r="D819" t="s">
        <v>16</v>
      </c>
      <c r="E819" t="s">
        <v>41</v>
      </c>
      <c r="F819">
        <v>3000000000</v>
      </c>
      <c r="G819" t="s">
        <v>26</v>
      </c>
      <c r="H819" t="s">
        <v>81</v>
      </c>
      <c r="I819" t="s">
        <v>9</v>
      </c>
      <c r="L819" t="s">
        <v>161</v>
      </c>
      <c r="M819">
        <v>3000000000</v>
      </c>
    </row>
    <row r="820" spans="1:13" x14ac:dyDescent="0.3">
      <c r="A820" s="23">
        <v>45274</v>
      </c>
      <c r="B820" t="s">
        <v>12</v>
      </c>
      <c r="C820" t="s">
        <v>132</v>
      </c>
      <c r="D820" t="s">
        <v>16</v>
      </c>
      <c r="E820" t="s">
        <v>41</v>
      </c>
      <c r="F820">
        <v>35500000</v>
      </c>
      <c r="G820" t="s">
        <v>26</v>
      </c>
      <c r="H820" t="s">
        <v>81</v>
      </c>
      <c r="I820" t="s">
        <v>9</v>
      </c>
      <c r="L820" t="s">
        <v>161</v>
      </c>
      <c r="M820">
        <v>35500000</v>
      </c>
    </row>
    <row r="821" spans="1:13" x14ac:dyDescent="0.3">
      <c r="A821" s="23">
        <v>45271</v>
      </c>
      <c r="B821" t="s">
        <v>12</v>
      </c>
      <c r="C821" t="s">
        <v>132</v>
      </c>
      <c r="D821" t="s">
        <v>17</v>
      </c>
      <c r="E821" t="s">
        <v>41</v>
      </c>
      <c r="F821">
        <v>14065325.93</v>
      </c>
      <c r="G821" t="s">
        <v>26</v>
      </c>
      <c r="H821" t="s">
        <v>81</v>
      </c>
      <c r="I821" t="s">
        <v>9</v>
      </c>
      <c r="L821" t="s">
        <v>161</v>
      </c>
      <c r="M821">
        <v>-14065325.93</v>
      </c>
    </row>
    <row r="822" spans="1:13" x14ac:dyDescent="0.3">
      <c r="A822" s="23">
        <v>45205</v>
      </c>
      <c r="B822" t="s">
        <v>12</v>
      </c>
      <c r="C822" t="s">
        <v>132</v>
      </c>
      <c r="D822" t="s">
        <v>17</v>
      </c>
      <c r="E822" t="s">
        <v>41</v>
      </c>
      <c r="F822">
        <v>31300000</v>
      </c>
      <c r="G822" t="s">
        <v>26</v>
      </c>
      <c r="H822" t="s">
        <v>81</v>
      </c>
      <c r="I822" t="s">
        <v>9</v>
      </c>
      <c r="L822" t="s">
        <v>161</v>
      </c>
      <c r="M822">
        <v>-31300000</v>
      </c>
    </row>
    <row r="823" spans="1:13" x14ac:dyDescent="0.3">
      <c r="A823" s="23">
        <v>45267</v>
      </c>
      <c r="B823" t="s">
        <v>12</v>
      </c>
      <c r="C823" t="s">
        <v>132</v>
      </c>
      <c r="D823" t="s">
        <v>17</v>
      </c>
      <c r="E823" t="s">
        <v>41</v>
      </c>
      <c r="F823">
        <v>14500000</v>
      </c>
      <c r="G823" t="s">
        <v>26</v>
      </c>
      <c r="H823" t="s">
        <v>81</v>
      </c>
      <c r="I823" t="s">
        <v>9</v>
      </c>
      <c r="L823" t="s">
        <v>161</v>
      </c>
      <c r="M823">
        <v>-14500000</v>
      </c>
    </row>
    <row r="824" spans="1:13" x14ac:dyDescent="0.3">
      <c r="A824" s="23">
        <v>45265</v>
      </c>
      <c r="B824" t="s">
        <v>12</v>
      </c>
      <c r="C824" t="s">
        <v>132</v>
      </c>
      <c r="D824" t="s">
        <v>17</v>
      </c>
      <c r="E824" t="s">
        <v>41</v>
      </c>
      <c r="F824">
        <v>8363769.6600000001</v>
      </c>
      <c r="G824" t="s">
        <v>26</v>
      </c>
      <c r="H824" t="s">
        <v>81</v>
      </c>
      <c r="I824" t="s">
        <v>9</v>
      </c>
      <c r="L824" t="s">
        <v>161</v>
      </c>
      <c r="M824">
        <v>-8363769.6600000001</v>
      </c>
    </row>
    <row r="825" spans="1:13" x14ac:dyDescent="0.3">
      <c r="A825" s="23">
        <v>45261</v>
      </c>
      <c r="B825" t="s">
        <v>12</v>
      </c>
      <c r="C825" t="s">
        <v>132</v>
      </c>
      <c r="D825" t="s">
        <v>17</v>
      </c>
      <c r="E825" t="s">
        <v>41</v>
      </c>
      <c r="F825">
        <v>62900000</v>
      </c>
      <c r="G825" t="s">
        <v>26</v>
      </c>
      <c r="H825" t="s">
        <v>81</v>
      </c>
      <c r="I825" t="s">
        <v>9</v>
      </c>
      <c r="L825" t="s">
        <v>161</v>
      </c>
      <c r="M825">
        <v>-62900000</v>
      </c>
    </row>
    <row r="826" spans="1:13" x14ac:dyDescent="0.3">
      <c r="A826" s="23">
        <v>45259</v>
      </c>
      <c r="B826" t="s">
        <v>12</v>
      </c>
      <c r="C826" t="s">
        <v>132</v>
      </c>
      <c r="D826" t="s">
        <v>16</v>
      </c>
      <c r="E826" t="s">
        <v>41</v>
      </c>
      <c r="F826">
        <v>87800000</v>
      </c>
      <c r="G826" t="s">
        <v>26</v>
      </c>
      <c r="H826" t="s">
        <v>81</v>
      </c>
      <c r="I826" t="s">
        <v>9</v>
      </c>
      <c r="L826" t="s">
        <v>161</v>
      </c>
      <c r="M826">
        <v>87800000</v>
      </c>
    </row>
    <row r="827" spans="1:13" x14ac:dyDescent="0.3">
      <c r="A827" s="23">
        <v>45254</v>
      </c>
      <c r="B827" t="s">
        <v>12</v>
      </c>
      <c r="C827" t="s">
        <v>132</v>
      </c>
      <c r="D827" t="s">
        <v>17</v>
      </c>
      <c r="E827" t="s">
        <v>41</v>
      </c>
      <c r="F827">
        <v>44200000</v>
      </c>
      <c r="G827" t="s">
        <v>26</v>
      </c>
      <c r="H827" t="s">
        <v>81</v>
      </c>
      <c r="I827" t="s">
        <v>9</v>
      </c>
      <c r="L827" t="s">
        <v>161</v>
      </c>
      <c r="M827">
        <v>-44200000</v>
      </c>
    </row>
    <row r="828" spans="1:13" x14ac:dyDescent="0.3">
      <c r="A828" s="23">
        <v>45253</v>
      </c>
      <c r="B828" t="s">
        <v>12</v>
      </c>
      <c r="C828" t="s">
        <v>132</v>
      </c>
      <c r="D828" t="s">
        <v>16</v>
      </c>
      <c r="E828" t="s">
        <v>41</v>
      </c>
      <c r="F828">
        <v>31800000</v>
      </c>
      <c r="G828" t="s">
        <v>26</v>
      </c>
      <c r="H828" t="s">
        <v>81</v>
      </c>
      <c r="I828" t="s">
        <v>9</v>
      </c>
      <c r="L828" t="s">
        <v>161</v>
      </c>
      <c r="M828">
        <v>31800000</v>
      </c>
    </row>
    <row r="829" spans="1:13" x14ac:dyDescent="0.3">
      <c r="A829" s="23">
        <v>45247</v>
      </c>
      <c r="B829" t="s">
        <v>12</v>
      </c>
      <c r="C829" t="s">
        <v>132</v>
      </c>
      <c r="D829" t="s">
        <v>17</v>
      </c>
      <c r="E829" t="s">
        <v>41</v>
      </c>
      <c r="F829">
        <v>150000000</v>
      </c>
      <c r="G829" t="s">
        <v>26</v>
      </c>
      <c r="H829" t="s">
        <v>81</v>
      </c>
      <c r="I829" t="s">
        <v>9</v>
      </c>
      <c r="L829" t="s">
        <v>161</v>
      </c>
      <c r="M829">
        <v>-150000000</v>
      </c>
    </row>
    <row r="830" spans="1:13" x14ac:dyDescent="0.3">
      <c r="A830" s="23">
        <v>45247</v>
      </c>
      <c r="B830" t="s">
        <v>12</v>
      </c>
      <c r="C830" t="s">
        <v>132</v>
      </c>
      <c r="D830" t="s">
        <v>17</v>
      </c>
      <c r="E830" t="s">
        <v>41</v>
      </c>
      <c r="F830">
        <v>303200000</v>
      </c>
      <c r="G830" t="s">
        <v>26</v>
      </c>
      <c r="H830" t="s">
        <v>81</v>
      </c>
      <c r="I830" t="s">
        <v>9</v>
      </c>
      <c r="L830" t="s">
        <v>161</v>
      </c>
      <c r="M830">
        <v>-303200000</v>
      </c>
    </row>
    <row r="831" spans="1:13" x14ac:dyDescent="0.3">
      <c r="A831" s="23">
        <v>45247</v>
      </c>
      <c r="B831" t="s">
        <v>12</v>
      </c>
      <c r="C831" t="s">
        <v>132</v>
      </c>
      <c r="D831" t="s">
        <v>16</v>
      </c>
      <c r="E831" t="s">
        <v>41</v>
      </c>
      <c r="F831">
        <v>1378898.31</v>
      </c>
      <c r="G831" t="s">
        <v>26</v>
      </c>
      <c r="H831" t="s">
        <v>81</v>
      </c>
      <c r="I831" t="s">
        <v>9</v>
      </c>
      <c r="L831" t="s">
        <v>161</v>
      </c>
      <c r="M831">
        <v>1378898.31</v>
      </c>
    </row>
    <row r="832" spans="1:13" x14ac:dyDescent="0.3">
      <c r="A832" s="23">
        <v>45246</v>
      </c>
      <c r="B832" t="s">
        <v>12</v>
      </c>
      <c r="C832" t="s">
        <v>132</v>
      </c>
      <c r="D832" t="s">
        <v>16</v>
      </c>
      <c r="E832" t="s">
        <v>41</v>
      </c>
      <c r="F832">
        <v>278200000</v>
      </c>
      <c r="G832" t="s">
        <v>26</v>
      </c>
      <c r="H832" t="s">
        <v>81</v>
      </c>
      <c r="I832" t="s">
        <v>9</v>
      </c>
      <c r="L832" t="s">
        <v>161</v>
      </c>
      <c r="M832">
        <v>278200000</v>
      </c>
    </row>
    <row r="833" spans="1:13" x14ac:dyDescent="0.3">
      <c r="A833" s="23">
        <v>45246</v>
      </c>
      <c r="B833" t="s">
        <v>12</v>
      </c>
      <c r="C833" t="s">
        <v>132</v>
      </c>
      <c r="D833" t="s">
        <v>16</v>
      </c>
      <c r="E833" t="s">
        <v>41</v>
      </c>
      <c r="F833">
        <v>3550197.28</v>
      </c>
      <c r="G833" t="s">
        <v>26</v>
      </c>
      <c r="H833" t="s">
        <v>81</v>
      </c>
      <c r="I833" t="s">
        <v>9</v>
      </c>
      <c r="L833" t="s">
        <v>161</v>
      </c>
      <c r="M833">
        <v>3550197.28</v>
      </c>
    </row>
    <row r="834" spans="1:13" x14ac:dyDescent="0.3">
      <c r="A834" s="23">
        <v>45245</v>
      </c>
      <c r="B834" t="s">
        <v>12</v>
      </c>
      <c r="C834" t="s">
        <v>132</v>
      </c>
      <c r="D834" t="s">
        <v>16</v>
      </c>
      <c r="E834" t="s">
        <v>41</v>
      </c>
      <c r="F834">
        <v>69100000</v>
      </c>
      <c r="G834" t="s">
        <v>26</v>
      </c>
      <c r="H834" t="s">
        <v>81</v>
      </c>
      <c r="I834" t="s">
        <v>9</v>
      </c>
      <c r="L834" t="s">
        <v>161</v>
      </c>
      <c r="M834">
        <v>69100000</v>
      </c>
    </row>
    <row r="835" spans="1:13" x14ac:dyDescent="0.3">
      <c r="A835" s="23">
        <v>45243</v>
      </c>
      <c r="B835" t="s">
        <v>12</v>
      </c>
      <c r="C835" t="s">
        <v>132</v>
      </c>
      <c r="D835" t="s">
        <v>17</v>
      </c>
      <c r="E835" t="s">
        <v>41</v>
      </c>
      <c r="F835">
        <v>100000000</v>
      </c>
      <c r="G835" t="s">
        <v>26</v>
      </c>
      <c r="H835" t="s">
        <v>81</v>
      </c>
      <c r="I835" t="s">
        <v>9</v>
      </c>
      <c r="L835" t="s">
        <v>161</v>
      </c>
      <c r="M835">
        <v>-100000000</v>
      </c>
    </row>
    <row r="836" spans="1:13" x14ac:dyDescent="0.3">
      <c r="A836" s="23">
        <v>45240</v>
      </c>
      <c r="B836" t="s">
        <v>12</v>
      </c>
      <c r="C836" t="s">
        <v>132</v>
      </c>
      <c r="D836" t="s">
        <v>16</v>
      </c>
      <c r="E836" t="s">
        <v>41</v>
      </c>
      <c r="F836">
        <v>200000000</v>
      </c>
      <c r="G836" t="s">
        <v>26</v>
      </c>
      <c r="H836" t="s">
        <v>81</v>
      </c>
      <c r="I836" t="s">
        <v>9</v>
      </c>
      <c r="L836" t="s">
        <v>161</v>
      </c>
      <c r="M836">
        <v>200000000</v>
      </c>
    </row>
    <row r="837" spans="1:13" x14ac:dyDescent="0.3">
      <c r="A837" s="23">
        <v>45237</v>
      </c>
      <c r="B837" t="s">
        <v>12</v>
      </c>
      <c r="C837" t="s">
        <v>132</v>
      </c>
      <c r="D837" t="s">
        <v>16</v>
      </c>
      <c r="E837" t="s">
        <v>41</v>
      </c>
      <c r="F837">
        <v>24100000</v>
      </c>
      <c r="G837" t="s">
        <v>26</v>
      </c>
      <c r="H837" t="s">
        <v>81</v>
      </c>
      <c r="I837" t="s">
        <v>9</v>
      </c>
      <c r="L837" t="s">
        <v>161</v>
      </c>
      <c r="M837">
        <v>24100000</v>
      </c>
    </row>
    <row r="838" spans="1:13" x14ac:dyDescent="0.3">
      <c r="A838" s="23">
        <v>45233</v>
      </c>
      <c r="B838" t="s">
        <v>12</v>
      </c>
      <c r="C838" t="s">
        <v>132</v>
      </c>
      <c r="D838" t="s">
        <v>16</v>
      </c>
      <c r="E838" t="s">
        <v>41</v>
      </c>
      <c r="F838">
        <v>1300000</v>
      </c>
      <c r="G838" t="s">
        <v>26</v>
      </c>
      <c r="H838" t="s">
        <v>81</v>
      </c>
      <c r="I838" t="s">
        <v>9</v>
      </c>
      <c r="L838" t="s">
        <v>161</v>
      </c>
      <c r="M838">
        <v>1300000</v>
      </c>
    </row>
    <row r="839" spans="1:13" x14ac:dyDescent="0.3">
      <c r="A839" s="23">
        <v>44562</v>
      </c>
      <c r="B839" t="s">
        <v>12</v>
      </c>
      <c r="C839" t="s">
        <v>132</v>
      </c>
      <c r="D839" t="s">
        <v>16</v>
      </c>
      <c r="E839" t="s">
        <v>46</v>
      </c>
      <c r="F839">
        <v>12282349.210000001</v>
      </c>
      <c r="G839" t="s">
        <v>28</v>
      </c>
      <c r="H839" t="s">
        <v>81</v>
      </c>
      <c r="I839" t="s">
        <v>9</v>
      </c>
      <c r="L839" t="s">
        <v>161</v>
      </c>
      <c r="M839">
        <v>12282349.210000001</v>
      </c>
    </row>
    <row r="840" spans="1:13" x14ac:dyDescent="0.3">
      <c r="A840" s="23">
        <v>44564</v>
      </c>
      <c r="B840" t="s">
        <v>12</v>
      </c>
      <c r="C840" t="s">
        <v>132</v>
      </c>
      <c r="D840" t="s">
        <v>17</v>
      </c>
      <c r="E840" t="s">
        <v>46</v>
      </c>
      <c r="F840">
        <v>12282349.210000001</v>
      </c>
      <c r="G840" t="s">
        <v>28</v>
      </c>
      <c r="H840" t="s">
        <v>81</v>
      </c>
      <c r="I840" t="s">
        <v>9</v>
      </c>
      <c r="L840" t="s">
        <v>161</v>
      </c>
      <c r="M840">
        <v>-12282349.210000001</v>
      </c>
    </row>
    <row r="841" spans="1:13" x14ac:dyDescent="0.3">
      <c r="A841" s="23">
        <v>44600</v>
      </c>
      <c r="B841" t="s">
        <v>12</v>
      </c>
      <c r="C841" t="s">
        <v>132</v>
      </c>
      <c r="D841" t="s">
        <v>16</v>
      </c>
      <c r="E841" t="s">
        <v>46</v>
      </c>
      <c r="F841">
        <v>56000000</v>
      </c>
      <c r="G841" t="s">
        <v>28</v>
      </c>
      <c r="H841" t="s">
        <v>81</v>
      </c>
      <c r="I841" t="s">
        <v>9</v>
      </c>
      <c r="L841" t="s">
        <v>161</v>
      </c>
      <c r="M841">
        <v>56000000</v>
      </c>
    </row>
    <row r="842" spans="1:13" x14ac:dyDescent="0.3">
      <c r="A842" s="23">
        <v>44601</v>
      </c>
      <c r="B842" t="s">
        <v>12</v>
      </c>
      <c r="C842" t="s">
        <v>132</v>
      </c>
      <c r="D842" t="s">
        <v>17</v>
      </c>
      <c r="E842" t="s">
        <v>46</v>
      </c>
      <c r="F842">
        <v>41600000</v>
      </c>
      <c r="G842" t="s">
        <v>28</v>
      </c>
      <c r="H842" t="s">
        <v>81</v>
      </c>
      <c r="I842" t="s">
        <v>9</v>
      </c>
      <c r="L842" t="s">
        <v>161</v>
      </c>
      <c r="M842">
        <v>-41600000</v>
      </c>
    </row>
    <row r="843" spans="1:13" x14ac:dyDescent="0.3">
      <c r="A843" s="23">
        <v>44602</v>
      </c>
      <c r="B843" t="s">
        <v>12</v>
      </c>
      <c r="C843" t="s">
        <v>132</v>
      </c>
      <c r="D843" t="s">
        <v>16</v>
      </c>
      <c r="E843" t="s">
        <v>46</v>
      </c>
      <c r="F843">
        <v>34000000</v>
      </c>
      <c r="G843" t="s">
        <v>28</v>
      </c>
      <c r="H843" t="s">
        <v>81</v>
      </c>
      <c r="I843" t="s">
        <v>9</v>
      </c>
      <c r="L843" t="s">
        <v>161</v>
      </c>
      <c r="M843">
        <v>34000000</v>
      </c>
    </row>
    <row r="844" spans="1:13" x14ac:dyDescent="0.3">
      <c r="A844" s="23">
        <v>44603</v>
      </c>
      <c r="B844" t="s">
        <v>12</v>
      </c>
      <c r="C844" t="s">
        <v>132</v>
      </c>
      <c r="D844" t="s">
        <v>17</v>
      </c>
      <c r="E844" t="s">
        <v>46</v>
      </c>
      <c r="F844">
        <v>41500000</v>
      </c>
      <c r="G844" t="s">
        <v>28</v>
      </c>
      <c r="H844" t="s">
        <v>81</v>
      </c>
      <c r="I844" t="s">
        <v>9</v>
      </c>
      <c r="L844" t="s">
        <v>161</v>
      </c>
      <c r="M844">
        <v>-41500000</v>
      </c>
    </row>
    <row r="845" spans="1:13" x14ac:dyDescent="0.3">
      <c r="A845" s="23">
        <v>44607</v>
      </c>
      <c r="B845" t="s">
        <v>12</v>
      </c>
      <c r="C845" t="s">
        <v>132</v>
      </c>
      <c r="D845" t="s">
        <v>16</v>
      </c>
      <c r="E845" t="s">
        <v>46</v>
      </c>
      <c r="F845">
        <v>108800000</v>
      </c>
      <c r="G845" t="s">
        <v>28</v>
      </c>
      <c r="H845" t="s">
        <v>81</v>
      </c>
      <c r="I845" t="s">
        <v>9</v>
      </c>
      <c r="L845" t="s">
        <v>161</v>
      </c>
      <c r="M845">
        <v>108800000</v>
      </c>
    </row>
    <row r="846" spans="1:13" x14ac:dyDescent="0.3">
      <c r="A846" s="23">
        <v>44608</v>
      </c>
      <c r="B846" t="s">
        <v>12</v>
      </c>
      <c r="C846" t="s">
        <v>132</v>
      </c>
      <c r="D846" t="s">
        <v>17</v>
      </c>
      <c r="E846" t="s">
        <v>46</v>
      </c>
      <c r="F846">
        <v>23400000</v>
      </c>
      <c r="G846" t="s">
        <v>28</v>
      </c>
      <c r="H846" t="s">
        <v>81</v>
      </c>
      <c r="I846" t="s">
        <v>9</v>
      </c>
      <c r="L846" t="s">
        <v>161</v>
      </c>
      <c r="M846">
        <v>-23400000</v>
      </c>
    </row>
    <row r="847" spans="1:13" x14ac:dyDescent="0.3">
      <c r="A847" s="23">
        <v>44609</v>
      </c>
      <c r="B847" t="s">
        <v>12</v>
      </c>
      <c r="C847" t="s">
        <v>132</v>
      </c>
      <c r="D847" t="s">
        <v>16</v>
      </c>
      <c r="E847" t="s">
        <v>46</v>
      </c>
      <c r="F847">
        <v>3500000</v>
      </c>
      <c r="G847" t="s">
        <v>28</v>
      </c>
      <c r="H847" t="s">
        <v>81</v>
      </c>
      <c r="I847" t="s">
        <v>9</v>
      </c>
      <c r="L847" t="s">
        <v>161</v>
      </c>
      <c r="M847">
        <v>3500000</v>
      </c>
    </row>
    <row r="848" spans="1:13" x14ac:dyDescent="0.3">
      <c r="A848" s="23">
        <v>44610</v>
      </c>
      <c r="B848" t="s">
        <v>12</v>
      </c>
      <c r="C848" t="s">
        <v>132</v>
      </c>
      <c r="D848" t="s">
        <v>17</v>
      </c>
      <c r="E848" t="s">
        <v>46</v>
      </c>
      <c r="F848">
        <v>13800000</v>
      </c>
      <c r="G848" t="s">
        <v>28</v>
      </c>
      <c r="H848" t="s">
        <v>81</v>
      </c>
      <c r="I848" t="s">
        <v>9</v>
      </c>
      <c r="L848" t="s">
        <v>161</v>
      </c>
      <c r="M848">
        <v>-13800000</v>
      </c>
    </row>
    <row r="849" spans="1:13" x14ac:dyDescent="0.3">
      <c r="A849" s="23">
        <v>44613</v>
      </c>
      <c r="B849" t="s">
        <v>12</v>
      </c>
      <c r="C849" t="s">
        <v>132</v>
      </c>
      <c r="D849" t="s">
        <v>17</v>
      </c>
      <c r="E849" t="s">
        <v>46</v>
      </c>
      <c r="F849">
        <v>21100000</v>
      </c>
      <c r="G849" t="s">
        <v>28</v>
      </c>
      <c r="H849" t="s">
        <v>81</v>
      </c>
      <c r="I849" t="s">
        <v>9</v>
      </c>
      <c r="L849" t="s">
        <v>161</v>
      </c>
      <c r="M849">
        <v>-21100000</v>
      </c>
    </row>
    <row r="850" spans="1:13" x14ac:dyDescent="0.3">
      <c r="A850" s="23">
        <v>44614</v>
      </c>
      <c r="B850" t="s">
        <v>12</v>
      </c>
      <c r="C850" t="s">
        <v>132</v>
      </c>
      <c r="D850" t="s">
        <v>17</v>
      </c>
      <c r="E850" t="s">
        <v>46</v>
      </c>
      <c r="F850">
        <v>46800000</v>
      </c>
      <c r="G850" t="s">
        <v>28</v>
      </c>
      <c r="H850" t="s">
        <v>81</v>
      </c>
      <c r="I850" t="s">
        <v>9</v>
      </c>
      <c r="L850" t="s">
        <v>161</v>
      </c>
      <c r="M850">
        <v>-46800000</v>
      </c>
    </row>
    <row r="851" spans="1:13" x14ac:dyDescent="0.3">
      <c r="A851" s="23">
        <v>44620</v>
      </c>
      <c r="B851" t="s">
        <v>12</v>
      </c>
      <c r="C851" t="s">
        <v>132</v>
      </c>
      <c r="D851" t="s">
        <v>16</v>
      </c>
      <c r="E851" t="s">
        <v>46</v>
      </c>
      <c r="F851">
        <v>666476.21</v>
      </c>
      <c r="G851" t="s">
        <v>28</v>
      </c>
      <c r="H851" t="s">
        <v>81</v>
      </c>
      <c r="I851" t="s">
        <v>9</v>
      </c>
      <c r="L851" t="s">
        <v>161</v>
      </c>
      <c r="M851">
        <v>666476.21</v>
      </c>
    </row>
    <row r="852" spans="1:13" x14ac:dyDescent="0.3">
      <c r="A852" s="23">
        <v>44622</v>
      </c>
      <c r="B852" t="s">
        <v>12</v>
      </c>
      <c r="C852" t="s">
        <v>132</v>
      </c>
      <c r="D852" t="s">
        <v>17</v>
      </c>
      <c r="E852" t="s">
        <v>46</v>
      </c>
      <c r="F852">
        <v>14766476.210000001</v>
      </c>
      <c r="G852" t="s">
        <v>28</v>
      </c>
      <c r="H852" t="s">
        <v>81</v>
      </c>
      <c r="I852" t="s">
        <v>9</v>
      </c>
      <c r="L852" t="s">
        <v>161</v>
      </c>
      <c r="M852">
        <v>-14766476.210000001</v>
      </c>
    </row>
    <row r="853" spans="1:13" x14ac:dyDescent="0.3">
      <c r="A853" s="23">
        <v>44627</v>
      </c>
      <c r="B853" t="s">
        <v>12</v>
      </c>
      <c r="C853" t="s">
        <v>132</v>
      </c>
      <c r="D853" t="s">
        <v>16</v>
      </c>
      <c r="E853" t="s">
        <v>46</v>
      </c>
      <c r="F853">
        <v>800000</v>
      </c>
      <c r="G853" t="s">
        <v>28</v>
      </c>
      <c r="H853" t="s">
        <v>81</v>
      </c>
      <c r="I853" t="s">
        <v>9</v>
      </c>
      <c r="L853" t="s">
        <v>161</v>
      </c>
      <c r="M853">
        <v>800000</v>
      </c>
    </row>
    <row r="854" spans="1:13" x14ac:dyDescent="0.3">
      <c r="A854" s="23">
        <v>44629</v>
      </c>
      <c r="B854" t="s">
        <v>12</v>
      </c>
      <c r="C854" t="s">
        <v>132</v>
      </c>
      <c r="D854" t="s">
        <v>16</v>
      </c>
      <c r="E854" t="s">
        <v>46</v>
      </c>
      <c r="F854">
        <v>74000000</v>
      </c>
      <c r="G854" t="s">
        <v>28</v>
      </c>
      <c r="H854" t="s">
        <v>81</v>
      </c>
      <c r="I854" t="s">
        <v>9</v>
      </c>
      <c r="L854" t="s">
        <v>161</v>
      </c>
      <c r="M854">
        <v>74000000</v>
      </c>
    </row>
    <row r="855" spans="1:13" x14ac:dyDescent="0.3">
      <c r="A855" s="23">
        <v>44630</v>
      </c>
      <c r="B855" t="s">
        <v>12</v>
      </c>
      <c r="C855" t="s">
        <v>132</v>
      </c>
      <c r="D855" t="s">
        <v>17</v>
      </c>
      <c r="E855" t="s">
        <v>46</v>
      </c>
      <c r="F855">
        <v>61800000</v>
      </c>
      <c r="G855" t="s">
        <v>28</v>
      </c>
      <c r="H855" t="s">
        <v>81</v>
      </c>
      <c r="I855" t="s">
        <v>9</v>
      </c>
      <c r="L855" t="s">
        <v>161</v>
      </c>
      <c r="M855">
        <v>-61800000</v>
      </c>
    </row>
    <row r="856" spans="1:13" x14ac:dyDescent="0.3">
      <c r="A856" s="23">
        <v>44630</v>
      </c>
      <c r="B856" t="s">
        <v>12</v>
      </c>
      <c r="C856" t="s">
        <v>132</v>
      </c>
      <c r="D856" t="s">
        <v>17</v>
      </c>
      <c r="E856" t="s">
        <v>46</v>
      </c>
      <c r="F856">
        <v>600000</v>
      </c>
      <c r="G856" t="s">
        <v>28</v>
      </c>
      <c r="H856" t="s">
        <v>81</v>
      </c>
      <c r="I856" t="s">
        <v>9</v>
      </c>
      <c r="L856" t="s">
        <v>161</v>
      </c>
      <c r="M856">
        <v>-600000</v>
      </c>
    </row>
    <row r="857" spans="1:13" x14ac:dyDescent="0.3">
      <c r="A857" s="23">
        <v>44631</v>
      </c>
      <c r="B857" t="s">
        <v>12</v>
      </c>
      <c r="C857" t="s">
        <v>132</v>
      </c>
      <c r="D857" t="s">
        <v>17</v>
      </c>
      <c r="E857" t="s">
        <v>46</v>
      </c>
      <c r="F857">
        <v>2700000</v>
      </c>
      <c r="G857" t="s">
        <v>28</v>
      </c>
      <c r="H857" t="s">
        <v>81</v>
      </c>
      <c r="I857" t="s">
        <v>9</v>
      </c>
      <c r="L857" t="s">
        <v>161</v>
      </c>
      <c r="M857">
        <v>-2700000</v>
      </c>
    </row>
    <row r="858" spans="1:13" x14ac:dyDescent="0.3">
      <c r="A858" s="23">
        <v>44634</v>
      </c>
      <c r="B858" t="s">
        <v>12</v>
      </c>
      <c r="C858" t="s">
        <v>132</v>
      </c>
      <c r="D858" t="s">
        <v>17</v>
      </c>
      <c r="E858" t="s">
        <v>46</v>
      </c>
      <c r="F858">
        <v>9000000</v>
      </c>
      <c r="G858" t="s">
        <v>28</v>
      </c>
      <c r="H858" t="s">
        <v>81</v>
      </c>
      <c r="I858" t="s">
        <v>9</v>
      </c>
      <c r="L858" t="s">
        <v>161</v>
      </c>
      <c r="M858">
        <v>-9000000</v>
      </c>
    </row>
    <row r="859" spans="1:13" x14ac:dyDescent="0.3">
      <c r="A859" s="23">
        <v>44649</v>
      </c>
      <c r="B859" t="s">
        <v>12</v>
      </c>
      <c r="C859" t="s">
        <v>132</v>
      </c>
      <c r="D859" t="s">
        <v>16</v>
      </c>
      <c r="E859" t="s">
        <v>46</v>
      </c>
      <c r="F859">
        <v>100000000</v>
      </c>
      <c r="G859" t="s">
        <v>28</v>
      </c>
      <c r="H859" t="s">
        <v>81</v>
      </c>
      <c r="I859" t="s">
        <v>9</v>
      </c>
      <c r="L859" t="s">
        <v>161</v>
      </c>
      <c r="M859">
        <v>100000000</v>
      </c>
    </row>
    <row r="860" spans="1:13" x14ac:dyDescent="0.3">
      <c r="A860" s="23">
        <v>44650</v>
      </c>
      <c r="B860" t="s">
        <v>12</v>
      </c>
      <c r="C860" t="s">
        <v>132</v>
      </c>
      <c r="D860" t="s">
        <v>16</v>
      </c>
      <c r="E860" t="s">
        <v>46</v>
      </c>
      <c r="F860">
        <v>32000000</v>
      </c>
      <c r="G860" t="s">
        <v>28</v>
      </c>
      <c r="H860" t="s">
        <v>81</v>
      </c>
      <c r="I860" t="s">
        <v>9</v>
      </c>
      <c r="L860" t="s">
        <v>161</v>
      </c>
      <c r="M860">
        <v>32000000</v>
      </c>
    </row>
    <row r="861" spans="1:13" x14ac:dyDescent="0.3">
      <c r="A861" s="23">
        <v>44651</v>
      </c>
      <c r="B861" t="s">
        <v>12</v>
      </c>
      <c r="C861" t="s">
        <v>132</v>
      </c>
      <c r="D861" t="s">
        <v>17</v>
      </c>
      <c r="E861" t="s">
        <v>46</v>
      </c>
      <c r="F861">
        <v>63600000</v>
      </c>
      <c r="G861" t="s">
        <v>28</v>
      </c>
      <c r="H861" t="s">
        <v>81</v>
      </c>
      <c r="I861" t="s">
        <v>9</v>
      </c>
      <c r="L861" t="s">
        <v>161</v>
      </c>
      <c r="M861">
        <v>-63600000</v>
      </c>
    </row>
    <row r="862" spans="1:13" x14ac:dyDescent="0.3">
      <c r="A862" s="23">
        <v>44652</v>
      </c>
      <c r="B862" t="s">
        <v>12</v>
      </c>
      <c r="C862" t="s">
        <v>132</v>
      </c>
      <c r="D862" t="s">
        <v>17</v>
      </c>
      <c r="E862" t="s">
        <v>46</v>
      </c>
      <c r="F862">
        <v>50000000</v>
      </c>
      <c r="G862" t="s">
        <v>28</v>
      </c>
      <c r="H862" t="s">
        <v>81</v>
      </c>
      <c r="I862" t="s">
        <v>9</v>
      </c>
      <c r="L862" t="s">
        <v>161</v>
      </c>
      <c r="M862">
        <v>-50000000</v>
      </c>
    </row>
    <row r="863" spans="1:13" x14ac:dyDescent="0.3">
      <c r="A863" s="23">
        <v>44655</v>
      </c>
      <c r="B863" t="s">
        <v>12</v>
      </c>
      <c r="C863" t="s">
        <v>132</v>
      </c>
      <c r="D863" t="s">
        <v>16</v>
      </c>
      <c r="E863" t="s">
        <v>46</v>
      </c>
      <c r="F863">
        <v>348400000</v>
      </c>
      <c r="G863" t="s">
        <v>28</v>
      </c>
      <c r="H863" t="s">
        <v>81</v>
      </c>
      <c r="I863" t="s">
        <v>9</v>
      </c>
      <c r="L863" t="s">
        <v>161</v>
      </c>
      <c r="M863">
        <v>348400000</v>
      </c>
    </row>
    <row r="864" spans="1:13" x14ac:dyDescent="0.3">
      <c r="A864" s="23">
        <v>44656</v>
      </c>
      <c r="B864" t="s">
        <v>12</v>
      </c>
      <c r="C864" t="s">
        <v>132</v>
      </c>
      <c r="D864" t="s">
        <v>17</v>
      </c>
      <c r="E864" t="s">
        <v>46</v>
      </c>
      <c r="F864">
        <v>21100000</v>
      </c>
      <c r="G864" t="s">
        <v>28</v>
      </c>
      <c r="H864" t="s">
        <v>81</v>
      </c>
      <c r="I864" t="s">
        <v>9</v>
      </c>
      <c r="L864" t="s">
        <v>161</v>
      </c>
      <c r="M864">
        <v>-21100000</v>
      </c>
    </row>
    <row r="865" spans="1:13" x14ac:dyDescent="0.3">
      <c r="A865" s="23">
        <v>44657</v>
      </c>
      <c r="B865" t="s">
        <v>12</v>
      </c>
      <c r="C865" t="s">
        <v>132</v>
      </c>
      <c r="D865" t="s">
        <v>17</v>
      </c>
      <c r="E865" t="s">
        <v>46</v>
      </c>
      <c r="F865">
        <v>9100000</v>
      </c>
      <c r="G865" t="s">
        <v>28</v>
      </c>
      <c r="H865" t="s">
        <v>81</v>
      </c>
      <c r="I865" t="s">
        <v>9</v>
      </c>
      <c r="L865" t="s">
        <v>161</v>
      </c>
      <c r="M865">
        <v>-9100000</v>
      </c>
    </row>
    <row r="866" spans="1:13" x14ac:dyDescent="0.3">
      <c r="A866" s="23">
        <v>44658</v>
      </c>
      <c r="B866" t="s">
        <v>12</v>
      </c>
      <c r="C866" t="s">
        <v>132</v>
      </c>
      <c r="D866" t="s">
        <v>17</v>
      </c>
      <c r="E866" t="s">
        <v>46</v>
      </c>
      <c r="F866">
        <v>39000000</v>
      </c>
      <c r="G866" t="s">
        <v>28</v>
      </c>
      <c r="H866" t="s">
        <v>81</v>
      </c>
      <c r="I866" t="s">
        <v>9</v>
      </c>
      <c r="L866" t="s">
        <v>161</v>
      </c>
      <c r="M866">
        <v>-39000000</v>
      </c>
    </row>
    <row r="867" spans="1:13" x14ac:dyDescent="0.3">
      <c r="A867" s="23">
        <v>44662</v>
      </c>
      <c r="B867" t="s">
        <v>12</v>
      </c>
      <c r="C867" t="s">
        <v>132</v>
      </c>
      <c r="D867" t="s">
        <v>17</v>
      </c>
      <c r="E867" t="s">
        <v>46</v>
      </c>
      <c r="F867">
        <v>54000000</v>
      </c>
      <c r="G867" t="s">
        <v>28</v>
      </c>
      <c r="H867" t="s">
        <v>81</v>
      </c>
      <c r="I867" t="s">
        <v>9</v>
      </c>
      <c r="L867" t="s">
        <v>161</v>
      </c>
      <c r="M867">
        <v>-54000000</v>
      </c>
    </row>
    <row r="868" spans="1:13" x14ac:dyDescent="0.3">
      <c r="A868" s="23">
        <v>44663</v>
      </c>
      <c r="B868" t="s">
        <v>12</v>
      </c>
      <c r="C868" t="s">
        <v>132</v>
      </c>
      <c r="D868" t="s">
        <v>16</v>
      </c>
      <c r="E868" t="s">
        <v>46</v>
      </c>
      <c r="F868">
        <v>469300000</v>
      </c>
      <c r="G868" t="s">
        <v>28</v>
      </c>
      <c r="H868" t="s">
        <v>81</v>
      </c>
      <c r="I868" t="s">
        <v>9</v>
      </c>
      <c r="L868" t="s">
        <v>161</v>
      </c>
      <c r="M868">
        <v>469300000</v>
      </c>
    </row>
    <row r="869" spans="1:13" x14ac:dyDescent="0.3">
      <c r="A869" s="23">
        <v>44664</v>
      </c>
      <c r="B869" t="s">
        <v>12</v>
      </c>
      <c r="C869" t="s">
        <v>132</v>
      </c>
      <c r="D869" t="s">
        <v>17</v>
      </c>
      <c r="E869" t="s">
        <v>46</v>
      </c>
      <c r="F869">
        <v>53100000</v>
      </c>
      <c r="G869" t="s">
        <v>28</v>
      </c>
      <c r="H869" t="s">
        <v>81</v>
      </c>
      <c r="I869" t="s">
        <v>9</v>
      </c>
      <c r="L869" t="s">
        <v>161</v>
      </c>
      <c r="M869">
        <v>-53100000</v>
      </c>
    </row>
    <row r="870" spans="1:13" x14ac:dyDescent="0.3">
      <c r="A870" s="23">
        <v>44670</v>
      </c>
      <c r="B870" t="s">
        <v>12</v>
      </c>
      <c r="C870" t="s">
        <v>132</v>
      </c>
      <c r="D870" t="s">
        <v>17</v>
      </c>
      <c r="E870" t="s">
        <v>46</v>
      </c>
      <c r="F870">
        <v>19800000</v>
      </c>
      <c r="G870" t="s">
        <v>28</v>
      </c>
      <c r="H870" t="s">
        <v>81</v>
      </c>
      <c r="I870" t="s">
        <v>9</v>
      </c>
      <c r="L870" t="s">
        <v>161</v>
      </c>
      <c r="M870">
        <v>-19800000</v>
      </c>
    </row>
    <row r="871" spans="1:13" x14ac:dyDescent="0.3">
      <c r="A871" s="23">
        <v>44671</v>
      </c>
      <c r="B871" t="s">
        <v>12</v>
      </c>
      <c r="C871" t="s">
        <v>132</v>
      </c>
      <c r="D871" t="s">
        <v>17</v>
      </c>
      <c r="E871" t="s">
        <v>46</v>
      </c>
      <c r="F871">
        <v>42000000</v>
      </c>
      <c r="G871" t="s">
        <v>28</v>
      </c>
      <c r="H871" t="s">
        <v>81</v>
      </c>
      <c r="I871" t="s">
        <v>9</v>
      </c>
      <c r="L871" t="s">
        <v>161</v>
      </c>
      <c r="M871">
        <v>-42000000</v>
      </c>
    </row>
    <row r="872" spans="1:13" x14ac:dyDescent="0.3">
      <c r="A872" s="23">
        <v>44672</v>
      </c>
      <c r="B872" t="s">
        <v>12</v>
      </c>
      <c r="C872" t="s">
        <v>132</v>
      </c>
      <c r="D872" t="s">
        <v>17</v>
      </c>
      <c r="E872" t="s">
        <v>46</v>
      </c>
      <c r="F872">
        <v>400000000</v>
      </c>
      <c r="G872" t="s">
        <v>28</v>
      </c>
      <c r="H872" t="s">
        <v>81</v>
      </c>
      <c r="I872" t="s">
        <v>9</v>
      </c>
      <c r="L872" t="s">
        <v>161</v>
      </c>
      <c r="M872">
        <v>-400000000</v>
      </c>
    </row>
    <row r="873" spans="1:13" x14ac:dyDescent="0.3">
      <c r="A873" s="23">
        <v>44673</v>
      </c>
      <c r="B873" t="s">
        <v>12</v>
      </c>
      <c r="C873" t="s">
        <v>132</v>
      </c>
      <c r="D873" t="s">
        <v>17</v>
      </c>
      <c r="E873" t="s">
        <v>46</v>
      </c>
      <c r="F873">
        <v>5300000</v>
      </c>
      <c r="G873" t="s">
        <v>28</v>
      </c>
      <c r="H873" t="s">
        <v>81</v>
      </c>
      <c r="I873" t="s">
        <v>9</v>
      </c>
      <c r="L873" t="s">
        <v>161</v>
      </c>
      <c r="M873">
        <v>-5300000</v>
      </c>
    </row>
    <row r="874" spans="1:13" x14ac:dyDescent="0.3">
      <c r="A874" s="23">
        <v>44676</v>
      </c>
      <c r="B874" t="s">
        <v>12</v>
      </c>
      <c r="C874" t="s">
        <v>132</v>
      </c>
      <c r="D874" t="s">
        <v>17</v>
      </c>
      <c r="E874" t="s">
        <v>46</v>
      </c>
      <c r="F874">
        <v>28300000</v>
      </c>
      <c r="G874" t="s">
        <v>28</v>
      </c>
      <c r="H874" t="s">
        <v>81</v>
      </c>
      <c r="I874" t="s">
        <v>9</v>
      </c>
      <c r="L874" t="s">
        <v>161</v>
      </c>
      <c r="M874">
        <v>-28300000</v>
      </c>
    </row>
    <row r="875" spans="1:13" x14ac:dyDescent="0.3">
      <c r="A875" s="23">
        <v>44677</v>
      </c>
      <c r="B875" t="s">
        <v>12</v>
      </c>
      <c r="C875" t="s">
        <v>132</v>
      </c>
      <c r="D875" t="s">
        <v>17</v>
      </c>
      <c r="E875" t="s">
        <v>46</v>
      </c>
      <c r="F875">
        <v>12600000</v>
      </c>
      <c r="G875" t="s">
        <v>28</v>
      </c>
      <c r="H875" t="s">
        <v>81</v>
      </c>
      <c r="I875" t="s">
        <v>9</v>
      </c>
      <c r="L875" t="s">
        <v>161</v>
      </c>
      <c r="M875">
        <v>-12600000</v>
      </c>
    </row>
    <row r="876" spans="1:13" x14ac:dyDescent="0.3">
      <c r="A876" s="23">
        <v>44678</v>
      </c>
      <c r="B876" t="s">
        <v>12</v>
      </c>
      <c r="C876" t="s">
        <v>132</v>
      </c>
      <c r="D876" t="s">
        <v>17</v>
      </c>
      <c r="E876" t="s">
        <v>46</v>
      </c>
      <c r="F876">
        <v>16000000</v>
      </c>
      <c r="G876" t="s">
        <v>28</v>
      </c>
      <c r="H876" t="s">
        <v>81</v>
      </c>
      <c r="I876" t="s">
        <v>9</v>
      </c>
      <c r="L876" t="s">
        <v>161</v>
      </c>
      <c r="M876">
        <v>-16000000</v>
      </c>
    </row>
    <row r="877" spans="1:13" x14ac:dyDescent="0.3">
      <c r="A877" s="23">
        <v>44679</v>
      </c>
      <c r="B877" t="s">
        <v>12</v>
      </c>
      <c r="C877" t="s">
        <v>132</v>
      </c>
      <c r="D877" t="s">
        <v>17</v>
      </c>
      <c r="E877" t="s">
        <v>46</v>
      </c>
      <c r="F877">
        <v>19000000</v>
      </c>
      <c r="G877" t="s">
        <v>28</v>
      </c>
      <c r="H877" t="s">
        <v>81</v>
      </c>
      <c r="I877" t="s">
        <v>9</v>
      </c>
      <c r="L877" t="s">
        <v>161</v>
      </c>
      <c r="M877">
        <v>-19000000</v>
      </c>
    </row>
    <row r="878" spans="1:13" x14ac:dyDescent="0.3">
      <c r="A878" s="23">
        <v>44680</v>
      </c>
      <c r="B878" t="s">
        <v>12</v>
      </c>
      <c r="C878" t="s">
        <v>132</v>
      </c>
      <c r="D878" t="s">
        <v>17</v>
      </c>
      <c r="E878" t="s">
        <v>46</v>
      </c>
      <c r="F878">
        <v>105000000</v>
      </c>
      <c r="G878" t="s">
        <v>28</v>
      </c>
      <c r="H878" t="s">
        <v>81</v>
      </c>
      <c r="I878" t="s">
        <v>9</v>
      </c>
      <c r="L878" t="s">
        <v>161</v>
      </c>
      <c r="M878">
        <v>-105000000</v>
      </c>
    </row>
    <row r="879" spans="1:13" x14ac:dyDescent="0.3">
      <c r="A879" s="23">
        <v>44681</v>
      </c>
      <c r="B879" t="s">
        <v>12</v>
      </c>
      <c r="C879" t="s">
        <v>132</v>
      </c>
      <c r="D879" t="s">
        <v>16</v>
      </c>
      <c r="E879" t="s">
        <v>46</v>
      </c>
      <c r="F879">
        <v>9305565.5999999996</v>
      </c>
      <c r="G879" t="s">
        <v>28</v>
      </c>
      <c r="H879" t="s">
        <v>81</v>
      </c>
      <c r="I879" t="s">
        <v>9</v>
      </c>
      <c r="L879" t="s">
        <v>161</v>
      </c>
      <c r="M879">
        <v>9305565.5999999996</v>
      </c>
    </row>
    <row r="880" spans="1:13" x14ac:dyDescent="0.3">
      <c r="A880" s="23">
        <v>44683</v>
      </c>
      <c r="B880" t="s">
        <v>12</v>
      </c>
      <c r="C880" t="s">
        <v>132</v>
      </c>
      <c r="D880" t="s">
        <v>17</v>
      </c>
      <c r="E880" t="s">
        <v>46</v>
      </c>
      <c r="F880">
        <v>21805565.600000001</v>
      </c>
      <c r="G880" t="s">
        <v>28</v>
      </c>
      <c r="H880" t="s">
        <v>81</v>
      </c>
      <c r="I880" t="s">
        <v>9</v>
      </c>
      <c r="L880" t="s">
        <v>161</v>
      </c>
      <c r="M880">
        <v>-21805565.600000001</v>
      </c>
    </row>
    <row r="881" spans="1:13" x14ac:dyDescent="0.3">
      <c r="A881" s="23">
        <v>44728</v>
      </c>
      <c r="B881" t="s">
        <v>12</v>
      </c>
      <c r="C881" t="s">
        <v>132</v>
      </c>
      <c r="D881" t="s">
        <v>16</v>
      </c>
      <c r="E881" t="s">
        <v>46</v>
      </c>
      <c r="F881">
        <v>18500000</v>
      </c>
      <c r="G881" t="s">
        <v>28</v>
      </c>
      <c r="H881" t="s">
        <v>81</v>
      </c>
      <c r="I881" t="s">
        <v>9</v>
      </c>
      <c r="L881" t="s">
        <v>161</v>
      </c>
      <c r="M881">
        <v>18500000</v>
      </c>
    </row>
    <row r="882" spans="1:13" x14ac:dyDescent="0.3">
      <c r="A882" s="23">
        <v>44733</v>
      </c>
      <c r="B882" t="s">
        <v>12</v>
      </c>
      <c r="C882" t="s">
        <v>132</v>
      </c>
      <c r="D882" t="s">
        <v>17</v>
      </c>
      <c r="E882" t="s">
        <v>46</v>
      </c>
      <c r="F882">
        <v>17700000</v>
      </c>
      <c r="G882" t="s">
        <v>28</v>
      </c>
      <c r="H882" t="s">
        <v>81</v>
      </c>
      <c r="I882" t="s">
        <v>9</v>
      </c>
      <c r="L882" t="s">
        <v>161</v>
      </c>
      <c r="M882">
        <v>-17700000</v>
      </c>
    </row>
    <row r="883" spans="1:13" x14ac:dyDescent="0.3">
      <c r="A883" s="23">
        <v>44734</v>
      </c>
      <c r="B883" t="s">
        <v>12</v>
      </c>
      <c r="C883" t="s">
        <v>132</v>
      </c>
      <c r="D883" t="s">
        <v>16</v>
      </c>
      <c r="E883" t="s">
        <v>46</v>
      </c>
      <c r="F883">
        <v>160700000</v>
      </c>
      <c r="G883" t="s">
        <v>28</v>
      </c>
      <c r="H883" t="s">
        <v>81</v>
      </c>
      <c r="I883" t="s">
        <v>9</v>
      </c>
      <c r="L883" t="s">
        <v>161</v>
      </c>
      <c r="M883">
        <v>160700000</v>
      </c>
    </row>
    <row r="884" spans="1:13" x14ac:dyDescent="0.3">
      <c r="A884" s="23">
        <v>45723</v>
      </c>
      <c r="B884" t="s">
        <v>12</v>
      </c>
      <c r="C884" t="s">
        <v>132</v>
      </c>
      <c r="D884" t="s">
        <v>17</v>
      </c>
      <c r="E884" t="s">
        <v>46</v>
      </c>
      <c r="F884">
        <v>507543004</v>
      </c>
      <c r="G884" t="s">
        <v>28</v>
      </c>
      <c r="H884" t="s">
        <v>81</v>
      </c>
      <c r="I884" t="s">
        <v>9</v>
      </c>
      <c r="L884" t="s">
        <v>161</v>
      </c>
      <c r="M884">
        <v>-507543004</v>
      </c>
    </row>
    <row r="885" spans="1:13" x14ac:dyDescent="0.3">
      <c r="A885" s="23">
        <v>44735</v>
      </c>
      <c r="B885" t="s">
        <v>12</v>
      </c>
      <c r="C885" t="s">
        <v>132</v>
      </c>
      <c r="D885" t="s">
        <v>17</v>
      </c>
      <c r="E885" t="s">
        <v>46</v>
      </c>
      <c r="F885">
        <v>70000000</v>
      </c>
      <c r="G885" t="s">
        <v>28</v>
      </c>
      <c r="H885" t="s">
        <v>81</v>
      </c>
      <c r="I885" t="s">
        <v>9</v>
      </c>
      <c r="L885" t="s">
        <v>161</v>
      </c>
      <c r="M885">
        <v>-70000000</v>
      </c>
    </row>
    <row r="886" spans="1:13" x14ac:dyDescent="0.3">
      <c r="A886" s="23">
        <v>44736</v>
      </c>
      <c r="B886" t="s">
        <v>12</v>
      </c>
      <c r="C886" t="s">
        <v>132</v>
      </c>
      <c r="D886" t="s">
        <v>17</v>
      </c>
      <c r="E886" t="s">
        <v>46</v>
      </c>
      <c r="F886">
        <v>17300000</v>
      </c>
      <c r="G886" t="s">
        <v>28</v>
      </c>
      <c r="H886" t="s">
        <v>81</v>
      </c>
      <c r="I886" t="s">
        <v>9</v>
      </c>
      <c r="L886" t="s">
        <v>161</v>
      </c>
      <c r="M886">
        <v>-17300000</v>
      </c>
    </row>
    <row r="887" spans="1:13" x14ac:dyDescent="0.3">
      <c r="A887" s="23">
        <v>44739</v>
      </c>
      <c r="B887" t="s">
        <v>12</v>
      </c>
      <c r="C887" t="s">
        <v>132</v>
      </c>
      <c r="D887" t="s">
        <v>17</v>
      </c>
      <c r="E887" t="s">
        <v>46</v>
      </c>
      <c r="F887">
        <v>48400000</v>
      </c>
      <c r="G887" t="s">
        <v>28</v>
      </c>
      <c r="H887" t="s">
        <v>81</v>
      </c>
      <c r="I887" t="s">
        <v>9</v>
      </c>
      <c r="L887" t="s">
        <v>161</v>
      </c>
      <c r="M887">
        <v>-48400000</v>
      </c>
    </row>
    <row r="888" spans="1:13" x14ac:dyDescent="0.3">
      <c r="A888" s="23">
        <v>45716</v>
      </c>
      <c r="B888" t="s">
        <v>12</v>
      </c>
      <c r="C888" t="s">
        <v>132</v>
      </c>
      <c r="D888" t="s">
        <v>17</v>
      </c>
      <c r="E888" t="s">
        <v>46</v>
      </c>
      <c r="F888">
        <v>500000000</v>
      </c>
      <c r="G888" t="s">
        <v>28</v>
      </c>
      <c r="H888" t="s">
        <v>81</v>
      </c>
      <c r="I888" t="s">
        <v>9</v>
      </c>
      <c r="L888" t="s">
        <v>161</v>
      </c>
      <c r="M888">
        <v>-500000000</v>
      </c>
    </row>
    <row r="889" spans="1:13" x14ac:dyDescent="0.3">
      <c r="A889" s="23">
        <v>45715</v>
      </c>
      <c r="B889" t="s">
        <v>12</v>
      </c>
      <c r="C889" t="s">
        <v>132</v>
      </c>
      <c r="D889" t="s">
        <v>17</v>
      </c>
      <c r="E889" t="s">
        <v>46</v>
      </c>
      <c r="F889">
        <v>500000000</v>
      </c>
      <c r="G889" t="s">
        <v>28</v>
      </c>
      <c r="H889" t="s">
        <v>81</v>
      </c>
      <c r="I889" t="s">
        <v>9</v>
      </c>
      <c r="L889" t="s">
        <v>161</v>
      </c>
      <c r="M889">
        <v>-500000000</v>
      </c>
    </row>
    <row r="890" spans="1:13" x14ac:dyDescent="0.3">
      <c r="A890" s="23">
        <v>45714</v>
      </c>
      <c r="B890" t="s">
        <v>12</v>
      </c>
      <c r="C890" t="s">
        <v>132</v>
      </c>
      <c r="D890" t="s">
        <v>16</v>
      </c>
      <c r="E890" t="s">
        <v>46</v>
      </c>
      <c r="F890">
        <v>17053004</v>
      </c>
      <c r="G890" t="s">
        <v>28</v>
      </c>
      <c r="H890" t="s">
        <v>81</v>
      </c>
      <c r="I890" t="s">
        <v>9</v>
      </c>
      <c r="L890" t="s">
        <v>161</v>
      </c>
      <c r="M890">
        <v>17053004</v>
      </c>
    </row>
    <row r="891" spans="1:13" x14ac:dyDescent="0.3">
      <c r="A891" s="23">
        <v>44741</v>
      </c>
      <c r="B891" t="s">
        <v>12</v>
      </c>
      <c r="C891" t="s">
        <v>132</v>
      </c>
      <c r="D891" t="s">
        <v>17</v>
      </c>
      <c r="E891" t="s">
        <v>46</v>
      </c>
      <c r="F891">
        <v>25800000</v>
      </c>
      <c r="G891" t="s">
        <v>28</v>
      </c>
      <c r="H891" t="s">
        <v>81</v>
      </c>
      <c r="I891" t="s">
        <v>9</v>
      </c>
      <c r="L891" t="s">
        <v>161</v>
      </c>
      <c r="M891">
        <v>-25800000</v>
      </c>
    </row>
    <row r="892" spans="1:13" x14ac:dyDescent="0.3">
      <c r="A892" s="23">
        <v>45712</v>
      </c>
      <c r="B892" t="s">
        <v>12</v>
      </c>
      <c r="C892" t="s">
        <v>132</v>
      </c>
      <c r="D892" t="s">
        <v>17</v>
      </c>
      <c r="E892" t="s">
        <v>46</v>
      </c>
      <c r="F892">
        <v>133400000</v>
      </c>
      <c r="G892" t="s">
        <v>28</v>
      </c>
      <c r="H892" t="s">
        <v>81</v>
      </c>
      <c r="I892" t="s">
        <v>9</v>
      </c>
      <c r="L892" t="s">
        <v>161</v>
      </c>
      <c r="M892">
        <v>-133400000</v>
      </c>
    </row>
    <row r="893" spans="1:13" x14ac:dyDescent="0.3">
      <c r="A893" s="23">
        <v>45708</v>
      </c>
      <c r="B893" t="s">
        <v>12</v>
      </c>
      <c r="C893" t="s">
        <v>132</v>
      </c>
      <c r="D893" t="s">
        <v>17</v>
      </c>
      <c r="E893" t="s">
        <v>46</v>
      </c>
      <c r="F893">
        <v>124600000</v>
      </c>
      <c r="G893" t="s">
        <v>28</v>
      </c>
      <c r="H893" t="s">
        <v>81</v>
      </c>
      <c r="I893" t="s">
        <v>9</v>
      </c>
      <c r="L893" t="s">
        <v>161</v>
      </c>
      <c r="M893">
        <v>-124600000</v>
      </c>
    </row>
    <row r="894" spans="1:13" x14ac:dyDescent="0.3">
      <c r="A894" s="23">
        <v>45706</v>
      </c>
      <c r="B894" t="s">
        <v>12</v>
      </c>
      <c r="C894" t="s">
        <v>132</v>
      </c>
      <c r="D894" t="s">
        <v>16</v>
      </c>
      <c r="E894" t="s">
        <v>46</v>
      </c>
      <c r="F894">
        <v>711700000</v>
      </c>
      <c r="G894" t="s">
        <v>28</v>
      </c>
      <c r="H894" t="s">
        <v>81</v>
      </c>
      <c r="I894" t="s">
        <v>9</v>
      </c>
      <c r="L894" t="s">
        <v>161</v>
      </c>
      <c r="M894">
        <v>711700000</v>
      </c>
    </row>
    <row r="895" spans="1:13" x14ac:dyDescent="0.3">
      <c r="A895" s="23">
        <v>44747</v>
      </c>
      <c r="B895" t="s">
        <v>12</v>
      </c>
      <c r="C895" t="s">
        <v>132</v>
      </c>
      <c r="D895" t="s">
        <v>16</v>
      </c>
      <c r="E895" t="s">
        <v>46</v>
      </c>
      <c r="F895">
        <v>385600000</v>
      </c>
      <c r="G895" t="s">
        <v>28</v>
      </c>
      <c r="H895" t="s">
        <v>81</v>
      </c>
      <c r="I895" t="s">
        <v>9</v>
      </c>
      <c r="L895" t="s">
        <v>161</v>
      </c>
      <c r="M895">
        <v>385600000</v>
      </c>
    </row>
    <row r="896" spans="1:13" x14ac:dyDescent="0.3">
      <c r="A896" s="23">
        <v>44748</v>
      </c>
      <c r="B896" t="s">
        <v>12</v>
      </c>
      <c r="C896" t="s">
        <v>132</v>
      </c>
      <c r="D896" t="s">
        <v>17</v>
      </c>
      <c r="E896" t="s">
        <v>46</v>
      </c>
      <c r="F896">
        <v>40000000</v>
      </c>
      <c r="G896" t="s">
        <v>28</v>
      </c>
      <c r="H896" t="s">
        <v>81</v>
      </c>
      <c r="I896" t="s">
        <v>9</v>
      </c>
      <c r="L896" t="s">
        <v>161</v>
      </c>
      <c r="M896">
        <v>-40000000</v>
      </c>
    </row>
    <row r="897" spans="1:13" x14ac:dyDescent="0.3">
      <c r="A897" s="23">
        <v>45705</v>
      </c>
      <c r="B897" t="s">
        <v>12</v>
      </c>
      <c r="C897" t="s">
        <v>132</v>
      </c>
      <c r="D897" t="s">
        <v>17</v>
      </c>
      <c r="E897" t="s">
        <v>46</v>
      </c>
      <c r="F897">
        <v>218500000</v>
      </c>
      <c r="G897" t="s">
        <v>28</v>
      </c>
      <c r="H897" t="s">
        <v>81</v>
      </c>
      <c r="I897" t="s">
        <v>9</v>
      </c>
      <c r="L897" t="s">
        <v>161</v>
      </c>
      <c r="M897">
        <v>-218500000</v>
      </c>
    </row>
    <row r="898" spans="1:13" x14ac:dyDescent="0.3">
      <c r="A898" s="23">
        <v>44749</v>
      </c>
      <c r="B898" t="s">
        <v>12</v>
      </c>
      <c r="C898" t="s">
        <v>132</v>
      </c>
      <c r="D898" t="s">
        <v>17</v>
      </c>
      <c r="E898" t="s">
        <v>46</v>
      </c>
      <c r="F898">
        <v>163900000</v>
      </c>
      <c r="G898" t="s">
        <v>28</v>
      </c>
      <c r="H898" t="s">
        <v>81</v>
      </c>
      <c r="I898" t="s">
        <v>9</v>
      </c>
      <c r="L898" t="s">
        <v>161</v>
      </c>
      <c r="M898">
        <v>-163900000</v>
      </c>
    </row>
    <row r="899" spans="1:13" x14ac:dyDescent="0.3">
      <c r="A899" s="23">
        <v>44750</v>
      </c>
      <c r="B899" t="s">
        <v>12</v>
      </c>
      <c r="C899" t="s">
        <v>132</v>
      </c>
      <c r="D899" t="s">
        <v>17</v>
      </c>
      <c r="E899" t="s">
        <v>46</v>
      </c>
      <c r="F899">
        <v>112300000</v>
      </c>
      <c r="G899" t="s">
        <v>28</v>
      </c>
      <c r="H899" t="s">
        <v>81</v>
      </c>
      <c r="I899" t="s">
        <v>9</v>
      </c>
      <c r="L899" t="s">
        <v>161</v>
      </c>
      <c r="M899">
        <v>-112300000</v>
      </c>
    </row>
    <row r="900" spans="1:13" x14ac:dyDescent="0.3">
      <c r="A900" s="23">
        <v>45701</v>
      </c>
      <c r="B900" t="s">
        <v>12</v>
      </c>
      <c r="C900" t="s">
        <v>132</v>
      </c>
      <c r="D900" t="s">
        <v>16</v>
      </c>
      <c r="E900" t="s">
        <v>46</v>
      </c>
      <c r="F900">
        <v>600000000</v>
      </c>
      <c r="G900" t="s">
        <v>28</v>
      </c>
      <c r="H900" t="s">
        <v>81</v>
      </c>
      <c r="I900" t="s">
        <v>9</v>
      </c>
      <c r="L900" t="s">
        <v>161</v>
      </c>
      <c r="M900">
        <v>600000000</v>
      </c>
    </row>
    <row r="901" spans="1:13" x14ac:dyDescent="0.3">
      <c r="A901" s="23">
        <v>44750</v>
      </c>
      <c r="B901" t="s">
        <v>12</v>
      </c>
      <c r="C901" t="s">
        <v>132</v>
      </c>
      <c r="D901" t="s">
        <v>16</v>
      </c>
      <c r="E901" t="s">
        <v>46</v>
      </c>
      <c r="F901">
        <v>113100916.26000001</v>
      </c>
      <c r="G901" t="s">
        <v>28</v>
      </c>
      <c r="H901" t="s">
        <v>81</v>
      </c>
      <c r="I901" t="s">
        <v>9</v>
      </c>
      <c r="J901" t="s">
        <v>155</v>
      </c>
      <c r="L901" t="s">
        <v>161</v>
      </c>
      <c r="M901">
        <v>113100916.26000001</v>
      </c>
    </row>
    <row r="902" spans="1:13" x14ac:dyDescent="0.3">
      <c r="A902" s="23">
        <v>45699</v>
      </c>
      <c r="B902" t="s">
        <v>12</v>
      </c>
      <c r="C902" t="s">
        <v>132</v>
      </c>
      <c r="D902" t="s">
        <v>17</v>
      </c>
      <c r="E902" t="s">
        <v>46</v>
      </c>
      <c r="F902">
        <v>6400000</v>
      </c>
      <c r="G902" t="s">
        <v>28</v>
      </c>
      <c r="H902" t="s">
        <v>81</v>
      </c>
      <c r="I902" t="s">
        <v>9</v>
      </c>
      <c r="L902" t="s">
        <v>161</v>
      </c>
      <c r="M902">
        <v>-6400000</v>
      </c>
    </row>
    <row r="903" spans="1:13" x14ac:dyDescent="0.3">
      <c r="A903" s="23">
        <v>44753</v>
      </c>
      <c r="B903" t="s">
        <v>12</v>
      </c>
      <c r="C903" t="s">
        <v>132</v>
      </c>
      <c r="D903" t="s">
        <v>17</v>
      </c>
      <c r="E903" t="s">
        <v>46</v>
      </c>
      <c r="F903">
        <v>55300000</v>
      </c>
      <c r="G903" t="s">
        <v>28</v>
      </c>
      <c r="H903" t="s">
        <v>81</v>
      </c>
      <c r="I903" t="s">
        <v>9</v>
      </c>
      <c r="L903" t="s">
        <v>161</v>
      </c>
      <c r="M903">
        <v>-55300000</v>
      </c>
    </row>
    <row r="904" spans="1:13" x14ac:dyDescent="0.3">
      <c r="A904" s="23">
        <v>45698</v>
      </c>
      <c r="B904" t="s">
        <v>12</v>
      </c>
      <c r="C904" t="s">
        <v>132</v>
      </c>
      <c r="D904" t="s">
        <v>17</v>
      </c>
      <c r="E904" t="s">
        <v>46</v>
      </c>
      <c r="F904">
        <v>302000000</v>
      </c>
      <c r="G904" t="s">
        <v>28</v>
      </c>
      <c r="H904" t="s">
        <v>81</v>
      </c>
      <c r="I904" t="s">
        <v>9</v>
      </c>
      <c r="L904" t="s">
        <v>161</v>
      </c>
      <c r="M904">
        <v>-302000000</v>
      </c>
    </row>
    <row r="905" spans="1:13" x14ac:dyDescent="0.3">
      <c r="A905" s="23">
        <v>44754</v>
      </c>
      <c r="B905" t="s">
        <v>12</v>
      </c>
      <c r="C905" t="s">
        <v>132</v>
      </c>
      <c r="D905" t="s">
        <v>16</v>
      </c>
      <c r="E905" t="s">
        <v>46</v>
      </c>
      <c r="F905">
        <v>230000000</v>
      </c>
      <c r="G905" t="s">
        <v>28</v>
      </c>
      <c r="H905" t="s">
        <v>81</v>
      </c>
      <c r="I905" t="s">
        <v>9</v>
      </c>
      <c r="L905" t="s">
        <v>161</v>
      </c>
      <c r="M905">
        <v>230000000</v>
      </c>
    </row>
    <row r="906" spans="1:13" x14ac:dyDescent="0.3">
      <c r="A906" s="23">
        <v>44755</v>
      </c>
      <c r="B906" t="s">
        <v>12</v>
      </c>
      <c r="C906" t="s">
        <v>132</v>
      </c>
      <c r="D906" t="s">
        <v>17</v>
      </c>
      <c r="E906" t="s">
        <v>46</v>
      </c>
      <c r="F906">
        <v>137800000</v>
      </c>
      <c r="G906" t="s">
        <v>28</v>
      </c>
      <c r="H906" t="s">
        <v>81</v>
      </c>
      <c r="I906" t="s">
        <v>9</v>
      </c>
      <c r="L906" t="s">
        <v>161</v>
      </c>
      <c r="M906">
        <v>-137800000</v>
      </c>
    </row>
    <row r="907" spans="1:13" x14ac:dyDescent="0.3">
      <c r="A907" s="23">
        <v>45695</v>
      </c>
      <c r="B907" t="s">
        <v>12</v>
      </c>
      <c r="C907" t="s">
        <v>132</v>
      </c>
      <c r="D907" t="s">
        <v>16</v>
      </c>
      <c r="E907" t="s">
        <v>46</v>
      </c>
      <c r="F907">
        <v>10290000</v>
      </c>
      <c r="G907" t="s">
        <v>28</v>
      </c>
      <c r="H907" t="s">
        <v>81</v>
      </c>
      <c r="I907" t="s">
        <v>9</v>
      </c>
      <c r="L907" t="s">
        <v>161</v>
      </c>
      <c r="M907">
        <v>10290000</v>
      </c>
    </row>
    <row r="908" spans="1:13" x14ac:dyDescent="0.3">
      <c r="A908" s="23">
        <v>44756</v>
      </c>
      <c r="B908" t="s">
        <v>12</v>
      </c>
      <c r="C908" t="s">
        <v>132</v>
      </c>
      <c r="D908" t="s">
        <v>17</v>
      </c>
      <c r="E908" t="s">
        <v>46</v>
      </c>
      <c r="F908">
        <v>52000000</v>
      </c>
      <c r="G908" t="s">
        <v>28</v>
      </c>
      <c r="H908" t="s">
        <v>81</v>
      </c>
      <c r="I908" t="s">
        <v>9</v>
      </c>
      <c r="L908" t="s">
        <v>161</v>
      </c>
      <c r="M908">
        <v>-52000000</v>
      </c>
    </row>
    <row r="909" spans="1:13" x14ac:dyDescent="0.3">
      <c r="A909" s="23">
        <v>44760</v>
      </c>
      <c r="B909" t="s">
        <v>12</v>
      </c>
      <c r="C909" t="s">
        <v>132</v>
      </c>
      <c r="D909" t="s">
        <v>17</v>
      </c>
      <c r="E909" t="s">
        <v>46</v>
      </c>
      <c r="F909">
        <v>111424171.67</v>
      </c>
      <c r="G909" t="s">
        <v>28</v>
      </c>
      <c r="H909" t="s">
        <v>81</v>
      </c>
      <c r="I909" t="s">
        <v>9</v>
      </c>
      <c r="J909" t="s">
        <v>155</v>
      </c>
      <c r="L909" t="s">
        <v>161</v>
      </c>
      <c r="M909">
        <v>-111424171.67</v>
      </c>
    </row>
    <row r="910" spans="1:13" x14ac:dyDescent="0.3">
      <c r="A910" s="23">
        <v>45691</v>
      </c>
      <c r="B910" t="s">
        <v>12</v>
      </c>
      <c r="C910" t="s">
        <v>132</v>
      </c>
      <c r="D910" t="s">
        <v>17</v>
      </c>
      <c r="E910" t="s">
        <v>46</v>
      </c>
      <c r="F910">
        <v>450000000</v>
      </c>
      <c r="G910" t="s">
        <v>28</v>
      </c>
      <c r="H910" t="s">
        <v>81</v>
      </c>
      <c r="I910" t="s">
        <v>9</v>
      </c>
      <c r="L910" t="s">
        <v>161</v>
      </c>
      <c r="M910">
        <v>-450000000</v>
      </c>
    </row>
    <row r="911" spans="1:13" x14ac:dyDescent="0.3">
      <c r="A911" s="23">
        <v>45688</v>
      </c>
      <c r="B911" t="s">
        <v>12</v>
      </c>
      <c r="C911" t="s">
        <v>132</v>
      </c>
      <c r="D911" t="s">
        <v>16</v>
      </c>
      <c r="E911" t="s">
        <v>46</v>
      </c>
      <c r="F911">
        <v>976700000</v>
      </c>
      <c r="G911" t="s">
        <v>28</v>
      </c>
      <c r="H911" t="s">
        <v>81</v>
      </c>
      <c r="I911" t="s">
        <v>9</v>
      </c>
      <c r="L911" t="s">
        <v>161</v>
      </c>
      <c r="M911">
        <v>976700000</v>
      </c>
    </row>
    <row r="912" spans="1:13" x14ac:dyDescent="0.3">
      <c r="A912" s="23">
        <v>45687</v>
      </c>
      <c r="B912" t="s">
        <v>12</v>
      </c>
      <c r="C912" t="s">
        <v>132</v>
      </c>
      <c r="D912" t="s">
        <v>17</v>
      </c>
      <c r="E912" t="s">
        <v>46</v>
      </c>
      <c r="F912">
        <v>60900000</v>
      </c>
      <c r="G912" t="s">
        <v>28</v>
      </c>
      <c r="H912" t="s">
        <v>81</v>
      </c>
      <c r="I912" t="s">
        <v>9</v>
      </c>
      <c r="L912" t="s">
        <v>161</v>
      </c>
      <c r="M912">
        <v>-60900000</v>
      </c>
    </row>
    <row r="913" spans="1:13" x14ac:dyDescent="0.3">
      <c r="A913" s="23">
        <v>44761</v>
      </c>
      <c r="B913" t="s">
        <v>12</v>
      </c>
      <c r="C913" t="s">
        <v>132</v>
      </c>
      <c r="D913" t="s">
        <v>17</v>
      </c>
      <c r="E913" t="s">
        <v>46</v>
      </c>
      <c r="F913">
        <v>15000000</v>
      </c>
      <c r="G913" t="s">
        <v>28</v>
      </c>
      <c r="H913" t="s">
        <v>81</v>
      </c>
      <c r="I913" t="s">
        <v>9</v>
      </c>
      <c r="L913" t="s">
        <v>161</v>
      </c>
      <c r="M913">
        <v>-15000000</v>
      </c>
    </row>
    <row r="914" spans="1:13" x14ac:dyDescent="0.3">
      <c r="A914" s="23">
        <v>44762</v>
      </c>
      <c r="B914" t="s">
        <v>12</v>
      </c>
      <c r="C914" t="s">
        <v>132</v>
      </c>
      <c r="D914" t="s">
        <v>17</v>
      </c>
      <c r="E914" t="s">
        <v>46</v>
      </c>
      <c r="F914">
        <v>25000000</v>
      </c>
      <c r="G914" t="s">
        <v>28</v>
      </c>
      <c r="H914" t="s">
        <v>81</v>
      </c>
      <c r="I914" t="s">
        <v>9</v>
      </c>
      <c r="L914" t="s">
        <v>161</v>
      </c>
      <c r="M914">
        <v>-25000000</v>
      </c>
    </row>
    <row r="915" spans="1:13" x14ac:dyDescent="0.3">
      <c r="A915" s="23">
        <v>45686</v>
      </c>
      <c r="B915" t="s">
        <v>12</v>
      </c>
      <c r="C915" t="s">
        <v>132</v>
      </c>
      <c r="D915" t="s">
        <v>17</v>
      </c>
      <c r="E915" t="s">
        <v>46</v>
      </c>
      <c r="F915">
        <v>166400000</v>
      </c>
      <c r="G915" t="s">
        <v>28</v>
      </c>
      <c r="H915" t="s">
        <v>81</v>
      </c>
      <c r="I915" t="s">
        <v>9</v>
      </c>
      <c r="L915" t="s">
        <v>161</v>
      </c>
      <c r="M915">
        <v>-166400000</v>
      </c>
    </row>
    <row r="916" spans="1:13" x14ac:dyDescent="0.3">
      <c r="A916" s="23">
        <v>44763</v>
      </c>
      <c r="B916" t="s">
        <v>12</v>
      </c>
      <c r="C916" t="s">
        <v>132</v>
      </c>
      <c r="D916" t="s">
        <v>17</v>
      </c>
      <c r="E916" t="s">
        <v>46</v>
      </c>
      <c r="F916">
        <v>15976744.589999914</v>
      </c>
      <c r="G916" t="s">
        <v>28</v>
      </c>
      <c r="H916" t="s">
        <v>81</v>
      </c>
      <c r="I916" t="s">
        <v>9</v>
      </c>
      <c r="L916" t="s">
        <v>161</v>
      </c>
      <c r="M916">
        <v>-15976744.59</v>
      </c>
    </row>
    <row r="917" spans="1:13" x14ac:dyDescent="0.3">
      <c r="A917" s="23">
        <v>45685</v>
      </c>
      <c r="B917" t="s">
        <v>12</v>
      </c>
      <c r="C917" t="s">
        <v>132</v>
      </c>
      <c r="D917" t="s">
        <v>16</v>
      </c>
      <c r="E917" t="s">
        <v>46</v>
      </c>
      <c r="F917">
        <v>500000000</v>
      </c>
      <c r="G917" t="s">
        <v>28</v>
      </c>
      <c r="H917" t="s">
        <v>81</v>
      </c>
      <c r="I917" t="s">
        <v>9</v>
      </c>
      <c r="L917" t="s">
        <v>161</v>
      </c>
      <c r="M917">
        <v>500000000</v>
      </c>
    </row>
    <row r="918" spans="1:13" x14ac:dyDescent="0.3">
      <c r="A918" s="23">
        <v>45681</v>
      </c>
      <c r="B918" t="s">
        <v>12</v>
      </c>
      <c r="C918" t="s">
        <v>132</v>
      </c>
      <c r="D918" t="s">
        <v>17</v>
      </c>
      <c r="E918" t="s">
        <v>46</v>
      </c>
      <c r="F918">
        <v>42400000</v>
      </c>
      <c r="G918" t="s">
        <v>28</v>
      </c>
      <c r="H918" t="s">
        <v>81</v>
      </c>
      <c r="I918" t="s">
        <v>9</v>
      </c>
      <c r="L918" t="s">
        <v>161</v>
      </c>
      <c r="M918">
        <v>-42400000</v>
      </c>
    </row>
    <row r="919" spans="1:13" x14ac:dyDescent="0.3">
      <c r="A919" s="23">
        <v>44782</v>
      </c>
      <c r="B919" t="s">
        <v>12</v>
      </c>
      <c r="C919" t="s">
        <v>132</v>
      </c>
      <c r="D919" t="s">
        <v>16</v>
      </c>
      <c r="E919" t="s">
        <v>46</v>
      </c>
      <c r="F919">
        <v>300000000</v>
      </c>
      <c r="G919" t="s">
        <v>28</v>
      </c>
      <c r="H919" t="s">
        <v>81</v>
      </c>
      <c r="I919" t="s">
        <v>9</v>
      </c>
      <c r="L919" t="s">
        <v>161</v>
      </c>
      <c r="M919">
        <v>300000000</v>
      </c>
    </row>
    <row r="920" spans="1:13" x14ac:dyDescent="0.3">
      <c r="A920" s="23">
        <v>45673</v>
      </c>
      <c r="B920" t="s">
        <v>12</v>
      </c>
      <c r="C920" t="s">
        <v>132</v>
      </c>
      <c r="D920" t="s">
        <v>17</v>
      </c>
      <c r="E920" t="s">
        <v>46</v>
      </c>
      <c r="F920">
        <v>203600000</v>
      </c>
      <c r="G920" t="s">
        <v>28</v>
      </c>
      <c r="H920" t="s">
        <v>81</v>
      </c>
      <c r="I920" t="s">
        <v>9</v>
      </c>
      <c r="L920" t="s">
        <v>161</v>
      </c>
      <c r="M920">
        <v>-203600000</v>
      </c>
    </row>
    <row r="921" spans="1:13" x14ac:dyDescent="0.3">
      <c r="A921" s="23">
        <v>44783</v>
      </c>
      <c r="B921" t="s">
        <v>12</v>
      </c>
      <c r="C921" t="s">
        <v>132</v>
      </c>
      <c r="D921" t="s">
        <v>17</v>
      </c>
      <c r="E921" t="s">
        <v>46</v>
      </c>
      <c r="F921">
        <v>203000000</v>
      </c>
      <c r="G921" t="s">
        <v>28</v>
      </c>
      <c r="H921" t="s">
        <v>81</v>
      </c>
      <c r="I921" t="s">
        <v>9</v>
      </c>
      <c r="L921" t="s">
        <v>161</v>
      </c>
      <c r="M921">
        <v>-203000000</v>
      </c>
    </row>
    <row r="922" spans="1:13" x14ac:dyDescent="0.3">
      <c r="A922" s="23">
        <v>44785</v>
      </c>
      <c r="B922" t="s">
        <v>12</v>
      </c>
      <c r="C922" t="s">
        <v>132</v>
      </c>
      <c r="D922" t="s">
        <v>17</v>
      </c>
      <c r="E922" t="s">
        <v>46</v>
      </c>
      <c r="F922">
        <v>53500000</v>
      </c>
      <c r="G922" t="s">
        <v>28</v>
      </c>
      <c r="H922" t="s">
        <v>81</v>
      </c>
      <c r="I922" t="s">
        <v>9</v>
      </c>
      <c r="L922" t="s">
        <v>161</v>
      </c>
      <c r="M922">
        <v>-53500000</v>
      </c>
    </row>
    <row r="923" spans="1:13" x14ac:dyDescent="0.3">
      <c r="A923" s="23">
        <v>44789</v>
      </c>
      <c r="B923" t="s">
        <v>12</v>
      </c>
      <c r="C923" t="s">
        <v>132</v>
      </c>
      <c r="D923" t="s">
        <v>17</v>
      </c>
      <c r="E923" t="s">
        <v>46</v>
      </c>
      <c r="F923">
        <v>43500000</v>
      </c>
      <c r="G923" t="s">
        <v>28</v>
      </c>
      <c r="H923" t="s">
        <v>81</v>
      </c>
      <c r="I923" t="s">
        <v>9</v>
      </c>
      <c r="L923" t="s">
        <v>161</v>
      </c>
      <c r="M923">
        <v>-43500000</v>
      </c>
    </row>
    <row r="924" spans="1:13" x14ac:dyDescent="0.3">
      <c r="A924" s="23">
        <v>44790</v>
      </c>
      <c r="B924" t="s">
        <v>12</v>
      </c>
      <c r="C924" t="s">
        <v>132</v>
      </c>
      <c r="D924" t="s">
        <v>16</v>
      </c>
      <c r="E924" t="s">
        <v>46</v>
      </c>
      <c r="F924">
        <v>32900000</v>
      </c>
      <c r="G924" t="s">
        <v>28</v>
      </c>
      <c r="H924" t="s">
        <v>81</v>
      </c>
      <c r="I924" t="s">
        <v>9</v>
      </c>
      <c r="L924" t="s">
        <v>161</v>
      </c>
      <c r="M924">
        <v>32900000</v>
      </c>
    </row>
    <row r="925" spans="1:13" x14ac:dyDescent="0.3">
      <c r="A925" s="23">
        <v>44791</v>
      </c>
      <c r="B925" t="s">
        <v>12</v>
      </c>
      <c r="C925" t="s">
        <v>132</v>
      </c>
      <c r="D925" t="s">
        <v>17</v>
      </c>
      <c r="E925" t="s">
        <v>46</v>
      </c>
      <c r="F925">
        <v>22600000</v>
      </c>
      <c r="G925" t="s">
        <v>28</v>
      </c>
      <c r="H925" t="s">
        <v>81</v>
      </c>
      <c r="I925" t="s">
        <v>9</v>
      </c>
      <c r="L925" t="s">
        <v>161</v>
      </c>
      <c r="M925">
        <v>-22600000</v>
      </c>
    </row>
    <row r="926" spans="1:13" x14ac:dyDescent="0.3">
      <c r="A926" s="23">
        <v>45667</v>
      </c>
      <c r="B926" t="s">
        <v>12</v>
      </c>
      <c r="C926" t="s">
        <v>132</v>
      </c>
      <c r="D926" t="s">
        <v>16</v>
      </c>
      <c r="E926" t="s">
        <v>46</v>
      </c>
      <c r="F926">
        <v>400000000</v>
      </c>
      <c r="G926" t="s">
        <v>28</v>
      </c>
      <c r="H926" t="s">
        <v>81</v>
      </c>
      <c r="I926" t="s">
        <v>9</v>
      </c>
      <c r="L926" t="s">
        <v>161</v>
      </c>
      <c r="M926">
        <v>400000000</v>
      </c>
    </row>
    <row r="927" spans="1:13" x14ac:dyDescent="0.3">
      <c r="A927" s="23">
        <v>44792</v>
      </c>
      <c r="B927" t="s">
        <v>12</v>
      </c>
      <c r="C927" t="s">
        <v>132</v>
      </c>
      <c r="D927" t="s">
        <v>17</v>
      </c>
      <c r="E927" t="s">
        <v>46</v>
      </c>
      <c r="F927">
        <v>10300000</v>
      </c>
      <c r="G927" t="s">
        <v>28</v>
      </c>
      <c r="H927" t="s">
        <v>81</v>
      </c>
      <c r="I927" t="s">
        <v>9</v>
      </c>
      <c r="L927" t="s">
        <v>161</v>
      </c>
      <c r="M927">
        <v>-10300000</v>
      </c>
    </row>
    <row r="928" spans="1:13" x14ac:dyDescent="0.3">
      <c r="A928" s="23">
        <v>45656</v>
      </c>
      <c r="B928" t="s">
        <v>12</v>
      </c>
      <c r="C928" t="s">
        <v>132</v>
      </c>
      <c r="D928" t="s">
        <v>17</v>
      </c>
      <c r="E928" t="s">
        <v>46</v>
      </c>
      <c r="F928">
        <v>302832979.80000001</v>
      </c>
      <c r="G928" t="s">
        <v>28</v>
      </c>
      <c r="H928" t="s">
        <v>81</v>
      </c>
      <c r="I928" t="s">
        <v>9</v>
      </c>
      <c r="L928" t="s">
        <v>161</v>
      </c>
      <c r="M928">
        <v>-302832979.80000001</v>
      </c>
    </row>
    <row r="929" spans="1:13" x14ac:dyDescent="0.3">
      <c r="A929" s="23">
        <v>45653</v>
      </c>
      <c r="B929" t="s">
        <v>12</v>
      </c>
      <c r="C929" t="s">
        <v>132</v>
      </c>
      <c r="D929" t="s">
        <v>17</v>
      </c>
      <c r="E929" t="s">
        <v>46</v>
      </c>
      <c r="F929">
        <v>600000000</v>
      </c>
      <c r="G929" t="s">
        <v>28</v>
      </c>
      <c r="H929" t="s">
        <v>81</v>
      </c>
      <c r="I929" t="s">
        <v>9</v>
      </c>
      <c r="L929" t="s">
        <v>161</v>
      </c>
      <c r="M929">
        <v>-600000000</v>
      </c>
    </row>
    <row r="930" spans="1:13" x14ac:dyDescent="0.3">
      <c r="A930" s="23">
        <v>45649</v>
      </c>
      <c r="B930" t="s">
        <v>12</v>
      </c>
      <c r="C930" t="s">
        <v>132</v>
      </c>
      <c r="D930" t="s">
        <v>16</v>
      </c>
      <c r="E930" t="s">
        <v>46</v>
      </c>
      <c r="F930">
        <v>770100000</v>
      </c>
      <c r="G930" t="s">
        <v>28</v>
      </c>
      <c r="H930" t="s">
        <v>81</v>
      </c>
      <c r="I930" t="s">
        <v>9</v>
      </c>
      <c r="L930" t="s">
        <v>161</v>
      </c>
      <c r="M930">
        <v>770100000</v>
      </c>
    </row>
    <row r="931" spans="1:13" x14ac:dyDescent="0.3">
      <c r="A931" s="23">
        <v>45646</v>
      </c>
      <c r="B931" t="s">
        <v>12</v>
      </c>
      <c r="C931" t="s">
        <v>132</v>
      </c>
      <c r="D931" t="s">
        <v>17</v>
      </c>
      <c r="E931" t="s">
        <v>46</v>
      </c>
      <c r="F931">
        <v>250000000</v>
      </c>
      <c r="G931" t="s">
        <v>28</v>
      </c>
      <c r="H931" t="s">
        <v>81</v>
      </c>
      <c r="I931" t="s">
        <v>9</v>
      </c>
      <c r="L931" t="s">
        <v>161</v>
      </c>
      <c r="M931">
        <v>-250000000</v>
      </c>
    </row>
    <row r="932" spans="1:13" x14ac:dyDescent="0.3">
      <c r="A932" s="23">
        <v>45645</v>
      </c>
      <c r="B932" t="s">
        <v>12</v>
      </c>
      <c r="C932" t="s">
        <v>132</v>
      </c>
      <c r="D932" t="s">
        <v>16</v>
      </c>
      <c r="E932" t="s">
        <v>46</v>
      </c>
      <c r="F932">
        <v>300000000</v>
      </c>
      <c r="G932" t="s">
        <v>28</v>
      </c>
      <c r="H932" t="s">
        <v>81</v>
      </c>
      <c r="I932" t="s">
        <v>9</v>
      </c>
      <c r="L932" t="s">
        <v>161</v>
      </c>
      <c r="M932">
        <v>300000000</v>
      </c>
    </row>
    <row r="933" spans="1:13" x14ac:dyDescent="0.3">
      <c r="A933" s="23">
        <v>45645</v>
      </c>
      <c r="B933" t="s">
        <v>12</v>
      </c>
      <c r="C933" t="s">
        <v>132</v>
      </c>
      <c r="D933" t="s">
        <v>17</v>
      </c>
      <c r="E933" t="s">
        <v>46</v>
      </c>
      <c r="F933">
        <v>6671682.2000000002</v>
      </c>
      <c r="G933" t="s">
        <v>28</v>
      </c>
      <c r="H933" t="s">
        <v>81</v>
      </c>
      <c r="I933" t="s">
        <v>9</v>
      </c>
      <c r="L933" t="s">
        <v>161</v>
      </c>
      <c r="M933">
        <v>-6671682.2000000002</v>
      </c>
    </row>
    <row r="934" spans="1:13" x14ac:dyDescent="0.3">
      <c r="A934" s="23">
        <v>45642</v>
      </c>
      <c r="B934" t="s">
        <v>12</v>
      </c>
      <c r="C934" t="s">
        <v>132</v>
      </c>
      <c r="D934" t="s">
        <v>17</v>
      </c>
      <c r="E934" t="s">
        <v>46</v>
      </c>
      <c r="F934">
        <v>32600000</v>
      </c>
      <c r="G934" t="s">
        <v>28</v>
      </c>
      <c r="H934" t="s">
        <v>81</v>
      </c>
      <c r="I934" t="s">
        <v>9</v>
      </c>
      <c r="L934" t="s">
        <v>161</v>
      </c>
      <c r="M934">
        <v>-32600000</v>
      </c>
    </row>
    <row r="935" spans="1:13" x14ac:dyDescent="0.3">
      <c r="A935" s="23">
        <v>45639</v>
      </c>
      <c r="B935" t="s">
        <v>12</v>
      </c>
      <c r="C935" t="s">
        <v>132</v>
      </c>
      <c r="D935" t="s">
        <v>16</v>
      </c>
      <c r="E935" t="s">
        <v>46</v>
      </c>
      <c r="F935">
        <v>100000000</v>
      </c>
      <c r="G935" t="s">
        <v>28</v>
      </c>
      <c r="H935" t="s">
        <v>81</v>
      </c>
      <c r="I935" t="s">
        <v>9</v>
      </c>
      <c r="L935" t="s">
        <v>161</v>
      </c>
      <c r="M935">
        <v>100000000</v>
      </c>
    </row>
    <row r="936" spans="1:13" x14ac:dyDescent="0.3">
      <c r="A936" s="23">
        <v>45638</v>
      </c>
      <c r="B936" t="s">
        <v>12</v>
      </c>
      <c r="C936" t="s">
        <v>132</v>
      </c>
      <c r="D936" t="s">
        <v>17</v>
      </c>
      <c r="E936" t="s">
        <v>46</v>
      </c>
      <c r="F936">
        <v>49300000</v>
      </c>
      <c r="G936" t="s">
        <v>28</v>
      </c>
      <c r="H936" t="s">
        <v>81</v>
      </c>
      <c r="I936" t="s">
        <v>9</v>
      </c>
      <c r="L936" t="s">
        <v>161</v>
      </c>
      <c r="M936">
        <v>-49300000</v>
      </c>
    </row>
    <row r="937" spans="1:13" x14ac:dyDescent="0.3">
      <c r="A937" s="23">
        <v>45631</v>
      </c>
      <c r="B937" t="s">
        <v>12</v>
      </c>
      <c r="C937" t="s">
        <v>132</v>
      </c>
      <c r="D937" t="s">
        <v>17</v>
      </c>
      <c r="E937" t="s">
        <v>46</v>
      </c>
      <c r="F937">
        <v>100000000</v>
      </c>
      <c r="G937" t="s">
        <v>28</v>
      </c>
      <c r="H937" t="s">
        <v>81</v>
      </c>
      <c r="I937" t="s">
        <v>9</v>
      </c>
      <c r="L937" t="s">
        <v>161</v>
      </c>
      <c r="M937">
        <v>-100000000</v>
      </c>
    </row>
    <row r="938" spans="1:13" x14ac:dyDescent="0.3">
      <c r="A938" s="23">
        <v>45630</v>
      </c>
      <c r="B938" t="s">
        <v>12</v>
      </c>
      <c r="C938" t="s">
        <v>132</v>
      </c>
      <c r="D938" t="s">
        <v>16</v>
      </c>
      <c r="E938" t="s">
        <v>46</v>
      </c>
      <c r="F938">
        <v>1120215</v>
      </c>
      <c r="G938" t="s">
        <v>28</v>
      </c>
      <c r="H938" t="s">
        <v>81</v>
      </c>
      <c r="I938" t="s">
        <v>9</v>
      </c>
      <c r="L938" t="s">
        <v>161</v>
      </c>
      <c r="M938">
        <v>1120215</v>
      </c>
    </row>
    <row r="939" spans="1:13" x14ac:dyDescent="0.3">
      <c r="A939" s="23">
        <v>45628</v>
      </c>
      <c r="B939" t="s">
        <v>12</v>
      </c>
      <c r="C939" t="s">
        <v>132</v>
      </c>
      <c r="D939" t="s">
        <v>17</v>
      </c>
      <c r="E939" t="s">
        <v>46</v>
      </c>
      <c r="F939">
        <v>200000000</v>
      </c>
      <c r="G939" t="s">
        <v>28</v>
      </c>
      <c r="H939" t="s">
        <v>81</v>
      </c>
      <c r="I939" t="s">
        <v>9</v>
      </c>
      <c r="L939" t="s">
        <v>161</v>
      </c>
      <c r="M939">
        <v>-200000000</v>
      </c>
    </row>
    <row r="940" spans="1:13" x14ac:dyDescent="0.3">
      <c r="A940" s="23">
        <v>45625</v>
      </c>
      <c r="B940" t="s">
        <v>12</v>
      </c>
      <c r="C940" t="s">
        <v>132</v>
      </c>
      <c r="D940" t="s">
        <v>16</v>
      </c>
      <c r="E940" t="s">
        <v>46</v>
      </c>
      <c r="F940">
        <v>105790175</v>
      </c>
      <c r="G940" t="s">
        <v>28</v>
      </c>
      <c r="H940" t="s">
        <v>81</v>
      </c>
      <c r="I940" t="s">
        <v>9</v>
      </c>
      <c r="L940" t="s">
        <v>161</v>
      </c>
      <c r="M940">
        <v>105790175</v>
      </c>
    </row>
    <row r="941" spans="1:13" x14ac:dyDescent="0.3">
      <c r="A941" s="23">
        <v>45624</v>
      </c>
      <c r="B941" t="s">
        <v>12</v>
      </c>
      <c r="C941" t="s">
        <v>132</v>
      </c>
      <c r="D941" t="s">
        <v>17</v>
      </c>
      <c r="E941" t="s">
        <v>46</v>
      </c>
      <c r="F941">
        <v>100600000</v>
      </c>
      <c r="G941" t="s">
        <v>28</v>
      </c>
      <c r="H941" t="s">
        <v>81</v>
      </c>
      <c r="I941" t="s">
        <v>9</v>
      </c>
      <c r="L941" t="s">
        <v>161</v>
      </c>
      <c r="M941">
        <v>-100600000</v>
      </c>
    </row>
    <row r="942" spans="1:13" x14ac:dyDescent="0.3">
      <c r="A942" s="23">
        <v>45623</v>
      </c>
      <c r="B942" t="s">
        <v>12</v>
      </c>
      <c r="C942" t="s">
        <v>132</v>
      </c>
      <c r="D942" t="s">
        <v>16</v>
      </c>
      <c r="E942" t="s">
        <v>46</v>
      </c>
      <c r="F942">
        <v>300000000</v>
      </c>
      <c r="G942" t="s">
        <v>28</v>
      </c>
      <c r="H942" t="s">
        <v>81</v>
      </c>
      <c r="I942" t="s">
        <v>9</v>
      </c>
      <c r="L942" t="s">
        <v>161</v>
      </c>
      <c r="M942">
        <v>300000000</v>
      </c>
    </row>
    <row r="943" spans="1:13" x14ac:dyDescent="0.3">
      <c r="A943" s="23">
        <v>45622</v>
      </c>
      <c r="B943" t="s">
        <v>12</v>
      </c>
      <c r="C943" t="s">
        <v>132</v>
      </c>
      <c r="D943" t="s">
        <v>17</v>
      </c>
      <c r="E943" t="s">
        <v>46</v>
      </c>
      <c r="F943">
        <v>60000000</v>
      </c>
      <c r="G943" t="s">
        <v>28</v>
      </c>
      <c r="H943" t="s">
        <v>81</v>
      </c>
      <c r="I943" t="s">
        <v>9</v>
      </c>
      <c r="L943" t="s">
        <v>161</v>
      </c>
      <c r="M943">
        <v>-60000000</v>
      </c>
    </row>
    <row r="944" spans="1:13" x14ac:dyDescent="0.3">
      <c r="A944" s="23">
        <v>45618</v>
      </c>
      <c r="B944" t="s">
        <v>12</v>
      </c>
      <c r="C944" t="s">
        <v>132</v>
      </c>
      <c r="D944" t="s">
        <v>17</v>
      </c>
      <c r="E944" t="s">
        <v>46</v>
      </c>
      <c r="F944">
        <v>200000000</v>
      </c>
      <c r="G944" t="s">
        <v>28</v>
      </c>
      <c r="H944" t="s">
        <v>81</v>
      </c>
      <c r="I944" t="s">
        <v>9</v>
      </c>
      <c r="L944" t="s">
        <v>161</v>
      </c>
      <c r="M944">
        <v>-200000000</v>
      </c>
    </row>
    <row r="945" spans="1:13" x14ac:dyDescent="0.3">
      <c r="A945" s="23">
        <v>45616</v>
      </c>
      <c r="B945" t="s">
        <v>12</v>
      </c>
      <c r="C945" t="s">
        <v>132</v>
      </c>
      <c r="D945" t="s">
        <v>17</v>
      </c>
      <c r="E945" t="s">
        <v>46</v>
      </c>
      <c r="F945">
        <v>159600000</v>
      </c>
      <c r="G945" t="s">
        <v>28</v>
      </c>
      <c r="H945" t="s">
        <v>81</v>
      </c>
      <c r="I945" t="s">
        <v>9</v>
      </c>
      <c r="L945" t="s">
        <v>161</v>
      </c>
      <c r="M945">
        <v>-159600000</v>
      </c>
    </row>
    <row r="946" spans="1:13" x14ac:dyDescent="0.3">
      <c r="A946" s="23">
        <v>45611</v>
      </c>
      <c r="B946" t="s">
        <v>12</v>
      </c>
      <c r="C946" t="s">
        <v>132</v>
      </c>
      <c r="D946" t="s">
        <v>17</v>
      </c>
      <c r="E946" t="s">
        <v>46</v>
      </c>
      <c r="F946">
        <v>20000000</v>
      </c>
      <c r="G946" t="s">
        <v>28</v>
      </c>
      <c r="H946" t="s">
        <v>81</v>
      </c>
      <c r="I946" t="s">
        <v>9</v>
      </c>
      <c r="L946" t="s">
        <v>161</v>
      </c>
      <c r="M946">
        <v>-20000000</v>
      </c>
    </row>
    <row r="947" spans="1:13" x14ac:dyDescent="0.3">
      <c r="A947" s="23">
        <v>45610</v>
      </c>
      <c r="B947" t="s">
        <v>12</v>
      </c>
      <c r="C947" t="s">
        <v>132</v>
      </c>
      <c r="D947" t="s">
        <v>17</v>
      </c>
      <c r="E947" t="s">
        <v>46</v>
      </c>
      <c r="F947">
        <v>210000000</v>
      </c>
      <c r="G947" t="s">
        <v>28</v>
      </c>
      <c r="H947" t="s">
        <v>81</v>
      </c>
      <c r="I947" t="s">
        <v>9</v>
      </c>
      <c r="L947" t="s">
        <v>161</v>
      </c>
      <c r="M947">
        <v>-210000000</v>
      </c>
    </row>
    <row r="948" spans="1:13" x14ac:dyDescent="0.3">
      <c r="A948" s="23">
        <v>45608</v>
      </c>
      <c r="B948" t="s">
        <v>12</v>
      </c>
      <c r="C948" t="s">
        <v>132</v>
      </c>
      <c r="D948" t="s">
        <v>16</v>
      </c>
      <c r="E948" t="s">
        <v>46</v>
      </c>
      <c r="F948">
        <v>700000000</v>
      </c>
      <c r="G948" t="s">
        <v>28</v>
      </c>
      <c r="H948" t="s">
        <v>81</v>
      </c>
      <c r="I948" t="s">
        <v>9</v>
      </c>
      <c r="L948" t="s">
        <v>161</v>
      </c>
      <c r="M948">
        <v>700000000</v>
      </c>
    </row>
    <row r="949" spans="1:13" x14ac:dyDescent="0.3">
      <c r="A949" s="23">
        <v>45607</v>
      </c>
      <c r="B949" t="s">
        <v>12</v>
      </c>
      <c r="C949" t="s">
        <v>132</v>
      </c>
      <c r="D949" t="s">
        <v>16</v>
      </c>
      <c r="E949" t="s">
        <v>46</v>
      </c>
      <c r="F949">
        <v>5894537</v>
      </c>
      <c r="G949" t="s">
        <v>28</v>
      </c>
      <c r="H949" t="s">
        <v>81</v>
      </c>
      <c r="I949" t="s">
        <v>9</v>
      </c>
      <c r="L949" t="s">
        <v>161</v>
      </c>
      <c r="M949">
        <v>5894537</v>
      </c>
    </row>
    <row r="950" spans="1:13" x14ac:dyDescent="0.3">
      <c r="A950" s="23">
        <v>45607</v>
      </c>
      <c r="B950" t="s">
        <v>12</v>
      </c>
      <c r="C950" t="s">
        <v>132</v>
      </c>
      <c r="D950" t="s">
        <v>17</v>
      </c>
      <c r="E950" t="s">
        <v>46</v>
      </c>
      <c r="F950">
        <v>55000000</v>
      </c>
      <c r="G950" t="s">
        <v>28</v>
      </c>
      <c r="H950" t="s">
        <v>81</v>
      </c>
      <c r="I950" t="s">
        <v>9</v>
      </c>
      <c r="L950" t="s">
        <v>161</v>
      </c>
      <c r="M950">
        <v>-55000000</v>
      </c>
    </row>
    <row r="951" spans="1:13" x14ac:dyDescent="0.3">
      <c r="A951" s="23">
        <v>45601</v>
      </c>
      <c r="B951" t="s">
        <v>12</v>
      </c>
      <c r="C951" t="s">
        <v>132</v>
      </c>
      <c r="D951" t="s">
        <v>17</v>
      </c>
      <c r="E951" t="s">
        <v>46</v>
      </c>
      <c r="F951">
        <v>67000000</v>
      </c>
      <c r="G951" t="s">
        <v>28</v>
      </c>
      <c r="H951" t="s">
        <v>81</v>
      </c>
      <c r="I951" t="s">
        <v>9</v>
      </c>
      <c r="L951" t="s">
        <v>161</v>
      </c>
      <c r="M951">
        <v>-67000000</v>
      </c>
    </row>
    <row r="952" spans="1:13" x14ac:dyDescent="0.3">
      <c r="A952" s="23">
        <v>45596</v>
      </c>
      <c r="B952" t="s">
        <v>12</v>
      </c>
      <c r="C952" t="s">
        <v>132</v>
      </c>
      <c r="D952" t="s">
        <v>16</v>
      </c>
      <c r="E952" t="s">
        <v>46</v>
      </c>
      <c r="F952">
        <v>71900000</v>
      </c>
      <c r="G952" t="s">
        <v>28</v>
      </c>
      <c r="H952" t="s">
        <v>81</v>
      </c>
      <c r="I952" t="s">
        <v>9</v>
      </c>
      <c r="L952" t="s">
        <v>161</v>
      </c>
      <c r="M952">
        <v>71900000</v>
      </c>
    </row>
    <row r="953" spans="1:13" x14ac:dyDescent="0.3">
      <c r="A953" s="23">
        <v>45594</v>
      </c>
      <c r="B953" t="s">
        <v>12</v>
      </c>
      <c r="C953" t="s">
        <v>132</v>
      </c>
      <c r="D953" t="s">
        <v>17</v>
      </c>
      <c r="E953" t="s">
        <v>46</v>
      </c>
      <c r="F953">
        <v>150000000</v>
      </c>
      <c r="G953" t="s">
        <v>28</v>
      </c>
      <c r="H953" t="s">
        <v>81</v>
      </c>
      <c r="I953" t="s">
        <v>9</v>
      </c>
      <c r="L953" t="s">
        <v>161</v>
      </c>
      <c r="M953">
        <v>-150000000</v>
      </c>
    </row>
    <row r="954" spans="1:13" x14ac:dyDescent="0.3">
      <c r="A954" s="23">
        <v>45590</v>
      </c>
      <c r="B954" t="s">
        <v>12</v>
      </c>
      <c r="C954" t="s">
        <v>132</v>
      </c>
      <c r="D954" t="s">
        <v>17</v>
      </c>
      <c r="E954" t="s">
        <v>46</v>
      </c>
      <c r="F954">
        <v>170200000</v>
      </c>
      <c r="G954" t="s">
        <v>28</v>
      </c>
      <c r="H954" t="s">
        <v>81</v>
      </c>
      <c r="I954" t="s">
        <v>9</v>
      </c>
      <c r="L954" t="s">
        <v>161</v>
      </c>
      <c r="M954">
        <v>-170200000</v>
      </c>
    </row>
    <row r="955" spans="1:13" x14ac:dyDescent="0.3">
      <c r="A955" s="23">
        <v>45588</v>
      </c>
      <c r="B955" t="s">
        <v>12</v>
      </c>
      <c r="C955" t="s">
        <v>132</v>
      </c>
      <c r="D955" t="s">
        <v>17</v>
      </c>
      <c r="E955" t="s">
        <v>46</v>
      </c>
      <c r="F955">
        <v>135600000</v>
      </c>
      <c r="G955" t="s">
        <v>28</v>
      </c>
      <c r="H955" t="s">
        <v>81</v>
      </c>
      <c r="I955" t="s">
        <v>9</v>
      </c>
      <c r="L955" t="s">
        <v>161</v>
      </c>
      <c r="M955">
        <v>-135600000</v>
      </c>
    </row>
    <row r="956" spans="1:13" x14ac:dyDescent="0.3">
      <c r="A956" s="23">
        <v>45586</v>
      </c>
      <c r="B956" t="s">
        <v>12</v>
      </c>
      <c r="C956" t="s">
        <v>132</v>
      </c>
      <c r="D956" t="s">
        <v>17</v>
      </c>
      <c r="E956" t="s">
        <v>46</v>
      </c>
      <c r="F956">
        <v>180400000</v>
      </c>
      <c r="G956" t="s">
        <v>28</v>
      </c>
      <c r="H956" t="s">
        <v>81</v>
      </c>
      <c r="I956" t="s">
        <v>9</v>
      </c>
      <c r="L956" t="s">
        <v>161</v>
      </c>
      <c r="M956">
        <v>-180400000</v>
      </c>
    </row>
    <row r="957" spans="1:13" x14ac:dyDescent="0.3">
      <c r="A957" s="23">
        <v>45583</v>
      </c>
      <c r="B957" t="s">
        <v>12</v>
      </c>
      <c r="C957" t="s">
        <v>132</v>
      </c>
      <c r="D957" t="s">
        <v>16</v>
      </c>
      <c r="E957" t="s">
        <v>46</v>
      </c>
      <c r="F957">
        <v>658500000</v>
      </c>
      <c r="G957" t="s">
        <v>28</v>
      </c>
      <c r="H957" t="s">
        <v>81</v>
      </c>
      <c r="I957" t="s">
        <v>9</v>
      </c>
      <c r="L957" t="s">
        <v>161</v>
      </c>
      <c r="M957">
        <v>658500000</v>
      </c>
    </row>
    <row r="958" spans="1:13" x14ac:dyDescent="0.3">
      <c r="A958" s="23">
        <v>45582</v>
      </c>
      <c r="B958" t="s">
        <v>12</v>
      </c>
      <c r="C958" t="s">
        <v>132</v>
      </c>
      <c r="D958" t="s">
        <v>16</v>
      </c>
      <c r="E958" t="s">
        <v>46</v>
      </c>
      <c r="F958">
        <v>2303664</v>
      </c>
      <c r="G958" t="s">
        <v>28</v>
      </c>
      <c r="H958" t="s">
        <v>81</v>
      </c>
      <c r="I958" t="s">
        <v>9</v>
      </c>
      <c r="L958" t="s">
        <v>161</v>
      </c>
      <c r="M958">
        <v>2303664</v>
      </c>
    </row>
    <row r="959" spans="1:13" x14ac:dyDescent="0.3">
      <c r="A959" s="23">
        <v>45575</v>
      </c>
      <c r="B959" t="s">
        <v>12</v>
      </c>
      <c r="C959" t="s">
        <v>132</v>
      </c>
      <c r="D959" t="s">
        <v>17</v>
      </c>
      <c r="E959" t="s">
        <v>46</v>
      </c>
      <c r="F959">
        <v>75200000</v>
      </c>
      <c r="G959" t="s">
        <v>28</v>
      </c>
      <c r="H959" t="s">
        <v>81</v>
      </c>
      <c r="I959" t="s">
        <v>9</v>
      </c>
      <c r="L959" t="s">
        <v>161</v>
      </c>
      <c r="M959">
        <v>-75200000</v>
      </c>
    </row>
    <row r="960" spans="1:13" x14ac:dyDescent="0.3">
      <c r="A960" s="23">
        <v>45569</v>
      </c>
      <c r="B960" t="s">
        <v>12</v>
      </c>
      <c r="C960" t="s">
        <v>132</v>
      </c>
      <c r="D960" t="s">
        <v>17</v>
      </c>
      <c r="E960" t="s">
        <v>46</v>
      </c>
      <c r="F960">
        <v>200000000</v>
      </c>
      <c r="G960" t="s">
        <v>28</v>
      </c>
      <c r="H960" t="s">
        <v>81</v>
      </c>
      <c r="I960" t="s">
        <v>9</v>
      </c>
      <c r="L960" t="s">
        <v>161</v>
      </c>
      <c r="M960">
        <v>-200000000</v>
      </c>
    </row>
    <row r="961" spans="1:13" x14ac:dyDescent="0.3">
      <c r="A961" s="23">
        <v>45568</v>
      </c>
      <c r="B961" t="s">
        <v>12</v>
      </c>
      <c r="C961" t="s">
        <v>132</v>
      </c>
      <c r="D961" t="s">
        <v>17</v>
      </c>
      <c r="E961" t="s">
        <v>46</v>
      </c>
      <c r="F961">
        <v>300000000</v>
      </c>
      <c r="G961" t="s">
        <v>28</v>
      </c>
      <c r="H961" t="s">
        <v>81</v>
      </c>
      <c r="I961" t="s">
        <v>9</v>
      </c>
      <c r="L961" t="s">
        <v>161</v>
      </c>
      <c r="M961">
        <v>-300000000</v>
      </c>
    </row>
    <row r="962" spans="1:13" x14ac:dyDescent="0.3">
      <c r="A962" s="23">
        <v>45567</v>
      </c>
      <c r="B962" t="s">
        <v>12</v>
      </c>
      <c r="C962" t="s">
        <v>132</v>
      </c>
      <c r="D962" t="s">
        <v>16</v>
      </c>
      <c r="E962" t="s">
        <v>46</v>
      </c>
      <c r="F962">
        <v>600000000</v>
      </c>
      <c r="G962" t="s">
        <v>28</v>
      </c>
      <c r="H962" t="s">
        <v>81</v>
      </c>
      <c r="I962" t="s">
        <v>9</v>
      </c>
      <c r="L962" t="s">
        <v>161</v>
      </c>
      <c r="M962">
        <v>600000000</v>
      </c>
    </row>
    <row r="963" spans="1:13" x14ac:dyDescent="0.3">
      <c r="A963" s="23">
        <v>45565</v>
      </c>
      <c r="B963" t="s">
        <v>12</v>
      </c>
      <c r="C963" t="s">
        <v>132</v>
      </c>
      <c r="D963" t="s">
        <v>17</v>
      </c>
      <c r="E963" t="s">
        <v>46</v>
      </c>
      <c r="F963">
        <v>140000000</v>
      </c>
      <c r="G963" t="s">
        <v>28</v>
      </c>
      <c r="H963" t="s">
        <v>81</v>
      </c>
      <c r="I963" t="s">
        <v>9</v>
      </c>
      <c r="L963" t="s">
        <v>161</v>
      </c>
      <c r="M963">
        <v>-140000000</v>
      </c>
    </row>
    <row r="964" spans="1:13" x14ac:dyDescent="0.3">
      <c r="A964" s="23">
        <v>45565</v>
      </c>
      <c r="B964" t="s">
        <v>12</v>
      </c>
      <c r="C964" t="s">
        <v>132</v>
      </c>
      <c r="D964" t="s">
        <v>16</v>
      </c>
      <c r="E964" t="s">
        <v>46</v>
      </c>
      <c r="F964">
        <v>13600000</v>
      </c>
      <c r="G964" t="s">
        <v>28</v>
      </c>
      <c r="H964" t="s">
        <v>81</v>
      </c>
      <c r="I964" t="s">
        <v>9</v>
      </c>
      <c r="L964" t="s">
        <v>161</v>
      </c>
      <c r="M964">
        <v>13600000</v>
      </c>
    </row>
    <row r="965" spans="1:13" x14ac:dyDescent="0.3">
      <c r="A965" s="23">
        <v>45562</v>
      </c>
      <c r="B965" t="s">
        <v>12</v>
      </c>
      <c r="C965" t="s">
        <v>132</v>
      </c>
      <c r="D965" t="s">
        <v>17</v>
      </c>
      <c r="E965" t="s">
        <v>46</v>
      </c>
      <c r="F965">
        <v>200000000</v>
      </c>
      <c r="G965" t="s">
        <v>28</v>
      </c>
      <c r="H965" t="s">
        <v>81</v>
      </c>
      <c r="I965" t="s">
        <v>9</v>
      </c>
      <c r="L965" t="s">
        <v>161</v>
      </c>
      <c r="M965">
        <v>-200000000</v>
      </c>
    </row>
    <row r="966" spans="1:13" x14ac:dyDescent="0.3">
      <c r="A966" s="23">
        <v>45561</v>
      </c>
      <c r="B966" t="s">
        <v>12</v>
      </c>
      <c r="C966" t="s">
        <v>132</v>
      </c>
      <c r="D966" t="s">
        <v>17</v>
      </c>
      <c r="E966" t="s">
        <v>46</v>
      </c>
      <c r="F966">
        <v>110500000</v>
      </c>
      <c r="G966" t="s">
        <v>28</v>
      </c>
      <c r="H966" t="s">
        <v>81</v>
      </c>
      <c r="I966" t="s">
        <v>9</v>
      </c>
      <c r="L966" t="s">
        <v>161</v>
      </c>
      <c r="M966">
        <v>-110500000</v>
      </c>
    </row>
    <row r="967" spans="1:13" x14ac:dyDescent="0.3">
      <c r="A967" s="23">
        <v>45560</v>
      </c>
      <c r="B967" t="s">
        <v>12</v>
      </c>
      <c r="C967" t="s">
        <v>132</v>
      </c>
      <c r="D967" t="s">
        <v>17</v>
      </c>
      <c r="E967" t="s">
        <v>46</v>
      </c>
      <c r="F967">
        <v>300000000</v>
      </c>
      <c r="G967" t="s">
        <v>28</v>
      </c>
      <c r="H967" t="s">
        <v>81</v>
      </c>
      <c r="I967" t="s">
        <v>9</v>
      </c>
      <c r="L967" t="s">
        <v>161</v>
      </c>
      <c r="M967">
        <v>-300000000</v>
      </c>
    </row>
    <row r="968" spans="1:13" x14ac:dyDescent="0.3">
      <c r="A968" s="23">
        <v>45558</v>
      </c>
      <c r="B968" t="s">
        <v>12</v>
      </c>
      <c r="C968" t="s">
        <v>132</v>
      </c>
      <c r="D968" t="s">
        <v>17</v>
      </c>
      <c r="E968" t="s">
        <v>46</v>
      </c>
      <c r="F968">
        <v>350000000</v>
      </c>
      <c r="G968" t="s">
        <v>28</v>
      </c>
      <c r="H968" t="s">
        <v>81</v>
      </c>
      <c r="I968" t="s">
        <v>9</v>
      </c>
      <c r="L968" t="s">
        <v>161</v>
      </c>
      <c r="M968">
        <v>-350000000</v>
      </c>
    </row>
    <row r="969" spans="1:13" x14ac:dyDescent="0.3">
      <c r="A969" s="23">
        <v>45553</v>
      </c>
      <c r="B969" t="s">
        <v>12</v>
      </c>
      <c r="C969" t="s">
        <v>132</v>
      </c>
      <c r="D969" t="s">
        <v>16</v>
      </c>
      <c r="E969" t="s">
        <v>46</v>
      </c>
      <c r="F969">
        <v>776800000</v>
      </c>
      <c r="G969" t="s">
        <v>28</v>
      </c>
      <c r="H969" t="s">
        <v>81</v>
      </c>
      <c r="I969" t="s">
        <v>9</v>
      </c>
      <c r="L969" t="s">
        <v>161</v>
      </c>
      <c r="M969">
        <v>776800000</v>
      </c>
    </row>
    <row r="970" spans="1:13" x14ac:dyDescent="0.3">
      <c r="A970" s="23">
        <v>44943</v>
      </c>
      <c r="B970" t="s">
        <v>12</v>
      </c>
      <c r="C970" t="s">
        <v>132</v>
      </c>
      <c r="D970" t="s">
        <v>16</v>
      </c>
      <c r="E970" t="s">
        <v>46</v>
      </c>
      <c r="F970">
        <v>60000000</v>
      </c>
      <c r="G970" t="s">
        <v>28</v>
      </c>
      <c r="H970" t="s">
        <v>81</v>
      </c>
      <c r="I970" t="s">
        <v>9</v>
      </c>
      <c r="L970" t="s">
        <v>161</v>
      </c>
      <c r="M970">
        <v>60000000</v>
      </c>
    </row>
    <row r="971" spans="1:13" x14ac:dyDescent="0.3">
      <c r="A971" s="23">
        <v>45548</v>
      </c>
      <c r="B971" t="s">
        <v>12</v>
      </c>
      <c r="C971" t="s">
        <v>132</v>
      </c>
      <c r="D971" t="s">
        <v>17</v>
      </c>
      <c r="E971" t="s">
        <v>46</v>
      </c>
      <c r="F971">
        <v>300000000</v>
      </c>
      <c r="G971" t="s">
        <v>28</v>
      </c>
      <c r="H971" t="s">
        <v>81</v>
      </c>
      <c r="I971" t="s">
        <v>9</v>
      </c>
      <c r="L971" t="s">
        <v>161</v>
      </c>
      <c r="M971">
        <v>-300000000</v>
      </c>
    </row>
    <row r="972" spans="1:13" x14ac:dyDescent="0.3">
      <c r="A972" s="23">
        <v>44945</v>
      </c>
      <c r="B972" t="s">
        <v>12</v>
      </c>
      <c r="C972" t="s">
        <v>132</v>
      </c>
      <c r="D972" t="s">
        <v>17</v>
      </c>
      <c r="E972" t="s">
        <v>46</v>
      </c>
      <c r="F972">
        <v>55700000</v>
      </c>
      <c r="G972" t="s">
        <v>28</v>
      </c>
      <c r="H972" t="s">
        <v>81</v>
      </c>
      <c r="I972" t="s">
        <v>9</v>
      </c>
      <c r="L972" t="s">
        <v>161</v>
      </c>
      <c r="M972">
        <v>-55700000</v>
      </c>
    </row>
    <row r="973" spans="1:13" x14ac:dyDescent="0.3">
      <c r="A973" s="23">
        <v>45547</v>
      </c>
      <c r="B973" t="s">
        <v>12</v>
      </c>
      <c r="C973" t="s">
        <v>132</v>
      </c>
      <c r="D973" t="s">
        <v>16</v>
      </c>
      <c r="E973" t="s">
        <v>46</v>
      </c>
      <c r="F973">
        <v>400000000</v>
      </c>
      <c r="G973" t="s">
        <v>28</v>
      </c>
      <c r="H973" t="s">
        <v>81</v>
      </c>
      <c r="I973" t="s">
        <v>9</v>
      </c>
      <c r="L973" t="s">
        <v>161</v>
      </c>
      <c r="M973">
        <v>400000000</v>
      </c>
    </row>
    <row r="974" spans="1:13" x14ac:dyDescent="0.3">
      <c r="A974" s="23">
        <v>44946</v>
      </c>
      <c r="B974" t="s">
        <v>12</v>
      </c>
      <c r="C974" t="s">
        <v>132</v>
      </c>
      <c r="D974" t="s">
        <v>17</v>
      </c>
      <c r="E974" t="s">
        <v>46</v>
      </c>
      <c r="F974">
        <v>4300000</v>
      </c>
      <c r="G974" t="s">
        <v>28</v>
      </c>
      <c r="H974" t="s">
        <v>81</v>
      </c>
      <c r="I974" t="s">
        <v>9</v>
      </c>
      <c r="L974" t="s">
        <v>161</v>
      </c>
      <c r="M974">
        <v>-4300000</v>
      </c>
    </row>
    <row r="975" spans="1:13" x14ac:dyDescent="0.3">
      <c r="A975" s="23">
        <v>45544</v>
      </c>
      <c r="B975" t="s">
        <v>12</v>
      </c>
      <c r="C975" t="s">
        <v>132</v>
      </c>
      <c r="D975" t="s">
        <v>17</v>
      </c>
      <c r="E975" t="s">
        <v>46</v>
      </c>
      <c r="F975">
        <v>175400000</v>
      </c>
      <c r="G975" t="s">
        <v>28</v>
      </c>
      <c r="H975" t="s">
        <v>81</v>
      </c>
      <c r="I975" t="s">
        <v>9</v>
      </c>
      <c r="L975" t="s">
        <v>161</v>
      </c>
      <c r="M975">
        <v>-175400000</v>
      </c>
    </row>
    <row r="976" spans="1:13" x14ac:dyDescent="0.3">
      <c r="A976" s="23">
        <v>45541</v>
      </c>
      <c r="B976" t="s">
        <v>12</v>
      </c>
      <c r="C976" t="s">
        <v>132</v>
      </c>
      <c r="D976" t="s">
        <v>17</v>
      </c>
      <c r="E976" t="s">
        <v>46</v>
      </c>
      <c r="F976">
        <v>26300000</v>
      </c>
      <c r="G976" t="s">
        <v>28</v>
      </c>
      <c r="H976" t="s">
        <v>81</v>
      </c>
      <c r="I976" t="s">
        <v>9</v>
      </c>
      <c r="L976" t="s">
        <v>161</v>
      </c>
      <c r="M976">
        <v>-26300000</v>
      </c>
    </row>
    <row r="977" spans="1:13" x14ac:dyDescent="0.3">
      <c r="A977" s="23">
        <v>45541</v>
      </c>
      <c r="B977" t="s">
        <v>12</v>
      </c>
      <c r="C977" t="s">
        <v>132</v>
      </c>
      <c r="D977" t="s">
        <v>17</v>
      </c>
      <c r="E977" t="s">
        <v>46</v>
      </c>
      <c r="F977">
        <v>30000000</v>
      </c>
      <c r="G977" t="s">
        <v>28</v>
      </c>
      <c r="H977" t="s">
        <v>81</v>
      </c>
      <c r="I977" t="s">
        <v>9</v>
      </c>
      <c r="L977" t="s">
        <v>161</v>
      </c>
      <c r="M977">
        <v>-30000000</v>
      </c>
    </row>
    <row r="978" spans="1:13" x14ac:dyDescent="0.3">
      <c r="A978" s="23">
        <v>45540</v>
      </c>
      <c r="B978" t="s">
        <v>12</v>
      </c>
      <c r="C978" t="s">
        <v>132</v>
      </c>
      <c r="D978" t="s">
        <v>17</v>
      </c>
      <c r="E978" t="s">
        <v>46</v>
      </c>
      <c r="F978">
        <v>239100000</v>
      </c>
      <c r="G978" t="s">
        <v>28</v>
      </c>
      <c r="H978" t="s">
        <v>81</v>
      </c>
      <c r="I978" t="s">
        <v>9</v>
      </c>
      <c r="L978" t="s">
        <v>161</v>
      </c>
      <c r="M978">
        <v>-239100000</v>
      </c>
    </row>
    <row r="979" spans="1:13" x14ac:dyDescent="0.3">
      <c r="A979" s="23">
        <v>45539</v>
      </c>
      <c r="B979" t="s">
        <v>12</v>
      </c>
      <c r="C979" t="s">
        <v>132</v>
      </c>
      <c r="D979" t="s">
        <v>17</v>
      </c>
      <c r="E979" t="s">
        <v>46</v>
      </c>
      <c r="F979">
        <v>150000000</v>
      </c>
      <c r="G979" t="s">
        <v>28</v>
      </c>
      <c r="H979" t="s">
        <v>81</v>
      </c>
      <c r="I979" t="s">
        <v>9</v>
      </c>
      <c r="L979" t="s">
        <v>161</v>
      </c>
      <c r="M979">
        <v>-150000000</v>
      </c>
    </row>
    <row r="980" spans="1:13" x14ac:dyDescent="0.3">
      <c r="A980" s="23">
        <v>44960</v>
      </c>
      <c r="B980" t="s">
        <v>12</v>
      </c>
      <c r="C980" t="s">
        <v>132</v>
      </c>
      <c r="D980" t="s">
        <v>16</v>
      </c>
      <c r="E980" t="s">
        <v>46</v>
      </c>
      <c r="F980">
        <v>320200000</v>
      </c>
      <c r="G980" t="s">
        <v>28</v>
      </c>
      <c r="H980" t="s">
        <v>81</v>
      </c>
      <c r="I980" t="s">
        <v>9</v>
      </c>
      <c r="L980" t="s">
        <v>161</v>
      </c>
      <c r="M980">
        <v>320200000</v>
      </c>
    </row>
    <row r="981" spans="1:13" x14ac:dyDescent="0.3">
      <c r="A981" s="23">
        <v>44963</v>
      </c>
      <c r="B981" t="s">
        <v>12</v>
      </c>
      <c r="C981" t="s">
        <v>132</v>
      </c>
      <c r="D981" t="s">
        <v>17</v>
      </c>
      <c r="E981" t="s">
        <v>46</v>
      </c>
      <c r="F981">
        <v>320200000</v>
      </c>
      <c r="G981" t="s">
        <v>28</v>
      </c>
      <c r="H981" t="s">
        <v>81</v>
      </c>
      <c r="I981" t="s">
        <v>9</v>
      </c>
      <c r="L981" t="s">
        <v>161</v>
      </c>
      <c r="M981">
        <v>-320200000</v>
      </c>
    </row>
    <row r="982" spans="1:13" x14ac:dyDescent="0.3">
      <c r="A982" s="23">
        <v>45538</v>
      </c>
      <c r="B982" t="s">
        <v>12</v>
      </c>
      <c r="C982" t="s">
        <v>132</v>
      </c>
      <c r="D982" t="s">
        <v>16</v>
      </c>
      <c r="E982" t="s">
        <v>46</v>
      </c>
      <c r="F982">
        <v>15366000</v>
      </c>
      <c r="G982" t="s">
        <v>28</v>
      </c>
      <c r="H982" t="s">
        <v>81</v>
      </c>
      <c r="I982" t="s">
        <v>9</v>
      </c>
      <c r="L982" t="s">
        <v>161</v>
      </c>
      <c r="M982">
        <v>15366000</v>
      </c>
    </row>
    <row r="983" spans="1:13" x14ac:dyDescent="0.3">
      <c r="A983" s="23">
        <v>45538</v>
      </c>
      <c r="B983" t="s">
        <v>12</v>
      </c>
      <c r="C983" t="s">
        <v>132</v>
      </c>
      <c r="D983" t="s">
        <v>16</v>
      </c>
      <c r="E983" t="s">
        <v>46</v>
      </c>
      <c r="F983">
        <v>700000000</v>
      </c>
      <c r="G983" t="s">
        <v>28</v>
      </c>
      <c r="H983" t="s">
        <v>81</v>
      </c>
      <c r="I983" t="s">
        <v>9</v>
      </c>
      <c r="L983" t="s">
        <v>161</v>
      </c>
      <c r="M983">
        <v>700000000</v>
      </c>
    </row>
    <row r="984" spans="1:13" x14ac:dyDescent="0.3">
      <c r="A984" s="23">
        <v>45537</v>
      </c>
      <c r="B984" t="s">
        <v>12</v>
      </c>
      <c r="C984" t="s">
        <v>132</v>
      </c>
      <c r="D984" t="s">
        <v>17</v>
      </c>
      <c r="E984" t="s">
        <v>46</v>
      </c>
      <c r="F984">
        <v>75000000</v>
      </c>
      <c r="G984" t="s">
        <v>28</v>
      </c>
      <c r="H984" t="s">
        <v>81</v>
      </c>
      <c r="I984" t="s">
        <v>9</v>
      </c>
      <c r="L984" t="s">
        <v>161</v>
      </c>
      <c r="M984">
        <v>-75000000</v>
      </c>
    </row>
    <row r="985" spans="1:13" x14ac:dyDescent="0.3">
      <c r="A985" s="23">
        <v>45534</v>
      </c>
      <c r="B985" t="s">
        <v>12</v>
      </c>
      <c r="C985" t="s">
        <v>132</v>
      </c>
      <c r="D985" t="s">
        <v>17</v>
      </c>
      <c r="E985" t="s">
        <v>46</v>
      </c>
      <c r="F985">
        <v>500000000</v>
      </c>
      <c r="G985" t="s">
        <v>28</v>
      </c>
      <c r="H985" t="s">
        <v>81</v>
      </c>
      <c r="I985" t="s">
        <v>9</v>
      </c>
      <c r="L985" t="s">
        <v>161</v>
      </c>
      <c r="M985">
        <v>-500000000</v>
      </c>
    </row>
    <row r="986" spans="1:13" x14ac:dyDescent="0.3">
      <c r="A986" s="23">
        <v>44971</v>
      </c>
      <c r="B986" t="s">
        <v>12</v>
      </c>
      <c r="C986" t="s">
        <v>132</v>
      </c>
      <c r="D986" t="s">
        <v>16</v>
      </c>
      <c r="E986" t="s">
        <v>46</v>
      </c>
      <c r="F986">
        <v>230000000</v>
      </c>
      <c r="G986" t="s">
        <v>28</v>
      </c>
      <c r="H986" t="s">
        <v>81</v>
      </c>
      <c r="I986" t="s">
        <v>9</v>
      </c>
      <c r="L986" t="s">
        <v>161</v>
      </c>
      <c r="M986">
        <v>230000000</v>
      </c>
    </row>
    <row r="987" spans="1:13" x14ac:dyDescent="0.3">
      <c r="A987" s="23">
        <v>44974</v>
      </c>
      <c r="B987" t="s">
        <v>12</v>
      </c>
      <c r="C987" t="s">
        <v>132</v>
      </c>
      <c r="D987" t="s">
        <v>17</v>
      </c>
      <c r="E987" t="s">
        <v>46</v>
      </c>
      <c r="F987">
        <v>200000000</v>
      </c>
      <c r="G987" t="s">
        <v>28</v>
      </c>
      <c r="H987" t="s">
        <v>81</v>
      </c>
      <c r="I987" t="s">
        <v>9</v>
      </c>
      <c r="L987" t="s">
        <v>161</v>
      </c>
      <c r="M987">
        <v>-200000000</v>
      </c>
    </row>
    <row r="988" spans="1:13" x14ac:dyDescent="0.3">
      <c r="A988" s="23">
        <v>45532</v>
      </c>
      <c r="B988" t="s">
        <v>12</v>
      </c>
      <c r="C988" t="s">
        <v>132</v>
      </c>
      <c r="D988" t="s">
        <v>16</v>
      </c>
      <c r="E988" t="s">
        <v>46</v>
      </c>
      <c r="F988">
        <v>600000000</v>
      </c>
      <c r="G988" t="s">
        <v>28</v>
      </c>
      <c r="H988" t="s">
        <v>81</v>
      </c>
      <c r="I988" t="s">
        <v>9</v>
      </c>
      <c r="L988" t="s">
        <v>161</v>
      </c>
      <c r="M988">
        <v>600000000</v>
      </c>
    </row>
    <row r="989" spans="1:13" x14ac:dyDescent="0.3">
      <c r="A989" s="23">
        <v>44985</v>
      </c>
      <c r="B989" t="s">
        <v>12</v>
      </c>
      <c r="C989" t="s">
        <v>132</v>
      </c>
      <c r="D989" t="s">
        <v>16</v>
      </c>
      <c r="E989" t="s">
        <v>46</v>
      </c>
      <c r="F989">
        <v>173300000</v>
      </c>
      <c r="G989" t="s">
        <v>28</v>
      </c>
      <c r="H989" t="s">
        <v>81</v>
      </c>
      <c r="I989" t="s">
        <v>9</v>
      </c>
      <c r="L989" t="s">
        <v>161</v>
      </c>
      <c r="M989">
        <v>173300000</v>
      </c>
    </row>
    <row r="990" spans="1:13" x14ac:dyDescent="0.3">
      <c r="A990" s="23">
        <v>45527</v>
      </c>
      <c r="B990" t="s">
        <v>12</v>
      </c>
      <c r="C990" t="s">
        <v>132</v>
      </c>
      <c r="D990" t="s">
        <v>17</v>
      </c>
      <c r="E990" t="s">
        <v>46</v>
      </c>
      <c r="F990">
        <v>100000000</v>
      </c>
      <c r="G990" t="s">
        <v>28</v>
      </c>
      <c r="H990" t="s">
        <v>81</v>
      </c>
      <c r="I990" t="s">
        <v>9</v>
      </c>
      <c r="L990" t="s">
        <v>161</v>
      </c>
      <c r="M990">
        <v>-100000000</v>
      </c>
    </row>
    <row r="991" spans="1:13" x14ac:dyDescent="0.3">
      <c r="A991" s="23">
        <v>44992</v>
      </c>
      <c r="B991" t="s">
        <v>12</v>
      </c>
      <c r="C991" t="s">
        <v>132</v>
      </c>
      <c r="D991" t="s">
        <v>16</v>
      </c>
      <c r="E991" t="s">
        <v>46</v>
      </c>
      <c r="F991">
        <v>297000000</v>
      </c>
      <c r="G991" t="s">
        <v>28</v>
      </c>
      <c r="H991" t="s">
        <v>81</v>
      </c>
      <c r="I991" t="s">
        <v>9</v>
      </c>
      <c r="L991" t="s">
        <v>161</v>
      </c>
      <c r="M991">
        <v>297000000</v>
      </c>
    </row>
    <row r="992" spans="1:13" x14ac:dyDescent="0.3">
      <c r="A992" s="23">
        <v>44995</v>
      </c>
      <c r="B992" t="s">
        <v>12</v>
      </c>
      <c r="C992" t="s">
        <v>132</v>
      </c>
      <c r="D992" t="s">
        <v>16</v>
      </c>
      <c r="E992" t="s">
        <v>46</v>
      </c>
      <c r="F992">
        <v>3600000</v>
      </c>
      <c r="G992" t="s">
        <v>28</v>
      </c>
      <c r="H992" t="s">
        <v>81</v>
      </c>
      <c r="I992" t="s">
        <v>9</v>
      </c>
      <c r="L992" t="s">
        <v>161</v>
      </c>
      <c r="M992">
        <v>3600000</v>
      </c>
    </row>
    <row r="993" spans="1:13" x14ac:dyDescent="0.3">
      <c r="A993" s="23">
        <v>44995</v>
      </c>
      <c r="B993" t="s">
        <v>12</v>
      </c>
      <c r="C993" t="s">
        <v>132</v>
      </c>
      <c r="D993" t="s">
        <v>17</v>
      </c>
      <c r="E993" t="s">
        <v>46</v>
      </c>
      <c r="F993">
        <v>447600000</v>
      </c>
      <c r="G993" t="s">
        <v>28</v>
      </c>
      <c r="H993" t="s">
        <v>81</v>
      </c>
      <c r="I993" t="s">
        <v>9</v>
      </c>
      <c r="L993" t="s">
        <v>161</v>
      </c>
      <c r="M993">
        <v>-447600000</v>
      </c>
    </row>
    <row r="994" spans="1:13" x14ac:dyDescent="0.3">
      <c r="A994" s="23">
        <v>45525</v>
      </c>
      <c r="B994" t="s">
        <v>12</v>
      </c>
      <c r="C994" t="s">
        <v>132</v>
      </c>
      <c r="D994" t="s">
        <v>17</v>
      </c>
      <c r="E994" t="s">
        <v>46</v>
      </c>
      <c r="F994">
        <v>300000000</v>
      </c>
      <c r="G994" t="s">
        <v>28</v>
      </c>
      <c r="H994" t="s">
        <v>81</v>
      </c>
      <c r="I994" t="s">
        <v>9</v>
      </c>
      <c r="L994" t="s">
        <v>161</v>
      </c>
      <c r="M994">
        <v>-300000000</v>
      </c>
    </row>
    <row r="995" spans="1:13" x14ac:dyDescent="0.3">
      <c r="A995" s="23">
        <v>44998</v>
      </c>
      <c r="B995" t="s">
        <v>12</v>
      </c>
      <c r="C995" t="s">
        <v>132</v>
      </c>
      <c r="D995" t="s">
        <v>16</v>
      </c>
      <c r="E995" t="s">
        <v>46</v>
      </c>
      <c r="F995">
        <v>58600000</v>
      </c>
      <c r="G995" t="s">
        <v>28</v>
      </c>
      <c r="H995" t="s">
        <v>81</v>
      </c>
      <c r="I995" t="s">
        <v>9</v>
      </c>
      <c r="L995" t="s">
        <v>161</v>
      </c>
      <c r="M995">
        <v>58600000</v>
      </c>
    </row>
    <row r="996" spans="1:13" x14ac:dyDescent="0.3">
      <c r="A996" s="23">
        <v>44999</v>
      </c>
      <c r="B996" t="s">
        <v>12</v>
      </c>
      <c r="C996" t="s">
        <v>132</v>
      </c>
      <c r="D996" t="s">
        <v>16</v>
      </c>
      <c r="E996" t="s">
        <v>46</v>
      </c>
      <c r="F996">
        <v>200000000</v>
      </c>
      <c r="G996" t="s">
        <v>28</v>
      </c>
      <c r="H996" t="s">
        <v>81</v>
      </c>
      <c r="I996" t="s">
        <v>9</v>
      </c>
      <c r="L996" t="s">
        <v>161</v>
      </c>
      <c r="M996">
        <v>200000000</v>
      </c>
    </row>
    <row r="997" spans="1:13" x14ac:dyDescent="0.3">
      <c r="A997" s="23">
        <v>45520</v>
      </c>
      <c r="B997" t="s">
        <v>12</v>
      </c>
      <c r="C997" t="s">
        <v>132</v>
      </c>
      <c r="D997" t="s">
        <v>17</v>
      </c>
      <c r="E997" t="s">
        <v>46</v>
      </c>
      <c r="F997">
        <v>300000000</v>
      </c>
      <c r="G997" t="s">
        <v>28</v>
      </c>
      <c r="H997" t="s">
        <v>81</v>
      </c>
      <c r="I997" t="s">
        <v>9</v>
      </c>
      <c r="L997" t="s">
        <v>161</v>
      </c>
      <c r="M997">
        <v>-300000000</v>
      </c>
    </row>
    <row r="998" spans="1:13" x14ac:dyDescent="0.3">
      <c r="A998" s="23">
        <v>45000</v>
      </c>
      <c r="B998" t="s">
        <v>12</v>
      </c>
      <c r="C998" t="s">
        <v>132</v>
      </c>
      <c r="D998" t="s">
        <v>17</v>
      </c>
      <c r="E998" t="s">
        <v>46</v>
      </c>
      <c r="F998">
        <v>258600000</v>
      </c>
      <c r="G998" t="s">
        <v>28</v>
      </c>
      <c r="H998" t="s">
        <v>81</v>
      </c>
      <c r="I998" t="s">
        <v>9</v>
      </c>
      <c r="L998" t="s">
        <v>161</v>
      </c>
      <c r="M998">
        <v>-258600000</v>
      </c>
    </row>
    <row r="999" spans="1:13" x14ac:dyDescent="0.3">
      <c r="A999" s="23">
        <v>45001</v>
      </c>
      <c r="B999" t="s">
        <v>12</v>
      </c>
      <c r="C999" t="s">
        <v>132</v>
      </c>
      <c r="D999" t="s">
        <v>16</v>
      </c>
      <c r="E999" t="s">
        <v>46</v>
      </c>
      <c r="F999">
        <v>235000000</v>
      </c>
      <c r="G999" t="s">
        <v>28</v>
      </c>
      <c r="H999" t="s">
        <v>81</v>
      </c>
      <c r="I999" t="s">
        <v>9</v>
      </c>
      <c r="L999" t="s">
        <v>161</v>
      </c>
      <c r="M999">
        <v>235000000</v>
      </c>
    </row>
    <row r="1000" spans="1:13" x14ac:dyDescent="0.3">
      <c r="A1000" s="23">
        <v>45517</v>
      </c>
      <c r="B1000" t="s">
        <v>12</v>
      </c>
      <c r="C1000" t="s">
        <v>132</v>
      </c>
      <c r="D1000" t="s">
        <v>16</v>
      </c>
      <c r="E1000" t="s">
        <v>46</v>
      </c>
      <c r="F1000">
        <v>600000000</v>
      </c>
      <c r="G1000" t="s">
        <v>28</v>
      </c>
      <c r="H1000" t="s">
        <v>81</v>
      </c>
      <c r="I1000" t="s">
        <v>9</v>
      </c>
      <c r="L1000" t="s">
        <v>161</v>
      </c>
      <c r="M1000">
        <v>600000000</v>
      </c>
    </row>
    <row r="1001" spans="1:13" x14ac:dyDescent="0.3">
      <c r="A1001" s="23">
        <v>45513</v>
      </c>
      <c r="B1001" t="s">
        <v>12</v>
      </c>
      <c r="C1001" t="s">
        <v>132</v>
      </c>
      <c r="D1001" t="s">
        <v>17</v>
      </c>
      <c r="E1001" t="s">
        <v>46</v>
      </c>
      <c r="F1001">
        <v>500000000</v>
      </c>
      <c r="G1001" t="s">
        <v>28</v>
      </c>
      <c r="H1001" t="s">
        <v>81</v>
      </c>
      <c r="I1001" t="s">
        <v>9</v>
      </c>
      <c r="L1001" t="s">
        <v>161</v>
      </c>
      <c r="M1001">
        <v>-500000000</v>
      </c>
    </row>
    <row r="1002" spans="1:13" x14ac:dyDescent="0.3">
      <c r="A1002" s="23">
        <v>45012</v>
      </c>
      <c r="B1002" t="s">
        <v>12</v>
      </c>
      <c r="C1002" t="s">
        <v>132</v>
      </c>
      <c r="D1002" t="s">
        <v>17</v>
      </c>
      <c r="E1002" t="s">
        <v>46</v>
      </c>
      <c r="F1002">
        <v>34100000</v>
      </c>
      <c r="G1002" t="s">
        <v>28</v>
      </c>
      <c r="H1002" t="s">
        <v>81</v>
      </c>
      <c r="I1002" t="s">
        <v>9</v>
      </c>
      <c r="L1002" t="s">
        <v>161</v>
      </c>
      <c r="M1002">
        <v>-34100000</v>
      </c>
    </row>
    <row r="1003" spans="1:13" x14ac:dyDescent="0.3">
      <c r="A1003" s="23">
        <v>45013</v>
      </c>
      <c r="B1003" t="s">
        <v>12</v>
      </c>
      <c r="C1003" t="s">
        <v>132</v>
      </c>
      <c r="D1003" t="s">
        <v>17</v>
      </c>
      <c r="E1003" t="s">
        <v>46</v>
      </c>
      <c r="F1003">
        <v>150000000</v>
      </c>
      <c r="G1003" t="s">
        <v>28</v>
      </c>
      <c r="H1003" t="s">
        <v>81</v>
      </c>
      <c r="I1003" t="s">
        <v>9</v>
      </c>
      <c r="L1003" t="s">
        <v>161</v>
      </c>
      <c r="M1003">
        <v>-150000000</v>
      </c>
    </row>
    <row r="1004" spans="1:13" x14ac:dyDescent="0.3">
      <c r="A1004" s="23">
        <v>45505</v>
      </c>
      <c r="B1004" t="s">
        <v>12</v>
      </c>
      <c r="C1004" t="s">
        <v>132</v>
      </c>
      <c r="D1004" t="s">
        <v>17</v>
      </c>
      <c r="E1004" t="s">
        <v>46</v>
      </c>
      <c r="F1004">
        <v>623500000</v>
      </c>
      <c r="G1004" t="s">
        <v>28</v>
      </c>
      <c r="H1004" t="s">
        <v>81</v>
      </c>
      <c r="I1004" t="s">
        <v>9</v>
      </c>
      <c r="L1004" t="s">
        <v>161</v>
      </c>
      <c r="M1004">
        <v>-623500000</v>
      </c>
    </row>
    <row r="1005" spans="1:13" x14ac:dyDescent="0.3">
      <c r="A1005" s="23">
        <v>45015</v>
      </c>
      <c r="B1005" t="s">
        <v>12</v>
      </c>
      <c r="C1005" t="s">
        <v>132</v>
      </c>
      <c r="D1005" t="s">
        <v>16</v>
      </c>
      <c r="E1005" t="s">
        <v>46</v>
      </c>
      <c r="F1005">
        <v>8000000</v>
      </c>
      <c r="G1005" t="s">
        <v>28</v>
      </c>
      <c r="H1005" t="s">
        <v>81</v>
      </c>
      <c r="I1005" t="s">
        <v>9</v>
      </c>
      <c r="L1005" t="s">
        <v>161</v>
      </c>
      <c r="M1005">
        <v>8000000</v>
      </c>
    </row>
    <row r="1006" spans="1:13" x14ac:dyDescent="0.3">
      <c r="A1006" s="23">
        <v>45504</v>
      </c>
      <c r="B1006" t="s">
        <v>12</v>
      </c>
      <c r="C1006" t="s">
        <v>132</v>
      </c>
      <c r="D1006" t="s">
        <v>16</v>
      </c>
      <c r="E1006" t="s">
        <v>46</v>
      </c>
      <c r="F1006">
        <v>59434000</v>
      </c>
      <c r="G1006" t="s">
        <v>28</v>
      </c>
      <c r="H1006" t="s">
        <v>81</v>
      </c>
      <c r="I1006" t="s">
        <v>9</v>
      </c>
      <c r="L1006" t="s">
        <v>161</v>
      </c>
      <c r="M1006">
        <v>59434000</v>
      </c>
    </row>
    <row r="1007" spans="1:13" x14ac:dyDescent="0.3">
      <c r="A1007" s="23">
        <v>45503</v>
      </c>
      <c r="B1007" t="s">
        <v>12</v>
      </c>
      <c r="C1007" t="s">
        <v>132</v>
      </c>
      <c r="D1007" t="s">
        <v>16</v>
      </c>
      <c r="E1007" t="s">
        <v>46</v>
      </c>
      <c r="F1007">
        <v>1000000000</v>
      </c>
      <c r="G1007" t="s">
        <v>28</v>
      </c>
      <c r="H1007" t="s">
        <v>81</v>
      </c>
      <c r="I1007" t="s">
        <v>9</v>
      </c>
      <c r="L1007" t="s">
        <v>161</v>
      </c>
      <c r="M1007">
        <v>1000000000</v>
      </c>
    </row>
    <row r="1008" spans="1:13" x14ac:dyDescent="0.3">
      <c r="A1008" s="23">
        <v>45020</v>
      </c>
      <c r="B1008" t="s">
        <v>12</v>
      </c>
      <c r="C1008" t="s">
        <v>132</v>
      </c>
      <c r="D1008" t="s">
        <v>16</v>
      </c>
      <c r="E1008" t="s">
        <v>46</v>
      </c>
      <c r="F1008">
        <v>5500000</v>
      </c>
      <c r="G1008" t="s">
        <v>28</v>
      </c>
      <c r="H1008" t="s">
        <v>81</v>
      </c>
      <c r="I1008" t="s">
        <v>9</v>
      </c>
      <c r="L1008" t="s">
        <v>161</v>
      </c>
      <c r="M1008">
        <v>5500000</v>
      </c>
    </row>
    <row r="1009" spans="1:13" x14ac:dyDescent="0.3">
      <c r="A1009" s="23">
        <v>45020</v>
      </c>
      <c r="B1009" t="s">
        <v>12</v>
      </c>
      <c r="C1009" t="s">
        <v>132</v>
      </c>
      <c r="D1009" t="s">
        <v>17</v>
      </c>
      <c r="E1009" t="s">
        <v>46</v>
      </c>
      <c r="F1009">
        <v>64400000</v>
      </c>
      <c r="G1009" t="s">
        <v>28</v>
      </c>
      <c r="H1009" t="s">
        <v>81</v>
      </c>
      <c r="I1009" t="s">
        <v>9</v>
      </c>
      <c r="L1009" t="s">
        <v>161</v>
      </c>
      <c r="M1009">
        <v>-64400000</v>
      </c>
    </row>
    <row r="1010" spans="1:13" x14ac:dyDescent="0.3">
      <c r="A1010" s="23">
        <v>45021</v>
      </c>
      <c r="B1010" t="s">
        <v>12</v>
      </c>
      <c r="C1010" t="s">
        <v>132</v>
      </c>
      <c r="D1010" t="s">
        <v>16</v>
      </c>
      <c r="E1010" t="s">
        <v>46</v>
      </c>
      <c r="F1010">
        <v>248200000</v>
      </c>
      <c r="G1010" t="s">
        <v>28</v>
      </c>
      <c r="H1010" t="s">
        <v>81</v>
      </c>
      <c r="I1010" t="s">
        <v>9</v>
      </c>
      <c r="L1010" t="s">
        <v>161</v>
      </c>
      <c r="M1010">
        <v>248200000</v>
      </c>
    </row>
    <row r="1011" spans="1:13" x14ac:dyDescent="0.3">
      <c r="A1011" s="23">
        <v>45026</v>
      </c>
      <c r="B1011" t="s">
        <v>12</v>
      </c>
      <c r="C1011" t="s">
        <v>132</v>
      </c>
      <c r="D1011" t="s">
        <v>17</v>
      </c>
      <c r="E1011" t="s">
        <v>46</v>
      </c>
      <c r="F1011">
        <v>163500000</v>
      </c>
      <c r="G1011" t="s">
        <v>28</v>
      </c>
      <c r="H1011" t="s">
        <v>81</v>
      </c>
      <c r="I1011" t="s">
        <v>9</v>
      </c>
      <c r="L1011" t="s">
        <v>161</v>
      </c>
      <c r="M1011">
        <v>-163500000</v>
      </c>
    </row>
    <row r="1012" spans="1:13" x14ac:dyDescent="0.3">
      <c r="A1012" s="23">
        <v>45027</v>
      </c>
      <c r="B1012" t="s">
        <v>12</v>
      </c>
      <c r="C1012" t="s">
        <v>132</v>
      </c>
      <c r="D1012" t="s">
        <v>17</v>
      </c>
      <c r="E1012" t="s">
        <v>46</v>
      </c>
      <c r="F1012">
        <v>4200000</v>
      </c>
      <c r="G1012" t="s">
        <v>28</v>
      </c>
      <c r="H1012" t="s">
        <v>81</v>
      </c>
      <c r="I1012" t="s">
        <v>9</v>
      </c>
      <c r="L1012" t="s">
        <v>161</v>
      </c>
      <c r="M1012">
        <v>-4200000</v>
      </c>
    </row>
    <row r="1013" spans="1:13" x14ac:dyDescent="0.3">
      <c r="A1013" s="23">
        <v>45029</v>
      </c>
      <c r="B1013" t="s">
        <v>12</v>
      </c>
      <c r="C1013" t="s">
        <v>132</v>
      </c>
      <c r="D1013" t="s">
        <v>17</v>
      </c>
      <c r="E1013" t="s">
        <v>46</v>
      </c>
      <c r="F1013">
        <v>15200000</v>
      </c>
      <c r="G1013" t="s">
        <v>28</v>
      </c>
      <c r="H1013" t="s">
        <v>81</v>
      </c>
      <c r="I1013" t="s">
        <v>9</v>
      </c>
      <c r="L1013" t="s">
        <v>161</v>
      </c>
      <c r="M1013">
        <v>-15200000</v>
      </c>
    </row>
    <row r="1014" spans="1:13" x14ac:dyDescent="0.3">
      <c r="A1014" s="23">
        <v>45030</v>
      </c>
      <c r="B1014" t="s">
        <v>12</v>
      </c>
      <c r="C1014" t="s">
        <v>132</v>
      </c>
      <c r="D1014" t="s">
        <v>16</v>
      </c>
      <c r="E1014" t="s">
        <v>46</v>
      </c>
      <c r="F1014">
        <v>225500000</v>
      </c>
      <c r="G1014" t="s">
        <v>28</v>
      </c>
      <c r="H1014" t="s">
        <v>81</v>
      </c>
      <c r="I1014" t="s">
        <v>9</v>
      </c>
      <c r="L1014" t="s">
        <v>161</v>
      </c>
      <c r="M1014">
        <v>225500000</v>
      </c>
    </row>
    <row r="1015" spans="1:13" x14ac:dyDescent="0.3">
      <c r="A1015" s="23">
        <v>45490</v>
      </c>
      <c r="B1015" t="s">
        <v>12</v>
      </c>
      <c r="C1015" t="s">
        <v>132</v>
      </c>
      <c r="D1015" t="s">
        <v>17</v>
      </c>
      <c r="E1015" t="s">
        <v>46</v>
      </c>
      <c r="F1015">
        <v>85100000</v>
      </c>
      <c r="G1015" t="s">
        <v>28</v>
      </c>
      <c r="H1015" t="s">
        <v>81</v>
      </c>
      <c r="I1015" t="s">
        <v>9</v>
      </c>
      <c r="L1015" t="s">
        <v>161</v>
      </c>
      <c r="M1015">
        <v>-85100000</v>
      </c>
    </row>
    <row r="1016" spans="1:13" x14ac:dyDescent="0.3">
      <c r="A1016" s="23">
        <v>45489</v>
      </c>
      <c r="B1016" t="s">
        <v>12</v>
      </c>
      <c r="C1016" t="s">
        <v>132</v>
      </c>
      <c r="D1016" t="s">
        <v>17</v>
      </c>
      <c r="E1016" t="s">
        <v>46</v>
      </c>
      <c r="F1016">
        <v>215100000</v>
      </c>
      <c r="G1016" t="s">
        <v>28</v>
      </c>
      <c r="H1016" t="s">
        <v>81</v>
      </c>
      <c r="I1016" t="s">
        <v>9</v>
      </c>
      <c r="L1016" t="s">
        <v>161</v>
      </c>
      <c r="M1016">
        <v>-215100000</v>
      </c>
    </row>
    <row r="1017" spans="1:13" x14ac:dyDescent="0.3">
      <c r="A1017" s="23">
        <v>45485</v>
      </c>
      <c r="B1017" t="s">
        <v>12</v>
      </c>
      <c r="C1017" t="s">
        <v>132</v>
      </c>
      <c r="D1017" t="s">
        <v>17</v>
      </c>
      <c r="E1017" t="s">
        <v>46</v>
      </c>
      <c r="F1017">
        <v>250400000</v>
      </c>
      <c r="G1017" t="s">
        <v>28</v>
      </c>
      <c r="H1017" t="s">
        <v>81</v>
      </c>
      <c r="I1017" t="s">
        <v>9</v>
      </c>
      <c r="L1017" t="s">
        <v>161</v>
      </c>
      <c r="M1017">
        <v>-250400000</v>
      </c>
    </row>
    <row r="1018" spans="1:13" x14ac:dyDescent="0.3">
      <c r="A1018" s="23">
        <v>45041</v>
      </c>
      <c r="B1018" t="s">
        <v>12</v>
      </c>
      <c r="C1018" t="s">
        <v>132</v>
      </c>
      <c r="D1018" t="s">
        <v>17</v>
      </c>
      <c r="E1018" t="s">
        <v>46</v>
      </c>
      <c r="F1018">
        <v>86500000</v>
      </c>
      <c r="G1018" t="s">
        <v>28</v>
      </c>
      <c r="H1018" t="s">
        <v>81</v>
      </c>
      <c r="I1018" t="s">
        <v>9</v>
      </c>
      <c r="L1018" t="s">
        <v>161</v>
      </c>
      <c r="M1018">
        <v>-86500000</v>
      </c>
    </row>
    <row r="1019" spans="1:13" x14ac:dyDescent="0.3">
      <c r="A1019" s="23">
        <v>45483</v>
      </c>
      <c r="B1019" t="s">
        <v>12</v>
      </c>
      <c r="C1019" t="s">
        <v>132</v>
      </c>
      <c r="D1019" t="s">
        <v>17</v>
      </c>
      <c r="E1019" t="s">
        <v>46</v>
      </c>
      <c r="F1019">
        <v>890300000</v>
      </c>
      <c r="G1019" t="s">
        <v>28</v>
      </c>
      <c r="H1019" t="s">
        <v>81</v>
      </c>
      <c r="I1019" t="s">
        <v>9</v>
      </c>
      <c r="L1019" t="s">
        <v>161</v>
      </c>
      <c r="M1019">
        <v>-890300000</v>
      </c>
    </row>
    <row r="1020" spans="1:13" x14ac:dyDescent="0.3">
      <c r="A1020" s="23">
        <v>45041</v>
      </c>
      <c r="B1020" t="s">
        <v>12</v>
      </c>
      <c r="C1020" t="s">
        <v>132</v>
      </c>
      <c r="D1020" t="s">
        <v>17</v>
      </c>
      <c r="E1020" t="s">
        <v>46</v>
      </c>
      <c r="F1020">
        <v>86500000</v>
      </c>
      <c r="G1020" t="s">
        <v>28</v>
      </c>
      <c r="H1020" t="s">
        <v>81</v>
      </c>
      <c r="I1020" t="s">
        <v>9</v>
      </c>
      <c r="L1020" t="s">
        <v>161</v>
      </c>
      <c r="M1020">
        <v>-86500000</v>
      </c>
    </row>
    <row r="1021" spans="1:13" x14ac:dyDescent="0.3">
      <c r="A1021" s="23">
        <v>45481</v>
      </c>
      <c r="B1021" t="s">
        <v>12</v>
      </c>
      <c r="C1021" t="s">
        <v>132</v>
      </c>
      <c r="D1021" t="s">
        <v>16</v>
      </c>
      <c r="E1021" t="s">
        <v>46</v>
      </c>
      <c r="F1021">
        <v>263400000</v>
      </c>
      <c r="G1021" t="s">
        <v>28</v>
      </c>
      <c r="H1021" t="s">
        <v>81</v>
      </c>
      <c r="I1021" t="s">
        <v>9</v>
      </c>
      <c r="L1021" t="s">
        <v>161</v>
      </c>
      <c r="M1021">
        <v>263400000</v>
      </c>
    </row>
    <row r="1022" spans="1:13" x14ac:dyDescent="0.3">
      <c r="A1022" s="23">
        <v>45477</v>
      </c>
      <c r="B1022" t="s">
        <v>12</v>
      </c>
      <c r="C1022" t="s">
        <v>132</v>
      </c>
      <c r="D1022" t="s">
        <v>17</v>
      </c>
      <c r="E1022" t="s">
        <v>46</v>
      </c>
      <c r="F1022">
        <v>394200000</v>
      </c>
      <c r="G1022" t="s">
        <v>28</v>
      </c>
      <c r="H1022" t="s">
        <v>81</v>
      </c>
      <c r="I1022" t="s">
        <v>9</v>
      </c>
      <c r="L1022" t="s">
        <v>161</v>
      </c>
      <c r="M1022">
        <v>-394200000</v>
      </c>
    </row>
    <row r="1023" spans="1:13" x14ac:dyDescent="0.3">
      <c r="A1023" s="23">
        <v>45476</v>
      </c>
      <c r="B1023" t="s">
        <v>12</v>
      </c>
      <c r="C1023" t="s">
        <v>132</v>
      </c>
      <c r="D1023" t="s">
        <v>17</v>
      </c>
      <c r="E1023" t="s">
        <v>46</v>
      </c>
      <c r="F1023">
        <v>300000000</v>
      </c>
      <c r="G1023" t="s">
        <v>28</v>
      </c>
      <c r="H1023" t="s">
        <v>81</v>
      </c>
      <c r="I1023" t="s">
        <v>9</v>
      </c>
      <c r="L1023" t="s">
        <v>161</v>
      </c>
      <c r="M1023">
        <v>-300000000</v>
      </c>
    </row>
    <row r="1024" spans="1:13" x14ac:dyDescent="0.3">
      <c r="A1024" s="23">
        <v>45471</v>
      </c>
      <c r="B1024" t="s">
        <v>12</v>
      </c>
      <c r="C1024" t="s">
        <v>132</v>
      </c>
      <c r="D1024" t="s">
        <v>17</v>
      </c>
      <c r="E1024" t="s">
        <v>46</v>
      </c>
      <c r="F1024">
        <v>198000000</v>
      </c>
      <c r="G1024" t="s">
        <v>28</v>
      </c>
      <c r="H1024" t="s">
        <v>81</v>
      </c>
      <c r="I1024" t="s">
        <v>9</v>
      </c>
      <c r="L1024" t="s">
        <v>161</v>
      </c>
      <c r="M1024">
        <v>-198000000</v>
      </c>
    </row>
    <row r="1025" spans="1:13" x14ac:dyDescent="0.3">
      <c r="A1025" s="23">
        <v>45471</v>
      </c>
      <c r="B1025" t="s">
        <v>12</v>
      </c>
      <c r="C1025" t="s">
        <v>132</v>
      </c>
      <c r="D1025" t="s">
        <v>17</v>
      </c>
      <c r="E1025" t="s">
        <v>46</v>
      </c>
      <c r="F1025">
        <v>326300000</v>
      </c>
      <c r="G1025" t="s">
        <v>28</v>
      </c>
      <c r="H1025" t="s">
        <v>81</v>
      </c>
      <c r="I1025" t="s">
        <v>9</v>
      </c>
      <c r="L1025" t="s">
        <v>161</v>
      </c>
      <c r="M1025">
        <v>-326300000</v>
      </c>
    </row>
    <row r="1026" spans="1:13" x14ac:dyDescent="0.3">
      <c r="A1026" s="23">
        <v>45055</v>
      </c>
      <c r="B1026" t="s">
        <v>12</v>
      </c>
      <c r="C1026" t="s">
        <v>132</v>
      </c>
      <c r="D1026" t="s">
        <v>17</v>
      </c>
      <c r="E1026" t="s">
        <v>46</v>
      </c>
      <c r="F1026">
        <v>117800000</v>
      </c>
      <c r="G1026" t="s">
        <v>28</v>
      </c>
      <c r="H1026" t="s">
        <v>81</v>
      </c>
      <c r="I1026" t="s">
        <v>9</v>
      </c>
      <c r="L1026" t="s">
        <v>161</v>
      </c>
      <c r="M1026">
        <v>-117800000</v>
      </c>
    </row>
    <row r="1027" spans="1:13" x14ac:dyDescent="0.3">
      <c r="A1027" s="23">
        <v>45468</v>
      </c>
      <c r="B1027" t="s">
        <v>12</v>
      </c>
      <c r="C1027" t="s">
        <v>132</v>
      </c>
      <c r="D1027" t="s">
        <v>16</v>
      </c>
      <c r="E1027" t="s">
        <v>46</v>
      </c>
      <c r="F1027">
        <v>178500000</v>
      </c>
      <c r="G1027" t="s">
        <v>28</v>
      </c>
      <c r="H1027" t="s">
        <v>81</v>
      </c>
      <c r="I1027" t="s">
        <v>9</v>
      </c>
      <c r="L1027" t="s">
        <v>161</v>
      </c>
      <c r="M1027">
        <v>178500000</v>
      </c>
    </row>
    <row r="1028" spans="1:13" x14ac:dyDescent="0.3">
      <c r="A1028" s="23">
        <v>45460</v>
      </c>
      <c r="B1028" t="s">
        <v>12</v>
      </c>
      <c r="C1028" t="s">
        <v>132</v>
      </c>
      <c r="D1028" t="s">
        <v>16</v>
      </c>
      <c r="E1028" t="s">
        <v>46</v>
      </c>
      <c r="F1028">
        <v>36730000</v>
      </c>
      <c r="G1028" t="s">
        <v>28</v>
      </c>
      <c r="H1028" t="s">
        <v>81</v>
      </c>
      <c r="I1028" t="s">
        <v>9</v>
      </c>
      <c r="L1028" t="s">
        <v>161</v>
      </c>
      <c r="M1028">
        <v>36730000</v>
      </c>
    </row>
    <row r="1029" spans="1:13" x14ac:dyDescent="0.3">
      <c r="A1029" s="23">
        <v>45455</v>
      </c>
      <c r="B1029" t="s">
        <v>12</v>
      </c>
      <c r="C1029" t="s">
        <v>132</v>
      </c>
      <c r="D1029" t="s">
        <v>17</v>
      </c>
      <c r="E1029" t="s">
        <v>46</v>
      </c>
      <c r="F1029">
        <v>31200000</v>
      </c>
      <c r="G1029" t="s">
        <v>28</v>
      </c>
      <c r="H1029" t="s">
        <v>81</v>
      </c>
      <c r="I1029" t="s">
        <v>9</v>
      </c>
      <c r="L1029" t="s">
        <v>161</v>
      </c>
      <c r="M1029">
        <v>-31200000</v>
      </c>
    </row>
    <row r="1030" spans="1:13" x14ac:dyDescent="0.3">
      <c r="A1030" s="23">
        <v>45453</v>
      </c>
      <c r="B1030" t="s">
        <v>12</v>
      </c>
      <c r="C1030" t="s">
        <v>132</v>
      </c>
      <c r="D1030" t="s">
        <v>16</v>
      </c>
      <c r="E1030" t="s">
        <v>46</v>
      </c>
      <c r="F1030">
        <v>1000000000</v>
      </c>
      <c r="G1030" t="s">
        <v>28</v>
      </c>
      <c r="H1030" t="s">
        <v>81</v>
      </c>
      <c r="I1030" t="s">
        <v>9</v>
      </c>
      <c r="L1030" t="s">
        <v>161</v>
      </c>
      <c r="M1030">
        <v>1000000000</v>
      </c>
    </row>
    <row r="1031" spans="1:13" x14ac:dyDescent="0.3">
      <c r="A1031" s="23">
        <v>45446</v>
      </c>
      <c r="B1031" t="s">
        <v>12</v>
      </c>
      <c r="C1031" t="s">
        <v>132</v>
      </c>
      <c r="D1031" t="s">
        <v>16</v>
      </c>
      <c r="E1031" t="s">
        <v>46</v>
      </c>
      <c r="F1031">
        <v>1000000000</v>
      </c>
      <c r="G1031" t="s">
        <v>28</v>
      </c>
      <c r="H1031" t="s">
        <v>81</v>
      </c>
      <c r="I1031" t="s">
        <v>9</v>
      </c>
      <c r="L1031" t="s">
        <v>161</v>
      </c>
      <c r="M1031">
        <v>1000000000</v>
      </c>
    </row>
    <row r="1032" spans="1:13" x14ac:dyDescent="0.3">
      <c r="A1032" s="23">
        <v>45443</v>
      </c>
      <c r="B1032" t="s">
        <v>12</v>
      </c>
      <c r="C1032" t="s">
        <v>132</v>
      </c>
      <c r="D1032" t="s">
        <v>17</v>
      </c>
      <c r="E1032" t="s">
        <v>46</v>
      </c>
      <c r="F1032">
        <v>52700000</v>
      </c>
      <c r="G1032" t="s">
        <v>28</v>
      </c>
      <c r="H1032" t="s">
        <v>81</v>
      </c>
      <c r="I1032" t="s">
        <v>9</v>
      </c>
      <c r="L1032" t="s">
        <v>161</v>
      </c>
      <c r="M1032">
        <v>-52700000</v>
      </c>
    </row>
    <row r="1033" spans="1:13" x14ac:dyDescent="0.3">
      <c r="A1033" s="23">
        <v>45086</v>
      </c>
      <c r="B1033" t="s">
        <v>12</v>
      </c>
      <c r="C1033" t="s">
        <v>132</v>
      </c>
      <c r="D1033" t="s">
        <v>16</v>
      </c>
      <c r="E1033" t="s">
        <v>46</v>
      </c>
      <c r="F1033">
        <v>62500000</v>
      </c>
      <c r="G1033" t="s">
        <v>28</v>
      </c>
      <c r="H1033" t="s">
        <v>81</v>
      </c>
      <c r="I1033" t="s">
        <v>9</v>
      </c>
      <c r="L1033" t="s">
        <v>161</v>
      </c>
      <c r="M1033">
        <v>62500000</v>
      </c>
    </row>
    <row r="1034" spans="1:13" x14ac:dyDescent="0.3">
      <c r="A1034" s="23">
        <v>45435</v>
      </c>
      <c r="B1034" t="s">
        <v>12</v>
      </c>
      <c r="C1034" t="s">
        <v>132</v>
      </c>
      <c r="D1034" t="s">
        <v>17</v>
      </c>
      <c r="E1034" t="s">
        <v>46</v>
      </c>
      <c r="F1034">
        <v>141100000</v>
      </c>
      <c r="G1034" t="s">
        <v>28</v>
      </c>
      <c r="H1034" t="s">
        <v>81</v>
      </c>
      <c r="I1034" t="s">
        <v>9</v>
      </c>
      <c r="L1034" t="s">
        <v>161</v>
      </c>
      <c r="M1034">
        <v>-141100000</v>
      </c>
    </row>
    <row r="1035" spans="1:13" x14ac:dyDescent="0.3">
      <c r="A1035" s="23">
        <v>45089</v>
      </c>
      <c r="B1035" t="s">
        <v>12</v>
      </c>
      <c r="C1035" t="s">
        <v>132</v>
      </c>
      <c r="D1035" t="s">
        <v>16</v>
      </c>
      <c r="E1035" t="s">
        <v>46</v>
      </c>
      <c r="F1035">
        <v>144000000</v>
      </c>
      <c r="G1035" t="s">
        <v>28</v>
      </c>
      <c r="H1035" t="s">
        <v>81</v>
      </c>
      <c r="I1035" t="s">
        <v>9</v>
      </c>
      <c r="L1035" t="s">
        <v>161</v>
      </c>
      <c r="M1035">
        <v>144000000</v>
      </c>
    </row>
    <row r="1036" spans="1:13" x14ac:dyDescent="0.3">
      <c r="A1036" s="23">
        <v>45434</v>
      </c>
      <c r="B1036" t="s">
        <v>12</v>
      </c>
      <c r="C1036" t="s">
        <v>132</v>
      </c>
      <c r="D1036" t="s">
        <v>17</v>
      </c>
      <c r="E1036" t="s">
        <v>46</v>
      </c>
      <c r="F1036">
        <v>80600000</v>
      </c>
      <c r="G1036" t="s">
        <v>28</v>
      </c>
      <c r="H1036" t="s">
        <v>81</v>
      </c>
      <c r="I1036" t="s">
        <v>9</v>
      </c>
      <c r="L1036" t="s">
        <v>161</v>
      </c>
      <c r="M1036">
        <v>-80600000</v>
      </c>
    </row>
    <row r="1037" spans="1:13" x14ac:dyDescent="0.3">
      <c r="A1037" s="23">
        <v>45433</v>
      </c>
      <c r="B1037" t="s">
        <v>12</v>
      </c>
      <c r="C1037" t="s">
        <v>132</v>
      </c>
      <c r="D1037" t="s">
        <v>17</v>
      </c>
      <c r="E1037" t="s">
        <v>46</v>
      </c>
      <c r="F1037">
        <v>69100000</v>
      </c>
      <c r="G1037" t="s">
        <v>28</v>
      </c>
      <c r="H1037" t="s">
        <v>81</v>
      </c>
      <c r="I1037" t="s">
        <v>9</v>
      </c>
      <c r="L1037" t="s">
        <v>161</v>
      </c>
      <c r="M1037">
        <v>-69100000</v>
      </c>
    </row>
    <row r="1038" spans="1:13" x14ac:dyDescent="0.3">
      <c r="A1038" s="23">
        <v>45091</v>
      </c>
      <c r="B1038" t="s">
        <v>12</v>
      </c>
      <c r="C1038" t="s">
        <v>132</v>
      </c>
      <c r="D1038" t="s">
        <v>16</v>
      </c>
      <c r="E1038" t="s">
        <v>46</v>
      </c>
      <c r="F1038">
        <v>879372.77</v>
      </c>
      <c r="G1038" t="s">
        <v>28</v>
      </c>
      <c r="H1038" t="s">
        <v>81</v>
      </c>
      <c r="I1038" t="s">
        <v>9</v>
      </c>
      <c r="J1038" t="s">
        <v>155</v>
      </c>
      <c r="L1038" t="s">
        <v>161</v>
      </c>
      <c r="M1038">
        <v>879372.77</v>
      </c>
    </row>
    <row r="1039" spans="1:13" x14ac:dyDescent="0.3">
      <c r="A1039" s="23">
        <v>45429</v>
      </c>
      <c r="B1039" t="s">
        <v>12</v>
      </c>
      <c r="C1039" t="s">
        <v>132</v>
      </c>
      <c r="D1039" t="s">
        <v>17</v>
      </c>
      <c r="E1039" t="s">
        <v>46</v>
      </c>
      <c r="F1039">
        <v>171100000</v>
      </c>
      <c r="G1039" t="s">
        <v>28</v>
      </c>
      <c r="H1039" t="s">
        <v>81</v>
      </c>
      <c r="I1039" t="s">
        <v>9</v>
      </c>
      <c r="L1039" t="s">
        <v>161</v>
      </c>
      <c r="M1039">
        <v>-171100000</v>
      </c>
    </row>
    <row r="1040" spans="1:13" x14ac:dyDescent="0.3">
      <c r="A1040" s="23">
        <v>45092</v>
      </c>
      <c r="B1040" t="s">
        <v>12</v>
      </c>
      <c r="C1040" t="s">
        <v>132</v>
      </c>
      <c r="D1040" t="s">
        <v>17</v>
      </c>
      <c r="E1040" t="s">
        <v>46</v>
      </c>
      <c r="F1040">
        <v>24000000</v>
      </c>
      <c r="G1040" t="s">
        <v>28</v>
      </c>
      <c r="H1040" t="s">
        <v>81</v>
      </c>
      <c r="I1040" t="s">
        <v>9</v>
      </c>
      <c r="L1040" t="s">
        <v>161</v>
      </c>
      <c r="M1040">
        <v>-24000000</v>
      </c>
    </row>
    <row r="1041" spans="1:13" x14ac:dyDescent="0.3">
      <c r="A1041" s="23">
        <v>45428</v>
      </c>
      <c r="B1041" t="s">
        <v>12</v>
      </c>
      <c r="C1041" t="s">
        <v>132</v>
      </c>
      <c r="D1041" t="s">
        <v>16</v>
      </c>
      <c r="E1041" t="s">
        <v>46</v>
      </c>
      <c r="F1041">
        <v>230900000</v>
      </c>
      <c r="G1041" t="s">
        <v>28</v>
      </c>
      <c r="H1041" t="s">
        <v>81</v>
      </c>
      <c r="I1041" t="s">
        <v>9</v>
      </c>
      <c r="L1041" t="s">
        <v>161</v>
      </c>
      <c r="M1041">
        <v>230900000</v>
      </c>
    </row>
    <row r="1042" spans="1:13" x14ac:dyDescent="0.3">
      <c r="A1042" s="23">
        <v>45427</v>
      </c>
      <c r="B1042" t="s">
        <v>12</v>
      </c>
      <c r="C1042" t="s">
        <v>132</v>
      </c>
      <c r="D1042" t="s">
        <v>17</v>
      </c>
      <c r="E1042" t="s">
        <v>46</v>
      </c>
      <c r="F1042">
        <v>217100000</v>
      </c>
      <c r="G1042" t="s">
        <v>28</v>
      </c>
      <c r="H1042" t="s">
        <v>81</v>
      </c>
      <c r="I1042" t="s">
        <v>9</v>
      </c>
      <c r="L1042" t="s">
        <v>161</v>
      </c>
      <c r="M1042">
        <v>-217100000</v>
      </c>
    </row>
    <row r="1043" spans="1:13" x14ac:dyDescent="0.3">
      <c r="A1043" s="23">
        <v>45093</v>
      </c>
      <c r="B1043" t="s">
        <v>12</v>
      </c>
      <c r="C1043" t="s">
        <v>132</v>
      </c>
      <c r="D1043" t="s">
        <v>17</v>
      </c>
      <c r="E1043" t="s">
        <v>46</v>
      </c>
      <c r="F1043">
        <v>132200000</v>
      </c>
      <c r="G1043" t="s">
        <v>28</v>
      </c>
      <c r="H1043" t="s">
        <v>81</v>
      </c>
      <c r="I1043" t="s">
        <v>9</v>
      </c>
      <c r="L1043" t="s">
        <v>161</v>
      </c>
      <c r="M1043">
        <v>-132200000</v>
      </c>
    </row>
    <row r="1044" spans="1:13" x14ac:dyDescent="0.3">
      <c r="A1044" s="23">
        <v>45099</v>
      </c>
      <c r="B1044" t="s">
        <v>12</v>
      </c>
      <c r="C1044" t="s">
        <v>132</v>
      </c>
      <c r="D1044" t="s">
        <v>17</v>
      </c>
      <c r="E1044" t="s">
        <v>46</v>
      </c>
      <c r="F1044">
        <v>51179372.769999981</v>
      </c>
      <c r="G1044" t="s">
        <v>28</v>
      </c>
      <c r="H1044" t="s">
        <v>81</v>
      </c>
      <c r="I1044" t="s">
        <v>9</v>
      </c>
      <c r="L1044" t="s">
        <v>161</v>
      </c>
      <c r="M1044">
        <v>-51179372.770000003</v>
      </c>
    </row>
    <row r="1045" spans="1:13" x14ac:dyDescent="0.3">
      <c r="A1045" s="23">
        <v>45426</v>
      </c>
      <c r="B1045" t="s">
        <v>12</v>
      </c>
      <c r="C1045" t="s">
        <v>132</v>
      </c>
      <c r="D1045" t="s">
        <v>17</v>
      </c>
      <c r="E1045" t="s">
        <v>46</v>
      </c>
      <c r="F1045">
        <v>277200000</v>
      </c>
      <c r="G1045" t="s">
        <v>28</v>
      </c>
      <c r="H1045" t="s">
        <v>81</v>
      </c>
      <c r="I1045" t="s">
        <v>9</v>
      </c>
      <c r="L1045" t="s">
        <v>161</v>
      </c>
      <c r="M1045">
        <v>-277200000</v>
      </c>
    </row>
    <row r="1046" spans="1:13" x14ac:dyDescent="0.3">
      <c r="A1046" s="23">
        <v>45425</v>
      </c>
      <c r="B1046" t="s">
        <v>12</v>
      </c>
      <c r="C1046" t="s">
        <v>132</v>
      </c>
      <c r="D1046" t="s">
        <v>17</v>
      </c>
      <c r="E1046" t="s">
        <v>46</v>
      </c>
      <c r="F1046">
        <v>256100000</v>
      </c>
      <c r="G1046" t="s">
        <v>28</v>
      </c>
      <c r="H1046" t="s">
        <v>81</v>
      </c>
      <c r="I1046" t="s">
        <v>9</v>
      </c>
      <c r="L1046" t="s">
        <v>161</v>
      </c>
      <c r="M1046">
        <v>-256100000</v>
      </c>
    </row>
    <row r="1047" spans="1:13" x14ac:dyDescent="0.3">
      <c r="A1047" s="23">
        <v>45425</v>
      </c>
      <c r="B1047" t="s">
        <v>12</v>
      </c>
      <c r="C1047" t="s">
        <v>132</v>
      </c>
      <c r="D1047" t="s">
        <v>16</v>
      </c>
      <c r="E1047" t="s">
        <v>46</v>
      </c>
      <c r="F1047">
        <v>46050000</v>
      </c>
      <c r="G1047" t="s">
        <v>28</v>
      </c>
      <c r="H1047" t="s">
        <v>81</v>
      </c>
      <c r="I1047" t="s">
        <v>9</v>
      </c>
      <c r="L1047" t="s">
        <v>161</v>
      </c>
      <c r="M1047">
        <v>46050000</v>
      </c>
    </row>
    <row r="1048" spans="1:13" x14ac:dyDescent="0.3">
      <c r="A1048" s="23">
        <v>45422</v>
      </c>
      <c r="B1048" t="s">
        <v>12</v>
      </c>
      <c r="C1048" t="s">
        <v>132</v>
      </c>
      <c r="D1048" t="s">
        <v>17</v>
      </c>
      <c r="E1048" t="s">
        <v>46</v>
      </c>
      <c r="F1048">
        <v>466500000</v>
      </c>
      <c r="G1048" t="s">
        <v>28</v>
      </c>
      <c r="H1048" t="s">
        <v>81</v>
      </c>
      <c r="I1048" t="s">
        <v>9</v>
      </c>
      <c r="L1048" t="s">
        <v>161</v>
      </c>
      <c r="M1048">
        <v>-466500000</v>
      </c>
    </row>
    <row r="1049" spans="1:13" x14ac:dyDescent="0.3">
      <c r="A1049" s="23">
        <v>45421</v>
      </c>
      <c r="B1049" t="s">
        <v>12</v>
      </c>
      <c r="C1049" t="s">
        <v>132</v>
      </c>
      <c r="D1049" t="s">
        <v>17</v>
      </c>
      <c r="E1049" t="s">
        <v>46</v>
      </c>
      <c r="F1049">
        <v>197000000</v>
      </c>
      <c r="G1049" t="s">
        <v>28</v>
      </c>
      <c r="H1049" t="s">
        <v>81</v>
      </c>
      <c r="I1049" t="s">
        <v>9</v>
      </c>
      <c r="L1049" t="s">
        <v>161</v>
      </c>
      <c r="M1049">
        <v>-197000000</v>
      </c>
    </row>
    <row r="1050" spans="1:13" x14ac:dyDescent="0.3">
      <c r="A1050" s="23">
        <v>45420</v>
      </c>
      <c r="B1050" t="s">
        <v>12</v>
      </c>
      <c r="C1050" t="s">
        <v>132</v>
      </c>
      <c r="D1050" t="s">
        <v>17</v>
      </c>
      <c r="E1050" t="s">
        <v>46</v>
      </c>
      <c r="F1050">
        <v>65200000</v>
      </c>
      <c r="G1050" t="s">
        <v>28</v>
      </c>
      <c r="H1050" t="s">
        <v>81</v>
      </c>
      <c r="I1050" t="s">
        <v>9</v>
      </c>
      <c r="L1050" t="s">
        <v>161</v>
      </c>
      <c r="M1050">
        <v>-65200000</v>
      </c>
    </row>
    <row r="1051" spans="1:13" x14ac:dyDescent="0.3">
      <c r="A1051" s="23">
        <v>45420</v>
      </c>
      <c r="B1051" t="s">
        <v>12</v>
      </c>
      <c r="C1051" t="s">
        <v>132</v>
      </c>
      <c r="D1051" t="s">
        <v>17</v>
      </c>
      <c r="E1051" t="s">
        <v>46</v>
      </c>
      <c r="F1051">
        <v>1000000000</v>
      </c>
      <c r="G1051" t="s">
        <v>28</v>
      </c>
      <c r="H1051" t="s">
        <v>81</v>
      </c>
      <c r="I1051" t="s">
        <v>9</v>
      </c>
      <c r="L1051" t="s">
        <v>161</v>
      </c>
      <c r="M1051">
        <v>-1000000000</v>
      </c>
    </row>
    <row r="1052" spans="1:13" x14ac:dyDescent="0.3">
      <c r="A1052" s="23">
        <v>45419</v>
      </c>
      <c r="B1052" t="s">
        <v>12</v>
      </c>
      <c r="C1052" t="s">
        <v>132</v>
      </c>
      <c r="D1052" t="s">
        <v>17</v>
      </c>
      <c r="E1052" t="s">
        <v>46</v>
      </c>
      <c r="F1052">
        <v>1420700000</v>
      </c>
      <c r="G1052" t="s">
        <v>28</v>
      </c>
      <c r="H1052" t="s">
        <v>81</v>
      </c>
      <c r="I1052" t="s">
        <v>9</v>
      </c>
      <c r="L1052" t="s">
        <v>161</v>
      </c>
      <c r="M1052">
        <v>-1420700000</v>
      </c>
    </row>
    <row r="1053" spans="1:13" x14ac:dyDescent="0.3">
      <c r="A1053" s="23">
        <v>45415</v>
      </c>
      <c r="B1053" t="s">
        <v>12</v>
      </c>
      <c r="C1053" t="s">
        <v>132</v>
      </c>
      <c r="D1053" t="s">
        <v>16</v>
      </c>
      <c r="E1053" t="s">
        <v>46</v>
      </c>
      <c r="F1053">
        <v>3752000000</v>
      </c>
      <c r="G1053" t="s">
        <v>28</v>
      </c>
      <c r="H1053" t="s">
        <v>81</v>
      </c>
      <c r="I1053" t="s">
        <v>9</v>
      </c>
      <c r="L1053" t="s">
        <v>161</v>
      </c>
      <c r="M1053">
        <v>3752000000</v>
      </c>
    </row>
    <row r="1054" spans="1:13" x14ac:dyDescent="0.3">
      <c r="A1054" s="23">
        <v>45412</v>
      </c>
      <c r="B1054" t="s">
        <v>12</v>
      </c>
      <c r="C1054" t="s">
        <v>132</v>
      </c>
      <c r="D1054" t="s">
        <v>17</v>
      </c>
      <c r="E1054" t="s">
        <v>46</v>
      </c>
      <c r="F1054">
        <v>230000000</v>
      </c>
      <c r="G1054" t="s">
        <v>28</v>
      </c>
      <c r="H1054" t="s">
        <v>81</v>
      </c>
      <c r="I1054" t="s">
        <v>9</v>
      </c>
      <c r="L1054" t="s">
        <v>161</v>
      </c>
      <c r="M1054">
        <v>-230000000</v>
      </c>
    </row>
    <row r="1055" spans="1:13" x14ac:dyDescent="0.3">
      <c r="A1055" s="23">
        <v>45408</v>
      </c>
      <c r="B1055" t="s">
        <v>12</v>
      </c>
      <c r="C1055" t="s">
        <v>132</v>
      </c>
      <c r="D1055" t="s">
        <v>17</v>
      </c>
      <c r="E1055" t="s">
        <v>46</v>
      </c>
      <c r="F1055">
        <v>210100000</v>
      </c>
      <c r="G1055" t="s">
        <v>28</v>
      </c>
      <c r="H1055" t="s">
        <v>81</v>
      </c>
      <c r="I1055" t="s">
        <v>9</v>
      </c>
      <c r="L1055" t="s">
        <v>161</v>
      </c>
      <c r="M1055">
        <v>-210100000</v>
      </c>
    </row>
    <row r="1056" spans="1:13" x14ac:dyDescent="0.3">
      <c r="A1056" s="23">
        <v>45139</v>
      </c>
      <c r="B1056" t="s">
        <v>12</v>
      </c>
      <c r="C1056" t="s">
        <v>132</v>
      </c>
      <c r="D1056" t="s">
        <v>16</v>
      </c>
      <c r="E1056" t="s">
        <v>46</v>
      </c>
      <c r="F1056">
        <v>240000000</v>
      </c>
      <c r="G1056" t="s">
        <v>28</v>
      </c>
      <c r="H1056" t="s">
        <v>81</v>
      </c>
      <c r="I1056" t="s">
        <v>9</v>
      </c>
      <c r="L1056" t="s">
        <v>161</v>
      </c>
      <c r="M1056">
        <v>240000000</v>
      </c>
    </row>
    <row r="1057" spans="1:13" x14ac:dyDescent="0.3">
      <c r="A1057" s="23">
        <v>45407</v>
      </c>
      <c r="B1057" t="s">
        <v>12</v>
      </c>
      <c r="C1057" t="s">
        <v>132</v>
      </c>
      <c r="D1057" t="s">
        <v>16</v>
      </c>
      <c r="E1057" t="s">
        <v>46</v>
      </c>
      <c r="F1057">
        <v>109800000</v>
      </c>
      <c r="G1057" t="s">
        <v>28</v>
      </c>
      <c r="H1057" t="s">
        <v>81</v>
      </c>
      <c r="I1057" t="s">
        <v>9</v>
      </c>
      <c r="L1057" t="s">
        <v>161</v>
      </c>
      <c r="M1057">
        <v>109800000</v>
      </c>
    </row>
    <row r="1058" spans="1:13" x14ac:dyDescent="0.3">
      <c r="A1058" s="23">
        <v>45140</v>
      </c>
      <c r="B1058" t="s">
        <v>12</v>
      </c>
      <c r="C1058" t="s">
        <v>132</v>
      </c>
      <c r="D1058" t="s">
        <v>17</v>
      </c>
      <c r="E1058" t="s">
        <v>46</v>
      </c>
      <c r="F1058">
        <v>130000000</v>
      </c>
      <c r="G1058" t="s">
        <v>28</v>
      </c>
      <c r="H1058" t="s">
        <v>81</v>
      </c>
      <c r="I1058" t="s">
        <v>9</v>
      </c>
      <c r="L1058" t="s">
        <v>161</v>
      </c>
      <c r="M1058">
        <v>-130000000</v>
      </c>
    </row>
    <row r="1059" spans="1:13" x14ac:dyDescent="0.3">
      <c r="A1059" s="23">
        <v>45141</v>
      </c>
      <c r="B1059" t="s">
        <v>12</v>
      </c>
      <c r="C1059" t="s">
        <v>132</v>
      </c>
      <c r="D1059" t="s">
        <v>17</v>
      </c>
      <c r="E1059" t="s">
        <v>46</v>
      </c>
      <c r="F1059">
        <v>100000000</v>
      </c>
      <c r="G1059" t="s">
        <v>28</v>
      </c>
      <c r="H1059" t="s">
        <v>81</v>
      </c>
      <c r="I1059" t="s">
        <v>9</v>
      </c>
      <c r="L1059" t="s">
        <v>161</v>
      </c>
      <c r="M1059">
        <v>-100000000</v>
      </c>
    </row>
    <row r="1060" spans="1:13" x14ac:dyDescent="0.3">
      <c r="A1060" s="23">
        <v>45142</v>
      </c>
      <c r="B1060" t="s">
        <v>12</v>
      </c>
      <c r="C1060" t="s">
        <v>132</v>
      </c>
      <c r="D1060" t="s">
        <v>17</v>
      </c>
      <c r="E1060" t="s">
        <v>46</v>
      </c>
      <c r="F1060">
        <v>10000000</v>
      </c>
      <c r="G1060" t="s">
        <v>28</v>
      </c>
      <c r="H1060" t="s">
        <v>81</v>
      </c>
      <c r="I1060" t="s">
        <v>9</v>
      </c>
      <c r="L1060" t="s">
        <v>161</v>
      </c>
      <c r="M1060">
        <v>-10000000</v>
      </c>
    </row>
    <row r="1061" spans="1:13" x14ac:dyDescent="0.3">
      <c r="A1061" s="23">
        <v>45146</v>
      </c>
      <c r="B1061" t="s">
        <v>12</v>
      </c>
      <c r="C1061" t="s">
        <v>132</v>
      </c>
      <c r="D1061" t="s">
        <v>16</v>
      </c>
      <c r="E1061" t="s">
        <v>46</v>
      </c>
      <c r="F1061">
        <v>150000000</v>
      </c>
      <c r="G1061" t="s">
        <v>28</v>
      </c>
      <c r="H1061" t="s">
        <v>81</v>
      </c>
      <c r="I1061" t="s">
        <v>9</v>
      </c>
      <c r="L1061" t="s">
        <v>161</v>
      </c>
      <c r="M1061">
        <v>150000000</v>
      </c>
    </row>
    <row r="1062" spans="1:13" x14ac:dyDescent="0.3">
      <c r="A1062" s="23">
        <v>45400</v>
      </c>
      <c r="B1062" t="s">
        <v>12</v>
      </c>
      <c r="C1062" t="s">
        <v>132</v>
      </c>
      <c r="D1062" t="s">
        <v>17</v>
      </c>
      <c r="E1062" t="s">
        <v>46</v>
      </c>
      <c r="F1062">
        <v>300000000</v>
      </c>
      <c r="G1062" t="s">
        <v>28</v>
      </c>
      <c r="H1062" t="s">
        <v>81</v>
      </c>
      <c r="I1062" t="s">
        <v>9</v>
      </c>
      <c r="L1062" t="s">
        <v>161</v>
      </c>
      <c r="M1062">
        <v>-300000000</v>
      </c>
    </row>
    <row r="1063" spans="1:13" x14ac:dyDescent="0.3">
      <c r="A1063" s="23">
        <v>45147</v>
      </c>
      <c r="B1063" t="s">
        <v>12</v>
      </c>
      <c r="C1063" t="s">
        <v>132</v>
      </c>
      <c r="D1063" t="s">
        <v>17</v>
      </c>
      <c r="E1063" t="s">
        <v>46</v>
      </c>
      <c r="F1063">
        <v>53000000</v>
      </c>
      <c r="G1063" t="s">
        <v>28</v>
      </c>
      <c r="H1063" t="s">
        <v>81</v>
      </c>
      <c r="I1063" t="s">
        <v>9</v>
      </c>
      <c r="L1063" t="s">
        <v>161</v>
      </c>
      <c r="M1063">
        <v>-53000000</v>
      </c>
    </row>
    <row r="1064" spans="1:13" x14ac:dyDescent="0.3">
      <c r="A1064" s="23">
        <v>45397</v>
      </c>
      <c r="B1064" t="s">
        <v>12</v>
      </c>
      <c r="C1064" t="s">
        <v>132</v>
      </c>
      <c r="D1064" t="s">
        <v>17</v>
      </c>
      <c r="E1064" t="s">
        <v>46</v>
      </c>
      <c r="F1064">
        <v>254600000</v>
      </c>
      <c r="G1064" t="s">
        <v>28</v>
      </c>
      <c r="H1064" t="s">
        <v>81</v>
      </c>
      <c r="I1064" t="s">
        <v>9</v>
      </c>
      <c r="L1064" t="s">
        <v>161</v>
      </c>
      <c r="M1064">
        <v>-254600000</v>
      </c>
    </row>
    <row r="1065" spans="1:13" x14ac:dyDescent="0.3">
      <c r="A1065" s="23">
        <v>45148</v>
      </c>
      <c r="B1065" t="s">
        <v>12</v>
      </c>
      <c r="C1065" t="s">
        <v>132</v>
      </c>
      <c r="D1065" t="s">
        <v>16</v>
      </c>
      <c r="E1065" t="s">
        <v>46</v>
      </c>
      <c r="F1065">
        <v>336942.92</v>
      </c>
      <c r="G1065" t="s">
        <v>28</v>
      </c>
      <c r="H1065" t="s">
        <v>81</v>
      </c>
      <c r="I1065" t="s">
        <v>9</v>
      </c>
      <c r="L1065" t="s">
        <v>161</v>
      </c>
      <c r="M1065">
        <v>336942.92</v>
      </c>
    </row>
    <row r="1066" spans="1:13" x14ac:dyDescent="0.3">
      <c r="A1066" s="23">
        <v>45394</v>
      </c>
      <c r="B1066" t="s">
        <v>12</v>
      </c>
      <c r="C1066" t="s">
        <v>132</v>
      </c>
      <c r="D1066" t="s">
        <v>17</v>
      </c>
      <c r="E1066" t="s">
        <v>46</v>
      </c>
      <c r="F1066">
        <v>100000000</v>
      </c>
      <c r="G1066" t="s">
        <v>28</v>
      </c>
      <c r="H1066" t="s">
        <v>81</v>
      </c>
      <c r="I1066" t="s">
        <v>9</v>
      </c>
      <c r="L1066" t="s">
        <v>161</v>
      </c>
      <c r="M1066">
        <v>-100000000</v>
      </c>
    </row>
    <row r="1067" spans="1:13" x14ac:dyDescent="0.3">
      <c r="A1067" s="23">
        <v>45393</v>
      </c>
      <c r="B1067" t="s">
        <v>12</v>
      </c>
      <c r="C1067" t="s">
        <v>132</v>
      </c>
      <c r="D1067" t="s">
        <v>16</v>
      </c>
      <c r="E1067" t="s">
        <v>46</v>
      </c>
      <c r="F1067">
        <v>200000000</v>
      </c>
      <c r="G1067" t="s">
        <v>28</v>
      </c>
      <c r="H1067" t="s">
        <v>81</v>
      </c>
      <c r="I1067" t="s">
        <v>9</v>
      </c>
      <c r="L1067" t="s">
        <v>161</v>
      </c>
      <c r="M1067">
        <v>200000000</v>
      </c>
    </row>
    <row r="1068" spans="1:13" x14ac:dyDescent="0.3">
      <c r="A1068" s="23">
        <v>45391</v>
      </c>
      <c r="B1068" t="s">
        <v>12</v>
      </c>
      <c r="C1068" t="s">
        <v>132</v>
      </c>
      <c r="D1068" t="s">
        <v>17</v>
      </c>
      <c r="E1068" t="s">
        <v>46</v>
      </c>
      <c r="F1068">
        <v>300000000</v>
      </c>
      <c r="G1068" t="s">
        <v>28</v>
      </c>
      <c r="H1068" t="s">
        <v>81</v>
      </c>
      <c r="I1068" t="s">
        <v>9</v>
      </c>
      <c r="L1068" t="s">
        <v>161</v>
      </c>
      <c r="M1068">
        <v>-300000000</v>
      </c>
    </row>
    <row r="1069" spans="1:13" x14ac:dyDescent="0.3">
      <c r="A1069" s="23">
        <v>45152</v>
      </c>
      <c r="B1069" t="s">
        <v>12</v>
      </c>
      <c r="C1069" t="s">
        <v>132</v>
      </c>
      <c r="D1069" t="s">
        <v>17</v>
      </c>
      <c r="E1069" t="s">
        <v>46</v>
      </c>
      <c r="F1069">
        <v>97336942.920000002</v>
      </c>
      <c r="G1069" t="s">
        <v>28</v>
      </c>
      <c r="H1069" t="s">
        <v>81</v>
      </c>
      <c r="I1069" t="s">
        <v>9</v>
      </c>
      <c r="L1069" t="s">
        <v>161</v>
      </c>
      <c r="M1069">
        <v>-97336942.920000002</v>
      </c>
    </row>
    <row r="1070" spans="1:13" x14ac:dyDescent="0.3">
      <c r="A1070" s="23">
        <v>45387</v>
      </c>
      <c r="B1070" t="s">
        <v>12</v>
      </c>
      <c r="C1070" t="s">
        <v>132</v>
      </c>
      <c r="D1070" t="s">
        <v>17</v>
      </c>
      <c r="E1070" t="s">
        <v>46</v>
      </c>
      <c r="F1070">
        <v>1000000000</v>
      </c>
      <c r="G1070" t="s">
        <v>28</v>
      </c>
      <c r="H1070" t="s">
        <v>81</v>
      </c>
      <c r="I1070" t="s">
        <v>9</v>
      </c>
      <c r="L1070" t="s">
        <v>161</v>
      </c>
      <c r="M1070">
        <v>-1000000000</v>
      </c>
    </row>
    <row r="1071" spans="1:13" x14ac:dyDescent="0.3">
      <c r="A1071" s="23">
        <v>45386</v>
      </c>
      <c r="B1071" t="s">
        <v>12</v>
      </c>
      <c r="C1071" t="s">
        <v>132</v>
      </c>
      <c r="D1071" t="s">
        <v>16</v>
      </c>
      <c r="E1071" t="s">
        <v>46</v>
      </c>
      <c r="F1071">
        <v>1000000000</v>
      </c>
      <c r="G1071" t="s">
        <v>28</v>
      </c>
      <c r="H1071" t="s">
        <v>81</v>
      </c>
      <c r="I1071" t="s">
        <v>9</v>
      </c>
      <c r="L1071" t="s">
        <v>161</v>
      </c>
      <c r="M1071">
        <v>1000000000</v>
      </c>
    </row>
    <row r="1072" spans="1:13" x14ac:dyDescent="0.3">
      <c r="A1072" s="23">
        <v>45385</v>
      </c>
      <c r="B1072" t="s">
        <v>12</v>
      </c>
      <c r="C1072" t="s">
        <v>132</v>
      </c>
      <c r="D1072" t="s">
        <v>17</v>
      </c>
      <c r="E1072" t="s">
        <v>46</v>
      </c>
      <c r="F1072">
        <v>815000000</v>
      </c>
      <c r="G1072" t="s">
        <v>28</v>
      </c>
      <c r="H1072" t="s">
        <v>81</v>
      </c>
      <c r="I1072" t="s">
        <v>9</v>
      </c>
      <c r="L1072" t="s">
        <v>161</v>
      </c>
      <c r="M1072">
        <v>-815000000</v>
      </c>
    </row>
    <row r="1073" spans="1:13" x14ac:dyDescent="0.3">
      <c r="A1073" s="23">
        <v>45385</v>
      </c>
      <c r="B1073" t="s">
        <v>12</v>
      </c>
      <c r="C1073" t="s">
        <v>132</v>
      </c>
      <c r="D1073" t="s">
        <v>17</v>
      </c>
      <c r="E1073" t="s">
        <v>46</v>
      </c>
      <c r="F1073">
        <v>465900000</v>
      </c>
      <c r="G1073" t="s">
        <v>28</v>
      </c>
      <c r="H1073" t="s">
        <v>81</v>
      </c>
      <c r="I1073" t="s">
        <v>9</v>
      </c>
      <c r="L1073" t="s">
        <v>161</v>
      </c>
      <c r="M1073">
        <v>-465900000</v>
      </c>
    </row>
    <row r="1074" spans="1:13" x14ac:dyDescent="0.3">
      <c r="A1074" s="23">
        <v>45383</v>
      </c>
      <c r="B1074" t="s">
        <v>12</v>
      </c>
      <c r="C1074" t="s">
        <v>132</v>
      </c>
      <c r="D1074" t="s">
        <v>16</v>
      </c>
      <c r="E1074" t="s">
        <v>46</v>
      </c>
      <c r="F1074">
        <v>3340000</v>
      </c>
      <c r="G1074" t="s">
        <v>28</v>
      </c>
      <c r="H1074" t="s">
        <v>81</v>
      </c>
      <c r="I1074" t="s">
        <v>9</v>
      </c>
      <c r="L1074" t="s">
        <v>161</v>
      </c>
      <c r="M1074">
        <v>3340000</v>
      </c>
    </row>
    <row r="1075" spans="1:13" x14ac:dyDescent="0.3">
      <c r="A1075" s="23">
        <v>45378</v>
      </c>
      <c r="B1075" t="s">
        <v>12</v>
      </c>
      <c r="C1075" t="s">
        <v>132</v>
      </c>
      <c r="D1075" t="s">
        <v>16</v>
      </c>
      <c r="E1075" t="s">
        <v>46</v>
      </c>
      <c r="F1075">
        <v>2958100000</v>
      </c>
      <c r="G1075" t="s">
        <v>28</v>
      </c>
      <c r="H1075" t="s">
        <v>81</v>
      </c>
      <c r="I1075" t="s">
        <v>9</v>
      </c>
      <c r="L1075" t="s">
        <v>161</v>
      </c>
      <c r="M1075">
        <v>2958100000</v>
      </c>
    </row>
    <row r="1076" spans="1:13" x14ac:dyDescent="0.3">
      <c r="A1076" s="23">
        <v>45376</v>
      </c>
      <c r="B1076" t="s">
        <v>12</v>
      </c>
      <c r="C1076" t="s">
        <v>132</v>
      </c>
      <c r="D1076" t="s">
        <v>17</v>
      </c>
      <c r="E1076" t="s">
        <v>46</v>
      </c>
      <c r="F1076">
        <v>100000000</v>
      </c>
      <c r="G1076" t="s">
        <v>28</v>
      </c>
      <c r="H1076" t="s">
        <v>81</v>
      </c>
      <c r="I1076" t="s">
        <v>9</v>
      </c>
      <c r="L1076" t="s">
        <v>161</v>
      </c>
      <c r="M1076">
        <v>-100000000</v>
      </c>
    </row>
    <row r="1077" spans="1:13" x14ac:dyDescent="0.3">
      <c r="A1077" s="23">
        <v>45373</v>
      </c>
      <c r="B1077" t="s">
        <v>12</v>
      </c>
      <c r="C1077" t="s">
        <v>132</v>
      </c>
      <c r="D1077" t="s">
        <v>16</v>
      </c>
      <c r="E1077" t="s">
        <v>46</v>
      </c>
      <c r="F1077">
        <v>9400000</v>
      </c>
      <c r="G1077" t="s">
        <v>28</v>
      </c>
      <c r="H1077" t="s">
        <v>81</v>
      </c>
      <c r="I1077" t="s">
        <v>9</v>
      </c>
      <c r="L1077" t="s">
        <v>161</v>
      </c>
      <c r="M1077">
        <v>9400000</v>
      </c>
    </row>
    <row r="1078" spans="1:13" x14ac:dyDescent="0.3">
      <c r="A1078" s="23">
        <v>45373</v>
      </c>
      <c r="B1078" t="s">
        <v>12</v>
      </c>
      <c r="C1078" t="s">
        <v>132</v>
      </c>
      <c r="D1078" t="s">
        <v>16</v>
      </c>
      <c r="E1078" t="s">
        <v>46</v>
      </c>
      <c r="F1078">
        <v>41576071</v>
      </c>
      <c r="G1078" t="s">
        <v>28</v>
      </c>
      <c r="H1078" t="s">
        <v>81</v>
      </c>
      <c r="I1078" t="s">
        <v>9</v>
      </c>
      <c r="L1078" t="s">
        <v>161</v>
      </c>
      <c r="M1078">
        <v>41576071</v>
      </c>
    </row>
    <row r="1079" spans="1:13" x14ac:dyDescent="0.3">
      <c r="A1079" s="23">
        <v>45372</v>
      </c>
      <c r="B1079" t="s">
        <v>12</v>
      </c>
      <c r="C1079" t="s">
        <v>132</v>
      </c>
      <c r="D1079" t="s">
        <v>16</v>
      </c>
      <c r="E1079" t="s">
        <v>46</v>
      </c>
      <c r="F1079">
        <v>207200000</v>
      </c>
      <c r="G1079" t="s">
        <v>28</v>
      </c>
      <c r="H1079" t="s">
        <v>81</v>
      </c>
      <c r="I1079" t="s">
        <v>9</v>
      </c>
      <c r="L1079" t="s">
        <v>161</v>
      </c>
      <c r="M1079">
        <v>207200000</v>
      </c>
    </row>
    <row r="1080" spans="1:13" x14ac:dyDescent="0.3">
      <c r="A1080" s="23">
        <v>45371</v>
      </c>
      <c r="B1080" t="s">
        <v>12</v>
      </c>
      <c r="C1080" t="s">
        <v>132</v>
      </c>
      <c r="D1080" t="s">
        <v>17</v>
      </c>
      <c r="E1080" t="s">
        <v>46</v>
      </c>
      <c r="F1080">
        <v>55400000</v>
      </c>
      <c r="G1080" t="s">
        <v>28</v>
      </c>
      <c r="H1080" t="s">
        <v>81</v>
      </c>
      <c r="I1080" t="s">
        <v>9</v>
      </c>
      <c r="L1080" t="s">
        <v>161</v>
      </c>
      <c r="M1080">
        <v>-55400000</v>
      </c>
    </row>
    <row r="1081" spans="1:13" x14ac:dyDescent="0.3">
      <c r="A1081" s="23">
        <v>45370</v>
      </c>
      <c r="B1081" t="s">
        <v>12</v>
      </c>
      <c r="C1081" t="s">
        <v>132</v>
      </c>
      <c r="D1081" t="s">
        <v>17</v>
      </c>
      <c r="E1081" t="s">
        <v>46</v>
      </c>
      <c r="F1081">
        <v>50000000</v>
      </c>
      <c r="G1081" t="s">
        <v>28</v>
      </c>
      <c r="H1081" t="s">
        <v>81</v>
      </c>
      <c r="I1081" t="s">
        <v>9</v>
      </c>
      <c r="L1081" t="s">
        <v>161</v>
      </c>
      <c r="M1081">
        <v>-50000000</v>
      </c>
    </row>
    <row r="1082" spans="1:13" x14ac:dyDescent="0.3">
      <c r="A1082" s="23">
        <v>45369</v>
      </c>
      <c r="B1082" t="s">
        <v>12</v>
      </c>
      <c r="C1082" t="s">
        <v>132</v>
      </c>
      <c r="D1082" t="s">
        <v>17</v>
      </c>
      <c r="E1082" t="s">
        <v>46</v>
      </c>
      <c r="F1082">
        <v>53100000</v>
      </c>
      <c r="G1082" t="s">
        <v>28</v>
      </c>
      <c r="H1082" t="s">
        <v>81</v>
      </c>
      <c r="I1082" t="s">
        <v>9</v>
      </c>
      <c r="L1082" t="s">
        <v>161</v>
      </c>
      <c r="M1082">
        <v>-53100000</v>
      </c>
    </row>
    <row r="1083" spans="1:13" x14ac:dyDescent="0.3">
      <c r="A1083" s="23">
        <v>45162</v>
      </c>
      <c r="B1083" t="s">
        <v>12</v>
      </c>
      <c r="C1083" t="s">
        <v>132</v>
      </c>
      <c r="D1083" t="s">
        <v>16</v>
      </c>
      <c r="E1083" t="s">
        <v>46</v>
      </c>
      <c r="F1083">
        <v>456200000</v>
      </c>
      <c r="G1083" t="s">
        <v>28</v>
      </c>
      <c r="H1083" t="s">
        <v>81</v>
      </c>
      <c r="I1083" t="s">
        <v>9</v>
      </c>
      <c r="L1083" t="s">
        <v>161</v>
      </c>
      <c r="M1083">
        <v>456200000</v>
      </c>
    </row>
    <row r="1084" spans="1:13" x14ac:dyDescent="0.3">
      <c r="A1084" s="23">
        <v>45366</v>
      </c>
      <c r="B1084" t="s">
        <v>12</v>
      </c>
      <c r="C1084" t="s">
        <v>132</v>
      </c>
      <c r="D1084" t="s">
        <v>16</v>
      </c>
      <c r="E1084" t="s">
        <v>46</v>
      </c>
      <c r="F1084">
        <v>41500000</v>
      </c>
      <c r="G1084" t="s">
        <v>28</v>
      </c>
      <c r="H1084" t="s">
        <v>81</v>
      </c>
      <c r="I1084" t="s">
        <v>9</v>
      </c>
      <c r="L1084" t="s">
        <v>161</v>
      </c>
      <c r="M1084">
        <v>41500000</v>
      </c>
    </row>
    <row r="1085" spans="1:13" x14ac:dyDescent="0.3">
      <c r="A1085" s="23">
        <v>45364</v>
      </c>
      <c r="B1085" t="s">
        <v>12</v>
      </c>
      <c r="C1085" t="s">
        <v>132</v>
      </c>
      <c r="D1085" t="s">
        <v>17</v>
      </c>
      <c r="E1085" t="s">
        <v>46</v>
      </c>
      <c r="F1085">
        <v>35800000</v>
      </c>
      <c r="G1085" t="s">
        <v>28</v>
      </c>
      <c r="H1085" t="s">
        <v>81</v>
      </c>
      <c r="I1085" t="s">
        <v>9</v>
      </c>
      <c r="L1085" t="s">
        <v>161</v>
      </c>
      <c r="M1085">
        <v>-35800000</v>
      </c>
    </row>
    <row r="1086" spans="1:13" x14ac:dyDescent="0.3">
      <c r="A1086" s="23">
        <v>45362</v>
      </c>
      <c r="B1086" t="s">
        <v>12</v>
      </c>
      <c r="C1086" t="s">
        <v>132</v>
      </c>
      <c r="D1086" t="s">
        <v>17</v>
      </c>
      <c r="E1086" t="s">
        <v>46</v>
      </c>
      <c r="F1086">
        <v>200000000</v>
      </c>
      <c r="G1086" t="s">
        <v>28</v>
      </c>
      <c r="H1086" t="s">
        <v>81</v>
      </c>
      <c r="I1086" t="s">
        <v>9</v>
      </c>
      <c r="L1086" t="s">
        <v>161</v>
      </c>
      <c r="M1086">
        <v>-200000000</v>
      </c>
    </row>
    <row r="1087" spans="1:13" x14ac:dyDescent="0.3">
      <c r="A1087" s="23">
        <v>45167</v>
      </c>
      <c r="B1087" t="s">
        <v>12</v>
      </c>
      <c r="C1087" t="s">
        <v>132</v>
      </c>
      <c r="D1087" t="s">
        <v>17</v>
      </c>
      <c r="E1087" t="s">
        <v>46</v>
      </c>
      <c r="F1087">
        <v>129200000</v>
      </c>
      <c r="G1087" t="s">
        <v>28</v>
      </c>
      <c r="H1087" t="s">
        <v>81</v>
      </c>
      <c r="I1087" t="s">
        <v>9</v>
      </c>
      <c r="L1087" t="s">
        <v>161</v>
      </c>
      <c r="M1087">
        <v>-129200000</v>
      </c>
    </row>
    <row r="1088" spans="1:13" x14ac:dyDescent="0.3">
      <c r="A1088" s="23">
        <v>45170</v>
      </c>
      <c r="B1088" t="s">
        <v>12</v>
      </c>
      <c r="C1088" t="s">
        <v>132</v>
      </c>
      <c r="D1088" t="s">
        <v>16</v>
      </c>
      <c r="E1088" t="s">
        <v>46</v>
      </c>
      <c r="F1088">
        <v>7423241.7599999998</v>
      </c>
      <c r="G1088" t="s">
        <v>28</v>
      </c>
      <c r="H1088" t="s">
        <v>81</v>
      </c>
      <c r="I1088" t="s">
        <v>9</v>
      </c>
      <c r="L1088" t="s">
        <v>161</v>
      </c>
      <c r="M1088">
        <v>7423241.7599999998</v>
      </c>
    </row>
    <row r="1089" spans="1:13" x14ac:dyDescent="0.3">
      <c r="A1089" s="23">
        <v>45355</v>
      </c>
      <c r="B1089" t="s">
        <v>12</v>
      </c>
      <c r="C1089" t="s">
        <v>132</v>
      </c>
      <c r="D1089" t="s">
        <v>17</v>
      </c>
      <c r="E1089" t="s">
        <v>46</v>
      </c>
      <c r="F1089">
        <v>209100000</v>
      </c>
      <c r="G1089" t="s">
        <v>28</v>
      </c>
      <c r="H1089" t="s">
        <v>81</v>
      </c>
      <c r="I1089" t="s">
        <v>9</v>
      </c>
      <c r="L1089" t="s">
        <v>161</v>
      </c>
      <c r="M1089">
        <v>-209100000</v>
      </c>
    </row>
    <row r="1090" spans="1:13" x14ac:dyDescent="0.3">
      <c r="A1090" s="23">
        <v>45349</v>
      </c>
      <c r="B1090" t="s">
        <v>12</v>
      </c>
      <c r="C1090" t="s">
        <v>132</v>
      </c>
      <c r="D1090" t="s">
        <v>17</v>
      </c>
      <c r="E1090" t="s">
        <v>46</v>
      </c>
      <c r="F1090">
        <v>500000000</v>
      </c>
      <c r="G1090" t="s">
        <v>28</v>
      </c>
      <c r="H1090" t="s">
        <v>81</v>
      </c>
      <c r="I1090" t="s">
        <v>9</v>
      </c>
      <c r="L1090" t="s">
        <v>161</v>
      </c>
      <c r="M1090">
        <v>-500000000</v>
      </c>
    </row>
    <row r="1091" spans="1:13" x14ac:dyDescent="0.3">
      <c r="A1091" s="23">
        <v>45170</v>
      </c>
      <c r="B1091" t="s">
        <v>12</v>
      </c>
      <c r="C1091" t="s">
        <v>132</v>
      </c>
      <c r="D1091" t="s">
        <v>17</v>
      </c>
      <c r="E1091" t="s">
        <v>46</v>
      </c>
      <c r="F1091">
        <v>37000000</v>
      </c>
      <c r="G1091" t="s">
        <v>28</v>
      </c>
      <c r="H1091" t="s">
        <v>81</v>
      </c>
      <c r="I1091" t="s">
        <v>9</v>
      </c>
      <c r="L1091" t="s">
        <v>161</v>
      </c>
      <c r="M1091">
        <v>-37000000</v>
      </c>
    </row>
    <row r="1092" spans="1:13" x14ac:dyDescent="0.3">
      <c r="A1092" s="23">
        <v>45348</v>
      </c>
      <c r="B1092" t="s">
        <v>12</v>
      </c>
      <c r="C1092" t="s">
        <v>132</v>
      </c>
      <c r="D1092" t="s">
        <v>17</v>
      </c>
      <c r="E1092" t="s">
        <v>46</v>
      </c>
      <c r="F1092">
        <v>161700000</v>
      </c>
      <c r="G1092" t="s">
        <v>28</v>
      </c>
      <c r="H1092" t="s">
        <v>81</v>
      </c>
      <c r="I1092" t="s">
        <v>9</v>
      </c>
      <c r="L1092" t="s">
        <v>161</v>
      </c>
      <c r="M1092">
        <v>-161700000</v>
      </c>
    </row>
    <row r="1093" spans="1:13" x14ac:dyDescent="0.3">
      <c r="A1093" s="23">
        <v>45345</v>
      </c>
      <c r="B1093" t="s">
        <v>12</v>
      </c>
      <c r="C1093" t="s">
        <v>132</v>
      </c>
      <c r="D1093" t="s">
        <v>17</v>
      </c>
      <c r="E1093" t="s">
        <v>46</v>
      </c>
      <c r="F1093">
        <v>1900000</v>
      </c>
      <c r="G1093" t="s">
        <v>28</v>
      </c>
      <c r="H1093" t="s">
        <v>81</v>
      </c>
      <c r="I1093" t="s">
        <v>9</v>
      </c>
      <c r="L1093" t="s">
        <v>161</v>
      </c>
      <c r="M1093">
        <v>-1900000</v>
      </c>
    </row>
    <row r="1094" spans="1:13" x14ac:dyDescent="0.3">
      <c r="A1094" s="23">
        <v>45344</v>
      </c>
      <c r="B1094" t="s">
        <v>12</v>
      </c>
      <c r="C1094" t="s">
        <v>132</v>
      </c>
      <c r="D1094" t="s">
        <v>17</v>
      </c>
      <c r="E1094" t="s">
        <v>46</v>
      </c>
      <c r="F1094">
        <v>13100000</v>
      </c>
      <c r="G1094" t="s">
        <v>28</v>
      </c>
      <c r="H1094" t="s">
        <v>81</v>
      </c>
      <c r="I1094" t="s">
        <v>9</v>
      </c>
      <c r="L1094" t="s">
        <v>161</v>
      </c>
      <c r="M1094">
        <v>-13100000</v>
      </c>
    </row>
    <row r="1095" spans="1:13" x14ac:dyDescent="0.3">
      <c r="A1095" s="23">
        <v>45343</v>
      </c>
      <c r="B1095" t="s">
        <v>12</v>
      </c>
      <c r="C1095" t="s">
        <v>132</v>
      </c>
      <c r="D1095" t="s">
        <v>17</v>
      </c>
      <c r="E1095" t="s">
        <v>46</v>
      </c>
      <c r="F1095">
        <v>33100000</v>
      </c>
      <c r="G1095" t="s">
        <v>28</v>
      </c>
      <c r="H1095" t="s">
        <v>81</v>
      </c>
      <c r="I1095" t="s">
        <v>9</v>
      </c>
      <c r="L1095" t="s">
        <v>161</v>
      </c>
      <c r="M1095">
        <v>-33100000</v>
      </c>
    </row>
    <row r="1096" spans="1:13" x14ac:dyDescent="0.3">
      <c r="A1096" s="23">
        <v>45174</v>
      </c>
      <c r="B1096" t="s">
        <v>12</v>
      </c>
      <c r="C1096" t="s">
        <v>132</v>
      </c>
      <c r="D1096" t="s">
        <v>17</v>
      </c>
      <c r="E1096" t="s">
        <v>46</v>
      </c>
      <c r="F1096">
        <v>129000000</v>
      </c>
      <c r="G1096" t="s">
        <v>28</v>
      </c>
      <c r="H1096" t="s">
        <v>81</v>
      </c>
      <c r="I1096" t="s">
        <v>9</v>
      </c>
      <c r="L1096" t="s">
        <v>161</v>
      </c>
      <c r="M1096">
        <v>-129000000</v>
      </c>
    </row>
    <row r="1097" spans="1:13" x14ac:dyDescent="0.3">
      <c r="A1097" s="23">
        <v>45343</v>
      </c>
      <c r="B1097" t="s">
        <v>12</v>
      </c>
      <c r="C1097" t="s">
        <v>132</v>
      </c>
      <c r="D1097" t="s">
        <v>16</v>
      </c>
      <c r="E1097" t="s">
        <v>46</v>
      </c>
      <c r="F1097">
        <v>54100000</v>
      </c>
      <c r="G1097" t="s">
        <v>28</v>
      </c>
      <c r="H1097" t="s">
        <v>81</v>
      </c>
      <c r="I1097" t="s">
        <v>9</v>
      </c>
      <c r="L1097" t="s">
        <v>161</v>
      </c>
      <c r="M1097">
        <v>54100000</v>
      </c>
    </row>
    <row r="1098" spans="1:13" x14ac:dyDescent="0.3">
      <c r="A1098" s="23">
        <v>45176</v>
      </c>
      <c r="B1098" t="s">
        <v>12</v>
      </c>
      <c r="C1098" t="s">
        <v>132</v>
      </c>
      <c r="D1098" t="s">
        <v>17</v>
      </c>
      <c r="E1098" t="s">
        <v>46</v>
      </c>
      <c r="F1098">
        <v>117800000</v>
      </c>
      <c r="G1098" t="s">
        <v>28</v>
      </c>
      <c r="H1098" t="s">
        <v>81</v>
      </c>
      <c r="I1098" t="s">
        <v>9</v>
      </c>
      <c r="L1098" t="s">
        <v>161</v>
      </c>
      <c r="M1098">
        <v>-117800000</v>
      </c>
    </row>
    <row r="1099" spans="1:13" x14ac:dyDescent="0.3">
      <c r="A1099" s="23">
        <v>45342</v>
      </c>
      <c r="B1099" t="s">
        <v>12</v>
      </c>
      <c r="C1099" t="s">
        <v>132</v>
      </c>
      <c r="D1099" t="s">
        <v>16</v>
      </c>
      <c r="E1099" t="s">
        <v>46</v>
      </c>
      <c r="F1099">
        <v>970300000</v>
      </c>
      <c r="G1099" t="s">
        <v>28</v>
      </c>
      <c r="H1099" t="s">
        <v>81</v>
      </c>
      <c r="I1099" t="s">
        <v>9</v>
      </c>
      <c r="L1099" t="s">
        <v>161</v>
      </c>
      <c r="M1099">
        <v>970300000</v>
      </c>
    </row>
    <row r="1100" spans="1:13" x14ac:dyDescent="0.3">
      <c r="A1100" s="23">
        <v>45341</v>
      </c>
      <c r="B1100" t="s">
        <v>12</v>
      </c>
      <c r="C1100" t="s">
        <v>132</v>
      </c>
      <c r="D1100" t="s">
        <v>17</v>
      </c>
      <c r="E1100" t="s">
        <v>46</v>
      </c>
      <c r="F1100">
        <v>66300000</v>
      </c>
      <c r="G1100" t="s">
        <v>28</v>
      </c>
      <c r="H1100" t="s">
        <v>81</v>
      </c>
      <c r="I1100" t="s">
        <v>9</v>
      </c>
      <c r="L1100" t="s">
        <v>161</v>
      </c>
      <c r="M1100">
        <v>-66300000</v>
      </c>
    </row>
    <row r="1101" spans="1:13" x14ac:dyDescent="0.3">
      <c r="A1101" s="23">
        <v>45338</v>
      </c>
      <c r="B1101" t="s">
        <v>12</v>
      </c>
      <c r="C1101" t="s">
        <v>132</v>
      </c>
      <c r="D1101" t="s">
        <v>17</v>
      </c>
      <c r="E1101" t="s">
        <v>46</v>
      </c>
      <c r="F1101">
        <v>1800000</v>
      </c>
      <c r="G1101" t="s">
        <v>28</v>
      </c>
      <c r="H1101" t="s">
        <v>81</v>
      </c>
      <c r="I1101" t="s">
        <v>9</v>
      </c>
      <c r="L1101" t="s">
        <v>161</v>
      </c>
      <c r="M1101">
        <v>-1800000</v>
      </c>
    </row>
    <row r="1102" spans="1:13" x14ac:dyDescent="0.3">
      <c r="A1102" s="23">
        <v>45336</v>
      </c>
      <c r="B1102" t="s">
        <v>12</v>
      </c>
      <c r="C1102" t="s">
        <v>132</v>
      </c>
      <c r="D1102" t="s">
        <v>17</v>
      </c>
      <c r="E1102" t="s">
        <v>46</v>
      </c>
      <c r="F1102">
        <v>81500000</v>
      </c>
      <c r="G1102" t="s">
        <v>28</v>
      </c>
      <c r="H1102" t="s">
        <v>81</v>
      </c>
      <c r="I1102" t="s">
        <v>9</v>
      </c>
      <c r="L1102" t="s">
        <v>161</v>
      </c>
      <c r="M1102">
        <v>-81500000</v>
      </c>
    </row>
    <row r="1103" spans="1:13" x14ac:dyDescent="0.3">
      <c r="A1103" s="23">
        <v>45331</v>
      </c>
      <c r="B1103" t="s">
        <v>12</v>
      </c>
      <c r="C1103" t="s">
        <v>132</v>
      </c>
      <c r="D1103" t="s">
        <v>17</v>
      </c>
      <c r="E1103" t="s">
        <v>46</v>
      </c>
      <c r="F1103">
        <v>334200000</v>
      </c>
      <c r="G1103" t="s">
        <v>28</v>
      </c>
      <c r="H1103" t="s">
        <v>81</v>
      </c>
      <c r="I1103" t="s">
        <v>9</v>
      </c>
      <c r="L1103" t="s">
        <v>161</v>
      </c>
      <c r="M1103">
        <v>-334200000</v>
      </c>
    </row>
    <row r="1104" spans="1:13" x14ac:dyDescent="0.3">
      <c r="A1104" s="23">
        <v>45328</v>
      </c>
      <c r="B1104" t="s">
        <v>12</v>
      </c>
      <c r="C1104" t="s">
        <v>132</v>
      </c>
      <c r="D1104" t="s">
        <v>16</v>
      </c>
      <c r="E1104" t="s">
        <v>46</v>
      </c>
      <c r="F1104">
        <v>600000000</v>
      </c>
      <c r="G1104" t="s">
        <v>28</v>
      </c>
      <c r="H1104" t="s">
        <v>81</v>
      </c>
      <c r="I1104" t="s">
        <v>9</v>
      </c>
      <c r="L1104" t="s">
        <v>161</v>
      </c>
      <c r="M1104">
        <v>600000000</v>
      </c>
    </row>
    <row r="1105" spans="1:13" x14ac:dyDescent="0.3">
      <c r="A1105" s="23">
        <v>45327</v>
      </c>
      <c r="B1105" t="s">
        <v>12</v>
      </c>
      <c r="C1105" t="s">
        <v>132</v>
      </c>
      <c r="D1105" t="s">
        <v>17</v>
      </c>
      <c r="E1105" t="s">
        <v>46</v>
      </c>
      <c r="F1105">
        <v>235100000</v>
      </c>
      <c r="G1105" t="s">
        <v>28</v>
      </c>
      <c r="H1105" t="s">
        <v>81</v>
      </c>
      <c r="I1105" t="s">
        <v>9</v>
      </c>
      <c r="L1105" t="s">
        <v>161</v>
      </c>
      <c r="M1105">
        <v>-235100000</v>
      </c>
    </row>
    <row r="1106" spans="1:13" x14ac:dyDescent="0.3">
      <c r="A1106" s="23">
        <v>45184</v>
      </c>
      <c r="B1106" t="s">
        <v>12</v>
      </c>
      <c r="C1106" t="s">
        <v>132</v>
      </c>
      <c r="D1106" t="s">
        <v>16</v>
      </c>
      <c r="E1106" t="s">
        <v>46</v>
      </c>
      <c r="F1106">
        <v>6049508.9400000004</v>
      </c>
      <c r="G1106" t="s">
        <v>28</v>
      </c>
      <c r="H1106" t="s">
        <v>81</v>
      </c>
      <c r="I1106" t="s">
        <v>9</v>
      </c>
      <c r="L1106" t="s">
        <v>161</v>
      </c>
      <c r="M1106">
        <v>6049508.9400000004</v>
      </c>
    </row>
    <row r="1107" spans="1:13" x14ac:dyDescent="0.3">
      <c r="A1107" s="23">
        <v>45322</v>
      </c>
      <c r="B1107" t="s">
        <v>12</v>
      </c>
      <c r="C1107" t="s">
        <v>132</v>
      </c>
      <c r="D1107" t="s">
        <v>17</v>
      </c>
      <c r="E1107" t="s">
        <v>46</v>
      </c>
      <c r="F1107">
        <v>357800000</v>
      </c>
      <c r="G1107" t="s">
        <v>28</v>
      </c>
      <c r="H1107" t="s">
        <v>81</v>
      </c>
      <c r="I1107" t="s">
        <v>9</v>
      </c>
      <c r="L1107" t="s">
        <v>161</v>
      </c>
      <c r="M1107">
        <v>-357800000</v>
      </c>
    </row>
    <row r="1108" spans="1:13" x14ac:dyDescent="0.3">
      <c r="A1108" s="23">
        <v>45320</v>
      </c>
      <c r="B1108" t="s">
        <v>12</v>
      </c>
      <c r="C1108" t="s">
        <v>132</v>
      </c>
      <c r="D1108" t="s">
        <v>17</v>
      </c>
      <c r="E1108" t="s">
        <v>46</v>
      </c>
      <c r="F1108">
        <v>2086800000</v>
      </c>
      <c r="G1108" t="s">
        <v>28</v>
      </c>
      <c r="H1108" t="s">
        <v>81</v>
      </c>
      <c r="I1108" t="s">
        <v>9</v>
      </c>
      <c r="L1108" t="s">
        <v>161</v>
      </c>
      <c r="M1108">
        <v>-2086800000</v>
      </c>
    </row>
    <row r="1109" spans="1:13" x14ac:dyDescent="0.3">
      <c r="A1109" s="23">
        <v>45317</v>
      </c>
      <c r="B1109" t="s">
        <v>12</v>
      </c>
      <c r="C1109" t="s">
        <v>132</v>
      </c>
      <c r="D1109" t="s">
        <v>17</v>
      </c>
      <c r="E1109" t="s">
        <v>46</v>
      </c>
      <c r="F1109">
        <v>218900000</v>
      </c>
      <c r="G1109" t="s">
        <v>28</v>
      </c>
      <c r="H1109" t="s">
        <v>81</v>
      </c>
      <c r="I1109" t="s">
        <v>9</v>
      </c>
      <c r="L1109" t="s">
        <v>161</v>
      </c>
      <c r="M1109">
        <v>-218900000</v>
      </c>
    </row>
    <row r="1110" spans="1:13" x14ac:dyDescent="0.3">
      <c r="A1110" s="23">
        <v>45187</v>
      </c>
      <c r="B1110" t="s">
        <v>12</v>
      </c>
      <c r="C1110" t="s">
        <v>132</v>
      </c>
      <c r="D1110" t="s">
        <v>17</v>
      </c>
      <c r="E1110" t="s">
        <v>46</v>
      </c>
      <c r="F1110">
        <v>37800000</v>
      </c>
      <c r="G1110" t="s">
        <v>28</v>
      </c>
      <c r="H1110" t="s">
        <v>81</v>
      </c>
      <c r="I1110" t="s">
        <v>9</v>
      </c>
      <c r="L1110" t="s">
        <v>161</v>
      </c>
      <c r="M1110">
        <v>-37800000</v>
      </c>
    </row>
    <row r="1111" spans="1:13" x14ac:dyDescent="0.3">
      <c r="A1111" s="23">
        <v>45317</v>
      </c>
      <c r="B1111" t="s">
        <v>12</v>
      </c>
      <c r="C1111" t="s">
        <v>132</v>
      </c>
      <c r="D1111" t="s">
        <v>16</v>
      </c>
      <c r="E1111" t="s">
        <v>46</v>
      </c>
      <c r="F1111">
        <v>50500000</v>
      </c>
      <c r="G1111" t="s">
        <v>28</v>
      </c>
      <c r="H1111" t="s">
        <v>81</v>
      </c>
      <c r="I1111" t="s">
        <v>9</v>
      </c>
      <c r="L1111" t="s">
        <v>161</v>
      </c>
      <c r="M1111">
        <v>50500000</v>
      </c>
    </row>
    <row r="1112" spans="1:13" x14ac:dyDescent="0.3">
      <c r="A1112" s="23">
        <v>45316</v>
      </c>
      <c r="B1112" t="s">
        <v>12</v>
      </c>
      <c r="C1112" t="s">
        <v>132</v>
      </c>
      <c r="D1112" t="s">
        <v>17</v>
      </c>
      <c r="E1112" t="s">
        <v>46</v>
      </c>
      <c r="F1112">
        <v>132900000</v>
      </c>
      <c r="G1112" t="s">
        <v>28</v>
      </c>
      <c r="H1112" t="s">
        <v>81</v>
      </c>
      <c r="I1112" t="s">
        <v>9</v>
      </c>
      <c r="L1112" t="s">
        <v>161</v>
      </c>
      <c r="M1112">
        <v>-132900000</v>
      </c>
    </row>
    <row r="1113" spans="1:13" x14ac:dyDescent="0.3">
      <c r="A1113" s="23">
        <v>45315</v>
      </c>
      <c r="B1113" t="s">
        <v>12</v>
      </c>
      <c r="C1113" t="s">
        <v>132</v>
      </c>
      <c r="D1113" t="s">
        <v>17</v>
      </c>
      <c r="E1113" t="s">
        <v>46</v>
      </c>
      <c r="F1113">
        <v>59500000</v>
      </c>
      <c r="G1113" t="s">
        <v>28</v>
      </c>
      <c r="H1113" t="s">
        <v>81</v>
      </c>
      <c r="I1113" t="s">
        <v>9</v>
      </c>
      <c r="L1113" t="s">
        <v>161</v>
      </c>
      <c r="M1113">
        <v>-59500000</v>
      </c>
    </row>
    <row r="1114" spans="1:13" x14ac:dyDescent="0.3">
      <c r="A1114" s="23">
        <v>45314</v>
      </c>
      <c r="B1114" t="s">
        <v>12</v>
      </c>
      <c r="C1114" t="s">
        <v>132</v>
      </c>
      <c r="D1114" t="s">
        <v>17</v>
      </c>
      <c r="E1114" t="s">
        <v>46</v>
      </c>
      <c r="F1114">
        <v>1094800000</v>
      </c>
      <c r="G1114" t="s">
        <v>28</v>
      </c>
      <c r="H1114" t="s">
        <v>81</v>
      </c>
      <c r="I1114" t="s">
        <v>9</v>
      </c>
      <c r="L1114" t="s">
        <v>161</v>
      </c>
      <c r="M1114">
        <v>-1094800000</v>
      </c>
    </row>
    <row r="1115" spans="1:13" x14ac:dyDescent="0.3">
      <c r="A1115" s="23">
        <v>45313</v>
      </c>
      <c r="B1115" t="s">
        <v>12</v>
      </c>
      <c r="C1115" t="s">
        <v>132</v>
      </c>
      <c r="D1115" t="s">
        <v>16</v>
      </c>
      <c r="E1115" t="s">
        <v>46</v>
      </c>
      <c r="F1115">
        <v>3026700000</v>
      </c>
      <c r="G1115" t="s">
        <v>28</v>
      </c>
      <c r="H1115" t="s">
        <v>81</v>
      </c>
      <c r="I1115" t="s">
        <v>9</v>
      </c>
      <c r="L1115" t="s">
        <v>161</v>
      </c>
      <c r="M1115">
        <v>3026700000</v>
      </c>
    </row>
    <row r="1116" spans="1:13" x14ac:dyDescent="0.3">
      <c r="A1116" s="23">
        <v>45309</v>
      </c>
      <c r="B1116" t="s">
        <v>12</v>
      </c>
      <c r="C1116" t="s">
        <v>132</v>
      </c>
      <c r="D1116" t="s">
        <v>17</v>
      </c>
      <c r="E1116" t="s">
        <v>46</v>
      </c>
      <c r="F1116">
        <v>164600000</v>
      </c>
      <c r="G1116" t="s">
        <v>28</v>
      </c>
      <c r="H1116" t="s">
        <v>81</v>
      </c>
      <c r="I1116" t="s">
        <v>9</v>
      </c>
      <c r="L1116" t="s">
        <v>161</v>
      </c>
      <c r="M1116">
        <v>-164600000</v>
      </c>
    </row>
    <row r="1117" spans="1:13" x14ac:dyDescent="0.3">
      <c r="A1117" s="23">
        <v>45308</v>
      </c>
      <c r="B1117" t="s">
        <v>12</v>
      </c>
      <c r="C1117" t="s">
        <v>132</v>
      </c>
      <c r="D1117" t="s">
        <v>16</v>
      </c>
      <c r="E1117" t="s">
        <v>46</v>
      </c>
      <c r="F1117">
        <v>1455000000</v>
      </c>
      <c r="G1117" t="s">
        <v>28</v>
      </c>
      <c r="H1117" t="s">
        <v>81</v>
      </c>
      <c r="I1117" t="s">
        <v>9</v>
      </c>
      <c r="L1117" t="s">
        <v>161</v>
      </c>
      <c r="M1117">
        <v>1455000000</v>
      </c>
    </row>
    <row r="1118" spans="1:13" x14ac:dyDescent="0.3">
      <c r="A1118" s="23">
        <v>45307</v>
      </c>
      <c r="B1118" t="s">
        <v>12</v>
      </c>
      <c r="C1118" t="s">
        <v>132</v>
      </c>
      <c r="D1118" t="s">
        <v>17</v>
      </c>
      <c r="E1118" t="s">
        <v>46</v>
      </c>
      <c r="F1118">
        <v>30000000</v>
      </c>
      <c r="G1118" t="s">
        <v>28</v>
      </c>
      <c r="H1118" t="s">
        <v>81</v>
      </c>
      <c r="I1118" t="s">
        <v>9</v>
      </c>
      <c r="L1118" t="s">
        <v>161</v>
      </c>
      <c r="M1118">
        <v>-30000000</v>
      </c>
    </row>
    <row r="1119" spans="1:13" x14ac:dyDescent="0.3">
      <c r="A1119" s="23">
        <v>45303</v>
      </c>
      <c r="B1119" t="s">
        <v>12</v>
      </c>
      <c r="C1119" t="s">
        <v>132</v>
      </c>
      <c r="D1119" t="s">
        <v>17</v>
      </c>
      <c r="E1119" t="s">
        <v>46</v>
      </c>
      <c r="F1119">
        <v>56000000</v>
      </c>
      <c r="G1119" t="s">
        <v>28</v>
      </c>
      <c r="H1119" t="s">
        <v>81</v>
      </c>
      <c r="I1119" t="s">
        <v>9</v>
      </c>
      <c r="L1119" t="s">
        <v>161</v>
      </c>
      <c r="M1119">
        <v>-56000000</v>
      </c>
    </row>
    <row r="1120" spans="1:13" x14ac:dyDescent="0.3">
      <c r="A1120" s="23">
        <v>45301</v>
      </c>
      <c r="B1120" t="s">
        <v>12</v>
      </c>
      <c r="C1120" t="s">
        <v>132</v>
      </c>
      <c r="D1120" t="s">
        <v>17</v>
      </c>
      <c r="E1120" t="s">
        <v>46</v>
      </c>
      <c r="F1120">
        <v>49000000</v>
      </c>
      <c r="G1120" t="s">
        <v>28</v>
      </c>
      <c r="H1120" t="s">
        <v>81</v>
      </c>
      <c r="I1120" t="s">
        <v>9</v>
      </c>
      <c r="L1120" t="s">
        <v>161</v>
      </c>
      <c r="M1120">
        <v>-49000000</v>
      </c>
    </row>
    <row r="1121" spans="1:13" x14ac:dyDescent="0.3">
      <c r="A1121" s="23">
        <v>45299</v>
      </c>
      <c r="B1121" t="s">
        <v>12</v>
      </c>
      <c r="C1121" t="s">
        <v>132</v>
      </c>
      <c r="D1121" t="s">
        <v>17</v>
      </c>
      <c r="E1121" t="s">
        <v>46</v>
      </c>
      <c r="F1121">
        <v>63100000</v>
      </c>
      <c r="G1121" t="s">
        <v>28</v>
      </c>
      <c r="H1121" t="s">
        <v>81</v>
      </c>
      <c r="I1121" t="s">
        <v>9</v>
      </c>
      <c r="L1121" t="s">
        <v>161</v>
      </c>
      <c r="M1121">
        <v>-63100000</v>
      </c>
    </row>
    <row r="1122" spans="1:13" x14ac:dyDescent="0.3">
      <c r="A1122" s="23">
        <v>45194</v>
      </c>
      <c r="B1122" t="s">
        <v>12</v>
      </c>
      <c r="C1122" t="s">
        <v>132</v>
      </c>
      <c r="D1122" t="s">
        <v>17</v>
      </c>
      <c r="E1122" t="s">
        <v>46</v>
      </c>
      <c r="F1122">
        <v>18872750.699999999</v>
      </c>
      <c r="G1122" t="s">
        <v>28</v>
      </c>
      <c r="H1122" t="s">
        <v>81</v>
      </c>
      <c r="I1122" t="s">
        <v>9</v>
      </c>
      <c r="L1122" t="s">
        <v>161</v>
      </c>
      <c r="M1122">
        <v>-18872750.699999999</v>
      </c>
    </row>
    <row r="1123" spans="1:13" x14ac:dyDescent="0.3">
      <c r="A1123" s="23">
        <v>45295</v>
      </c>
      <c r="B1123" t="s">
        <v>12</v>
      </c>
      <c r="C1123" t="s">
        <v>132</v>
      </c>
      <c r="D1123" t="s">
        <v>17</v>
      </c>
      <c r="E1123" t="s">
        <v>46</v>
      </c>
      <c r="F1123">
        <v>201100000</v>
      </c>
      <c r="G1123" t="s">
        <v>28</v>
      </c>
      <c r="H1123" t="s">
        <v>81</v>
      </c>
      <c r="I1123" t="s">
        <v>9</v>
      </c>
      <c r="L1123" t="s">
        <v>161</v>
      </c>
      <c r="M1123">
        <v>-201100000</v>
      </c>
    </row>
    <row r="1124" spans="1:13" x14ac:dyDescent="0.3">
      <c r="A1124" s="23">
        <v>45195</v>
      </c>
      <c r="B1124" t="s">
        <v>12</v>
      </c>
      <c r="C1124" t="s">
        <v>132</v>
      </c>
      <c r="D1124" t="s">
        <v>16</v>
      </c>
      <c r="E1124" t="s">
        <v>46</v>
      </c>
      <c r="F1124">
        <v>67000000</v>
      </c>
      <c r="G1124" t="s">
        <v>28</v>
      </c>
      <c r="H1124" t="s">
        <v>81</v>
      </c>
      <c r="I1124" t="s">
        <v>9</v>
      </c>
      <c r="L1124" t="s">
        <v>161</v>
      </c>
      <c r="M1124">
        <v>67000000</v>
      </c>
    </row>
    <row r="1125" spans="1:13" x14ac:dyDescent="0.3">
      <c r="A1125" s="23">
        <v>45197</v>
      </c>
      <c r="B1125" t="s">
        <v>12</v>
      </c>
      <c r="C1125" t="s">
        <v>132</v>
      </c>
      <c r="D1125" t="s">
        <v>17</v>
      </c>
      <c r="E1125" t="s">
        <v>46</v>
      </c>
      <c r="F1125">
        <v>60000000</v>
      </c>
      <c r="G1125" t="s">
        <v>28</v>
      </c>
      <c r="H1125" t="s">
        <v>81</v>
      </c>
      <c r="I1125" t="s">
        <v>9</v>
      </c>
      <c r="L1125" t="s">
        <v>161</v>
      </c>
      <c r="M1125">
        <v>-60000000</v>
      </c>
    </row>
    <row r="1126" spans="1:13" x14ac:dyDescent="0.3">
      <c r="A1126" s="23">
        <v>45289</v>
      </c>
      <c r="B1126" t="s">
        <v>12</v>
      </c>
      <c r="C1126" t="s">
        <v>132</v>
      </c>
      <c r="D1126" t="s">
        <v>16</v>
      </c>
      <c r="E1126" t="s">
        <v>46</v>
      </c>
      <c r="F1126">
        <v>399800000</v>
      </c>
      <c r="G1126" t="s">
        <v>28</v>
      </c>
      <c r="H1126" t="s">
        <v>81</v>
      </c>
      <c r="I1126" t="s">
        <v>9</v>
      </c>
      <c r="L1126" t="s">
        <v>161</v>
      </c>
      <c r="M1126">
        <v>399800000</v>
      </c>
    </row>
    <row r="1127" spans="1:13" x14ac:dyDescent="0.3">
      <c r="A1127" s="23">
        <v>45198</v>
      </c>
      <c r="B1127" t="s">
        <v>12</v>
      </c>
      <c r="C1127" t="s">
        <v>132</v>
      </c>
      <c r="D1127" t="s">
        <v>17</v>
      </c>
      <c r="E1127" t="s">
        <v>46</v>
      </c>
      <c r="F1127">
        <v>6000000</v>
      </c>
      <c r="G1127" t="s">
        <v>28</v>
      </c>
      <c r="H1127" t="s">
        <v>81</v>
      </c>
      <c r="I1127" t="s">
        <v>9</v>
      </c>
      <c r="L1127" t="s">
        <v>161</v>
      </c>
      <c r="M1127">
        <v>-6000000</v>
      </c>
    </row>
    <row r="1128" spans="1:13" x14ac:dyDescent="0.3">
      <c r="A1128" s="23">
        <v>45287</v>
      </c>
      <c r="B1128" t="s">
        <v>12</v>
      </c>
      <c r="C1128" t="s">
        <v>132</v>
      </c>
      <c r="D1128" t="s">
        <v>17</v>
      </c>
      <c r="E1128" t="s">
        <v>46</v>
      </c>
      <c r="F1128">
        <v>1227565582.29</v>
      </c>
      <c r="G1128" t="s">
        <v>28</v>
      </c>
      <c r="H1128" t="s">
        <v>81</v>
      </c>
      <c r="I1128" t="s">
        <v>9</v>
      </c>
      <c r="L1128" t="s">
        <v>161</v>
      </c>
      <c r="M1128">
        <v>-1227565582.29</v>
      </c>
    </row>
    <row r="1129" spans="1:13" x14ac:dyDescent="0.3">
      <c r="A1129" s="23">
        <v>45282</v>
      </c>
      <c r="B1129" t="s">
        <v>12</v>
      </c>
      <c r="C1129" t="s">
        <v>132</v>
      </c>
      <c r="D1129" t="s">
        <v>16</v>
      </c>
      <c r="E1129" t="s">
        <v>46</v>
      </c>
      <c r="F1129">
        <v>18565582.289999999</v>
      </c>
      <c r="G1129" t="s">
        <v>28</v>
      </c>
      <c r="H1129" t="s">
        <v>81</v>
      </c>
      <c r="I1129" t="s">
        <v>9</v>
      </c>
      <c r="L1129" t="s">
        <v>161</v>
      </c>
      <c r="M1129">
        <v>18565582.289999999</v>
      </c>
    </row>
    <row r="1130" spans="1:13" x14ac:dyDescent="0.3">
      <c r="A1130" s="23">
        <v>45279</v>
      </c>
      <c r="B1130" t="s">
        <v>12</v>
      </c>
      <c r="C1130" t="s">
        <v>132</v>
      </c>
      <c r="D1130" t="s">
        <v>16</v>
      </c>
      <c r="E1130" t="s">
        <v>46</v>
      </c>
      <c r="F1130">
        <v>9000000</v>
      </c>
      <c r="G1130" t="s">
        <v>28</v>
      </c>
      <c r="H1130" t="s">
        <v>81</v>
      </c>
      <c r="I1130" t="s">
        <v>9</v>
      </c>
      <c r="L1130" t="s">
        <v>161</v>
      </c>
      <c r="M1130">
        <v>9000000</v>
      </c>
    </row>
    <row r="1131" spans="1:13" x14ac:dyDescent="0.3">
      <c r="A1131" s="23">
        <v>45275</v>
      </c>
      <c r="B1131" t="s">
        <v>12</v>
      </c>
      <c r="C1131" t="s">
        <v>132</v>
      </c>
      <c r="D1131" t="s">
        <v>16</v>
      </c>
      <c r="E1131" t="s">
        <v>46</v>
      </c>
      <c r="F1131">
        <v>1000000000</v>
      </c>
      <c r="G1131" t="s">
        <v>28</v>
      </c>
      <c r="H1131" t="s">
        <v>81</v>
      </c>
      <c r="I1131" t="s">
        <v>9</v>
      </c>
      <c r="L1131" t="s">
        <v>161</v>
      </c>
      <c r="M1131">
        <v>1000000000</v>
      </c>
    </row>
    <row r="1132" spans="1:13" x14ac:dyDescent="0.3">
      <c r="A1132" s="23">
        <v>45274</v>
      </c>
      <c r="B1132" t="s">
        <v>12</v>
      </c>
      <c r="C1132" t="s">
        <v>132</v>
      </c>
      <c r="D1132" t="s">
        <v>16</v>
      </c>
      <c r="E1132" t="s">
        <v>46</v>
      </c>
      <c r="F1132">
        <v>200000000</v>
      </c>
      <c r="G1132" t="s">
        <v>28</v>
      </c>
      <c r="H1132" t="s">
        <v>81</v>
      </c>
      <c r="I1132" t="s">
        <v>9</v>
      </c>
      <c r="L1132" t="s">
        <v>161</v>
      </c>
      <c r="M1132">
        <v>200000000</v>
      </c>
    </row>
    <row r="1133" spans="1:13" x14ac:dyDescent="0.3">
      <c r="A1133" s="23">
        <v>45205</v>
      </c>
      <c r="B1133" t="s">
        <v>12</v>
      </c>
      <c r="C1133" t="s">
        <v>132</v>
      </c>
      <c r="D1133" t="s">
        <v>17</v>
      </c>
      <c r="E1133" t="s">
        <v>46</v>
      </c>
      <c r="F1133">
        <v>1000000</v>
      </c>
      <c r="G1133" t="s">
        <v>28</v>
      </c>
      <c r="H1133" t="s">
        <v>81</v>
      </c>
      <c r="I1133" t="s">
        <v>9</v>
      </c>
      <c r="L1133" t="s">
        <v>161</v>
      </c>
      <c r="M1133">
        <v>-1000000</v>
      </c>
    </row>
    <row r="1134" spans="1:13" x14ac:dyDescent="0.3">
      <c r="A1134" s="23">
        <v>45267</v>
      </c>
      <c r="B1134" t="s">
        <v>12</v>
      </c>
      <c r="C1134" t="s">
        <v>132</v>
      </c>
      <c r="D1134" t="s">
        <v>17</v>
      </c>
      <c r="E1134" t="s">
        <v>46</v>
      </c>
      <c r="F1134">
        <v>103900000</v>
      </c>
      <c r="G1134" t="s">
        <v>28</v>
      </c>
      <c r="H1134" t="s">
        <v>81</v>
      </c>
      <c r="I1134" t="s">
        <v>9</v>
      </c>
      <c r="L1134" t="s">
        <v>161</v>
      </c>
      <c r="M1134">
        <v>-103900000</v>
      </c>
    </row>
    <row r="1135" spans="1:13" x14ac:dyDescent="0.3">
      <c r="A1135" s="23">
        <v>45266</v>
      </c>
      <c r="B1135" t="s">
        <v>12</v>
      </c>
      <c r="C1135" t="s">
        <v>132</v>
      </c>
      <c r="D1135" t="s">
        <v>16</v>
      </c>
      <c r="E1135" t="s">
        <v>46</v>
      </c>
      <c r="F1135">
        <v>103900000</v>
      </c>
      <c r="G1135" t="s">
        <v>28</v>
      </c>
      <c r="H1135" t="s">
        <v>81</v>
      </c>
      <c r="I1135" t="s">
        <v>9</v>
      </c>
      <c r="L1135" t="s">
        <v>161</v>
      </c>
      <c r="M1135">
        <v>103900000</v>
      </c>
    </row>
    <row r="1136" spans="1:13" x14ac:dyDescent="0.3">
      <c r="A1136" s="23">
        <v>45265</v>
      </c>
      <c r="B1136" t="s">
        <v>12</v>
      </c>
      <c r="C1136" t="s">
        <v>132</v>
      </c>
      <c r="D1136" t="s">
        <v>17</v>
      </c>
      <c r="E1136" t="s">
        <v>46</v>
      </c>
      <c r="F1136">
        <v>465600000</v>
      </c>
      <c r="G1136" t="s">
        <v>28</v>
      </c>
      <c r="H1136" t="s">
        <v>81</v>
      </c>
      <c r="I1136" t="s">
        <v>9</v>
      </c>
      <c r="L1136" t="s">
        <v>161</v>
      </c>
      <c r="M1136">
        <v>-465600000</v>
      </c>
    </row>
    <row r="1137" spans="1:13" x14ac:dyDescent="0.3">
      <c r="A1137" s="23">
        <v>45264</v>
      </c>
      <c r="B1137" t="s">
        <v>12</v>
      </c>
      <c r="C1137" t="s">
        <v>132</v>
      </c>
      <c r="D1137" t="s">
        <v>16</v>
      </c>
      <c r="E1137" t="s">
        <v>46</v>
      </c>
      <c r="F1137">
        <v>465600000</v>
      </c>
      <c r="G1137" t="s">
        <v>28</v>
      </c>
      <c r="H1137" t="s">
        <v>81</v>
      </c>
      <c r="I1137" t="s">
        <v>9</v>
      </c>
      <c r="L1137" t="s">
        <v>161</v>
      </c>
      <c r="M1137">
        <v>465600000</v>
      </c>
    </row>
    <row r="1138" spans="1:13" x14ac:dyDescent="0.3">
      <c r="A1138" s="23">
        <v>45254</v>
      </c>
      <c r="B1138" t="s">
        <v>12</v>
      </c>
      <c r="C1138" t="s">
        <v>132</v>
      </c>
      <c r="D1138" t="s">
        <v>17</v>
      </c>
      <c r="E1138" t="s">
        <v>46</v>
      </c>
      <c r="F1138">
        <v>770000000</v>
      </c>
      <c r="G1138" t="s">
        <v>28</v>
      </c>
      <c r="H1138" t="s">
        <v>81</v>
      </c>
      <c r="I1138" t="s">
        <v>9</v>
      </c>
      <c r="L1138" t="s">
        <v>161</v>
      </c>
      <c r="M1138">
        <v>-770000000</v>
      </c>
    </row>
    <row r="1139" spans="1:13" x14ac:dyDescent="0.3">
      <c r="A1139" s="23">
        <v>45253</v>
      </c>
      <c r="B1139" t="s">
        <v>12</v>
      </c>
      <c r="C1139" t="s">
        <v>132</v>
      </c>
      <c r="D1139" t="s">
        <v>16</v>
      </c>
      <c r="E1139" t="s">
        <v>46</v>
      </c>
      <c r="F1139">
        <v>770000000</v>
      </c>
      <c r="G1139" t="s">
        <v>28</v>
      </c>
      <c r="H1139" t="s">
        <v>81</v>
      </c>
      <c r="I1139" t="s">
        <v>9</v>
      </c>
      <c r="L1139" t="s">
        <v>161</v>
      </c>
      <c r="M1139">
        <v>770000000</v>
      </c>
    </row>
    <row r="1140" spans="1:13" x14ac:dyDescent="0.3">
      <c r="A1140" s="23">
        <v>45247</v>
      </c>
      <c r="B1140" t="s">
        <v>12</v>
      </c>
      <c r="C1140" t="s">
        <v>132</v>
      </c>
      <c r="D1140" t="s">
        <v>17</v>
      </c>
      <c r="E1140" t="s">
        <v>46</v>
      </c>
      <c r="F1140">
        <v>83134297.510000005</v>
      </c>
      <c r="G1140" t="s">
        <v>28</v>
      </c>
      <c r="H1140" t="s">
        <v>81</v>
      </c>
      <c r="I1140" t="s">
        <v>9</v>
      </c>
      <c r="L1140" t="s">
        <v>161</v>
      </c>
      <c r="M1140">
        <v>-83134297.510000005</v>
      </c>
    </row>
    <row r="1141" spans="1:13" x14ac:dyDescent="0.3">
      <c r="A1141" s="23">
        <v>45246</v>
      </c>
      <c r="B1141" t="s">
        <v>12</v>
      </c>
      <c r="C1141" t="s">
        <v>132</v>
      </c>
      <c r="D1141" t="s">
        <v>16</v>
      </c>
      <c r="E1141" t="s">
        <v>46</v>
      </c>
      <c r="F1141">
        <v>2434297.5099999998</v>
      </c>
      <c r="G1141" t="s">
        <v>28</v>
      </c>
      <c r="H1141" t="s">
        <v>81</v>
      </c>
      <c r="I1141" t="s">
        <v>9</v>
      </c>
      <c r="L1141" t="s">
        <v>161</v>
      </c>
      <c r="M1141">
        <v>2434297.5099999998</v>
      </c>
    </row>
    <row r="1142" spans="1:13" x14ac:dyDescent="0.3">
      <c r="A1142" s="23">
        <v>45244</v>
      </c>
      <c r="B1142" t="s">
        <v>12</v>
      </c>
      <c r="C1142" t="s">
        <v>132</v>
      </c>
      <c r="D1142" t="s">
        <v>17</v>
      </c>
      <c r="E1142" t="s">
        <v>46</v>
      </c>
      <c r="F1142">
        <v>48800000</v>
      </c>
      <c r="G1142" t="s">
        <v>28</v>
      </c>
      <c r="H1142" t="s">
        <v>81</v>
      </c>
      <c r="I1142" t="s">
        <v>9</v>
      </c>
      <c r="L1142" t="s">
        <v>161</v>
      </c>
      <c r="M1142">
        <v>-48800000</v>
      </c>
    </row>
    <row r="1143" spans="1:13" x14ac:dyDescent="0.3">
      <c r="A1143" s="23">
        <v>45243</v>
      </c>
      <c r="B1143" t="s">
        <v>12</v>
      </c>
      <c r="C1143" t="s">
        <v>132</v>
      </c>
      <c r="D1143" t="s">
        <v>17</v>
      </c>
      <c r="E1143" t="s">
        <v>46</v>
      </c>
      <c r="F1143">
        <v>70500000</v>
      </c>
      <c r="G1143" t="s">
        <v>28</v>
      </c>
      <c r="H1143" t="s">
        <v>81</v>
      </c>
      <c r="I1143" t="s">
        <v>9</v>
      </c>
      <c r="L1143" t="s">
        <v>161</v>
      </c>
      <c r="M1143">
        <v>-70500000</v>
      </c>
    </row>
    <row r="1144" spans="1:13" x14ac:dyDescent="0.3">
      <c r="A1144" s="23">
        <v>45240</v>
      </c>
      <c r="B1144" t="s">
        <v>12</v>
      </c>
      <c r="C1144" t="s">
        <v>132</v>
      </c>
      <c r="D1144" t="s">
        <v>16</v>
      </c>
      <c r="E1144" t="s">
        <v>46</v>
      </c>
      <c r="F1144">
        <v>200000000</v>
      </c>
      <c r="G1144" t="s">
        <v>28</v>
      </c>
      <c r="H1144" t="s">
        <v>81</v>
      </c>
      <c r="I1144" t="s">
        <v>9</v>
      </c>
      <c r="L1144" t="s">
        <v>161</v>
      </c>
      <c r="M1144">
        <v>200000000</v>
      </c>
    </row>
    <row r="1145" spans="1:13" x14ac:dyDescent="0.3">
      <c r="A1145" s="23">
        <v>44562</v>
      </c>
      <c r="B1145" t="s">
        <v>12</v>
      </c>
      <c r="C1145" t="s">
        <v>132</v>
      </c>
      <c r="D1145" t="s">
        <v>16</v>
      </c>
      <c r="E1145" t="s">
        <v>37</v>
      </c>
      <c r="F1145">
        <v>14163.19</v>
      </c>
      <c r="G1145" t="s">
        <v>22</v>
      </c>
      <c r="H1145" t="s">
        <v>81</v>
      </c>
      <c r="I1145" t="s">
        <v>9</v>
      </c>
      <c r="L1145" t="s">
        <v>161</v>
      </c>
      <c r="M1145">
        <v>14163.19</v>
      </c>
    </row>
    <row r="1146" spans="1:13" x14ac:dyDescent="0.3">
      <c r="A1146" s="23">
        <v>44582</v>
      </c>
      <c r="B1146" t="s">
        <v>12</v>
      </c>
      <c r="C1146" t="s">
        <v>132</v>
      </c>
      <c r="D1146" t="s">
        <v>16</v>
      </c>
      <c r="E1146" t="s">
        <v>37</v>
      </c>
      <c r="F1146">
        <v>213.67</v>
      </c>
      <c r="G1146" t="s">
        <v>22</v>
      </c>
      <c r="H1146" t="s">
        <v>81</v>
      </c>
      <c r="I1146" t="s">
        <v>9</v>
      </c>
      <c r="L1146" t="s">
        <v>161</v>
      </c>
      <c r="M1146">
        <v>213.67</v>
      </c>
    </row>
    <row r="1147" spans="1:13" x14ac:dyDescent="0.3">
      <c r="A1147" s="23">
        <v>44586</v>
      </c>
      <c r="B1147" t="s">
        <v>12</v>
      </c>
      <c r="C1147" t="s">
        <v>132</v>
      </c>
      <c r="D1147" t="s">
        <v>17</v>
      </c>
      <c r="E1147" t="s">
        <v>37</v>
      </c>
      <c r="F1147">
        <v>14376.86</v>
      </c>
      <c r="G1147" t="s">
        <v>22</v>
      </c>
      <c r="H1147" t="s">
        <v>81</v>
      </c>
      <c r="I1147" t="s">
        <v>9</v>
      </c>
      <c r="L1147" t="s">
        <v>161</v>
      </c>
      <c r="M1147">
        <v>-14376.86</v>
      </c>
    </row>
    <row r="1148" spans="1:13" x14ac:dyDescent="0.3">
      <c r="A1148" s="23">
        <v>44819</v>
      </c>
      <c r="B1148" t="s">
        <v>12</v>
      </c>
      <c r="C1148" t="s">
        <v>132</v>
      </c>
      <c r="D1148" t="s">
        <v>16</v>
      </c>
      <c r="E1148" t="s">
        <v>37</v>
      </c>
      <c r="F1148">
        <v>201000000</v>
      </c>
      <c r="G1148" t="s">
        <v>22</v>
      </c>
      <c r="H1148" t="s">
        <v>81</v>
      </c>
      <c r="I1148" t="s">
        <v>9</v>
      </c>
      <c r="L1148" t="s">
        <v>161</v>
      </c>
      <c r="M1148">
        <v>201000000</v>
      </c>
    </row>
    <row r="1149" spans="1:13" x14ac:dyDescent="0.3">
      <c r="A1149" s="23">
        <v>44824</v>
      </c>
      <c r="B1149" t="s">
        <v>12</v>
      </c>
      <c r="C1149" t="s">
        <v>132</v>
      </c>
      <c r="D1149" t="s">
        <v>17</v>
      </c>
      <c r="E1149" t="s">
        <v>37</v>
      </c>
      <c r="F1149">
        <v>201000000</v>
      </c>
      <c r="G1149" t="s">
        <v>22</v>
      </c>
      <c r="H1149" t="s">
        <v>81</v>
      </c>
      <c r="I1149" t="s">
        <v>9</v>
      </c>
      <c r="L1149" t="s">
        <v>161</v>
      </c>
      <c r="M1149">
        <v>-201000000</v>
      </c>
    </row>
    <row r="1150" spans="1:13" x14ac:dyDescent="0.3">
      <c r="A1150" s="23">
        <v>44848</v>
      </c>
      <c r="B1150" t="s">
        <v>12</v>
      </c>
      <c r="C1150" t="s">
        <v>132</v>
      </c>
      <c r="D1150" t="s">
        <v>16</v>
      </c>
      <c r="E1150" t="s">
        <v>37</v>
      </c>
      <c r="F1150">
        <v>100000000</v>
      </c>
      <c r="G1150" t="s">
        <v>22</v>
      </c>
      <c r="H1150" t="s">
        <v>81</v>
      </c>
      <c r="I1150" t="s">
        <v>9</v>
      </c>
      <c r="L1150" t="s">
        <v>161</v>
      </c>
      <c r="M1150">
        <v>100000000</v>
      </c>
    </row>
    <row r="1151" spans="1:13" x14ac:dyDescent="0.3">
      <c r="A1151" s="23">
        <v>44855</v>
      </c>
      <c r="B1151" t="s">
        <v>12</v>
      </c>
      <c r="C1151" t="s">
        <v>132</v>
      </c>
      <c r="D1151" t="s">
        <v>17</v>
      </c>
      <c r="E1151" t="s">
        <v>37</v>
      </c>
      <c r="F1151">
        <v>100000000</v>
      </c>
      <c r="G1151" t="s">
        <v>22</v>
      </c>
      <c r="H1151" t="s">
        <v>81</v>
      </c>
      <c r="I1151" t="s">
        <v>9</v>
      </c>
      <c r="L1151" t="s">
        <v>161</v>
      </c>
      <c r="M1151">
        <v>-100000000</v>
      </c>
    </row>
    <row r="1152" spans="1:13" x14ac:dyDescent="0.3">
      <c r="A1152" s="23">
        <v>44858</v>
      </c>
      <c r="B1152" t="s">
        <v>12</v>
      </c>
      <c r="C1152" t="s">
        <v>132</v>
      </c>
      <c r="D1152" t="s">
        <v>16</v>
      </c>
      <c r="E1152" t="s">
        <v>37</v>
      </c>
      <c r="F1152">
        <v>80000000</v>
      </c>
      <c r="G1152" t="s">
        <v>22</v>
      </c>
      <c r="H1152" t="s">
        <v>81</v>
      </c>
      <c r="I1152" t="s">
        <v>9</v>
      </c>
      <c r="L1152" t="s">
        <v>161</v>
      </c>
      <c r="M1152">
        <v>80000000</v>
      </c>
    </row>
    <row r="1153" spans="1:13" x14ac:dyDescent="0.3">
      <c r="A1153" s="23">
        <v>44862</v>
      </c>
      <c r="B1153" t="s">
        <v>12</v>
      </c>
      <c r="C1153" t="s">
        <v>132</v>
      </c>
      <c r="D1153" t="s">
        <v>17</v>
      </c>
      <c r="E1153" t="s">
        <v>37</v>
      </c>
      <c r="F1153">
        <v>500000</v>
      </c>
      <c r="G1153" t="s">
        <v>22</v>
      </c>
      <c r="H1153" t="s">
        <v>81</v>
      </c>
      <c r="I1153" t="s">
        <v>9</v>
      </c>
      <c r="L1153" t="s">
        <v>161</v>
      </c>
      <c r="M1153">
        <v>-500000</v>
      </c>
    </row>
    <row r="1154" spans="1:13" x14ac:dyDescent="0.3">
      <c r="A1154" s="23">
        <v>44865</v>
      </c>
      <c r="B1154" t="s">
        <v>12</v>
      </c>
      <c r="C1154" t="s">
        <v>132</v>
      </c>
      <c r="D1154" t="s">
        <v>17</v>
      </c>
      <c r="E1154" t="s">
        <v>37</v>
      </c>
      <c r="F1154">
        <v>79500000</v>
      </c>
      <c r="G1154" t="s">
        <v>22</v>
      </c>
      <c r="H1154" t="s">
        <v>81</v>
      </c>
      <c r="I1154" t="s">
        <v>9</v>
      </c>
      <c r="L1154" t="s">
        <v>161</v>
      </c>
      <c r="M1154">
        <v>-79500000</v>
      </c>
    </row>
    <row r="1155" spans="1:13" x14ac:dyDescent="0.3">
      <c r="A1155" s="23">
        <v>44889</v>
      </c>
      <c r="B1155" t="s">
        <v>12</v>
      </c>
      <c r="C1155" t="s">
        <v>132</v>
      </c>
      <c r="D1155" t="s">
        <v>16</v>
      </c>
      <c r="E1155" t="s">
        <v>37</v>
      </c>
      <c r="F1155">
        <v>67300000</v>
      </c>
      <c r="G1155" t="s">
        <v>22</v>
      </c>
      <c r="H1155" t="s">
        <v>81</v>
      </c>
      <c r="I1155" t="s">
        <v>9</v>
      </c>
      <c r="L1155" t="s">
        <v>161</v>
      </c>
      <c r="M1155">
        <v>67300000</v>
      </c>
    </row>
    <row r="1156" spans="1:13" x14ac:dyDescent="0.3">
      <c r="A1156" s="23">
        <v>44890</v>
      </c>
      <c r="B1156" t="s">
        <v>12</v>
      </c>
      <c r="C1156" t="s">
        <v>132</v>
      </c>
      <c r="D1156" t="s">
        <v>17</v>
      </c>
      <c r="E1156" t="s">
        <v>37</v>
      </c>
      <c r="F1156">
        <v>24700000</v>
      </c>
      <c r="G1156" t="s">
        <v>22</v>
      </c>
      <c r="H1156" t="s">
        <v>81</v>
      </c>
      <c r="I1156" t="s">
        <v>9</v>
      </c>
      <c r="L1156" t="s">
        <v>161</v>
      </c>
      <c r="M1156">
        <v>-24700000</v>
      </c>
    </row>
    <row r="1157" spans="1:13" x14ac:dyDescent="0.3">
      <c r="A1157" s="23">
        <v>44893</v>
      </c>
      <c r="B1157" t="s">
        <v>12</v>
      </c>
      <c r="C1157" t="s">
        <v>132</v>
      </c>
      <c r="D1157" t="s">
        <v>17</v>
      </c>
      <c r="E1157" t="s">
        <v>37</v>
      </c>
      <c r="F1157">
        <v>42600000</v>
      </c>
      <c r="G1157" t="s">
        <v>22</v>
      </c>
      <c r="H1157" t="s">
        <v>81</v>
      </c>
      <c r="I1157" t="s">
        <v>9</v>
      </c>
      <c r="L1157" t="s">
        <v>161</v>
      </c>
      <c r="M1157">
        <v>-42600000</v>
      </c>
    </row>
    <row r="1158" spans="1:13" x14ac:dyDescent="0.3">
      <c r="A1158" s="23">
        <v>44897</v>
      </c>
      <c r="B1158" t="s">
        <v>12</v>
      </c>
      <c r="C1158" t="s">
        <v>132</v>
      </c>
      <c r="D1158" t="s">
        <v>16</v>
      </c>
      <c r="E1158" t="s">
        <v>37</v>
      </c>
      <c r="F1158">
        <v>10500000</v>
      </c>
      <c r="G1158" t="s">
        <v>22</v>
      </c>
      <c r="H1158" t="s">
        <v>81</v>
      </c>
      <c r="I1158" t="s">
        <v>9</v>
      </c>
      <c r="L1158" t="s">
        <v>161</v>
      </c>
      <c r="M1158">
        <v>10500000</v>
      </c>
    </row>
    <row r="1159" spans="1:13" x14ac:dyDescent="0.3">
      <c r="A1159" s="23">
        <v>44900</v>
      </c>
      <c r="B1159" t="s">
        <v>12</v>
      </c>
      <c r="C1159" t="s">
        <v>132</v>
      </c>
      <c r="D1159" t="s">
        <v>16</v>
      </c>
      <c r="E1159" t="s">
        <v>37</v>
      </c>
      <c r="F1159">
        <v>9000000</v>
      </c>
      <c r="G1159" t="s">
        <v>22</v>
      </c>
      <c r="H1159" t="s">
        <v>81</v>
      </c>
      <c r="I1159" t="s">
        <v>9</v>
      </c>
      <c r="L1159" t="s">
        <v>161</v>
      </c>
      <c r="M1159">
        <v>9000000</v>
      </c>
    </row>
    <row r="1160" spans="1:13" x14ac:dyDescent="0.3">
      <c r="A1160" s="23">
        <v>44901</v>
      </c>
      <c r="B1160" t="s">
        <v>12</v>
      </c>
      <c r="C1160" t="s">
        <v>132</v>
      </c>
      <c r="D1160" t="s">
        <v>17</v>
      </c>
      <c r="E1160" t="s">
        <v>37</v>
      </c>
      <c r="F1160">
        <v>2500000</v>
      </c>
      <c r="G1160" t="s">
        <v>22</v>
      </c>
      <c r="H1160" t="s">
        <v>81</v>
      </c>
      <c r="I1160" t="s">
        <v>9</v>
      </c>
      <c r="L1160" t="s">
        <v>161</v>
      </c>
      <c r="M1160">
        <v>-2500000</v>
      </c>
    </row>
    <row r="1161" spans="1:13" x14ac:dyDescent="0.3">
      <c r="A1161" s="23">
        <v>44902</v>
      </c>
      <c r="B1161" t="s">
        <v>12</v>
      </c>
      <c r="C1161" t="s">
        <v>132</v>
      </c>
      <c r="D1161" t="s">
        <v>16</v>
      </c>
      <c r="E1161" t="s">
        <v>37</v>
      </c>
      <c r="F1161">
        <v>39300000</v>
      </c>
      <c r="G1161" t="s">
        <v>22</v>
      </c>
      <c r="H1161" t="s">
        <v>81</v>
      </c>
      <c r="I1161" t="s">
        <v>9</v>
      </c>
      <c r="L1161" t="s">
        <v>161</v>
      </c>
      <c r="M1161">
        <v>39300000</v>
      </c>
    </row>
    <row r="1162" spans="1:13" x14ac:dyDescent="0.3">
      <c r="A1162" s="23">
        <v>44907</v>
      </c>
      <c r="B1162" t="s">
        <v>12</v>
      </c>
      <c r="C1162" t="s">
        <v>132</v>
      </c>
      <c r="D1162" t="s">
        <v>17</v>
      </c>
      <c r="E1162" t="s">
        <v>37</v>
      </c>
      <c r="F1162">
        <v>13800000</v>
      </c>
      <c r="G1162" t="s">
        <v>22</v>
      </c>
      <c r="H1162" t="s">
        <v>81</v>
      </c>
      <c r="I1162" t="s">
        <v>9</v>
      </c>
      <c r="L1162" t="s">
        <v>161</v>
      </c>
      <c r="M1162">
        <v>-13800000</v>
      </c>
    </row>
    <row r="1163" spans="1:13" x14ac:dyDescent="0.3">
      <c r="A1163" s="23">
        <v>44908</v>
      </c>
      <c r="B1163" t="s">
        <v>12</v>
      </c>
      <c r="C1163" t="s">
        <v>132</v>
      </c>
      <c r="D1163" t="s">
        <v>17</v>
      </c>
      <c r="E1163" t="s">
        <v>37</v>
      </c>
      <c r="F1163">
        <v>42500000</v>
      </c>
      <c r="G1163" t="s">
        <v>22</v>
      </c>
      <c r="H1163" t="s">
        <v>81</v>
      </c>
      <c r="I1163" t="s">
        <v>9</v>
      </c>
      <c r="L1163" t="s">
        <v>161</v>
      </c>
      <c r="M1163">
        <v>-42500000</v>
      </c>
    </row>
    <row r="1164" spans="1:13" x14ac:dyDescent="0.3">
      <c r="A1164" s="23">
        <v>44909</v>
      </c>
      <c r="B1164" t="s">
        <v>12</v>
      </c>
      <c r="C1164" t="s">
        <v>132</v>
      </c>
      <c r="D1164" t="s">
        <v>16</v>
      </c>
      <c r="E1164" t="s">
        <v>37</v>
      </c>
      <c r="F1164">
        <v>81500000</v>
      </c>
      <c r="G1164" t="s">
        <v>22</v>
      </c>
      <c r="H1164" t="s">
        <v>81</v>
      </c>
      <c r="I1164" t="s">
        <v>9</v>
      </c>
      <c r="L1164" t="s">
        <v>161</v>
      </c>
      <c r="M1164">
        <v>81500000</v>
      </c>
    </row>
    <row r="1165" spans="1:13" x14ac:dyDescent="0.3">
      <c r="A1165" s="23">
        <v>44911</v>
      </c>
      <c r="B1165" t="s">
        <v>12</v>
      </c>
      <c r="C1165" t="s">
        <v>132</v>
      </c>
      <c r="D1165" t="s">
        <v>17</v>
      </c>
      <c r="E1165" t="s">
        <v>37</v>
      </c>
      <c r="F1165">
        <v>2700000</v>
      </c>
      <c r="G1165" t="s">
        <v>22</v>
      </c>
      <c r="H1165" t="s">
        <v>81</v>
      </c>
      <c r="I1165" t="s">
        <v>9</v>
      </c>
      <c r="L1165" t="s">
        <v>161</v>
      </c>
      <c r="M1165">
        <v>-2700000</v>
      </c>
    </row>
    <row r="1166" spans="1:13" x14ac:dyDescent="0.3">
      <c r="A1166" s="23">
        <v>44914</v>
      </c>
      <c r="B1166" t="s">
        <v>12</v>
      </c>
      <c r="C1166" t="s">
        <v>132</v>
      </c>
      <c r="D1166" t="s">
        <v>17</v>
      </c>
      <c r="E1166" t="s">
        <v>37</v>
      </c>
      <c r="F1166">
        <v>50000000</v>
      </c>
      <c r="G1166" t="s">
        <v>22</v>
      </c>
      <c r="H1166" t="s">
        <v>81</v>
      </c>
      <c r="I1166" t="s">
        <v>9</v>
      </c>
      <c r="L1166" t="s">
        <v>161</v>
      </c>
      <c r="M1166">
        <v>-50000000</v>
      </c>
    </row>
    <row r="1167" spans="1:13" x14ac:dyDescent="0.3">
      <c r="A1167" s="23">
        <v>44915</v>
      </c>
      <c r="B1167" t="s">
        <v>12</v>
      </c>
      <c r="C1167" t="s">
        <v>132</v>
      </c>
      <c r="D1167" t="s">
        <v>16</v>
      </c>
      <c r="E1167" t="s">
        <v>37</v>
      </c>
      <c r="F1167">
        <v>112000000</v>
      </c>
      <c r="G1167" t="s">
        <v>22</v>
      </c>
      <c r="H1167" t="s">
        <v>81</v>
      </c>
      <c r="I1167" t="s">
        <v>9</v>
      </c>
      <c r="L1167" t="s">
        <v>161</v>
      </c>
      <c r="M1167">
        <v>112000000</v>
      </c>
    </row>
    <row r="1168" spans="1:13" x14ac:dyDescent="0.3">
      <c r="A1168" s="23">
        <v>44917</v>
      </c>
      <c r="B1168" t="s">
        <v>12</v>
      </c>
      <c r="C1168" t="s">
        <v>132</v>
      </c>
      <c r="D1168" t="s">
        <v>17</v>
      </c>
      <c r="E1168" t="s">
        <v>37</v>
      </c>
      <c r="F1168">
        <v>27800000</v>
      </c>
      <c r="G1168" t="s">
        <v>22</v>
      </c>
      <c r="H1168" t="s">
        <v>81</v>
      </c>
      <c r="I1168" t="s">
        <v>9</v>
      </c>
      <c r="L1168" t="s">
        <v>161</v>
      </c>
      <c r="M1168">
        <v>-27800000</v>
      </c>
    </row>
    <row r="1169" spans="1:13" x14ac:dyDescent="0.3">
      <c r="A1169" s="23">
        <v>44918</v>
      </c>
      <c r="B1169" t="s">
        <v>12</v>
      </c>
      <c r="C1169" t="s">
        <v>132</v>
      </c>
      <c r="D1169" t="s">
        <v>17</v>
      </c>
      <c r="E1169" t="s">
        <v>37</v>
      </c>
      <c r="F1169">
        <v>46200000</v>
      </c>
      <c r="G1169" t="s">
        <v>22</v>
      </c>
      <c r="H1169" t="s">
        <v>81</v>
      </c>
      <c r="I1169" t="s">
        <v>9</v>
      </c>
      <c r="L1169" t="s">
        <v>161</v>
      </c>
      <c r="M1169">
        <v>-46200000</v>
      </c>
    </row>
    <row r="1170" spans="1:13" x14ac:dyDescent="0.3">
      <c r="A1170" s="23">
        <v>44921</v>
      </c>
      <c r="B1170" t="s">
        <v>12</v>
      </c>
      <c r="C1170" t="s">
        <v>132</v>
      </c>
      <c r="D1170" t="s">
        <v>16</v>
      </c>
      <c r="E1170" t="s">
        <v>37</v>
      </c>
      <c r="F1170">
        <v>1773415.82</v>
      </c>
      <c r="G1170" t="s">
        <v>22</v>
      </c>
      <c r="H1170" t="s">
        <v>81</v>
      </c>
      <c r="I1170" t="s">
        <v>9</v>
      </c>
      <c r="J1170" t="s">
        <v>155</v>
      </c>
      <c r="L1170" t="s">
        <v>161</v>
      </c>
      <c r="M1170">
        <v>1773415.82</v>
      </c>
    </row>
    <row r="1171" spans="1:13" x14ac:dyDescent="0.3">
      <c r="A1171" s="23">
        <v>44922</v>
      </c>
      <c r="B1171" t="s">
        <v>12</v>
      </c>
      <c r="C1171" t="s">
        <v>132</v>
      </c>
      <c r="D1171" t="s">
        <v>17</v>
      </c>
      <c r="E1171" t="s">
        <v>37</v>
      </c>
      <c r="F1171">
        <v>50000000</v>
      </c>
      <c r="G1171" t="s">
        <v>22</v>
      </c>
      <c r="H1171" t="s">
        <v>81</v>
      </c>
      <c r="I1171" t="s">
        <v>9</v>
      </c>
      <c r="L1171" t="s">
        <v>161</v>
      </c>
      <c r="M1171">
        <v>-50000000</v>
      </c>
    </row>
    <row r="1172" spans="1:13" x14ac:dyDescent="0.3">
      <c r="A1172" s="23">
        <v>44923</v>
      </c>
      <c r="B1172" t="s">
        <v>12</v>
      </c>
      <c r="C1172" t="s">
        <v>132</v>
      </c>
      <c r="D1172" t="s">
        <v>17</v>
      </c>
      <c r="E1172" t="s">
        <v>37</v>
      </c>
      <c r="F1172">
        <v>1500000</v>
      </c>
      <c r="G1172" t="s">
        <v>22</v>
      </c>
      <c r="H1172" t="s">
        <v>81</v>
      </c>
      <c r="I1172" t="s">
        <v>9</v>
      </c>
      <c r="L1172" t="s">
        <v>161</v>
      </c>
      <c r="M1172">
        <v>-1500000</v>
      </c>
    </row>
    <row r="1173" spans="1:13" x14ac:dyDescent="0.3">
      <c r="A1173" s="23">
        <v>44937</v>
      </c>
      <c r="B1173" t="s">
        <v>12</v>
      </c>
      <c r="C1173" t="s">
        <v>132</v>
      </c>
      <c r="D1173" t="s">
        <v>17</v>
      </c>
      <c r="E1173" t="s">
        <v>37</v>
      </c>
      <c r="F1173">
        <v>17073415.82</v>
      </c>
      <c r="G1173" t="s">
        <v>22</v>
      </c>
      <c r="H1173" t="s">
        <v>81</v>
      </c>
      <c r="I1173" t="s">
        <v>9</v>
      </c>
      <c r="L1173" t="s">
        <v>161</v>
      </c>
      <c r="M1173">
        <v>-17073415.82</v>
      </c>
    </row>
    <row r="1174" spans="1:13" x14ac:dyDescent="0.3">
      <c r="A1174" s="23">
        <v>44943</v>
      </c>
      <c r="B1174" t="s">
        <v>12</v>
      </c>
      <c r="C1174" t="s">
        <v>132</v>
      </c>
      <c r="D1174" t="s">
        <v>16</v>
      </c>
      <c r="E1174" t="s">
        <v>37</v>
      </c>
      <c r="F1174">
        <v>75500000</v>
      </c>
      <c r="G1174" t="s">
        <v>22</v>
      </c>
      <c r="H1174" t="s">
        <v>81</v>
      </c>
      <c r="I1174" t="s">
        <v>9</v>
      </c>
      <c r="L1174" t="s">
        <v>161</v>
      </c>
      <c r="M1174">
        <v>75500000</v>
      </c>
    </row>
    <row r="1175" spans="1:13" x14ac:dyDescent="0.3">
      <c r="A1175" s="23">
        <v>44945</v>
      </c>
      <c r="B1175" t="s">
        <v>12</v>
      </c>
      <c r="C1175" t="s">
        <v>132</v>
      </c>
      <c r="D1175" t="s">
        <v>17</v>
      </c>
      <c r="E1175" t="s">
        <v>37</v>
      </c>
      <c r="F1175">
        <v>10000000</v>
      </c>
      <c r="G1175" t="s">
        <v>22</v>
      </c>
      <c r="H1175" t="s">
        <v>81</v>
      </c>
      <c r="I1175" t="s">
        <v>9</v>
      </c>
      <c r="L1175" t="s">
        <v>161</v>
      </c>
      <c r="M1175">
        <v>-10000000</v>
      </c>
    </row>
    <row r="1176" spans="1:13" x14ac:dyDescent="0.3">
      <c r="A1176" s="23">
        <v>44946</v>
      </c>
      <c r="B1176" t="s">
        <v>12</v>
      </c>
      <c r="C1176" t="s">
        <v>132</v>
      </c>
      <c r="D1176" t="s">
        <v>17</v>
      </c>
      <c r="E1176" t="s">
        <v>37</v>
      </c>
      <c r="F1176">
        <v>37500000</v>
      </c>
      <c r="G1176" t="s">
        <v>22</v>
      </c>
      <c r="H1176" t="s">
        <v>81</v>
      </c>
      <c r="I1176" t="s">
        <v>9</v>
      </c>
      <c r="L1176" t="s">
        <v>161</v>
      </c>
      <c r="M1176">
        <v>-37500000</v>
      </c>
    </row>
    <row r="1177" spans="1:13" x14ac:dyDescent="0.3">
      <c r="A1177" s="23">
        <v>44952</v>
      </c>
      <c r="B1177" t="s">
        <v>12</v>
      </c>
      <c r="C1177" t="s">
        <v>132</v>
      </c>
      <c r="D1177" t="s">
        <v>17</v>
      </c>
      <c r="E1177" t="s">
        <v>37</v>
      </c>
      <c r="F1177">
        <v>1033000</v>
      </c>
      <c r="G1177" t="s">
        <v>22</v>
      </c>
      <c r="H1177" t="s">
        <v>81</v>
      </c>
      <c r="I1177" t="s">
        <v>9</v>
      </c>
      <c r="L1177" t="s">
        <v>161</v>
      </c>
      <c r="M1177">
        <v>-1033000</v>
      </c>
    </row>
    <row r="1178" spans="1:13" x14ac:dyDescent="0.3">
      <c r="A1178" s="23">
        <v>44952</v>
      </c>
      <c r="B1178" t="s">
        <v>12</v>
      </c>
      <c r="C1178" t="s">
        <v>132</v>
      </c>
      <c r="D1178" t="s">
        <v>16</v>
      </c>
      <c r="E1178" t="s">
        <v>37</v>
      </c>
      <c r="F1178">
        <v>200000000</v>
      </c>
      <c r="G1178" t="s">
        <v>22</v>
      </c>
      <c r="H1178" t="s">
        <v>81</v>
      </c>
      <c r="I1178" t="s">
        <v>9</v>
      </c>
      <c r="L1178" t="s">
        <v>161</v>
      </c>
      <c r="M1178">
        <v>200000000</v>
      </c>
    </row>
    <row r="1179" spans="1:13" x14ac:dyDescent="0.3">
      <c r="A1179" s="23">
        <v>44956</v>
      </c>
      <c r="B1179" t="s">
        <v>12</v>
      </c>
      <c r="C1179" t="s">
        <v>132</v>
      </c>
      <c r="D1179" t="s">
        <v>17</v>
      </c>
      <c r="E1179" t="s">
        <v>37</v>
      </c>
      <c r="F1179">
        <v>62100000</v>
      </c>
      <c r="G1179" t="s">
        <v>22</v>
      </c>
      <c r="H1179" t="s">
        <v>81</v>
      </c>
      <c r="I1179" t="s">
        <v>9</v>
      </c>
      <c r="L1179" t="s">
        <v>161</v>
      </c>
      <c r="M1179">
        <v>-62100000</v>
      </c>
    </row>
    <row r="1180" spans="1:13" x14ac:dyDescent="0.3">
      <c r="A1180" s="23">
        <v>44960</v>
      </c>
      <c r="B1180" t="s">
        <v>12</v>
      </c>
      <c r="C1180" t="s">
        <v>132</v>
      </c>
      <c r="D1180" t="s">
        <v>17</v>
      </c>
      <c r="E1180" t="s">
        <v>37</v>
      </c>
      <c r="F1180">
        <v>164866999.99999997</v>
      </c>
      <c r="G1180" t="s">
        <v>22</v>
      </c>
      <c r="H1180" t="s">
        <v>81</v>
      </c>
      <c r="I1180" t="s">
        <v>9</v>
      </c>
      <c r="L1180" t="s">
        <v>161</v>
      </c>
      <c r="M1180">
        <v>-164867000</v>
      </c>
    </row>
    <row r="1181" spans="1:13" x14ac:dyDescent="0.3">
      <c r="A1181" s="23">
        <v>45433</v>
      </c>
      <c r="B1181" t="s">
        <v>12</v>
      </c>
      <c r="C1181" t="s">
        <v>132</v>
      </c>
      <c r="D1181" t="s">
        <v>17</v>
      </c>
      <c r="E1181" t="s">
        <v>37</v>
      </c>
      <c r="F1181">
        <v>515000000</v>
      </c>
      <c r="G1181" t="s">
        <v>22</v>
      </c>
      <c r="H1181" t="s">
        <v>81</v>
      </c>
      <c r="I1181" t="s">
        <v>9</v>
      </c>
      <c r="L1181" t="s">
        <v>161</v>
      </c>
      <c r="M1181">
        <v>-515000000</v>
      </c>
    </row>
    <row r="1182" spans="1:13" x14ac:dyDescent="0.3">
      <c r="A1182" s="23">
        <v>45418</v>
      </c>
      <c r="B1182" t="s">
        <v>12</v>
      </c>
      <c r="C1182" t="s">
        <v>132</v>
      </c>
      <c r="D1182" t="s">
        <v>16</v>
      </c>
      <c r="E1182" t="s">
        <v>37</v>
      </c>
      <c r="F1182">
        <v>515000000</v>
      </c>
      <c r="G1182" t="s">
        <v>22</v>
      </c>
      <c r="H1182" t="s">
        <v>81</v>
      </c>
      <c r="I1182" t="s">
        <v>9</v>
      </c>
      <c r="L1182" t="s">
        <v>161</v>
      </c>
      <c r="M1182">
        <v>515000000</v>
      </c>
    </row>
    <row r="1183" spans="1:13" x14ac:dyDescent="0.3">
      <c r="A1183" s="23">
        <v>45867</v>
      </c>
      <c r="B1183" t="s">
        <v>12</v>
      </c>
      <c r="C1183" t="s">
        <v>132</v>
      </c>
      <c r="D1183" t="s">
        <v>16</v>
      </c>
      <c r="E1183" t="s">
        <v>48</v>
      </c>
      <c r="F1183">
        <v>10000000</v>
      </c>
      <c r="G1183" t="s">
        <v>29</v>
      </c>
      <c r="H1183" t="s">
        <v>81</v>
      </c>
      <c r="I1183" t="s">
        <v>9</v>
      </c>
      <c r="L1183" t="s">
        <v>161</v>
      </c>
      <c r="M1183">
        <v>10000000</v>
      </c>
    </row>
    <row r="1184" spans="1:13" x14ac:dyDescent="0.3">
      <c r="A1184" s="23">
        <v>45863</v>
      </c>
      <c r="B1184" t="s">
        <v>12</v>
      </c>
      <c r="C1184" t="s">
        <v>132</v>
      </c>
      <c r="D1184" t="s">
        <v>16</v>
      </c>
      <c r="E1184" t="s">
        <v>48</v>
      </c>
      <c r="F1184">
        <v>8232088</v>
      </c>
      <c r="G1184" t="s">
        <v>29</v>
      </c>
      <c r="H1184" t="s">
        <v>81</v>
      </c>
      <c r="I1184" t="s">
        <v>9</v>
      </c>
      <c r="L1184" t="s">
        <v>161</v>
      </c>
      <c r="M1184">
        <v>8232088</v>
      </c>
    </row>
    <row r="1185" spans="1:13" x14ac:dyDescent="0.3">
      <c r="A1185" s="23">
        <v>45863</v>
      </c>
      <c r="B1185" t="s">
        <v>12</v>
      </c>
      <c r="C1185" t="s">
        <v>132</v>
      </c>
      <c r="D1185" t="s">
        <v>17</v>
      </c>
      <c r="E1185" t="s">
        <v>48</v>
      </c>
      <c r="F1185">
        <v>66100000</v>
      </c>
      <c r="G1185" t="s">
        <v>29</v>
      </c>
      <c r="H1185" t="s">
        <v>81</v>
      </c>
      <c r="I1185" t="s">
        <v>9</v>
      </c>
      <c r="L1185" t="s">
        <v>161</v>
      </c>
      <c r="M1185">
        <v>-66100000</v>
      </c>
    </row>
    <row r="1186" spans="1:13" x14ac:dyDescent="0.3">
      <c r="A1186" s="23">
        <v>45861</v>
      </c>
      <c r="B1186" t="s">
        <v>12</v>
      </c>
      <c r="C1186" t="s">
        <v>132</v>
      </c>
      <c r="D1186" t="s">
        <v>17</v>
      </c>
      <c r="E1186" t="s">
        <v>48</v>
      </c>
      <c r="F1186">
        <v>182000000</v>
      </c>
      <c r="G1186" t="s">
        <v>29</v>
      </c>
      <c r="H1186" t="s">
        <v>81</v>
      </c>
      <c r="I1186" t="s">
        <v>9</v>
      </c>
      <c r="L1186" t="s">
        <v>161</v>
      </c>
      <c r="M1186">
        <v>-182000000</v>
      </c>
    </row>
    <row r="1187" spans="1:13" x14ac:dyDescent="0.3">
      <c r="A1187" s="23">
        <v>45860</v>
      </c>
      <c r="B1187" t="s">
        <v>12</v>
      </c>
      <c r="C1187" t="s">
        <v>132</v>
      </c>
      <c r="D1187" t="s">
        <v>17</v>
      </c>
      <c r="E1187" t="s">
        <v>48</v>
      </c>
      <c r="F1187">
        <v>250100000</v>
      </c>
      <c r="G1187" t="s">
        <v>29</v>
      </c>
      <c r="H1187" t="s">
        <v>81</v>
      </c>
      <c r="I1187" t="s">
        <v>9</v>
      </c>
      <c r="L1187" t="s">
        <v>161</v>
      </c>
      <c r="M1187">
        <v>-250100000</v>
      </c>
    </row>
    <row r="1188" spans="1:13" x14ac:dyDescent="0.3">
      <c r="A1188" s="23">
        <v>45859</v>
      </c>
      <c r="B1188" t="s">
        <v>12</v>
      </c>
      <c r="C1188" t="s">
        <v>132</v>
      </c>
      <c r="D1188" t="s">
        <v>17</v>
      </c>
      <c r="E1188" t="s">
        <v>48</v>
      </c>
      <c r="F1188">
        <v>441200000</v>
      </c>
      <c r="G1188" t="s">
        <v>29</v>
      </c>
      <c r="H1188" t="s">
        <v>81</v>
      </c>
      <c r="I1188" t="s">
        <v>9</v>
      </c>
      <c r="L1188" t="s">
        <v>161</v>
      </c>
      <c r="M1188">
        <v>-441200000</v>
      </c>
    </row>
    <row r="1189" spans="1:13" x14ac:dyDescent="0.3">
      <c r="A1189" s="23">
        <v>45855</v>
      </c>
      <c r="B1189" t="s">
        <v>12</v>
      </c>
      <c r="C1189" t="s">
        <v>132</v>
      </c>
      <c r="D1189" t="s">
        <v>17</v>
      </c>
      <c r="E1189" t="s">
        <v>48</v>
      </c>
      <c r="F1189">
        <v>151000000</v>
      </c>
      <c r="G1189" t="s">
        <v>29</v>
      </c>
      <c r="H1189" t="s">
        <v>81</v>
      </c>
      <c r="I1189" t="s">
        <v>9</v>
      </c>
      <c r="L1189" t="s">
        <v>161</v>
      </c>
      <c r="M1189">
        <v>-151000000</v>
      </c>
    </row>
    <row r="1190" spans="1:13" x14ac:dyDescent="0.3">
      <c r="A1190" s="23">
        <v>45849</v>
      </c>
      <c r="B1190" t="s">
        <v>12</v>
      </c>
      <c r="C1190" t="s">
        <v>132</v>
      </c>
      <c r="D1190" t="s">
        <v>16</v>
      </c>
      <c r="E1190" t="s">
        <v>48</v>
      </c>
      <c r="F1190">
        <v>55749100</v>
      </c>
      <c r="G1190" t="s">
        <v>29</v>
      </c>
      <c r="H1190" t="s">
        <v>81</v>
      </c>
      <c r="I1190" t="s">
        <v>9</v>
      </c>
      <c r="L1190" t="s">
        <v>161</v>
      </c>
      <c r="M1190">
        <v>55749100</v>
      </c>
    </row>
    <row r="1191" spans="1:13" x14ac:dyDescent="0.3">
      <c r="A1191" s="23">
        <v>45848</v>
      </c>
      <c r="B1191" t="s">
        <v>12</v>
      </c>
      <c r="C1191" t="s">
        <v>132</v>
      </c>
      <c r="D1191" t="s">
        <v>17</v>
      </c>
      <c r="E1191" t="s">
        <v>48</v>
      </c>
      <c r="F1191">
        <v>713800000</v>
      </c>
      <c r="G1191" t="s">
        <v>29</v>
      </c>
      <c r="H1191" t="s">
        <v>81</v>
      </c>
      <c r="I1191" t="s">
        <v>9</v>
      </c>
      <c r="L1191" t="s">
        <v>161</v>
      </c>
      <c r="M1191">
        <v>-713800000</v>
      </c>
    </row>
    <row r="1192" spans="1:13" x14ac:dyDescent="0.3">
      <c r="A1192" s="23">
        <v>45845</v>
      </c>
      <c r="B1192" t="s">
        <v>12</v>
      </c>
      <c r="C1192" t="s">
        <v>132</v>
      </c>
      <c r="D1192" t="s">
        <v>17</v>
      </c>
      <c r="E1192" t="s">
        <v>48</v>
      </c>
      <c r="F1192">
        <v>1082100000</v>
      </c>
      <c r="G1192" t="s">
        <v>29</v>
      </c>
      <c r="H1192" t="s">
        <v>81</v>
      </c>
      <c r="I1192" t="s">
        <v>9</v>
      </c>
      <c r="L1192" t="s">
        <v>161</v>
      </c>
      <c r="M1192">
        <v>-1082100000</v>
      </c>
    </row>
    <row r="1193" spans="1:13" x14ac:dyDescent="0.3">
      <c r="A1193" s="23">
        <v>45842</v>
      </c>
      <c r="B1193" t="s">
        <v>12</v>
      </c>
      <c r="C1193" t="s">
        <v>132</v>
      </c>
      <c r="D1193" t="s">
        <v>17</v>
      </c>
      <c r="E1193" t="s">
        <v>48</v>
      </c>
      <c r="F1193">
        <v>519300000</v>
      </c>
      <c r="G1193" t="s">
        <v>29</v>
      </c>
      <c r="H1193" t="s">
        <v>81</v>
      </c>
      <c r="I1193" t="s">
        <v>9</v>
      </c>
      <c r="L1193" t="s">
        <v>161</v>
      </c>
      <c r="M1193">
        <v>-519300000</v>
      </c>
    </row>
    <row r="1194" spans="1:13" x14ac:dyDescent="0.3">
      <c r="A1194" s="23">
        <v>45838</v>
      </c>
      <c r="B1194" t="s">
        <v>12</v>
      </c>
      <c r="C1194" t="s">
        <v>132</v>
      </c>
      <c r="D1194" t="s">
        <v>17</v>
      </c>
      <c r="E1194" t="s">
        <v>48</v>
      </c>
      <c r="F1194">
        <v>669400000</v>
      </c>
      <c r="G1194" t="s">
        <v>29</v>
      </c>
      <c r="H1194" t="s">
        <v>81</v>
      </c>
      <c r="I1194" t="s">
        <v>9</v>
      </c>
      <c r="L1194" t="s">
        <v>161</v>
      </c>
      <c r="M1194">
        <v>-669400000</v>
      </c>
    </row>
    <row r="1195" spans="1:13" x14ac:dyDescent="0.3">
      <c r="A1195" s="23">
        <v>45835</v>
      </c>
      <c r="B1195" t="s">
        <v>12</v>
      </c>
      <c r="C1195" t="s">
        <v>132</v>
      </c>
      <c r="D1195" t="s">
        <v>17</v>
      </c>
      <c r="E1195" t="s">
        <v>48</v>
      </c>
      <c r="F1195">
        <v>1900000</v>
      </c>
      <c r="G1195" t="s">
        <v>29</v>
      </c>
      <c r="H1195" t="s">
        <v>81</v>
      </c>
      <c r="I1195" t="s">
        <v>9</v>
      </c>
      <c r="L1195" t="s">
        <v>161</v>
      </c>
      <c r="M1195">
        <v>-1900000</v>
      </c>
    </row>
    <row r="1196" spans="1:13" x14ac:dyDescent="0.3">
      <c r="A1196" s="23">
        <v>45832</v>
      </c>
      <c r="B1196" t="s">
        <v>12</v>
      </c>
      <c r="C1196" t="s">
        <v>132</v>
      </c>
      <c r="D1196" t="s">
        <v>17</v>
      </c>
      <c r="E1196" t="s">
        <v>48</v>
      </c>
      <c r="F1196">
        <v>244700000</v>
      </c>
      <c r="G1196" t="s">
        <v>29</v>
      </c>
      <c r="H1196" t="s">
        <v>81</v>
      </c>
      <c r="I1196" t="s">
        <v>9</v>
      </c>
      <c r="L1196" t="s">
        <v>161</v>
      </c>
      <c r="M1196">
        <v>-244700000</v>
      </c>
    </row>
    <row r="1197" spans="1:13" x14ac:dyDescent="0.3">
      <c r="A1197" s="23">
        <v>45831</v>
      </c>
      <c r="B1197" t="s">
        <v>12</v>
      </c>
      <c r="C1197" t="s">
        <v>132</v>
      </c>
      <c r="D1197" t="s">
        <v>17</v>
      </c>
      <c r="E1197" t="s">
        <v>48</v>
      </c>
      <c r="F1197">
        <v>710900000</v>
      </c>
      <c r="G1197" t="s">
        <v>29</v>
      </c>
      <c r="H1197" t="s">
        <v>81</v>
      </c>
      <c r="I1197" t="s">
        <v>9</v>
      </c>
      <c r="L1197" t="s">
        <v>161</v>
      </c>
      <c r="M1197">
        <v>-710900000</v>
      </c>
    </row>
    <row r="1198" spans="1:13" x14ac:dyDescent="0.3">
      <c r="A1198" s="23">
        <v>45827</v>
      </c>
      <c r="B1198" t="s">
        <v>12</v>
      </c>
      <c r="C1198" t="s">
        <v>132</v>
      </c>
      <c r="D1198" t="s">
        <v>16</v>
      </c>
      <c r="E1198" t="s">
        <v>48</v>
      </c>
      <c r="F1198">
        <v>86091700</v>
      </c>
      <c r="G1198" t="s">
        <v>29</v>
      </c>
      <c r="H1198" t="s">
        <v>81</v>
      </c>
      <c r="I1198" t="s">
        <v>9</v>
      </c>
      <c r="L1198" t="s">
        <v>161</v>
      </c>
      <c r="M1198">
        <v>86091700</v>
      </c>
    </row>
    <row r="1199" spans="1:13" x14ac:dyDescent="0.3">
      <c r="A1199" s="23">
        <v>45813</v>
      </c>
      <c r="B1199" t="s">
        <v>12</v>
      </c>
      <c r="C1199" t="s">
        <v>132</v>
      </c>
      <c r="D1199" t="s">
        <v>17</v>
      </c>
      <c r="E1199" t="s">
        <v>48</v>
      </c>
      <c r="F1199">
        <v>1458600000</v>
      </c>
      <c r="G1199" t="s">
        <v>29</v>
      </c>
      <c r="H1199" t="s">
        <v>81</v>
      </c>
      <c r="I1199" t="s">
        <v>9</v>
      </c>
      <c r="L1199" t="s">
        <v>161</v>
      </c>
      <c r="M1199">
        <v>-1458600000</v>
      </c>
    </row>
    <row r="1200" spans="1:13" x14ac:dyDescent="0.3">
      <c r="A1200" s="23">
        <v>44649</v>
      </c>
      <c r="B1200" t="s">
        <v>12</v>
      </c>
      <c r="C1200" t="s">
        <v>132</v>
      </c>
      <c r="D1200" t="s">
        <v>16</v>
      </c>
      <c r="E1200" t="s">
        <v>48</v>
      </c>
      <c r="F1200">
        <v>100600000</v>
      </c>
      <c r="G1200" t="s">
        <v>29</v>
      </c>
      <c r="H1200" t="s">
        <v>81</v>
      </c>
      <c r="I1200" t="s">
        <v>9</v>
      </c>
      <c r="L1200" t="s">
        <v>161</v>
      </c>
      <c r="M1200">
        <v>100600000</v>
      </c>
    </row>
    <row r="1201" spans="1:13" x14ac:dyDescent="0.3">
      <c r="A1201" s="23">
        <v>44650</v>
      </c>
      <c r="B1201" t="s">
        <v>12</v>
      </c>
      <c r="C1201" t="s">
        <v>132</v>
      </c>
      <c r="D1201" t="s">
        <v>16</v>
      </c>
      <c r="E1201" t="s">
        <v>48</v>
      </c>
      <c r="F1201">
        <v>32200000</v>
      </c>
      <c r="G1201" t="s">
        <v>29</v>
      </c>
      <c r="H1201" t="s">
        <v>81</v>
      </c>
      <c r="I1201" t="s">
        <v>9</v>
      </c>
      <c r="L1201" t="s">
        <v>161</v>
      </c>
      <c r="M1201">
        <v>32200000</v>
      </c>
    </row>
    <row r="1202" spans="1:13" x14ac:dyDescent="0.3">
      <c r="A1202" s="23">
        <v>45807</v>
      </c>
      <c r="B1202" t="s">
        <v>12</v>
      </c>
      <c r="C1202" t="s">
        <v>132</v>
      </c>
      <c r="D1202" t="s">
        <v>16</v>
      </c>
      <c r="E1202" t="s">
        <v>48</v>
      </c>
      <c r="F1202">
        <v>2000000000</v>
      </c>
      <c r="G1202" t="s">
        <v>29</v>
      </c>
      <c r="H1202" t="s">
        <v>81</v>
      </c>
      <c r="I1202" t="s">
        <v>9</v>
      </c>
      <c r="L1202" t="s">
        <v>161</v>
      </c>
      <c r="M1202">
        <v>2000000000</v>
      </c>
    </row>
    <row r="1203" spans="1:13" x14ac:dyDescent="0.3">
      <c r="A1203" s="23">
        <v>44652</v>
      </c>
      <c r="B1203" t="s">
        <v>12</v>
      </c>
      <c r="C1203" t="s">
        <v>132</v>
      </c>
      <c r="D1203" t="s">
        <v>17</v>
      </c>
      <c r="E1203" t="s">
        <v>48</v>
      </c>
      <c r="F1203">
        <v>4800000</v>
      </c>
      <c r="G1203" t="s">
        <v>29</v>
      </c>
      <c r="H1203" t="s">
        <v>81</v>
      </c>
      <c r="I1203" t="s">
        <v>9</v>
      </c>
      <c r="L1203" t="s">
        <v>161</v>
      </c>
      <c r="M1203">
        <v>-4800000</v>
      </c>
    </row>
    <row r="1204" spans="1:13" x14ac:dyDescent="0.3">
      <c r="A1204" s="23">
        <v>45806</v>
      </c>
      <c r="B1204" t="s">
        <v>12</v>
      </c>
      <c r="C1204" t="s">
        <v>132</v>
      </c>
      <c r="D1204" t="s">
        <v>17</v>
      </c>
      <c r="E1204" t="s">
        <v>48</v>
      </c>
      <c r="F1204">
        <v>77600000</v>
      </c>
      <c r="G1204" t="s">
        <v>29</v>
      </c>
      <c r="H1204" t="s">
        <v>81</v>
      </c>
      <c r="I1204" t="s">
        <v>9</v>
      </c>
      <c r="L1204" t="s">
        <v>161</v>
      </c>
      <c r="M1204">
        <v>-77600000</v>
      </c>
    </row>
    <row r="1205" spans="1:13" x14ac:dyDescent="0.3">
      <c r="A1205" s="23">
        <v>44655</v>
      </c>
      <c r="B1205" t="s">
        <v>12</v>
      </c>
      <c r="C1205" t="s">
        <v>132</v>
      </c>
      <c r="D1205" t="s">
        <v>17</v>
      </c>
      <c r="E1205" t="s">
        <v>48</v>
      </c>
      <c r="F1205">
        <v>110000000</v>
      </c>
      <c r="G1205" t="s">
        <v>29</v>
      </c>
      <c r="H1205" t="s">
        <v>81</v>
      </c>
      <c r="I1205" t="s">
        <v>9</v>
      </c>
      <c r="L1205" t="s">
        <v>161</v>
      </c>
      <c r="M1205">
        <v>-110000000</v>
      </c>
    </row>
    <row r="1206" spans="1:13" x14ac:dyDescent="0.3">
      <c r="A1206" s="23">
        <v>44658</v>
      </c>
      <c r="B1206" t="s">
        <v>12</v>
      </c>
      <c r="C1206" t="s">
        <v>132</v>
      </c>
      <c r="D1206" t="s">
        <v>17</v>
      </c>
      <c r="E1206" t="s">
        <v>48</v>
      </c>
      <c r="F1206">
        <v>2500000</v>
      </c>
      <c r="G1206" t="s">
        <v>29</v>
      </c>
      <c r="H1206" t="s">
        <v>81</v>
      </c>
      <c r="I1206" t="s">
        <v>9</v>
      </c>
      <c r="L1206" t="s">
        <v>161</v>
      </c>
      <c r="M1206">
        <v>-2500000</v>
      </c>
    </row>
    <row r="1207" spans="1:13" x14ac:dyDescent="0.3">
      <c r="A1207" s="23">
        <v>44659</v>
      </c>
      <c r="B1207" t="s">
        <v>12</v>
      </c>
      <c r="C1207" t="s">
        <v>132</v>
      </c>
      <c r="D1207" t="s">
        <v>17</v>
      </c>
      <c r="E1207" t="s">
        <v>48</v>
      </c>
      <c r="F1207">
        <v>1000000</v>
      </c>
      <c r="G1207" t="s">
        <v>29</v>
      </c>
      <c r="H1207" t="s">
        <v>81</v>
      </c>
      <c r="I1207" t="s">
        <v>9</v>
      </c>
      <c r="L1207" t="s">
        <v>161</v>
      </c>
      <c r="M1207">
        <v>-1000000</v>
      </c>
    </row>
    <row r="1208" spans="1:13" x14ac:dyDescent="0.3">
      <c r="A1208" s="23">
        <v>45804</v>
      </c>
      <c r="B1208" t="s">
        <v>12</v>
      </c>
      <c r="C1208" t="s">
        <v>132</v>
      </c>
      <c r="D1208" t="s">
        <v>16</v>
      </c>
      <c r="E1208" t="s">
        <v>48</v>
      </c>
      <c r="F1208">
        <v>34134000</v>
      </c>
      <c r="G1208" t="s">
        <v>29</v>
      </c>
      <c r="H1208" t="s">
        <v>81</v>
      </c>
      <c r="I1208" t="s">
        <v>9</v>
      </c>
      <c r="L1208" t="s">
        <v>161</v>
      </c>
      <c r="M1208">
        <v>34134000</v>
      </c>
    </row>
    <row r="1209" spans="1:13" x14ac:dyDescent="0.3">
      <c r="A1209" s="23">
        <v>45798</v>
      </c>
      <c r="B1209" t="s">
        <v>12</v>
      </c>
      <c r="C1209" t="s">
        <v>132</v>
      </c>
      <c r="D1209" t="s">
        <v>17</v>
      </c>
      <c r="E1209" t="s">
        <v>48</v>
      </c>
      <c r="F1209">
        <v>293200000</v>
      </c>
      <c r="G1209" t="s">
        <v>29</v>
      </c>
      <c r="H1209" t="s">
        <v>81</v>
      </c>
      <c r="I1209" t="s">
        <v>9</v>
      </c>
      <c r="L1209" t="s">
        <v>161</v>
      </c>
      <c r="M1209">
        <v>-293200000</v>
      </c>
    </row>
    <row r="1210" spans="1:13" x14ac:dyDescent="0.3">
      <c r="A1210" s="23">
        <v>44672</v>
      </c>
      <c r="B1210" t="s">
        <v>12</v>
      </c>
      <c r="C1210" t="s">
        <v>132</v>
      </c>
      <c r="D1210" t="s">
        <v>17</v>
      </c>
      <c r="E1210" t="s">
        <v>48</v>
      </c>
      <c r="F1210">
        <v>6700000</v>
      </c>
      <c r="G1210" t="s">
        <v>29</v>
      </c>
      <c r="H1210" t="s">
        <v>81</v>
      </c>
      <c r="I1210" t="s">
        <v>9</v>
      </c>
      <c r="L1210" t="s">
        <v>161</v>
      </c>
      <c r="M1210">
        <v>-6700000</v>
      </c>
    </row>
    <row r="1211" spans="1:13" x14ac:dyDescent="0.3">
      <c r="A1211" s="23">
        <v>45793</v>
      </c>
      <c r="B1211" t="s">
        <v>12</v>
      </c>
      <c r="C1211" t="s">
        <v>132</v>
      </c>
      <c r="D1211" t="s">
        <v>16</v>
      </c>
      <c r="E1211" t="s">
        <v>48</v>
      </c>
      <c r="F1211">
        <v>55205860</v>
      </c>
      <c r="G1211" t="s">
        <v>29</v>
      </c>
      <c r="H1211" t="s">
        <v>81</v>
      </c>
      <c r="I1211" t="s">
        <v>9</v>
      </c>
      <c r="L1211" t="s">
        <v>161</v>
      </c>
      <c r="M1211">
        <v>55205860</v>
      </c>
    </row>
    <row r="1212" spans="1:13" x14ac:dyDescent="0.3">
      <c r="A1212" s="23">
        <v>45792</v>
      </c>
      <c r="B1212" t="s">
        <v>12</v>
      </c>
      <c r="C1212" t="s">
        <v>132</v>
      </c>
      <c r="D1212" t="s">
        <v>16</v>
      </c>
      <c r="E1212" t="s">
        <v>48</v>
      </c>
      <c r="F1212">
        <v>209800000</v>
      </c>
      <c r="G1212" t="s">
        <v>29</v>
      </c>
      <c r="H1212" t="s">
        <v>81</v>
      </c>
      <c r="I1212" t="s">
        <v>9</v>
      </c>
      <c r="L1212" t="s">
        <v>161</v>
      </c>
      <c r="M1212">
        <v>209800000</v>
      </c>
    </row>
    <row r="1213" spans="1:13" x14ac:dyDescent="0.3">
      <c r="A1213" s="23">
        <v>44681</v>
      </c>
      <c r="B1213" t="s">
        <v>12</v>
      </c>
      <c r="C1213" t="s">
        <v>132</v>
      </c>
      <c r="D1213" t="s">
        <v>16</v>
      </c>
      <c r="E1213" t="s">
        <v>48</v>
      </c>
      <c r="F1213">
        <v>982579.07</v>
      </c>
      <c r="G1213" t="s">
        <v>29</v>
      </c>
      <c r="H1213" t="s">
        <v>81</v>
      </c>
      <c r="I1213" t="s">
        <v>9</v>
      </c>
      <c r="L1213" t="s">
        <v>161</v>
      </c>
      <c r="M1213">
        <v>982579.07</v>
      </c>
    </row>
    <row r="1214" spans="1:13" x14ac:dyDescent="0.3">
      <c r="A1214" s="23">
        <v>45790</v>
      </c>
      <c r="B1214" t="s">
        <v>12</v>
      </c>
      <c r="C1214" t="s">
        <v>132</v>
      </c>
      <c r="D1214" t="s">
        <v>16</v>
      </c>
      <c r="E1214" t="s">
        <v>48</v>
      </c>
      <c r="F1214">
        <v>402800000</v>
      </c>
      <c r="G1214" t="s">
        <v>29</v>
      </c>
      <c r="H1214" t="s">
        <v>81</v>
      </c>
      <c r="I1214" t="s">
        <v>9</v>
      </c>
      <c r="L1214" t="s">
        <v>161</v>
      </c>
      <c r="M1214">
        <v>402800000</v>
      </c>
    </row>
    <row r="1215" spans="1:13" x14ac:dyDescent="0.3">
      <c r="A1215" s="23">
        <v>45789</v>
      </c>
      <c r="B1215" t="s">
        <v>12</v>
      </c>
      <c r="C1215" t="s">
        <v>132</v>
      </c>
      <c r="D1215" t="s">
        <v>17</v>
      </c>
      <c r="E1215" t="s">
        <v>48</v>
      </c>
      <c r="F1215">
        <v>89000000</v>
      </c>
      <c r="G1215" t="s">
        <v>29</v>
      </c>
      <c r="H1215" t="s">
        <v>81</v>
      </c>
      <c r="I1215" t="s">
        <v>9</v>
      </c>
      <c r="L1215" t="s">
        <v>161</v>
      </c>
      <c r="M1215">
        <v>-89000000</v>
      </c>
    </row>
    <row r="1216" spans="1:13" x14ac:dyDescent="0.3">
      <c r="A1216" s="23">
        <v>45786</v>
      </c>
      <c r="B1216" t="s">
        <v>12</v>
      </c>
      <c r="C1216" t="s">
        <v>132</v>
      </c>
      <c r="D1216" t="s">
        <v>17</v>
      </c>
      <c r="E1216" t="s">
        <v>48</v>
      </c>
      <c r="F1216">
        <v>650400000</v>
      </c>
      <c r="G1216" t="s">
        <v>29</v>
      </c>
      <c r="H1216" t="s">
        <v>81</v>
      </c>
      <c r="I1216" t="s">
        <v>9</v>
      </c>
      <c r="L1216" t="s">
        <v>161</v>
      </c>
      <c r="M1216">
        <v>-650400000</v>
      </c>
    </row>
    <row r="1217" spans="1:13" x14ac:dyDescent="0.3">
      <c r="A1217" s="23">
        <v>45785</v>
      </c>
      <c r="B1217" t="s">
        <v>12</v>
      </c>
      <c r="C1217" t="s">
        <v>132</v>
      </c>
      <c r="D1217" t="s">
        <v>16</v>
      </c>
      <c r="E1217" t="s">
        <v>48</v>
      </c>
      <c r="F1217">
        <v>2269600000</v>
      </c>
      <c r="G1217" t="s">
        <v>29</v>
      </c>
      <c r="H1217" t="s">
        <v>81</v>
      </c>
      <c r="I1217" t="s">
        <v>9</v>
      </c>
      <c r="L1217" t="s">
        <v>161</v>
      </c>
      <c r="M1217">
        <v>2269600000</v>
      </c>
    </row>
    <row r="1218" spans="1:13" x14ac:dyDescent="0.3">
      <c r="A1218" s="23">
        <v>45784</v>
      </c>
      <c r="B1218" t="s">
        <v>12</v>
      </c>
      <c r="C1218" t="s">
        <v>132</v>
      </c>
      <c r="D1218" t="s">
        <v>16</v>
      </c>
      <c r="E1218" t="s">
        <v>48</v>
      </c>
      <c r="F1218">
        <v>548200000</v>
      </c>
      <c r="G1218" t="s">
        <v>29</v>
      </c>
      <c r="H1218" t="s">
        <v>81</v>
      </c>
      <c r="I1218" t="s">
        <v>9</v>
      </c>
      <c r="L1218" t="s">
        <v>161</v>
      </c>
      <c r="M1218">
        <v>548200000</v>
      </c>
    </row>
    <row r="1219" spans="1:13" x14ac:dyDescent="0.3">
      <c r="A1219" s="23">
        <v>45783</v>
      </c>
      <c r="B1219" t="s">
        <v>12</v>
      </c>
      <c r="C1219" t="s">
        <v>132</v>
      </c>
      <c r="D1219" t="s">
        <v>16</v>
      </c>
      <c r="E1219" t="s">
        <v>48</v>
      </c>
      <c r="F1219">
        <v>719300000</v>
      </c>
      <c r="G1219" t="s">
        <v>29</v>
      </c>
      <c r="H1219" t="s">
        <v>81</v>
      </c>
      <c r="I1219" t="s">
        <v>9</v>
      </c>
      <c r="L1219" t="s">
        <v>161</v>
      </c>
      <c r="M1219">
        <v>719300000</v>
      </c>
    </row>
    <row r="1220" spans="1:13" x14ac:dyDescent="0.3">
      <c r="A1220" s="23">
        <v>45777</v>
      </c>
      <c r="B1220" t="s">
        <v>12</v>
      </c>
      <c r="C1220" t="s">
        <v>132</v>
      </c>
      <c r="D1220" t="s">
        <v>17</v>
      </c>
      <c r="E1220" t="s">
        <v>48</v>
      </c>
      <c r="F1220">
        <v>2982200000</v>
      </c>
      <c r="G1220" t="s">
        <v>29</v>
      </c>
      <c r="H1220" t="s">
        <v>81</v>
      </c>
      <c r="I1220" t="s">
        <v>9</v>
      </c>
      <c r="L1220" t="s">
        <v>161</v>
      </c>
      <c r="M1220">
        <v>-2982200000</v>
      </c>
    </row>
    <row r="1221" spans="1:13" x14ac:dyDescent="0.3">
      <c r="A1221" s="23">
        <v>45776</v>
      </c>
      <c r="B1221" t="s">
        <v>12</v>
      </c>
      <c r="C1221" t="s">
        <v>132</v>
      </c>
      <c r="D1221" t="s">
        <v>17</v>
      </c>
      <c r="E1221" t="s">
        <v>48</v>
      </c>
      <c r="F1221">
        <v>46800000</v>
      </c>
      <c r="G1221" t="s">
        <v>29</v>
      </c>
      <c r="H1221" t="s">
        <v>81</v>
      </c>
      <c r="I1221" t="s">
        <v>9</v>
      </c>
      <c r="L1221" t="s">
        <v>161</v>
      </c>
      <c r="M1221">
        <v>-46800000</v>
      </c>
    </row>
    <row r="1222" spans="1:13" x14ac:dyDescent="0.3">
      <c r="A1222" s="23">
        <v>45775</v>
      </c>
      <c r="B1222" t="s">
        <v>12</v>
      </c>
      <c r="C1222" t="s">
        <v>132</v>
      </c>
      <c r="D1222" t="s">
        <v>17</v>
      </c>
      <c r="E1222" t="s">
        <v>48</v>
      </c>
      <c r="F1222">
        <v>3800000</v>
      </c>
      <c r="G1222" t="s">
        <v>29</v>
      </c>
      <c r="H1222" t="s">
        <v>81</v>
      </c>
      <c r="I1222" t="s">
        <v>9</v>
      </c>
      <c r="L1222" t="s">
        <v>161</v>
      </c>
      <c r="M1222">
        <v>-3800000</v>
      </c>
    </row>
    <row r="1223" spans="1:13" x14ac:dyDescent="0.3">
      <c r="A1223" s="23">
        <v>45771</v>
      </c>
      <c r="B1223" t="s">
        <v>12</v>
      </c>
      <c r="C1223" t="s">
        <v>132</v>
      </c>
      <c r="D1223" t="s">
        <v>17</v>
      </c>
      <c r="E1223" t="s">
        <v>48</v>
      </c>
      <c r="F1223">
        <v>13700000</v>
      </c>
      <c r="G1223" t="s">
        <v>29</v>
      </c>
      <c r="H1223" t="s">
        <v>81</v>
      </c>
      <c r="I1223" t="s">
        <v>9</v>
      </c>
      <c r="L1223" t="s">
        <v>161</v>
      </c>
      <c r="M1223">
        <v>-13700000</v>
      </c>
    </row>
    <row r="1224" spans="1:13" x14ac:dyDescent="0.3">
      <c r="A1224" s="23">
        <v>45770</v>
      </c>
      <c r="B1224" t="s">
        <v>12</v>
      </c>
      <c r="C1224" t="s">
        <v>132</v>
      </c>
      <c r="D1224" t="s">
        <v>16</v>
      </c>
      <c r="E1224" t="s">
        <v>48</v>
      </c>
      <c r="F1224">
        <v>321700000</v>
      </c>
      <c r="G1224" t="s">
        <v>29</v>
      </c>
      <c r="H1224" t="s">
        <v>81</v>
      </c>
      <c r="I1224" t="s">
        <v>9</v>
      </c>
      <c r="L1224" t="s">
        <v>161</v>
      </c>
      <c r="M1224">
        <v>321700000</v>
      </c>
    </row>
    <row r="1225" spans="1:13" x14ac:dyDescent="0.3">
      <c r="A1225" s="23">
        <v>45769</v>
      </c>
      <c r="B1225" t="s">
        <v>12</v>
      </c>
      <c r="C1225" t="s">
        <v>132</v>
      </c>
      <c r="D1225" t="s">
        <v>16</v>
      </c>
      <c r="E1225" t="s">
        <v>48</v>
      </c>
      <c r="F1225">
        <v>1462200000</v>
      </c>
      <c r="G1225" t="s">
        <v>29</v>
      </c>
      <c r="H1225" t="s">
        <v>81</v>
      </c>
      <c r="I1225" t="s">
        <v>9</v>
      </c>
      <c r="L1225" t="s">
        <v>161</v>
      </c>
      <c r="M1225">
        <v>1462200000</v>
      </c>
    </row>
    <row r="1226" spans="1:13" x14ac:dyDescent="0.3">
      <c r="A1226" s="23">
        <v>45769</v>
      </c>
      <c r="B1226" t="s">
        <v>12</v>
      </c>
      <c r="C1226" t="s">
        <v>132</v>
      </c>
      <c r="D1226" t="s">
        <v>16</v>
      </c>
      <c r="E1226" t="s">
        <v>48</v>
      </c>
      <c r="F1226">
        <v>33855040</v>
      </c>
      <c r="G1226" t="s">
        <v>29</v>
      </c>
      <c r="H1226" t="s">
        <v>81</v>
      </c>
      <c r="I1226" t="s">
        <v>9</v>
      </c>
      <c r="L1226" t="s">
        <v>161</v>
      </c>
      <c r="M1226">
        <v>33855040</v>
      </c>
    </row>
    <row r="1227" spans="1:13" x14ac:dyDescent="0.3">
      <c r="A1227" s="23">
        <v>45768</v>
      </c>
      <c r="B1227" t="s">
        <v>12</v>
      </c>
      <c r="C1227" t="s">
        <v>132</v>
      </c>
      <c r="D1227" t="s">
        <v>17</v>
      </c>
      <c r="E1227" t="s">
        <v>48</v>
      </c>
      <c r="F1227">
        <v>163300000</v>
      </c>
      <c r="G1227" t="s">
        <v>29</v>
      </c>
      <c r="H1227" t="s">
        <v>81</v>
      </c>
      <c r="I1227" t="s">
        <v>9</v>
      </c>
      <c r="L1227" t="s">
        <v>161</v>
      </c>
      <c r="M1227">
        <v>-163300000</v>
      </c>
    </row>
    <row r="1228" spans="1:13" x14ac:dyDescent="0.3">
      <c r="A1228" s="23">
        <v>44704</v>
      </c>
      <c r="B1228" t="s">
        <v>12</v>
      </c>
      <c r="C1228" t="s">
        <v>132</v>
      </c>
      <c r="D1228" t="s">
        <v>17</v>
      </c>
      <c r="E1228" t="s">
        <v>48</v>
      </c>
      <c r="F1228">
        <v>8782579.0700000003</v>
      </c>
      <c r="G1228" t="s">
        <v>29</v>
      </c>
      <c r="H1228" t="s">
        <v>81</v>
      </c>
      <c r="I1228" t="s">
        <v>9</v>
      </c>
      <c r="L1228" t="s">
        <v>161</v>
      </c>
      <c r="M1228">
        <v>-8782579.0700000003</v>
      </c>
    </row>
    <row r="1229" spans="1:13" x14ac:dyDescent="0.3">
      <c r="A1229" s="23">
        <v>45763</v>
      </c>
      <c r="B1229" t="s">
        <v>12</v>
      </c>
      <c r="C1229" t="s">
        <v>132</v>
      </c>
      <c r="D1229" t="s">
        <v>16</v>
      </c>
      <c r="E1229" t="s">
        <v>48</v>
      </c>
      <c r="F1229">
        <v>2000000000</v>
      </c>
      <c r="G1229" t="s">
        <v>29</v>
      </c>
      <c r="H1229" t="s">
        <v>81</v>
      </c>
      <c r="I1229" t="s">
        <v>9</v>
      </c>
      <c r="L1229" t="s">
        <v>161</v>
      </c>
      <c r="M1229">
        <v>2000000000</v>
      </c>
    </row>
    <row r="1230" spans="1:13" x14ac:dyDescent="0.3">
      <c r="A1230" s="23">
        <v>45762</v>
      </c>
      <c r="B1230" t="s">
        <v>12</v>
      </c>
      <c r="C1230" t="s">
        <v>132</v>
      </c>
      <c r="D1230" t="s">
        <v>16</v>
      </c>
      <c r="E1230" t="s">
        <v>48</v>
      </c>
      <c r="F1230">
        <v>400000000</v>
      </c>
      <c r="G1230" t="s">
        <v>29</v>
      </c>
      <c r="H1230" t="s">
        <v>81</v>
      </c>
      <c r="I1230" t="s">
        <v>9</v>
      </c>
      <c r="L1230" t="s">
        <v>161</v>
      </c>
      <c r="M1230">
        <v>400000000</v>
      </c>
    </row>
    <row r="1231" spans="1:13" x14ac:dyDescent="0.3">
      <c r="A1231" s="23">
        <v>45761</v>
      </c>
      <c r="B1231" t="s">
        <v>12</v>
      </c>
      <c r="C1231" t="s">
        <v>132</v>
      </c>
      <c r="D1231" t="s">
        <v>17</v>
      </c>
      <c r="E1231" t="s">
        <v>48</v>
      </c>
      <c r="F1231">
        <v>273700000</v>
      </c>
      <c r="G1231" t="s">
        <v>29</v>
      </c>
      <c r="H1231" t="s">
        <v>81</v>
      </c>
      <c r="I1231" t="s">
        <v>9</v>
      </c>
      <c r="L1231" t="s">
        <v>161</v>
      </c>
      <c r="M1231">
        <v>-273700000</v>
      </c>
    </row>
    <row r="1232" spans="1:13" x14ac:dyDescent="0.3">
      <c r="A1232" s="23">
        <v>45758</v>
      </c>
      <c r="B1232" t="s">
        <v>12</v>
      </c>
      <c r="C1232" t="s">
        <v>132</v>
      </c>
      <c r="D1232" t="s">
        <v>16</v>
      </c>
      <c r="E1232" t="s">
        <v>48</v>
      </c>
      <c r="F1232">
        <v>19800000</v>
      </c>
      <c r="G1232" t="s">
        <v>29</v>
      </c>
      <c r="H1232" t="s">
        <v>81</v>
      </c>
      <c r="I1232" t="s">
        <v>9</v>
      </c>
      <c r="L1232" t="s">
        <v>161</v>
      </c>
      <c r="M1232">
        <v>19800000</v>
      </c>
    </row>
    <row r="1233" spans="1:13" x14ac:dyDescent="0.3">
      <c r="A1233" s="23">
        <v>45757</v>
      </c>
      <c r="B1233" t="s">
        <v>12</v>
      </c>
      <c r="C1233" t="s">
        <v>132</v>
      </c>
      <c r="D1233" t="s">
        <v>17</v>
      </c>
      <c r="E1233" t="s">
        <v>48</v>
      </c>
      <c r="F1233">
        <v>1105000000</v>
      </c>
      <c r="G1233" t="s">
        <v>29</v>
      </c>
      <c r="H1233" t="s">
        <v>81</v>
      </c>
      <c r="I1233" t="s">
        <v>9</v>
      </c>
      <c r="L1233" t="s">
        <v>161</v>
      </c>
      <c r="M1233">
        <v>-1105000000</v>
      </c>
    </row>
    <row r="1234" spans="1:13" x14ac:dyDescent="0.3">
      <c r="A1234" s="23">
        <v>45755</v>
      </c>
      <c r="B1234" t="s">
        <v>12</v>
      </c>
      <c r="C1234" t="s">
        <v>132</v>
      </c>
      <c r="D1234" t="s">
        <v>17</v>
      </c>
      <c r="E1234" t="s">
        <v>48</v>
      </c>
      <c r="F1234">
        <v>26800000</v>
      </c>
      <c r="G1234" t="s">
        <v>29</v>
      </c>
      <c r="H1234" t="s">
        <v>81</v>
      </c>
      <c r="I1234" t="s">
        <v>9</v>
      </c>
      <c r="L1234" t="s">
        <v>161</v>
      </c>
      <c r="M1234">
        <v>-26800000</v>
      </c>
    </row>
    <row r="1235" spans="1:13" x14ac:dyDescent="0.3">
      <c r="A1235" s="23">
        <v>45754</v>
      </c>
      <c r="B1235" t="s">
        <v>12</v>
      </c>
      <c r="C1235" t="s">
        <v>132</v>
      </c>
      <c r="D1235" t="s">
        <v>17</v>
      </c>
      <c r="E1235" t="s">
        <v>48</v>
      </c>
      <c r="F1235">
        <v>258200000</v>
      </c>
      <c r="G1235" t="s">
        <v>29</v>
      </c>
      <c r="H1235" t="s">
        <v>81</v>
      </c>
      <c r="I1235" t="s">
        <v>9</v>
      </c>
      <c r="L1235" t="s">
        <v>161</v>
      </c>
      <c r="M1235">
        <v>-258200000</v>
      </c>
    </row>
    <row r="1236" spans="1:13" x14ac:dyDescent="0.3">
      <c r="A1236" s="23">
        <v>45751</v>
      </c>
      <c r="B1236" t="s">
        <v>12</v>
      </c>
      <c r="C1236" t="s">
        <v>132</v>
      </c>
      <c r="D1236" t="s">
        <v>17</v>
      </c>
      <c r="E1236" t="s">
        <v>48</v>
      </c>
      <c r="F1236">
        <v>13700000</v>
      </c>
      <c r="G1236" t="s">
        <v>29</v>
      </c>
      <c r="H1236" t="s">
        <v>81</v>
      </c>
      <c r="I1236" t="s">
        <v>9</v>
      </c>
      <c r="L1236" t="s">
        <v>161</v>
      </c>
      <c r="M1236">
        <v>-13700000</v>
      </c>
    </row>
    <row r="1237" spans="1:13" x14ac:dyDescent="0.3">
      <c r="A1237" s="23">
        <v>45744</v>
      </c>
      <c r="B1237" t="s">
        <v>12</v>
      </c>
      <c r="C1237" t="s">
        <v>132</v>
      </c>
      <c r="D1237" t="s">
        <v>17</v>
      </c>
      <c r="E1237" t="s">
        <v>48</v>
      </c>
      <c r="F1237">
        <v>280700000</v>
      </c>
      <c r="G1237" t="s">
        <v>29</v>
      </c>
      <c r="H1237" t="s">
        <v>81</v>
      </c>
      <c r="I1237" t="s">
        <v>9</v>
      </c>
      <c r="L1237" t="s">
        <v>161</v>
      </c>
      <c r="M1237">
        <v>-280700000</v>
      </c>
    </row>
    <row r="1238" spans="1:13" x14ac:dyDescent="0.3">
      <c r="A1238" s="23">
        <v>45743</v>
      </c>
      <c r="B1238" t="s">
        <v>12</v>
      </c>
      <c r="C1238" t="s">
        <v>132</v>
      </c>
      <c r="D1238" t="s">
        <v>16</v>
      </c>
      <c r="E1238" t="s">
        <v>48</v>
      </c>
      <c r="F1238">
        <v>7039970</v>
      </c>
      <c r="G1238" t="s">
        <v>29</v>
      </c>
      <c r="H1238" t="s">
        <v>81</v>
      </c>
      <c r="I1238" t="s">
        <v>9</v>
      </c>
      <c r="L1238" t="s">
        <v>161</v>
      </c>
      <c r="M1238">
        <v>7039970</v>
      </c>
    </row>
    <row r="1239" spans="1:13" x14ac:dyDescent="0.3">
      <c r="A1239" s="23">
        <v>45743</v>
      </c>
      <c r="B1239" t="s">
        <v>12</v>
      </c>
      <c r="C1239" t="s">
        <v>132</v>
      </c>
      <c r="D1239" t="s">
        <v>16</v>
      </c>
      <c r="E1239" t="s">
        <v>48</v>
      </c>
      <c r="F1239">
        <v>1782000000</v>
      </c>
      <c r="G1239" t="s">
        <v>29</v>
      </c>
      <c r="H1239" t="s">
        <v>81</v>
      </c>
      <c r="I1239" t="s">
        <v>9</v>
      </c>
      <c r="L1239" t="s">
        <v>161</v>
      </c>
      <c r="M1239">
        <v>1782000000</v>
      </c>
    </row>
    <row r="1240" spans="1:13" x14ac:dyDescent="0.3">
      <c r="A1240" s="23">
        <v>45737</v>
      </c>
      <c r="B1240" t="s">
        <v>12</v>
      </c>
      <c r="C1240" t="s">
        <v>132</v>
      </c>
      <c r="D1240" t="s">
        <v>17</v>
      </c>
      <c r="E1240" t="s">
        <v>48</v>
      </c>
      <c r="F1240">
        <v>47400000</v>
      </c>
      <c r="G1240" t="s">
        <v>29</v>
      </c>
      <c r="H1240" t="s">
        <v>81</v>
      </c>
      <c r="I1240" t="s">
        <v>9</v>
      </c>
      <c r="L1240" t="s">
        <v>161</v>
      </c>
      <c r="M1240">
        <v>-47400000</v>
      </c>
    </row>
    <row r="1241" spans="1:13" x14ac:dyDescent="0.3">
      <c r="A1241" s="23">
        <v>45733</v>
      </c>
      <c r="B1241" t="s">
        <v>12</v>
      </c>
      <c r="C1241" t="s">
        <v>132</v>
      </c>
      <c r="D1241" t="s">
        <v>17</v>
      </c>
      <c r="E1241" t="s">
        <v>48</v>
      </c>
      <c r="F1241">
        <v>300000</v>
      </c>
      <c r="G1241" t="s">
        <v>29</v>
      </c>
      <c r="H1241" t="s">
        <v>81</v>
      </c>
      <c r="I1241" t="s">
        <v>9</v>
      </c>
      <c r="L1241" t="s">
        <v>161</v>
      </c>
      <c r="M1241">
        <v>-300000</v>
      </c>
    </row>
    <row r="1242" spans="1:13" x14ac:dyDescent="0.3">
      <c r="A1242" s="23">
        <v>45733</v>
      </c>
      <c r="B1242" t="s">
        <v>12</v>
      </c>
      <c r="C1242" t="s">
        <v>132</v>
      </c>
      <c r="D1242" t="s">
        <v>17</v>
      </c>
      <c r="E1242" t="s">
        <v>48</v>
      </c>
      <c r="F1242">
        <v>18100000</v>
      </c>
      <c r="G1242" t="s">
        <v>29</v>
      </c>
      <c r="H1242" t="s">
        <v>81</v>
      </c>
      <c r="I1242" t="s">
        <v>9</v>
      </c>
      <c r="L1242" t="s">
        <v>161</v>
      </c>
      <c r="M1242">
        <v>-18100000</v>
      </c>
    </row>
    <row r="1243" spans="1:13" x14ac:dyDescent="0.3">
      <c r="A1243" s="23">
        <v>45730</v>
      </c>
      <c r="B1243" t="s">
        <v>12</v>
      </c>
      <c r="C1243" t="s">
        <v>132</v>
      </c>
      <c r="D1243" t="s">
        <v>17</v>
      </c>
      <c r="E1243" t="s">
        <v>48</v>
      </c>
      <c r="F1243">
        <v>5400000</v>
      </c>
      <c r="G1243" t="s">
        <v>29</v>
      </c>
      <c r="H1243" t="s">
        <v>81</v>
      </c>
      <c r="I1243" t="s">
        <v>9</v>
      </c>
      <c r="L1243" t="s">
        <v>161</v>
      </c>
      <c r="M1243">
        <v>-5400000</v>
      </c>
    </row>
    <row r="1244" spans="1:13" x14ac:dyDescent="0.3">
      <c r="A1244" s="23">
        <v>45728</v>
      </c>
      <c r="B1244" t="s">
        <v>12</v>
      </c>
      <c r="C1244" t="s">
        <v>132</v>
      </c>
      <c r="D1244" t="s">
        <v>17</v>
      </c>
      <c r="E1244" t="s">
        <v>48</v>
      </c>
      <c r="F1244">
        <v>31700000</v>
      </c>
      <c r="G1244" t="s">
        <v>29</v>
      </c>
      <c r="H1244" t="s">
        <v>81</v>
      </c>
      <c r="I1244" t="s">
        <v>9</v>
      </c>
      <c r="L1244" t="s">
        <v>161</v>
      </c>
      <c r="M1244">
        <v>-31700000</v>
      </c>
    </row>
    <row r="1245" spans="1:13" x14ac:dyDescent="0.3">
      <c r="A1245" s="23">
        <v>45722</v>
      </c>
      <c r="B1245" t="s">
        <v>12</v>
      </c>
      <c r="C1245" t="s">
        <v>132</v>
      </c>
      <c r="D1245" t="s">
        <v>17</v>
      </c>
      <c r="E1245" t="s">
        <v>48</v>
      </c>
      <c r="F1245">
        <v>290000000</v>
      </c>
      <c r="G1245" t="s">
        <v>29</v>
      </c>
      <c r="H1245" t="s">
        <v>81</v>
      </c>
      <c r="I1245" t="s">
        <v>9</v>
      </c>
      <c r="L1245" t="s">
        <v>161</v>
      </c>
      <c r="M1245">
        <v>-290000000</v>
      </c>
    </row>
    <row r="1246" spans="1:13" x14ac:dyDescent="0.3">
      <c r="A1246" s="23">
        <v>45721</v>
      </c>
      <c r="B1246" t="s">
        <v>12</v>
      </c>
      <c r="C1246" t="s">
        <v>132</v>
      </c>
      <c r="D1246" t="s">
        <v>17</v>
      </c>
      <c r="E1246" t="s">
        <v>48</v>
      </c>
      <c r="F1246">
        <v>350000000</v>
      </c>
      <c r="G1246" t="s">
        <v>29</v>
      </c>
      <c r="H1246" t="s">
        <v>81</v>
      </c>
      <c r="I1246" t="s">
        <v>9</v>
      </c>
      <c r="L1246" t="s">
        <v>161</v>
      </c>
      <c r="M1246">
        <v>-350000000</v>
      </c>
    </row>
    <row r="1247" spans="1:13" x14ac:dyDescent="0.3">
      <c r="A1247" s="23">
        <v>45716</v>
      </c>
      <c r="B1247" t="s">
        <v>12</v>
      </c>
      <c r="C1247" t="s">
        <v>132</v>
      </c>
      <c r="D1247" t="s">
        <v>16</v>
      </c>
      <c r="E1247" t="s">
        <v>48</v>
      </c>
      <c r="F1247">
        <v>20787694</v>
      </c>
      <c r="G1247" t="s">
        <v>29</v>
      </c>
      <c r="H1247" t="s">
        <v>81</v>
      </c>
      <c r="I1247" t="s">
        <v>9</v>
      </c>
      <c r="L1247" t="s">
        <v>161</v>
      </c>
      <c r="M1247">
        <v>20787694</v>
      </c>
    </row>
    <row r="1248" spans="1:13" x14ac:dyDescent="0.3">
      <c r="A1248" s="23">
        <v>45716</v>
      </c>
      <c r="B1248" t="s">
        <v>12</v>
      </c>
      <c r="C1248" t="s">
        <v>132</v>
      </c>
      <c r="D1248" t="s">
        <v>17</v>
      </c>
      <c r="E1248" t="s">
        <v>48</v>
      </c>
      <c r="F1248">
        <v>800000000</v>
      </c>
      <c r="G1248" t="s">
        <v>29</v>
      </c>
      <c r="H1248" t="s">
        <v>81</v>
      </c>
      <c r="I1248" t="s">
        <v>9</v>
      </c>
      <c r="L1248" t="s">
        <v>161</v>
      </c>
      <c r="M1248">
        <v>-800000000</v>
      </c>
    </row>
    <row r="1249" spans="1:13" x14ac:dyDescent="0.3">
      <c r="A1249" s="23">
        <v>45716</v>
      </c>
      <c r="B1249" t="s">
        <v>12</v>
      </c>
      <c r="C1249" t="s">
        <v>132</v>
      </c>
      <c r="D1249" t="s">
        <v>16</v>
      </c>
      <c r="E1249" t="s">
        <v>48</v>
      </c>
      <c r="F1249">
        <v>621100000</v>
      </c>
      <c r="G1249" t="s">
        <v>29</v>
      </c>
      <c r="H1249" t="s">
        <v>81</v>
      </c>
      <c r="I1249" t="s">
        <v>9</v>
      </c>
      <c r="L1249" t="s">
        <v>161</v>
      </c>
      <c r="M1249">
        <v>621100000</v>
      </c>
    </row>
    <row r="1250" spans="1:13" x14ac:dyDescent="0.3">
      <c r="A1250" s="23">
        <v>45715</v>
      </c>
      <c r="B1250" t="s">
        <v>12</v>
      </c>
      <c r="C1250" t="s">
        <v>132</v>
      </c>
      <c r="D1250" t="s">
        <v>17</v>
      </c>
      <c r="E1250" t="s">
        <v>48</v>
      </c>
      <c r="F1250">
        <v>578000000</v>
      </c>
      <c r="G1250" t="s">
        <v>29</v>
      </c>
      <c r="H1250" t="s">
        <v>81</v>
      </c>
      <c r="I1250" t="s">
        <v>9</v>
      </c>
      <c r="L1250" t="s">
        <v>161</v>
      </c>
      <c r="M1250">
        <v>-578000000</v>
      </c>
    </row>
    <row r="1251" spans="1:13" x14ac:dyDescent="0.3">
      <c r="A1251" s="23">
        <v>45706</v>
      </c>
      <c r="B1251" t="s">
        <v>12</v>
      </c>
      <c r="C1251" t="s">
        <v>132</v>
      </c>
      <c r="D1251" t="s">
        <v>16</v>
      </c>
      <c r="E1251" t="s">
        <v>48</v>
      </c>
      <c r="F1251">
        <v>1100000000</v>
      </c>
      <c r="G1251" t="s">
        <v>29</v>
      </c>
      <c r="H1251" t="s">
        <v>81</v>
      </c>
      <c r="I1251" t="s">
        <v>9</v>
      </c>
      <c r="L1251" t="s">
        <v>161</v>
      </c>
      <c r="M1251">
        <v>1100000000</v>
      </c>
    </row>
    <row r="1252" spans="1:13" x14ac:dyDescent="0.3">
      <c r="A1252" s="23">
        <v>45702</v>
      </c>
      <c r="B1252" t="s">
        <v>12</v>
      </c>
      <c r="C1252" t="s">
        <v>132</v>
      </c>
      <c r="D1252" t="s">
        <v>17</v>
      </c>
      <c r="E1252" t="s">
        <v>48</v>
      </c>
      <c r="F1252">
        <v>301100000</v>
      </c>
      <c r="G1252" t="s">
        <v>29</v>
      </c>
      <c r="H1252" t="s">
        <v>81</v>
      </c>
      <c r="I1252" t="s">
        <v>9</v>
      </c>
      <c r="L1252" t="s">
        <v>161</v>
      </c>
      <c r="M1252">
        <v>-301100000</v>
      </c>
    </row>
    <row r="1253" spans="1:13" x14ac:dyDescent="0.3">
      <c r="A1253" s="23">
        <v>45701</v>
      </c>
      <c r="B1253" t="s">
        <v>12</v>
      </c>
      <c r="C1253" t="s">
        <v>132</v>
      </c>
      <c r="D1253" t="s">
        <v>16</v>
      </c>
      <c r="E1253" t="s">
        <v>48</v>
      </c>
      <c r="F1253">
        <v>900000000</v>
      </c>
      <c r="G1253" t="s">
        <v>29</v>
      </c>
      <c r="H1253" t="s">
        <v>81</v>
      </c>
      <c r="I1253" t="s">
        <v>9</v>
      </c>
      <c r="L1253" t="s">
        <v>161</v>
      </c>
      <c r="M1253">
        <v>900000000</v>
      </c>
    </row>
    <row r="1254" spans="1:13" x14ac:dyDescent="0.3">
      <c r="A1254" s="23">
        <v>45700</v>
      </c>
      <c r="B1254" t="s">
        <v>12</v>
      </c>
      <c r="C1254" t="s">
        <v>132</v>
      </c>
      <c r="D1254" t="s">
        <v>16</v>
      </c>
      <c r="E1254" t="s">
        <v>48</v>
      </c>
      <c r="F1254">
        <v>40100000</v>
      </c>
      <c r="G1254" t="s">
        <v>29</v>
      </c>
      <c r="H1254" t="s">
        <v>81</v>
      </c>
      <c r="I1254" t="s">
        <v>9</v>
      </c>
      <c r="L1254" t="s">
        <v>161</v>
      </c>
      <c r="M1254">
        <v>40100000</v>
      </c>
    </row>
    <row r="1255" spans="1:13" x14ac:dyDescent="0.3">
      <c r="A1255" s="23">
        <v>45695</v>
      </c>
      <c r="B1255" t="s">
        <v>12</v>
      </c>
      <c r="C1255" t="s">
        <v>132</v>
      </c>
      <c r="D1255" t="s">
        <v>16</v>
      </c>
      <c r="E1255" t="s">
        <v>48</v>
      </c>
      <c r="F1255">
        <v>3490000</v>
      </c>
      <c r="G1255" t="s">
        <v>29</v>
      </c>
      <c r="H1255" t="s">
        <v>81</v>
      </c>
      <c r="I1255" t="s">
        <v>9</v>
      </c>
      <c r="L1255" t="s">
        <v>161</v>
      </c>
      <c r="M1255">
        <v>3490000</v>
      </c>
    </row>
    <row r="1256" spans="1:13" x14ac:dyDescent="0.3">
      <c r="A1256" s="23">
        <v>45695</v>
      </c>
      <c r="B1256" t="s">
        <v>12</v>
      </c>
      <c r="C1256" t="s">
        <v>132</v>
      </c>
      <c r="D1256" t="s">
        <v>16</v>
      </c>
      <c r="E1256" t="s">
        <v>48</v>
      </c>
      <c r="F1256">
        <v>45600000</v>
      </c>
      <c r="G1256" t="s">
        <v>29</v>
      </c>
      <c r="H1256" t="s">
        <v>81</v>
      </c>
      <c r="I1256" t="s">
        <v>9</v>
      </c>
      <c r="L1256" t="s">
        <v>161</v>
      </c>
      <c r="M1256">
        <v>45600000</v>
      </c>
    </row>
    <row r="1257" spans="1:13" x14ac:dyDescent="0.3">
      <c r="A1257" s="23">
        <v>45684</v>
      </c>
      <c r="B1257" t="s">
        <v>12</v>
      </c>
      <c r="C1257" t="s">
        <v>132</v>
      </c>
      <c r="D1257" t="s">
        <v>17</v>
      </c>
      <c r="E1257" t="s">
        <v>48</v>
      </c>
      <c r="F1257">
        <v>96600000</v>
      </c>
      <c r="G1257" t="s">
        <v>29</v>
      </c>
      <c r="H1257" t="s">
        <v>81</v>
      </c>
      <c r="I1257" t="s">
        <v>9</v>
      </c>
      <c r="L1257" t="s">
        <v>161</v>
      </c>
      <c r="M1257">
        <v>-96600000</v>
      </c>
    </row>
    <row r="1258" spans="1:13" x14ac:dyDescent="0.3">
      <c r="A1258" s="23">
        <v>44767</v>
      </c>
      <c r="B1258" t="s">
        <v>12</v>
      </c>
      <c r="C1258" t="s">
        <v>132</v>
      </c>
      <c r="D1258" t="s">
        <v>16</v>
      </c>
      <c r="E1258" t="s">
        <v>48</v>
      </c>
      <c r="F1258">
        <v>125300000</v>
      </c>
      <c r="G1258" t="s">
        <v>29</v>
      </c>
      <c r="H1258" t="s">
        <v>81</v>
      </c>
      <c r="I1258" t="s">
        <v>9</v>
      </c>
      <c r="L1258" t="s">
        <v>161</v>
      </c>
      <c r="M1258">
        <v>125300000</v>
      </c>
    </row>
    <row r="1259" spans="1:13" x14ac:dyDescent="0.3">
      <c r="A1259" s="23">
        <v>44768</v>
      </c>
      <c r="B1259" t="s">
        <v>12</v>
      </c>
      <c r="C1259" t="s">
        <v>132</v>
      </c>
      <c r="D1259" t="s">
        <v>17</v>
      </c>
      <c r="E1259" t="s">
        <v>48</v>
      </c>
      <c r="F1259">
        <v>125300000</v>
      </c>
      <c r="G1259" t="s">
        <v>29</v>
      </c>
      <c r="H1259" t="s">
        <v>81</v>
      </c>
      <c r="I1259" t="s">
        <v>9</v>
      </c>
      <c r="L1259" t="s">
        <v>161</v>
      </c>
      <c r="M1259">
        <v>-125300000</v>
      </c>
    </row>
    <row r="1260" spans="1:13" x14ac:dyDescent="0.3">
      <c r="A1260" s="23">
        <v>45678</v>
      </c>
      <c r="B1260" t="s">
        <v>12</v>
      </c>
      <c r="C1260" t="s">
        <v>132</v>
      </c>
      <c r="D1260" t="s">
        <v>17</v>
      </c>
      <c r="E1260" t="s">
        <v>48</v>
      </c>
      <c r="F1260">
        <v>350000000</v>
      </c>
      <c r="G1260" t="s">
        <v>29</v>
      </c>
      <c r="H1260" t="s">
        <v>81</v>
      </c>
      <c r="I1260" t="s">
        <v>9</v>
      </c>
      <c r="L1260" t="s">
        <v>161</v>
      </c>
      <c r="M1260">
        <v>-350000000</v>
      </c>
    </row>
    <row r="1261" spans="1:13" x14ac:dyDescent="0.3">
      <c r="A1261" s="23">
        <v>44774</v>
      </c>
      <c r="B1261" t="s">
        <v>12</v>
      </c>
      <c r="C1261" t="s">
        <v>132</v>
      </c>
      <c r="D1261" t="s">
        <v>16</v>
      </c>
      <c r="E1261" t="s">
        <v>48</v>
      </c>
      <c r="F1261">
        <v>100000000</v>
      </c>
      <c r="G1261" t="s">
        <v>29</v>
      </c>
      <c r="H1261" t="s">
        <v>81</v>
      </c>
      <c r="I1261" t="s">
        <v>9</v>
      </c>
      <c r="L1261" t="s">
        <v>161</v>
      </c>
      <c r="M1261">
        <v>100000000</v>
      </c>
    </row>
    <row r="1262" spans="1:13" x14ac:dyDescent="0.3">
      <c r="A1262" s="23">
        <v>44776</v>
      </c>
      <c r="B1262" t="s">
        <v>12</v>
      </c>
      <c r="C1262" t="s">
        <v>132</v>
      </c>
      <c r="D1262" t="s">
        <v>17</v>
      </c>
      <c r="E1262" t="s">
        <v>48</v>
      </c>
      <c r="F1262">
        <v>69300000</v>
      </c>
      <c r="G1262" t="s">
        <v>29</v>
      </c>
      <c r="H1262" t="s">
        <v>81</v>
      </c>
      <c r="I1262" t="s">
        <v>9</v>
      </c>
      <c r="L1262" t="s">
        <v>161</v>
      </c>
      <c r="M1262">
        <v>-69300000</v>
      </c>
    </row>
    <row r="1263" spans="1:13" x14ac:dyDescent="0.3">
      <c r="A1263" s="23">
        <v>44777</v>
      </c>
      <c r="B1263" t="s">
        <v>12</v>
      </c>
      <c r="C1263" t="s">
        <v>132</v>
      </c>
      <c r="D1263" t="s">
        <v>17</v>
      </c>
      <c r="E1263" t="s">
        <v>48</v>
      </c>
      <c r="F1263">
        <v>30300000</v>
      </c>
      <c r="G1263" t="s">
        <v>29</v>
      </c>
      <c r="H1263" t="s">
        <v>81</v>
      </c>
      <c r="I1263" t="s">
        <v>9</v>
      </c>
      <c r="L1263" t="s">
        <v>161</v>
      </c>
      <c r="M1263">
        <v>-30300000</v>
      </c>
    </row>
    <row r="1264" spans="1:13" x14ac:dyDescent="0.3">
      <c r="A1264" s="23">
        <v>45674</v>
      </c>
      <c r="B1264" t="s">
        <v>12</v>
      </c>
      <c r="C1264" t="s">
        <v>132</v>
      </c>
      <c r="D1264" t="s">
        <v>16</v>
      </c>
      <c r="E1264" t="s">
        <v>48</v>
      </c>
      <c r="F1264">
        <v>192400000</v>
      </c>
      <c r="G1264" t="s">
        <v>29</v>
      </c>
      <c r="H1264" t="s">
        <v>81</v>
      </c>
      <c r="I1264" t="s">
        <v>9</v>
      </c>
      <c r="L1264" t="s">
        <v>161</v>
      </c>
      <c r="M1264">
        <v>192400000</v>
      </c>
    </row>
    <row r="1265" spans="1:13" x14ac:dyDescent="0.3">
      <c r="A1265" s="23">
        <v>45674</v>
      </c>
      <c r="B1265" t="s">
        <v>12</v>
      </c>
      <c r="C1265" t="s">
        <v>132</v>
      </c>
      <c r="D1265" t="s">
        <v>16</v>
      </c>
      <c r="E1265" t="s">
        <v>48</v>
      </c>
      <c r="F1265">
        <v>2695136</v>
      </c>
      <c r="G1265" t="s">
        <v>29</v>
      </c>
      <c r="H1265" t="s">
        <v>81</v>
      </c>
      <c r="I1265" t="s">
        <v>9</v>
      </c>
      <c r="L1265" t="s">
        <v>161</v>
      </c>
      <c r="M1265">
        <v>2695136</v>
      </c>
    </row>
    <row r="1266" spans="1:13" x14ac:dyDescent="0.3">
      <c r="A1266" s="23">
        <v>44783</v>
      </c>
      <c r="B1266" t="s">
        <v>12</v>
      </c>
      <c r="C1266" t="s">
        <v>132</v>
      </c>
      <c r="D1266" t="s">
        <v>16</v>
      </c>
      <c r="E1266" t="s">
        <v>48</v>
      </c>
      <c r="F1266">
        <v>100000000</v>
      </c>
      <c r="G1266" t="s">
        <v>29</v>
      </c>
      <c r="H1266" t="s">
        <v>81</v>
      </c>
      <c r="I1266" t="s">
        <v>9</v>
      </c>
      <c r="L1266" t="s">
        <v>161</v>
      </c>
      <c r="M1266">
        <v>100000000</v>
      </c>
    </row>
    <row r="1267" spans="1:13" x14ac:dyDescent="0.3">
      <c r="A1267" s="23">
        <v>45673</v>
      </c>
      <c r="B1267" t="s">
        <v>12</v>
      </c>
      <c r="C1267" t="s">
        <v>132</v>
      </c>
      <c r="D1267" t="s">
        <v>17</v>
      </c>
      <c r="E1267" t="s">
        <v>48</v>
      </c>
      <c r="F1267">
        <v>134000000</v>
      </c>
      <c r="G1267" t="s">
        <v>29</v>
      </c>
      <c r="H1267" t="s">
        <v>81</v>
      </c>
      <c r="I1267" t="s">
        <v>9</v>
      </c>
      <c r="L1267" t="s">
        <v>161</v>
      </c>
      <c r="M1267">
        <v>-134000000</v>
      </c>
    </row>
    <row r="1268" spans="1:13" x14ac:dyDescent="0.3">
      <c r="A1268" s="23">
        <v>44784</v>
      </c>
      <c r="B1268" t="s">
        <v>12</v>
      </c>
      <c r="C1268" t="s">
        <v>132</v>
      </c>
      <c r="D1268" t="s">
        <v>17</v>
      </c>
      <c r="E1268" t="s">
        <v>48</v>
      </c>
      <c r="F1268">
        <v>95100000</v>
      </c>
      <c r="G1268" t="s">
        <v>29</v>
      </c>
      <c r="H1268" t="s">
        <v>81</v>
      </c>
      <c r="I1268" t="s">
        <v>9</v>
      </c>
      <c r="L1268" t="s">
        <v>161</v>
      </c>
      <c r="M1268">
        <v>-95100000</v>
      </c>
    </row>
    <row r="1269" spans="1:13" x14ac:dyDescent="0.3">
      <c r="A1269" s="23">
        <v>45672</v>
      </c>
      <c r="B1269" t="s">
        <v>12</v>
      </c>
      <c r="C1269" t="s">
        <v>132</v>
      </c>
      <c r="D1269" t="s">
        <v>16</v>
      </c>
      <c r="E1269" t="s">
        <v>48</v>
      </c>
      <c r="F1269">
        <v>180000000</v>
      </c>
      <c r="G1269" t="s">
        <v>29</v>
      </c>
      <c r="H1269" t="s">
        <v>81</v>
      </c>
      <c r="I1269" t="s">
        <v>9</v>
      </c>
      <c r="L1269" t="s">
        <v>161</v>
      </c>
      <c r="M1269">
        <v>180000000</v>
      </c>
    </row>
    <row r="1270" spans="1:13" x14ac:dyDescent="0.3">
      <c r="A1270" s="23">
        <v>45671</v>
      </c>
      <c r="B1270" t="s">
        <v>12</v>
      </c>
      <c r="C1270" t="s">
        <v>132</v>
      </c>
      <c r="D1270" t="s">
        <v>17</v>
      </c>
      <c r="E1270" t="s">
        <v>48</v>
      </c>
      <c r="F1270">
        <v>400000000</v>
      </c>
      <c r="G1270" t="s">
        <v>29</v>
      </c>
      <c r="H1270" t="s">
        <v>81</v>
      </c>
      <c r="I1270" t="s">
        <v>9</v>
      </c>
      <c r="L1270" t="s">
        <v>161</v>
      </c>
      <c r="M1270">
        <v>-400000000</v>
      </c>
    </row>
    <row r="1271" spans="1:13" x14ac:dyDescent="0.3">
      <c r="A1271" s="23">
        <v>44789</v>
      </c>
      <c r="B1271" t="s">
        <v>12</v>
      </c>
      <c r="C1271" t="s">
        <v>132</v>
      </c>
      <c r="D1271" t="s">
        <v>17</v>
      </c>
      <c r="E1271" t="s">
        <v>48</v>
      </c>
      <c r="F1271">
        <v>5300000</v>
      </c>
      <c r="G1271" t="s">
        <v>29</v>
      </c>
      <c r="H1271" t="s">
        <v>81</v>
      </c>
      <c r="I1271" t="s">
        <v>9</v>
      </c>
      <c r="L1271" t="s">
        <v>161</v>
      </c>
      <c r="M1271">
        <v>-5300000</v>
      </c>
    </row>
    <row r="1272" spans="1:13" x14ac:dyDescent="0.3">
      <c r="A1272" s="23">
        <v>45670</v>
      </c>
      <c r="B1272" t="s">
        <v>12</v>
      </c>
      <c r="C1272" t="s">
        <v>132</v>
      </c>
      <c r="D1272" t="s">
        <v>16</v>
      </c>
      <c r="E1272" t="s">
        <v>48</v>
      </c>
      <c r="F1272">
        <v>200000000</v>
      </c>
      <c r="G1272" t="s">
        <v>29</v>
      </c>
      <c r="H1272" t="s">
        <v>81</v>
      </c>
      <c r="I1272" t="s">
        <v>9</v>
      </c>
      <c r="L1272" t="s">
        <v>161</v>
      </c>
      <c r="M1272">
        <v>200000000</v>
      </c>
    </row>
    <row r="1273" spans="1:13" x14ac:dyDescent="0.3">
      <c r="A1273" s="23">
        <v>45667</v>
      </c>
      <c r="B1273" t="s">
        <v>12</v>
      </c>
      <c r="C1273" t="s">
        <v>132</v>
      </c>
      <c r="D1273" t="s">
        <v>16</v>
      </c>
      <c r="E1273" t="s">
        <v>48</v>
      </c>
      <c r="F1273">
        <v>500000000</v>
      </c>
      <c r="G1273" t="s">
        <v>29</v>
      </c>
      <c r="H1273" t="s">
        <v>81</v>
      </c>
      <c r="I1273" t="s">
        <v>9</v>
      </c>
      <c r="L1273" t="s">
        <v>161</v>
      </c>
      <c r="M1273">
        <v>500000000</v>
      </c>
    </row>
    <row r="1274" spans="1:13" x14ac:dyDescent="0.3">
      <c r="A1274" s="23">
        <v>45656</v>
      </c>
      <c r="B1274" t="s">
        <v>12</v>
      </c>
      <c r="C1274" t="s">
        <v>132</v>
      </c>
      <c r="D1274" t="s">
        <v>17</v>
      </c>
      <c r="E1274" t="s">
        <v>48</v>
      </c>
      <c r="F1274">
        <v>669663760</v>
      </c>
      <c r="G1274" t="s">
        <v>29</v>
      </c>
      <c r="H1274" t="s">
        <v>81</v>
      </c>
      <c r="I1274" t="s">
        <v>9</v>
      </c>
      <c r="L1274" t="s">
        <v>161</v>
      </c>
      <c r="M1274">
        <v>-669663760</v>
      </c>
    </row>
    <row r="1275" spans="1:13" x14ac:dyDescent="0.3">
      <c r="A1275" s="23">
        <v>45649</v>
      </c>
      <c r="B1275" t="s">
        <v>12</v>
      </c>
      <c r="C1275" t="s">
        <v>132</v>
      </c>
      <c r="D1275" t="s">
        <v>16</v>
      </c>
      <c r="E1275" t="s">
        <v>48</v>
      </c>
      <c r="F1275">
        <v>500000000</v>
      </c>
      <c r="G1275" t="s">
        <v>29</v>
      </c>
      <c r="H1275" t="s">
        <v>81</v>
      </c>
      <c r="I1275" t="s">
        <v>9</v>
      </c>
      <c r="L1275" t="s">
        <v>161</v>
      </c>
      <c r="M1275">
        <v>500000000</v>
      </c>
    </row>
    <row r="1276" spans="1:13" x14ac:dyDescent="0.3">
      <c r="A1276" s="23">
        <v>45646</v>
      </c>
      <c r="B1276" t="s">
        <v>12</v>
      </c>
      <c r="C1276" t="s">
        <v>132</v>
      </c>
      <c r="D1276" t="s">
        <v>17</v>
      </c>
      <c r="E1276" t="s">
        <v>48</v>
      </c>
      <c r="F1276">
        <v>100000000</v>
      </c>
      <c r="G1276" t="s">
        <v>29</v>
      </c>
      <c r="H1276" t="s">
        <v>81</v>
      </c>
      <c r="I1276" t="s">
        <v>9</v>
      </c>
      <c r="L1276" t="s">
        <v>161</v>
      </c>
      <c r="M1276">
        <v>-100000000</v>
      </c>
    </row>
    <row r="1277" spans="1:13" x14ac:dyDescent="0.3">
      <c r="A1277" s="23">
        <v>45645</v>
      </c>
      <c r="B1277" t="s">
        <v>12</v>
      </c>
      <c r="C1277" t="s">
        <v>132</v>
      </c>
      <c r="D1277" t="s">
        <v>16</v>
      </c>
      <c r="E1277" t="s">
        <v>48</v>
      </c>
      <c r="F1277">
        <v>250000000</v>
      </c>
      <c r="G1277" t="s">
        <v>29</v>
      </c>
      <c r="H1277" t="s">
        <v>81</v>
      </c>
      <c r="I1277" t="s">
        <v>9</v>
      </c>
      <c r="L1277" t="s">
        <v>161</v>
      </c>
      <c r="M1277">
        <v>250000000</v>
      </c>
    </row>
    <row r="1278" spans="1:13" x14ac:dyDescent="0.3">
      <c r="A1278" s="23">
        <v>45643</v>
      </c>
      <c r="B1278" t="s">
        <v>12</v>
      </c>
      <c r="C1278" t="s">
        <v>132</v>
      </c>
      <c r="D1278" t="s">
        <v>17</v>
      </c>
      <c r="E1278" t="s">
        <v>48</v>
      </c>
      <c r="F1278">
        <v>50000000</v>
      </c>
      <c r="G1278" t="s">
        <v>29</v>
      </c>
      <c r="H1278" t="s">
        <v>81</v>
      </c>
      <c r="I1278" t="s">
        <v>9</v>
      </c>
      <c r="L1278" t="s">
        <v>161</v>
      </c>
      <c r="M1278">
        <v>-50000000</v>
      </c>
    </row>
    <row r="1279" spans="1:13" x14ac:dyDescent="0.3">
      <c r="A1279" s="23">
        <v>45642</v>
      </c>
      <c r="B1279" t="s">
        <v>12</v>
      </c>
      <c r="C1279" t="s">
        <v>132</v>
      </c>
      <c r="D1279" t="s">
        <v>17</v>
      </c>
      <c r="E1279" t="s">
        <v>48</v>
      </c>
      <c r="F1279">
        <v>50000000</v>
      </c>
      <c r="G1279" t="s">
        <v>29</v>
      </c>
      <c r="H1279" t="s">
        <v>81</v>
      </c>
      <c r="I1279" t="s">
        <v>9</v>
      </c>
      <c r="L1279" t="s">
        <v>161</v>
      </c>
      <c r="M1279">
        <v>-50000000</v>
      </c>
    </row>
    <row r="1280" spans="1:13" x14ac:dyDescent="0.3">
      <c r="A1280" s="23">
        <v>45639</v>
      </c>
      <c r="B1280" t="s">
        <v>12</v>
      </c>
      <c r="C1280" t="s">
        <v>132</v>
      </c>
      <c r="D1280" t="s">
        <v>16</v>
      </c>
      <c r="E1280" t="s">
        <v>48</v>
      </c>
      <c r="F1280">
        <v>100000000</v>
      </c>
      <c r="G1280" t="s">
        <v>29</v>
      </c>
      <c r="H1280" t="s">
        <v>81</v>
      </c>
      <c r="I1280" t="s">
        <v>9</v>
      </c>
      <c r="L1280" t="s">
        <v>161</v>
      </c>
      <c r="M1280">
        <v>100000000</v>
      </c>
    </row>
    <row r="1281" spans="1:13" x14ac:dyDescent="0.3">
      <c r="A1281" s="23">
        <v>45638</v>
      </c>
      <c r="B1281" t="s">
        <v>12</v>
      </c>
      <c r="C1281" t="s">
        <v>132</v>
      </c>
      <c r="D1281" t="s">
        <v>17</v>
      </c>
      <c r="E1281" t="s">
        <v>48</v>
      </c>
      <c r="F1281">
        <v>19100000</v>
      </c>
      <c r="G1281" t="s">
        <v>29</v>
      </c>
      <c r="H1281" t="s">
        <v>81</v>
      </c>
      <c r="I1281" t="s">
        <v>9</v>
      </c>
      <c r="L1281" t="s">
        <v>161</v>
      </c>
      <c r="M1281">
        <v>-19100000</v>
      </c>
    </row>
    <row r="1282" spans="1:13" x14ac:dyDescent="0.3">
      <c r="A1282" s="23">
        <v>45631</v>
      </c>
      <c r="B1282" t="s">
        <v>12</v>
      </c>
      <c r="C1282" t="s">
        <v>132</v>
      </c>
      <c r="D1282" t="s">
        <v>17</v>
      </c>
      <c r="E1282" t="s">
        <v>48</v>
      </c>
      <c r="F1282">
        <v>50000000</v>
      </c>
      <c r="G1282" t="s">
        <v>29</v>
      </c>
      <c r="H1282" t="s">
        <v>81</v>
      </c>
      <c r="I1282" t="s">
        <v>9</v>
      </c>
      <c r="L1282" t="s">
        <v>161</v>
      </c>
      <c r="M1282">
        <v>-50000000</v>
      </c>
    </row>
    <row r="1283" spans="1:13" x14ac:dyDescent="0.3">
      <c r="A1283" s="23">
        <v>45630</v>
      </c>
      <c r="B1283" t="s">
        <v>12</v>
      </c>
      <c r="C1283" t="s">
        <v>132</v>
      </c>
      <c r="D1283" t="s">
        <v>16</v>
      </c>
      <c r="E1283" t="s">
        <v>48</v>
      </c>
      <c r="F1283">
        <v>6881256</v>
      </c>
      <c r="G1283" t="s">
        <v>29</v>
      </c>
      <c r="H1283" t="s">
        <v>81</v>
      </c>
      <c r="I1283" t="s">
        <v>9</v>
      </c>
      <c r="L1283" t="s">
        <v>161</v>
      </c>
      <c r="M1283">
        <v>6881256</v>
      </c>
    </row>
    <row r="1284" spans="1:13" x14ac:dyDescent="0.3">
      <c r="A1284" s="23">
        <v>45630</v>
      </c>
      <c r="B1284" t="s">
        <v>12</v>
      </c>
      <c r="C1284" t="s">
        <v>132</v>
      </c>
      <c r="D1284" t="s">
        <v>17</v>
      </c>
      <c r="E1284" t="s">
        <v>48</v>
      </c>
      <c r="F1284">
        <v>50000000</v>
      </c>
      <c r="G1284" t="s">
        <v>29</v>
      </c>
      <c r="H1284" t="s">
        <v>81</v>
      </c>
      <c r="I1284" t="s">
        <v>9</v>
      </c>
      <c r="L1284" t="s">
        <v>161</v>
      </c>
      <c r="M1284">
        <v>-50000000</v>
      </c>
    </row>
    <row r="1285" spans="1:13" x14ac:dyDescent="0.3">
      <c r="A1285" s="23">
        <v>45629</v>
      </c>
      <c r="B1285" t="s">
        <v>12</v>
      </c>
      <c r="C1285" t="s">
        <v>132</v>
      </c>
      <c r="D1285" t="s">
        <v>17</v>
      </c>
      <c r="E1285" t="s">
        <v>48</v>
      </c>
      <c r="F1285">
        <v>100000000</v>
      </c>
      <c r="G1285" t="s">
        <v>29</v>
      </c>
      <c r="H1285" t="s">
        <v>81</v>
      </c>
      <c r="I1285" t="s">
        <v>9</v>
      </c>
      <c r="L1285" t="s">
        <v>161</v>
      </c>
      <c r="M1285">
        <v>-100000000</v>
      </c>
    </row>
    <row r="1286" spans="1:13" x14ac:dyDescent="0.3">
      <c r="A1286" s="23">
        <v>45625</v>
      </c>
      <c r="B1286" t="s">
        <v>12</v>
      </c>
      <c r="C1286" t="s">
        <v>132</v>
      </c>
      <c r="D1286" t="s">
        <v>17</v>
      </c>
      <c r="E1286" t="s">
        <v>48</v>
      </c>
      <c r="F1286">
        <v>200000000</v>
      </c>
      <c r="G1286" t="s">
        <v>29</v>
      </c>
      <c r="H1286" t="s">
        <v>81</v>
      </c>
      <c r="I1286" t="s">
        <v>9</v>
      </c>
      <c r="L1286" t="s">
        <v>161</v>
      </c>
      <c r="M1286">
        <v>-200000000</v>
      </c>
    </row>
    <row r="1287" spans="1:13" x14ac:dyDescent="0.3">
      <c r="A1287" s="23">
        <v>44839</v>
      </c>
      <c r="B1287" t="s">
        <v>12</v>
      </c>
      <c r="C1287" t="s">
        <v>132</v>
      </c>
      <c r="D1287" t="s">
        <v>16</v>
      </c>
      <c r="E1287" t="s">
        <v>48</v>
      </c>
      <c r="F1287">
        <v>68300000</v>
      </c>
      <c r="G1287" t="s">
        <v>29</v>
      </c>
      <c r="H1287" t="s">
        <v>81</v>
      </c>
      <c r="I1287" t="s">
        <v>9</v>
      </c>
      <c r="L1287" t="s">
        <v>161</v>
      </c>
      <c r="M1287">
        <v>68300000</v>
      </c>
    </row>
    <row r="1288" spans="1:13" x14ac:dyDescent="0.3">
      <c r="A1288" s="23">
        <v>44840</v>
      </c>
      <c r="B1288" t="s">
        <v>12</v>
      </c>
      <c r="C1288" t="s">
        <v>132</v>
      </c>
      <c r="D1288" t="s">
        <v>17</v>
      </c>
      <c r="E1288" t="s">
        <v>48</v>
      </c>
      <c r="F1288">
        <v>48500000</v>
      </c>
      <c r="G1288" t="s">
        <v>29</v>
      </c>
      <c r="H1288" t="s">
        <v>81</v>
      </c>
      <c r="I1288" t="s">
        <v>9</v>
      </c>
      <c r="L1288" t="s">
        <v>161</v>
      </c>
      <c r="M1288">
        <v>-48500000</v>
      </c>
    </row>
    <row r="1289" spans="1:13" x14ac:dyDescent="0.3">
      <c r="A1289" s="23">
        <v>44845</v>
      </c>
      <c r="B1289" t="s">
        <v>12</v>
      </c>
      <c r="C1289" t="s">
        <v>132</v>
      </c>
      <c r="D1289" t="s">
        <v>17</v>
      </c>
      <c r="E1289" t="s">
        <v>48</v>
      </c>
      <c r="F1289">
        <v>19800000.000000007</v>
      </c>
      <c r="G1289" t="s">
        <v>29</v>
      </c>
      <c r="H1289" t="s">
        <v>81</v>
      </c>
      <c r="I1289" t="s">
        <v>9</v>
      </c>
      <c r="L1289" t="s">
        <v>161</v>
      </c>
      <c r="M1289">
        <v>-19800000</v>
      </c>
    </row>
    <row r="1290" spans="1:13" x14ac:dyDescent="0.3">
      <c r="A1290" s="23">
        <v>45623</v>
      </c>
      <c r="B1290" t="s">
        <v>12</v>
      </c>
      <c r="C1290" t="s">
        <v>132</v>
      </c>
      <c r="D1290" t="s">
        <v>16</v>
      </c>
      <c r="E1290" t="s">
        <v>48</v>
      </c>
      <c r="F1290">
        <v>372700000</v>
      </c>
      <c r="G1290" t="s">
        <v>29</v>
      </c>
      <c r="H1290" t="s">
        <v>81</v>
      </c>
      <c r="I1290" t="s">
        <v>9</v>
      </c>
      <c r="L1290" t="s">
        <v>161</v>
      </c>
      <c r="M1290">
        <v>372700000</v>
      </c>
    </row>
    <row r="1291" spans="1:13" x14ac:dyDescent="0.3">
      <c r="A1291" s="23">
        <v>45621</v>
      </c>
      <c r="B1291" t="s">
        <v>12</v>
      </c>
      <c r="C1291" t="s">
        <v>132</v>
      </c>
      <c r="D1291" t="s">
        <v>17</v>
      </c>
      <c r="E1291" t="s">
        <v>48</v>
      </c>
      <c r="F1291">
        <v>120000000</v>
      </c>
      <c r="G1291" t="s">
        <v>29</v>
      </c>
      <c r="H1291" t="s">
        <v>81</v>
      </c>
      <c r="I1291" t="s">
        <v>9</v>
      </c>
      <c r="L1291" t="s">
        <v>161</v>
      </c>
      <c r="M1291">
        <v>-120000000</v>
      </c>
    </row>
    <row r="1292" spans="1:13" x14ac:dyDescent="0.3">
      <c r="A1292" s="23">
        <v>45617</v>
      </c>
      <c r="B1292" t="s">
        <v>12</v>
      </c>
      <c r="C1292" t="s">
        <v>132</v>
      </c>
      <c r="D1292" t="s">
        <v>17</v>
      </c>
      <c r="E1292" t="s">
        <v>48</v>
      </c>
      <c r="F1292">
        <v>200000000</v>
      </c>
      <c r="G1292" t="s">
        <v>29</v>
      </c>
      <c r="H1292" t="s">
        <v>81</v>
      </c>
      <c r="I1292" t="s">
        <v>9</v>
      </c>
      <c r="L1292" t="s">
        <v>161</v>
      </c>
      <c r="M1292">
        <v>-200000000</v>
      </c>
    </row>
    <row r="1293" spans="1:13" x14ac:dyDescent="0.3">
      <c r="A1293" s="23">
        <v>45615</v>
      </c>
      <c r="B1293" t="s">
        <v>12</v>
      </c>
      <c r="C1293" t="s">
        <v>132</v>
      </c>
      <c r="D1293" t="s">
        <v>17</v>
      </c>
      <c r="E1293" t="s">
        <v>48</v>
      </c>
      <c r="F1293">
        <v>190300000</v>
      </c>
      <c r="G1293" t="s">
        <v>29</v>
      </c>
      <c r="H1293" t="s">
        <v>81</v>
      </c>
      <c r="I1293" t="s">
        <v>9</v>
      </c>
      <c r="L1293" t="s">
        <v>161</v>
      </c>
      <c r="M1293">
        <v>-190300000</v>
      </c>
    </row>
    <row r="1294" spans="1:13" x14ac:dyDescent="0.3">
      <c r="A1294" s="23">
        <v>45608</v>
      </c>
      <c r="B1294" t="s">
        <v>12</v>
      </c>
      <c r="C1294" t="s">
        <v>132</v>
      </c>
      <c r="D1294" t="s">
        <v>16</v>
      </c>
      <c r="E1294" t="s">
        <v>48</v>
      </c>
      <c r="F1294">
        <v>525200000</v>
      </c>
      <c r="G1294" t="s">
        <v>29</v>
      </c>
      <c r="H1294" t="s">
        <v>81</v>
      </c>
      <c r="I1294" t="s">
        <v>9</v>
      </c>
      <c r="L1294" t="s">
        <v>161</v>
      </c>
      <c r="M1294">
        <v>525200000</v>
      </c>
    </row>
    <row r="1295" spans="1:13" x14ac:dyDescent="0.3">
      <c r="A1295" s="23">
        <v>45607</v>
      </c>
      <c r="B1295" t="s">
        <v>12</v>
      </c>
      <c r="C1295" t="s">
        <v>132</v>
      </c>
      <c r="D1295" t="s">
        <v>16</v>
      </c>
      <c r="E1295" t="s">
        <v>48</v>
      </c>
      <c r="F1295">
        <v>1092468</v>
      </c>
      <c r="G1295" t="s">
        <v>29</v>
      </c>
      <c r="H1295" t="s">
        <v>81</v>
      </c>
      <c r="I1295" t="s">
        <v>9</v>
      </c>
      <c r="L1295" t="s">
        <v>161</v>
      </c>
      <c r="M1295">
        <v>1092468</v>
      </c>
    </row>
    <row r="1296" spans="1:13" x14ac:dyDescent="0.3">
      <c r="A1296" s="23">
        <v>44875</v>
      </c>
      <c r="B1296" t="s">
        <v>12</v>
      </c>
      <c r="C1296" t="s">
        <v>132</v>
      </c>
      <c r="D1296" t="s">
        <v>16</v>
      </c>
      <c r="E1296" t="s">
        <v>48</v>
      </c>
      <c r="F1296">
        <v>305600000</v>
      </c>
      <c r="G1296" t="s">
        <v>29</v>
      </c>
      <c r="H1296" t="s">
        <v>81</v>
      </c>
      <c r="I1296" t="s">
        <v>9</v>
      </c>
      <c r="L1296" t="s">
        <v>161</v>
      </c>
      <c r="M1296">
        <v>305600000</v>
      </c>
    </row>
    <row r="1297" spans="1:13" x14ac:dyDescent="0.3">
      <c r="A1297" s="23">
        <v>44876</v>
      </c>
      <c r="B1297" t="s">
        <v>12</v>
      </c>
      <c r="C1297" t="s">
        <v>132</v>
      </c>
      <c r="D1297" t="s">
        <v>17</v>
      </c>
      <c r="E1297" t="s">
        <v>48</v>
      </c>
      <c r="F1297">
        <v>56000000</v>
      </c>
      <c r="G1297" t="s">
        <v>29</v>
      </c>
      <c r="H1297" t="s">
        <v>81</v>
      </c>
      <c r="I1297" t="s">
        <v>9</v>
      </c>
      <c r="L1297" t="s">
        <v>161</v>
      </c>
      <c r="M1297">
        <v>-56000000</v>
      </c>
    </row>
    <row r="1298" spans="1:13" x14ac:dyDescent="0.3">
      <c r="A1298" s="23">
        <v>44879</v>
      </c>
      <c r="B1298" t="s">
        <v>12</v>
      </c>
      <c r="C1298" t="s">
        <v>132</v>
      </c>
      <c r="D1298" t="s">
        <v>17</v>
      </c>
      <c r="E1298" t="s">
        <v>48</v>
      </c>
      <c r="F1298">
        <v>150700000</v>
      </c>
      <c r="G1298" t="s">
        <v>29</v>
      </c>
      <c r="H1298" t="s">
        <v>81</v>
      </c>
      <c r="I1298" t="s">
        <v>9</v>
      </c>
      <c r="L1298" t="s">
        <v>161</v>
      </c>
      <c r="M1298">
        <v>-150700000</v>
      </c>
    </row>
    <row r="1299" spans="1:13" x14ac:dyDescent="0.3">
      <c r="A1299" s="23">
        <v>44880</v>
      </c>
      <c r="B1299" t="s">
        <v>12</v>
      </c>
      <c r="C1299" t="s">
        <v>132</v>
      </c>
      <c r="D1299" t="s">
        <v>17</v>
      </c>
      <c r="E1299" t="s">
        <v>48</v>
      </c>
      <c r="F1299">
        <v>26300000</v>
      </c>
      <c r="G1299" t="s">
        <v>29</v>
      </c>
      <c r="H1299" t="s">
        <v>81</v>
      </c>
      <c r="I1299" t="s">
        <v>9</v>
      </c>
      <c r="L1299" t="s">
        <v>161</v>
      </c>
      <c r="M1299">
        <v>-26300000</v>
      </c>
    </row>
    <row r="1300" spans="1:13" x14ac:dyDescent="0.3">
      <c r="A1300" s="23">
        <v>44881</v>
      </c>
      <c r="B1300" t="s">
        <v>12</v>
      </c>
      <c r="C1300" t="s">
        <v>132</v>
      </c>
      <c r="D1300" t="s">
        <v>17</v>
      </c>
      <c r="E1300" t="s">
        <v>48</v>
      </c>
      <c r="F1300">
        <v>69000000</v>
      </c>
      <c r="G1300" t="s">
        <v>29</v>
      </c>
      <c r="H1300" t="s">
        <v>81</v>
      </c>
      <c r="I1300" t="s">
        <v>9</v>
      </c>
      <c r="L1300" t="s">
        <v>161</v>
      </c>
      <c r="M1300">
        <v>-69000000</v>
      </c>
    </row>
    <row r="1301" spans="1:13" x14ac:dyDescent="0.3">
      <c r="A1301" s="23">
        <v>44894</v>
      </c>
      <c r="B1301" t="s">
        <v>12</v>
      </c>
      <c r="C1301" t="s">
        <v>132</v>
      </c>
      <c r="D1301" t="s">
        <v>16</v>
      </c>
      <c r="E1301" t="s">
        <v>48</v>
      </c>
      <c r="F1301">
        <v>128700000</v>
      </c>
      <c r="G1301" t="s">
        <v>29</v>
      </c>
      <c r="H1301" t="s">
        <v>81</v>
      </c>
      <c r="I1301" t="s">
        <v>9</v>
      </c>
      <c r="L1301" t="s">
        <v>161</v>
      </c>
      <c r="M1301">
        <v>128700000</v>
      </c>
    </row>
    <row r="1302" spans="1:13" x14ac:dyDescent="0.3">
      <c r="A1302" s="23">
        <v>44895</v>
      </c>
      <c r="B1302" t="s">
        <v>12</v>
      </c>
      <c r="C1302" t="s">
        <v>132</v>
      </c>
      <c r="D1302" t="s">
        <v>17</v>
      </c>
      <c r="E1302" t="s">
        <v>48</v>
      </c>
      <c r="F1302">
        <v>103600000</v>
      </c>
      <c r="G1302" t="s">
        <v>29</v>
      </c>
      <c r="H1302" t="s">
        <v>81</v>
      </c>
      <c r="I1302" t="s">
        <v>9</v>
      </c>
      <c r="L1302" t="s">
        <v>161</v>
      </c>
      <c r="M1302">
        <v>-103600000</v>
      </c>
    </row>
    <row r="1303" spans="1:13" x14ac:dyDescent="0.3">
      <c r="A1303" s="23">
        <v>44896</v>
      </c>
      <c r="B1303" t="s">
        <v>12</v>
      </c>
      <c r="C1303" t="s">
        <v>132</v>
      </c>
      <c r="D1303" t="s">
        <v>17</v>
      </c>
      <c r="E1303" t="s">
        <v>48</v>
      </c>
      <c r="F1303">
        <v>23000000</v>
      </c>
      <c r="G1303" t="s">
        <v>29</v>
      </c>
      <c r="H1303" t="s">
        <v>81</v>
      </c>
      <c r="I1303" t="s">
        <v>9</v>
      </c>
      <c r="L1303" t="s">
        <v>161</v>
      </c>
      <c r="M1303">
        <v>-23000000</v>
      </c>
    </row>
    <row r="1304" spans="1:13" x14ac:dyDescent="0.3">
      <c r="A1304" s="23">
        <v>45582</v>
      </c>
      <c r="B1304" t="s">
        <v>12</v>
      </c>
      <c r="C1304" t="s">
        <v>132</v>
      </c>
      <c r="D1304" t="s">
        <v>16</v>
      </c>
      <c r="E1304" t="s">
        <v>48</v>
      </c>
      <c r="F1304">
        <v>1717036</v>
      </c>
      <c r="G1304" t="s">
        <v>29</v>
      </c>
      <c r="H1304" t="s">
        <v>81</v>
      </c>
      <c r="I1304" t="s">
        <v>9</v>
      </c>
      <c r="L1304" t="s">
        <v>161</v>
      </c>
      <c r="M1304">
        <v>1717036</v>
      </c>
    </row>
    <row r="1305" spans="1:13" x14ac:dyDescent="0.3">
      <c r="A1305" s="23">
        <v>44908</v>
      </c>
      <c r="B1305" t="s">
        <v>12</v>
      </c>
      <c r="C1305" t="s">
        <v>132</v>
      </c>
      <c r="D1305" t="s">
        <v>17</v>
      </c>
      <c r="E1305" t="s">
        <v>48</v>
      </c>
      <c r="F1305">
        <v>5700000</v>
      </c>
      <c r="G1305" t="s">
        <v>29</v>
      </c>
      <c r="H1305" t="s">
        <v>81</v>
      </c>
      <c r="I1305" t="s">
        <v>9</v>
      </c>
      <c r="L1305" t="s">
        <v>161</v>
      </c>
      <c r="M1305">
        <v>-5700000</v>
      </c>
    </row>
    <row r="1306" spans="1:13" x14ac:dyDescent="0.3">
      <c r="A1306" s="23">
        <v>45574</v>
      </c>
      <c r="B1306" t="s">
        <v>12</v>
      </c>
      <c r="C1306" t="s">
        <v>132</v>
      </c>
      <c r="D1306" t="s">
        <v>17</v>
      </c>
      <c r="E1306" t="s">
        <v>48</v>
      </c>
      <c r="F1306">
        <v>100000000</v>
      </c>
      <c r="G1306" t="s">
        <v>29</v>
      </c>
      <c r="H1306" t="s">
        <v>81</v>
      </c>
      <c r="I1306" t="s">
        <v>9</v>
      </c>
      <c r="L1306" t="s">
        <v>161</v>
      </c>
      <c r="M1306">
        <v>-100000000</v>
      </c>
    </row>
    <row r="1307" spans="1:13" x14ac:dyDescent="0.3">
      <c r="A1307" s="23">
        <v>45573</v>
      </c>
      <c r="B1307" t="s">
        <v>12</v>
      </c>
      <c r="C1307" t="s">
        <v>132</v>
      </c>
      <c r="D1307" t="s">
        <v>17</v>
      </c>
      <c r="E1307" t="s">
        <v>48</v>
      </c>
      <c r="F1307">
        <v>20000000</v>
      </c>
      <c r="G1307" t="s">
        <v>29</v>
      </c>
      <c r="H1307" t="s">
        <v>81</v>
      </c>
      <c r="I1307" t="s">
        <v>9</v>
      </c>
      <c r="L1307" t="s">
        <v>161</v>
      </c>
      <c r="M1307">
        <v>-20000000</v>
      </c>
    </row>
    <row r="1308" spans="1:13" x14ac:dyDescent="0.3">
      <c r="A1308" s="23">
        <v>44915</v>
      </c>
      <c r="B1308" t="s">
        <v>12</v>
      </c>
      <c r="C1308" t="s">
        <v>132</v>
      </c>
      <c r="D1308" t="s">
        <v>16</v>
      </c>
      <c r="E1308" t="s">
        <v>48</v>
      </c>
      <c r="F1308">
        <v>151000000</v>
      </c>
      <c r="G1308" t="s">
        <v>29</v>
      </c>
      <c r="H1308" t="s">
        <v>81</v>
      </c>
      <c r="I1308" t="s">
        <v>9</v>
      </c>
      <c r="L1308" t="s">
        <v>161</v>
      </c>
      <c r="M1308">
        <v>151000000</v>
      </c>
    </row>
    <row r="1309" spans="1:13" x14ac:dyDescent="0.3">
      <c r="A1309" s="23">
        <v>44917</v>
      </c>
      <c r="B1309" t="s">
        <v>12</v>
      </c>
      <c r="C1309" t="s">
        <v>132</v>
      </c>
      <c r="D1309" t="s">
        <v>17</v>
      </c>
      <c r="E1309" t="s">
        <v>48</v>
      </c>
      <c r="F1309">
        <v>32800000</v>
      </c>
      <c r="G1309" t="s">
        <v>29</v>
      </c>
      <c r="H1309" t="s">
        <v>81</v>
      </c>
      <c r="I1309" t="s">
        <v>9</v>
      </c>
      <c r="L1309" t="s">
        <v>161</v>
      </c>
      <c r="M1309">
        <v>-32800000</v>
      </c>
    </row>
    <row r="1310" spans="1:13" x14ac:dyDescent="0.3">
      <c r="A1310" s="23">
        <v>44921</v>
      </c>
      <c r="B1310" t="s">
        <v>12</v>
      </c>
      <c r="C1310" t="s">
        <v>132</v>
      </c>
      <c r="D1310" t="s">
        <v>16</v>
      </c>
      <c r="E1310" t="s">
        <v>48</v>
      </c>
      <c r="F1310">
        <v>700408</v>
      </c>
      <c r="G1310" t="s">
        <v>29</v>
      </c>
      <c r="H1310" t="s">
        <v>81</v>
      </c>
      <c r="I1310" t="s">
        <v>9</v>
      </c>
      <c r="J1310" t="s">
        <v>155</v>
      </c>
      <c r="L1310" t="s">
        <v>161</v>
      </c>
      <c r="M1310">
        <v>700408</v>
      </c>
    </row>
    <row r="1311" spans="1:13" x14ac:dyDescent="0.3">
      <c r="A1311" s="23">
        <v>45567</v>
      </c>
      <c r="B1311" t="s">
        <v>12</v>
      </c>
      <c r="C1311" t="s">
        <v>132</v>
      </c>
      <c r="D1311" t="s">
        <v>16</v>
      </c>
      <c r="E1311" t="s">
        <v>48</v>
      </c>
      <c r="F1311">
        <v>150500000</v>
      </c>
      <c r="G1311" t="s">
        <v>29</v>
      </c>
      <c r="H1311" t="s">
        <v>81</v>
      </c>
      <c r="I1311" t="s">
        <v>9</v>
      </c>
      <c r="L1311" t="s">
        <v>161</v>
      </c>
      <c r="M1311">
        <v>150500000</v>
      </c>
    </row>
    <row r="1312" spans="1:13" x14ac:dyDescent="0.3">
      <c r="A1312" s="23">
        <v>44921</v>
      </c>
      <c r="B1312" t="s">
        <v>12</v>
      </c>
      <c r="C1312" t="s">
        <v>132</v>
      </c>
      <c r="D1312" t="s">
        <v>17</v>
      </c>
      <c r="E1312" t="s">
        <v>48</v>
      </c>
      <c r="F1312">
        <v>72500000</v>
      </c>
      <c r="G1312" t="s">
        <v>29</v>
      </c>
      <c r="H1312" t="s">
        <v>81</v>
      </c>
      <c r="I1312" t="s">
        <v>9</v>
      </c>
      <c r="L1312" t="s">
        <v>161</v>
      </c>
      <c r="M1312">
        <v>-72500000</v>
      </c>
    </row>
    <row r="1313" spans="1:13" x14ac:dyDescent="0.3">
      <c r="A1313" s="23">
        <v>45566</v>
      </c>
      <c r="B1313" t="s">
        <v>12</v>
      </c>
      <c r="C1313" t="s">
        <v>132</v>
      </c>
      <c r="D1313" t="s">
        <v>17</v>
      </c>
      <c r="E1313" t="s">
        <v>48</v>
      </c>
      <c r="F1313">
        <v>200000000</v>
      </c>
      <c r="G1313" t="s">
        <v>29</v>
      </c>
      <c r="H1313" t="s">
        <v>81</v>
      </c>
      <c r="I1313" t="s">
        <v>9</v>
      </c>
      <c r="L1313" t="s">
        <v>161</v>
      </c>
      <c r="M1313">
        <v>-200000000</v>
      </c>
    </row>
    <row r="1314" spans="1:13" x14ac:dyDescent="0.3">
      <c r="A1314" s="23">
        <v>44925</v>
      </c>
      <c r="B1314" t="s">
        <v>12</v>
      </c>
      <c r="C1314" t="s">
        <v>132</v>
      </c>
      <c r="D1314" t="s">
        <v>17</v>
      </c>
      <c r="E1314" t="s">
        <v>48</v>
      </c>
      <c r="F1314">
        <v>35000000</v>
      </c>
      <c r="G1314" t="s">
        <v>29</v>
      </c>
      <c r="H1314" t="s">
        <v>81</v>
      </c>
      <c r="I1314" t="s">
        <v>9</v>
      </c>
      <c r="L1314" t="s">
        <v>161</v>
      </c>
      <c r="M1314">
        <v>-35000000</v>
      </c>
    </row>
    <row r="1315" spans="1:13" x14ac:dyDescent="0.3">
      <c r="A1315" s="23">
        <v>45565</v>
      </c>
      <c r="B1315" t="s">
        <v>12</v>
      </c>
      <c r="C1315" t="s">
        <v>132</v>
      </c>
      <c r="D1315" t="s">
        <v>16</v>
      </c>
      <c r="E1315" t="s">
        <v>48</v>
      </c>
      <c r="F1315">
        <v>3800000</v>
      </c>
      <c r="G1315" t="s">
        <v>29</v>
      </c>
      <c r="H1315" t="s">
        <v>81</v>
      </c>
      <c r="I1315" t="s">
        <v>9</v>
      </c>
      <c r="L1315" t="s">
        <v>161</v>
      </c>
      <c r="M1315">
        <v>3800000</v>
      </c>
    </row>
    <row r="1316" spans="1:13" x14ac:dyDescent="0.3">
      <c r="A1316" s="23">
        <v>44938</v>
      </c>
      <c r="B1316" t="s">
        <v>12</v>
      </c>
      <c r="C1316" t="s">
        <v>132</v>
      </c>
      <c r="D1316" t="s">
        <v>17</v>
      </c>
      <c r="E1316" t="s">
        <v>48</v>
      </c>
      <c r="F1316">
        <v>11400408</v>
      </c>
      <c r="G1316" t="s">
        <v>29</v>
      </c>
      <c r="H1316" t="s">
        <v>81</v>
      </c>
      <c r="I1316" t="s">
        <v>9</v>
      </c>
      <c r="L1316" t="s">
        <v>161</v>
      </c>
      <c r="M1316">
        <v>-11400408</v>
      </c>
    </row>
    <row r="1317" spans="1:13" x14ac:dyDescent="0.3">
      <c r="A1317" s="23">
        <v>45547</v>
      </c>
      <c r="B1317" t="s">
        <v>12</v>
      </c>
      <c r="C1317" t="s">
        <v>132</v>
      </c>
      <c r="D1317" t="s">
        <v>16</v>
      </c>
      <c r="E1317" t="s">
        <v>48</v>
      </c>
      <c r="F1317">
        <v>200000000</v>
      </c>
      <c r="G1317" t="s">
        <v>29</v>
      </c>
      <c r="H1317" t="s">
        <v>81</v>
      </c>
      <c r="I1317" t="s">
        <v>9</v>
      </c>
      <c r="L1317" t="s">
        <v>161</v>
      </c>
      <c r="M1317">
        <v>200000000</v>
      </c>
    </row>
    <row r="1318" spans="1:13" x14ac:dyDescent="0.3">
      <c r="A1318" s="23">
        <v>44960</v>
      </c>
      <c r="B1318" t="s">
        <v>12</v>
      </c>
      <c r="C1318" t="s">
        <v>132</v>
      </c>
      <c r="D1318" t="s">
        <v>16</v>
      </c>
      <c r="E1318" t="s">
        <v>48</v>
      </c>
      <c r="F1318">
        <v>269000000</v>
      </c>
      <c r="G1318" t="s">
        <v>29</v>
      </c>
      <c r="H1318" t="s">
        <v>81</v>
      </c>
      <c r="I1318" t="s">
        <v>9</v>
      </c>
      <c r="L1318" t="s">
        <v>161</v>
      </c>
      <c r="M1318">
        <v>269000000</v>
      </c>
    </row>
    <row r="1319" spans="1:13" x14ac:dyDescent="0.3">
      <c r="A1319" s="23">
        <v>45538</v>
      </c>
      <c r="B1319" t="s">
        <v>12</v>
      </c>
      <c r="C1319" t="s">
        <v>132</v>
      </c>
      <c r="D1319" t="s">
        <v>16</v>
      </c>
      <c r="E1319" t="s">
        <v>48</v>
      </c>
      <c r="F1319">
        <v>4881000</v>
      </c>
      <c r="G1319" t="s">
        <v>29</v>
      </c>
      <c r="H1319" t="s">
        <v>81</v>
      </c>
      <c r="I1319" t="s">
        <v>9</v>
      </c>
      <c r="L1319" t="s">
        <v>161</v>
      </c>
      <c r="M1319">
        <v>4881000</v>
      </c>
    </row>
    <row r="1320" spans="1:13" x14ac:dyDescent="0.3">
      <c r="A1320" s="23">
        <v>44963</v>
      </c>
      <c r="B1320" t="s">
        <v>12</v>
      </c>
      <c r="C1320" t="s">
        <v>132</v>
      </c>
      <c r="D1320" t="s">
        <v>17</v>
      </c>
      <c r="E1320" t="s">
        <v>48</v>
      </c>
      <c r="F1320">
        <v>269000000</v>
      </c>
      <c r="G1320" t="s">
        <v>29</v>
      </c>
      <c r="H1320" t="s">
        <v>81</v>
      </c>
      <c r="I1320" t="s">
        <v>9</v>
      </c>
      <c r="L1320" t="s">
        <v>161</v>
      </c>
      <c r="M1320">
        <v>-269000000</v>
      </c>
    </row>
    <row r="1321" spans="1:13" x14ac:dyDescent="0.3">
      <c r="A1321" s="23">
        <v>45531</v>
      </c>
      <c r="B1321" t="s">
        <v>12</v>
      </c>
      <c r="C1321" t="s">
        <v>132</v>
      </c>
      <c r="D1321" t="s">
        <v>17</v>
      </c>
      <c r="E1321" t="s">
        <v>48</v>
      </c>
      <c r="F1321">
        <v>45000000</v>
      </c>
      <c r="G1321" t="s">
        <v>29</v>
      </c>
      <c r="H1321" t="s">
        <v>81</v>
      </c>
      <c r="I1321" t="s">
        <v>9</v>
      </c>
      <c r="L1321" t="s">
        <v>161</v>
      </c>
      <c r="M1321">
        <v>-45000000</v>
      </c>
    </row>
    <row r="1322" spans="1:13" x14ac:dyDescent="0.3">
      <c r="A1322" s="23">
        <v>45527</v>
      </c>
      <c r="B1322" t="s">
        <v>12</v>
      </c>
      <c r="C1322" t="s">
        <v>132</v>
      </c>
      <c r="D1322" t="s">
        <v>17</v>
      </c>
      <c r="E1322" t="s">
        <v>48</v>
      </c>
      <c r="F1322">
        <v>150000000</v>
      </c>
      <c r="G1322" t="s">
        <v>29</v>
      </c>
      <c r="H1322" t="s">
        <v>81</v>
      </c>
      <c r="I1322" t="s">
        <v>9</v>
      </c>
      <c r="L1322" t="s">
        <v>161</v>
      </c>
      <c r="M1322">
        <v>-150000000</v>
      </c>
    </row>
    <row r="1323" spans="1:13" x14ac:dyDescent="0.3">
      <c r="A1323" s="23">
        <v>45526</v>
      </c>
      <c r="B1323" t="s">
        <v>12</v>
      </c>
      <c r="C1323" t="s">
        <v>132</v>
      </c>
      <c r="D1323" t="s">
        <v>17</v>
      </c>
      <c r="E1323" t="s">
        <v>48</v>
      </c>
      <c r="F1323">
        <v>41800000</v>
      </c>
      <c r="G1323" t="s">
        <v>29</v>
      </c>
      <c r="H1323" t="s">
        <v>81</v>
      </c>
      <c r="I1323" t="s">
        <v>9</v>
      </c>
      <c r="L1323" t="s">
        <v>161</v>
      </c>
      <c r="M1323">
        <v>-41800000</v>
      </c>
    </row>
    <row r="1324" spans="1:13" x14ac:dyDescent="0.3">
      <c r="A1324" s="23">
        <v>45524</v>
      </c>
      <c r="B1324" t="s">
        <v>12</v>
      </c>
      <c r="C1324" t="s">
        <v>132</v>
      </c>
      <c r="D1324" t="s">
        <v>17</v>
      </c>
      <c r="E1324" t="s">
        <v>48</v>
      </c>
      <c r="F1324">
        <v>100000000</v>
      </c>
      <c r="G1324" t="s">
        <v>29</v>
      </c>
      <c r="H1324" t="s">
        <v>81</v>
      </c>
      <c r="I1324" t="s">
        <v>9</v>
      </c>
      <c r="L1324" t="s">
        <v>161</v>
      </c>
      <c r="M1324">
        <v>-100000000</v>
      </c>
    </row>
    <row r="1325" spans="1:13" x14ac:dyDescent="0.3">
      <c r="A1325" s="23">
        <v>45001</v>
      </c>
      <c r="B1325" t="s">
        <v>12</v>
      </c>
      <c r="C1325" t="s">
        <v>132</v>
      </c>
      <c r="D1325" t="s">
        <v>16</v>
      </c>
      <c r="E1325" t="s">
        <v>48</v>
      </c>
      <c r="F1325">
        <v>235600000</v>
      </c>
      <c r="G1325" t="s">
        <v>29</v>
      </c>
      <c r="H1325" t="s">
        <v>81</v>
      </c>
      <c r="I1325" t="s">
        <v>9</v>
      </c>
      <c r="L1325" t="s">
        <v>161</v>
      </c>
      <c r="M1325">
        <v>235600000</v>
      </c>
    </row>
    <row r="1326" spans="1:13" x14ac:dyDescent="0.3">
      <c r="A1326" s="23">
        <v>45517</v>
      </c>
      <c r="B1326" t="s">
        <v>12</v>
      </c>
      <c r="C1326" t="s">
        <v>132</v>
      </c>
      <c r="D1326" t="s">
        <v>16</v>
      </c>
      <c r="E1326" t="s">
        <v>48</v>
      </c>
      <c r="F1326">
        <v>221000000</v>
      </c>
      <c r="G1326" t="s">
        <v>29</v>
      </c>
      <c r="H1326" t="s">
        <v>81</v>
      </c>
      <c r="I1326" t="s">
        <v>9</v>
      </c>
      <c r="L1326" t="s">
        <v>161</v>
      </c>
      <c r="M1326">
        <v>221000000</v>
      </c>
    </row>
    <row r="1327" spans="1:13" x14ac:dyDescent="0.3">
      <c r="A1327" s="23">
        <v>45006</v>
      </c>
      <c r="B1327" t="s">
        <v>12</v>
      </c>
      <c r="C1327" t="s">
        <v>132</v>
      </c>
      <c r="D1327" t="s">
        <v>17</v>
      </c>
      <c r="E1327" t="s">
        <v>48</v>
      </c>
      <c r="F1327">
        <v>11600000</v>
      </c>
      <c r="G1327" t="s">
        <v>29</v>
      </c>
      <c r="H1327" t="s">
        <v>81</v>
      </c>
      <c r="I1327" t="s">
        <v>9</v>
      </c>
      <c r="L1327" t="s">
        <v>161</v>
      </c>
      <c r="M1327">
        <v>-11600000</v>
      </c>
    </row>
    <row r="1328" spans="1:13" x14ac:dyDescent="0.3">
      <c r="A1328" s="23">
        <v>45012</v>
      </c>
      <c r="B1328" t="s">
        <v>12</v>
      </c>
      <c r="C1328" t="s">
        <v>132</v>
      </c>
      <c r="D1328" t="s">
        <v>17</v>
      </c>
      <c r="E1328" t="s">
        <v>48</v>
      </c>
      <c r="F1328">
        <v>50000000</v>
      </c>
      <c r="G1328" t="s">
        <v>29</v>
      </c>
      <c r="H1328" t="s">
        <v>81</v>
      </c>
      <c r="I1328" t="s">
        <v>9</v>
      </c>
      <c r="L1328" t="s">
        <v>161</v>
      </c>
      <c r="M1328">
        <v>-50000000</v>
      </c>
    </row>
    <row r="1329" spans="1:13" x14ac:dyDescent="0.3">
      <c r="A1329" s="23">
        <v>45013</v>
      </c>
      <c r="B1329" t="s">
        <v>12</v>
      </c>
      <c r="C1329" t="s">
        <v>132</v>
      </c>
      <c r="D1329" t="s">
        <v>17</v>
      </c>
      <c r="E1329" t="s">
        <v>48</v>
      </c>
      <c r="F1329">
        <v>150000000</v>
      </c>
      <c r="G1329" t="s">
        <v>29</v>
      </c>
      <c r="H1329" t="s">
        <v>81</v>
      </c>
      <c r="I1329" t="s">
        <v>9</v>
      </c>
      <c r="L1329" t="s">
        <v>161</v>
      </c>
      <c r="M1329">
        <v>-150000000</v>
      </c>
    </row>
    <row r="1330" spans="1:13" x14ac:dyDescent="0.3">
      <c r="A1330" s="23">
        <v>45504</v>
      </c>
      <c r="B1330" t="s">
        <v>12</v>
      </c>
      <c r="C1330" t="s">
        <v>132</v>
      </c>
      <c r="D1330" t="s">
        <v>16</v>
      </c>
      <c r="E1330" t="s">
        <v>48</v>
      </c>
      <c r="F1330">
        <v>27932000</v>
      </c>
      <c r="G1330" t="s">
        <v>29</v>
      </c>
      <c r="H1330" t="s">
        <v>81</v>
      </c>
      <c r="I1330" t="s">
        <v>9</v>
      </c>
      <c r="L1330" t="s">
        <v>161</v>
      </c>
      <c r="M1330">
        <v>27932000</v>
      </c>
    </row>
    <row r="1331" spans="1:13" x14ac:dyDescent="0.3">
      <c r="A1331" s="23">
        <v>45504</v>
      </c>
      <c r="B1331" t="s">
        <v>12</v>
      </c>
      <c r="C1331" t="s">
        <v>132</v>
      </c>
      <c r="D1331" t="s">
        <v>17</v>
      </c>
      <c r="E1331" t="s">
        <v>48</v>
      </c>
      <c r="F1331">
        <v>59000000</v>
      </c>
      <c r="G1331" t="s">
        <v>29</v>
      </c>
      <c r="H1331" t="s">
        <v>81</v>
      </c>
      <c r="I1331" t="s">
        <v>9</v>
      </c>
      <c r="L1331" t="s">
        <v>161</v>
      </c>
      <c r="M1331">
        <v>-59000000</v>
      </c>
    </row>
    <row r="1332" spans="1:13" x14ac:dyDescent="0.3">
      <c r="A1332" s="23">
        <v>45020</v>
      </c>
      <c r="B1332" t="s">
        <v>12</v>
      </c>
      <c r="C1332" t="s">
        <v>132</v>
      </c>
      <c r="D1332" t="s">
        <v>16</v>
      </c>
      <c r="E1332" t="s">
        <v>48</v>
      </c>
      <c r="F1332">
        <v>4800000</v>
      </c>
      <c r="G1332" t="s">
        <v>29</v>
      </c>
      <c r="H1332" t="s">
        <v>81</v>
      </c>
      <c r="I1332" t="s">
        <v>9</v>
      </c>
      <c r="L1332" t="s">
        <v>161</v>
      </c>
      <c r="M1332">
        <v>4800000</v>
      </c>
    </row>
    <row r="1333" spans="1:13" x14ac:dyDescent="0.3">
      <c r="A1333" s="23">
        <v>45020</v>
      </c>
      <c r="B1333" t="s">
        <v>12</v>
      </c>
      <c r="C1333" t="s">
        <v>132</v>
      </c>
      <c r="D1333" t="s">
        <v>17</v>
      </c>
      <c r="E1333" t="s">
        <v>48</v>
      </c>
      <c r="F1333">
        <v>28800000</v>
      </c>
      <c r="G1333" t="s">
        <v>29</v>
      </c>
      <c r="H1333" t="s">
        <v>81</v>
      </c>
      <c r="I1333" t="s">
        <v>9</v>
      </c>
      <c r="L1333" t="s">
        <v>161</v>
      </c>
      <c r="M1333">
        <v>-28800000</v>
      </c>
    </row>
    <row r="1334" spans="1:13" x14ac:dyDescent="0.3">
      <c r="A1334" s="23">
        <v>45502</v>
      </c>
      <c r="B1334" t="s">
        <v>12</v>
      </c>
      <c r="C1334" t="s">
        <v>132</v>
      </c>
      <c r="D1334" t="s">
        <v>16</v>
      </c>
      <c r="E1334" t="s">
        <v>48</v>
      </c>
      <c r="F1334">
        <v>18400000</v>
      </c>
      <c r="G1334" t="s">
        <v>29</v>
      </c>
      <c r="H1334" t="s">
        <v>81</v>
      </c>
      <c r="I1334" t="s">
        <v>9</v>
      </c>
      <c r="L1334" t="s">
        <v>161</v>
      </c>
      <c r="M1334">
        <v>18400000</v>
      </c>
    </row>
    <row r="1335" spans="1:13" x14ac:dyDescent="0.3">
      <c r="A1335" s="23">
        <v>45490</v>
      </c>
      <c r="B1335" t="s">
        <v>12</v>
      </c>
      <c r="C1335" t="s">
        <v>132</v>
      </c>
      <c r="D1335" t="s">
        <v>17</v>
      </c>
      <c r="E1335" t="s">
        <v>48</v>
      </c>
      <c r="F1335">
        <v>3100000</v>
      </c>
      <c r="G1335" t="s">
        <v>29</v>
      </c>
      <c r="H1335" t="s">
        <v>81</v>
      </c>
      <c r="I1335" t="s">
        <v>9</v>
      </c>
      <c r="L1335" t="s">
        <v>161</v>
      </c>
      <c r="M1335">
        <v>-3100000</v>
      </c>
    </row>
    <row r="1336" spans="1:13" x14ac:dyDescent="0.3">
      <c r="A1336" s="23">
        <v>45481</v>
      </c>
      <c r="B1336" t="s">
        <v>12</v>
      </c>
      <c r="C1336" t="s">
        <v>132</v>
      </c>
      <c r="D1336" t="s">
        <v>17</v>
      </c>
      <c r="E1336" t="s">
        <v>48</v>
      </c>
      <c r="F1336">
        <v>1070000000</v>
      </c>
      <c r="G1336" t="s">
        <v>29</v>
      </c>
      <c r="H1336" t="s">
        <v>81</v>
      </c>
      <c r="I1336" t="s">
        <v>9</v>
      </c>
      <c r="L1336" t="s">
        <v>161</v>
      </c>
      <c r="M1336">
        <v>-1070000000</v>
      </c>
    </row>
    <row r="1337" spans="1:13" x14ac:dyDescent="0.3">
      <c r="A1337" s="23">
        <v>45469</v>
      </c>
      <c r="B1337" t="s">
        <v>12</v>
      </c>
      <c r="C1337" t="s">
        <v>132</v>
      </c>
      <c r="D1337" t="s">
        <v>16</v>
      </c>
      <c r="E1337" t="s">
        <v>48</v>
      </c>
      <c r="F1337">
        <v>0</v>
      </c>
      <c r="G1337" t="s">
        <v>29</v>
      </c>
      <c r="H1337" t="s">
        <v>81</v>
      </c>
      <c r="I1337" t="s">
        <v>9</v>
      </c>
      <c r="L1337" t="s">
        <v>161</v>
      </c>
      <c r="M1337">
        <v>0</v>
      </c>
    </row>
    <row r="1338" spans="1:13" x14ac:dyDescent="0.3">
      <c r="A1338" s="23">
        <v>45055</v>
      </c>
      <c r="B1338" t="s">
        <v>12</v>
      </c>
      <c r="C1338" t="s">
        <v>132</v>
      </c>
      <c r="D1338" t="s">
        <v>16</v>
      </c>
      <c r="E1338" t="s">
        <v>48</v>
      </c>
      <c r="F1338">
        <v>440000000</v>
      </c>
      <c r="G1338" t="s">
        <v>29</v>
      </c>
      <c r="H1338" t="s">
        <v>81</v>
      </c>
      <c r="I1338" t="s">
        <v>9</v>
      </c>
      <c r="L1338" t="s">
        <v>161</v>
      </c>
      <c r="M1338">
        <v>440000000</v>
      </c>
    </row>
    <row r="1339" spans="1:13" x14ac:dyDescent="0.3">
      <c r="A1339" s="23">
        <v>45467</v>
      </c>
      <c r="B1339" t="s">
        <v>12</v>
      </c>
      <c r="C1339" t="s">
        <v>132</v>
      </c>
      <c r="D1339" t="s">
        <v>17</v>
      </c>
      <c r="E1339" t="s">
        <v>48</v>
      </c>
      <c r="F1339">
        <v>307100000</v>
      </c>
      <c r="G1339" t="s">
        <v>29</v>
      </c>
      <c r="H1339" t="s">
        <v>81</v>
      </c>
      <c r="I1339" t="s">
        <v>9</v>
      </c>
      <c r="L1339" t="s">
        <v>161</v>
      </c>
      <c r="M1339">
        <v>-307100000</v>
      </c>
    </row>
    <row r="1340" spans="1:13" x14ac:dyDescent="0.3">
      <c r="A1340" s="23">
        <v>45056</v>
      </c>
      <c r="B1340" t="s">
        <v>12</v>
      </c>
      <c r="C1340" t="s">
        <v>132</v>
      </c>
      <c r="D1340" t="s">
        <v>17</v>
      </c>
      <c r="E1340" t="s">
        <v>48</v>
      </c>
      <c r="F1340">
        <v>440000000</v>
      </c>
      <c r="G1340" t="s">
        <v>29</v>
      </c>
      <c r="H1340" t="s">
        <v>81</v>
      </c>
      <c r="I1340" t="s">
        <v>9</v>
      </c>
      <c r="L1340" t="s">
        <v>161</v>
      </c>
      <c r="M1340">
        <v>-440000000</v>
      </c>
    </row>
    <row r="1341" spans="1:13" x14ac:dyDescent="0.3">
      <c r="A1341" s="23">
        <v>45460</v>
      </c>
      <c r="B1341" t="s">
        <v>12</v>
      </c>
      <c r="C1341" t="s">
        <v>132</v>
      </c>
      <c r="D1341" t="s">
        <v>16</v>
      </c>
      <c r="E1341" t="s">
        <v>48</v>
      </c>
      <c r="F1341">
        <v>10960000</v>
      </c>
      <c r="G1341" t="s">
        <v>29</v>
      </c>
      <c r="H1341" t="s">
        <v>81</v>
      </c>
      <c r="I1341" t="s">
        <v>9</v>
      </c>
      <c r="L1341" t="s">
        <v>161</v>
      </c>
      <c r="M1341">
        <v>10960000</v>
      </c>
    </row>
    <row r="1342" spans="1:13" x14ac:dyDescent="0.3">
      <c r="A1342" s="23">
        <v>45453</v>
      </c>
      <c r="B1342" t="s">
        <v>12</v>
      </c>
      <c r="C1342" t="s">
        <v>132</v>
      </c>
      <c r="D1342" t="s">
        <v>16</v>
      </c>
      <c r="E1342" t="s">
        <v>48</v>
      </c>
      <c r="F1342">
        <v>1500000000</v>
      </c>
      <c r="G1342" t="s">
        <v>29</v>
      </c>
      <c r="H1342" t="s">
        <v>81</v>
      </c>
      <c r="I1342" t="s">
        <v>9</v>
      </c>
      <c r="L1342" t="s">
        <v>161</v>
      </c>
      <c r="M1342">
        <v>1500000000</v>
      </c>
    </row>
    <row r="1343" spans="1:13" x14ac:dyDescent="0.3">
      <c r="A1343" s="23">
        <v>45091</v>
      </c>
      <c r="B1343" t="s">
        <v>12</v>
      </c>
      <c r="C1343" t="s">
        <v>132</v>
      </c>
      <c r="D1343" t="s">
        <v>16</v>
      </c>
      <c r="E1343" t="s">
        <v>48</v>
      </c>
      <c r="F1343">
        <v>2041139.07</v>
      </c>
      <c r="G1343" t="s">
        <v>29</v>
      </c>
      <c r="H1343" t="s">
        <v>81</v>
      </c>
      <c r="I1343" t="s">
        <v>9</v>
      </c>
      <c r="J1343" t="s">
        <v>155</v>
      </c>
      <c r="L1343" t="s">
        <v>161</v>
      </c>
      <c r="M1343">
        <v>2041139.07</v>
      </c>
    </row>
    <row r="1344" spans="1:13" x14ac:dyDescent="0.3">
      <c r="A1344" s="23">
        <v>45099</v>
      </c>
      <c r="B1344" t="s">
        <v>12</v>
      </c>
      <c r="C1344" t="s">
        <v>132</v>
      </c>
      <c r="D1344" t="s">
        <v>17</v>
      </c>
      <c r="E1344" t="s">
        <v>48</v>
      </c>
      <c r="F1344">
        <v>2041139.0699999928</v>
      </c>
      <c r="G1344" t="s">
        <v>29</v>
      </c>
      <c r="H1344" t="s">
        <v>81</v>
      </c>
      <c r="I1344" t="s">
        <v>9</v>
      </c>
      <c r="L1344" t="s">
        <v>161</v>
      </c>
      <c r="M1344">
        <v>-2041139.07</v>
      </c>
    </row>
    <row r="1345" spans="1:13" x14ac:dyDescent="0.3">
      <c r="A1345" s="23">
        <v>45128</v>
      </c>
      <c r="B1345" t="s">
        <v>12</v>
      </c>
      <c r="C1345" t="s">
        <v>132</v>
      </c>
      <c r="D1345" t="s">
        <v>16</v>
      </c>
      <c r="E1345" t="s">
        <v>48</v>
      </c>
      <c r="F1345">
        <v>70200000</v>
      </c>
      <c r="G1345" t="s">
        <v>29</v>
      </c>
      <c r="H1345" t="s">
        <v>81</v>
      </c>
      <c r="I1345" t="s">
        <v>9</v>
      </c>
      <c r="L1345" t="s">
        <v>161</v>
      </c>
      <c r="M1345">
        <v>70200000</v>
      </c>
    </row>
    <row r="1346" spans="1:13" x14ac:dyDescent="0.3">
      <c r="A1346" s="23">
        <v>45131</v>
      </c>
      <c r="B1346" t="s">
        <v>12</v>
      </c>
      <c r="C1346" t="s">
        <v>132</v>
      </c>
      <c r="D1346" t="s">
        <v>17</v>
      </c>
      <c r="E1346" t="s">
        <v>48</v>
      </c>
      <c r="F1346">
        <v>52500000</v>
      </c>
      <c r="G1346" t="s">
        <v>29</v>
      </c>
      <c r="H1346" t="s">
        <v>81</v>
      </c>
      <c r="I1346" t="s">
        <v>9</v>
      </c>
      <c r="L1346" t="s">
        <v>161</v>
      </c>
      <c r="M1346">
        <v>-52500000</v>
      </c>
    </row>
    <row r="1347" spans="1:13" x14ac:dyDescent="0.3">
      <c r="A1347" s="23">
        <v>45132</v>
      </c>
      <c r="B1347" t="s">
        <v>12</v>
      </c>
      <c r="C1347" t="s">
        <v>132</v>
      </c>
      <c r="D1347" t="s">
        <v>16</v>
      </c>
      <c r="E1347" t="s">
        <v>48</v>
      </c>
      <c r="F1347">
        <v>951875.08</v>
      </c>
      <c r="G1347" t="s">
        <v>29</v>
      </c>
      <c r="H1347" t="s">
        <v>81</v>
      </c>
      <c r="I1347" t="s">
        <v>9</v>
      </c>
      <c r="J1347" t="s">
        <v>155</v>
      </c>
      <c r="L1347" t="s">
        <v>161</v>
      </c>
      <c r="M1347">
        <v>951875.08</v>
      </c>
    </row>
    <row r="1348" spans="1:13" x14ac:dyDescent="0.3">
      <c r="A1348" s="23">
        <v>45134</v>
      </c>
      <c r="B1348" t="s">
        <v>12</v>
      </c>
      <c r="C1348" t="s">
        <v>132</v>
      </c>
      <c r="D1348" t="s">
        <v>17</v>
      </c>
      <c r="E1348" t="s">
        <v>48</v>
      </c>
      <c r="F1348">
        <v>18651875.079999998</v>
      </c>
      <c r="G1348" t="s">
        <v>29</v>
      </c>
      <c r="H1348" t="s">
        <v>81</v>
      </c>
      <c r="I1348" t="s">
        <v>9</v>
      </c>
      <c r="L1348" t="s">
        <v>161</v>
      </c>
      <c r="M1348">
        <v>-18651875.079999998</v>
      </c>
    </row>
    <row r="1349" spans="1:13" x14ac:dyDescent="0.3">
      <c r="A1349" s="23">
        <v>45142</v>
      </c>
      <c r="B1349" t="s">
        <v>12</v>
      </c>
      <c r="C1349" t="s">
        <v>132</v>
      </c>
      <c r="D1349" t="s">
        <v>16</v>
      </c>
      <c r="E1349" t="s">
        <v>48</v>
      </c>
      <c r="F1349">
        <v>3200000</v>
      </c>
      <c r="G1349" t="s">
        <v>29</v>
      </c>
      <c r="H1349" t="s">
        <v>81</v>
      </c>
      <c r="I1349" t="s">
        <v>9</v>
      </c>
      <c r="L1349" t="s">
        <v>161</v>
      </c>
      <c r="M1349">
        <v>3200000</v>
      </c>
    </row>
    <row r="1350" spans="1:13" x14ac:dyDescent="0.3">
      <c r="A1350" s="23">
        <v>45145</v>
      </c>
      <c r="B1350" t="s">
        <v>12</v>
      </c>
      <c r="C1350" t="s">
        <v>132</v>
      </c>
      <c r="D1350" t="s">
        <v>17</v>
      </c>
      <c r="E1350" t="s">
        <v>48</v>
      </c>
      <c r="F1350">
        <v>3200000</v>
      </c>
      <c r="G1350" t="s">
        <v>29</v>
      </c>
      <c r="H1350" t="s">
        <v>81</v>
      </c>
      <c r="I1350" t="s">
        <v>9</v>
      </c>
      <c r="L1350" t="s">
        <v>161</v>
      </c>
      <c r="M1350">
        <v>-3200000</v>
      </c>
    </row>
    <row r="1351" spans="1:13" x14ac:dyDescent="0.3">
      <c r="A1351" s="23">
        <v>45146</v>
      </c>
      <c r="B1351" t="s">
        <v>12</v>
      </c>
      <c r="C1351" t="s">
        <v>132</v>
      </c>
      <c r="D1351" t="s">
        <v>16</v>
      </c>
      <c r="E1351" t="s">
        <v>48</v>
      </c>
      <c r="F1351">
        <v>150000000</v>
      </c>
      <c r="G1351" t="s">
        <v>29</v>
      </c>
      <c r="H1351" t="s">
        <v>81</v>
      </c>
      <c r="I1351" t="s">
        <v>9</v>
      </c>
      <c r="L1351" t="s">
        <v>161</v>
      </c>
      <c r="M1351">
        <v>150000000</v>
      </c>
    </row>
    <row r="1352" spans="1:13" x14ac:dyDescent="0.3">
      <c r="A1352" s="23">
        <v>45148</v>
      </c>
      <c r="B1352" t="s">
        <v>12</v>
      </c>
      <c r="C1352" t="s">
        <v>132</v>
      </c>
      <c r="D1352" t="s">
        <v>16</v>
      </c>
      <c r="E1352" t="s">
        <v>48</v>
      </c>
      <c r="F1352">
        <v>334551.49</v>
      </c>
      <c r="G1352" t="s">
        <v>29</v>
      </c>
      <c r="H1352" t="s">
        <v>81</v>
      </c>
      <c r="I1352" t="s">
        <v>9</v>
      </c>
      <c r="L1352" t="s">
        <v>161</v>
      </c>
      <c r="M1352">
        <v>334551.49</v>
      </c>
    </row>
    <row r="1353" spans="1:13" x14ac:dyDescent="0.3">
      <c r="A1353" s="23">
        <v>45148</v>
      </c>
      <c r="B1353" t="s">
        <v>12</v>
      </c>
      <c r="C1353" t="s">
        <v>132</v>
      </c>
      <c r="D1353" t="s">
        <v>17</v>
      </c>
      <c r="E1353" t="s">
        <v>48</v>
      </c>
      <c r="F1353">
        <v>130000000</v>
      </c>
      <c r="G1353" t="s">
        <v>29</v>
      </c>
      <c r="H1353" t="s">
        <v>81</v>
      </c>
      <c r="I1353" t="s">
        <v>9</v>
      </c>
      <c r="L1353" t="s">
        <v>161</v>
      </c>
      <c r="M1353">
        <v>-130000000</v>
      </c>
    </row>
    <row r="1354" spans="1:13" x14ac:dyDescent="0.3">
      <c r="A1354" s="23">
        <v>45152</v>
      </c>
      <c r="B1354" t="s">
        <v>12</v>
      </c>
      <c r="C1354" t="s">
        <v>132</v>
      </c>
      <c r="D1354" t="s">
        <v>17</v>
      </c>
      <c r="E1354" t="s">
        <v>48</v>
      </c>
      <c r="F1354">
        <v>20334551.489999998</v>
      </c>
      <c r="G1354" t="s">
        <v>29</v>
      </c>
      <c r="H1354" t="s">
        <v>81</v>
      </c>
      <c r="I1354" t="s">
        <v>9</v>
      </c>
      <c r="L1354" t="s">
        <v>161</v>
      </c>
      <c r="M1354">
        <v>-20334551.489999998</v>
      </c>
    </row>
    <row r="1355" spans="1:13" x14ac:dyDescent="0.3">
      <c r="A1355" s="23">
        <v>45288</v>
      </c>
      <c r="B1355" t="s">
        <v>12</v>
      </c>
      <c r="C1355" t="s">
        <v>132</v>
      </c>
      <c r="D1355" t="s">
        <v>17</v>
      </c>
      <c r="E1355" t="s">
        <v>48</v>
      </c>
      <c r="F1355">
        <v>37539256</v>
      </c>
      <c r="G1355" t="s">
        <v>29</v>
      </c>
      <c r="H1355" t="s">
        <v>81</v>
      </c>
      <c r="I1355" t="s">
        <v>9</v>
      </c>
      <c r="L1355" t="s">
        <v>161</v>
      </c>
      <c r="M1355">
        <v>-37539256</v>
      </c>
    </row>
    <row r="1356" spans="1:13" x14ac:dyDescent="0.3">
      <c r="A1356" s="23">
        <v>45282</v>
      </c>
      <c r="B1356" t="s">
        <v>12</v>
      </c>
      <c r="C1356" t="s">
        <v>132</v>
      </c>
      <c r="D1356" t="s">
        <v>16</v>
      </c>
      <c r="E1356" t="s">
        <v>48</v>
      </c>
      <c r="F1356">
        <v>4539256</v>
      </c>
      <c r="G1356" t="s">
        <v>29</v>
      </c>
      <c r="H1356" t="s">
        <v>81</v>
      </c>
      <c r="I1356" t="s">
        <v>9</v>
      </c>
      <c r="L1356" t="s">
        <v>161</v>
      </c>
      <c r="M1356">
        <v>4539256</v>
      </c>
    </row>
    <row r="1357" spans="1:13" x14ac:dyDescent="0.3">
      <c r="A1357" s="23">
        <v>45282</v>
      </c>
      <c r="B1357" t="s">
        <v>12</v>
      </c>
      <c r="C1357" t="s">
        <v>132</v>
      </c>
      <c r="D1357" t="s">
        <v>17</v>
      </c>
      <c r="E1357" t="s">
        <v>48</v>
      </c>
      <c r="F1357">
        <v>9500000</v>
      </c>
      <c r="G1357" t="s">
        <v>29</v>
      </c>
      <c r="H1357" t="s">
        <v>81</v>
      </c>
      <c r="I1357" t="s">
        <v>9</v>
      </c>
      <c r="L1357" t="s">
        <v>161</v>
      </c>
      <c r="M1357">
        <v>-9500000</v>
      </c>
    </row>
    <row r="1358" spans="1:13" x14ac:dyDescent="0.3">
      <c r="A1358" s="23">
        <v>45279</v>
      </c>
      <c r="B1358" t="s">
        <v>12</v>
      </c>
      <c r="C1358" t="s">
        <v>132</v>
      </c>
      <c r="D1358" t="s">
        <v>17</v>
      </c>
      <c r="E1358" t="s">
        <v>48</v>
      </c>
      <c r="F1358">
        <v>1157500000</v>
      </c>
      <c r="G1358" t="s">
        <v>29</v>
      </c>
      <c r="H1358" t="s">
        <v>81</v>
      </c>
      <c r="I1358" t="s">
        <v>9</v>
      </c>
      <c r="L1358" t="s">
        <v>161</v>
      </c>
      <c r="M1358">
        <v>-1157500000</v>
      </c>
    </row>
    <row r="1359" spans="1:13" x14ac:dyDescent="0.3">
      <c r="A1359" s="23">
        <v>45278</v>
      </c>
      <c r="B1359" t="s">
        <v>12</v>
      </c>
      <c r="C1359" t="s">
        <v>132</v>
      </c>
      <c r="D1359" t="s">
        <v>16</v>
      </c>
      <c r="E1359" t="s">
        <v>48</v>
      </c>
      <c r="F1359">
        <v>1200000000</v>
      </c>
      <c r="G1359" t="s">
        <v>29</v>
      </c>
      <c r="H1359" t="s">
        <v>81</v>
      </c>
      <c r="I1359" t="s">
        <v>9</v>
      </c>
      <c r="L1359" t="s">
        <v>161</v>
      </c>
      <c r="M1359">
        <v>1200000000</v>
      </c>
    </row>
    <row r="1360" spans="1:13" x14ac:dyDescent="0.3">
      <c r="A1360" s="23">
        <v>45244</v>
      </c>
      <c r="B1360" t="s">
        <v>12</v>
      </c>
      <c r="C1360" t="s">
        <v>132</v>
      </c>
      <c r="D1360" t="s">
        <v>17</v>
      </c>
      <c r="E1360" t="s">
        <v>48</v>
      </c>
      <c r="F1360">
        <v>106900000</v>
      </c>
      <c r="G1360" t="s">
        <v>29</v>
      </c>
      <c r="H1360" t="s">
        <v>81</v>
      </c>
      <c r="I1360" t="s">
        <v>9</v>
      </c>
      <c r="L1360" t="s">
        <v>161</v>
      </c>
      <c r="M1360">
        <v>-106900000</v>
      </c>
    </row>
    <row r="1361" spans="1:13" x14ac:dyDescent="0.3">
      <c r="A1361" s="23">
        <v>45240</v>
      </c>
      <c r="B1361" t="s">
        <v>12</v>
      </c>
      <c r="C1361" t="s">
        <v>132</v>
      </c>
      <c r="D1361" t="s">
        <v>16</v>
      </c>
      <c r="E1361" t="s">
        <v>48</v>
      </c>
      <c r="F1361">
        <v>106900000</v>
      </c>
      <c r="G1361" t="s">
        <v>29</v>
      </c>
      <c r="H1361" t="s">
        <v>81</v>
      </c>
      <c r="I1361" t="s">
        <v>9</v>
      </c>
      <c r="L1361" t="s">
        <v>161</v>
      </c>
      <c r="M1361">
        <v>106900000</v>
      </c>
    </row>
    <row r="1362" spans="1:13" x14ac:dyDescent="0.3">
      <c r="A1362" s="23">
        <v>45877</v>
      </c>
      <c r="B1362" t="s">
        <v>12</v>
      </c>
      <c r="C1362" t="s">
        <v>132</v>
      </c>
      <c r="D1362" t="s">
        <v>17</v>
      </c>
      <c r="E1362" t="s">
        <v>43</v>
      </c>
      <c r="F1362">
        <v>148700000</v>
      </c>
      <c r="G1362" t="s">
        <v>23</v>
      </c>
      <c r="H1362" t="s">
        <v>81</v>
      </c>
      <c r="I1362" t="s">
        <v>9</v>
      </c>
      <c r="L1362" t="s">
        <v>161</v>
      </c>
      <c r="M1362">
        <v>-148700000</v>
      </c>
    </row>
    <row r="1363" spans="1:13" x14ac:dyDescent="0.3">
      <c r="A1363" s="23">
        <v>45877</v>
      </c>
      <c r="B1363" t="s">
        <v>12</v>
      </c>
      <c r="C1363" t="s">
        <v>132</v>
      </c>
      <c r="D1363" t="s">
        <v>17</v>
      </c>
      <c r="E1363" t="s">
        <v>43</v>
      </c>
      <c r="F1363">
        <v>30600000</v>
      </c>
      <c r="G1363" t="s">
        <v>23</v>
      </c>
      <c r="H1363" t="s">
        <v>81</v>
      </c>
      <c r="I1363" t="s">
        <v>9</v>
      </c>
      <c r="L1363" t="s">
        <v>161</v>
      </c>
      <c r="M1363">
        <v>-30600000</v>
      </c>
    </row>
    <row r="1364" spans="1:13" x14ac:dyDescent="0.3">
      <c r="A1364" s="23">
        <v>45875</v>
      </c>
      <c r="B1364" t="s">
        <v>12</v>
      </c>
      <c r="C1364" t="s">
        <v>132</v>
      </c>
      <c r="D1364" t="s">
        <v>17</v>
      </c>
      <c r="E1364" t="s">
        <v>43</v>
      </c>
      <c r="F1364">
        <v>1468800000</v>
      </c>
      <c r="G1364" t="s">
        <v>23</v>
      </c>
      <c r="H1364" t="s">
        <v>81</v>
      </c>
      <c r="I1364" t="s">
        <v>9</v>
      </c>
      <c r="L1364" t="s">
        <v>161</v>
      </c>
      <c r="M1364">
        <v>-1468800000</v>
      </c>
    </row>
    <row r="1365" spans="1:13" x14ac:dyDescent="0.3">
      <c r="A1365" s="23">
        <v>44563</v>
      </c>
      <c r="B1365" t="s">
        <v>12</v>
      </c>
      <c r="C1365" t="s">
        <v>132</v>
      </c>
      <c r="D1365" t="s">
        <v>17</v>
      </c>
      <c r="E1365" t="s">
        <v>43</v>
      </c>
      <c r="F1365">
        <v>81100000</v>
      </c>
      <c r="G1365" t="s">
        <v>23</v>
      </c>
      <c r="H1365" t="s">
        <v>81</v>
      </c>
      <c r="I1365" t="s">
        <v>9</v>
      </c>
      <c r="L1365" t="s">
        <v>161</v>
      </c>
      <c r="M1365">
        <v>-81100000</v>
      </c>
    </row>
    <row r="1366" spans="1:13" x14ac:dyDescent="0.3">
      <c r="A1366" s="23">
        <v>45874</v>
      </c>
      <c r="B1366" t="s">
        <v>12</v>
      </c>
      <c r="C1366" t="s">
        <v>132</v>
      </c>
      <c r="D1366" t="s">
        <v>17</v>
      </c>
      <c r="E1366" t="s">
        <v>43</v>
      </c>
      <c r="F1366">
        <v>213400000</v>
      </c>
      <c r="G1366" t="s">
        <v>23</v>
      </c>
      <c r="H1366" t="s">
        <v>81</v>
      </c>
      <c r="I1366" t="s">
        <v>9</v>
      </c>
      <c r="L1366" t="s">
        <v>161</v>
      </c>
      <c r="M1366">
        <v>-213400000</v>
      </c>
    </row>
    <row r="1367" spans="1:13" x14ac:dyDescent="0.3">
      <c r="A1367" s="23">
        <v>45874</v>
      </c>
      <c r="B1367" t="s">
        <v>12</v>
      </c>
      <c r="C1367" t="s">
        <v>132</v>
      </c>
      <c r="D1367" t="s">
        <v>17</v>
      </c>
      <c r="E1367" t="s">
        <v>43</v>
      </c>
      <c r="F1367">
        <v>500000000</v>
      </c>
      <c r="G1367" t="s">
        <v>23</v>
      </c>
      <c r="H1367" t="s">
        <v>81</v>
      </c>
      <c r="I1367" t="s">
        <v>9</v>
      </c>
      <c r="L1367" t="s">
        <v>161</v>
      </c>
      <c r="M1367">
        <v>-500000000</v>
      </c>
    </row>
    <row r="1368" spans="1:13" x14ac:dyDescent="0.3">
      <c r="A1368" s="23">
        <v>45873</v>
      </c>
      <c r="B1368" t="s">
        <v>12</v>
      </c>
      <c r="C1368" t="s">
        <v>132</v>
      </c>
      <c r="D1368" t="s">
        <v>17</v>
      </c>
      <c r="E1368" t="s">
        <v>43</v>
      </c>
      <c r="F1368">
        <v>517400000</v>
      </c>
      <c r="G1368" t="s">
        <v>23</v>
      </c>
      <c r="H1368" t="s">
        <v>81</v>
      </c>
      <c r="I1368" t="s">
        <v>9</v>
      </c>
      <c r="L1368" t="s">
        <v>161</v>
      </c>
      <c r="M1368">
        <v>-517400000</v>
      </c>
    </row>
    <row r="1369" spans="1:13" x14ac:dyDescent="0.3">
      <c r="A1369" s="23">
        <v>45870</v>
      </c>
      <c r="B1369" t="s">
        <v>12</v>
      </c>
      <c r="C1369" t="s">
        <v>132</v>
      </c>
      <c r="D1369" t="s">
        <v>17</v>
      </c>
      <c r="E1369" t="s">
        <v>43</v>
      </c>
      <c r="F1369">
        <v>815000000</v>
      </c>
      <c r="G1369" t="s">
        <v>23</v>
      </c>
      <c r="H1369" t="s">
        <v>81</v>
      </c>
      <c r="I1369" t="s">
        <v>9</v>
      </c>
      <c r="L1369" t="s">
        <v>161</v>
      </c>
      <c r="M1369">
        <v>-815000000</v>
      </c>
    </row>
    <row r="1370" spans="1:13" x14ac:dyDescent="0.3">
      <c r="A1370" s="23">
        <v>45869</v>
      </c>
      <c r="B1370" t="s">
        <v>12</v>
      </c>
      <c r="C1370" t="s">
        <v>132</v>
      </c>
      <c r="D1370" t="s">
        <v>17</v>
      </c>
      <c r="E1370" t="s">
        <v>43</v>
      </c>
      <c r="F1370">
        <v>1560800000</v>
      </c>
      <c r="G1370" t="s">
        <v>23</v>
      </c>
      <c r="H1370" t="s">
        <v>81</v>
      </c>
      <c r="I1370" t="s">
        <v>9</v>
      </c>
      <c r="L1370" t="s">
        <v>161</v>
      </c>
      <c r="M1370">
        <v>-1560800000</v>
      </c>
    </row>
    <row r="1371" spans="1:13" x14ac:dyDescent="0.3">
      <c r="A1371" s="23">
        <v>45868</v>
      </c>
      <c r="B1371" t="s">
        <v>12</v>
      </c>
      <c r="C1371" t="s">
        <v>132</v>
      </c>
      <c r="D1371" t="s">
        <v>16</v>
      </c>
      <c r="E1371" t="s">
        <v>43</v>
      </c>
      <c r="F1371">
        <v>6045800000</v>
      </c>
      <c r="G1371" t="s">
        <v>23</v>
      </c>
      <c r="H1371" t="s">
        <v>81</v>
      </c>
      <c r="I1371" t="s">
        <v>9</v>
      </c>
      <c r="L1371" t="s">
        <v>161</v>
      </c>
      <c r="M1371">
        <v>6045800000</v>
      </c>
    </row>
    <row r="1372" spans="1:13" x14ac:dyDescent="0.3">
      <c r="A1372" s="23">
        <v>44573</v>
      </c>
      <c r="B1372" t="s">
        <v>12</v>
      </c>
      <c r="C1372" t="s">
        <v>132</v>
      </c>
      <c r="D1372" t="s">
        <v>16</v>
      </c>
      <c r="E1372" t="s">
        <v>43</v>
      </c>
      <c r="F1372">
        <v>270700000</v>
      </c>
      <c r="G1372" t="s">
        <v>23</v>
      </c>
      <c r="H1372" t="s">
        <v>81</v>
      </c>
      <c r="I1372" t="s">
        <v>9</v>
      </c>
      <c r="L1372" t="s">
        <v>161</v>
      </c>
      <c r="M1372">
        <v>270700000</v>
      </c>
    </row>
    <row r="1373" spans="1:13" x14ac:dyDescent="0.3">
      <c r="A1373" s="23">
        <v>45865</v>
      </c>
      <c r="B1373" t="s">
        <v>12</v>
      </c>
      <c r="C1373" t="s">
        <v>132</v>
      </c>
      <c r="D1373" t="s">
        <v>17</v>
      </c>
      <c r="E1373" t="s">
        <v>43</v>
      </c>
      <c r="F1373">
        <v>104500000</v>
      </c>
      <c r="G1373" t="s">
        <v>23</v>
      </c>
      <c r="H1373" t="s">
        <v>81</v>
      </c>
      <c r="I1373" t="s">
        <v>9</v>
      </c>
      <c r="L1373" t="s">
        <v>161</v>
      </c>
      <c r="M1373">
        <v>-104500000</v>
      </c>
    </row>
    <row r="1374" spans="1:13" x14ac:dyDescent="0.3">
      <c r="A1374" s="23">
        <v>44574</v>
      </c>
      <c r="B1374" t="s">
        <v>12</v>
      </c>
      <c r="C1374" t="s">
        <v>132</v>
      </c>
      <c r="D1374" t="s">
        <v>17</v>
      </c>
      <c r="E1374" t="s">
        <v>43</v>
      </c>
      <c r="F1374">
        <v>38500000</v>
      </c>
      <c r="G1374" t="s">
        <v>23</v>
      </c>
      <c r="H1374" t="s">
        <v>81</v>
      </c>
      <c r="I1374" t="s">
        <v>9</v>
      </c>
      <c r="L1374" t="s">
        <v>161</v>
      </c>
      <c r="M1374">
        <v>-38500000</v>
      </c>
    </row>
    <row r="1375" spans="1:13" x14ac:dyDescent="0.3">
      <c r="A1375" s="23">
        <v>45863</v>
      </c>
      <c r="B1375" t="s">
        <v>12</v>
      </c>
      <c r="C1375" t="s">
        <v>132</v>
      </c>
      <c r="D1375" t="s">
        <v>16</v>
      </c>
      <c r="E1375" t="s">
        <v>43</v>
      </c>
      <c r="F1375">
        <v>10658501</v>
      </c>
      <c r="G1375" t="s">
        <v>23</v>
      </c>
      <c r="H1375" t="s">
        <v>81</v>
      </c>
      <c r="I1375" t="s">
        <v>9</v>
      </c>
      <c r="L1375" t="s">
        <v>161</v>
      </c>
      <c r="M1375">
        <v>10658501</v>
      </c>
    </row>
    <row r="1376" spans="1:13" x14ac:dyDescent="0.3">
      <c r="A1376" s="23">
        <v>44575</v>
      </c>
      <c r="B1376" t="s">
        <v>12</v>
      </c>
      <c r="C1376" t="s">
        <v>132</v>
      </c>
      <c r="D1376" t="s">
        <v>17</v>
      </c>
      <c r="E1376" t="s">
        <v>43</v>
      </c>
      <c r="F1376">
        <v>49300000</v>
      </c>
      <c r="G1376" t="s">
        <v>23</v>
      </c>
      <c r="H1376" t="s">
        <v>81</v>
      </c>
      <c r="I1376" t="s">
        <v>9</v>
      </c>
      <c r="L1376" t="s">
        <v>161</v>
      </c>
      <c r="M1376">
        <v>-49300000</v>
      </c>
    </row>
    <row r="1377" spans="1:13" x14ac:dyDescent="0.3">
      <c r="A1377" s="23">
        <v>44578</v>
      </c>
      <c r="B1377" t="s">
        <v>12</v>
      </c>
      <c r="C1377" t="s">
        <v>132</v>
      </c>
      <c r="D1377" t="s">
        <v>17</v>
      </c>
      <c r="E1377" t="s">
        <v>43</v>
      </c>
      <c r="F1377">
        <v>43600000</v>
      </c>
      <c r="G1377" t="s">
        <v>23</v>
      </c>
      <c r="H1377" t="s">
        <v>81</v>
      </c>
      <c r="I1377" t="s">
        <v>9</v>
      </c>
      <c r="L1377" t="s">
        <v>161</v>
      </c>
      <c r="M1377">
        <v>-43600000</v>
      </c>
    </row>
    <row r="1378" spans="1:13" x14ac:dyDescent="0.3">
      <c r="A1378" s="23">
        <v>44579</v>
      </c>
      <c r="B1378" t="s">
        <v>12</v>
      </c>
      <c r="C1378" t="s">
        <v>132</v>
      </c>
      <c r="D1378" t="s">
        <v>17</v>
      </c>
      <c r="E1378" t="s">
        <v>43</v>
      </c>
      <c r="F1378">
        <v>28400000</v>
      </c>
      <c r="G1378" t="s">
        <v>23</v>
      </c>
      <c r="H1378" t="s">
        <v>81</v>
      </c>
      <c r="I1378" t="s">
        <v>9</v>
      </c>
      <c r="L1378" t="s">
        <v>161</v>
      </c>
      <c r="M1378">
        <v>-28400000</v>
      </c>
    </row>
    <row r="1379" spans="1:13" x14ac:dyDescent="0.3">
      <c r="A1379" s="23">
        <v>44580</v>
      </c>
      <c r="B1379" t="s">
        <v>12</v>
      </c>
      <c r="C1379" t="s">
        <v>132</v>
      </c>
      <c r="D1379" t="s">
        <v>17</v>
      </c>
      <c r="E1379" t="s">
        <v>43</v>
      </c>
      <c r="F1379">
        <v>28300000</v>
      </c>
      <c r="G1379" t="s">
        <v>23</v>
      </c>
      <c r="H1379" t="s">
        <v>81</v>
      </c>
      <c r="I1379" t="s">
        <v>9</v>
      </c>
      <c r="L1379" t="s">
        <v>161</v>
      </c>
      <c r="M1379">
        <v>-28300000</v>
      </c>
    </row>
    <row r="1380" spans="1:13" x14ac:dyDescent="0.3">
      <c r="A1380" s="23">
        <v>44581</v>
      </c>
      <c r="B1380" t="s">
        <v>12</v>
      </c>
      <c r="C1380" t="s">
        <v>132</v>
      </c>
      <c r="D1380" t="s">
        <v>17</v>
      </c>
      <c r="E1380" t="s">
        <v>43</v>
      </c>
      <c r="F1380">
        <v>27700000</v>
      </c>
      <c r="G1380" t="s">
        <v>23</v>
      </c>
      <c r="H1380" t="s">
        <v>81</v>
      </c>
      <c r="I1380" t="s">
        <v>9</v>
      </c>
      <c r="L1380" t="s">
        <v>161</v>
      </c>
      <c r="M1380">
        <v>-27700000</v>
      </c>
    </row>
    <row r="1381" spans="1:13" x14ac:dyDescent="0.3">
      <c r="A1381" s="23">
        <v>45862</v>
      </c>
      <c r="B1381" t="s">
        <v>12</v>
      </c>
      <c r="C1381" t="s">
        <v>132</v>
      </c>
      <c r="D1381" t="s">
        <v>17</v>
      </c>
      <c r="E1381" t="s">
        <v>43</v>
      </c>
      <c r="F1381">
        <v>200000000</v>
      </c>
      <c r="G1381" t="s">
        <v>23</v>
      </c>
      <c r="H1381" t="s">
        <v>81</v>
      </c>
      <c r="I1381" t="s">
        <v>9</v>
      </c>
      <c r="L1381" t="s">
        <v>161</v>
      </c>
      <c r="M1381">
        <v>-200000000</v>
      </c>
    </row>
    <row r="1382" spans="1:13" x14ac:dyDescent="0.3">
      <c r="A1382" s="23">
        <v>44582</v>
      </c>
      <c r="B1382" t="s">
        <v>12</v>
      </c>
      <c r="C1382" t="s">
        <v>132</v>
      </c>
      <c r="D1382" t="s">
        <v>16</v>
      </c>
      <c r="E1382" t="s">
        <v>43</v>
      </c>
      <c r="F1382">
        <v>1152454.44</v>
      </c>
      <c r="G1382" t="s">
        <v>23</v>
      </c>
      <c r="H1382" t="s">
        <v>81</v>
      </c>
      <c r="I1382" t="s">
        <v>9</v>
      </c>
      <c r="L1382" t="s">
        <v>161</v>
      </c>
      <c r="M1382">
        <v>1152454.44</v>
      </c>
    </row>
    <row r="1383" spans="1:13" x14ac:dyDescent="0.3">
      <c r="A1383" s="23">
        <v>45861</v>
      </c>
      <c r="B1383" t="s">
        <v>12</v>
      </c>
      <c r="C1383" t="s">
        <v>132</v>
      </c>
      <c r="D1383" t="s">
        <v>17</v>
      </c>
      <c r="E1383" t="s">
        <v>43</v>
      </c>
      <c r="F1383">
        <v>400000000</v>
      </c>
      <c r="G1383" t="s">
        <v>23</v>
      </c>
      <c r="H1383" t="s">
        <v>81</v>
      </c>
      <c r="I1383" t="s">
        <v>9</v>
      </c>
      <c r="L1383" t="s">
        <v>161</v>
      </c>
      <c r="M1383">
        <v>-400000000</v>
      </c>
    </row>
    <row r="1384" spans="1:13" x14ac:dyDescent="0.3">
      <c r="A1384" s="23">
        <v>44582</v>
      </c>
      <c r="B1384" t="s">
        <v>12</v>
      </c>
      <c r="C1384" t="s">
        <v>132</v>
      </c>
      <c r="D1384" t="s">
        <v>17</v>
      </c>
      <c r="E1384" t="s">
        <v>43</v>
      </c>
      <c r="F1384">
        <v>34200000</v>
      </c>
      <c r="G1384" t="s">
        <v>23</v>
      </c>
      <c r="H1384" t="s">
        <v>81</v>
      </c>
      <c r="I1384" t="s">
        <v>9</v>
      </c>
      <c r="L1384" t="s">
        <v>161</v>
      </c>
      <c r="M1384">
        <v>-34200000</v>
      </c>
    </row>
    <row r="1385" spans="1:13" x14ac:dyDescent="0.3">
      <c r="A1385" s="23">
        <v>45859</v>
      </c>
      <c r="B1385" t="s">
        <v>12</v>
      </c>
      <c r="C1385" t="s">
        <v>132</v>
      </c>
      <c r="D1385" t="s">
        <v>17</v>
      </c>
      <c r="E1385" t="s">
        <v>43</v>
      </c>
      <c r="F1385">
        <v>521500000</v>
      </c>
      <c r="G1385" t="s">
        <v>23</v>
      </c>
      <c r="H1385" t="s">
        <v>81</v>
      </c>
      <c r="I1385" t="s">
        <v>9</v>
      </c>
      <c r="L1385" t="s">
        <v>161</v>
      </c>
      <c r="M1385">
        <v>-521500000</v>
      </c>
    </row>
    <row r="1386" spans="1:13" x14ac:dyDescent="0.3">
      <c r="A1386" s="23">
        <v>44585</v>
      </c>
      <c r="B1386" t="s">
        <v>12</v>
      </c>
      <c r="C1386" t="s">
        <v>132</v>
      </c>
      <c r="D1386" t="s">
        <v>17</v>
      </c>
      <c r="E1386" t="s">
        <v>43</v>
      </c>
      <c r="F1386">
        <v>9800000</v>
      </c>
      <c r="G1386" t="s">
        <v>23</v>
      </c>
      <c r="H1386" t="s">
        <v>81</v>
      </c>
      <c r="I1386" t="s">
        <v>9</v>
      </c>
      <c r="L1386" t="s">
        <v>161</v>
      </c>
      <c r="M1386">
        <v>-9800000</v>
      </c>
    </row>
    <row r="1387" spans="1:13" x14ac:dyDescent="0.3">
      <c r="A1387" s="23">
        <v>44586</v>
      </c>
      <c r="B1387" t="s">
        <v>12</v>
      </c>
      <c r="C1387" t="s">
        <v>132</v>
      </c>
      <c r="D1387" t="s">
        <v>17</v>
      </c>
      <c r="E1387" t="s">
        <v>43</v>
      </c>
      <c r="F1387">
        <v>12052454.439999999</v>
      </c>
      <c r="G1387" t="s">
        <v>23</v>
      </c>
      <c r="H1387" t="s">
        <v>81</v>
      </c>
      <c r="I1387" t="s">
        <v>9</v>
      </c>
      <c r="L1387" t="s">
        <v>161</v>
      </c>
      <c r="M1387">
        <v>-12052454.439999999</v>
      </c>
    </row>
    <row r="1388" spans="1:13" x14ac:dyDescent="0.3">
      <c r="A1388" s="23">
        <v>44587</v>
      </c>
      <c r="B1388" t="s">
        <v>12</v>
      </c>
      <c r="C1388" t="s">
        <v>132</v>
      </c>
      <c r="D1388" t="s">
        <v>16</v>
      </c>
      <c r="E1388" t="s">
        <v>43</v>
      </c>
      <c r="F1388">
        <v>261500000</v>
      </c>
      <c r="G1388" t="s">
        <v>23</v>
      </c>
      <c r="H1388" t="s">
        <v>81</v>
      </c>
      <c r="I1388" t="s">
        <v>9</v>
      </c>
      <c r="L1388" t="s">
        <v>161</v>
      </c>
      <c r="M1388">
        <v>261500000</v>
      </c>
    </row>
    <row r="1389" spans="1:13" x14ac:dyDescent="0.3">
      <c r="A1389" s="23">
        <v>44588</v>
      </c>
      <c r="B1389" t="s">
        <v>12</v>
      </c>
      <c r="C1389" t="s">
        <v>132</v>
      </c>
      <c r="D1389" t="s">
        <v>17</v>
      </c>
      <c r="E1389" t="s">
        <v>43</v>
      </c>
      <c r="F1389">
        <v>8100000</v>
      </c>
      <c r="G1389" t="s">
        <v>23</v>
      </c>
      <c r="H1389" t="s">
        <v>81</v>
      </c>
      <c r="I1389" t="s">
        <v>9</v>
      </c>
      <c r="L1389" t="s">
        <v>161</v>
      </c>
      <c r="M1389">
        <v>-8100000</v>
      </c>
    </row>
    <row r="1390" spans="1:13" x14ac:dyDescent="0.3">
      <c r="A1390" s="23">
        <v>44589</v>
      </c>
      <c r="B1390" t="s">
        <v>12</v>
      </c>
      <c r="C1390" t="s">
        <v>132</v>
      </c>
      <c r="D1390" t="s">
        <v>17</v>
      </c>
      <c r="E1390" t="s">
        <v>43</v>
      </c>
      <c r="F1390">
        <v>19400000</v>
      </c>
      <c r="G1390" t="s">
        <v>23</v>
      </c>
      <c r="H1390" t="s">
        <v>81</v>
      </c>
      <c r="I1390" t="s">
        <v>9</v>
      </c>
      <c r="L1390" t="s">
        <v>161</v>
      </c>
      <c r="M1390">
        <v>-19400000</v>
      </c>
    </row>
    <row r="1391" spans="1:13" x14ac:dyDescent="0.3">
      <c r="A1391" s="23">
        <v>45849</v>
      </c>
      <c r="B1391" t="s">
        <v>12</v>
      </c>
      <c r="C1391" t="s">
        <v>132</v>
      </c>
      <c r="D1391" t="s">
        <v>16</v>
      </c>
      <c r="E1391" t="s">
        <v>43</v>
      </c>
      <c r="F1391">
        <v>177508147</v>
      </c>
      <c r="G1391" t="s">
        <v>23</v>
      </c>
      <c r="H1391" t="s">
        <v>81</v>
      </c>
      <c r="I1391" t="s">
        <v>9</v>
      </c>
      <c r="L1391" t="s">
        <v>161</v>
      </c>
      <c r="M1391">
        <v>177508147</v>
      </c>
    </row>
    <row r="1392" spans="1:13" x14ac:dyDescent="0.3">
      <c r="A1392" s="23">
        <v>44592</v>
      </c>
      <c r="B1392" t="s">
        <v>12</v>
      </c>
      <c r="C1392" t="s">
        <v>132</v>
      </c>
      <c r="D1392" t="s">
        <v>17</v>
      </c>
      <c r="E1392" t="s">
        <v>43</v>
      </c>
      <c r="F1392">
        <v>41300000</v>
      </c>
      <c r="G1392" t="s">
        <v>23</v>
      </c>
      <c r="H1392" t="s">
        <v>81</v>
      </c>
      <c r="I1392" t="s">
        <v>9</v>
      </c>
      <c r="L1392" t="s">
        <v>161</v>
      </c>
      <c r="M1392">
        <v>-41300000</v>
      </c>
    </row>
    <row r="1393" spans="1:13" x14ac:dyDescent="0.3">
      <c r="A1393" s="23">
        <v>44592</v>
      </c>
      <c r="B1393" t="s">
        <v>12</v>
      </c>
      <c r="C1393" t="s">
        <v>132</v>
      </c>
      <c r="D1393" t="s">
        <v>16</v>
      </c>
      <c r="E1393" t="s">
        <v>43</v>
      </c>
      <c r="F1393">
        <v>988888.49</v>
      </c>
      <c r="G1393" t="s">
        <v>23</v>
      </c>
      <c r="H1393" t="s">
        <v>81</v>
      </c>
      <c r="I1393" t="s">
        <v>9</v>
      </c>
      <c r="L1393" t="s">
        <v>161</v>
      </c>
      <c r="M1393">
        <v>988888.49</v>
      </c>
    </row>
    <row r="1394" spans="1:13" x14ac:dyDescent="0.3">
      <c r="A1394" s="23">
        <v>45849</v>
      </c>
      <c r="B1394" t="s">
        <v>12</v>
      </c>
      <c r="C1394" t="s">
        <v>132</v>
      </c>
      <c r="D1394" t="s">
        <v>17</v>
      </c>
      <c r="E1394" t="s">
        <v>43</v>
      </c>
      <c r="F1394">
        <v>842500000</v>
      </c>
      <c r="G1394" t="s">
        <v>23</v>
      </c>
      <c r="H1394" t="s">
        <v>81</v>
      </c>
      <c r="I1394" t="s">
        <v>9</v>
      </c>
      <c r="L1394" t="s">
        <v>161</v>
      </c>
      <c r="M1394">
        <v>-842500000</v>
      </c>
    </row>
    <row r="1395" spans="1:13" x14ac:dyDescent="0.3">
      <c r="A1395" s="23">
        <v>44594</v>
      </c>
      <c r="B1395" t="s">
        <v>12</v>
      </c>
      <c r="C1395" t="s">
        <v>132</v>
      </c>
      <c r="D1395" t="s">
        <v>17</v>
      </c>
      <c r="E1395" t="s">
        <v>43</v>
      </c>
      <c r="F1395">
        <v>5600000</v>
      </c>
      <c r="G1395" t="s">
        <v>23</v>
      </c>
      <c r="H1395" t="s">
        <v>81</v>
      </c>
      <c r="I1395" t="s">
        <v>9</v>
      </c>
      <c r="L1395" t="s">
        <v>161</v>
      </c>
      <c r="M1395">
        <v>-5600000</v>
      </c>
    </row>
    <row r="1396" spans="1:13" x14ac:dyDescent="0.3">
      <c r="A1396" s="23">
        <v>44595</v>
      </c>
      <c r="B1396" t="s">
        <v>12</v>
      </c>
      <c r="C1396" t="s">
        <v>132</v>
      </c>
      <c r="D1396" t="s">
        <v>17</v>
      </c>
      <c r="E1396" t="s">
        <v>43</v>
      </c>
      <c r="F1396">
        <v>29800000</v>
      </c>
      <c r="G1396" t="s">
        <v>23</v>
      </c>
      <c r="H1396" t="s">
        <v>81</v>
      </c>
      <c r="I1396" t="s">
        <v>9</v>
      </c>
      <c r="L1396" t="s">
        <v>161</v>
      </c>
      <c r="M1396">
        <v>-29800000</v>
      </c>
    </row>
    <row r="1397" spans="1:13" x14ac:dyDescent="0.3">
      <c r="A1397" s="23">
        <v>45848</v>
      </c>
      <c r="B1397" t="s">
        <v>12</v>
      </c>
      <c r="C1397" t="s">
        <v>132</v>
      </c>
      <c r="D1397" t="s">
        <v>17</v>
      </c>
      <c r="E1397" t="s">
        <v>43</v>
      </c>
      <c r="F1397">
        <v>900000000</v>
      </c>
      <c r="G1397" t="s">
        <v>23</v>
      </c>
      <c r="H1397" t="s">
        <v>81</v>
      </c>
      <c r="I1397" t="s">
        <v>9</v>
      </c>
      <c r="L1397" t="s">
        <v>161</v>
      </c>
      <c r="M1397">
        <v>-900000000</v>
      </c>
    </row>
    <row r="1398" spans="1:13" x14ac:dyDescent="0.3">
      <c r="A1398" s="23">
        <v>44596</v>
      </c>
      <c r="B1398" t="s">
        <v>12</v>
      </c>
      <c r="C1398" t="s">
        <v>132</v>
      </c>
      <c r="D1398" t="s">
        <v>17</v>
      </c>
      <c r="E1398" t="s">
        <v>43</v>
      </c>
      <c r="F1398">
        <v>12000000</v>
      </c>
      <c r="G1398" t="s">
        <v>23</v>
      </c>
      <c r="H1398" t="s">
        <v>81</v>
      </c>
      <c r="I1398" t="s">
        <v>9</v>
      </c>
      <c r="L1398" t="s">
        <v>161</v>
      </c>
      <c r="M1398">
        <v>-12000000</v>
      </c>
    </row>
    <row r="1399" spans="1:13" x14ac:dyDescent="0.3">
      <c r="A1399" s="23">
        <v>44596</v>
      </c>
      <c r="B1399" t="s">
        <v>12</v>
      </c>
      <c r="C1399" t="s">
        <v>132</v>
      </c>
      <c r="D1399" t="s">
        <v>17</v>
      </c>
      <c r="E1399" t="s">
        <v>43</v>
      </c>
      <c r="F1399">
        <v>1000000</v>
      </c>
      <c r="G1399" t="s">
        <v>23</v>
      </c>
      <c r="H1399" t="s">
        <v>81</v>
      </c>
      <c r="I1399" t="s">
        <v>9</v>
      </c>
      <c r="L1399" t="s">
        <v>161</v>
      </c>
      <c r="M1399">
        <v>-1000000</v>
      </c>
    </row>
    <row r="1400" spans="1:13" x14ac:dyDescent="0.3">
      <c r="A1400" s="23">
        <v>44596</v>
      </c>
      <c r="B1400" t="s">
        <v>12</v>
      </c>
      <c r="C1400" t="s">
        <v>132</v>
      </c>
      <c r="D1400" t="s">
        <v>17</v>
      </c>
      <c r="E1400" t="s">
        <v>43</v>
      </c>
      <c r="F1400">
        <v>2700000</v>
      </c>
      <c r="G1400" t="s">
        <v>23</v>
      </c>
      <c r="H1400" t="s">
        <v>81</v>
      </c>
      <c r="I1400" t="s">
        <v>9</v>
      </c>
      <c r="L1400" t="s">
        <v>161</v>
      </c>
      <c r="M1400">
        <v>-2700000</v>
      </c>
    </row>
    <row r="1401" spans="1:13" x14ac:dyDescent="0.3">
      <c r="A1401" s="23">
        <v>44599</v>
      </c>
      <c r="B1401" t="s">
        <v>12</v>
      </c>
      <c r="C1401" t="s">
        <v>132</v>
      </c>
      <c r="D1401" t="s">
        <v>17</v>
      </c>
      <c r="E1401" t="s">
        <v>43</v>
      </c>
      <c r="F1401">
        <v>19600000</v>
      </c>
      <c r="G1401" t="s">
        <v>23</v>
      </c>
      <c r="H1401" t="s">
        <v>81</v>
      </c>
      <c r="I1401" t="s">
        <v>9</v>
      </c>
      <c r="L1401" t="s">
        <v>161</v>
      </c>
      <c r="M1401">
        <v>-19600000</v>
      </c>
    </row>
    <row r="1402" spans="1:13" x14ac:dyDescent="0.3">
      <c r="A1402" s="23">
        <v>44600</v>
      </c>
      <c r="B1402" t="s">
        <v>12</v>
      </c>
      <c r="C1402" t="s">
        <v>132</v>
      </c>
      <c r="D1402" t="s">
        <v>17</v>
      </c>
      <c r="E1402" t="s">
        <v>43</v>
      </c>
      <c r="F1402">
        <v>1500000</v>
      </c>
      <c r="G1402" t="s">
        <v>23</v>
      </c>
      <c r="H1402" t="s">
        <v>81</v>
      </c>
      <c r="I1402" t="s">
        <v>9</v>
      </c>
      <c r="L1402" t="s">
        <v>161</v>
      </c>
      <c r="M1402">
        <v>-1500000</v>
      </c>
    </row>
    <row r="1403" spans="1:13" x14ac:dyDescent="0.3">
      <c r="A1403" s="23">
        <v>44600</v>
      </c>
      <c r="B1403" t="s">
        <v>12</v>
      </c>
      <c r="C1403" t="s">
        <v>132</v>
      </c>
      <c r="D1403" t="s">
        <v>17</v>
      </c>
      <c r="E1403" t="s">
        <v>43</v>
      </c>
      <c r="F1403">
        <v>4600000</v>
      </c>
      <c r="G1403" t="s">
        <v>23</v>
      </c>
      <c r="H1403" t="s">
        <v>81</v>
      </c>
      <c r="I1403" t="s">
        <v>9</v>
      </c>
      <c r="L1403" t="s">
        <v>161</v>
      </c>
      <c r="M1403">
        <v>-4600000</v>
      </c>
    </row>
    <row r="1404" spans="1:13" x14ac:dyDescent="0.3">
      <c r="A1404" s="23">
        <v>44602</v>
      </c>
      <c r="B1404" t="s">
        <v>12</v>
      </c>
      <c r="C1404" t="s">
        <v>132</v>
      </c>
      <c r="D1404" t="s">
        <v>16</v>
      </c>
      <c r="E1404" t="s">
        <v>43</v>
      </c>
      <c r="F1404">
        <v>12700000</v>
      </c>
      <c r="G1404" t="s">
        <v>23</v>
      </c>
      <c r="H1404" t="s">
        <v>81</v>
      </c>
      <c r="I1404" t="s">
        <v>9</v>
      </c>
      <c r="L1404" t="s">
        <v>161</v>
      </c>
      <c r="M1404">
        <v>12700000</v>
      </c>
    </row>
    <row r="1405" spans="1:13" x14ac:dyDescent="0.3">
      <c r="A1405" s="23">
        <v>44609</v>
      </c>
      <c r="B1405" t="s">
        <v>12</v>
      </c>
      <c r="C1405" t="s">
        <v>132</v>
      </c>
      <c r="D1405" t="s">
        <v>16</v>
      </c>
      <c r="E1405" t="s">
        <v>43</v>
      </c>
      <c r="F1405">
        <v>47400000</v>
      </c>
      <c r="G1405" t="s">
        <v>23</v>
      </c>
      <c r="H1405" t="s">
        <v>81</v>
      </c>
      <c r="I1405" t="s">
        <v>9</v>
      </c>
      <c r="L1405" t="s">
        <v>161</v>
      </c>
      <c r="M1405">
        <v>47400000</v>
      </c>
    </row>
    <row r="1406" spans="1:13" x14ac:dyDescent="0.3">
      <c r="A1406" s="23">
        <v>45842</v>
      </c>
      <c r="B1406" t="s">
        <v>12</v>
      </c>
      <c r="C1406" t="s">
        <v>132</v>
      </c>
      <c r="D1406" t="s">
        <v>17</v>
      </c>
      <c r="E1406" t="s">
        <v>43</v>
      </c>
      <c r="F1406">
        <v>12600000</v>
      </c>
      <c r="G1406" t="s">
        <v>23</v>
      </c>
      <c r="H1406" t="s">
        <v>81</v>
      </c>
      <c r="I1406" t="s">
        <v>9</v>
      </c>
      <c r="L1406" t="s">
        <v>161</v>
      </c>
      <c r="M1406">
        <v>-12600000</v>
      </c>
    </row>
    <row r="1407" spans="1:13" x14ac:dyDescent="0.3">
      <c r="A1407" s="23">
        <v>45842</v>
      </c>
      <c r="B1407" t="s">
        <v>12</v>
      </c>
      <c r="C1407" t="s">
        <v>132</v>
      </c>
      <c r="D1407" t="s">
        <v>17</v>
      </c>
      <c r="E1407" t="s">
        <v>43</v>
      </c>
      <c r="F1407">
        <v>12600000</v>
      </c>
      <c r="G1407" t="s">
        <v>23</v>
      </c>
      <c r="H1407" t="s">
        <v>81</v>
      </c>
      <c r="I1407" t="s">
        <v>9</v>
      </c>
      <c r="L1407" t="s">
        <v>161</v>
      </c>
      <c r="M1407">
        <v>-12600000</v>
      </c>
    </row>
    <row r="1408" spans="1:13" x14ac:dyDescent="0.3">
      <c r="A1408" s="23">
        <v>44613</v>
      </c>
      <c r="B1408" t="s">
        <v>12</v>
      </c>
      <c r="C1408" t="s">
        <v>132</v>
      </c>
      <c r="D1408" t="s">
        <v>17</v>
      </c>
      <c r="E1408" t="s">
        <v>43</v>
      </c>
      <c r="F1408">
        <v>17700000</v>
      </c>
      <c r="G1408" t="s">
        <v>23</v>
      </c>
      <c r="H1408" t="s">
        <v>81</v>
      </c>
      <c r="I1408" t="s">
        <v>9</v>
      </c>
      <c r="L1408" t="s">
        <v>161</v>
      </c>
      <c r="M1408">
        <v>-17700000</v>
      </c>
    </row>
    <row r="1409" spans="1:13" x14ac:dyDescent="0.3">
      <c r="A1409" s="23">
        <v>44613</v>
      </c>
      <c r="B1409" t="s">
        <v>12</v>
      </c>
      <c r="C1409" t="s">
        <v>132</v>
      </c>
      <c r="D1409" t="s">
        <v>17</v>
      </c>
      <c r="E1409" t="s">
        <v>43</v>
      </c>
      <c r="F1409">
        <v>1000000</v>
      </c>
      <c r="G1409" t="s">
        <v>23</v>
      </c>
      <c r="H1409" t="s">
        <v>81</v>
      </c>
      <c r="I1409" t="s">
        <v>9</v>
      </c>
      <c r="L1409" t="s">
        <v>161</v>
      </c>
      <c r="M1409">
        <v>-1000000</v>
      </c>
    </row>
    <row r="1410" spans="1:13" x14ac:dyDescent="0.3">
      <c r="A1410" s="23">
        <v>45841</v>
      </c>
      <c r="B1410" t="s">
        <v>12</v>
      </c>
      <c r="C1410" t="s">
        <v>132</v>
      </c>
      <c r="D1410" t="s">
        <v>17</v>
      </c>
      <c r="E1410" t="s">
        <v>43</v>
      </c>
      <c r="F1410">
        <v>2094000000</v>
      </c>
      <c r="G1410" t="s">
        <v>23</v>
      </c>
      <c r="H1410" t="s">
        <v>81</v>
      </c>
      <c r="I1410" t="s">
        <v>9</v>
      </c>
      <c r="L1410" t="s">
        <v>161</v>
      </c>
      <c r="M1410">
        <v>-2094000000</v>
      </c>
    </row>
    <row r="1411" spans="1:13" x14ac:dyDescent="0.3">
      <c r="A1411" s="23">
        <v>45840</v>
      </c>
      <c r="B1411" t="s">
        <v>12</v>
      </c>
      <c r="C1411" t="s">
        <v>132</v>
      </c>
      <c r="D1411" t="s">
        <v>16</v>
      </c>
      <c r="E1411" t="s">
        <v>43</v>
      </c>
      <c r="F1411">
        <v>2583100000</v>
      </c>
      <c r="G1411" t="s">
        <v>23</v>
      </c>
      <c r="H1411" t="s">
        <v>81</v>
      </c>
      <c r="I1411" t="s">
        <v>9</v>
      </c>
      <c r="L1411" t="s">
        <v>161</v>
      </c>
      <c r="M1411">
        <v>2583100000</v>
      </c>
    </row>
    <row r="1412" spans="1:13" x14ac:dyDescent="0.3">
      <c r="A1412" s="23">
        <v>44617</v>
      </c>
      <c r="B1412" t="s">
        <v>12</v>
      </c>
      <c r="C1412" t="s">
        <v>132</v>
      </c>
      <c r="D1412" t="s">
        <v>17</v>
      </c>
      <c r="E1412" t="s">
        <v>43</v>
      </c>
      <c r="F1412">
        <v>29200000</v>
      </c>
      <c r="G1412" t="s">
        <v>23</v>
      </c>
      <c r="H1412" t="s">
        <v>81</v>
      </c>
      <c r="I1412" t="s">
        <v>9</v>
      </c>
      <c r="L1412" t="s">
        <v>161</v>
      </c>
      <c r="M1412">
        <v>-29200000</v>
      </c>
    </row>
    <row r="1413" spans="1:13" x14ac:dyDescent="0.3">
      <c r="A1413" s="23">
        <v>44620</v>
      </c>
      <c r="B1413" t="s">
        <v>12</v>
      </c>
      <c r="C1413" t="s">
        <v>132</v>
      </c>
      <c r="D1413" t="s">
        <v>16</v>
      </c>
      <c r="E1413" t="s">
        <v>43</v>
      </c>
      <c r="F1413">
        <v>1218897.3</v>
      </c>
      <c r="G1413" t="s">
        <v>23</v>
      </c>
      <c r="H1413" t="s">
        <v>81</v>
      </c>
      <c r="I1413" t="s">
        <v>9</v>
      </c>
      <c r="L1413" t="s">
        <v>161</v>
      </c>
      <c r="M1413">
        <v>1218897.3</v>
      </c>
    </row>
    <row r="1414" spans="1:13" x14ac:dyDescent="0.3">
      <c r="A1414" s="23">
        <v>45839</v>
      </c>
      <c r="B1414" t="s">
        <v>12</v>
      </c>
      <c r="C1414" t="s">
        <v>132</v>
      </c>
      <c r="D1414" t="s">
        <v>17</v>
      </c>
      <c r="E1414" t="s">
        <v>43</v>
      </c>
      <c r="F1414">
        <v>2750000000</v>
      </c>
      <c r="G1414" t="s">
        <v>23</v>
      </c>
      <c r="H1414" t="s">
        <v>81</v>
      </c>
      <c r="I1414" t="s">
        <v>9</v>
      </c>
      <c r="L1414" t="s">
        <v>161</v>
      </c>
      <c r="M1414">
        <v>-2750000000</v>
      </c>
    </row>
    <row r="1415" spans="1:13" x14ac:dyDescent="0.3">
      <c r="A1415" s="23">
        <v>45838</v>
      </c>
      <c r="B1415" t="s">
        <v>12</v>
      </c>
      <c r="C1415" t="s">
        <v>132</v>
      </c>
      <c r="D1415" t="s">
        <v>17</v>
      </c>
      <c r="E1415" t="s">
        <v>43</v>
      </c>
      <c r="F1415">
        <v>500000000</v>
      </c>
      <c r="G1415" t="s">
        <v>23</v>
      </c>
      <c r="H1415" t="s">
        <v>81</v>
      </c>
      <c r="I1415" t="s">
        <v>9</v>
      </c>
      <c r="L1415" t="s">
        <v>161</v>
      </c>
      <c r="M1415">
        <v>-500000000</v>
      </c>
    </row>
    <row r="1416" spans="1:13" x14ac:dyDescent="0.3">
      <c r="A1416" s="23">
        <v>44622</v>
      </c>
      <c r="B1416" t="s">
        <v>12</v>
      </c>
      <c r="C1416" t="s">
        <v>132</v>
      </c>
      <c r="D1416" t="s">
        <v>17</v>
      </c>
      <c r="E1416" t="s">
        <v>43</v>
      </c>
      <c r="F1416">
        <v>26600000</v>
      </c>
      <c r="G1416" t="s">
        <v>23</v>
      </c>
      <c r="H1416" t="s">
        <v>81</v>
      </c>
      <c r="I1416" t="s">
        <v>9</v>
      </c>
      <c r="L1416" t="s">
        <v>161</v>
      </c>
      <c r="M1416">
        <v>-26600000</v>
      </c>
    </row>
    <row r="1417" spans="1:13" x14ac:dyDescent="0.3">
      <c r="A1417" s="23">
        <v>44624</v>
      </c>
      <c r="B1417" t="s">
        <v>12</v>
      </c>
      <c r="C1417" t="s">
        <v>132</v>
      </c>
      <c r="D1417" t="s">
        <v>16</v>
      </c>
      <c r="E1417" t="s">
        <v>43</v>
      </c>
      <c r="F1417">
        <v>11800000</v>
      </c>
      <c r="G1417" t="s">
        <v>23</v>
      </c>
      <c r="H1417" t="s">
        <v>81</v>
      </c>
      <c r="I1417" t="s">
        <v>9</v>
      </c>
      <c r="L1417" t="s">
        <v>161</v>
      </c>
      <c r="M1417">
        <v>11800000</v>
      </c>
    </row>
    <row r="1418" spans="1:13" x14ac:dyDescent="0.3">
      <c r="A1418" s="23">
        <v>44627</v>
      </c>
      <c r="B1418" t="s">
        <v>12</v>
      </c>
      <c r="C1418" t="s">
        <v>132</v>
      </c>
      <c r="D1418" t="s">
        <v>16</v>
      </c>
      <c r="E1418" t="s">
        <v>43</v>
      </c>
      <c r="F1418">
        <v>22400000</v>
      </c>
      <c r="G1418" t="s">
        <v>23</v>
      </c>
      <c r="H1418" t="s">
        <v>81</v>
      </c>
      <c r="I1418" t="s">
        <v>9</v>
      </c>
      <c r="L1418" t="s">
        <v>161</v>
      </c>
      <c r="M1418">
        <v>22400000</v>
      </c>
    </row>
    <row r="1419" spans="1:13" x14ac:dyDescent="0.3">
      <c r="A1419" s="23">
        <v>44628</v>
      </c>
      <c r="B1419" t="s">
        <v>12</v>
      </c>
      <c r="C1419" t="s">
        <v>132</v>
      </c>
      <c r="D1419" t="s">
        <v>17</v>
      </c>
      <c r="E1419" t="s">
        <v>43</v>
      </c>
      <c r="F1419">
        <v>7100000</v>
      </c>
      <c r="G1419" t="s">
        <v>23</v>
      </c>
      <c r="H1419" t="s">
        <v>81</v>
      </c>
      <c r="I1419" t="s">
        <v>9</v>
      </c>
      <c r="L1419" t="s">
        <v>161</v>
      </c>
      <c r="M1419">
        <v>-7100000</v>
      </c>
    </row>
    <row r="1420" spans="1:13" x14ac:dyDescent="0.3">
      <c r="A1420" s="23">
        <v>44629</v>
      </c>
      <c r="B1420" t="s">
        <v>12</v>
      </c>
      <c r="C1420" t="s">
        <v>132</v>
      </c>
      <c r="D1420" t="s">
        <v>16</v>
      </c>
      <c r="E1420" t="s">
        <v>43</v>
      </c>
      <c r="F1420">
        <v>25100000</v>
      </c>
      <c r="G1420" t="s">
        <v>23</v>
      </c>
      <c r="H1420" t="s">
        <v>81</v>
      </c>
      <c r="I1420" t="s">
        <v>9</v>
      </c>
      <c r="L1420" t="s">
        <v>161</v>
      </c>
      <c r="M1420">
        <v>25100000</v>
      </c>
    </row>
    <row r="1421" spans="1:13" x14ac:dyDescent="0.3">
      <c r="A1421" s="23">
        <v>44630</v>
      </c>
      <c r="B1421" t="s">
        <v>12</v>
      </c>
      <c r="C1421" t="s">
        <v>132</v>
      </c>
      <c r="D1421" t="s">
        <v>17</v>
      </c>
      <c r="E1421" t="s">
        <v>43</v>
      </c>
      <c r="F1421">
        <v>50200000</v>
      </c>
      <c r="G1421" t="s">
        <v>23</v>
      </c>
      <c r="H1421" t="s">
        <v>81</v>
      </c>
      <c r="I1421" t="s">
        <v>9</v>
      </c>
      <c r="L1421" t="s">
        <v>161</v>
      </c>
      <c r="M1421">
        <v>-50200000</v>
      </c>
    </row>
    <row r="1422" spans="1:13" x14ac:dyDescent="0.3">
      <c r="A1422" s="23">
        <v>44631</v>
      </c>
      <c r="B1422" t="s">
        <v>12</v>
      </c>
      <c r="C1422" t="s">
        <v>132</v>
      </c>
      <c r="D1422" t="s">
        <v>17</v>
      </c>
      <c r="E1422" t="s">
        <v>43</v>
      </c>
      <c r="F1422">
        <v>700000</v>
      </c>
      <c r="G1422" t="s">
        <v>23</v>
      </c>
      <c r="H1422" t="s">
        <v>81</v>
      </c>
      <c r="I1422" t="s">
        <v>9</v>
      </c>
      <c r="L1422" t="s">
        <v>161</v>
      </c>
      <c r="M1422">
        <v>-700000</v>
      </c>
    </row>
    <row r="1423" spans="1:13" x14ac:dyDescent="0.3">
      <c r="A1423" s="23">
        <v>44631</v>
      </c>
      <c r="B1423" t="s">
        <v>12</v>
      </c>
      <c r="C1423" t="s">
        <v>132</v>
      </c>
      <c r="D1423" t="s">
        <v>17</v>
      </c>
      <c r="E1423" t="s">
        <v>43</v>
      </c>
      <c r="F1423">
        <v>15000000</v>
      </c>
      <c r="G1423" t="s">
        <v>23</v>
      </c>
      <c r="H1423" t="s">
        <v>81</v>
      </c>
      <c r="I1423" t="s">
        <v>9</v>
      </c>
      <c r="L1423" t="s">
        <v>161</v>
      </c>
      <c r="M1423">
        <v>-15000000</v>
      </c>
    </row>
    <row r="1424" spans="1:13" x14ac:dyDescent="0.3">
      <c r="A1424" s="23">
        <v>44634</v>
      </c>
      <c r="B1424" t="s">
        <v>12</v>
      </c>
      <c r="C1424" t="s">
        <v>132</v>
      </c>
      <c r="D1424" t="s">
        <v>17</v>
      </c>
      <c r="E1424" t="s">
        <v>43</v>
      </c>
      <c r="F1424">
        <v>8700000</v>
      </c>
      <c r="G1424" t="s">
        <v>23</v>
      </c>
      <c r="H1424" t="s">
        <v>81</v>
      </c>
      <c r="I1424" t="s">
        <v>9</v>
      </c>
      <c r="L1424" t="s">
        <v>161</v>
      </c>
      <c r="M1424">
        <v>-8700000</v>
      </c>
    </row>
    <row r="1425" spans="1:13" x14ac:dyDescent="0.3">
      <c r="A1425" s="23">
        <v>44635</v>
      </c>
      <c r="B1425" t="s">
        <v>12</v>
      </c>
      <c r="C1425" t="s">
        <v>132</v>
      </c>
      <c r="D1425" t="s">
        <v>16</v>
      </c>
      <c r="E1425" t="s">
        <v>43</v>
      </c>
      <c r="F1425">
        <v>87200000</v>
      </c>
      <c r="G1425" t="s">
        <v>23</v>
      </c>
      <c r="H1425" t="s">
        <v>81</v>
      </c>
      <c r="I1425" t="s">
        <v>9</v>
      </c>
      <c r="L1425" t="s">
        <v>161</v>
      </c>
      <c r="M1425">
        <v>87200000</v>
      </c>
    </row>
    <row r="1426" spans="1:13" x14ac:dyDescent="0.3">
      <c r="A1426" s="23">
        <v>44636</v>
      </c>
      <c r="B1426" t="s">
        <v>12</v>
      </c>
      <c r="C1426" t="s">
        <v>132</v>
      </c>
      <c r="D1426" t="s">
        <v>17</v>
      </c>
      <c r="E1426" t="s">
        <v>43</v>
      </c>
      <c r="F1426">
        <v>11000000</v>
      </c>
      <c r="G1426" t="s">
        <v>23</v>
      </c>
      <c r="H1426" t="s">
        <v>81</v>
      </c>
      <c r="I1426" t="s">
        <v>9</v>
      </c>
      <c r="L1426" t="s">
        <v>161</v>
      </c>
      <c r="M1426">
        <v>-11000000</v>
      </c>
    </row>
    <row r="1427" spans="1:13" x14ac:dyDescent="0.3">
      <c r="A1427" s="23">
        <v>44638</v>
      </c>
      <c r="B1427" t="s">
        <v>12</v>
      </c>
      <c r="C1427" t="s">
        <v>132</v>
      </c>
      <c r="D1427" t="s">
        <v>17</v>
      </c>
      <c r="E1427" t="s">
        <v>43</v>
      </c>
      <c r="F1427">
        <v>45500000</v>
      </c>
      <c r="G1427" t="s">
        <v>23</v>
      </c>
      <c r="H1427" t="s">
        <v>81</v>
      </c>
      <c r="I1427" t="s">
        <v>9</v>
      </c>
      <c r="L1427" t="s">
        <v>161</v>
      </c>
      <c r="M1427">
        <v>-45500000</v>
      </c>
    </row>
    <row r="1428" spans="1:13" x14ac:dyDescent="0.3">
      <c r="A1428" s="23">
        <v>44638</v>
      </c>
      <c r="B1428" t="s">
        <v>12</v>
      </c>
      <c r="C1428" t="s">
        <v>132</v>
      </c>
      <c r="D1428" t="s">
        <v>17</v>
      </c>
      <c r="E1428" t="s">
        <v>43</v>
      </c>
      <c r="F1428">
        <v>6700000</v>
      </c>
      <c r="G1428" t="s">
        <v>23</v>
      </c>
      <c r="H1428" t="s">
        <v>81</v>
      </c>
      <c r="I1428" t="s">
        <v>9</v>
      </c>
      <c r="L1428" t="s">
        <v>161</v>
      </c>
      <c r="M1428">
        <v>-6700000</v>
      </c>
    </row>
    <row r="1429" spans="1:13" x14ac:dyDescent="0.3">
      <c r="A1429" s="23">
        <v>44641</v>
      </c>
      <c r="B1429" t="s">
        <v>12</v>
      </c>
      <c r="C1429" t="s">
        <v>132</v>
      </c>
      <c r="D1429" t="s">
        <v>17</v>
      </c>
      <c r="E1429" t="s">
        <v>43</v>
      </c>
      <c r="F1429">
        <v>20000000</v>
      </c>
      <c r="G1429" t="s">
        <v>23</v>
      </c>
      <c r="H1429" t="s">
        <v>81</v>
      </c>
      <c r="I1429" t="s">
        <v>9</v>
      </c>
      <c r="L1429" t="s">
        <v>161</v>
      </c>
      <c r="M1429">
        <v>-20000000</v>
      </c>
    </row>
    <row r="1430" spans="1:13" x14ac:dyDescent="0.3">
      <c r="A1430" s="23">
        <v>44642</v>
      </c>
      <c r="B1430" t="s">
        <v>12</v>
      </c>
      <c r="C1430" t="s">
        <v>132</v>
      </c>
      <c r="D1430" t="s">
        <v>16</v>
      </c>
      <c r="E1430" t="s">
        <v>43</v>
      </c>
      <c r="F1430">
        <v>124900000</v>
      </c>
      <c r="G1430" t="s">
        <v>23</v>
      </c>
      <c r="H1430" t="s">
        <v>81</v>
      </c>
      <c r="I1430" t="s">
        <v>9</v>
      </c>
      <c r="L1430" t="s">
        <v>161</v>
      </c>
      <c r="M1430">
        <v>124900000</v>
      </c>
    </row>
    <row r="1431" spans="1:13" x14ac:dyDescent="0.3">
      <c r="A1431" s="23">
        <v>44643</v>
      </c>
      <c r="B1431" t="s">
        <v>12</v>
      </c>
      <c r="C1431" t="s">
        <v>132</v>
      </c>
      <c r="D1431" t="s">
        <v>17</v>
      </c>
      <c r="E1431" t="s">
        <v>43</v>
      </c>
      <c r="F1431">
        <v>37600000</v>
      </c>
      <c r="G1431" t="s">
        <v>23</v>
      </c>
      <c r="H1431" t="s">
        <v>81</v>
      </c>
      <c r="I1431" t="s">
        <v>9</v>
      </c>
      <c r="L1431" t="s">
        <v>161</v>
      </c>
      <c r="M1431">
        <v>-37600000</v>
      </c>
    </row>
    <row r="1432" spans="1:13" x14ac:dyDescent="0.3">
      <c r="A1432" s="23">
        <v>45814</v>
      </c>
      <c r="B1432" t="s">
        <v>12</v>
      </c>
      <c r="C1432" t="s">
        <v>132</v>
      </c>
      <c r="D1432" t="s">
        <v>17</v>
      </c>
      <c r="E1432" t="s">
        <v>43</v>
      </c>
      <c r="F1432">
        <v>19500000</v>
      </c>
      <c r="G1432" t="s">
        <v>23</v>
      </c>
      <c r="H1432" t="s">
        <v>81</v>
      </c>
      <c r="I1432" t="s">
        <v>9</v>
      </c>
      <c r="L1432" t="s">
        <v>161</v>
      </c>
      <c r="M1432">
        <v>-19500000</v>
      </c>
    </row>
    <row r="1433" spans="1:13" x14ac:dyDescent="0.3">
      <c r="A1433" s="23">
        <v>44648</v>
      </c>
      <c r="B1433" t="s">
        <v>12</v>
      </c>
      <c r="C1433" t="s">
        <v>132</v>
      </c>
      <c r="D1433" t="s">
        <v>17</v>
      </c>
      <c r="E1433" t="s">
        <v>43</v>
      </c>
      <c r="F1433">
        <v>10400000</v>
      </c>
      <c r="G1433" t="s">
        <v>23</v>
      </c>
      <c r="H1433" t="s">
        <v>81</v>
      </c>
      <c r="I1433" t="s">
        <v>9</v>
      </c>
      <c r="L1433" t="s">
        <v>161</v>
      </c>
      <c r="M1433">
        <v>-10400000</v>
      </c>
    </row>
    <row r="1434" spans="1:13" x14ac:dyDescent="0.3">
      <c r="A1434" s="23">
        <v>44649</v>
      </c>
      <c r="B1434" t="s">
        <v>12</v>
      </c>
      <c r="C1434" t="s">
        <v>132</v>
      </c>
      <c r="D1434" t="s">
        <v>16</v>
      </c>
      <c r="E1434" t="s">
        <v>43</v>
      </c>
      <c r="F1434">
        <v>13800000</v>
      </c>
      <c r="G1434" t="s">
        <v>23</v>
      </c>
      <c r="H1434" t="s">
        <v>81</v>
      </c>
      <c r="I1434" t="s">
        <v>9</v>
      </c>
      <c r="L1434" t="s">
        <v>161</v>
      </c>
      <c r="M1434">
        <v>13800000</v>
      </c>
    </row>
    <row r="1435" spans="1:13" x14ac:dyDescent="0.3">
      <c r="A1435" s="23">
        <v>44650</v>
      </c>
      <c r="B1435" t="s">
        <v>12</v>
      </c>
      <c r="C1435" t="s">
        <v>132</v>
      </c>
      <c r="D1435" t="s">
        <v>16</v>
      </c>
      <c r="E1435" t="s">
        <v>43</v>
      </c>
      <c r="F1435">
        <v>38000000</v>
      </c>
      <c r="G1435" t="s">
        <v>23</v>
      </c>
      <c r="H1435" t="s">
        <v>81</v>
      </c>
      <c r="I1435" t="s">
        <v>9</v>
      </c>
      <c r="L1435" t="s">
        <v>161</v>
      </c>
      <c r="M1435">
        <v>38000000</v>
      </c>
    </row>
    <row r="1436" spans="1:13" x14ac:dyDescent="0.3">
      <c r="A1436" s="23">
        <v>45812</v>
      </c>
      <c r="B1436" t="s">
        <v>12</v>
      </c>
      <c r="C1436" t="s">
        <v>132</v>
      </c>
      <c r="D1436" t="s">
        <v>17</v>
      </c>
      <c r="E1436" t="s">
        <v>43</v>
      </c>
      <c r="F1436">
        <v>747800000</v>
      </c>
      <c r="G1436" t="s">
        <v>23</v>
      </c>
      <c r="H1436" t="s">
        <v>81</v>
      </c>
      <c r="I1436" t="s">
        <v>9</v>
      </c>
      <c r="L1436" t="s">
        <v>161</v>
      </c>
      <c r="M1436">
        <v>-747800000</v>
      </c>
    </row>
    <row r="1437" spans="1:13" x14ac:dyDescent="0.3">
      <c r="A1437" s="23">
        <v>45807</v>
      </c>
      <c r="B1437" t="s">
        <v>12</v>
      </c>
      <c r="C1437" t="s">
        <v>132</v>
      </c>
      <c r="D1437" t="s">
        <v>16</v>
      </c>
      <c r="E1437" t="s">
        <v>43</v>
      </c>
      <c r="F1437">
        <v>2500000000</v>
      </c>
      <c r="G1437" t="s">
        <v>23</v>
      </c>
      <c r="H1437" t="s">
        <v>81</v>
      </c>
      <c r="I1437" t="s">
        <v>9</v>
      </c>
      <c r="L1437" t="s">
        <v>161</v>
      </c>
      <c r="M1437">
        <v>2500000000</v>
      </c>
    </row>
    <row r="1438" spans="1:13" x14ac:dyDescent="0.3">
      <c r="A1438" s="23">
        <v>44655</v>
      </c>
      <c r="B1438" t="s">
        <v>12</v>
      </c>
      <c r="C1438" t="s">
        <v>132</v>
      </c>
      <c r="D1438" t="s">
        <v>17</v>
      </c>
      <c r="E1438" t="s">
        <v>43</v>
      </c>
      <c r="F1438">
        <v>110000000</v>
      </c>
      <c r="G1438" t="s">
        <v>23</v>
      </c>
      <c r="H1438" t="s">
        <v>81</v>
      </c>
      <c r="I1438" t="s">
        <v>9</v>
      </c>
      <c r="L1438" t="s">
        <v>161</v>
      </c>
      <c r="M1438">
        <v>-110000000</v>
      </c>
    </row>
    <row r="1439" spans="1:13" x14ac:dyDescent="0.3">
      <c r="A1439" s="23">
        <v>44658</v>
      </c>
      <c r="B1439" t="s">
        <v>12</v>
      </c>
      <c r="C1439" t="s">
        <v>132</v>
      </c>
      <c r="D1439" t="s">
        <v>17</v>
      </c>
      <c r="E1439" t="s">
        <v>43</v>
      </c>
      <c r="F1439">
        <v>7200000</v>
      </c>
      <c r="G1439" t="s">
        <v>23</v>
      </c>
      <c r="H1439" t="s">
        <v>81</v>
      </c>
      <c r="I1439" t="s">
        <v>9</v>
      </c>
      <c r="L1439" t="s">
        <v>161</v>
      </c>
      <c r="M1439">
        <v>-7200000</v>
      </c>
    </row>
    <row r="1440" spans="1:13" x14ac:dyDescent="0.3">
      <c r="A1440" s="23">
        <v>44659</v>
      </c>
      <c r="B1440" t="s">
        <v>12</v>
      </c>
      <c r="C1440" t="s">
        <v>132</v>
      </c>
      <c r="D1440" t="s">
        <v>17</v>
      </c>
      <c r="E1440" t="s">
        <v>43</v>
      </c>
      <c r="F1440">
        <v>3000000</v>
      </c>
      <c r="G1440" t="s">
        <v>23</v>
      </c>
      <c r="H1440" t="s">
        <v>81</v>
      </c>
      <c r="I1440" t="s">
        <v>9</v>
      </c>
      <c r="L1440" t="s">
        <v>161</v>
      </c>
      <c r="M1440">
        <v>-3000000</v>
      </c>
    </row>
    <row r="1441" spans="1:13" x14ac:dyDescent="0.3">
      <c r="A1441" s="23">
        <v>44659</v>
      </c>
      <c r="B1441" t="s">
        <v>12</v>
      </c>
      <c r="C1441" t="s">
        <v>132</v>
      </c>
      <c r="D1441" t="s">
        <v>16</v>
      </c>
      <c r="E1441" t="s">
        <v>43</v>
      </c>
      <c r="F1441">
        <v>10000000</v>
      </c>
      <c r="G1441" t="s">
        <v>23</v>
      </c>
      <c r="H1441" t="s">
        <v>81</v>
      </c>
      <c r="I1441" t="s">
        <v>9</v>
      </c>
      <c r="L1441" t="s">
        <v>161</v>
      </c>
      <c r="M1441">
        <v>10000000</v>
      </c>
    </row>
    <row r="1442" spans="1:13" x14ac:dyDescent="0.3">
      <c r="A1442" s="23">
        <v>45804</v>
      </c>
      <c r="B1442" t="s">
        <v>12</v>
      </c>
      <c r="C1442" t="s">
        <v>132</v>
      </c>
      <c r="D1442" t="s">
        <v>16</v>
      </c>
      <c r="E1442" t="s">
        <v>43</v>
      </c>
      <c r="F1442">
        <v>129121000</v>
      </c>
      <c r="G1442" t="s">
        <v>23</v>
      </c>
      <c r="H1442" t="s">
        <v>81</v>
      </c>
      <c r="I1442" t="s">
        <v>9</v>
      </c>
      <c r="L1442" t="s">
        <v>161</v>
      </c>
      <c r="M1442">
        <v>129121000</v>
      </c>
    </row>
    <row r="1443" spans="1:13" x14ac:dyDescent="0.3">
      <c r="A1443" s="23">
        <v>44663</v>
      </c>
      <c r="B1443" t="s">
        <v>12</v>
      </c>
      <c r="C1443" t="s">
        <v>132</v>
      </c>
      <c r="D1443" t="s">
        <v>16</v>
      </c>
      <c r="E1443" t="s">
        <v>43</v>
      </c>
      <c r="F1443">
        <v>29600000</v>
      </c>
      <c r="G1443" t="s">
        <v>23</v>
      </c>
      <c r="H1443" t="s">
        <v>81</v>
      </c>
      <c r="I1443" t="s">
        <v>9</v>
      </c>
      <c r="L1443" t="s">
        <v>161</v>
      </c>
      <c r="M1443">
        <v>29600000</v>
      </c>
    </row>
    <row r="1444" spans="1:13" x14ac:dyDescent="0.3">
      <c r="A1444" s="23">
        <v>44669</v>
      </c>
      <c r="B1444" t="s">
        <v>12</v>
      </c>
      <c r="C1444" t="s">
        <v>132</v>
      </c>
      <c r="D1444" t="s">
        <v>16</v>
      </c>
      <c r="E1444" t="s">
        <v>43</v>
      </c>
      <c r="F1444">
        <v>6800000</v>
      </c>
      <c r="G1444" t="s">
        <v>23</v>
      </c>
      <c r="H1444" t="s">
        <v>81</v>
      </c>
      <c r="I1444" t="s">
        <v>9</v>
      </c>
      <c r="L1444" t="s">
        <v>161</v>
      </c>
      <c r="M1444">
        <v>6800000</v>
      </c>
    </row>
    <row r="1445" spans="1:13" x14ac:dyDescent="0.3">
      <c r="A1445" s="23">
        <v>45793</v>
      </c>
      <c r="B1445" t="s">
        <v>12</v>
      </c>
      <c r="C1445" t="s">
        <v>132</v>
      </c>
      <c r="D1445" t="s">
        <v>17</v>
      </c>
      <c r="E1445" t="s">
        <v>43</v>
      </c>
      <c r="F1445">
        <v>175800000</v>
      </c>
      <c r="G1445" t="s">
        <v>23</v>
      </c>
      <c r="H1445" t="s">
        <v>81</v>
      </c>
      <c r="I1445" t="s">
        <v>9</v>
      </c>
      <c r="L1445" t="s">
        <v>161</v>
      </c>
      <c r="M1445">
        <v>-175800000</v>
      </c>
    </row>
    <row r="1446" spans="1:13" x14ac:dyDescent="0.3">
      <c r="A1446" s="23">
        <v>45792</v>
      </c>
      <c r="B1446" t="s">
        <v>12</v>
      </c>
      <c r="C1446" t="s">
        <v>132</v>
      </c>
      <c r="D1446" t="s">
        <v>17</v>
      </c>
      <c r="E1446" t="s">
        <v>43</v>
      </c>
      <c r="F1446">
        <v>2600000</v>
      </c>
      <c r="G1446" t="s">
        <v>23</v>
      </c>
      <c r="H1446" t="s">
        <v>81</v>
      </c>
      <c r="I1446" t="s">
        <v>9</v>
      </c>
      <c r="L1446" t="s">
        <v>161</v>
      </c>
      <c r="M1446">
        <v>-2600000</v>
      </c>
    </row>
    <row r="1447" spans="1:13" x14ac:dyDescent="0.3">
      <c r="A1447" s="23">
        <v>44681</v>
      </c>
      <c r="B1447" t="s">
        <v>12</v>
      </c>
      <c r="C1447" t="s">
        <v>132</v>
      </c>
      <c r="D1447" t="s">
        <v>16</v>
      </c>
      <c r="E1447" t="s">
        <v>43</v>
      </c>
      <c r="F1447">
        <v>3204286.06</v>
      </c>
      <c r="G1447" t="s">
        <v>23</v>
      </c>
      <c r="H1447" t="s">
        <v>81</v>
      </c>
      <c r="I1447" t="s">
        <v>9</v>
      </c>
      <c r="L1447" t="s">
        <v>161</v>
      </c>
      <c r="M1447">
        <v>3204286.06</v>
      </c>
    </row>
    <row r="1448" spans="1:13" x14ac:dyDescent="0.3">
      <c r="A1448" s="23">
        <v>44683</v>
      </c>
      <c r="B1448" t="s">
        <v>12</v>
      </c>
      <c r="C1448" t="s">
        <v>132</v>
      </c>
      <c r="D1448" t="s">
        <v>17</v>
      </c>
      <c r="E1448" t="s">
        <v>43</v>
      </c>
      <c r="F1448">
        <v>36500000</v>
      </c>
      <c r="G1448" t="s">
        <v>23</v>
      </c>
      <c r="H1448" t="s">
        <v>81</v>
      </c>
      <c r="I1448" t="s">
        <v>9</v>
      </c>
      <c r="L1448" t="s">
        <v>161</v>
      </c>
      <c r="M1448">
        <v>-36500000</v>
      </c>
    </row>
    <row r="1449" spans="1:13" x14ac:dyDescent="0.3">
      <c r="A1449" s="23">
        <v>44684</v>
      </c>
      <c r="B1449" t="s">
        <v>12</v>
      </c>
      <c r="C1449" t="s">
        <v>132</v>
      </c>
      <c r="D1449" t="s">
        <v>16</v>
      </c>
      <c r="E1449" t="s">
        <v>43</v>
      </c>
      <c r="F1449">
        <v>76000000</v>
      </c>
      <c r="G1449" t="s">
        <v>23</v>
      </c>
      <c r="H1449" t="s">
        <v>81</v>
      </c>
      <c r="I1449" t="s">
        <v>9</v>
      </c>
      <c r="L1449" t="s">
        <v>161</v>
      </c>
      <c r="M1449">
        <v>76000000</v>
      </c>
    </row>
    <row r="1450" spans="1:13" x14ac:dyDescent="0.3">
      <c r="A1450" s="23">
        <v>44685</v>
      </c>
      <c r="B1450" t="s">
        <v>12</v>
      </c>
      <c r="C1450" t="s">
        <v>132</v>
      </c>
      <c r="D1450" t="s">
        <v>17</v>
      </c>
      <c r="E1450" t="s">
        <v>43</v>
      </c>
      <c r="F1450">
        <v>48900000</v>
      </c>
      <c r="G1450" t="s">
        <v>23</v>
      </c>
      <c r="H1450" t="s">
        <v>81</v>
      </c>
      <c r="I1450" t="s">
        <v>9</v>
      </c>
      <c r="L1450" t="s">
        <v>161</v>
      </c>
      <c r="M1450">
        <v>-48900000</v>
      </c>
    </row>
    <row r="1451" spans="1:13" x14ac:dyDescent="0.3">
      <c r="A1451" s="23">
        <v>44687</v>
      </c>
      <c r="B1451" t="s">
        <v>12</v>
      </c>
      <c r="C1451" t="s">
        <v>132</v>
      </c>
      <c r="D1451" t="s">
        <v>17</v>
      </c>
      <c r="E1451" t="s">
        <v>43</v>
      </c>
      <c r="F1451">
        <v>26900000</v>
      </c>
      <c r="G1451" t="s">
        <v>23</v>
      </c>
      <c r="H1451" t="s">
        <v>81</v>
      </c>
      <c r="I1451" t="s">
        <v>9</v>
      </c>
      <c r="L1451" t="s">
        <v>161</v>
      </c>
      <c r="M1451">
        <v>-26900000</v>
      </c>
    </row>
    <row r="1452" spans="1:13" x14ac:dyDescent="0.3">
      <c r="A1452" s="23">
        <v>45786</v>
      </c>
      <c r="B1452" t="s">
        <v>12</v>
      </c>
      <c r="C1452" t="s">
        <v>132</v>
      </c>
      <c r="D1452" t="s">
        <v>17</v>
      </c>
      <c r="E1452" t="s">
        <v>43</v>
      </c>
      <c r="F1452">
        <v>20700000</v>
      </c>
      <c r="G1452" t="s">
        <v>23</v>
      </c>
      <c r="H1452" t="s">
        <v>81</v>
      </c>
      <c r="I1452" t="s">
        <v>9</v>
      </c>
      <c r="L1452" t="s">
        <v>161</v>
      </c>
      <c r="M1452">
        <v>-20700000</v>
      </c>
    </row>
    <row r="1453" spans="1:13" x14ac:dyDescent="0.3">
      <c r="A1453" s="23">
        <v>44690</v>
      </c>
      <c r="B1453" t="s">
        <v>12</v>
      </c>
      <c r="C1453" t="s">
        <v>132</v>
      </c>
      <c r="D1453" t="s">
        <v>17</v>
      </c>
      <c r="E1453" t="s">
        <v>43</v>
      </c>
      <c r="F1453">
        <v>20000000</v>
      </c>
      <c r="G1453" t="s">
        <v>23</v>
      </c>
      <c r="H1453" t="s">
        <v>81</v>
      </c>
      <c r="I1453" t="s">
        <v>9</v>
      </c>
      <c r="L1453" t="s">
        <v>161</v>
      </c>
      <c r="M1453">
        <v>-20000000</v>
      </c>
    </row>
    <row r="1454" spans="1:13" x14ac:dyDescent="0.3">
      <c r="A1454" s="23">
        <v>44691</v>
      </c>
      <c r="B1454" t="s">
        <v>12</v>
      </c>
      <c r="C1454" t="s">
        <v>132</v>
      </c>
      <c r="D1454" t="s">
        <v>16</v>
      </c>
      <c r="E1454" t="s">
        <v>43</v>
      </c>
      <c r="F1454">
        <v>83100000</v>
      </c>
      <c r="G1454" t="s">
        <v>23</v>
      </c>
      <c r="H1454" t="s">
        <v>81</v>
      </c>
      <c r="I1454" t="s">
        <v>9</v>
      </c>
      <c r="L1454" t="s">
        <v>161</v>
      </c>
      <c r="M1454">
        <v>83100000</v>
      </c>
    </row>
    <row r="1455" spans="1:13" x14ac:dyDescent="0.3">
      <c r="A1455" s="23">
        <v>45782</v>
      </c>
      <c r="B1455" t="s">
        <v>12</v>
      </c>
      <c r="C1455" t="s">
        <v>132</v>
      </c>
      <c r="D1455" t="s">
        <v>17</v>
      </c>
      <c r="E1455" t="s">
        <v>43</v>
      </c>
      <c r="F1455">
        <v>633600000</v>
      </c>
      <c r="G1455" t="s">
        <v>23</v>
      </c>
      <c r="H1455" t="s">
        <v>81</v>
      </c>
      <c r="I1455" t="s">
        <v>9</v>
      </c>
      <c r="L1455" t="s">
        <v>161</v>
      </c>
      <c r="M1455">
        <v>-633600000</v>
      </c>
    </row>
    <row r="1456" spans="1:13" x14ac:dyDescent="0.3">
      <c r="A1456" s="23">
        <v>44692</v>
      </c>
      <c r="B1456" t="s">
        <v>12</v>
      </c>
      <c r="C1456" t="s">
        <v>132</v>
      </c>
      <c r="D1456" t="s">
        <v>17</v>
      </c>
      <c r="E1456" t="s">
        <v>43</v>
      </c>
      <c r="F1456">
        <v>26500000</v>
      </c>
      <c r="G1456" t="s">
        <v>23</v>
      </c>
      <c r="H1456" t="s">
        <v>81</v>
      </c>
      <c r="I1456" t="s">
        <v>9</v>
      </c>
      <c r="L1456" t="s">
        <v>161</v>
      </c>
      <c r="M1456">
        <v>-26500000</v>
      </c>
    </row>
    <row r="1457" spans="1:13" x14ac:dyDescent="0.3">
      <c r="A1457" s="23">
        <v>44694</v>
      </c>
      <c r="B1457" t="s">
        <v>12</v>
      </c>
      <c r="C1457" t="s">
        <v>132</v>
      </c>
      <c r="D1457" t="s">
        <v>16</v>
      </c>
      <c r="E1457" t="s">
        <v>43</v>
      </c>
      <c r="F1457">
        <v>7200000</v>
      </c>
      <c r="G1457" t="s">
        <v>23</v>
      </c>
      <c r="H1457" t="s">
        <v>81</v>
      </c>
      <c r="I1457" t="s">
        <v>9</v>
      </c>
      <c r="L1457" t="s">
        <v>161</v>
      </c>
      <c r="M1457">
        <v>7200000</v>
      </c>
    </row>
    <row r="1458" spans="1:13" x14ac:dyDescent="0.3">
      <c r="A1458" s="23">
        <v>44694</v>
      </c>
      <c r="B1458" t="s">
        <v>12</v>
      </c>
      <c r="C1458" t="s">
        <v>132</v>
      </c>
      <c r="D1458" t="s">
        <v>17</v>
      </c>
      <c r="E1458" t="s">
        <v>43</v>
      </c>
      <c r="F1458">
        <v>62612071.850000001</v>
      </c>
      <c r="G1458" t="s">
        <v>23</v>
      </c>
      <c r="H1458" t="s">
        <v>81</v>
      </c>
      <c r="I1458" t="s">
        <v>9</v>
      </c>
      <c r="L1458" t="s">
        <v>161</v>
      </c>
      <c r="M1458">
        <v>-62612071.850000001</v>
      </c>
    </row>
    <row r="1459" spans="1:13" x14ac:dyDescent="0.3">
      <c r="A1459" s="23">
        <v>44697</v>
      </c>
      <c r="B1459" t="s">
        <v>12</v>
      </c>
      <c r="C1459" t="s">
        <v>132</v>
      </c>
      <c r="D1459" t="s">
        <v>16</v>
      </c>
      <c r="E1459" t="s">
        <v>43</v>
      </c>
      <c r="F1459">
        <v>151000000</v>
      </c>
      <c r="G1459" t="s">
        <v>23</v>
      </c>
      <c r="H1459" t="s">
        <v>81</v>
      </c>
      <c r="I1459" t="s">
        <v>9</v>
      </c>
      <c r="L1459" t="s">
        <v>161</v>
      </c>
      <c r="M1459">
        <v>151000000</v>
      </c>
    </row>
    <row r="1460" spans="1:13" x14ac:dyDescent="0.3">
      <c r="A1460" s="23">
        <v>44698</v>
      </c>
      <c r="B1460" t="s">
        <v>12</v>
      </c>
      <c r="C1460" t="s">
        <v>132</v>
      </c>
      <c r="D1460" t="s">
        <v>17</v>
      </c>
      <c r="E1460" t="s">
        <v>43</v>
      </c>
      <c r="F1460">
        <v>36800000</v>
      </c>
      <c r="G1460" t="s">
        <v>23</v>
      </c>
      <c r="H1460" t="s">
        <v>81</v>
      </c>
      <c r="I1460" t="s">
        <v>9</v>
      </c>
      <c r="L1460" t="s">
        <v>161</v>
      </c>
      <c r="M1460">
        <v>-36800000</v>
      </c>
    </row>
    <row r="1461" spans="1:13" x14ac:dyDescent="0.3">
      <c r="A1461" s="23">
        <v>45769</v>
      </c>
      <c r="B1461" t="s">
        <v>12</v>
      </c>
      <c r="C1461" t="s">
        <v>132</v>
      </c>
      <c r="D1461" t="s">
        <v>16</v>
      </c>
      <c r="E1461" t="s">
        <v>43</v>
      </c>
      <c r="F1461">
        <v>30995902</v>
      </c>
      <c r="G1461" t="s">
        <v>23</v>
      </c>
      <c r="H1461" t="s">
        <v>81</v>
      </c>
      <c r="I1461" t="s">
        <v>9</v>
      </c>
      <c r="L1461" t="s">
        <v>161</v>
      </c>
      <c r="M1461">
        <v>30995902</v>
      </c>
    </row>
    <row r="1462" spans="1:13" x14ac:dyDescent="0.3">
      <c r="A1462" s="23">
        <v>44701</v>
      </c>
      <c r="B1462" t="s">
        <v>12</v>
      </c>
      <c r="C1462" t="s">
        <v>132</v>
      </c>
      <c r="D1462" t="s">
        <v>17</v>
      </c>
      <c r="E1462" t="s">
        <v>43</v>
      </c>
      <c r="F1462">
        <v>40500000</v>
      </c>
      <c r="G1462" t="s">
        <v>23</v>
      </c>
      <c r="H1462" t="s">
        <v>81</v>
      </c>
      <c r="I1462" t="s">
        <v>9</v>
      </c>
      <c r="L1462" t="s">
        <v>161</v>
      </c>
      <c r="M1462">
        <v>-40500000</v>
      </c>
    </row>
    <row r="1463" spans="1:13" x14ac:dyDescent="0.3">
      <c r="A1463" s="23">
        <v>44704</v>
      </c>
      <c r="B1463" t="s">
        <v>12</v>
      </c>
      <c r="C1463" t="s">
        <v>132</v>
      </c>
      <c r="D1463" t="s">
        <v>17</v>
      </c>
      <c r="E1463" t="s">
        <v>43</v>
      </c>
      <c r="F1463">
        <v>80900000</v>
      </c>
      <c r="G1463" t="s">
        <v>23</v>
      </c>
      <c r="H1463" t="s">
        <v>81</v>
      </c>
      <c r="I1463" t="s">
        <v>9</v>
      </c>
      <c r="L1463" t="s">
        <v>161</v>
      </c>
      <c r="M1463">
        <v>-80900000</v>
      </c>
    </row>
    <row r="1464" spans="1:13" x14ac:dyDescent="0.3">
      <c r="A1464" s="23">
        <v>45763</v>
      </c>
      <c r="B1464" t="s">
        <v>12</v>
      </c>
      <c r="C1464" t="s">
        <v>132</v>
      </c>
      <c r="D1464" t="s">
        <v>16</v>
      </c>
      <c r="E1464" t="s">
        <v>43</v>
      </c>
      <c r="F1464">
        <v>3865600000</v>
      </c>
      <c r="G1464" t="s">
        <v>23</v>
      </c>
      <c r="H1464" t="s">
        <v>81</v>
      </c>
      <c r="I1464" t="s">
        <v>9</v>
      </c>
      <c r="L1464" t="s">
        <v>161</v>
      </c>
      <c r="M1464">
        <v>3865600000</v>
      </c>
    </row>
    <row r="1465" spans="1:13" x14ac:dyDescent="0.3">
      <c r="A1465" s="23">
        <v>45762</v>
      </c>
      <c r="B1465" t="s">
        <v>12</v>
      </c>
      <c r="C1465" t="s">
        <v>132</v>
      </c>
      <c r="D1465" t="s">
        <v>16</v>
      </c>
      <c r="E1465" t="s">
        <v>43</v>
      </c>
      <c r="F1465">
        <v>400000000</v>
      </c>
      <c r="G1465" t="s">
        <v>23</v>
      </c>
      <c r="H1465" t="s">
        <v>81</v>
      </c>
      <c r="I1465" t="s">
        <v>9</v>
      </c>
      <c r="L1465" t="s">
        <v>161</v>
      </c>
      <c r="M1465">
        <v>400000000</v>
      </c>
    </row>
    <row r="1466" spans="1:13" x14ac:dyDescent="0.3">
      <c r="A1466" s="23">
        <v>44705</v>
      </c>
      <c r="B1466" t="s">
        <v>12</v>
      </c>
      <c r="C1466" t="s">
        <v>132</v>
      </c>
      <c r="D1466" t="s">
        <v>16</v>
      </c>
      <c r="E1466" t="s">
        <v>43</v>
      </c>
      <c r="F1466">
        <v>156600000</v>
      </c>
      <c r="G1466" t="s">
        <v>23</v>
      </c>
      <c r="H1466" t="s">
        <v>81</v>
      </c>
      <c r="I1466" t="s">
        <v>9</v>
      </c>
      <c r="L1466" t="s">
        <v>161</v>
      </c>
      <c r="M1466">
        <v>156600000</v>
      </c>
    </row>
    <row r="1467" spans="1:13" x14ac:dyDescent="0.3">
      <c r="A1467" s="23">
        <v>44707</v>
      </c>
      <c r="B1467" t="s">
        <v>12</v>
      </c>
      <c r="C1467" t="s">
        <v>132</v>
      </c>
      <c r="D1467" t="s">
        <v>17</v>
      </c>
      <c r="E1467" t="s">
        <v>43</v>
      </c>
      <c r="F1467">
        <v>39600000</v>
      </c>
      <c r="G1467" t="s">
        <v>23</v>
      </c>
      <c r="H1467" t="s">
        <v>81</v>
      </c>
      <c r="I1467" t="s">
        <v>9</v>
      </c>
      <c r="L1467" t="s">
        <v>161</v>
      </c>
      <c r="M1467">
        <v>-39600000</v>
      </c>
    </row>
    <row r="1468" spans="1:13" x14ac:dyDescent="0.3">
      <c r="A1468" s="23">
        <v>45757</v>
      </c>
      <c r="B1468" t="s">
        <v>12</v>
      </c>
      <c r="C1468" t="s">
        <v>132</v>
      </c>
      <c r="D1468" t="s">
        <v>17</v>
      </c>
      <c r="E1468" t="s">
        <v>43</v>
      </c>
      <c r="F1468">
        <v>470700000</v>
      </c>
      <c r="G1468" t="s">
        <v>23</v>
      </c>
      <c r="H1468" t="s">
        <v>81</v>
      </c>
      <c r="I1468" t="s">
        <v>9</v>
      </c>
      <c r="L1468" t="s">
        <v>161</v>
      </c>
      <c r="M1468">
        <v>-470700000</v>
      </c>
    </row>
    <row r="1469" spans="1:13" x14ac:dyDescent="0.3">
      <c r="A1469" s="23">
        <v>44708</v>
      </c>
      <c r="B1469" t="s">
        <v>12</v>
      </c>
      <c r="C1469" t="s">
        <v>132</v>
      </c>
      <c r="D1469" t="s">
        <v>17</v>
      </c>
      <c r="E1469" t="s">
        <v>43</v>
      </c>
      <c r="F1469">
        <v>4500000</v>
      </c>
      <c r="G1469" t="s">
        <v>23</v>
      </c>
      <c r="H1469" t="s">
        <v>81</v>
      </c>
      <c r="I1469" t="s">
        <v>9</v>
      </c>
      <c r="L1469" t="s">
        <v>161</v>
      </c>
      <c r="M1469">
        <v>-4500000</v>
      </c>
    </row>
    <row r="1470" spans="1:13" x14ac:dyDescent="0.3">
      <c r="A1470" s="23">
        <v>45757</v>
      </c>
      <c r="B1470" t="s">
        <v>12</v>
      </c>
      <c r="C1470" t="s">
        <v>132</v>
      </c>
      <c r="D1470" t="s">
        <v>17</v>
      </c>
      <c r="E1470" t="s">
        <v>43</v>
      </c>
      <c r="F1470">
        <v>3000000000</v>
      </c>
      <c r="G1470" t="s">
        <v>23</v>
      </c>
      <c r="H1470" t="s">
        <v>81</v>
      </c>
      <c r="I1470" t="s">
        <v>9</v>
      </c>
      <c r="L1470" t="s">
        <v>161</v>
      </c>
      <c r="M1470">
        <v>-3000000000</v>
      </c>
    </row>
    <row r="1471" spans="1:13" x14ac:dyDescent="0.3">
      <c r="A1471" s="23">
        <v>44711</v>
      </c>
      <c r="B1471" t="s">
        <v>12</v>
      </c>
      <c r="C1471" t="s">
        <v>132</v>
      </c>
      <c r="D1471" t="s">
        <v>17</v>
      </c>
      <c r="E1471" t="s">
        <v>43</v>
      </c>
      <c r="F1471">
        <v>15000000</v>
      </c>
      <c r="G1471" t="s">
        <v>23</v>
      </c>
      <c r="H1471" t="s">
        <v>81</v>
      </c>
      <c r="I1471" t="s">
        <v>9</v>
      </c>
      <c r="L1471" t="s">
        <v>161</v>
      </c>
      <c r="M1471">
        <v>-15000000</v>
      </c>
    </row>
    <row r="1472" spans="1:13" x14ac:dyDescent="0.3">
      <c r="A1472" s="23">
        <v>44712</v>
      </c>
      <c r="B1472" t="s">
        <v>12</v>
      </c>
      <c r="C1472" t="s">
        <v>132</v>
      </c>
      <c r="D1472" t="s">
        <v>16</v>
      </c>
      <c r="E1472" t="s">
        <v>43</v>
      </c>
      <c r="F1472">
        <v>175800000</v>
      </c>
      <c r="G1472" t="s">
        <v>23</v>
      </c>
      <c r="H1472" t="s">
        <v>81</v>
      </c>
      <c r="I1472" t="s">
        <v>9</v>
      </c>
      <c r="L1472" t="s">
        <v>161</v>
      </c>
      <c r="M1472">
        <v>175800000</v>
      </c>
    </row>
    <row r="1473" spans="1:13" x14ac:dyDescent="0.3">
      <c r="A1473" s="23">
        <v>45756</v>
      </c>
      <c r="B1473" t="s">
        <v>12</v>
      </c>
      <c r="C1473" t="s">
        <v>132</v>
      </c>
      <c r="D1473" t="s">
        <v>16</v>
      </c>
      <c r="E1473" t="s">
        <v>43</v>
      </c>
      <c r="F1473">
        <v>2000000000</v>
      </c>
      <c r="G1473" t="s">
        <v>23</v>
      </c>
      <c r="H1473" t="s">
        <v>81</v>
      </c>
      <c r="I1473" t="s">
        <v>9</v>
      </c>
      <c r="L1473" t="s">
        <v>161</v>
      </c>
      <c r="M1473">
        <v>2000000000</v>
      </c>
    </row>
    <row r="1474" spans="1:13" x14ac:dyDescent="0.3">
      <c r="A1474" s="23">
        <v>44713</v>
      </c>
      <c r="B1474" t="s">
        <v>12</v>
      </c>
      <c r="C1474" t="s">
        <v>132</v>
      </c>
      <c r="D1474" t="s">
        <v>16</v>
      </c>
      <c r="E1474" t="s">
        <v>43</v>
      </c>
      <c r="F1474">
        <v>66100000</v>
      </c>
      <c r="G1474" t="s">
        <v>23</v>
      </c>
      <c r="H1474" t="s">
        <v>81</v>
      </c>
      <c r="I1474" t="s">
        <v>9</v>
      </c>
      <c r="L1474" t="s">
        <v>161</v>
      </c>
      <c r="M1474">
        <v>66100000</v>
      </c>
    </row>
    <row r="1475" spans="1:13" x14ac:dyDescent="0.3">
      <c r="A1475" s="23">
        <v>45751</v>
      </c>
      <c r="B1475" t="s">
        <v>12</v>
      </c>
      <c r="C1475" t="s">
        <v>132</v>
      </c>
      <c r="D1475" t="s">
        <v>17</v>
      </c>
      <c r="E1475" t="s">
        <v>43</v>
      </c>
      <c r="F1475">
        <v>26300000</v>
      </c>
      <c r="G1475" t="s">
        <v>23</v>
      </c>
      <c r="H1475" t="s">
        <v>81</v>
      </c>
      <c r="I1475" t="s">
        <v>9</v>
      </c>
      <c r="L1475" t="s">
        <v>161</v>
      </c>
      <c r="M1475">
        <v>-26300000</v>
      </c>
    </row>
    <row r="1476" spans="1:13" x14ac:dyDescent="0.3">
      <c r="A1476" s="23">
        <v>44715</v>
      </c>
      <c r="B1476" t="s">
        <v>12</v>
      </c>
      <c r="C1476" t="s">
        <v>132</v>
      </c>
      <c r="D1476" t="s">
        <v>17</v>
      </c>
      <c r="E1476" t="s">
        <v>43</v>
      </c>
      <c r="F1476">
        <v>300000000</v>
      </c>
      <c r="G1476" t="s">
        <v>23</v>
      </c>
      <c r="H1476" t="s">
        <v>81</v>
      </c>
      <c r="I1476" t="s">
        <v>9</v>
      </c>
      <c r="L1476" t="s">
        <v>161</v>
      </c>
      <c r="M1476">
        <v>-300000000</v>
      </c>
    </row>
    <row r="1477" spans="1:13" x14ac:dyDescent="0.3">
      <c r="A1477" s="23">
        <v>44718</v>
      </c>
      <c r="B1477" t="s">
        <v>12</v>
      </c>
      <c r="C1477" t="s">
        <v>132</v>
      </c>
      <c r="D1477" t="s">
        <v>17</v>
      </c>
      <c r="E1477" t="s">
        <v>43</v>
      </c>
      <c r="F1477">
        <v>24500000</v>
      </c>
      <c r="G1477" t="s">
        <v>23</v>
      </c>
      <c r="H1477" t="s">
        <v>81</v>
      </c>
      <c r="I1477" t="s">
        <v>9</v>
      </c>
      <c r="L1477" t="s">
        <v>161</v>
      </c>
      <c r="M1477">
        <v>-24500000</v>
      </c>
    </row>
    <row r="1478" spans="1:13" x14ac:dyDescent="0.3">
      <c r="A1478" s="23">
        <v>45743</v>
      </c>
      <c r="B1478" t="s">
        <v>12</v>
      </c>
      <c r="C1478" t="s">
        <v>132</v>
      </c>
      <c r="D1478" t="s">
        <v>16</v>
      </c>
      <c r="E1478" t="s">
        <v>43</v>
      </c>
      <c r="F1478">
        <v>474200000</v>
      </c>
      <c r="G1478" t="s">
        <v>23</v>
      </c>
      <c r="H1478" t="s">
        <v>81</v>
      </c>
      <c r="I1478" t="s">
        <v>9</v>
      </c>
      <c r="L1478" t="s">
        <v>161</v>
      </c>
      <c r="M1478">
        <v>474200000</v>
      </c>
    </row>
    <row r="1479" spans="1:13" x14ac:dyDescent="0.3">
      <c r="A1479" s="23">
        <v>44721</v>
      </c>
      <c r="B1479" t="s">
        <v>12</v>
      </c>
      <c r="C1479" t="s">
        <v>132</v>
      </c>
      <c r="D1479" t="s">
        <v>16</v>
      </c>
      <c r="E1479" t="s">
        <v>43</v>
      </c>
      <c r="F1479">
        <v>105400000</v>
      </c>
      <c r="G1479" t="s">
        <v>23</v>
      </c>
      <c r="H1479" t="s">
        <v>81</v>
      </c>
      <c r="I1479" t="s">
        <v>9</v>
      </c>
      <c r="L1479" t="s">
        <v>161</v>
      </c>
      <c r="M1479">
        <v>105400000</v>
      </c>
    </row>
    <row r="1480" spans="1:13" x14ac:dyDescent="0.3">
      <c r="A1480" s="23">
        <v>45736</v>
      </c>
      <c r="B1480" t="s">
        <v>12</v>
      </c>
      <c r="C1480" t="s">
        <v>132</v>
      </c>
      <c r="D1480" t="s">
        <v>16</v>
      </c>
      <c r="E1480" t="s">
        <v>43</v>
      </c>
      <c r="F1480">
        <v>1000000000</v>
      </c>
      <c r="G1480" t="s">
        <v>23</v>
      </c>
      <c r="H1480" t="s">
        <v>81</v>
      </c>
      <c r="I1480" t="s">
        <v>9</v>
      </c>
      <c r="L1480" t="s">
        <v>161</v>
      </c>
      <c r="M1480">
        <v>1000000000</v>
      </c>
    </row>
    <row r="1481" spans="1:13" x14ac:dyDescent="0.3">
      <c r="A1481" s="23">
        <v>44725</v>
      </c>
      <c r="B1481" t="s">
        <v>12</v>
      </c>
      <c r="C1481" t="s">
        <v>132</v>
      </c>
      <c r="D1481" t="s">
        <v>17</v>
      </c>
      <c r="E1481" t="s">
        <v>43</v>
      </c>
      <c r="F1481">
        <v>60000000</v>
      </c>
      <c r="G1481" t="s">
        <v>23</v>
      </c>
      <c r="H1481" t="s">
        <v>81</v>
      </c>
      <c r="I1481" t="s">
        <v>9</v>
      </c>
      <c r="L1481" t="s">
        <v>161</v>
      </c>
      <c r="M1481">
        <v>-60000000</v>
      </c>
    </row>
    <row r="1482" spans="1:13" x14ac:dyDescent="0.3">
      <c r="A1482" s="23">
        <v>44726</v>
      </c>
      <c r="B1482" t="s">
        <v>12</v>
      </c>
      <c r="C1482" t="s">
        <v>132</v>
      </c>
      <c r="D1482" t="s">
        <v>16</v>
      </c>
      <c r="E1482" t="s">
        <v>43</v>
      </c>
      <c r="F1482">
        <v>223500000</v>
      </c>
      <c r="G1482" t="s">
        <v>23</v>
      </c>
      <c r="H1482" t="s">
        <v>81</v>
      </c>
      <c r="I1482" t="s">
        <v>9</v>
      </c>
      <c r="L1482" t="s">
        <v>161</v>
      </c>
      <c r="M1482">
        <v>223500000</v>
      </c>
    </row>
    <row r="1483" spans="1:13" x14ac:dyDescent="0.3">
      <c r="A1483" s="23">
        <v>44728</v>
      </c>
      <c r="B1483" t="s">
        <v>12</v>
      </c>
      <c r="C1483" t="s">
        <v>132</v>
      </c>
      <c r="D1483" t="s">
        <v>17</v>
      </c>
      <c r="E1483" t="s">
        <v>43</v>
      </c>
      <c r="F1483">
        <v>90500000</v>
      </c>
      <c r="G1483" t="s">
        <v>23</v>
      </c>
      <c r="H1483" t="s">
        <v>81</v>
      </c>
      <c r="I1483" t="s">
        <v>9</v>
      </c>
      <c r="L1483" t="s">
        <v>161</v>
      </c>
      <c r="M1483">
        <v>-90500000</v>
      </c>
    </row>
    <row r="1484" spans="1:13" x14ac:dyDescent="0.3">
      <c r="A1484" s="23">
        <v>44733</v>
      </c>
      <c r="B1484" t="s">
        <v>12</v>
      </c>
      <c r="C1484" t="s">
        <v>132</v>
      </c>
      <c r="D1484" t="s">
        <v>17</v>
      </c>
      <c r="E1484" t="s">
        <v>43</v>
      </c>
      <c r="F1484">
        <v>159000000</v>
      </c>
      <c r="G1484" t="s">
        <v>23</v>
      </c>
      <c r="H1484" t="s">
        <v>81</v>
      </c>
      <c r="I1484" t="s">
        <v>9</v>
      </c>
      <c r="L1484" t="s">
        <v>161</v>
      </c>
      <c r="M1484">
        <v>-159000000</v>
      </c>
    </row>
    <row r="1485" spans="1:13" x14ac:dyDescent="0.3">
      <c r="A1485" s="23">
        <v>44734</v>
      </c>
      <c r="B1485" t="s">
        <v>12</v>
      </c>
      <c r="C1485" t="s">
        <v>132</v>
      </c>
      <c r="D1485" t="s">
        <v>16</v>
      </c>
      <c r="E1485" t="s">
        <v>43</v>
      </c>
      <c r="F1485">
        <v>180200000</v>
      </c>
      <c r="G1485" t="s">
        <v>23</v>
      </c>
      <c r="H1485" t="s">
        <v>81</v>
      </c>
      <c r="I1485" t="s">
        <v>9</v>
      </c>
      <c r="L1485" t="s">
        <v>161</v>
      </c>
      <c r="M1485">
        <v>180200000</v>
      </c>
    </row>
    <row r="1486" spans="1:13" x14ac:dyDescent="0.3">
      <c r="A1486" s="23">
        <v>44735</v>
      </c>
      <c r="B1486" t="s">
        <v>12</v>
      </c>
      <c r="C1486" t="s">
        <v>132</v>
      </c>
      <c r="D1486" t="s">
        <v>17</v>
      </c>
      <c r="E1486" t="s">
        <v>43</v>
      </c>
      <c r="F1486">
        <v>63500000</v>
      </c>
      <c r="G1486" t="s">
        <v>23</v>
      </c>
      <c r="H1486" t="s">
        <v>81</v>
      </c>
      <c r="I1486" t="s">
        <v>9</v>
      </c>
      <c r="L1486" t="s">
        <v>161</v>
      </c>
      <c r="M1486">
        <v>-63500000</v>
      </c>
    </row>
    <row r="1487" spans="1:13" x14ac:dyDescent="0.3">
      <c r="A1487" s="23">
        <v>45722</v>
      </c>
      <c r="B1487" t="s">
        <v>12</v>
      </c>
      <c r="C1487" t="s">
        <v>132</v>
      </c>
      <c r="D1487" t="s">
        <v>17</v>
      </c>
      <c r="E1487" t="s">
        <v>43</v>
      </c>
      <c r="F1487">
        <v>156000000</v>
      </c>
      <c r="G1487" t="s">
        <v>23</v>
      </c>
      <c r="H1487" t="s">
        <v>81</v>
      </c>
      <c r="I1487" t="s">
        <v>9</v>
      </c>
      <c r="L1487" t="s">
        <v>161</v>
      </c>
      <c r="M1487">
        <v>-156000000</v>
      </c>
    </row>
    <row r="1488" spans="1:13" x14ac:dyDescent="0.3">
      <c r="A1488" s="23">
        <v>45716</v>
      </c>
      <c r="B1488" t="s">
        <v>12</v>
      </c>
      <c r="C1488" t="s">
        <v>132</v>
      </c>
      <c r="D1488" t="s">
        <v>16</v>
      </c>
      <c r="E1488" t="s">
        <v>43</v>
      </c>
      <c r="F1488">
        <v>29610922</v>
      </c>
      <c r="G1488" t="s">
        <v>23</v>
      </c>
      <c r="H1488" t="s">
        <v>81</v>
      </c>
      <c r="I1488" t="s">
        <v>9</v>
      </c>
      <c r="L1488" t="s">
        <v>161</v>
      </c>
      <c r="M1488">
        <v>29610922</v>
      </c>
    </row>
    <row r="1489" spans="1:13" x14ac:dyDescent="0.3">
      <c r="A1489" s="23">
        <v>44736</v>
      </c>
      <c r="B1489" t="s">
        <v>12</v>
      </c>
      <c r="C1489" t="s">
        <v>132</v>
      </c>
      <c r="D1489" t="s">
        <v>17</v>
      </c>
      <c r="E1489" t="s">
        <v>43</v>
      </c>
      <c r="F1489">
        <v>82300000</v>
      </c>
      <c r="G1489" t="s">
        <v>23</v>
      </c>
      <c r="H1489" t="s">
        <v>81</v>
      </c>
      <c r="I1489" t="s">
        <v>9</v>
      </c>
      <c r="L1489" t="s">
        <v>161</v>
      </c>
      <c r="M1489">
        <v>-82300000</v>
      </c>
    </row>
    <row r="1490" spans="1:13" x14ac:dyDescent="0.3">
      <c r="A1490" s="23">
        <v>44739</v>
      </c>
      <c r="B1490" t="s">
        <v>12</v>
      </c>
      <c r="C1490" t="s">
        <v>132</v>
      </c>
      <c r="D1490" t="s">
        <v>17</v>
      </c>
      <c r="E1490" t="s">
        <v>43</v>
      </c>
      <c r="F1490">
        <v>18200000</v>
      </c>
      <c r="G1490" t="s">
        <v>23</v>
      </c>
      <c r="H1490" t="s">
        <v>81</v>
      </c>
      <c r="I1490" t="s">
        <v>9</v>
      </c>
      <c r="L1490" t="s">
        <v>161</v>
      </c>
      <c r="M1490">
        <v>-18200000</v>
      </c>
    </row>
    <row r="1491" spans="1:13" x14ac:dyDescent="0.3">
      <c r="A1491" s="23">
        <v>45716</v>
      </c>
      <c r="B1491" t="s">
        <v>12</v>
      </c>
      <c r="C1491" t="s">
        <v>132</v>
      </c>
      <c r="D1491" t="s">
        <v>17</v>
      </c>
      <c r="E1491" t="s">
        <v>43</v>
      </c>
      <c r="F1491">
        <v>800000000</v>
      </c>
      <c r="G1491" t="s">
        <v>23</v>
      </c>
      <c r="H1491" t="s">
        <v>81</v>
      </c>
      <c r="I1491" t="s">
        <v>9</v>
      </c>
      <c r="L1491" t="s">
        <v>161</v>
      </c>
      <c r="M1491">
        <v>-800000000</v>
      </c>
    </row>
    <row r="1492" spans="1:13" x14ac:dyDescent="0.3">
      <c r="A1492" s="23">
        <v>44740</v>
      </c>
      <c r="B1492" t="s">
        <v>12</v>
      </c>
      <c r="C1492" t="s">
        <v>132</v>
      </c>
      <c r="D1492" t="s">
        <v>17</v>
      </c>
      <c r="E1492" t="s">
        <v>43</v>
      </c>
      <c r="F1492">
        <v>30000000</v>
      </c>
      <c r="G1492" t="s">
        <v>23</v>
      </c>
      <c r="H1492" t="s">
        <v>81</v>
      </c>
      <c r="I1492" t="s">
        <v>9</v>
      </c>
      <c r="L1492" t="s">
        <v>161</v>
      </c>
      <c r="M1492">
        <v>-30000000</v>
      </c>
    </row>
    <row r="1493" spans="1:13" x14ac:dyDescent="0.3">
      <c r="A1493" s="23">
        <v>45715</v>
      </c>
      <c r="B1493" t="s">
        <v>12</v>
      </c>
      <c r="C1493" t="s">
        <v>132</v>
      </c>
      <c r="D1493" t="s">
        <v>17</v>
      </c>
      <c r="E1493" t="s">
        <v>43</v>
      </c>
      <c r="F1493">
        <v>1000000000</v>
      </c>
      <c r="G1493" t="s">
        <v>23</v>
      </c>
      <c r="H1493" t="s">
        <v>81</v>
      </c>
      <c r="I1493" t="s">
        <v>9</v>
      </c>
      <c r="L1493" t="s">
        <v>161</v>
      </c>
      <c r="M1493">
        <v>-1000000000</v>
      </c>
    </row>
    <row r="1494" spans="1:13" x14ac:dyDescent="0.3">
      <c r="A1494" s="23">
        <v>44741</v>
      </c>
      <c r="B1494" t="s">
        <v>12</v>
      </c>
      <c r="C1494" t="s">
        <v>132</v>
      </c>
      <c r="D1494" t="s">
        <v>17</v>
      </c>
      <c r="E1494" t="s">
        <v>43</v>
      </c>
      <c r="F1494">
        <v>20500000</v>
      </c>
      <c r="G1494" t="s">
        <v>23</v>
      </c>
      <c r="H1494" t="s">
        <v>81</v>
      </c>
      <c r="I1494" t="s">
        <v>9</v>
      </c>
      <c r="L1494" t="s">
        <v>161</v>
      </c>
      <c r="M1494">
        <v>-20500000</v>
      </c>
    </row>
    <row r="1495" spans="1:13" x14ac:dyDescent="0.3">
      <c r="A1495" s="23">
        <v>45706</v>
      </c>
      <c r="B1495" t="s">
        <v>12</v>
      </c>
      <c r="C1495" t="s">
        <v>132</v>
      </c>
      <c r="D1495" t="s">
        <v>16</v>
      </c>
      <c r="E1495" t="s">
        <v>43</v>
      </c>
      <c r="F1495">
        <v>1100000000</v>
      </c>
      <c r="G1495" t="s">
        <v>23</v>
      </c>
      <c r="H1495" t="s">
        <v>81</v>
      </c>
      <c r="I1495" t="s">
        <v>9</v>
      </c>
      <c r="L1495" t="s">
        <v>161</v>
      </c>
      <c r="M1495">
        <v>1100000000</v>
      </c>
    </row>
    <row r="1496" spans="1:13" x14ac:dyDescent="0.3">
      <c r="A1496" s="23">
        <v>44749</v>
      </c>
      <c r="B1496" t="s">
        <v>12</v>
      </c>
      <c r="C1496" t="s">
        <v>132</v>
      </c>
      <c r="D1496" t="s">
        <v>16</v>
      </c>
      <c r="E1496" t="s">
        <v>43</v>
      </c>
      <c r="F1496">
        <v>150000000</v>
      </c>
      <c r="G1496" t="s">
        <v>23</v>
      </c>
      <c r="H1496" t="s">
        <v>81</v>
      </c>
      <c r="I1496" t="s">
        <v>9</v>
      </c>
      <c r="L1496" t="s">
        <v>161</v>
      </c>
      <c r="M1496">
        <v>150000000</v>
      </c>
    </row>
    <row r="1497" spans="1:13" x14ac:dyDescent="0.3">
      <c r="A1497" s="23">
        <v>45701</v>
      </c>
      <c r="B1497" t="s">
        <v>12</v>
      </c>
      <c r="C1497" t="s">
        <v>132</v>
      </c>
      <c r="D1497" t="s">
        <v>16</v>
      </c>
      <c r="E1497" t="s">
        <v>43</v>
      </c>
      <c r="F1497">
        <v>500600000</v>
      </c>
      <c r="G1497" t="s">
        <v>23</v>
      </c>
      <c r="H1497" t="s">
        <v>81</v>
      </c>
      <c r="I1497" t="s">
        <v>9</v>
      </c>
      <c r="L1497" t="s">
        <v>161</v>
      </c>
      <c r="M1497">
        <v>500600000</v>
      </c>
    </row>
    <row r="1498" spans="1:13" x14ac:dyDescent="0.3">
      <c r="A1498" s="23">
        <v>44750</v>
      </c>
      <c r="B1498" t="s">
        <v>12</v>
      </c>
      <c r="C1498" t="s">
        <v>132</v>
      </c>
      <c r="D1498" t="s">
        <v>17</v>
      </c>
      <c r="E1498" t="s">
        <v>43</v>
      </c>
      <c r="F1498">
        <v>10000000</v>
      </c>
      <c r="G1498" t="s">
        <v>23</v>
      </c>
      <c r="H1498" t="s">
        <v>81</v>
      </c>
      <c r="I1498" t="s">
        <v>9</v>
      </c>
      <c r="L1498" t="s">
        <v>161</v>
      </c>
      <c r="M1498">
        <v>-10000000</v>
      </c>
    </row>
    <row r="1499" spans="1:13" x14ac:dyDescent="0.3">
      <c r="A1499" s="23">
        <v>44750</v>
      </c>
      <c r="B1499" t="s">
        <v>12</v>
      </c>
      <c r="C1499" t="s">
        <v>132</v>
      </c>
      <c r="D1499" t="s">
        <v>16</v>
      </c>
      <c r="E1499" t="s">
        <v>43</v>
      </c>
      <c r="F1499">
        <v>4720780.21</v>
      </c>
      <c r="G1499" t="s">
        <v>23</v>
      </c>
      <c r="H1499" t="s">
        <v>81</v>
      </c>
      <c r="I1499" t="s">
        <v>9</v>
      </c>
      <c r="J1499" t="s">
        <v>155</v>
      </c>
      <c r="L1499" t="s">
        <v>161</v>
      </c>
      <c r="M1499">
        <v>4720780.21</v>
      </c>
    </row>
    <row r="1500" spans="1:13" x14ac:dyDescent="0.3">
      <c r="A1500" s="23">
        <v>44753</v>
      </c>
      <c r="B1500" t="s">
        <v>12</v>
      </c>
      <c r="C1500" t="s">
        <v>132</v>
      </c>
      <c r="D1500" t="s">
        <v>17</v>
      </c>
      <c r="E1500" t="s">
        <v>43</v>
      </c>
      <c r="F1500">
        <v>89000000</v>
      </c>
      <c r="G1500" t="s">
        <v>23</v>
      </c>
      <c r="H1500" t="s">
        <v>81</v>
      </c>
      <c r="I1500" t="s">
        <v>9</v>
      </c>
      <c r="L1500" t="s">
        <v>161</v>
      </c>
      <c r="M1500">
        <v>-89000000</v>
      </c>
    </row>
    <row r="1501" spans="1:13" x14ac:dyDescent="0.3">
      <c r="A1501" s="23">
        <v>45698</v>
      </c>
      <c r="B1501" t="s">
        <v>12</v>
      </c>
      <c r="C1501" t="s">
        <v>132</v>
      </c>
      <c r="D1501" t="s">
        <v>17</v>
      </c>
      <c r="E1501" t="s">
        <v>43</v>
      </c>
      <c r="F1501">
        <v>400000000</v>
      </c>
      <c r="G1501" t="s">
        <v>23</v>
      </c>
      <c r="H1501" t="s">
        <v>81</v>
      </c>
      <c r="I1501" t="s">
        <v>9</v>
      </c>
      <c r="L1501" t="s">
        <v>161</v>
      </c>
      <c r="M1501">
        <v>-400000000</v>
      </c>
    </row>
    <row r="1502" spans="1:13" x14ac:dyDescent="0.3">
      <c r="A1502" s="23">
        <v>45695</v>
      </c>
      <c r="B1502" t="s">
        <v>12</v>
      </c>
      <c r="C1502" t="s">
        <v>132</v>
      </c>
      <c r="D1502" t="s">
        <v>16</v>
      </c>
      <c r="E1502" t="s">
        <v>43</v>
      </c>
      <c r="F1502">
        <v>4020000</v>
      </c>
      <c r="G1502" t="s">
        <v>23</v>
      </c>
      <c r="H1502" t="s">
        <v>81</v>
      </c>
      <c r="I1502" t="s">
        <v>9</v>
      </c>
      <c r="L1502" t="s">
        <v>161</v>
      </c>
      <c r="M1502">
        <v>4020000</v>
      </c>
    </row>
    <row r="1503" spans="1:13" x14ac:dyDescent="0.3">
      <c r="A1503" s="23">
        <v>44760</v>
      </c>
      <c r="B1503" t="s">
        <v>12</v>
      </c>
      <c r="C1503" t="s">
        <v>132</v>
      </c>
      <c r="D1503" t="s">
        <v>16</v>
      </c>
      <c r="E1503" t="s">
        <v>43</v>
      </c>
      <c r="F1503">
        <v>885740.32</v>
      </c>
      <c r="G1503" t="s">
        <v>23</v>
      </c>
      <c r="H1503" t="s">
        <v>81</v>
      </c>
      <c r="I1503" t="s">
        <v>9</v>
      </c>
      <c r="J1503" t="s">
        <v>155</v>
      </c>
      <c r="L1503" t="s">
        <v>161</v>
      </c>
      <c r="M1503">
        <v>885740.32</v>
      </c>
    </row>
    <row r="1504" spans="1:13" x14ac:dyDescent="0.3">
      <c r="A1504" s="23">
        <v>45693</v>
      </c>
      <c r="B1504" t="s">
        <v>12</v>
      </c>
      <c r="C1504" t="s">
        <v>132</v>
      </c>
      <c r="D1504" t="s">
        <v>16</v>
      </c>
      <c r="E1504" t="s">
        <v>43</v>
      </c>
      <c r="F1504">
        <v>404200000</v>
      </c>
      <c r="G1504" t="s">
        <v>23</v>
      </c>
      <c r="H1504" t="s">
        <v>81</v>
      </c>
      <c r="I1504" t="s">
        <v>9</v>
      </c>
      <c r="L1504" t="s">
        <v>161</v>
      </c>
      <c r="M1504">
        <v>404200000</v>
      </c>
    </row>
    <row r="1505" spans="1:13" x14ac:dyDescent="0.3">
      <c r="A1505" s="23">
        <v>44760</v>
      </c>
      <c r="B1505" t="s">
        <v>12</v>
      </c>
      <c r="C1505" t="s">
        <v>132</v>
      </c>
      <c r="D1505" t="s">
        <v>16</v>
      </c>
      <c r="E1505" t="s">
        <v>43</v>
      </c>
      <c r="F1505">
        <v>44800000</v>
      </c>
      <c r="G1505" t="s">
        <v>23</v>
      </c>
      <c r="H1505" t="s">
        <v>81</v>
      </c>
      <c r="I1505" t="s">
        <v>9</v>
      </c>
      <c r="L1505" t="s">
        <v>161</v>
      </c>
      <c r="M1505">
        <v>44800000</v>
      </c>
    </row>
    <row r="1506" spans="1:13" x14ac:dyDescent="0.3">
      <c r="A1506" s="23">
        <v>44760</v>
      </c>
      <c r="B1506" t="s">
        <v>12</v>
      </c>
      <c r="C1506" t="s">
        <v>132</v>
      </c>
      <c r="D1506" t="s">
        <v>17</v>
      </c>
      <c r="E1506" t="s">
        <v>43</v>
      </c>
      <c r="F1506">
        <v>3000000</v>
      </c>
      <c r="G1506" t="s">
        <v>23</v>
      </c>
      <c r="H1506" t="s">
        <v>81</v>
      </c>
      <c r="I1506" t="s">
        <v>9</v>
      </c>
      <c r="L1506" t="s">
        <v>161</v>
      </c>
      <c r="M1506">
        <v>-3000000</v>
      </c>
    </row>
    <row r="1507" spans="1:13" x14ac:dyDescent="0.3">
      <c r="A1507" s="23">
        <v>44761</v>
      </c>
      <c r="B1507" t="s">
        <v>12</v>
      </c>
      <c r="C1507" t="s">
        <v>132</v>
      </c>
      <c r="D1507" t="s">
        <v>17</v>
      </c>
      <c r="E1507" t="s">
        <v>43</v>
      </c>
      <c r="F1507">
        <v>51500000</v>
      </c>
      <c r="G1507" t="s">
        <v>23</v>
      </c>
      <c r="H1507" t="s">
        <v>81</v>
      </c>
      <c r="I1507" t="s">
        <v>9</v>
      </c>
      <c r="L1507" t="s">
        <v>161</v>
      </c>
      <c r="M1507">
        <v>-51500000</v>
      </c>
    </row>
    <row r="1508" spans="1:13" x14ac:dyDescent="0.3">
      <c r="A1508" s="23">
        <v>44762</v>
      </c>
      <c r="B1508" t="s">
        <v>12</v>
      </c>
      <c r="C1508" t="s">
        <v>132</v>
      </c>
      <c r="D1508" t="s">
        <v>17</v>
      </c>
      <c r="E1508" t="s">
        <v>43</v>
      </c>
      <c r="F1508">
        <v>24700000</v>
      </c>
      <c r="G1508" t="s">
        <v>23</v>
      </c>
      <c r="H1508" t="s">
        <v>81</v>
      </c>
      <c r="I1508" t="s">
        <v>9</v>
      </c>
      <c r="L1508" t="s">
        <v>161</v>
      </c>
      <c r="M1508">
        <v>-24700000</v>
      </c>
    </row>
    <row r="1509" spans="1:13" x14ac:dyDescent="0.3">
      <c r="A1509" s="23">
        <v>44763</v>
      </c>
      <c r="B1509" t="s">
        <v>12</v>
      </c>
      <c r="C1509" t="s">
        <v>132</v>
      </c>
      <c r="D1509" t="s">
        <v>17</v>
      </c>
      <c r="E1509" t="s">
        <v>43</v>
      </c>
      <c r="F1509">
        <v>21500000</v>
      </c>
      <c r="G1509" t="s">
        <v>23</v>
      </c>
      <c r="H1509" t="s">
        <v>81</v>
      </c>
      <c r="I1509" t="s">
        <v>9</v>
      </c>
      <c r="L1509" t="s">
        <v>161</v>
      </c>
      <c r="M1509">
        <v>-21500000</v>
      </c>
    </row>
    <row r="1510" spans="1:13" x14ac:dyDescent="0.3">
      <c r="A1510" s="23">
        <v>45685</v>
      </c>
      <c r="B1510" t="s">
        <v>12</v>
      </c>
      <c r="C1510" t="s">
        <v>132</v>
      </c>
      <c r="D1510" t="s">
        <v>16</v>
      </c>
      <c r="E1510" t="s">
        <v>43</v>
      </c>
      <c r="F1510">
        <v>500000000</v>
      </c>
      <c r="G1510" t="s">
        <v>23</v>
      </c>
      <c r="H1510" t="s">
        <v>81</v>
      </c>
      <c r="I1510" t="s">
        <v>9</v>
      </c>
      <c r="L1510" t="s">
        <v>161</v>
      </c>
      <c r="M1510">
        <v>500000000</v>
      </c>
    </row>
    <row r="1511" spans="1:13" x14ac:dyDescent="0.3">
      <c r="A1511" s="23">
        <v>44764</v>
      </c>
      <c r="B1511" t="s">
        <v>12</v>
      </c>
      <c r="C1511" t="s">
        <v>132</v>
      </c>
      <c r="D1511" t="s">
        <v>16</v>
      </c>
      <c r="E1511" t="s">
        <v>43</v>
      </c>
      <c r="F1511">
        <v>186072.68</v>
      </c>
      <c r="G1511" t="s">
        <v>23</v>
      </c>
      <c r="H1511" t="s">
        <v>81</v>
      </c>
      <c r="I1511" t="s">
        <v>9</v>
      </c>
      <c r="J1511" t="s">
        <v>155</v>
      </c>
      <c r="L1511" t="s">
        <v>161</v>
      </c>
      <c r="M1511">
        <v>186072.68</v>
      </c>
    </row>
    <row r="1512" spans="1:13" x14ac:dyDescent="0.3">
      <c r="A1512" s="23">
        <v>44767</v>
      </c>
      <c r="B1512" t="s">
        <v>12</v>
      </c>
      <c r="C1512" t="s">
        <v>132</v>
      </c>
      <c r="D1512" t="s">
        <v>16</v>
      </c>
      <c r="E1512" t="s">
        <v>43</v>
      </c>
      <c r="F1512">
        <v>150000000</v>
      </c>
      <c r="G1512" t="s">
        <v>23</v>
      </c>
      <c r="H1512" t="s">
        <v>81</v>
      </c>
      <c r="I1512" t="s">
        <v>9</v>
      </c>
      <c r="L1512" t="s">
        <v>161</v>
      </c>
      <c r="M1512">
        <v>150000000</v>
      </c>
    </row>
    <row r="1513" spans="1:13" x14ac:dyDescent="0.3">
      <c r="A1513" s="23">
        <v>44768</v>
      </c>
      <c r="B1513" t="s">
        <v>12</v>
      </c>
      <c r="C1513" t="s">
        <v>132</v>
      </c>
      <c r="D1513" t="s">
        <v>17</v>
      </c>
      <c r="E1513" t="s">
        <v>43</v>
      </c>
      <c r="F1513">
        <v>110200000</v>
      </c>
      <c r="G1513" t="s">
        <v>23</v>
      </c>
      <c r="H1513" t="s">
        <v>81</v>
      </c>
      <c r="I1513" t="s">
        <v>9</v>
      </c>
      <c r="L1513" t="s">
        <v>161</v>
      </c>
      <c r="M1513">
        <v>-110200000</v>
      </c>
    </row>
    <row r="1514" spans="1:13" x14ac:dyDescent="0.3">
      <c r="A1514" s="23">
        <v>45680</v>
      </c>
      <c r="B1514" t="s">
        <v>12</v>
      </c>
      <c r="C1514" t="s">
        <v>132</v>
      </c>
      <c r="D1514" t="s">
        <v>17</v>
      </c>
      <c r="E1514" t="s">
        <v>43</v>
      </c>
      <c r="F1514">
        <v>100000000</v>
      </c>
      <c r="G1514" t="s">
        <v>23</v>
      </c>
      <c r="H1514" t="s">
        <v>81</v>
      </c>
      <c r="I1514" t="s">
        <v>9</v>
      </c>
      <c r="L1514" t="s">
        <v>161</v>
      </c>
      <c r="M1514">
        <v>-100000000</v>
      </c>
    </row>
    <row r="1515" spans="1:13" x14ac:dyDescent="0.3">
      <c r="A1515" s="23">
        <v>44769</v>
      </c>
      <c r="B1515" t="s">
        <v>12</v>
      </c>
      <c r="C1515" t="s">
        <v>132</v>
      </c>
      <c r="D1515" t="s">
        <v>17</v>
      </c>
      <c r="E1515" t="s">
        <v>43</v>
      </c>
      <c r="F1515">
        <v>40692593.210000023</v>
      </c>
      <c r="G1515" t="s">
        <v>23</v>
      </c>
      <c r="H1515" t="s">
        <v>81</v>
      </c>
      <c r="I1515" t="s">
        <v>9</v>
      </c>
      <c r="L1515" t="s">
        <v>161</v>
      </c>
      <c r="M1515">
        <v>-40692593.210000001</v>
      </c>
    </row>
    <row r="1516" spans="1:13" x14ac:dyDescent="0.3">
      <c r="A1516" s="23">
        <v>44770</v>
      </c>
      <c r="B1516" t="s">
        <v>12</v>
      </c>
      <c r="C1516" t="s">
        <v>132</v>
      </c>
      <c r="D1516" t="s">
        <v>16</v>
      </c>
      <c r="E1516" t="s">
        <v>43</v>
      </c>
      <c r="F1516">
        <v>35400000</v>
      </c>
      <c r="G1516" t="s">
        <v>23</v>
      </c>
      <c r="H1516" t="s">
        <v>81</v>
      </c>
      <c r="I1516" t="s">
        <v>9</v>
      </c>
      <c r="L1516" t="s">
        <v>161</v>
      </c>
      <c r="M1516">
        <v>35400000</v>
      </c>
    </row>
    <row r="1517" spans="1:13" x14ac:dyDescent="0.3">
      <c r="A1517" s="23">
        <v>44771</v>
      </c>
      <c r="B1517" t="s">
        <v>12</v>
      </c>
      <c r="C1517" t="s">
        <v>132</v>
      </c>
      <c r="D1517" t="s">
        <v>17</v>
      </c>
      <c r="E1517" t="s">
        <v>43</v>
      </c>
      <c r="F1517">
        <v>35400000</v>
      </c>
      <c r="G1517" t="s">
        <v>23</v>
      </c>
      <c r="H1517" t="s">
        <v>81</v>
      </c>
      <c r="I1517" t="s">
        <v>9</v>
      </c>
      <c r="L1517" t="s">
        <v>161</v>
      </c>
      <c r="M1517">
        <v>-35400000</v>
      </c>
    </row>
    <row r="1518" spans="1:13" x14ac:dyDescent="0.3">
      <c r="A1518" s="23">
        <v>45678</v>
      </c>
      <c r="B1518" t="s">
        <v>12</v>
      </c>
      <c r="C1518" t="s">
        <v>132</v>
      </c>
      <c r="D1518" t="s">
        <v>17</v>
      </c>
      <c r="E1518" t="s">
        <v>43</v>
      </c>
      <c r="F1518">
        <v>250000000</v>
      </c>
      <c r="G1518" t="s">
        <v>23</v>
      </c>
      <c r="H1518" t="s">
        <v>81</v>
      </c>
      <c r="I1518" t="s">
        <v>9</v>
      </c>
      <c r="L1518" t="s">
        <v>161</v>
      </c>
      <c r="M1518">
        <v>-250000000</v>
      </c>
    </row>
    <row r="1519" spans="1:13" x14ac:dyDescent="0.3">
      <c r="A1519" s="23">
        <v>44774</v>
      </c>
      <c r="B1519" t="s">
        <v>12</v>
      </c>
      <c r="C1519" t="s">
        <v>132</v>
      </c>
      <c r="D1519" t="s">
        <v>16</v>
      </c>
      <c r="E1519" t="s">
        <v>43</v>
      </c>
      <c r="F1519">
        <v>111800000</v>
      </c>
      <c r="G1519" t="s">
        <v>23</v>
      </c>
      <c r="H1519" t="s">
        <v>81</v>
      </c>
      <c r="I1519" t="s">
        <v>9</v>
      </c>
      <c r="L1519" t="s">
        <v>161</v>
      </c>
      <c r="M1519">
        <v>111800000</v>
      </c>
    </row>
    <row r="1520" spans="1:13" x14ac:dyDescent="0.3">
      <c r="A1520" s="23">
        <v>45677</v>
      </c>
      <c r="B1520" t="s">
        <v>12</v>
      </c>
      <c r="C1520" t="s">
        <v>132</v>
      </c>
      <c r="D1520" t="s">
        <v>17</v>
      </c>
      <c r="E1520" t="s">
        <v>43</v>
      </c>
      <c r="F1520">
        <v>150000000</v>
      </c>
      <c r="G1520" t="s">
        <v>23</v>
      </c>
      <c r="H1520" t="s">
        <v>81</v>
      </c>
      <c r="I1520" t="s">
        <v>9</v>
      </c>
      <c r="L1520" t="s">
        <v>161</v>
      </c>
      <c r="M1520">
        <v>-150000000</v>
      </c>
    </row>
    <row r="1521" spans="1:13" x14ac:dyDescent="0.3">
      <c r="A1521" s="23">
        <v>44776</v>
      </c>
      <c r="B1521" t="s">
        <v>12</v>
      </c>
      <c r="C1521" t="s">
        <v>132</v>
      </c>
      <c r="D1521" t="s">
        <v>17</v>
      </c>
      <c r="E1521" t="s">
        <v>43</v>
      </c>
      <c r="F1521">
        <v>100000000</v>
      </c>
      <c r="G1521" t="s">
        <v>23</v>
      </c>
      <c r="H1521" t="s">
        <v>81</v>
      </c>
      <c r="I1521" t="s">
        <v>9</v>
      </c>
      <c r="L1521" t="s">
        <v>161</v>
      </c>
      <c r="M1521">
        <v>-100000000</v>
      </c>
    </row>
    <row r="1522" spans="1:13" x14ac:dyDescent="0.3">
      <c r="A1522" s="23">
        <v>45674</v>
      </c>
      <c r="B1522" t="s">
        <v>12</v>
      </c>
      <c r="C1522" t="s">
        <v>132</v>
      </c>
      <c r="D1522" t="s">
        <v>16</v>
      </c>
      <c r="E1522" t="s">
        <v>43</v>
      </c>
      <c r="F1522">
        <v>200000000</v>
      </c>
      <c r="G1522" t="s">
        <v>23</v>
      </c>
      <c r="H1522" t="s">
        <v>81</v>
      </c>
      <c r="I1522" t="s">
        <v>9</v>
      </c>
      <c r="L1522" t="s">
        <v>161</v>
      </c>
      <c r="M1522">
        <v>200000000</v>
      </c>
    </row>
    <row r="1523" spans="1:13" x14ac:dyDescent="0.3">
      <c r="A1523" s="23">
        <v>44778</v>
      </c>
      <c r="B1523" t="s">
        <v>12</v>
      </c>
      <c r="C1523" t="s">
        <v>132</v>
      </c>
      <c r="D1523" t="s">
        <v>17</v>
      </c>
      <c r="E1523" t="s">
        <v>43</v>
      </c>
      <c r="F1523">
        <v>3000000</v>
      </c>
      <c r="G1523" t="s">
        <v>23</v>
      </c>
      <c r="H1523" t="s">
        <v>81</v>
      </c>
      <c r="I1523" t="s">
        <v>9</v>
      </c>
      <c r="L1523" t="s">
        <v>161</v>
      </c>
      <c r="M1523">
        <v>-3000000</v>
      </c>
    </row>
    <row r="1524" spans="1:13" x14ac:dyDescent="0.3">
      <c r="A1524" s="23">
        <v>44781</v>
      </c>
      <c r="B1524" t="s">
        <v>12</v>
      </c>
      <c r="C1524" t="s">
        <v>132</v>
      </c>
      <c r="D1524" t="s">
        <v>16</v>
      </c>
      <c r="E1524" t="s">
        <v>43</v>
      </c>
      <c r="F1524">
        <v>60900000</v>
      </c>
      <c r="G1524" t="s">
        <v>23</v>
      </c>
      <c r="H1524" t="s">
        <v>81</v>
      </c>
      <c r="I1524" t="s">
        <v>9</v>
      </c>
      <c r="L1524" t="s">
        <v>161</v>
      </c>
      <c r="M1524">
        <v>60900000</v>
      </c>
    </row>
    <row r="1525" spans="1:13" x14ac:dyDescent="0.3">
      <c r="A1525" s="23">
        <v>44782</v>
      </c>
      <c r="B1525" t="s">
        <v>12</v>
      </c>
      <c r="C1525" t="s">
        <v>132</v>
      </c>
      <c r="D1525" t="s">
        <v>17</v>
      </c>
      <c r="E1525" t="s">
        <v>43</v>
      </c>
      <c r="F1525">
        <v>6200000</v>
      </c>
      <c r="G1525" t="s">
        <v>23</v>
      </c>
      <c r="H1525" t="s">
        <v>81</v>
      </c>
      <c r="I1525" t="s">
        <v>9</v>
      </c>
      <c r="L1525" t="s">
        <v>161</v>
      </c>
      <c r="M1525">
        <v>-6200000</v>
      </c>
    </row>
    <row r="1526" spans="1:13" x14ac:dyDescent="0.3">
      <c r="A1526" s="23">
        <v>44783</v>
      </c>
      <c r="B1526" t="s">
        <v>12</v>
      </c>
      <c r="C1526" t="s">
        <v>132</v>
      </c>
      <c r="D1526" t="s">
        <v>16</v>
      </c>
      <c r="E1526" t="s">
        <v>43</v>
      </c>
      <c r="F1526">
        <v>24000000</v>
      </c>
      <c r="G1526" t="s">
        <v>23</v>
      </c>
      <c r="H1526" t="s">
        <v>81</v>
      </c>
      <c r="I1526" t="s">
        <v>9</v>
      </c>
      <c r="L1526" t="s">
        <v>161</v>
      </c>
      <c r="M1526">
        <v>24000000</v>
      </c>
    </row>
    <row r="1527" spans="1:13" x14ac:dyDescent="0.3">
      <c r="A1527" s="23">
        <v>44785</v>
      </c>
      <c r="B1527" t="s">
        <v>12</v>
      </c>
      <c r="C1527" t="s">
        <v>132</v>
      </c>
      <c r="D1527" t="s">
        <v>17</v>
      </c>
      <c r="E1527" t="s">
        <v>43</v>
      </c>
      <c r="F1527">
        <v>44600000</v>
      </c>
      <c r="G1527" t="s">
        <v>23</v>
      </c>
      <c r="H1527" t="s">
        <v>81</v>
      </c>
      <c r="I1527" t="s">
        <v>9</v>
      </c>
      <c r="L1527" t="s">
        <v>161</v>
      </c>
      <c r="M1527">
        <v>-44600000</v>
      </c>
    </row>
    <row r="1528" spans="1:13" x14ac:dyDescent="0.3">
      <c r="A1528" s="23">
        <v>44789</v>
      </c>
      <c r="B1528" t="s">
        <v>12</v>
      </c>
      <c r="C1528" t="s">
        <v>132</v>
      </c>
      <c r="D1528" t="s">
        <v>17</v>
      </c>
      <c r="E1528" t="s">
        <v>43</v>
      </c>
      <c r="F1528">
        <v>4900000</v>
      </c>
      <c r="G1528" t="s">
        <v>23</v>
      </c>
      <c r="H1528" t="s">
        <v>81</v>
      </c>
      <c r="I1528" t="s">
        <v>9</v>
      </c>
      <c r="L1528" t="s">
        <v>161</v>
      </c>
      <c r="M1528">
        <v>-4900000</v>
      </c>
    </row>
    <row r="1529" spans="1:13" x14ac:dyDescent="0.3">
      <c r="A1529" s="23">
        <v>44791</v>
      </c>
      <c r="B1529" t="s">
        <v>12</v>
      </c>
      <c r="C1529" t="s">
        <v>132</v>
      </c>
      <c r="D1529" t="s">
        <v>17</v>
      </c>
      <c r="E1529" t="s">
        <v>43</v>
      </c>
      <c r="F1529">
        <v>22800000</v>
      </c>
      <c r="G1529" t="s">
        <v>23</v>
      </c>
      <c r="H1529" t="s">
        <v>81</v>
      </c>
      <c r="I1529" t="s">
        <v>9</v>
      </c>
      <c r="L1529" t="s">
        <v>161</v>
      </c>
      <c r="M1529">
        <v>-22800000</v>
      </c>
    </row>
    <row r="1530" spans="1:13" x14ac:dyDescent="0.3">
      <c r="A1530" s="23">
        <v>45667</v>
      </c>
      <c r="B1530" t="s">
        <v>12</v>
      </c>
      <c r="C1530" t="s">
        <v>132</v>
      </c>
      <c r="D1530" t="s">
        <v>16</v>
      </c>
      <c r="E1530" t="s">
        <v>43</v>
      </c>
      <c r="F1530">
        <v>400000000</v>
      </c>
      <c r="G1530" t="s">
        <v>23</v>
      </c>
      <c r="H1530" t="s">
        <v>81</v>
      </c>
      <c r="I1530" t="s">
        <v>9</v>
      </c>
      <c r="L1530" t="s">
        <v>161</v>
      </c>
      <c r="M1530">
        <v>400000000</v>
      </c>
    </row>
    <row r="1531" spans="1:13" x14ac:dyDescent="0.3">
      <c r="A1531" s="23">
        <v>44792</v>
      </c>
      <c r="B1531" t="s">
        <v>12</v>
      </c>
      <c r="C1531" t="s">
        <v>132</v>
      </c>
      <c r="D1531" t="s">
        <v>17</v>
      </c>
      <c r="E1531" t="s">
        <v>43</v>
      </c>
      <c r="F1531">
        <v>15200000</v>
      </c>
      <c r="G1531" t="s">
        <v>23</v>
      </c>
      <c r="H1531" t="s">
        <v>81</v>
      </c>
      <c r="I1531" t="s">
        <v>9</v>
      </c>
      <c r="L1531" t="s">
        <v>161</v>
      </c>
      <c r="M1531">
        <v>-15200000</v>
      </c>
    </row>
    <row r="1532" spans="1:13" x14ac:dyDescent="0.3">
      <c r="A1532" s="23">
        <v>45666</v>
      </c>
      <c r="B1532" t="s">
        <v>12</v>
      </c>
      <c r="C1532" t="s">
        <v>132</v>
      </c>
      <c r="D1532" t="s">
        <v>17</v>
      </c>
      <c r="E1532" t="s">
        <v>43</v>
      </c>
      <c r="F1532">
        <v>7700000</v>
      </c>
      <c r="G1532" t="s">
        <v>23</v>
      </c>
      <c r="H1532" t="s">
        <v>81</v>
      </c>
      <c r="I1532" t="s">
        <v>9</v>
      </c>
      <c r="L1532" t="s">
        <v>161</v>
      </c>
      <c r="M1532">
        <v>-7700000</v>
      </c>
    </row>
    <row r="1533" spans="1:13" x14ac:dyDescent="0.3">
      <c r="A1533" s="23">
        <v>45664</v>
      </c>
      <c r="B1533" t="s">
        <v>12</v>
      </c>
      <c r="C1533" t="s">
        <v>132</v>
      </c>
      <c r="D1533" t="s">
        <v>17</v>
      </c>
      <c r="E1533" t="s">
        <v>43</v>
      </c>
      <c r="F1533">
        <v>50000000</v>
      </c>
      <c r="G1533" t="s">
        <v>23</v>
      </c>
      <c r="H1533" t="s">
        <v>81</v>
      </c>
      <c r="I1533" t="s">
        <v>9</v>
      </c>
      <c r="L1533" t="s">
        <v>161</v>
      </c>
      <c r="M1533">
        <v>-50000000</v>
      </c>
    </row>
    <row r="1534" spans="1:13" x14ac:dyDescent="0.3">
      <c r="A1534" s="23">
        <v>44796</v>
      </c>
      <c r="B1534" t="s">
        <v>12</v>
      </c>
      <c r="C1534" t="s">
        <v>132</v>
      </c>
      <c r="D1534" t="s">
        <v>16</v>
      </c>
      <c r="E1534" t="s">
        <v>43</v>
      </c>
      <c r="F1534">
        <v>52400000</v>
      </c>
      <c r="G1534" t="s">
        <v>23</v>
      </c>
      <c r="H1534" t="s">
        <v>81</v>
      </c>
      <c r="I1534" t="s">
        <v>9</v>
      </c>
      <c r="L1534" t="s">
        <v>161</v>
      </c>
      <c r="M1534">
        <v>52400000</v>
      </c>
    </row>
    <row r="1535" spans="1:13" x14ac:dyDescent="0.3">
      <c r="A1535" s="23">
        <v>45663</v>
      </c>
      <c r="B1535" t="s">
        <v>12</v>
      </c>
      <c r="C1535" t="s">
        <v>132</v>
      </c>
      <c r="D1535" t="s">
        <v>16</v>
      </c>
      <c r="E1535" t="s">
        <v>43</v>
      </c>
      <c r="F1535">
        <v>78700000</v>
      </c>
      <c r="G1535" t="s">
        <v>23</v>
      </c>
      <c r="H1535" t="s">
        <v>81</v>
      </c>
      <c r="I1535" t="s">
        <v>9</v>
      </c>
      <c r="L1535" t="s">
        <v>161</v>
      </c>
      <c r="M1535">
        <v>78700000</v>
      </c>
    </row>
    <row r="1536" spans="1:13" x14ac:dyDescent="0.3">
      <c r="A1536" s="23">
        <v>44797</v>
      </c>
      <c r="B1536" t="s">
        <v>12</v>
      </c>
      <c r="C1536" t="s">
        <v>132</v>
      </c>
      <c r="D1536" t="s">
        <v>17</v>
      </c>
      <c r="E1536" t="s">
        <v>43</v>
      </c>
      <c r="F1536">
        <v>50000000</v>
      </c>
      <c r="G1536" t="s">
        <v>23</v>
      </c>
      <c r="H1536" t="s">
        <v>81</v>
      </c>
      <c r="I1536" t="s">
        <v>9</v>
      </c>
      <c r="L1536" t="s">
        <v>161</v>
      </c>
      <c r="M1536">
        <v>-50000000</v>
      </c>
    </row>
    <row r="1537" spans="1:13" x14ac:dyDescent="0.3">
      <c r="A1537" s="23">
        <v>45656</v>
      </c>
      <c r="B1537" t="s">
        <v>12</v>
      </c>
      <c r="C1537" t="s">
        <v>132</v>
      </c>
      <c r="D1537" t="s">
        <v>17</v>
      </c>
      <c r="E1537" t="s">
        <v>43</v>
      </c>
      <c r="F1537">
        <v>381537973</v>
      </c>
      <c r="G1537" t="s">
        <v>23</v>
      </c>
      <c r="H1537" t="s">
        <v>81</v>
      </c>
      <c r="I1537" t="s">
        <v>9</v>
      </c>
      <c r="L1537" t="s">
        <v>161</v>
      </c>
      <c r="M1537">
        <v>-381537973</v>
      </c>
    </row>
    <row r="1538" spans="1:13" x14ac:dyDescent="0.3">
      <c r="A1538" s="23">
        <v>44802</v>
      </c>
      <c r="B1538" t="s">
        <v>12</v>
      </c>
      <c r="C1538" t="s">
        <v>132</v>
      </c>
      <c r="D1538" t="s">
        <v>16</v>
      </c>
      <c r="E1538" t="s">
        <v>43</v>
      </c>
      <c r="F1538">
        <v>56300000</v>
      </c>
      <c r="G1538" t="s">
        <v>23</v>
      </c>
      <c r="H1538" t="s">
        <v>81</v>
      </c>
      <c r="I1538" t="s">
        <v>9</v>
      </c>
      <c r="L1538" t="s">
        <v>161</v>
      </c>
      <c r="M1538">
        <v>56300000</v>
      </c>
    </row>
    <row r="1539" spans="1:13" x14ac:dyDescent="0.3">
      <c r="A1539" s="23">
        <v>44803</v>
      </c>
      <c r="B1539" t="s">
        <v>12</v>
      </c>
      <c r="C1539" t="s">
        <v>132</v>
      </c>
      <c r="D1539" t="s">
        <v>16</v>
      </c>
      <c r="E1539" t="s">
        <v>43</v>
      </c>
      <c r="F1539">
        <v>177021.74</v>
      </c>
      <c r="G1539" t="s">
        <v>23</v>
      </c>
      <c r="H1539" t="s">
        <v>81</v>
      </c>
      <c r="I1539" t="s">
        <v>9</v>
      </c>
      <c r="L1539" t="s">
        <v>161</v>
      </c>
      <c r="M1539">
        <v>177021.74</v>
      </c>
    </row>
    <row r="1540" spans="1:13" x14ac:dyDescent="0.3">
      <c r="A1540" s="23">
        <v>45653</v>
      </c>
      <c r="B1540" t="s">
        <v>12</v>
      </c>
      <c r="C1540" t="s">
        <v>132</v>
      </c>
      <c r="D1540" t="s">
        <v>17</v>
      </c>
      <c r="E1540" t="s">
        <v>43</v>
      </c>
      <c r="F1540">
        <v>405200000</v>
      </c>
      <c r="G1540" t="s">
        <v>23</v>
      </c>
      <c r="H1540" t="s">
        <v>81</v>
      </c>
      <c r="I1540" t="s">
        <v>9</v>
      </c>
      <c r="L1540" t="s">
        <v>161</v>
      </c>
      <c r="M1540">
        <v>-405200000</v>
      </c>
    </row>
    <row r="1541" spans="1:13" x14ac:dyDescent="0.3">
      <c r="A1541" s="23">
        <v>44805</v>
      </c>
      <c r="B1541" t="s">
        <v>12</v>
      </c>
      <c r="C1541" t="s">
        <v>132</v>
      </c>
      <c r="D1541" t="s">
        <v>17</v>
      </c>
      <c r="E1541" t="s">
        <v>43</v>
      </c>
      <c r="F1541">
        <v>58877021.73999998</v>
      </c>
      <c r="G1541" t="s">
        <v>23</v>
      </c>
      <c r="H1541" t="s">
        <v>81</v>
      </c>
      <c r="I1541" t="s">
        <v>9</v>
      </c>
      <c r="L1541" t="s">
        <v>161</v>
      </c>
      <c r="M1541">
        <v>-58877021.740000002</v>
      </c>
    </row>
    <row r="1542" spans="1:13" x14ac:dyDescent="0.3">
      <c r="A1542" s="23">
        <v>45649</v>
      </c>
      <c r="B1542" t="s">
        <v>12</v>
      </c>
      <c r="C1542" t="s">
        <v>132</v>
      </c>
      <c r="D1542" t="s">
        <v>16</v>
      </c>
      <c r="E1542" t="s">
        <v>43</v>
      </c>
      <c r="F1542">
        <v>500000000</v>
      </c>
      <c r="G1542" t="s">
        <v>23</v>
      </c>
      <c r="H1542" t="s">
        <v>81</v>
      </c>
      <c r="I1542" t="s">
        <v>9</v>
      </c>
      <c r="L1542" t="s">
        <v>161</v>
      </c>
      <c r="M1542">
        <v>500000000</v>
      </c>
    </row>
    <row r="1543" spans="1:13" x14ac:dyDescent="0.3">
      <c r="A1543" s="23">
        <v>45645</v>
      </c>
      <c r="B1543" t="s">
        <v>12</v>
      </c>
      <c r="C1543" t="s">
        <v>132</v>
      </c>
      <c r="D1543" t="s">
        <v>16</v>
      </c>
      <c r="E1543" t="s">
        <v>43</v>
      </c>
      <c r="F1543">
        <v>250000000</v>
      </c>
      <c r="G1543" t="s">
        <v>23</v>
      </c>
      <c r="H1543" t="s">
        <v>81</v>
      </c>
      <c r="I1543" t="s">
        <v>9</v>
      </c>
      <c r="L1543" t="s">
        <v>161</v>
      </c>
      <c r="M1543">
        <v>250000000</v>
      </c>
    </row>
    <row r="1544" spans="1:13" x14ac:dyDescent="0.3">
      <c r="A1544" s="23">
        <v>44819</v>
      </c>
      <c r="B1544" t="s">
        <v>12</v>
      </c>
      <c r="C1544" t="s">
        <v>132</v>
      </c>
      <c r="D1544" t="s">
        <v>16</v>
      </c>
      <c r="E1544" t="s">
        <v>43</v>
      </c>
      <c r="F1544">
        <v>249800000</v>
      </c>
      <c r="G1544" t="s">
        <v>23</v>
      </c>
      <c r="H1544" t="s">
        <v>81</v>
      </c>
      <c r="I1544" t="s">
        <v>9</v>
      </c>
      <c r="L1544" t="s">
        <v>161</v>
      </c>
      <c r="M1544">
        <v>249800000</v>
      </c>
    </row>
    <row r="1545" spans="1:13" x14ac:dyDescent="0.3">
      <c r="A1545" s="23">
        <v>44820</v>
      </c>
      <c r="B1545" t="s">
        <v>12</v>
      </c>
      <c r="C1545" t="s">
        <v>132</v>
      </c>
      <c r="D1545" t="s">
        <v>16</v>
      </c>
      <c r="E1545" t="s">
        <v>43</v>
      </c>
      <c r="F1545">
        <v>8400000</v>
      </c>
      <c r="G1545" t="s">
        <v>23</v>
      </c>
      <c r="H1545" t="s">
        <v>81</v>
      </c>
      <c r="I1545" t="s">
        <v>9</v>
      </c>
      <c r="L1545" t="s">
        <v>161</v>
      </c>
      <c r="M1545">
        <v>8400000</v>
      </c>
    </row>
    <row r="1546" spans="1:13" x14ac:dyDescent="0.3">
      <c r="A1546" s="23">
        <v>44823</v>
      </c>
      <c r="B1546" t="s">
        <v>12</v>
      </c>
      <c r="C1546" t="s">
        <v>132</v>
      </c>
      <c r="D1546" t="s">
        <v>17</v>
      </c>
      <c r="E1546" t="s">
        <v>43</v>
      </c>
      <c r="F1546">
        <v>54000000</v>
      </c>
      <c r="G1546" t="s">
        <v>23</v>
      </c>
      <c r="H1546" t="s">
        <v>81</v>
      </c>
      <c r="I1546" t="s">
        <v>9</v>
      </c>
      <c r="L1546" t="s">
        <v>161</v>
      </c>
      <c r="M1546">
        <v>-54000000</v>
      </c>
    </row>
    <row r="1547" spans="1:13" x14ac:dyDescent="0.3">
      <c r="A1547" s="23">
        <v>45637</v>
      </c>
      <c r="B1547" t="s">
        <v>12</v>
      </c>
      <c r="C1547" t="s">
        <v>132</v>
      </c>
      <c r="D1547" t="s">
        <v>16</v>
      </c>
      <c r="E1547" t="s">
        <v>43</v>
      </c>
      <c r="F1547">
        <v>7400000</v>
      </c>
      <c r="G1547" t="s">
        <v>23</v>
      </c>
      <c r="H1547" t="s">
        <v>81</v>
      </c>
      <c r="I1547" t="s">
        <v>9</v>
      </c>
      <c r="L1547" t="s">
        <v>161</v>
      </c>
      <c r="M1547">
        <v>7400000</v>
      </c>
    </row>
    <row r="1548" spans="1:13" x14ac:dyDescent="0.3">
      <c r="A1548" s="23">
        <v>44824</v>
      </c>
      <c r="B1548" t="s">
        <v>12</v>
      </c>
      <c r="C1548" t="s">
        <v>132</v>
      </c>
      <c r="D1548" t="s">
        <v>17</v>
      </c>
      <c r="E1548" t="s">
        <v>43</v>
      </c>
      <c r="F1548">
        <v>157500000</v>
      </c>
      <c r="G1548" t="s">
        <v>23</v>
      </c>
      <c r="H1548" t="s">
        <v>81</v>
      </c>
      <c r="I1548" t="s">
        <v>9</v>
      </c>
      <c r="L1548" t="s">
        <v>161</v>
      </c>
      <c r="M1548">
        <v>-157500000</v>
      </c>
    </row>
    <row r="1549" spans="1:13" x14ac:dyDescent="0.3">
      <c r="A1549" s="23">
        <v>44825</v>
      </c>
      <c r="B1549" t="s">
        <v>12</v>
      </c>
      <c r="C1549" t="s">
        <v>132</v>
      </c>
      <c r="D1549" t="s">
        <v>16</v>
      </c>
      <c r="E1549" t="s">
        <v>43</v>
      </c>
      <c r="F1549">
        <v>51200000</v>
      </c>
      <c r="G1549" t="s">
        <v>23</v>
      </c>
      <c r="H1549" t="s">
        <v>81</v>
      </c>
      <c r="I1549" t="s">
        <v>9</v>
      </c>
      <c r="L1549" t="s">
        <v>161</v>
      </c>
      <c r="M1549">
        <v>51200000</v>
      </c>
    </row>
    <row r="1550" spans="1:13" x14ac:dyDescent="0.3">
      <c r="A1550" s="23">
        <v>45636</v>
      </c>
      <c r="B1550" t="s">
        <v>12</v>
      </c>
      <c r="C1550" t="s">
        <v>132</v>
      </c>
      <c r="D1550" t="s">
        <v>17</v>
      </c>
      <c r="E1550" t="s">
        <v>43</v>
      </c>
      <c r="F1550">
        <v>13500000</v>
      </c>
      <c r="G1550" t="s">
        <v>23</v>
      </c>
      <c r="H1550" t="s">
        <v>81</v>
      </c>
      <c r="I1550" t="s">
        <v>9</v>
      </c>
      <c r="L1550" t="s">
        <v>161</v>
      </c>
      <c r="M1550">
        <v>-13500000</v>
      </c>
    </row>
    <row r="1551" spans="1:13" x14ac:dyDescent="0.3">
      <c r="A1551" s="23">
        <v>44826</v>
      </c>
      <c r="B1551" t="s">
        <v>12</v>
      </c>
      <c r="C1551" t="s">
        <v>132</v>
      </c>
      <c r="D1551" t="s">
        <v>17</v>
      </c>
      <c r="E1551" t="s">
        <v>43</v>
      </c>
      <c r="F1551">
        <v>58000000</v>
      </c>
      <c r="G1551" t="s">
        <v>23</v>
      </c>
      <c r="H1551" t="s">
        <v>81</v>
      </c>
      <c r="I1551" t="s">
        <v>9</v>
      </c>
      <c r="L1551" t="s">
        <v>161</v>
      </c>
      <c r="M1551">
        <v>-58000000</v>
      </c>
    </row>
    <row r="1552" spans="1:13" x14ac:dyDescent="0.3">
      <c r="A1552" s="23">
        <v>45632</v>
      </c>
      <c r="B1552" t="s">
        <v>12</v>
      </c>
      <c r="C1552" t="s">
        <v>132</v>
      </c>
      <c r="D1552" t="s">
        <v>17</v>
      </c>
      <c r="E1552" t="s">
        <v>43</v>
      </c>
      <c r="F1552">
        <v>16800000</v>
      </c>
      <c r="G1552" t="s">
        <v>23</v>
      </c>
      <c r="H1552" t="s">
        <v>81</v>
      </c>
      <c r="I1552" t="s">
        <v>9</v>
      </c>
      <c r="L1552" t="s">
        <v>161</v>
      </c>
      <c r="M1552">
        <v>-16800000</v>
      </c>
    </row>
    <row r="1553" spans="1:13" x14ac:dyDescent="0.3">
      <c r="A1553" s="23">
        <v>44827</v>
      </c>
      <c r="B1553" t="s">
        <v>12</v>
      </c>
      <c r="C1553" t="s">
        <v>132</v>
      </c>
      <c r="D1553" t="s">
        <v>17</v>
      </c>
      <c r="E1553" t="s">
        <v>43</v>
      </c>
      <c r="F1553">
        <v>39900000</v>
      </c>
      <c r="G1553" t="s">
        <v>23</v>
      </c>
      <c r="H1553" t="s">
        <v>81</v>
      </c>
      <c r="I1553" t="s">
        <v>9</v>
      </c>
      <c r="L1553" t="s">
        <v>161</v>
      </c>
      <c r="M1553">
        <v>-39900000</v>
      </c>
    </row>
    <row r="1554" spans="1:13" x14ac:dyDescent="0.3">
      <c r="A1554" s="23">
        <v>45630</v>
      </c>
      <c r="B1554" t="s">
        <v>12</v>
      </c>
      <c r="C1554" t="s">
        <v>132</v>
      </c>
      <c r="D1554" t="s">
        <v>16</v>
      </c>
      <c r="E1554" t="s">
        <v>43</v>
      </c>
      <c r="F1554">
        <v>7363460</v>
      </c>
      <c r="G1554" t="s">
        <v>23</v>
      </c>
      <c r="H1554" t="s">
        <v>81</v>
      </c>
      <c r="I1554" t="s">
        <v>9</v>
      </c>
      <c r="L1554" t="s">
        <v>161</v>
      </c>
      <c r="M1554">
        <v>7363460</v>
      </c>
    </row>
    <row r="1555" spans="1:13" x14ac:dyDescent="0.3">
      <c r="A1555" s="23">
        <v>45630</v>
      </c>
      <c r="B1555" t="s">
        <v>12</v>
      </c>
      <c r="C1555" t="s">
        <v>132</v>
      </c>
      <c r="D1555" t="s">
        <v>17</v>
      </c>
      <c r="E1555" t="s">
        <v>43</v>
      </c>
      <c r="F1555">
        <v>8200000</v>
      </c>
      <c r="G1555" t="s">
        <v>23</v>
      </c>
      <c r="H1555" t="s">
        <v>81</v>
      </c>
      <c r="I1555" t="s">
        <v>9</v>
      </c>
      <c r="L1555" t="s">
        <v>161</v>
      </c>
      <c r="M1555">
        <v>-8200000</v>
      </c>
    </row>
    <row r="1556" spans="1:13" x14ac:dyDescent="0.3">
      <c r="A1556" s="23">
        <v>45628</v>
      </c>
      <c r="B1556" t="s">
        <v>12</v>
      </c>
      <c r="C1556" t="s">
        <v>132</v>
      </c>
      <c r="D1556" t="s">
        <v>17</v>
      </c>
      <c r="E1556" t="s">
        <v>43</v>
      </c>
      <c r="F1556">
        <v>166000000</v>
      </c>
      <c r="G1556" t="s">
        <v>23</v>
      </c>
      <c r="H1556" t="s">
        <v>81</v>
      </c>
      <c r="I1556" t="s">
        <v>9</v>
      </c>
      <c r="L1556" t="s">
        <v>161</v>
      </c>
      <c r="M1556">
        <v>-166000000</v>
      </c>
    </row>
    <row r="1557" spans="1:13" x14ac:dyDescent="0.3">
      <c r="A1557" s="23">
        <v>44839</v>
      </c>
      <c r="B1557" t="s">
        <v>12</v>
      </c>
      <c r="C1557" t="s">
        <v>132</v>
      </c>
      <c r="D1557" t="s">
        <v>16</v>
      </c>
      <c r="E1557" t="s">
        <v>43</v>
      </c>
      <c r="F1557">
        <v>69900000</v>
      </c>
      <c r="G1557" t="s">
        <v>23</v>
      </c>
      <c r="H1557" t="s">
        <v>81</v>
      </c>
      <c r="I1557" t="s">
        <v>9</v>
      </c>
      <c r="L1557" t="s">
        <v>161</v>
      </c>
      <c r="M1557">
        <v>69900000</v>
      </c>
    </row>
    <row r="1558" spans="1:13" x14ac:dyDescent="0.3">
      <c r="A1558" s="23">
        <v>45625</v>
      </c>
      <c r="B1558" t="s">
        <v>12</v>
      </c>
      <c r="C1558" t="s">
        <v>132</v>
      </c>
      <c r="D1558" t="s">
        <v>17</v>
      </c>
      <c r="E1558" t="s">
        <v>43</v>
      </c>
      <c r="F1558">
        <v>300000000</v>
      </c>
      <c r="G1558" t="s">
        <v>23</v>
      </c>
      <c r="H1558" t="s">
        <v>81</v>
      </c>
      <c r="I1558" t="s">
        <v>9</v>
      </c>
      <c r="L1558" t="s">
        <v>161</v>
      </c>
      <c r="M1558">
        <v>-300000000</v>
      </c>
    </row>
    <row r="1559" spans="1:13" x14ac:dyDescent="0.3">
      <c r="A1559" s="23">
        <v>44845</v>
      </c>
      <c r="B1559" t="s">
        <v>12</v>
      </c>
      <c r="C1559" t="s">
        <v>132</v>
      </c>
      <c r="D1559" t="s">
        <v>17</v>
      </c>
      <c r="E1559" t="s">
        <v>43</v>
      </c>
      <c r="F1559">
        <v>69900000.00000003</v>
      </c>
      <c r="G1559" t="s">
        <v>23</v>
      </c>
      <c r="H1559" t="s">
        <v>81</v>
      </c>
      <c r="I1559" t="s">
        <v>9</v>
      </c>
      <c r="L1559" t="s">
        <v>161</v>
      </c>
      <c r="M1559">
        <v>-69900000</v>
      </c>
    </row>
    <row r="1560" spans="1:13" x14ac:dyDescent="0.3">
      <c r="A1560" s="23">
        <v>45623</v>
      </c>
      <c r="B1560" t="s">
        <v>12</v>
      </c>
      <c r="C1560" t="s">
        <v>132</v>
      </c>
      <c r="D1560" t="s">
        <v>16</v>
      </c>
      <c r="E1560" t="s">
        <v>43</v>
      </c>
      <c r="F1560">
        <v>400000000</v>
      </c>
      <c r="G1560" t="s">
        <v>23</v>
      </c>
      <c r="H1560" t="s">
        <v>81</v>
      </c>
      <c r="I1560" t="s">
        <v>9</v>
      </c>
      <c r="L1560" t="s">
        <v>161</v>
      </c>
      <c r="M1560">
        <v>400000000</v>
      </c>
    </row>
    <row r="1561" spans="1:13" x14ac:dyDescent="0.3">
      <c r="A1561" s="23">
        <v>45621</v>
      </c>
      <c r="B1561" t="s">
        <v>12</v>
      </c>
      <c r="C1561" t="s">
        <v>132</v>
      </c>
      <c r="D1561" t="s">
        <v>17</v>
      </c>
      <c r="E1561" t="s">
        <v>43</v>
      </c>
      <c r="F1561">
        <v>250000000</v>
      </c>
      <c r="G1561" t="s">
        <v>23</v>
      </c>
      <c r="H1561" t="s">
        <v>81</v>
      </c>
      <c r="I1561" t="s">
        <v>9</v>
      </c>
      <c r="L1561" t="s">
        <v>161</v>
      </c>
      <c r="M1561">
        <v>-250000000</v>
      </c>
    </row>
    <row r="1562" spans="1:13" x14ac:dyDescent="0.3">
      <c r="A1562" s="23">
        <v>45618</v>
      </c>
      <c r="B1562" t="s">
        <v>12</v>
      </c>
      <c r="C1562" t="s">
        <v>132</v>
      </c>
      <c r="D1562" t="s">
        <v>16</v>
      </c>
      <c r="E1562" t="s">
        <v>43</v>
      </c>
      <c r="F1562">
        <v>200500000</v>
      </c>
      <c r="G1562" t="s">
        <v>23</v>
      </c>
      <c r="H1562" t="s">
        <v>81</v>
      </c>
      <c r="I1562" t="s">
        <v>9</v>
      </c>
      <c r="L1562" t="s">
        <v>161</v>
      </c>
      <c r="M1562">
        <v>200500000</v>
      </c>
    </row>
    <row r="1563" spans="1:13" x14ac:dyDescent="0.3">
      <c r="A1563" s="23">
        <v>44852</v>
      </c>
      <c r="B1563" t="s">
        <v>12</v>
      </c>
      <c r="C1563" t="s">
        <v>132</v>
      </c>
      <c r="D1563" t="s">
        <v>16</v>
      </c>
      <c r="E1563" t="s">
        <v>43</v>
      </c>
      <c r="F1563">
        <v>34600000</v>
      </c>
      <c r="G1563" t="s">
        <v>23</v>
      </c>
      <c r="H1563" t="s">
        <v>81</v>
      </c>
      <c r="I1563" t="s">
        <v>9</v>
      </c>
      <c r="L1563" t="s">
        <v>161</v>
      </c>
      <c r="M1563">
        <v>34600000</v>
      </c>
    </row>
    <row r="1564" spans="1:13" x14ac:dyDescent="0.3">
      <c r="A1564" s="23">
        <v>45617</v>
      </c>
      <c r="B1564" t="s">
        <v>12</v>
      </c>
      <c r="C1564" t="s">
        <v>132</v>
      </c>
      <c r="D1564" t="s">
        <v>17</v>
      </c>
      <c r="E1564" t="s">
        <v>43</v>
      </c>
      <c r="F1564">
        <v>200000000</v>
      </c>
      <c r="G1564" t="s">
        <v>23</v>
      </c>
      <c r="H1564" t="s">
        <v>81</v>
      </c>
      <c r="I1564" t="s">
        <v>9</v>
      </c>
      <c r="L1564" t="s">
        <v>161</v>
      </c>
      <c r="M1564">
        <v>-200000000</v>
      </c>
    </row>
    <row r="1565" spans="1:13" x14ac:dyDescent="0.3">
      <c r="A1565" s="23">
        <v>44855</v>
      </c>
      <c r="B1565" t="s">
        <v>12</v>
      </c>
      <c r="C1565" t="s">
        <v>132</v>
      </c>
      <c r="D1565" t="s">
        <v>17</v>
      </c>
      <c r="E1565" t="s">
        <v>43</v>
      </c>
      <c r="F1565">
        <v>27000000</v>
      </c>
      <c r="G1565" t="s">
        <v>23</v>
      </c>
      <c r="H1565" t="s">
        <v>81</v>
      </c>
      <c r="I1565" t="s">
        <v>9</v>
      </c>
      <c r="L1565" t="s">
        <v>161</v>
      </c>
      <c r="M1565">
        <v>-27000000</v>
      </c>
    </row>
    <row r="1566" spans="1:13" x14ac:dyDescent="0.3">
      <c r="A1566" s="23">
        <v>44858</v>
      </c>
      <c r="B1566" t="s">
        <v>12</v>
      </c>
      <c r="C1566" t="s">
        <v>132</v>
      </c>
      <c r="D1566" t="s">
        <v>16</v>
      </c>
      <c r="E1566" t="s">
        <v>43</v>
      </c>
      <c r="F1566">
        <v>102000000</v>
      </c>
      <c r="G1566" t="s">
        <v>23</v>
      </c>
      <c r="H1566" t="s">
        <v>81</v>
      </c>
      <c r="I1566" t="s">
        <v>9</v>
      </c>
      <c r="L1566" t="s">
        <v>161</v>
      </c>
      <c r="M1566">
        <v>102000000</v>
      </c>
    </row>
    <row r="1567" spans="1:13" x14ac:dyDescent="0.3">
      <c r="A1567" s="23">
        <v>45611</v>
      </c>
      <c r="B1567" t="s">
        <v>12</v>
      </c>
      <c r="C1567" t="s">
        <v>132</v>
      </c>
      <c r="D1567" t="s">
        <v>17</v>
      </c>
      <c r="E1567" t="s">
        <v>43</v>
      </c>
      <c r="F1567">
        <v>226200000</v>
      </c>
      <c r="G1567" t="s">
        <v>23</v>
      </c>
      <c r="H1567" t="s">
        <v>81</v>
      </c>
      <c r="I1567" t="s">
        <v>9</v>
      </c>
      <c r="L1567" t="s">
        <v>161</v>
      </c>
      <c r="M1567">
        <v>-226200000</v>
      </c>
    </row>
    <row r="1568" spans="1:13" x14ac:dyDescent="0.3">
      <c r="A1568" s="23">
        <v>44859</v>
      </c>
      <c r="B1568" t="s">
        <v>12</v>
      </c>
      <c r="C1568" t="s">
        <v>132</v>
      </c>
      <c r="D1568" t="s">
        <v>17</v>
      </c>
      <c r="E1568" t="s">
        <v>43</v>
      </c>
      <c r="F1568">
        <v>29000000</v>
      </c>
      <c r="G1568" t="s">
        <v>23</v>
      </c>
      <c r="H1568" t="s">
        <v>81</v>
      </c>
      <c r="I1568" t="s">
        <v>9</v>
      </c>
      <c r="L1568" t="s">
        <v>161</v>
      </c>
      <c r="M1568">
        <v>-29000000</v>
      </c>
    </row>
    <row r="1569" spans="1:13" x14ac:dyDescent="0.3">
      <c r="A1569" s="23">
        <v>45610</v>
      </c>
      <c r="B1569" t="s">
        <v>12</v>
      </c>
      <c r="C1569" t="s">
        <v>132</v>
      </c>
      <c r="D1569" t="s">
        <v>17</v>
      </c>
      <c r="E1569" t="s">
        <v>43</v>
      </c>
      <c r="F1569">
        <v>250000000</v>
      </c>
      <c r="G1569" t="s">
        <v>23</v>
      </c>
      <c r="H1569" t="s">
        <v>81</v>
      </c>
      <c r="I1569" t="s">
        <v>9</v>
      </c>
      <c r="L1569" t="s">
        <v>161</v>
      </c>
      <c r="M1569">
        <v>-250000000</v>
      </c>
    </row>
    <row r="1570" spans="1:13" x14ac:dyDescent="0.3">
      <c r="A1570" s="23">
        <v>44860</v>
      </c>
      <c r="B1570" t="s">
        <v>12</v>
      </c>
      <c r="C1570" t="s">
        <v>132</v>
      </c>
      <c r="D1570" t="s">
        <v>17</v>
      </c>
      <c r="E1570" t="s">
        <v>43</v>
      </c>
      <c r="F1570">
        <v>39700000</v>
      </c>
      <c r="G1570" t="s">
        <v>23</v>
      </c>
      <c r="H1570" t="s">
        <v>81</v>
      </c>
      <c r="I1570" t="s">
        <v>9</v>
      </c>
      <c r="L1570" t="s">
        <v>161</v>
      </c>
      <c r="M1570">
        <v>-39700000</v>
      </c>
    </row>
    <row r="1571" spans="1:13" x14ac:dyDescent="0.3">
      <c r="A1571" s="23">
        <v>45609</v>
      </c>
      <c r="B1571" t="s">
        <v>12</v>
      </c>
      <c r="C1571" t="s">
        <v>132</v>
      </c>
      <c r="D1571" t="s">
        <v>17</v>
      </c>
      <c r="E1571" t="s">
        <v>43</v>
      </c>
      <c r="F1571">
        <v>200000000</v>
      </c>
      <c r="G1571" t="s">
        <v>23</v>
      </c>
      <c r="H1571" t="s">
        <v>81</v>
      </c>
      <c r="I1571" t="s">
        <v>9</v>
      </c>
      <c r="L1571" t="s">
        <v>161</v>
      </c>
      <c r="M1571">
        <v>-200000000</v>
      </c>
    </row>
    <row r="1572" spans="1:13" x14ac:dyDescent="0.3">
      <c r="A1572" s="23">
        <v>44861</v>
      </c>
      <c r="B1572" t="s">
        <v>12</v>
      </c>
      <c r="C1572" t="s">
        <v>132</v>
      </c>
      <c r="D1572" t="s">
        <v>16</v>
      </c>
      <c r="E1572" t="s">
        <v>43</v>
      </c>
      <c r="F1572">
        <v>167000000</v>
      </c>
      <c r="G1572" t="s">
        <v>23</v>
      </c>
      <c r="H1572" t="s">
        <v>81</v>
      </c>
      <c r="I1572" t="s">
        <v>9</v>
      </c>
      <c r="L1572" t="s">
        <v>161</v>
      </c>
      <c r="M1572">
        <v>167000000</v>
      </c>
    </row>
    <row r="1573" spans="1:13" x14ac:dyDescent="0.3">
      <c r="A1573" s="23">
        <v>44862</v>
      </c>
      <c r="B1573" t="s">
        <v>12</v>
      </c>
      <c r="C1573" t="s">
        <v>132</v>
      </c>
      <c r="D1573" t="s">
        <v>17</v>
      </c>
      <c r="E1573" t="s">
        <v>43</v>
      </c>
      <c r="F1573">
        <v>100700000</v>
      </c>
      <c r="G1573" t="s">
        <v>23</v>
      </c>
      <c r="H1573" t="s">
        <v>81</v>
      </c>
      <c r="I1573" t="s">
        <v>9</v>
      </c>
      <c r="L1573" t="s">
        <v>161</v>
      </c>
      <c r="M1573">
        <v>-100700000</v>
      </c>
    </row>
    <row r="1574" spans="1:13" x14ac:dyDescent="0.3">
      <c r="A1574" s="23">
        <v>44865</v>
      </c>
      <c r="B1574" t="s">
        <v>12</v>
      </c>
      <c r="C1574" t="s">
        <v>132</v>
      </c>
      <c r="D1574" t="s">
        <v>17</v>
      </c>
      <c r="E1574" t="s">
        <v>43</v>
      </c>
      <c r="F1574">
        <v>107200000</v>
      </c>
      <c r="G1574" t="s">
        <v>23</v>
      </c>
      <c r="H1574" t="s">
        <v>81</v>
      </c>
      <c r="I1574" t="s">
        <v>9</v>
      </c>
      <c r="L1574" t="s">
        <v>161</v>
      </c>
      <c r="M1574">
        <v>-107200000</v>
      </c>
    </row>
    <row r="1575" spans="1:13" x14ac:dyDescent="0.3">
      <c r="A1575" s="23">
        <v>45608</v>
      </c>
      <c r="B1575" t="s">
        <v>12</v>
      </c>
      <c r="C1575" t="s">
        <v>132</v>
      </c>
      <c r="D1575" t="s">
        <v>16</v>
      </c>
      <c r="E1575" t="s">
        <v>43</v>
      </c>
      <c r="F1575">
        <v>1000000000</v>
      </c>
      <c r="G1575" t="s">
        <v>23</v>
      </c>
      <c r="H1575" t="s">
        <v>81</v>
      </c>
      <c r="I1575" t="s">
        <v>9</v>
      </c>
      <c r="L1575" t="s">
        <v>161</v>
      </c>
      <c r="M1575">
        <v>1000000000</v>
      </c>
    </row>
    <row r="1576" spans="1:13" x14ac:dyDescent="0.3">
      <c r="A1576" s="23">
        <v>45607</v>
      </c>
      <c r="B1576" t="s">
        <v>12</v>
      </c>
      <c r="C1576" t="s">
        <v>132</v>
      </c>
      <c r="D1576" t="s">
        <v>16</v>
      </c>
      <c r="E1576" t="s">
        <v>43</v>
      </c>
      <c r="F1576">
        <v>13026513</v>
      </c>
      <c r="G1576" t="s">
        <v>23</v>
      </c>
      <c r="H1576" t="s">
        <v>81</v>
      </c>
      <c r="I1576" t="s">
        <v>9</v>
      </c>
      <c r="L1576" t="s">
        <v>161</v>
      </c>
      <c r="M1576">
        <v>13026513</v>
      </c>
    </row>
    <row r="1577" spans="1:13" x14ac:dyDescent="0.3">
      <c r="A1577" s="23">
        <v>45604</v>
      </c>
      <c r="B1577" t="s">
        <v>12</v>
      </c>
      <c r="C1577" t="s">
        <v>132</v>
      </c>
      <c r="D1577" t="s">
        <v>17</v>
      </c>
      <c r="E1577" t="s">
        <v>43</v>
      </c>
      <c r="F1577">
        <v>100000000</v>
      </c>
      <c r="G1577" t="s">
        <v>23</v>
      </c>
      <c r="H1577" t="s">
        <v>81</v>
      </c>
      <c r="I1577" t="s">
        <v>9</v>
      </c>
      <c r="L1577" t="s">
        <v>161</v>
      </c>
      <c r="M1577">
        <v>-100000000</v>
      </c>
    </row>
    <row r="1578" spans="1:13" x14ac:dyDescent="0.3">
      <c r="A1578" s="23">
        <v>45603</v>
      </c>
      <c r="B1578" t="s">
        <v>12</v>
      </c>
      <c r="C1578" t="s">
        <v>132</v>
      </c>
      <c r="D1578" t="s">
        <v>16</v>
      </c>
      <c r="E1578" t="s">
        <v>43</v>
      </c>
      <c r="F1578">
        <v>55500000</v>
      </c>
      <c r="G1578" t="s">
        <v>23</v>
      </c>
      <c r="H1578" t="s">
        <v>81</v>
      </c>
      <c r="I1578" t="s">
        <v>9</v>
      </c>
      <c r="L1578" t="s">
        <v>161</v>
      </c>
      <c r="M1578">
        <v>55500000</v>
      </c>
    </row>
    <row r="1579" spans="1:13" x14ac:dyDescent="0.3">
      <c r="A1579" s="23">
        <v>45302</v>
      </c>
      <c r="B1579" t="s">
        <v>12</v>
      </c>
      <c r="C1579" t="s">
        <v>132</v>
      </c>
      <c r="D1579" t="s">
        <v>17</v>
      </c>
      <c r="E1579" t="s">
        <v>43</v>
      </c>
      <c r="F1579">
        <v>67300000</v>
      </c>
      <c r="G1579" t="s">
        <v>23</v>
      </c>
      <c r="H1579" t="s">
        <v>81</v>
      </c>
      <c r="I1579" t="s">
        <v>9</v>
      </c>
      <c r="L1579" t="s">
        <v>161</v>
      </c>
      <c r="M1579">
        <v>-67300000</v>
      </c>
    </row>
    <row r="1580" spans="1:13" x14ac:dyDescent="0.3">
      <c r="A1580" s="23">
        <v>45596</v>
      </c>
      <c r="B1580" t="s">
        <v>12</v>
      </c>
      <c r="C1580" t="s">
        <v>132</v>
      </c>
      <c r="D1580" t="s">
        <v>16</v>
      </c>
      <c r="E1580" t="s">
        <v>43</v>
      </c>
      <c r="F1580">
        <v>100000000</v>
      </c>
      <c r="G1580" t="s">
        <v>23</v>
      </c>
      <c r="H1580" t="s">
        <v>81</v>
      </c>
      <c r="I1580" t="s">
        <v>9</v>
      </c>
      <c r="L1580" t="s">
        <v>161</v>
      </c>
      <c r="M1580">
        <v>100000000</v>
      </c>
    </row>
    <row r="1581" spans="1:13" x14ac:dyDescent="0.3">
      <c r="A1581" s="23">
        <v>45591</v>
      </c>
      <c r="B1581" t="s">
        <v>12</v>
      </c>
      <c r="C1581" t="s">
        <v>132</v>
      </c>
      <c r="D1581" t="s">
        <v>17</v>
      </c>
      <c r="E1581" t="s">
        <v>43</v>
      </c>
      <c r="F1581">
        <v>150000000</v>
      </c>
      <c r="G1581" t="s">
        <v>23</v>
      </c>
      <c r="H1581" t="s">
        <v>81</v>
      </c>
      <c r="I1581" t="s">
        <v>9</v>
      </c>
      <c r="L1581" t="s">
        <v>161</v>
      </c>
      <c r="M1581">
        <v>-150000000</v>
      </c>
    </row>
    <row r="1582" spans="1:13" x14ac:dyDescent="0.3">
      <c r="A1582" s="23">
        <v>45589</v>
      </c>
      <c r="B1582" t="s">
        <v>12</v>
      </c>
      <c r="C1582" t="s">
        <v>132</v>
      </c>
      <c r="D1582" t="s">
        <v>17</v>
      </c>
      <c r="E1582" t="s">
        <v>43</v>
      </c>
      <c r="F1582">
        <v>100000000</v>
      </c>
      <c r="G1582" t="s">
        <v>23</v>
      </c>
      <c r="H1582" t="s">
        <v>81</v>
      </c>
      <c r="I1582" t="s">
        <v>9</v>
      </c>
      <c r="L1582" t="s">
        <v>161</v>
      </c>
      <c r="M1582">
        <v>-100000000</v>
      </c>
    </row>
    <row r="1583" spans="1:13" x14ac:dyDescent="0.3">
      <c r="A1583" s="23">
        <v>45587</v>
      </c>
      <c r="B1583" t="s">
        <v>12</v>
      </c>
      <c r="C1583" t="s">
        <v>132</v>
      </c>
      <c r="D1583" t="s">
        <v>17</v>
      </c>
      <c r="E1583" t="s">
        <v>43</v>
      </c>
      <c r="F1583">
        <v>220000000</v>
      </c>
      <c r="G1583" t="s">
        <v>23</v>
      </c>
      <c r="H1583" t="s">
        <v>81</v>
      </c>
      <c r="I1583" t="s">
        <v>9</v>
      </c>
      <c r="L1583" t="s">
        <v>161</v>
      </c>
      <c r="M1583">
        <v>-220000000</v>
      </c>
    </row>
    <row r="1584" spans="1:13" x14ac:dyDescent="0.3">
      <c r="A1584" s="23">
        <v>45586</v>
      </c>
      <c r="B1584" t="s">
        <v>12</v>
      </c>
      <c r="C1584" t="s">
        <v>132</v>
      </c>
      <c r="D1584" t="s">
        <v>17</v>
      </c>
      <c r="E1584" t="s">
        <v>43</v>
      </c>
      <c r="F1584">
        <v>200000000</v>
      </c>
      <c r="G1584" t="s">
        <v>23</v>
      </c>
      <c r="H1584" t="s">
        <v>81</v>
      </c>
      <c r="I1584" t="s">
        <v>9</v>
      </c>
      <c r="L1584" t="s">
        <v>161</v>
      </c>
      <c r="M1584">
        <v>-200000000</v>
      </c>
    </row>
    <row r="1585" spans="1:13" x14ac:dyDescent="0.3">
      <c r="A1585" s="23">
        <v>45583</v>
      </c>
      <c r="B1585" t="s">
        <v>12</v>
      </c>
      <c r="C1585" t="s">
        <v>132</v>
      </c>
      <c r="D1585" t="s">
        <v>16</v>
      </c>
      <c r="E1585" t="s">
        <v>43</v>
      </c>
      <c r="F1585">
        <v>700000000</v>
      </c>
      <c r="G1585" t="s">
        <v>23</v>
      </c>
      <c r="H1585" t="s">
        <v>81</v>
      </c>
      <c r="I1585" t="s">
        <v>9</v>
      </c>
      <c r="L1585" t="s">
        <v>161</v>
      </c>
      <c r="M1585">
        <v>700000000</v>
      </c>
    </row>
    <row r="1586" spans="1:13" x14ac:dyDescent="0.3">
      <c r="A1586" s="23">
        <v>44900</v>
      </c>
      <c r="B1586" t="s">
        <v>12</v>
      </c>
      <c r="C1586" t="s">
        <v>132</v>
      </c>
      <c r="D1586" t="s">
        <v>16</v>
      </c>
      <c r="E1586" t="s">
        <v>43</v>
      </c>
      <c r="F1586">
        <v>31000000</v>
      </c>
      <c r="G1586" t="s">
        <v>23</v>
      </c>
      <c r="H1586" t="s">
        <v>81</v>
      </c>
      <c r="I1586" t="s">
        <v>9</v>
      </c>
      <c r="L1586" t="s">
        <v>161</v>
      </c>
      <c r="M1586">
        <v>31000000</v>
      </c>
    </row>
    <row r="1587" spans="1:13" x14ac:dyDescent="0.3">
      <c r="A1587" s="23">
        <v>44902</v>
      </c>
      <c r="B1587" t="s">
        <v>12</v>
      </c>
      <c r="C1587" t="s">
        <v>132</v>
      </c>
      <c r="D1587" t="s">
        <v>16</v>
      </c>
      <c r="E1587" t="s">
        <v>43</v>
      </c>
      <c r="F1587">
        <v>80800000</v>
      </c>
      <c r="G1587" t="s">
        <v>23</v>
      </c>
      <c r="H1587" t="s">
        <v>81</v>
      </c>
      <c r="I1587" t="s">
        <v>9</v>
      </c>
      <c r="L1587" t="s">
        <v>161</v>
      </c>
      <c r="M1587">
        <v>80800000</v>
      </c>
    </row>
    <row r="1588" spans="1:13" x14ac:dyDescent="0.3">
      <c r="A1588" s="23">
        <v>44907</v>
      </c>
      <c r="B1588" t="s">
        <v>12</v>
      </c>
      <c r="C1588" t="s">
        <v>132</v>
      </c>
      <c r="D1588" t="s">
        <v>17</v>
      </c>
      <c r="E1588" t="s">
        <v>43</v>
      </c>
      <c r="F1588">
        <v>100000000</v>
      </c>
      <c r="G1588" t="s">
        <v>23</v>
      </c>
      <c r="H1588" t="s">
        <v>81</v>
      </c>
      <c r="I1588" t="s">
        <v>9</v>
      </c>
      <c r="L1588" t="s">
        <v>161</v>
      </c>
      <c r="M1588">
        <v>-100000000</v>
      </c>
    </row>
    <row r="1589" spans="1:13" x14ac:dyDescent="0.3">
      <c r="A1589" s="23">
        <v>44908</v>
      </c>
      <c r="B1589" t="s">
        <v>12</v>
      </c>
      <c r="C1589" t="s">
        <v>132</v>
      </c>
      <c r="D1589" t="s">
        <v>17</v>
      </c>
      <c r="E1589" t="s">
        <v>43</v>
      </c>
      <c r="F1589">
        <v>11800000</v>
      </c>
      <c r="G1589" t="s">
        <v>23</v>
      </c>
      <c r="H1589" t="s">
        <v>81</v>
      </c>
      <c r="I1589" t="s">
        <v>9</v>
      </c>
      <c r="L1589" t="s">
        <v>161</v>
      </c>
      <c r="M1589">
        <v>-11800000</v>
      </c>
    </row>
    <row r="1590" spans="1:13" x14ac:dyDescent="0.3">
      <c r="A1590" s="23">
        <v>44909</v>
      </c>
      <c r="B1590" t="s">
        <v>12</v>
      </c>
      <c r="C1590" t="s">
        <v>132</v>
      </c>
      <c r="D1590" t="s">
        <v>16</v>
      </c>
      <c r="E1590" t="s">
        <v>43</v>
      </c>
      <c r="F1590">
        <v>89100000</v>
      </c>
      <c r="G1590" t="s">
        <v>23</v>
      </c>
      <c r="H1590" t="s">
        <v>81</v>
      </c>
      <c r="I1590" t="s">
        <v>9</v>
      </c>
      <c r="L1590" t="s">
        <v>161</v>
      </c>
      <c r="M1590">
        <v>89100000</v>
      </c>
    </row>
    <row r="1591" spans="1:13" x14ac:dyDescent="0.3">
      <c r="A1591" s="23">
        <v>45574</v>
      </c>
      <c r="B1591" t="s">
        <v>12</v>
      </c>
      <c r="C1591" t="s">
        <v>132</v>
      </c>
      <c r="D1591" t="s">
        <v>17</v>
      </c>
      <c r="E1591" t="s">
        <v>43</v>
      </c>
      <c r="F1591">
        <v>100000000</v>
      </c>
      <c r="G1591" t="s">
        <v>23</v>
      </c>
      <c r="H1591" t="s">
        <v>81</v>
      </c>
      <c r="I1591" t="s">
        <v>9</v>
      </c>
      <c r="L1591" t="s">
        <v>161</v>
      </c>
      <c r="M1591">
        <v>-100000000</v>
      </c>
    </row>
    <row r="1592" spans="1:13" x14ac:dyDescent="0.3">
      <c r="A1592" s="23">
        <v>44914</v>
      </c>
      <c r="B1592" t="s">
        <v>12</v>
      </c>
      <c r="C1592" t="s">
        <v>132</v>
      </c>
      <c r="D1592" t="s">
        <v>17</v>
      </c>
      <c r="E1592" t="s">
        <v>43</v>
      </c>
      <c r="F1592">
        <v>55000000</v>
      </c>
      <c r="G1592" t="s">
        <v>23</v>
      </c>
      <c r="H1592" t="s">
        <v>81</v>
      </c>
      <c r="I1592" t="s">
        <v>9</v>
      </c>
      <c r="L1592" t="s">
        <v>161</v>
      </c>
      <c r="M1592">
        <v>-55000000</v>
      </c>
    </row>
    <row r="1593" spans="1:13" x14ac:dyDescent="0.3">
      <c r="A1593" s="23">
        <v>45572</v>
      </c>
      <c r="B1593" t="s">
        <v>12</v>
      </c>
      <c r="C1593" t="s">
        <v>132</v>
      </c>
      <c r="D1593" t="s">
        <v>17</v>
      </c>
      <c r="E1593" t="s">
        <v>43</v>
      </c>
      <c r="F1593">
        <v>100000000</v>
      </c>
      <c r="G1593" t="s">
        <v>23</v>
      </c>
      <c r="H1593" t="s">
        <v>81</v>
      </c>
      <c r="I1593" t="s">
        <v>9</v>
      </c>
      <c r="L1593" t="s">
        <v>161</v>
      </c>
      <c r="M1593">
        <v>-100000000</v>
      </c>
    </row>
    <row r="1594" spans="1:13" x14ac:dyDescent="0.3">
      <c r="A1594" s="23">
        <v>44915</v>
      </c>
      <c r="B1594" t="s">
        <v>12</v>
      </c>
      <c r="C1594" t="s">
        <v>132</v>
      </c>
      <c r="D1594" t="s">
        <v>16</v>
      </c>
      <c r="E1594" t="s">
        <v>43</v>
      </c>
      <c r="F1594">
        <v>100000000</v>
      </c>
      <c r="G1594" t="s">
        <v>23</v>
      </c>
      <c r="H1594" t="s">
        <v>81</v>
      </c>
      <c r="I1594" t="s">
        <v>9</v>
      </c>
      <c r="L1594" t="s">
        <v>161</v>
      </c>
      <c r="M1594">
        <v>100000000</v>
      </c>
    </row>
    <row r="1595" spans="1:13" x14ac:dyDescent="0.3">
      <c r="A1595" s="23">
        <v>45569</v>
      </c>
      <c r="B1595" t="s">
        <v>12</v>
      </c>
      <c r="C1595" t="s">
        <v>132</v>
      </c>
      <c r="D1595" t="s">
        <v>17</v>
      </c>
      <c r="E1595" t="s">
        <v>43</v>
      </c>
      <c r="F1595">
        <v>200000000</v>
      </c>
      <c r="G1595" t="s">
        <v>23</v>
      </c>
      <c r="H1595" t="s">
        <v>81</v>
      </c>
      <c r="I1595" t="s">
        <v>9</v>
      </c>
      <c r="L1595" t="s">
        <v>161</v>
      </c>
      <c r="M1595">
        <v>-200000000</v>
      </c>
    </row>
    <row r="1596" spans="1:13" x14ac:dyDescent="0.3">
      <c r="A1596" s="23">
        <v>44917</v>
      </c>
      <c r="B1596" t="s">
        <v>12</v>
      </c>
      <c r="C1596" t="s">
        <v>132</v>
      </c>
      <c r="D1596" t="s">
        <v>17</v>
      </c>
      <c r="E1596" t="s">
        <v>43</v>
      </c>
      <c r="F1596">
        <v>25400000</v>
      </c>
      <c r="G1596" t="s">
        <v>23</v>
      </c>
      <c r="H1596" t="s">
        <v>81</v>
      </c>
      <c r="I1596" t="s">
        <v>9</v>
      </c>
      <c r="L1596" t="s">
        <v>161</v>
      </c>
      <c r="M1596">
        <v>-25400000</v>
      </c>
    </row>
    <row r="1597" spans="1:13" x14ac:dyDescent="0.3">
      <c r="A1597" s="23">
        <v>44921</v>
      </c>
      <c r="B1597" t="s">
        <v>12</v>
      </c>
      <c r="C1597" t="s">
        <v>132</v>
      </c>
      <c r="D1597" t="s">
        <v>16</v>
      </c>
      <c r="E1597" t="s">
        <v>43</v>
      </c>
      <c r="F1597">
        <v>1445082.14</v>
      </c>
      <c r="G1597" t="s">
        <v>23</v>
      </c>
      <c r="H1597" t="s">
        <v>81</v>
      </c>
      <c r="I1597" t="s">
        <v>9</v>
      </c>
      <c r="J1597" t="s">
        <v>155</v>
      </c>
      <c r="L1597" t="s">
        <v>161</v>
      </c>
      <c r="M1597">
        <v>1445082.14</v>
      </c>
    </row>
    <row r="1598" spans="1:13" x14ac:dyDescent="0.3">
      <c r="A1598" s="23">
        <v>45568</v>
      </c>
      <c r="B1598" t="s">
        <v>12</v>
      </c>
      <c r="C1598" t="s">
        <v>132</v>
      </c>
      <c r="D1598" t="s">
        <v>17</v>
      </c>
      <c r="E1598" t="s">
        <v>43</v>
      </c>
      <c r="F1598">
        <v>300000000</v>
      </c>
      <c r="G1598" t="s">
        <v>23</v>
      </c>
      <c r="H1598" t="s">
        <v>81</v>
      </c>
      <c r="I1598" t="s">
        <v>9</v>
      </c>
      <c r="L1598" t="s">
        <v>161</v>
      </c>
      <c r="M1598">
        <v>-300000000</v>
      </c>
    </row>
    <row r="1599" spans="1:13" x14ac:dyDescent="0.3">
      <c r="A1599" s="23">
        <v>45567</v>
      </c>
      <c r="B1599" t="s">
        <v>12</v>
      </c>
      <c r="C1599" t="s">
        <v>132</v>
      </c>
      <c r="D1599" t="s">
        <v>16</v>
      </c>
      <c r="E1599" t="s">
        <v>43</v>
      </c>
      <c r="F1599">
        <v>600000000</v>
      </c>
      <c r="G1599" t="s">
        <v>23</v>
      </c>
      <c r="H1599" t="s">
        <v>81</v>
      </c>
      <c r="I1599" t="s">
        <v>9</v>
      </c>
      <c r="L1599" t="s">
        <v>161</v>
      </c>
      <c r="M1599">
        <v>600000000</v>
      </c>
    </row>
    <row r="1600" spans="1:13" x14ac:dyDescent="0.3">
      <c r="A1600" s="23">
        <v>44921</v>
      </c>
      <c r="B1600" t="s">
        <v>12</v>
      </c>
      <c r="C1600" t="s">
        <v>132</v>
      </c>
      <c r="D1600" t="s">
        <v>17</v>
      </c>
      <c r="E1600" t="s">
        <v>43</v>
      </c>
      <c r="F1600">
        <v>67000000</v>
      </c>
      <c r="G1600" t="s">
        <v>23</v>
      </c>
      <c r="H1600" t="s">
        <v>81</v>
      </c>
      <c r="I1600" t="s">
        <v>9</v>
      </c>
      <c r="L1600" t="s">
        <v>161</v>
      </c>
      <c r="M1600">
        <v>-67000000</v>
      </c>
    </row>
    <row r="1601" spans="1:13" x14ac:dyDescent="0.3">
      <c r="A1601" s="23">
        <v>44924</v>
      </c>
      <c r="B1601" t="s">
        <v>12</v>
      </c>
      <c r="C1601" t="s">
        <v>132</v>
      </c>
      <c r="D1601" t="s">
        <v>17</v>
      </c>
      <c r="E1601" t="s">
        <v>43</v>
      </c>
      <c r="F1601">
        <v>28600000</v>
      </c>
      <c r="G1601" t="s">
        <v>23</v>
      </c>
      <c r="H1601" t="s">
        <v>81</v>
      </c>
      <c r="I1601" t="s">
        <v>9</v>
      </c>
      <c r="L1601" t="s">
        <v>161</v>
      </c>
      <c r="M1601">
        <v>-28600000</v>
      </c>
    </row>
    <row r="1602" spans="1:13" x14ac:dyDescent="0.3">
      <c r="A1602" s="23">
        <v>45565</v>
      </c>
      <c r="B1602" t="s">
        <v>12</v>
      </c>
      <c r="C1602" t="s">
        <v>132</v>
      </c>
      <c r="D1602" t="s">
        <v>17</v>
      </c>
      <c r="E1602" t="s">
        <v>43</v>
      </c>
      <c r="F1602">
        <v>300000000</v>
      </c>
      <c r="G1602" t="s">
        <v>23</v>
      </c>
      <c r="H1602" t="s">
        <v>81</v>
      </c>
      <c r="I1602" t="s">
        <v>9</v>
      </c>
      <c r="L1602" t="s">
        <v>161</v>
      </c>
      <c r="M1602">
        <v>-300000000</v>
      </c>
    </row>
    <row r="1603" spans="1:13" x14ac:dyDescent="0.3">
      <c r="A1603" s="23">
        <v>44928</v>
      </c>
      <c r="B1603" t="s">
        <v>12</v>
      </c>
      <c r="C1603" t="s">
        <v>132</v>
      </c>
      <c r="D1603" t="s">
        <v>16</v>
      </c>
      <c r="E1603" t="s">
        <v>43</v>
      </c>
      <c r="F1603">
        <v>46500000</v>
      </c>
      <c r="G1603" t="s">
        <v>23</v>
      </c>
      <c r="H1603" t="s">
        <v>81</v>
      </c>
      <c r="I1603" t="s">
        <v>9</v>
      </c>
      <c r="L1603" t="s">
        <v>161</v>
      </c>
      <c r="M1603">
        <v>46500000</v>
      </c>
    </row>
    <row r="1604" spans="1:13" x14ac:dyDescent="0.3">
      <c r="A1604" s="23">
        <v>45565</v>
      </c>
      <c r="B1604" t="s">
        <v>12</v>
      </c>
      <c r="C1604" t="s">
        <v>132</v>
      </c>
      <c r="D1604" t="s">
        <v>16</v>
      </c>
      <c r="E1604" t="s">
        <v>43</v>
      </c>
      <c r="F1604">
        <v>10900000</v>
      </c>
      <c r="G1604" t="s">
        <v>23</v>
      </c>
      <c r="H1604" t="s">
        <v>81</v>
      </c>
      <c r="I1604" t="s">
        <v>9</v>
      </c>
      <c r="L1604" t="s">
        <v>161</v>
      </c>
      <c r="M1604">
        <v>10900000</v>
      </c>
    </row>
    <row r="1605" spans="1:13" x14ac:dyDescent="0.3">
      <c r="A1605" s="23">
        <v>44929</v>
      </c>
      <c r="B1605" t="s">
        <v>12</v>
      </c>
      <c r="C1605" t="s">
        <v>132</v>
      </c>
      <c r="D1605" t="s">
        <v>17</v>
      </c>
      <c r="E1605" t="s">
        <v>43</v>
      </c>
      <c r="F1605">
        <v>39000000</v>
      </c>
      <c r="G1605" t="s">
        <v>23</v>
      </c>
      <c r="H1605" t="s">
        <v>81</v>
      </c>
      <c r="I1605" t="s">
        <v>9</v>
      </c>
      <c r="L1605" t="s">
        <v>161</v>
      </c>
      <c r="M1605">
        <v>-39000000</v>
      </c>
    </row>
    <row r="1606" spans="1:13" x14ac:dyDescent="0.3">
      <c r="A1606" s="23">
        <v>44930</v>
      </c>
      <c r="B1606" t="s">
        <v>12</v>
      </c>
      <c r="C1606" t="s">
        <v>132</v>
      </c>
      <c r="D1606" t="s">
        <v>16</v>
      </c>
      <c r="E1606" t="s">
        <v>43</v>
      </c>
      <c r="F1606">
        <v>26000000</v>
      </c>
      <c r="G1606" t="s">
        <v>23</v>
      </c>
      <c r="H1606" t="s">
        <v>81</v>
      </c>
      <c r="I1606" t="s">
        <v>9</v>
      </c>
      <c r="L1606" t="s">
        <v>161</v>
      </c>
      <c r="M1606">
        <v>26000000</v>
      </c>
    </row>
    <row r="1607" spans="1:13" x14ac:dyDescent="0.3">
      <c r="A1607" s="23">
        <v>44931</v>
      </c>
      <c r="B1607" t="s">
        <v>12</v>
      </c>
      <c r="C1607" t="s">
        <v>132</v>
      </c>
      <c r="D1607" t="s">
        <v>17</v>
      </c>
      <c r="E1607" t="s">
        <v>43</v>
      </c>
      <c r="F1607">
        <v>29000000</v>
      </c>
      <c r="G1607" t="s">
        <v>23</v>
      </c>
      <c r="H1607" t="s">
        <v>81</v>
      </c>
      <c r="I1607" t="s">
        <v>9</v>
      </c>
      <c r="L1607" t="s">
        <v>161</v>
      </c>
      <c r="M1607">
        <v>-29000000</v>
      </c>
    </row>
    <row r="1608" spans="1:13" x14ac:dyDescent="0.3">
      <c r="A1608" s="23">
        <v>45561</v>
      </c>
      <c r="B1608" t="s">
        <v>12</v>
      </c>
      <c r="C1608" t="s">
        <v>132</v>
      </c>
      <c r="D1608" t="s">
        <v>17</v>
      </c>
      <c r="E1608" t="s">
        <v>43</v>
      </c>
      <c r="F1608">
        <v>200000000</v>
      </c>
      <c r="G1608" t="s">
        <v>23</v>
      </c>
      <c r="H1608" t="s">
        <v>81</v>
      </c>
      <c r="I1608" t="s">
        <v>9</v>
      </c>
      <c r="L1608" t="s">
        <v>161</v>
      </c>
      <c r="M1608">
        <v>-200000000</v>
      </c>
    </row>
    <row r="1609" spans="1:13" x14ac:dyDescent="0.3">
      <c r="A1609" s="23">
        <v>44936</v>
      </c>
      <c r="B1609" t="s">
        <v>12</v>
      </c>
      <c r="C1609" t="s">
        <v>132</v>
      </c>
      <c r="D1609" t="s">
        <v>16</v>
      </c>
      <c r="E1609" t="s">
        <v>43</v>
      </c>
      <c r="F1609">
        <v>6000000</v>
      </c>
      <c r="G1609" t="s">
        <v>23</v>
      </c>
      <c r="H1609" t="s">
        <v>81</v>
      </c>
      <c r="I1609" t="s">
        <v>9</v>
      </c>
      <c r="L1609" t="s">
        <v>161</v>
      </c>
      <c r="M1609">
        <v>6000000</v>
      </c>
    </row>
    <row r="1610" spans="1:13" x14ac:dyDescent="0.3">
      <c r="A1610" s="23">
        <v>45560</v>
      </c>
      <c r="B1610" t="s">
        <v>12</v>
      </c>
      <c r="C1610" t="s">
        <v>132</v>
      </c>
      <c r="D1610" t="s">
        <v>17</v>
      </c>
      <c r="E1610" t="s">
        <v>43</v>
      </c>
      <c r="F1610">
        <v>300000000</v>
      </c>
      <c r="G1610" t="s">
        <v>23</v>
      </c>
      <c r="H1610" t="s">
        <v>81</v>
      </c>
      <c r="I1610" t="s">
        <v>9</v>
      </c>
      <c r="L1610" t="s">
        <v>161</v>
      </c>
      <c r="M1610">
        <v>-300000000</v>
      </c>
    </row>
    <row r="1611" spans="1:13" x14ac:dyDescent="0.3">
      <c r="A1611" s="23">
        <v>44938</v>
      </c>
      <c r="B1611" t="s">
        <v>12</v>
      </c>
      <c r="C1611" t="s">
        <v>132</v>
      </c>
      <c r="D1611" t="s">
        <v>17</v>
      </c>
      <c r="E1611" t="s">
        <v>43</v>
      </c>
      <c r="F1611">
        <v>25045082.140000001</v>
      </c>
      <c r="G1611" t="s">
        <v>23</v>
      </c>
      <c r="H1611" t="s">
        <v>81</v>
      </c>
      <c r="I1611" t="s">
        <v>9</v>
      </c>
      <c r="L1611" t="s">
        <v>161</v>
      </c>
      <c r="M1611">
        <v>-25045082.140000001</v>
      </c>
    </row>
    <row r="1612" spans="1:13" x14ac:dyDescent="0.3">
      <c r="A1612" s="23">
        <v>45555</v>
      </c>
      <c r="B1612" t="s">
        <v>12</v>
      </c>
      <c r="C1612" t="s">
        <v>132</v>
      </c>
      <c r="D1612" t="s">
        <v>17</v>
      </c>
      <c r="E1612" t="s">
        <v>43</v>
      </c>
      <c r="F1612">
        <v>296200000</v>
      </c>
      <c r="G1612" t="s">
        <v>23</v>
      </c>
      <c r="H1612" t="s">
        <v>81</v>
      </c>
      <c r="I1612" t="s">
        <v>9</v>
      </c>
      <c r="L1612" t="s">
        <v>161</v>
      </c>
      <c r="M1612">
        <v>-296200000</v>
      </c>
    </row>
    <row r="1613" spans="1:13" x14ac:dyDescent="0.3">
      <c r="A1613" s="23">
        <v>44939</v>
      </c>
      <c r="B1613" t="s">
        <v>12</v>
      </c>
      <c r="C1613" t="s">
        <v>132</v>
      </c>
      <c r="D1613" t="s">
        <v>16</v>
      </c>
      <c r="E1613" t="s">
        <v>43</v>
      </c>
      <c r="F1613">
        <v>34500000</v>
      </c>
      <c r="G1613" t="s">
        <v>23</v>
      </c>
      <c r="H1613" t="s">
        <v>81</v>
      </c>
      <c r="I1613" t="s">
        <v>9</v>
      </c>
      <c r="L1613" t="s">
        <v>161</v>
      </c>
      <c r="M1613">
        <v>34500000</v>
      </c>
    </row>
    <row r="1614" spans="1:13" x14ac:dyDescent="0.3">
      <c r="A1614" s="23">
        <v>45553</v>
      </c>
      <c r="B1614" t="s">
        <v>12</v>
      </c>
      <c r="C1614" t="s">
        <v>132</v>
      </c>
      <c r="D1614" t="s">
        <v>16</v>
      </c>
      <c r="E1614" t="s">
        <v>43</v>
      </c>
      <c r="F1614">
        <v>1000000000</v>
      </c>
      <c r="G1614" t="s">
        <v>23</v>
      </c>
      <c r="H1614" t="s">
        <v>81</v>
      </c>
      <c r="I1614" t="s">
        <v>9</v>
      </c>
      <c r="L1614" t="s">
        <v>161</v>
      </c>
      <c r="M1614">
        <v>1000000000</v>
      </c>
    </row>
    <row r="1615" spans="1:13" x14ac:dyDescent="0.3">
      <c r="A1615" s="23">
        <v>44942</v>
      </c>
      <c r="B1615" t="s">
        <v>12</v>
      </c>
      <c r="C1615" t="s">
        <v>132</v>
      </c>
      <c r="D1615" t="s">
        <v>17</v>
      </c>
      <c r="E1615" t="s">
        <v>43</v>
      </c>
      <c r="F1615">
        <v>1500000</v>
      </c>
      <c r="G1615" t="s">
        <v>23</v>
      </c>
      <c r="H1615" t="s">
        <v>81</v>
      </c>
      <c r="I1615" t="s">
        <v>9</v>
      </c>
      <c r="L1615" t="s">
        <v>161</v>
      </c>
      <c r="M1615">
        <v>-1500000</v>
      </c>
    </row>
    <row r="1616" spans="1:13" x14ac:dyDescent="0.3">
      <c r="A1616" s="23">
        <v>45552</v>
      </c>
      <c r="B1616" t="s">
        <v>12</v>
      </c>
      <c r="C1616" t="s">
        <v>132</v>
      </c>
      <c r="D1616" t="s">
        <v>17</v>
      </c>
      <c r="E1616" t="s">
        <v>43</v>
      </c>
      <c r="F1616">
        <v>200000000</v>
      </c>
      <c r="G1616" t="s">
        <v>23</v>
      </c>
      <c r="H1616" t="s">
        <v>81</v>
      </c>
      <c r="I1616" t="s">
        <v>9</v>
      </c>
      <c r="L1616" t="s">
        <v>161</v>
      </c>
      <c r="M1616">
        <v>-200000000</v>
      </c>
    </row>
    <row r="1617" spans="1:13" x14ac:dyDescent="0.3">
      <c r="A1617" s="23">
        <v>45547</v>
      </c>
      <c r="B1617" t="s">
        <v>12</v>
      </c>
      <c r="C1617" t="s">
        <v>132</v>
      </c>
      <c r="D1617" t="s">
        <v>16</v>
      </c>
      <c r="E1617" t="s">
        <v>43</v>
      </c>
      <c r="F1617">
        <v>200000000</v>
      </c>
      <c r="G1617" t="s">
        <v>23</v>
      </c>
      <c r="H1617" t="s">
        <v>81</v>
      </c>
      <c r="I1617" t="s">
        <v>9</v>
      </c>
      <c r="L1617" t="s">
        <v>161</v>
      </c>
      <c r="M1617">
        <v>200000000</v>
      </c>
    </row>
    <row r="1618" spans="1:13" x14ac:dyDescent="0.3">
      <c r="A1618" s="23">
        <v>44946</v>
      </c>
      <c r="B1618" t="s">
        <v>12</v>
      </c>
      <c r="C1618" t="s">
        <v>132</v>
      </c>
      <c r="D1618" t="s">
        <v>17</v>
      </c>
      <c r="E1618" t="s">
        <v>43</v>
      </c>
      <c r="F1618">
        <v>28800000</v>
      </c>
      <c r="G1618" t="s">
        <v>23</v>
      </c>
      <c r="H1618" t="s">
        <v>81</v>
      </c>
      <c r="I1618" t="s">
        <v>9</v>
      </c>
      <c r="L1618" t="s">
        <v>161</v>
      </c>
      <c r="M1618">
        <v>-28800000</v>
      </c>
    </row>
    <row r="1619" spans="1:13" x14ac:dyDescent="0.3">
      <c r="A1619" s="23">
        <v>44949</v>
      </c>
      <c r="B1619" t="s">
        <v>12</v>
      </c>
      <c r="C1619" t="s">
        <v>132</v>
      </c>
      <c r="D1619" t="s">
        <v>16</v>
      </c>
      <c r="E1619" t="s">
        <v>43</v>
      </c>
      <c r="F1619">
        <v>25000000</v>
      </c>
      <c r="G1619" t="s">
        <v>23</v>
      </c>
      <c r="H1619" t="s">
        <v>81</v>
      </c>
      <c r="I1619" t="s">
        <v>9</v>
      </c>
      <c r="L1619" t="s">
        <v>161</v>
      </c>
      <c r="M1619">
        <v>25000000</v>
      </c>
    </row>
    <row r="1620" spans="1:13" x14ac:dyDescent="0.3">
      <c r="A1620" s="23">
        <v>44951</v>
      </c>
      <c r="B1620" t="s">
        <v>12</v>
      </c>
      <c r="C1620" t="s">
        <v>132</v>
      </c>
      <c r="D1620" t="s">
        <v>16</v>
      </c>
      <c r="E1620" t="s">
        <v>43</v>
      </c>
      <c r="F1620">
        <v>231000000</v>
      </c>
      <c r="G1620" t="s">
        <v>23</v>
      </c>
      <c r="H1620" t="s">
        <v>81</v>
      </c>
      <c r="I1620" t="s">
        <v>9</v>
      </c>
      <c r="L1620" t="s">
        <v>161</v>
      </c>
      <c r="M1620">
        <v>231000000</v>
      </c>
    </row>
    <row r="1621" spans="1:13" x14ac:dyDescent="0.3">
      <c r="A1621" s="23">
        <v>45544</v>
      </c>
      <c r="B1621" t="s">
        <v>12</v>
      </c>
      <c r="C1621" t="s">
        <v>132</v>
      </c>
      <c r="D1621" t="s">
        <v>17</v>
      </c>
      <c r="E1621" t="s">
        <v>43</v>
      </c>
      <c r="F1621">
        <v>300000000</v>
      </c>
      <c r="G1621" t="s">
        <v>23</v>
      </c>
      <c r="H1621" t="s">
        <v>81</v>
      </c>
      <c r="I1621" t="s">
        <v>9</v>
      </c>
      <c r="L1621" t="s">
        <v>161</v>
      </c>
      <c r="M1621">
        <v>-300000000</v>
      </c>
    </row>
    <row r="1622" spans="1:13" x14ac:dyDescent="0.3">
      <c r="A1622" s="23">
        <v>44952</v>
      </c>
      <c r="B1622" t="s">
        <v>12</v>
      </c>
      <c r="C1622" t="s">
        <v>132</v>
      </c>
      <c r="D1622" t="s">
        <v>17</v>
      </c>
      <c r="E1622" t="s">
        <v>43</v>
      </c>
      <c r="F1622">
        <v>109000000</v>
      </c>
      <c r="G1622" t="s">
        <v>23</v>
      </c>
      <c r="H1622" t="s">
        <v>81</v>
      </c>
      <c r="I1622" t="s">
        <v>9</v>
      </c>
      <c r="L1622" t="s">
        <v>161</v>
      </c>
      <c r="M1622">
        <v>-109000000</v>
      </c>
    </row>
    <row r="1623" spans="1:13" x14ac:dyDescent="0.3">
      <c r="A1623" s="23">
        <v>45541</v>
      </c>
      <c r="B1623" t="s">
        <v>12</v>
      </c>
      <c r="C1623" t="s">
        <v>132</v>
      </c>
      <c r="D1623" t="s">
        <v>17</v>
      </c>
      <c r="E1623" t="s">
        <v>43</v>
      </c>
      <c r="F1623">
        <v>61000000</v>
      </c>
      <c r="G1623" t="s">
        <v>23</v>
      </c>
      <c r="H1623" t="s">
        <v>81</v>
      </c>
      <c r="I1623" t="s">
        <v>9</v>
      </c>
      <c r="L1623" t="s">
        <v>161</v>
      </c>
      <c r="M1623">
        <v>-61000000</v>
      </c>
    </row>
    <row r="1624" spans="1:13" x14ac:dyDescent="0.3">
      <c r="A1624" s="23">
        <v>44953</v>
      </c>
      <c r="B1624" t="s">
        <v>12</v>
      </c>
      <c r="C1624" t="s">
        <v>132</v>
      </c>
      <c r="D1624" t="s">
        <v>17</v>
      </c>
      <c r="E1624" t="s">
        <v>43</v>
      </c>
      <c r="F1624">
        <v>6300000</v>
      </c>
      <c r="G1624" t="s">
        <v>23</v>
      </c>
      <c r="H1624" t="s">
        <v>81</v>
      </c>
      <c r="I1624" t="s">
        <v>9</v>
      </c>
      <c r="L1624" t="s">
        <v>161</v>
      </c>
      <c r="M1624">
        <v>-6300000</v>
      </c>
    </row>
    <row r="1625" spans="1:13" x14ac:dyDescent="0.3">
      <c r="A1625" s="23">
        <v>45540</v>
      </c>
      <c r="B1625" t="s">
        <v>12</v>
      </c>
      <c r="C1625" t="s">
        <v>132</v>
      </c>
      <c r="D1625" t="s">
        <v>17</v>
      </c>
      <c r="E1625" t="s">
        <v>43</v>
      </c>
      <c r="F1625">
        <v>170500000</v>
      </c>
      <c r="G1625" t="s">
        <v>23</v>
      </c>
      <c r="H1625" t="s">
        <v>81</v>
      </c>
      <c r="I1625" t="s">
        <v>9</v>
      </c>
      <c r="L1625" t="s">
        <v>161</v>
      </c>
      <c r="M1625">
        <v>-170500000</v>
      </c>
    </row>
    <row r="1626" spans="1:13" x14ac:dyDescent="0.3">
      <c r="A1626" s="23">
        <v>44957</v>
      </c>
      <c r="B1626" t="s">
        <v>12</v>
      </c>
      <c r="C1626" t="s">
        <v>132</v>
      </c>
      <c r="D1626" t="s">
        <v>17</v>
      </c>
      <c r="E1626" t="s">
        <v>43</v>
      </c>
      <c r="F1626">
        <v>21700000</v>
      </c>
      <c r="G1626" t="s">
        <v>23</v>
      </c>
      <c r="H1626" t="s">
        <v>81</v>
      </c>
      <c r="I1626" t="s">
        <v>9</v>
      </c>
      <c r="L1626" t="s">
        <v>161</v>
      </c>
      <c r="M1626">
        <v>-21700000</v>
      </c>
    </row>
    <row r="1627" spans="1:13" x14ac:dyDescent="0.3">
      <c r="A1627" s="23">
        <v>44960</v>
      </c>
      <c r="B1627" t="s">
        <v>12</v>
      </c>
      <c r="C1627" t="s">
        <v>132</v>
      </c>
      <c r="D1627" t="s">
        <v>17</v>
      </c>
      <c r="E1627" t="s">
        <v>43</v>
      </c>
      <c r="F1627">
        <v>123200000.00000003</v>
      </c>
      <c r="G1627" t="s">
        <v>23</v>
      </c>
      <c r="H1627" t="s">
        <v>81</v>
      </c>
      <c r="I1627" t="s">
        <v>9</v>
      </c>
      <c r="L1627" t="s">
        <v>161</v>
      </c>
      <c r="M1627">
        <v>-123200000</v>
      </c>
    </row>
    <row r="1628" spans="1:13" x14ac:dyDescent="0.3">
      <c r="A1628" s="23">
        <v>45538</v>
      </c>
      <c r="B1628" t="s">
        <v>12</v>
      </c>
      <c r="C1628" t="s">
        <v>132</v>
      </c>
      <c r="D1628" t="s">
        <v>16</v>
      </c>
      <c r="E1628" t="s">
        <v>43</v>
      </c>
      <c r="F1628">
        <v>16855000</v>
      </c>
      <c r="G1628" t="s">
        <v>23</v>
      </c>
      <c r="H1628" t="s">
        <v>81</v>
      </c>
      <c r="I1628" t="s">
        <v>9</v>
      </c>
      <c r="L1628" t="s">
        <v>161</v>
      </c>
      <c r="M1628">
        <v>16855000</v>
      </c>
    </row>
    <row r="1629" spans="1:13" x14ac:dyDescent="0.3">
      <c r="A1629" s="23">
        <v>44964</v>
      </c>
      <c r="B1629" t="s">
        <v>12</v>
      </c>
      <c r="C1629" t="s">
        <v>132</v>
      </c>
      <c r="D1629" t="s">
        <v>16</v>
      </c>
      <c r="E1629" t="s">
        <v>43</v>
      </c>
      <c r="F1629">
        <v>49300000</v>
      </c>
      <c r="G1629" t="s">
        <v>23</v>
      </c>
      <c r="H1629" t="s">
        <v>81</v>
      </c>
      <c r="I1629" t="s">
        <v>9</v>
      </c>
      <c r="L1629" t="s">
        <v>161</v>
      </c>
      <c r="M1629">
        <v>49300000</v>
      </c>
    </row>
    <row r="1630" spans="1:13" x14ac:dyDescent="0.3">
      <c r="A1630" s="23">
        <v>44965</v>
      </c>
      <c r="B1630" t="s">
        <v>12</v>
      </c>
      <c r="C1630" t="s">
        <v>132</v>
      </c>
      <c r="D1630" t="s">
        <v>17</v>
      </c>
      <c r="E1630" t="s">
        <v>43</v>
      </c>
      <c r="F1630">
        <v>24600000</v>
      </c>
      <c r="G1630" t="s">
        <v>23</v>
      </c>
      <c r="H1630" t="s">
        <v>81</v>
      </c>
      <c r="I1630" t="s">
        <v>9</v>
      </c>
      <c r="L1630" t="s">
        <v>161</v>
      </c>
      <c r="M1630">
        <v>-24600000</v>
      </c>
    </row>
    <row r="1631" spans="1:13" x14ac:dyDescent="0.3">
      <c r="A1631" s="23">
        <v>45538</v>
      </c>
      <c r="B1631" t="s">
        <v>12</v>
      </c>
      <c r="C1631" t="s">
        <v>132</v>
      </c>
      <c r="D1631" t="s">
        <v>16</v>
      </c>
      <c r="E1631" t="s">
        <v>43</v>
      </c>
      <c r="F1631">
        <v>700000000</v>
      </c>
      <c r="G1631" t="s">
        <v>23</v>
      </c>
      <c r="H1631" t="s">
        <v>81</v>
      </c>
      <c r="I1631" t="s">
        <v>9</v>
      </c>
      <c r="L1631" t="s">
        <v>161</v>
      </c>
      <c r="M1631">
        <v>700000000</v>
      </c>
    </row>
    <row r="1632" spans="1:13" x14ac:dyDescent="0.3">
      <c r="A1632" s="23">
        <v>44966</v>
      </c>
      <c r="B1632" t="s">
        <v>12</v>
      </c>
      <c r="C1632" t="s">
        <v>132</v>
      </c>
      <c r="D1632" t="s">
        <v>16</v>
      </c>
      <c r="E1632" t="s">
        <v>43</v>
      </c>
      <c r="F1632">
        <v>15500000</v>
      </c>
      <c r="G1632" t="s">
        <v>23</v>
      </c>
      <c r="H1632" t="s">
        <v>81</v>
      </c>
      <c r="I1632" t="s">
        <v>9</v>
      </c>
      <c r="L1632" t="s">
        <v>161</v>
      </c>
      <c r="M1632">
        <v>15500000</v>
      </c>
    </row>
    <row r="1633" spans="1:13" x14ac:dyDescent="0.3">
      <c r="A1633" s="23">
        <v>44967</v>
      </c>
      <c r="B1633" t="s">
        <v>12</v>
      </c>
      <c r="C1633" t="s">
        <v>132</v>
      </c>
      <c r="D1633" t="s">
        <v>17</v>
      </c>
      <c r="E1633" t="s">
        <v>43</v>
      </c>
      <c r="F1633">
        <v>29500000</v>
      </c>
      <c r="G1633" t="s">
        <v>23</v>
      </c>
      <c r="H1633" t="s">
        <v>81</v>
      </c>
      <c r="I1633" t="s">
        <v>9</v>
      </c>
      <c r="L1633" t="s">
        <v>161</v>
      </c>
      <c r="M1633">
        <v>-29500000</v>
      </c>
    </row>
    <row r="1634" spans="1:13" x14ac:dyDescent="0.3">
      <c r="A1634" s="23">
        <v>45537</v>
      </c>
      <c r="B1634" t="s">
        <v>12</v>
      </c>
      <c r="C1634" t="s">
        <v>132</v>
      </c>
      <c r="D1634" t="s">
        <v>17</v>
      </c>
      <c r="E1634" t="s">
        <v>43</v>
      </c>
      <c r="F1634">
        <v>180000000</v>
      </c>
      <c r="G1634" t="s">
        <v>23</v>
      </c>
      <c r="H1634" t="s">
        <v>81</v>
      </c>
      <c r="I1634" t="s">
        <v>9</v>
      </c>
      <c r="L1634" t="s">
        <v>161</v>
      </c>
      <c r="M1634">
        <v>-180000000</v>
      </c>
    </row>
    <row r="1635" spans="1:13" x14ac:dyDescent="0.3">
      <c r="A1635" s="23">
        <v>44970</v>
      </c>
      <c r="B1635" t="s">
        <v>12</v>
      </c>
      <c r="C1635" t="s">
        <v>132</v>
      </c>
      <c r="D1635" t="s">
        <v>17</v>
      </c>
      <c r="E1635" t="s">
        <v>43</v>
      </c>
      <c r="F1635">
        <v>10700000</v>
      </c>
      <c r="G1635" t="s">
        <v>23</v>
      </c>
      <c r="H1635" t="s">
        <v>81</v>
      </c>
      <c r="I1635" t="s">
        <v>9</v>
      </c>
      <c r="L1635" t="s">
        <v>161</v>
      </c>
      <c r="M1635">
        <v>-10700000</v>
      </c>
    </row>
    <row r="1636" spans="1:13" x14ac:dyDescent="0.3">
      <c r="A1636" s="23">
        <v>45534</v>
      </c>
      <c r="B1636" t="s">
        <v>12</v>
      </c>
      <c r="C1636" t="s">
        <v>132</v>
      </c>
      <c r="D1636" t="s">
        <v>17</v>
      </c>
      <c r="E1636" t="s">
        <v>43</v>
      </c>
      <c r="F1636">
        <v>200000000</v>
      </c>
      <c r="G1636" t="s">
        <v>23</v>
      </c>
      <c r="H1636" t="s">
        <v>81</v>
      </c>
      <c r="I1636" t="s">
        <v>9</v>
      </c>
      <c r="L1636" t="s">
        <v>161</v>
      </c>
      <c r="M1636">
        <v>-200000000</v>
      </c>
    </row>
    <row r="1637" spans="1:13" x14ac:dyDescent="0.3">
      <c r="A1637" s="23">
        <v>45533</v>
      </c>
      <c r="B1637" t="s">
        <v>12</v>
      </c>
      <c r="C1637" t="s">
        <v>132</v>
      </c>
      <c r="D1637" t="s">
        <v>17</v>
      </c>
      <c r="E1637" t="s">
        <v>43</v>
      </c>
      <c r="F1637">
        <v>205000000</v>
      </c>
      <c r="G1637" t="s">
        <v>23</v>
      </c>
      <c r="H1637" t="s">
        <v>81</v>
      </c>
      <c r="I1637" t="s">
        <v>9</v>
      </c>
      <c r="L1637" t="s">
        <v>161</v>
      </c>
      <c r="M1637">
        <v>-205000000</v>
      </c>
    </row>
    <row r="1638" spans="1:13" x14ac:dyDescent="0.3">
      <c r="A1638" s="23">
        <v>44971</v>
      </c>
      <c r="B1638" t="s">
        <v>12</v>
      </c>
      <c r="C1638" t="s">
        <v>132</v>
      </c>
      <c r="D1638" t="s">
        <v>16</v>
      </c>
      <c r="E1638" t="s">
        <v>43</v>
      </c>
      <c r="F1638">
        <v>291000000</v>
      </c>
      <c r="G1638" t="s">
        <v>23</v>
      </c>
      <c r="H1638" t="s">
        <v>81</v>
      </c>
      <c r="I1638" t="s">
        <v>9</v>
      </c>
      <c r="L1638" t="s">
        <v>161</v>
      </c>
      <c r="M1638">
        <v>291000000</v>
      </c>
    </row>
    <row r="1639" spans="1:13" x14ac:dyDescent="0.3">
      <c r="A1639" s="23">
        <v>44972</v>
      </c>
      <c r="B1639" t="s">
        <v>12</v>
      </c>
      <c r="C1639" t="s">
        <v>132</v>
      </c>
      <c r="D1639" t="s">
        <v>17</v>
      </c>
      <c r="E1639" t="s">
        <v>43</v>
      </c>
      <c r="F1639">
        <v>55400000</v>
      </c>
      <c r="G1639" t="s">
        <v>23</v>
      </c>
      <c r="H1639" t="s">
        <v>81</v>
      </c>
      <c r="I1639" t="s">
        <v>9</v>
      </c>
      <c r="L1639" t="s">
        <v>161</v>
      </c>
      <c r="M1639">
        <v>-55400000</v>
      </c>
    </row>
    <row r="1640" spans="1:13" x14ac:dyDescent="0.3">
      <c r="A1640" s="23">
        <v>44974</v>
      </c>
      <c r="B1640" t="s">
        <v>12</v>
      </c>
      <c r="C1640" t="s">
        <v>132</v>
      </c>
      <c r="D1640" t="s">
        <v>17</v>
      </c>
      <c r="E1640" t="s">
        <v>43</v>
      </c>
      <c r="F1640">
        <v>196100000</v>
      </c>
      <c r="G1640" t="s">
        <v>23</v>
      </c>
      <c r="H1640" t="s">
        <v>81</v>
      </c>
      <c r="I1640" t="s">
        <v>9</v>
      </c>
      <c r="L1640" t="s">
        <v>161</v>
      </c>
      <c r="M1640">
        <v>-196100000</v>
      </c>
    </row>
    <row r="1641" spans="1:13" x14ac:dyDescent="0.3">
      <c r="A1641" s="23">
        <v>45532</v>
      </c>
      <c r="B1641" t="s">
        <v>12</v>
      </c>
      <c r="C1641" t="s">
        <v>132</v>
      </c>
      <c r="D1641" t="s">
        <v>16</v>
      </c>
      <c r="E1641" t="s">
        <v>43</v>
      </c>
      <c r="F1641">
        <v>600000000</v>
      </c>
      <c r="G1641" t="s">
        <v>23</v>
      </c>
      <c r="H1641" t="s">
        <v>81</v>
      </c>
      <c r="I1641" t="s">
        <v>9</v>
      </c>
      <c r="L1641" t="s">
        <v>161</v>
      </c>
      <c r="M1641">
        <v>600000000</v>
      </c>
    </row>
    <row r="1642" spans="1:13" x14ac:dyDescent="0.3">
      <c r="A1642" s="23">
        <v>44979</v>
      </c>
      <c r="B1642" t="s">
        <v>12</v>
      </c>
      <c r="C1642" t="s">
        <v>132</v>
      </c>
      <c r="D1642" t="s">
        <v>17</v>
      </c>
      <c r="E1642" t="s">
        <v>43</v>
      </c>
      <c r="F1642">
        <v>39500000.00000003</v>
      </c>
      <c r="G1642" t="s">
        <v>23</v>
      </c>
      <c r="H1642" t="s">
        <v>81</v>
      </c>
      <c r="I1642" t="s">
        <v>9</v>
      </c>
      <c r="L1642" t="s">
        <v>161</v>
      </c>
      <c r="M1642">
        <v>-39500000</v>
      </c>
    </row>
    <row r="1643" spans="1:13" x14ac:dyDescent="0.3">
      <c r="A1643" s="23">
        <v>44985</v>
      </c>
      <c r="B1643" t="s">
        <v>12</v>
      </c>
      <c r="C1643" t="s">
        <v>132</v>
      </c>
      <c r="D1643" t="s">
        <v>16</v>
      </c>
      <c r="E1643" t="s">
        <v>43</v>
      </c>
      <c r="F1643">
        <v>150000000</v>
      </c>
      <c r="G1643" t="s">
        <v>23</v>
      </c>
      <c r="H1643" t="s">
        <v>81</v>
      </c>
      <c r="I1643" t="s">
        <v>9</v>
      </c>
      <c r="L1643" t="s">
        <v>161</v>
      </c>
      <c r="M1643">
        <v>150000000</v>
      </c>
    </row>
    <row r="1644" spans="1:13" x14ac:dyDescent="0.3">
      <c r="A1644" s="23">
        <v>45531</v>
      </c>
      <c r="B1644" t="s">
        <v>12</v>
      </c>
      <c r="C1644" t="s">
        <v>132</v>
      </c>
      <c r="D1644" t="s">
        <v>17</v>
      </c>
      <c r="E1644" t="s">
        <v>43</v>
      </c>
      <c r="F1644">
        <v>45000000</v>
      </c>
      <c r="G1644" t="s">
        <v>23</v>
      </c>
      <c r="H1644" t="s">
        <v>81</v>
      </c>
      <c r="I1644" t="s">
        <v>9</v>
      </c>
      <c r="L1644" t="s">
        <v>161</v>
      </c>
      <c r="M1644">
        <v>-45000000</v>
      </c>
    </row>
    <row r="1645" spans="1:13" x14ac:dyDescent="0.3">
      <c r="A1645" s="23">
        <v>45530</v>
      </c>
      <c r="B1645" t="s">
        <v>12</v>
      </c>
      <c r="C1645" t="s">
        <v>132</v>
      </c>
      <c r="D1645" t="s">
        <v>17</v>
      </c>
      <c r="E1645" t="s">
        <v>43</v>
      </c>
      <c r="F1645">
        <v>50000000</v>
      </c>
      <c r="G1645" t="s">
        <v>23</v>
      </c>
      <c r="H1645" t="s">
        <v>81</v>
      </c>
      <c r="I1645" t="s">
        <v>9</v>
      </c>
      <c r="L1645" t="s">
        <v>161</v>
      </c>
      <c r="M1645">
        <v>-50000000</v>
      </c>
    </row>
    <row r="1646" spans="1:13" x14ac:dyDescent="0.3">
      <c r="A1646" s="23">
        <v>44991</v>
      </c>
      <c r="B1646" t="s">
        <v>12</v>
      </c>
      <c r="C1646" t="s">
        <v>132</v>
      </c>
      <c r="D1646" t="s">
        <v>17</v>
      </c>
      <c r="E1646" t="s">
        <v>43</v>
      </c>
      <c r="F1646">
        <v>38300000</v>
      </c>
      <c r="G1646" t="s">
        <v>23</v>
      </c>
      <c r="H1646" t="s">
        <v>81</v>
      </c>
      <c r="I1646" t="s">
        <v>9</v>
      </c>
      <c r="L1646" t="s">
        <v>161</v>
      </c>
      <c r="M1646">
        <v>-38300000</v>
      </c>
    </row>
    <row r="1647" spans="1:13" x14ac:dyDescent="0.3">
      <c r="A1647" s="23">
        <v>44992</v>
      </c>
      <c r="B1647" t="s">
        <v>12</v>
      </c>
      <c r="C1647" t="s">
        <v>132</v>
      </c>
      <c r="D1647" t="s">
        <v>16</v>
      </c>
      <c r="E1647" t="s">
        <v>43</v>
      </c>
      <c r="F1647">
        <v>300000000</v>
      </c>
      <c r="G1647" t="s">
        <v>23</v>
      </c>
      <c r="H1647" t="s">
        <v>81</v>
      </c>
      <c r="I1647" t="s">
        <v>9</v>
      </c>
      <c r="L1647" t="s">
        <v>161</v>
      </c>
      <c r="M1647">
        <v>300000000</v>
      </c>
    </row>
    <row r="1648" spans="1:13" x14ac:dyDescent="0.3">
      <c r="A1648" s="23">
        <v>45527</v>
      </c>
      <c r="B1648" t="s">
        <v>12</v>
      </c>
      <c r="C1648" t="s">
        <v>132</v>
      </c>
      <c r="D1648" t="s">
        <v>17</v>
      </c>
      <c r="E1648" t="s">
        <v>43</v>
      </c>
      <c r="F1648">
        <v>100000000</v>
      </c>
      <c r="G1648" t="s">
        <v>23</v>
      </c>
      <c r="H1648" t="s">
        <v>81</v>
      </c>
      <c r="I1648" t="s">
        <v>9</v>
      </c>
      <c r="L1648" t="s">
        <v>161</v>
      </c>
      <c r="M1648">
        <v>-100000000</v>
      </c>
    </row>
    <row r="1649" spans="1:13" x14ac:dyDescent="0.3">
      <c r="A1649" s="23">
        <v>44995</v>
      </c>
      <c r="B1649" t="s">
        <v>12</v>
      </c>
      <c r="C1649" t="s">
        <v>132</v>
      </c>
      <c r="D1649" t="s">
        <v>17</v>
      </c>
      <c r="E1649" t="s">
        <v>43</v>
      </c>
      <c r="F1649">
        <v>99900000</v>
      </c>
      <c r="G1649" t="s">
        <v>23</v>
      </c>
      <c r="H1649" t="s">
        <v>81</v>
      </c>
      <c r="I1649" t="s">
        <v>9</v>
      </c>
      <c r="L1649" t="s">
        <v>161</v>
      </c>
      <c r="M1649">
        <v>-99900000</v>
      </c>
    </row>
    <row r="1650" spans="1:13" x14ac:dyDescent="0.3">
      <c r="A1650" s="23">
        <v>44995</v>
      </c>
      <c r="B1650" t="s">
        <v>12</v>
      </c>
      <c r="C1650" t="s">
        <v>132</v>
      </c>
      <c r="D1650" t="s">
        <v>16</v>
      </c>
      <c r="E1650" t="s">
        <v>43</v>
      </c>
      <c r="F1650">
        <v>3796522.9599999785</v>
      </c>
      <c r="G1650" t="s">
        <v>23</v>
      </c>
      <c r="H1650" t="s">
        <v>81</v>
      </c>
      <c r="I1650" t="s">
        <v>9</v>
      </c>
      <c r="L1650" t="s">
        <v>161</v>
      </c>
      <c r="M1650">
        <v>3796522.96</v>
      </c>
    </row>
    <row r="1651" spans="1:13" x14ac:dyDescent="0.3">
      <c r="A1651" s="23">
        <v>44995</v>
      </c>
      <c r="B1651" t="s">
        <v>12</v>
      </c>
      <c r="C1651" t="s">
        <v>132</v>
      </c>
      <c r="D1651" t="s">
        <v>17</v>
      </c>
      <c r="E1651" t="s">
        <v>43</v>
      </c>
      <c r="F1651">
        <v>315500000</v>
      </c>
      <c r="G1651" t="s">
        <v>23</v>
      </c>
      <c r="H1651" t="s">
        <v>81</v>
      </c>
      <c r="I1651" t="s">
        <v>9</v>
      </c>
      <c r="L1651" t="s">
        <v>161</v>
      </c>
      <c r="M1651">
        <v>-315500000</v>
      </c>
    </row>
    <row r="1652" spans="1:13" x14ac:dyDescent="0.3">
      <c r="A1652" s="23">
        <v>45524</v>
      </c>
      <c r="B1652" t="s">
        <v>12</v>
      </c>
      <c r="C1652" t="s">
        <v>132</v>
      </c>
      <c r="D1652" t="s">
        <v>17</v>
      </c>
      <c r="E1652" t="s">
        <v>43</v>
      </c>
      <c r="F1652">
        <v>240000000</v>
      </c>
      <c r="G1652" t="s">
        <v>23</v>
      </c>
      <c r="H1652" t="s">
        <v>81</v>
      </c>
      <c r="I1652" t="s">
        <v>9</v>
      </c>
      <c r="L1652" t="s">
        <v>161</v>
      </c>
      <c r="M1652">
        <v>-240000000</v>
      </c>
    </row>
    <row r="1653" spans="1:13" x14ac:dyDescent="0.3">
      <c r="A1653" s="23">
        <v>44999</v>
      </c>
      <c r="B1653" t="s">
        <v>12</v>
      </c>
      <c r="C1653" t="s">
        <v>132</v>
      </c>
      <c r="D1653" t="s">
        <v>16</v>
      </c>
      <c r="E1653" t="s">
        <v>43</v>
      </c>
      <c r="F1653">
        <v>61000000</v>
      </c>
      <c r="G1653" t="s">
        <v>23</v>
      </c>
      <c r="H1653" t="s">
        <v>81</v>
      </c>
      <c r="I1653" t="s">
        <v>9</v>
      </c>
      <c r="L1653" t="s">
        <v>161</v>
      </c>
      <c r="M1653">
        <v>61000000</v>
      </c>
    </row>
    <row r="1654" spans="1:13" x14ac:dyDescent="0.3">
      <c r="A1654" s="23">
        <v>45523</v>
      </c>
      <c r="B1654" t="s">
        <v>12</v>
      </c>
      <c r="C1654" t="s">
        <v>132</v>
      </c>
      <c r="D1654" t="s">
        <v>17</v>
      </c>
      <c r="E1654" t="s">
        <v>43</v>
      </c>
      <c r="F1654">
        <v>197500000</v>
      </c>
      <c r="G1654" t="s">
        <v>23</v>
      </c>
      <c r="H1654" t="s">
        <v>81</v>
      </c>
      <c r="I1654" t="s">
        <v>9</v>
      </c>
      <c r="L1654" t="s">
        <v>161</v>
      </c>
      <c r="M1654">
        <v>-197500000</v>
      </c>
    </row>
    <row r="1655" spans="1:13" x14ac:dyDescent="0.3">
      <c r="A1655" s="23">
        <v>45001</v>
      </c>
      <c r="B1655" t="s">
        <v>12</v>
      </c>
      <c r="C1655" t="s">
        <v>132</v>
      </c>
      <c r="D1655" t="s">
        <v>16</v>
      </c>
      <c r="E1655" t="s">
        <v>43</v>
      </c>
      <c r="F1655">
        <v>174200000</v>
      </c>
      <c r="G1655" t="s">
        <v>23</v>
      </c>
      <c r="H1655" t="s">
        <v>81</v>
      </c>
      <c r="I1655" t="s">
        <v>9</v>
      </c>
      <c r="L1655" t="s">
        <v>161</v>
      </c>
      <c r="M1655">
        <v>174200000</v>
      </c>
    </row>
    <row r="1656" spans="1:13" x14ac:dyDescent="0.3">
      <c r="A1656" s="23">
        <v>45518</v>
      </c>
      <c r="B1656" t="s">
        <v>12</v>
      </c>
      <c r="C1656" t="s">
        <v>132</v>
      </c>
      <c r="D1656" t="s">
        <v>17</v>
      </c>
      <c r="E1656" t="s">
        <v>43</v>
      </c>
      <c r="F1656">
        <v>81600000</v>
      </c>
      <c r="G1656" t="s">
        <v>23</v>
      </c>
      <c r="H1656" t="s">
        <v>81</v>
      </c>
      <c r="I1656" t="s">
        <v>9</v>
      </c>
      <c r="L1656" t="s">
        <v>161</v>
      </c>
      <c r="M1656">
        <v>-81600000</v>
      </c>
    </row>
    <row r="1657" spans="1:13" x14ac:dyDescent="0.3">
      <c r="A1657" s="23">
        <v>45002</v>
      </c>
      <c r="B1657" t="s">
        <v>12</v>
      </c>
      <c r="C1657" t="s">
        <v>132</v>
      </c>
      <c r="D1657" t="s">
        <v>16</v>
      </c>
      <c r="E1657" t="s">
        <v>43</v>
      </c>
      <c r="F1657">
        <v>33900000</v>
      </c>
      <c r="G1657" t="s">
        <v>23</v>
      </c>
      <c r="H1657" t="s">
        <v>81</v>
      </c>
      <c r="I1657" t="s">
        <v>9</v>
      </c>
      <c r="L1657" t="s">
        <v>161</v>
      </c>
      <c r="M1657">
        <v>33900000</v>
      </c>
    </row>
    <row r="1658" spans="1:13" x14ac:dyDescent="0.3">
      <c r="A1658" s="23">
        <v>45005</v>
      </c>
      <c r="B1658" t="s">
        <v>12</v>
      </c>
      <c r="C1658" t="s">
        <v>132</v>
      </c>
      <c r="D1658" t="s">
        <v>17</v>
      </c>
      <c r="E1658" t="s">
        <v>43</v>
      </c>
      <c r="F1658">
        <v>58900000</v>
      </c>
      <c r="G1658" t="s">
        <v>23</v>
      </c>
      <c r="H1658" t="s">
        <v>81</v>
      </c>
      <c r="I1658" t="s">
        <v>9</v>
      </c>
      <c r="L1658" t="s">
        <v>161</v>
      </c>
      <c r="M1658">
        <v>-58900000</v>
      </c>
    </row>
    <row r="1659" spans="1:13" x14ac:dyDescent="0.3">
      <c r="A1659" s="23">
        <v>45517</v>
      </c>
      <c r="B1659" t="s">
        <v>12</v>
      </c>
      <c r="C1659" t="s">
        <v>132</v>
      </c>
      <c r="D1659" t="s">
        <v>16</v>
      </c>
      <c r="E1659" t="s">
        <v>43</v>
      </c>
      <c r="F1659">
        <v>600000000</v>
      </c>
      <c r="G1659" t="s">
        <v>23</v>
      </c>
      <c r="H1659" t="s">
        <v>81</v>
      </c>
      <c r="I1659" t="s">
        <v>9</v>
      </c>
      <c r="L1659" t="s">
        <v>161</v>
      </c>
      <c r="M1659">
        <v>600000000</v>
      </c>
    </row>
    <row r="1660" spans="1:13" x14ac:dyDescent="0.3">
      <c r="A1660" s="23">
        <v>45513</v>
      </c>
      <c r="B1660" t="s">
        <v>12</v>
      </c>
      <c r="C1660" t="s">
        <v>132</v>
      </c>
      <c r="D1660" t="s">
        <v>17</v>
      </c>
      <c r="E1660" t="s">
        <v>43</v>
      </c>
      <c r="F1660">
        <v>401100000</v>
      </c>
      <c r="G1660" t="s">
        <v>23</v>
      </c>
      <c r="H1660" t="s">
        <v>81</v>
      </c>
      <c r="I1660" t="s">
        <v>9</v>
      </c>
      <c r="L1660" t="s">
        <v>161</v>
      </c>
      <c r="M1660">
        <v>-401100000</v>
      </c>
    </row>
    <row r="1661" spans="1:13" x14ac:dyDescent="0.3">
      <c r="A1661" s="23">
        <v>45512</v>
      </c>
      <c r="B1661" t="s">
        <v>12</v>
      </c>
      <c r="C1661" t="s">
        <v>132</v>
      </c>
      <c r="D1661" t="s">
        <v>17</v>
      </c>
      <c r="E1661" t="s">
        <v>43</v>
      </c>
      <c r="F1661">
        <v>89100000</v>
      </c>
      <c r="G1661" t="s">
        <v>23</v>
      </c>
      <c r="H1661" t="s">
        <v>81</v>
      </c>
      <c r="I1661" t="s">
        <v>9</v>
      </c>
      <c r="L1661" t="s">
        <v>161</v>
      </c>
      <c r="M1661">
        <v>-89100000</v>
      </c>
    </row>
    <row r="1662" spans="1:13" x14ac:dyDescent="0.3">
      <c r="A1662" s="23">
        <v>45511</v>
      </c>
      <c r="B1662" t="s">
        <v>12</v>
      </c>
      <c r="C1662" t="s">
        <v>132</v>
      </c>
      <c r="D1662" t="s">
        <v>17</v>
      </c>
      <c r="E1662" t="s">
        <v>43</v>
      </c>
      <c r="F1662">
        <v>117800000</v>
      </c>
      <c r="G1662" t="s">
        <v>23</v>
      </c>
      <c r="H1662" t="s">
        <v>81</v>
      </c>
      <c r="I1662" t="s">
        <v>9</v>
      </c>
      <c r="L1662" t="s">
        <v>161</v>
      </c>
      <c r="M1662">
        <v>-117800000</v>
      </c>
    </row>
    <row r="1663" spans="1:13" x14ac:dyDescent="0.3">
      <c r="A1663" s="23">
        <v>45510</v>
      </c>
      <c r="B1663" t="s">
        <v>12</v>
      </c>
      <c r="C1663" t="s">
        <v>132</v>
      </c>
      <c r="D1663" t="s">
        <v>17</v>
      </c>
      <c r="E1663" t="s">
        <v>43</v>
      </c>
      <c r="F1663">
        <v>79200000</v>
      </c>
      <c r="G1663" t="s">
        <v>23</v>
      </c>
      <c r="H1663" t="s">
        <v>81</v>
      </c>
      <c r="I1663" t="s">
        <v>9</v>
      </c>
      <c r="L1663" t="s">
        <v>161</v>
      </c>
      <c r="M1663">
        <v>-79200000</v>
      </c>
    </row>
    <row r="1664" spans="1:13" x14ac:dyDescent="0.3">
      <c r="A1664" s="23">
        <v>45013</v>
      </c>
      <c r="B1664" t="s">
        <v>12</v>
      </c>
      <c r="C1664" t="s">
        <v>132</v>
      </c>
      <c r="D1664" t="s">
        <v>16</v>
      </c>
      <c r="E1664" t="s">
        <v>43</v>
      </c>
      <c r="F1664">
        <v>41700000</v>
      </c>
      <c r="G1664" t="s">
        <v>23</v>
      </c>
      <c r="H1664" t="s">
        <v>81</v>
      </c>
      <c r="I1664" t="s">
        <v>9</v>
      </c>
      <c r="L1664" t="s">
        <v>161</v>
      </c>
      <c r="M1664">
        <v>41700000</v>
      </c>
    </row>
    <row r="1665" spans="1:13" x14ac:dyDescent="0.3">
      <c r="A1665" s="23">
        <v>45504</v>
      </c>
      <c r="B1665" t="s">
        <v>12</v>
      </c>
      <c r="C1665" t="s">
        <v>132</v>
      </c>
      <c r="D1665" t="s">
        <v>16</v>
      </c>
      <c r="E1665" t="s">
        <v>43</v>
      </c>
      <c r="F1665">
        <v>70193000</v>
      </c>
      <c r="G1665" t="s">
        <v>23</v>
      </c>
      <c r="H1665" t="s">
        <v>81</v>
      </c>
      <c r="I1665" t="s">
        <v>9</v>
      </c>
      <c r="L1665" t="s">
        <v>161</v>
      </c>
      <c r="M1665">
        <v>70193000</v>
      </c>
    </row>
    <row r="1666" spans="1:13" x14ac:dyDescent="0.3">
      <c r="A1666" s="23">
        <v>45019</v>
      </c>
      <c r="B1666" t="s">
        <v>12</v>
      </c>
      <c r="C1666" t="s">
        <v>132</v>
      </c>
      <c r="D1666" t="s">
        <v>17</v>
      </c>
      <c r="E1666" t="s">
        <v>43</v>
      </c>
      <c r="F1666">
        <v>100000000</v>
      </c>
      <c r="G1666" t="s">
        <v>23</v>
      </c>
      <c r="H1666" t="s">
        <v>81</v>
      </c>
      <c r="I1666" t="s">
        <v>9</v>
      </c>
      <c r="L1666" t="s">
        <v>161</v>
      </c>
      <c r="M1666">
        <v>-100000000</v>
      </c>
    </row>
    <row r="1667" spans="1:13" x14ac:dyDescent="0.3">
      <c r="A1667" s="23">
        <v>45503</v>
      </c>
      <c r="B1667" t="s">
        <v>12</v>
      </c>
      <c r="C1667" t="s">
        <v>132</v>
      </c>
      <c r="D1667" t="s">
        <v>16</v>
      </c>
      <c r="E1667" t="s">
        <v>43</v>
      </c>
      <c r="F1667">
        <v>668500000</v>
      </c>
      <c r="G1667" t="s">
        <v>23</v>
      </c>
      <c r="H1667" t="s">
        <v>81</v>
      </c>
      <c r="I1667" t="s">
        <v>9</v>
      </c>
      <c r="L1667" t="s">
        <v>161</v>
      </c>
      <c r="M1667">
        <v>668500000</v>
      </c>
    </row>
    <row r="1668" spans="1:13" x14ac:dyDescent="0.3">
      <c r="A1668" s="23">
        <v>45020</v>
      </c>
      <c r="B1668" t="s">
        <v>12</v>
      </c>
      <c r="C1668" t="s">
        <v>132</v>
      </c>
      <c r="D1668" t="s">
        <v>17</v>
      </c>
      <c r="E1668" t="s">
        <v>43</v>
      </c>
      <c r="F1668">
        <v>100000000</v>
      </c>
      <c r="G1668" t="s">
        <v>23</v>
      </c>
      <c r="H1668" t="s">
        <v>81</v>
      </c>
      <c r="I1668" t="s">
        <v>9</v>
      </c>
      <c r="L1668" t="s">
        <v>161</v>
      </c>
      <c r="M1668">
        <v>-100000000</v>
      </c>
    </row>
    <row r="1669" spans="1:13" x14ac:dyDescent="0.3">
      <c r="A1669" s="23">
        <v>45499</v>
      </c>
      <c r="B1669" t="s">
        <v>12</v>
      </c>
      <c r="C1669" t="s">
        <v>132</v>
      </c>
      <c r="D1669" t="s">
        <v>17</v>
      </c>
      <c r="E1669" t="s">
        <v>43</v>
      </c>
      <c r="F1669">
        <v>154500000</v>
      </c>
      <c r="G1669" t="s">
        <v>23</v>
      </c>
      <c r="H1669" t="s">
        <v>81</v>
      </c>
      <c r="I1669" t="s">
        <v>9</v>
      </c>
      <c r="L1669" t="s">
        <v>161</v>
      </c>
      <c r="M1669">
        <v>-154500000</v>
      </c>
    </row>
    <row r="1670" spans="1:13" x14ac:dyDescent="0.3">
      <c r="A1670" s="23">
        <v>45498</v>
      </c>
      <c r="B1670" t="s">
        <v>12</v>
      </c>
      <c r="C1670" t="s">
        <v>132</v>
      </c>
      <c r="D1670" t="s">
        <v>17</v>
      </c>
      <c r="E1670" t="s">
        <v>43</v>
      </c>
      <c r="F1670">
        <v>409300000</v>
      </c>
      <c r="G1670" t="s">
        <v>23</v>
      </c>
      <c r="H1670" t="s">
        <v>81</v>
      </c>
      <c r="I1670" t="s">
        <v>9</v>
      </c>
      <c r="L1670" t="s">
        <v>161</v>
      </c>
      <c r="M1670">
        <v>-409300000</v>
      </c>
    </row>
    <row r="1671" spans="1:13" x14ac:dyDescent="0.3">
      <c r="A1671" s="23">
        <v>45496</v>
      </c>
      <c r="B1671" t="s">
        <v>12</v>
      </c>
      <c r="C1671" t="s">
        <v>132</v>
      </c>
      <c r="D1671" t="s">
        <v>17</v>
      </c>
      <c r="E1671" t="s">
        <v>43</v>
      </c>
      <c r="F1671">
        <v>110400000</v>
      </c>
      <c r="G1671" t="s">
        <v>23</v>
      </c>
      <c r="H1671" t="s">
        <v>81</v>
      </c>
      <c r="I1671" t="s">
        <v>9</v>
      </c>
      <c r="L1671" t="s">
        <v>161</v>
      </c>
      <c r="M1671">
        <v>-110400000</v>
      </c>
    </row>
    <row r="1672" spans="1:13" x14ac:dyDescent="0.3">
      <c r="A1672" s="23">
        <v>45028</v>
      </c>
      <c r="B1672" t="s">
        <v>12</v>
      </c>
      <c r="C1672" t="s">
        <v>132</v>
      </c>
      <c r="D1672" t="s">
        <v>16</v>
      </c>
      <c r="E1672" t="s">
        <v>43</v>
      </c>
      <c r="F1672">
        <v>657400000</v>
      </c>
      <c r="G1672" t="s">
        <v>23</v>
      </c>
      <c r="H1672" t="s">
        <v>81</v>
      </c>
      <c r="I1672" t="s">
        <v>9</v>
      </c>
      <c r="L1672" t="s">
        <v>161</v>
      </c>
      <c r="M1672">
        <v>657400000</v>
      </c>
    </row>
    <row r="1673" spans="1:13" x14ac:dyDescent="0.3">
      <c r="A1673" s="23">
        <v>45495</v>
      </c>
      <c r="B1673" t="s">
        <v>12</v>
      </c>
      <c r="C1673" t="s">
        <v>132</v>
      </c>
      <c r="D1673" t="s">
        <v>17</v>
      </c>
      <c r="E1673" t="s">
        <v>43</v>
      </c>
      <c r="F1673">
        <v>757500000</v>
      </c>
      <c r="G1673" t="s">
        <v>23</v>
      </c>
      <c r="H1673" t="s">
        <v>81</v>
      </c>
      <c r="I1673" t="s">
        <v>9</v>
      </c>
      <c r="L1673" t="s">
        <v>161</v>
      </c>
      <c r="M1673">
        <v>-757500000</v>
      </c>
    </row>
    <row r="1674" spans="1:13" x14ac:dyDescent="0.3">
      <c r="A1674" s="23">
        <v>45029</v>
      </c>
      <c r="B1674" t="s">
        <v>12</v>
      </c>
      <c r="C1674" t="s">
        <v>132</v>
      </c>
      <c r="D1674" t="s">
        <v>17</v>
      </c>
      <c r="E1674" t="s">
        <v>43</v>
      </c>
      <c r="F1674">
        <v>667600000</v>
      </c>
      <c r="G1674" t="s">
        <v>23</v>
      </c>
      <c r="H1674" t="s">
        <v>81</v>
      </c>
      <c r="I1674" t="s">
        <v>9</v>
      </c>
      <c r="L1674" t="s">
        <v>161</v>
      </c>
      <c r="M1674">
        <v>-667600000</v>
      </c>
    </row>
    <row r="1675" spans="1:13" x14ac:dyDescent="0.3">
      <c r="A1675" s="23">
        <v>45492</v>
      </c>
      <c r="B1675" t="s">
        <v>12</v>
      </c>
      <c r="C1675" t="s">
        <v>132</v>
      </c>
      <c r="D1675" t="s">
        <v>17</v>
      </c>
      <c r="E1675" t="s">
        <v>43</v>
      </c>
      <c r="F1675">
        <v>390200000</v>
      </c>
      <c r="G1675" t="s">
        <v>23</v>
      </c>
      <c r="H1675" t="s">
        <v>81</v>
      </c>
      <c r="I1675" t="s">
        <v>9</v>
      </c>
      <c r="L1675" t="s">
        <v>161</v>
      </c>
      <c r="M1675">
        <v>-390200000</v>
      </c>
    </row>
    <row r="1676" spans="1:13" x14ac:dyDescent="0.3">
      <c r="A1676" s="23">
        <v>45029</v>
      </c>
      <c r="B1676" t="s">
        <v>12</v>
      </c>
      <c r="C1676" t="s">
        <v>132</v>
      </c>
      <c r="D1676" t="s">
        <v>17</v>
      </c>
      <c r="E1676" t="s">
        <v>43</v>
      </c>
      <c r="F1676">
        <v>41796522.960000038</v>
      </c>
      <c r="G1676" t="s">
        <v>23</v>
      </c>
      <c r="H1676" t="s">
        <v>81</v>
      </c>
      <c r="I1676" t="s">
        <v>9</v>
      </c>
      <c r="L1676" t="s">
        <v>161</v>
      </c>
      <c r="M1676">
        <v>-41796522.960000001</v>
      </c>
    </row>
    <row r="1677" spans="1:13" x14ac:dyDescent="0.3">
      <c r="A1677" s="23">
        <v>45491</v>
      </c>
      <c r="B1677" t="s">
        <v>12</v>
      </c>
      <c r="C1677" t="s">
        <v>132</v>
      </c>
      <c r="D1677" t="s">
        <v>17</v>
      </c>
      <c r="E1677" t="s">
        <v>43</v>
      </c>
      <c r="F1677">
        <v>679900000</v>
      </c>
      <c r="G1677" t="s">
        <v>23</v>
      </c>
      <c r="H1677" t="s">
        <v>81</v>
      </c>
      <c r="I1677" t="s">
        <v>9</v>
      </c>
      <c r="L1677" t="s">
        <v>161</v>
      </c>
      <c r="M1677">
        <v>-679900000</v>
      </c>
    </row>
    <row r="1678" spans="1:13" x14ac:dyDescent="0.3">
      <c r="A1678" s="23">
        <v>45030</v>
      </c>
      <c r="B1678" t="s">
        <v>12</v>
      </c>
      <c r="C1678" t="s">
        <v>132</v>
      </c>
      <c r="D1678" t="s">
        <v>16</v>
      </c>
      <c r="E1678" t="s">
        <v>43</v>
      </c>
      <c r="F1678">
        <v>452000000</v>
      </c>
      <c r="G1678" t="s">
        <v>23</v>
      </c>
      <c r="H1678" t="s">
        <v>81</v>
      </c>
      <c r="I1678" t="s">
        <v>9</v>
      </c>
      <c r="L1678" t="s">
        <v>161</v>
      </c>
      <c r="M1678">
        <v>452000000</v>
      </c>
    </row>
    <row r="1679" spans="1:13" x14ac:dyDescent="0.3">
      <c r="A1679" s="23">
        <v>45033</v>
      </c>
      <c r="B1679" t="s">
        <v>12</v>
      </c>
      <c r="C1679" t="s">
        <v>132</v>
      </c>
      <c r="D1679" t="s">
        <v>17</v>
      </c>
      <c r="E1679" t="s">
        <v>43</v>
      </c>
      <c r="F1679">
        <v>36500000</v>
      </c>
      <c r="G1679" t="s">
        <v>23</v>
      </c>
      <c r="H1679" t="s">
        <v>81</v>
      </c>
      <c r="I1679" t="s">
        <v>9</v>
      </c>
      <c r="L1679" t="s">
        <v>161</v>
      </c>
      <c r="M1679">
        <v>-36500000</v>
      </c>
    </row>
    <row r="1680" spans="1:13" x14ac:dyDescent="0.3">
      <c r="A1680" s="23">
        <v>45490</v>
      </c>
      <c r="B1680" t="s">
        <v>12</v>
      </c>
      <c r="C1680" t="s">
        <v>132</v>
      </c>
      <c r="D1680" t="s">
        <v>16</v>
      </c>
      <c r="E1680" t="s">
        <v>43</v>
      </c>
      <c r="F1680">
        <v>2213400000</v>
      </c>
      <c r="G1680" t="s">
        <v>23</v>
      </c>
      <c r="H1680" t="s">
        <v>81</v>
      </c>
      <c r="I1680" t="s">
        <v>9</v>
      </c>
      <c r="L1680" t="s">
        <v>161</v>
      </c>
      <c r="M1680">
        <v>2213400000</v>
      </c>
    </row>
    <row r="1681" spans="1:13" x14ac:dyDescent="0.3">
      <c r="A1681" s="23">
        <v>45034</v>
      </c>
      <c r="B1681" t="s">
        <v>12</v>
      </c>
      <c r="C1681" t="s">
        <v>132</v>
      </c>
      <c r="D1681" t="s">
        <v>17</v>
      </c>
      <c r="E1681" t="s">
        <v>43</v>
      </c>
      <c r="F1681">
        <v>23000000</v>
      </c>
      <c r="G1681" t="s">
        <v>23</v>
      </c>
      <c r="H1681" t="s">
        <v>81</v>
      </c>
      <c r="I1681" t="s">
        <v>9</v>
      </c>
      <c r="L1681" t="s">
        <v>161</v>
      </c>
      <c r="M1681">
        <v>-23000000</v>
      </c>
    </row>
    <row r="1682" spans="1:13" x14ac:dyDescent="0.3">
      <c r="A1682" s="23">
        <v>45035</v>
      </c>
      <c r="B1682" t="s">
        <v>12</v>
      </c>
      <c r="C1682" t="s">
        <v>132</v>
      </c>
      <c r="D1682" t="s">
        <v>17</v>
      </c>
      <c r="E1682" t="s">
        <v>43</v>
      </c>
      <c r="F1682">
        <v>16600000</v>
      </c>
      <c r="G1682" t="s">
        <v>23</v>
      </c>
      <c r="H1682" t="s">
        <v>81</v>
      </c>
      <c r="I1682" t="s">
        <v>9</v>
      </c>
      <c r="L1682" t="s">
        <v>161</v>
      </c>
      <c r="M1682">
        <v>-16600000</v>
      </c>
    </row>
    <row r="1683" spans="1:13" x14ac:dyDescent="0.3">
      <c r="A1683" s="23">
        <v>45037</v>
      </c>
      <c r="B1683" t="s">
        <v>12</v>
      </c>
      <c r="C1683" t="s">
        <v>132</v>
      </c>
      <c r="D1683" t="s">
        <v>17</v>
      </c>
      <c r="E1683" t="s">
        <v>43</v>
      </c>
      <c r="F1683">
        <v>68700000</v>
      </c>
      <c r="G1683" t="s">
        <v>23</v>
      </c>
      <c r="H1683" t="s">
        <v>81</v>
      </c>
      <c r="I1683" t="s">
        <v>9</v>
      </c>
      <c r="L1683" t="s">
        <v>161</v>
      </c>
      <c r="M1683">
        <v>-68700000</v>
      </c>
    </row>
    <row r="1684" spans="1:13" x14ac:dyDescent="0.3">
      <c r="A1684" s="23">
        <v>45485</v>
      </c>
      <c r="B1684" t="s">
        <v>12</v>
      </c>
      <c r="C1684" t="s">
        <v>132</v>
      </c>
      <c r="D1684" t="s">
        <v>17</v>
      </c>
      <c r="E1684" t="s">
        <v>43</v>
      </c>
      <c r="F1684">
        <v>200000000</v>
      </c>
      <c r="G1684" t="s">
        <v>23</v>
      </c>
      <c r="H1684" t="s">
        <v>81</v>
      </c>
      <c r="I1684" t="s">
        <v>9</v>
      </c>
      <c r="L1684" t="s">
        <v>161</v>
      </c>
      <c r="M1684">
        <v>-200000000</v>
      </c>
    </row>
    <row r="1685" spans="1:13" x14ac:dyDescent="0.3">
      <c r="A1685" s="23">
        <v>45484</v>
      </c>
      <c r="B1685" t="s">
        <v>12</v>
      </c>
      <c r="C1685" t="s">
        <v>132</v>
      </c>
      <c r="D1685" t="s">
        <v>17</v>
      </c>
      <c r="E1685" t="s">
        <v>43</v>
      </c>
      <c r="F1685">
        <v>130100000</v>
      </c>
      <c r="G1685" t="s">
        <v>23</v>
      </c>
      <c r="H1685" t="s">
        <v>81</v>
      </c>
      <c r="I1685" t="s">
        <v>9</v>
      </c>
      <c r="L1685" t="s">
        <v>161</v>
      </c>
      <c r="M1685">
        <v>-130100000</v>
      </c>
    </row>
    <row r="1686" spans="1:13" x14ac:dyDescent="0.3">
      <c r="A1686" s="23">
        <v>45481</v>
      </c>
      <c r="B1686" t="s">
        <v>12</v>
      </c>
      <c r="C1686" t="s">
        <v>132</v>
      </c>
      <c r="D1686" t="s">
        <v>17</v>
      </c>
      <c r="E1686" t="s">
        <v>43</v>
      </c>
      <c r="F1686">
        <v>1012000000</v>
      </c>
      <c r="G1686" t="s">
        <v>23</v>
      </c>
      <c r="H1686" t="s">
        <v>81</v>
      </c>
      <c r="I1686" t="s">
        <v>9</v>
      </c>
      <c r="L1686" t="s">
        <v>161</v>
      </c>
      <c r="M1686">
        <v>-1012000000</v>
      </c>
    </row>
    <row r="1687" spans="1:13" x14ac:dyDescent="0.3">
      <c r="A1687" s="23">
        <v>45478</v>
      </c>
      <c r="B1687" t="s">
        <v>12</v>
      </c>
      <c r="C1687" t="s">
        <v>132</v>
      </c>
      <c r="D1687" t="s">
        <v>17</v>
      </c>
      <c r="E1687" t="s">
        <v>43</v>
      </c>
      <c r="F1687">
        <v>8000000</v>
      </c>
      <c r="G1687" t="s">
        <v>23</v>
      </c>
      <c r="H1687" t="s">
        <v>81</v>
      </c>
      <c r="I1687" t="s">
        <v>9</v>
      </c>
      <c r="L1687" t="s">
        <v>161</v>
      </c>
      <c r="M1687">
        <v>-8000000</v>
      </c>
    </row>
    <row r="1688" spans="1:13" x14ac:dyDescent="0.3">
      <c r="A1688" s="23">
        <v>45474</v>
      </c>
      <c r="B1688" t="s">
        <v>12</v>
      </c>
      <c r="C1688" t="s">
        <v>132</v>
      </c>
      <c r="D1688" t="s">
        <v>17</v>
      </c>
      <c r="E1688" t="s">
        <v>43</v>
      </c>
      <c r="F1688">
        <v>630700000</v>
      </c>
      <c r="G1688" t="s">
        <v>23</v>
      </c>
      <c r="H1688" t="s">
        <v>81</v>
      </c>
      <c r="I1688" t="s">
        <v>9</v>
      </c>
      <c r="L1688" t="s">
        <v>161</v>
      </c>
      <c r="M1688">
        <v>-630700000</v>
      </c>
    </row>
    <row r="1689" spans="1:13" x14ac:dyDescent="0.3">
      <c r="A1689" s="23">
        <v>45470</v>
      </c>
      <c r="B1689" t="s">
        <v>12</v>
      </c>
      <c r="C1689" t="s">
        <v>132</v>
      </c>
      <c r="D1689" t="s">
        <v>17</v>
      </c>
      <c r="E1689" t="s">
        <v>43</v>
      </c>
      <c r="F1689">
        <v>86000000</v>
      </c>
      <c r="G1689" t="s">
        <v>23</v>
      </c>
      <c r="H1689" t="s">
        <v>81</v>
      </c>
      <c r="I1689" t="s">
        <v>9</v>
      </c>
      <c r="L1689" t="s">
        <v>161</v>
      </c>
      <c r="M1689">
        <v>-86000000</v>
      </c>
    </row>
    <row r="1690" spans="1:13" x14ac:dyDescent="0.3">
      <c r="A1690" s="23">
        <v>45050</v>
      </c>
      <c r="B1690" t="s">
        <v>12</v>
      </c>
      <c r="C1690" t="s">
        <v>132</v>
      </c>
      <c r="D1690" t="s">
        <v>17</v>
      </c>
      <c r="E1690" t="s">
        <v>43</v>
      </c>
      <c r="F1690">
        <v>68800000</v>
      </c>
      <c r="G1690" t="s">
        <v>23</v>
      </c>
      <c r="H1690" t="s">
        <v>81</v>
      </c>
      <c r="I1690" t="s">
        <v>9</v>
      </c>
      <c r="L1690" t="s">
        <v>161</v>
      </c>
      <c r="M1690">
        <v>-68800000</v>
      </c>
    </row>
    <row r="1691" spans="1:13" x14ac:dyDescent="0.3">
      <c r="A1691" s="23">
        <v>45055</v>
      </c>
      <c r="B1691" t="s">
        <v>12</v>
      </c>
      <c r="C1691" t="s">
        <v>132</v>
      </c>
      <c r="D1691" t="s">
        <v>17</v>
      </c>
      <c r="E1691" t="s">
        <v>43</v>
      </c>
      <c r="F1691">
        <v>132600000</v>
      </c>
      <c r="G1691" t="s">
        <v>23</v>
      </c>
      <c r="H1691" t="s">
        <v>81</v>
      </c>
      <c r="I1691" t="s">
        <v>9</v>
      </c>
      <c r="L1691" t="s">
        <v>161</v>
      </c>
      <c r="M1691">
        <v>-132600000</v>
      </c>
    </row>
    <row r="1692" spans="1:13" x14ac:dyDescent="0.3">
      <c r="A1692" s="23">
        <v>45055</v>
      </c>
      <c r="B1692" t="s">
        <v>12</v>
      </c>
      <c r="C1692" t="s">
        <v>132</v>
      </c>
      <c r="D1692" t="s">
        <v>16</v>
      </c>
      <c r="E1692" t="s">
        <v>43</v>
      </c>
      <c r="F1692">
        <v>34259926.990000002</v>
      </c>
      <c r="G1692" t="s">
        <v>23</v>
      </c>
      <c r="H1692" t="s">
        <v>81</v>
      </c>
      <c r="I1692" t="s">
        <v>9</v>
      </c>
      <c r="L1692" t="s">
        <v>161</v>
      </c>
      <c r="M1692">
        <v>34259926.990000002</v>
      </c>
    </row>
    <row r="1693" spans="1:13" x14ac:dyDescent="0.3">
      <c r="A1693" s="23">
        <v>45467</v>
      </c>
      <c r="B1693" t="s">
        <v>12</v>
      </c>
      <c r="C1693" t="s">
        <v>132</v>
      </c>
      <c r="D1693" t="s">
        <v>17</v>
      </c>
      <c r="E1693" t="s">
        <v>43</v>
      </c>
      <c r="F1693">
        <v>130000000</v>
      </c>
      <c r="G1693" t="s">
        <v>23</v>
      </c>
      <c r="H1693" t="s">
        <v>81</v>
      </c>
      <c r="I1693" t="s">
        <v>9</v>
      </c>
      <c r="L1693" t="s">
        <v>161</v>
      </c>
      <c r="M1693">
        <v>-130000000</v>
      </c>
    </row>
    <row r="1694" spans="1:13" x14ac:dyDescent="0.3">
      <c r="A1694" s="23">
        <v>45462</v>
      </c>
      <c r="B1694" t="s">
        <v>12</v>
      </c>
      <c r="C1694" t="s">
        <v>132</v>
      </c>
      <c r="D1694" t="s">
        <v>17</v>
      </c>
      <c r="E1694" t="s">
        <v>43</v>
      </c>
      <c r="F1694">
        <v>688500000</v>
      </c>
      <c r="G1694" t="s">
        <v>23</v>
      </c>
      <c r="H1694" t="s">
        <v>81</v>
      </c>
      <c r="I1694" t="s">
        <v>9</v>
      </c>
      <c r="L1694" t="s">
        <v>161</v>
      </c>
      <c r="M1694">
        <v>-688500000</v>
      </c>
    </row>
    <row r="1695" spans="1:13" x14ac:dyDescent="0.3">
      <c r="A1695" s="23">
        <v>45461</v>
      </c>
      <c r="B1695" t="s">
        <v>12</v>
      </c>
      <c r="C1695" t="s">
        <v>132</v>
      </c>
      <c r="D1695" t="s">
        <v>17</v>
      </c>
      <c r="E1695" t="s">
        <v>43</v>
      </c>
      <c r="F1695">
        <v>308200000</v>
      </c>
      <c r="G1695" t="s">
        <v>23</v>
      </c>
      <c r="H1695" t="s">
        <v>81</v>
      </c>
      <c r="I1695" t="s">
        <v>9</v>
      </c>
      <c r="L1695" t="s">
        <v>161</v>
      </c>
      <c r="M1695">
        <v>-308200000</v>
      </c>
    </row>
    <row r="1696" spans="1:13" x14ac:dyDescent="0.3">
      <c r="A1696" s="23">
        <v>45057</v>
      </c>
      <c r="B1696" t="s">
        <v>12</v>
      </c>
      <c r="C1696" t="s">
        <v>132</v>
      </c>
      <c r="D1696" t="s">
        <v>17</v>
      </c>
      <c r="E1696" t="s">
        <v>43</v>
      </c>
      <c r="F1696">
        <v>31500000</v>
      </c>
      <c r="G1696" t="s">
        <v>23</v>
      </c>
      <c r="H1696" t="s">
        <v>81</v>
      </c>
      <c r="I1696" t="s">
        <v>9</v>
      </c>
      <c r="L1696" t="s">
        <v>161</v>
      </c>
      <c r="M1696">
        <v>-31500000</v>
      </c>
    </row>
    <row r="1697" spans="1:13" x14ac:dyDescent="0.3">
      <c r="A1697" s="23">
        <v>45460</v>
      </c>
      <c r="B1697" t="s">
        <v>12</v>
      </c>
      <c r="C1697" t="s">
        <v>132</v>
      </c>
      <c r="D1697" t="s">
        <v>16</v>
      </c>
      <c r="E1697" t="s">
        <v>43</v>
      </c>
      <c r="F1697">
        <v>53750000</v>
      </c>
      <c r="G1697" t="s">
        <v>23</v>
      </c>
      <c r="H1697" t="s">
        <v>81</v>
      </c>
      <c r="I1697" t="s">
        <v>9</v>
      </c>
      <c r="L1697" t="s">
        <v>161</v>
      </c>
      <c r="M1697">
        <v>53750000</v>
      </c>
    </row>
    <row r="1698" spans="1:13" x14ac:dyDescent="0.3">
      <c r="A1698" s="23">
        <v>45457</v>
      </c>
      <c r="B1698" t="s">
        <v>12</v>
      </c>
      <c r="C1698" t="s">
        <v>132</v>
      </c>
      <c r="D1698" t="s">
        <v>17</v>
      </c>
      <c r="E1698" t="s">
        <v>43</v>
      </c>
      <c r="F1698">
        <v>902500000</v>
      </c>
      <c r="G1698" t="s">
        <v>23</v>
      </c>
      <c r="H1698" t="s">
        <v>81</v>
      </c>
      <c r="I1698" t="s">
        <v>9</v>
      </c>
      <c r="L1698" t="s">
        <v>161</v>
      </c>
      <c r="M1698">
        <v>-902500000</v>
      </c>
    </row>
    <row r="1699" spans="1:13" x14ac:dyDescent="0.3">
      <c r="A1699" s="23">
        <v>45064</v>
      </c>
      <c r="B1699" t="s">
        <v>12</v>
      </c>
      <c r="C1699" t="s">
        <v>132</v>
      </c>
      <c r="D1699" t="s">
        <v>17</v>
      </c>
      <c r="E1699" t="s">
        <v>43</v>
      </c>
      <c r="F1699">
        <v>91500000</v>
      </c>
      <c r="G1699" t="s">
        <v>23</v>
      </c>
      <c r="H1699" t="s">
        <v>81</v>
      </c>
      <c r="I1699" t="s">
        <v>9</v>
      </c>
      <c r="L1699" t="s">
        <v>161</v>
      </c>
      <c r="M1699">
        <v>-91500000</v>
      </c>
    </row>
    <row r="1700" spans="1:13" x14ac:dyDescent="0.3">
      <c r="A1700" s="23">
        <v>45065</v>
      </c>
      <c r="B1700" t="s">
        <v>12</v>
      </c>
      <c r="C1700" t="s">
        <v>132</v>
      </c>
      <c r="D1700" t="s">
        <v>17</v>
      </c>
      <c r="E1700" t="s">
        <v>43</v>
      </c>
      <c r="F1700">
        <v>17059926.989999998</v>
      </c>
      <c r="G1700" t="s">
        <v>23</v>
      </c>
      <c r="H1700" t="s">
        <v>81</v>
      </c>
      <c r="I1700" t="s">
        <v>9</v>
      </c>
      <c r="L1700" t="s">
        <v>161</v>
      </c>
      <c r="M1700">
        <v>-17059926.989999998</v>
      </c>
    </row>
    <row r="1701" spans="1:13" x14ac:dyDescent="0.3">
      <c r="A1701" s="23">
        <v>45454</v>
      </c>
      <c r="B1701" t="s">
        <v>12</v>
      </c>
      <c r="C1701" t="s">
        <v>132</v>
      </c>
      <c r="D1701" t="s">
        <v>17</v>
      </c>
      <c r="E1701" t="s">
        <v>43</v>
      </c>
      <c r="F1701">
        <v>112200000</v>
      </c>
      <c r="G1701" t="s">
        <v>23</v>
      </c>
      <c r="H1701" t="s">
        <v>81</v>
      </c>
      <c r="I1701" t="s">
        <v>9</v>
      </c>
      <c r="L1701" t="s">
        <v>161</v>
      </c>
      <c r="M1701">
        <v>-112200000</v>
      </c>
    </row>
    <row r="1702" spans="1:13" x14ac:dyDescent="0.3">
      <c r="A1702" s="23">
        <v>45453</v>
      </c>
      <c r="B1702" t="s">
        <v>12</v>
      </c>
      <c r="C1702" t="s">
        <v>132</v>
      </c>
      <c r="D1702" t="s">
        <v>16</v>
      </c>
      <c r="E1702" t="s">
        <v>43</v>
      </c>
      <c r="F1702">
        <v>2077300000</v>
      </c>
      <c r="G1702" t="s">
        <v>23</v>
      </c>
      <c r="H1702" t="s">
        <v>81</v>
      </c>
      <c r="I1702" t="s">
        <v>9</v>
      </c>
      <c r="L1702" t="s">
        <v>161</v>
      </c>
      <c r="M1702">
        <v>2077300000</v>
      </c>
    </row>
    <row r="1703" spans="1:13" x14ac:dyDescent="0.3">
      <c r="A1703" s="23">
        <v>45450</v>
      </c>
      <c r="B1703" t="s">
        <v>12</v>
      </c>
      <c r="C1703" t="s">
        <v>132</v>
      </c>
      <c r="D1703" t="s">
        <v>17</v>
      </c>
      <c r="E1703" t="s">
        <v>43</v>
      </c>
      <c r="F1703">
        <v>206600000</v>
      </c>
      <c r="G1703" t="s">
        <v>23</v>
      </c>
      <c r="H1703" t="s">
        <v>81</v>
      </c>
      <c r="I1703" t="s">
        <v>9</v>
      </c>
      <c r="L1703" t="s">
        <v>161</v>
      </c>
      <c r="M1703">
        <v>-206600000</v>
      </c>
    </row>
    <row r="1704" spans="1:13" x14ac:dyDescent="0.3">
      <c r="A1704" s="23">
        <v>45449</v>
      </c>
      <c r="B1704" t="s">
        <v>12</v>
      </c>
      <c r="C1704" t="s">
        <v>132</v>
      </c>
      <c r="D1704" t="s">
        <v>17</v>
      </c>
      <c r="E1704" t="s">
        <v>43</v>
      </c>
      <c r="F1704">
        <v>327700000</v>
      </c>
      <c r="G1704" t="s">
        <v>23</v>
      </c>
      <c r="H1704" t="s">
        <v>81</v>
      </c>
      <c r="I1704" t="s">
        <v>9</v>
      </c>
      <c r="L1704" t="s">
        <v>161</v>
      </c>
      <c r="M1704">
        <v>-327700000</v>
      </c>
    </row>
    <row r="1705" spans="1:13" x14ac:dyDescent="0.3">
      <c r="A1705" s="23">
        <v>45448</v>
      </c>
      <c r="B1705" t="s">
        <v>12</v>
      </c>
      <c r="C1705" t="s">
        <v>132</v>
      </c>
      <c r="D1705" t="s">
        <v>17</v>
      </c>
      <c r="E1705" t="s">
        <v>43</v>
      </c>
      <c r="F1705">
        <v>670000000</v>
      </c>
      <c r="G1705" t="s">
        <v>23</v>
      </c>
      <c r="H1705" t="s">
        <v>81</v>
      </c>
      <c r="I1705" t="s">
        <v>9</v>
      </c>
      <c r="L1705" t="s">
        <v>161</v>
      </c>
      <c r="M1705">
        <v>-670000000</v>
      </c>
    </row>
    <row r="1706" spans="1:13" x14ac:dyDescent="0.3">
      <c r="A1706" s="23">
        <v>45447</v>
      </c>
      <c r="B1706" t="s">
        <v>12</v>
      </c>
      <c r="C1706" t="s">
        <v>132</v>
      </c>
      <c r="D1706" t="s">
        <v>17</v>
      </c>
      <c r="E1706" t="s">
        <v>43</v>
      </c>
      <c r="F1706">
        <v>4500000</v>
      </c>
      <c r="G1706" t="s">
        <v>23</v>
      </c>
      <c r="H1706" t="s">
        <v>81</v>
      </c>
      <c r="I1706" t="s">
        <v>9</v>
      </c>
      <c r="L1706" t="s">
        <v>161</v>
      </c>
      <c r="M1706">
        <v>-4500000</v>
      </c>
    </row>
    <row r="1707" spans="1:13" x14ac:dyDescent="0.3">
      <c r="A1707" s="23">
        <v>45447</v>
      </c>
      <c r="B1707" t="s">
        <v>12</v>
      </c>
      <c r="C1707" t="s">
        <v>132</v>
      </c>
      <c r="D1707" t="s">
        <v>16</v>
      </c>
      <c r="E1707" t="s">
        <v>43</v>
      </c>
      <c r="F1707">
        <v>716900000</v>
      </c>
      <c r="G1707" t="s">
        <v>23</v>
      </c>
      <c r="H1707" t="s">
        <v>81</v>
      </c>
      <c r="I1707" t="s">
        <v>9</v>
      </c>
      <c r="L1707" t="s">
        <v>161</v>
      </c>
      <c r="M1707">
        <v>716900000</v>
      </c>
    </row>
    <row r="1708" spans="1:13" x14ac:dyDescent="0.3">
      <c r="A1708" s="23">
        <v>45446</v>
      </c>
      <c r="B1708" t="s">
        <v>12</v>
      </c>
      <c r="C1708" t="s">
        <v>132</v>
      </c>
      <c r="D1708" t="s">
        <v>16</v>
      </c>
      <c r="E1708" t="s">
        <v>43</v>
      </c>
      <c r="F1708">
        <v>2522500000</v>
      </c>
      <c r="G1708" t="s">
        <v>23</v>
      </c>
      <c r="H1708" t="s">
        <v>81</v>
      </c>
      <c r="I1708" t="s">
        <v>9</v>
      </c>
      <c r="L1708" t="s">
        <v>161</v>
      </c>
      <c r="M1708">
        <v>2522500000</v>
      </c>
    </row>
    <row r="1709" spans="1:13" x14ac:dyDescent="0.3">
      <c r="A1709" s="23">
        <v>45441</v>
      </c>
      <c r="B1709" t="s">
        <v>12</v>
      </c>
      <c r="C1709" t="s">
        <v>132</v>
      </c>
      <c r="D1709" t="s">
        <v>17</v>
      </c>
      <c r="E1709" t="s">
        <v>43</v>
      </c>
      <c r="F1709">
        <v>119100000</v>
      </c>
      <c r="G1709" t="s">
        <v>23</v>
      </c>
      <c r="H1709" t="s">
        <v>81</v>
      </c>
      <c r="I1709" t="s">
        <v>9</v>
      </c>
      <c r="L1709" t="s">
        <v>161</v>
      </c>
      <c r="M1709">
        <v>-119100000</v>
      </c>
    </row>
    <row r="1710" spans="1:13" x14ac:dyDescent="0.3">
      <c r="A1710" s="23">
        <v>45440</v>
      </c>
      <c r="B1710" t="s">
        <v>12</v>
      </c>
      <c r="C1710" t="s">
        <v>132</v>
      </c>
      <c r="D1710" t="s">
        <v>17</v>
      </c>
      <c r="E1710" t="s">
        <v>43</v>
      </c>
      <c r="F1710">
        <v>97300000</v>
      </c>
      <c r="G1710" t="s">
        <v>23</v>
      </c>
      <c r="H1710" t="s">
        <v>81</v>
      </c>
      <c r="I1710" t="s">
        <v>9</v>
      </c>
      <c r="L1710" t="s">
        <v>161</v>
      </c>
      <c r="M1710">
        <v>-97300000</v>
      </c>
    </row>
    <row r="1711" spans="1:13" x14ac:dyDescent="0.3">
      <c r="A1711" s="23">
        <v>45439</v>
      </c>
      <c r="B1711" t="s">
        <v>12</v>
      </c>
      <c r="C1711" t="s">
        <v>132</v>
      </c>
      <c r="D1711" t="s">
        <v>17</v>
      </c>
      <c r="E1711" t="s">
        <v>43</v>
      </c>
      <c r="F1711">
        <v>166600000</v>
      </c>
      <c r="G1711" t="s">
        <v>23</v>
      </c>
      <c r="H1711" t="s">
        <v>81</v>
      </c>
      <c r="I1711" t="s">
        <v>9</v>
      </c>
      <c r="L1711" t="s">
        <v>161</v>
      </c>
      <c r="M1711">
        <v>-166600000</v>
      </c>
    </row>
    <row r="1712" spans="1:13" x14ac:dyDescent="0.3">
      <c r="A1712" s="23">
        <v>45436</v>
      </c>
      <c r="B1712" t="s">
        <v>12</v>
      </c>
      <c r="C1712" t="s">
        <v>132</v>
      </c>
      <c r="D1712" t="s">
        <v>16</v>
      </c>
      <c r="E1712" t="s">
        <v>43</v>
      </c>
      <c r="F1712">
        <v>287000000</v>
      </c>
      <c r="G1712" t="s">
        <v>23</v>
      </c>
      <c r="H1712" t="s">
        <v>81</v>
      </c>
      <c r="I1712" t="s">
        <v>9</v>
      </c>
      <c r="L1712" t="s">
        <v>161</v>
      </c>
      <c r="M1712">
        <v>287000000</v>
      </c>
    </row>
    <row r="1713" spans="1:13" x14ac:dyDescent="0.3">
      <c r="A1713" s="23">
        <v>45435</v>
      </c>
      <c r="B1713" t="s">
        <v>12</v>
      </c>
      <c r="C1713" t="s">
        <v>132</v>
      </c>
      <c r="D1713" t="s">
        <v>17</v>
      </c>
      <c r="E1713" t="s">
        <v>43</v>
      </c>
      <c r="F1713">
        <v>110000000</v>
      </c>
      <c r="G1713" t="s">
        <v>23</v>
      </c>
      <c r="H1713" t="s">
        <v>81</v>
      </c>
      <c r="I1713" t="s">
        <v>9</v>
      </c>
      <c r="L1713" t="s">
        <v>161</v>
      </c>
      <c r="M1713">
        <v>-110000000</v>
      </c>
    </row>
    <row r="1714" spans="1:13" x14ac:dyDescent="0.3">
      <c r="A1714" s="23">
        <v>45089</v>
      </c>
      <c r="B1714" t="s">
        <v>12</v>
      </c>
      <c r="C1714" t="s">
        <v>132</v>
      </c>
      <c r="D1714" t="s">
        <v>16</v>
      </c>
      <c r="E1714" t="s">
        <v>43</v>
      </c>
      <c r="F1714">
        <v>200000000</v>
      </c>
      <c r="G1714" t="s">
        <v>23</v>
      </c>
      <c r="H1714" t="s">
        <v>81</v>
      </c>
      <c r="I1714" t="s">
        <v>9</v>
      </c>
      <c r="L1714" t="s">
        <v>161</v>
      </c>
      <c r="M1714">
        <v>200000000</v>
      </c>
    </row>
    <row r="1715" spans="1:13" x14ac:dyDescent="0.3">
      <c r="A1715" s="23">
        <v>45090</v>
      </c>
      <c r="B1715" t="s">
        <v>12</v>
      </c>
      <c r="C1715" t="s">
        <v>132</v>
      </c>
      <c r="D1715" t="s">
        <v>17</v>
      </c>
      <c r="E1715" t="s">
        <v>43</v>
      </c>
      <c r="F1715">
        <v>50000000</v>
      </c>
      <c r="G1715" t="s">
        <v>23</v>
      </c>
      <c r="H1715" t="s">
        <v>81</v>
      </c>
      <c r="I1715" t="s">
        <v>9</v>
      </c>
      <c r="L1715" t="s">
        <v>161</v>
      </c>
      <c r="M1715">
        <v>-50000000</v>
      </c>
    </row>
    <row r="1716" spans="1:13" x14ac:dyDescent="0.3">
      <c r="A1716" s="23">
        <v>45091</v>
      </c>
      <c r="B1716" t="s">
        <v>12</v>
      </c>
      <c r="C1716" t="s">
        <v>132</v>
      </c>
      <c r="D1716" t="s">
        <v>16</v>
      </c>
      <c r="E1716" t="s">
        <v>43</v>
      </c>
      <c r="F1716">
        <v>110317.35</v>
      </c>
      <c r="G1716" t="s">
        <v>23</v>
      </c>
      <c r="H1716" t="s">
        <v>81</v>
      </c>
      <c r="I1716" t="s">
        <v>9</v>
      </c>
      <c r="J1716" t="s">
        <v>155</v>
      </c>
      <c r="L1716" t="s">
        <v>161</v>
      </c>
      <c r="M1716">
        <v>110317.35</v>
      </c>
    </row>
    <row r="1717" spans="1:13" x14ac:dyDescent="0.3">
      <c r="A1717" s="23">
        <v>45099</v>
      </c>
      <c r="B1717" t="s">
        <v>12</v>
      </c>
      <c r="C1717" t="s">
        <v>132</v>
      </c>
      <c r="D1717" t="s">
        <v>17</v>
      </c>
      <c r="E1717" t="s">
        <v>43</v>
      </c>
      <c r="F1717">
        <v>150110317.35000002</v>
      </c>
      <c r="G1717" t="s">
        <v>23</v>
      </c>
      <c r="H1717" t="s">
        <v>81</v>
      </c>
      <c r="I1717" t="s">
        <v>9</v>
      </c>
      <c r="L1717" t="s">
        <v>161</v>
      </c>
      <c r="M1717">
        <v>-150110317.34999999</v>
      </c>
    </row>
    <row r="1718" spans="1:13" x14ac:dyDescent="0.3">
      <c r="A1718" s="23">
        <v>45100</v>
      </c>
      <c r="B1718" t="s">
        <v>12</v>
      </c>
      <c r="C1718" t="s">
        <v>132</v>
      </c>
      <c r="D1718" t="s">
        <v>16</v>
      </c>
      <c r="E1718" t="s">
        <v>43</v>
      </c>
      <c r="F1718">
        <v>175700000</v>
      </c>
      <c r="G1718" t="s">
        <v>23</v>
      </c>
      <c r="H1718" t="s">
        <v>81</v>
      </c>
      <c r="I1718" t="s">
        <v>9</v>
      </c>
      <c r="L1718" t="s">
        <v>161</v>
      </c>
      <c r="M1718">
        <v>175700000</v>
      </c>
    </row>
    <row r="1719" spans="1:13" x14ac:dyDescent="0.3">
      <c r="A1719" s="23">
        <v>45103</v>
      </c>
      <c r="B1719" t="s">
        <v>12</v>
      </c>
      <c r="C1719" t="s">
        <v>132</v>
      </c>
      <c r="D1719" t="s">
        <v>17</v>
      </c>
      <c r="E1719" t="s">
        <v>43</v>
      </c>
      <c r="F1719">
        <v>175700000</v>
      </c>
      <c r="G1719" t="s">
        <v>23</v>
      </c>
      <c r="H1719" t="s">
        <v>81</v>
      </c>
      <c r="I1719" t="s">
        <v>9</v>
      </c>
      <c r="L1719" t="s">
        <v>161</v>
      </c>
      <c r="M1719">
        <v>-175700000</v>
      </c>
    </row>
    <row r="1720" spans="1:13" x14ac:dyDescent="0.3">
      <c r="A1720" s="23">
        <v>45128</v>
      </c>
      <c r="B1720" t="s">
        <v>12</v>
      </c>
      <c r="C1720" t="s">
        <v>132</v>
      </c>
      <c r="D1720" t="s">
        <v>16</v>
      </c>
      <c r="E1720" t="s">
        <v>43</v>
      </c>
      <c r="F1720">
        <v>22400000</v>
      </c>
      <c r="G1720" t="s">
        <v>23</v>
      </c>
      <c r="H1720" t="s">
        <v>81</v>
      </c>
      <c r="I1720" t="s">
        <v>9</v>
      </c>
      <c r="L1720" t="s">
        <v>161</v>
      </c>
      <c r="M1720">
        <v>22400000</v>
      </c>
    </row>
    <row r="1721" spans="1:13" x14ac:dyDescent="0.3">
      <c r="A1721" s="23">
        <v>45425</v>
      </c>
      <c r="B1721" t="s">
        <v>12</v>
      </c>
      <c r="C1721" t="s">
        <v>132</v>
      </c>
      <c r="D1721" t="s">
        <v>16</v>
      </c>
      <c r="E1721" t="s">
        <v>43</v>
      </c>
      <c r="F1721">
        <v>30900000</v>
      </c>
      <c r="G1721" t="s">
        <v>23</v>
      </c>
      <c r="H1721" t="s">
        <v>81</v>
      </c>
      <c r="I1721" t="s">
        <v>9</v>
      </c>
      <c r="L1721" t="s">
        <v>161</v>
      </c>
      <c r="M1721">
        <v>30900000</v>
      </c>
    </row>
    <row r="1722" spans="1:13" x14ac:dyDescent="0.3">
      <c r="A1722" s="23">
        <v>45422</v>
      </c>
      <c r="B1722" t="s">
        <v>12</v>
      </c>
      <c r="C1722" t="s">
        <v>132</v>
      </c>
      <c r="D1722" t="s">
        <v>16</v>
      </c>
      <c r="E1722" t="s">
        <v>43</v>
      </c>
      <c r="F1722">
        <v>14200000</v>
      </c>
      <c r="G1722" t="s">
        <v>23</v>
      </c>
      <c r="H1722" t="s">
        <v>81</v>
      </c>
      <c r="I1722" t="s">
        <v>9</v>
      </c>
      <c r="L1722" t="s">
        <v>161</v>
      </c>
      <c r="M1722">
        <v>14200000</v>
      </c>
    </row>
    <row r="1723" spans="1:13" x14ac:dyDescent="0.3">
      <c r="A1723" s="23">
        <v>45132</v>
      </c>
      <c r="B1723" t="s">
        <v>12</v>
      </c>
      <c r="C1723" t="s">
        <v>132</v>
      </c>
      <c r="D1723" t="s">
        <v>16</v>
      </c>
      <c r="E1723" t="s">
        <v>43</v>
      </c>
      <c r="F1723">
        <v>1249960</v>
      </c>
      <c r="G1723" t="s">
        <v>23</v>
      </c>
      <c r="H1723" t="s">
        <v>81</v>
      </c>
      <c r="I1723" t="s">
        <v>9</v>
      </c>
      <c r="J1723" t="s">
        <v>155</v>
      </c>
      <c r="L1723" t="s">
        <v>161</v>
      </c>
      <c r="M1723">
        <v>1249960</v>
      </c>
    </row>
    <row r="1724" spans="1:13" x14ac:dyDescent="0.3">
      <c r="A1724" s="23">
        <v>45418</v>
      </c>
      <c r="B1724" t="s">
        <v>12</v>
      </c>
      <c r="C1724" t="s">
        <v>132</v>
      </c>
      <c r="D1724" t="s">
        <v>17</v>
      </c>
      <c r="E1724" t="s">
        <v>43</v>
      </c>
      <c r="F1724">
        <v>700000</v>
      </c>
      <c r="G1724" t="s">
        <v>23</v>
      </c>
      <c r="H1724" t="s">
        <v>81</v>
      </c>
      <c r="I1724" t="s">
        <v>9</v>
      </c>
      <c r="L1724" t="s">
        <v>161</v>
      </c>
      <c r="M1724">
        <v>-700000</v>
      </c>
    </row>
    <row r="1725" spans="1:13" x14ac:dyDescent="0.3">
      <c r="A1725" s="23">
        <v>45132</v>
      </c>
      <c r="B1725" t="s">
        <v>12</v>
      </c>
      <c r="C1725" t="s">
        <v>132</v>
      </c>
      <c r="D1725" t="s">
        <v>17</v>
      </c>
      <c r="E1725" t="s">
        <v>43</v>
      </c>
      <c r="F1725">
        <v>3500000</v>
      </c>
      <c r="G1725" t="s">
        <v>23</v>
      </c>
      <c r="H1725" t="s">
        <v>81</v>
      </c>
      <c r="I1725" t="s">
        <v>9</v>
      </c>
      <c r="L1725" t="s">
        <v>161</v>
      </c>
      <c r="M1725">
        <v>-3500000</v>
      </c>
    </row>
    <row r="1726" spans="1:13" x14ac:dyDescent="0.3">
      <c r="A1726" s="23">
        <v>45415</v>
      </c>
      <c r="B1726" t="s">
        <v>12</v>
      </c>
      <c r="C1726" t="s">
        <v>132</v>
      </c>
      <c r="D1726" t="s">
        <v>16</v>
      </c>
      <c r="E1726" t="s">
        <v>43</v>
      </c>
      <c r="F1726">
        <v>21700000</v>
      </c>
      <c r="G1726" t="s">
        <v>23</v>
      </c>
      <c r="H1726" t="s">
        <v>81</v>
      </c>
      <c r="I1726" t="s">
        <v>9</v>
      </c>
      <c r="L1726" t="s">
        <v>161</v>
      </c>
      <c r="M1726">
        <v>21700000</v>
      </c>
    </row>
    <row r="1727" spans="1:13" x14ac:dyDescent="0.3">
      <c r="A1727" s="23">
        <v>45133</v>
      </c>
      <c r="B1727" t="s">
        <v>12</v>
      </c>
      <c r="C1727" t="s">
        <v>132</v>
      </c>
      <c r="D1727" t="s">
        <v>16</v>
      </c>
      <c r="E1727" t="s">
        <v>43</v>
      </c>
      <c r="F1727">
        <v>33400000</v>
      </c>
      <c r="G1727" t="s">
        <v>23</v>
      </c>
      <c r="H1727" t="s">
        <v>81</v>
      </c>
      <c r="I1727" t="s">
        <v>9</v>
      </c>
      <c r="L1727" t="s">
        <v>161</v>
      </c>
      <c r="M1727">
        <v>33400000</v>
      </c>
    </row>
    <row r="1728" spans="1:13" x14ac:dyDescent="0.3">
      <c r="A1728" s="23">
        <v>45414</v>
      </c>
      <c r="B1728" t="s">
        <v>12</v>
      </c>
      <c r="C1728" t="s">
        <v>132</v>
      </c>
      <c r="D1728" t="s">
        <v>17</v>
      </c>
      <c r="E1728" t="s">
        <v>43</v>
      </c>
      <c r="F1728">
        <v>300000000</v>
      </c>
      <c r="G1728" t="s">
        <v>23</v>
      </c>
      <c r="H1728" t="s">
        <v>81</v>
      </c>
      <c r="I1728" t="s">
        <v>9</v>
      </c>
      <c r="L1728" t="s">
        <v>161</v>
      </c>
      <c r="M1728">
        <v>-300000000</v>
      </c>
    </row>
    <row r="1729" spans="1:13" x14ac:dyDescent="0.3">
      <c r="A1729" s="23">
        <v>45134</v>
      </c>
      <c r="B1729" t="s">
        <v>12</v>
      </c>
      <c r="C1729" t="s">
        <v>132</v>
      </c>
      <c r="D1729" t="s">
        <v>17</v>
      </c>
      <c r="E1729" t="s">
        <v>43</v>
      </c>
      <c r="F1729">
        <v>53549960</v>
      </c>
      <c r="G1729" t="s">
        <v>23</v>
      </c>
      <c r="H1729" t="s">
        <v>81</v>
      </c>
      <c r="I1729" t="s">
        <v>9</v>
      </c>
      <c r="L1729" t="s">
        <v>161</v>
      </c>
      <c r="M1729">
        <v>-53549960</v>
      </c>
    </row>
    <row r="1730" spans="1:13" x14ac:dyDescent="0.3">
      <c r="A1730" s="23">
        <v>45135</v>
      </c>
      <c r="B1730" t="s">
        <v>12</v>
      </c>
      <c r="C1730" t="s">
        <v>132</v>
      </c>
      <c r="D1730" t="s">
        <v>16</v>
      </c>
      <c r="E1730" t="s">
        <v>43</v>
      </c>
      <c r="F1730">
        <v>37800000</v>
      </c>
      <c r="G1730" t="s">
        <v>23</v>
      </c>
      <c r="H1730" t="s">
        <v>81</v>
      </c>
      <c r="I1730" t="s">
        <v>9</v>
      </c>
      <c r="L1730" t="s">
        <v>161</v>
      </c>
      <c r="M1730">
        <v>37800000</v>
      </c>
    </row>
    <row r="1731" spans="1:13" x14ac:dyDescent="0.3">
      <c r="A1731" s="23">
        <v>45408</v>
      </c>
      <c r="B1731" t="s">
        <v>12</v>
      </c>
      <c r="C1731" t="s">
        <v>132</v>
      </c>
      <c r="D1731" t="s">
        <v>16</v>
      </c>
      <c r="E1731" t="s">
        <v>43</v>
      </c>
      <c r="F1731">
        <v>200000000</v>
      </c>
      <c r="G1731" t="s">
        <v>23</v>
      </c>
      <c r="H1731" t="s">
        <v>81</v>
      </c>
      <c r="I1731" t="s">
        <v>9</v>
      </c>
      <c r="L1731" t="s">
        <v>161</v>
      </c>
      <c r="M1731">
        <v>200000000</v>
      </c>
    </row>
    <row r="1732" spans="1:13" x14ac:dyDescent="0.3">
      <c r="A1732" s="23">
        <v>45138</v>
      </c>
      <c r="B1732" t="s">
        <v>12</v>
      </c>
      <c r="C1732" t="s">
        <v>132</v>
      </c>
      <c r="D1732" t="s">
        <v>17</v>
      </c>
      <c r="E1732" t="s">
        <v>43</v>
      </c>
      <c r="F1732">
        <v>37800000</v>
      </c>
      <c r="G1732" t="s">
        <v>23</v>
      </c>
      <c r="H1732" t="s">
        <v>81</v>
      </c>
      <c r="I1732" t="s">
        <v>9</v>
      </c>
      <c r="L1732" t="s">
        <v>161</v>
      </c>
      <c r="M1732">
        <v>-37800000</v>
      </c>
    </row>
    <row r="1733" spans="1:13" x14ac:dyDescent="0.3">
      <c r="A1733" s="23">
        <v>45407</v>
      </c>
      <c r="B1733" t="s">
        <v>12</v>
      </c>
      <c r="C1733" t="s">
        <v>132</v>
      </c>
      <c r="D1733" t="s">
        <v>17</v>
      </c>
      <c r="E1733" t="s">
        <v>43</v>
      </c>
      <c r="F1733">
        <v>650000000</v>
      </c>
      <c r="G1733" t="s">
        <v>23</v>
      </c>
      <c r="H1733" t="s">
        <v>81</v>
      </c>
      <c r="I1733" t="s">
        <v>9</v>
      </c>
      <c r="L1733" t="s">
        <v>161</v>
      </c>
      <c r="M1733">
        <v>-650000000</v>
      </c>
    </row>
    <row r="1734" spans="1:13" x14ac:dyDescent="0.3">
      <c r="A1734" s="23">
        <v>45139</v>
      </c>
      <c r="B1734" t="s">
        <v>12</v>
      </c>
      <c r="C1734" t="s">
        <v>132</v>
      </c>
      <c r="D1734" t="s">
        <v>16</v>
      </c>
      <c r="E1734" t="s">
        <v>43</v>
      </c>
      <c r="F1734">
        <v>249900000</v>
      </c>
      <c r="G1734" t="s">
        <v>23</v>
      </c>
      <c r="H1734" t="s">
        <v>81</v>
      </c>
      <c r="I1734" t="s">
        <v>9</v>
      </c>
      <c r="L1734" t="s">
        <v>161</v>
      </c>
      <c r="M1734">
        <v>249900000</v>
      </c>
    </row>
    <row r="1735" spans="1:13" x14ac:dyDescent="0.3">
      <c r="A1735" s="23">
        <v>45407</v>
      </c>
      <c r="B1735" t="s">
        <v>12</v>
      </c>
      <c r="C1735" t="s">
        <v>132</v>
      </c>
      <c r="D1735" t="s">
        <v>16</v>
      </c>
      <c r="E1735" t="s">
        <v>43</v>
      </c>
      <c r="F1735">
        <v>27950000</v>
      </c>
      <c r="G1735" t="s">
        <v>23</v>
      </c>
      <c r="H1735" t="s">
        <v>81</v>
      </c>
      <c r="I1735" t="s">
        <v>9</v>
      </c>
      <c r="L1735" t="s">
        <v>161</v>
      </c>
      <c r="M1735">
        <v>27950000</v>
      </c>
    </row>
    <row r="1736" spans="1:13" x14ac:dyDescent="0.3">
      <c r="A1736" s="23">
        <v>45140</v>
      </c>
      <c r="B1736" t="s">
        <v>12</v>
      </c>
      <c r="C1736" t="s">
        <v>132</v>
      </c>
      <c r="D1736" t="s">
        <v>17</v>
      </c>
      <c r="E1736" t="s">
        <v>43</v>
      </c>
      <c r="F1736">
        <v>134500000</v>
      </c>
      <c r="G1736" t="s">
        <v>23</v>
      </c>
      <c r="H1736" t="s">
        <v>81</v>
      </c>
      <c r="I1736" t="s">
        <v>9</v>
      </c>
      <c r="L1736" t="s">
        <v>161</v>
      </c>
      <c r="M1736">
        <v>-134500000</v>
      </c>
    </row>
    <row r="1737" spans="1:13" x14ac:dyDescent="0.3">
      <c r="A1737" s="23">
        <v>45141</v>
      </c>
      <c r="B1737" t="s">
        <v>12</v>
      </c>
      <c r="C1737" t="s">
        <v>132</v>
      </c>
      <c r="D1737" t="s">
        <v>17</v>
      </c>
      <c r="E1737" t="s">
        <v>43</v>
      </c>
      <c r="F1737">
        <v>100000000</v>
      </c>
      <c r="G1737" t="s">
        <v>23</v>
      </c>
      <c r="H1737" t="s">
        <v>81</v>
      </c>
      <c r="I1737" t="s">
        <v>9</v>
      </c>
      <c r="L1737" t="s">
        <v>161</v>
      </c>
      <c r="M1737">
        <v>-100000000</v>
      </c>
    </row>
    <row r="1738" spans="1:13" x14ac:dyDescent="0.3">
      <c r="A1738" s="23">
        <v>45406</v>
      </c>
      <c r="B1738" t="s">
        <v>12</v>
      </c>
      <c r="C1738" t="s">
        <v>132</v>
      </c>
      <c r="D1738" t="s">
        <v>16</v>
      </c>
      <c r="E1738" t="s">
        <v>43</v>
      </c>
      <c r="F1738">
        <v>430400000</v>
      </c>
      <c r="G1738" t="s">
        <v>23</v>
      </c>
      <c r="H1738" t="s">
        <v>81</v>
      </c>
      <c r="I1738" t="s">
        <v>9</v>
      </c>
      <c r="L1738" t="s">
        <v>161</v>
      </c>
      <c r="M1738">
        <v>430400000</v>
      </c>
    </row>
    <row r="1739" spans="1:13" x14ac:dyDescent="0.3">
      <c r="A1739" s="23">
        <v>45142</v>
      </c>
      <c r="B1739" t="s">
        <v>12</v>
      </c>
      <c r="C1739" t="s">
        <v>132</v>
      </c>
      <c r="D1739" t="s">
        <v>17</v>
      </c>
      <c r="E1739" t="s">
        <v>43</v>
      </c>
      <c r="F1739">
        <v>15400000</v>
      </c>
      <c r="G1739" t="s">
        <v>23</v>
      </c>
      <c r="H1739" t="s">
        <v>81</v>
      </c>
      <c r="I1739" t="s">
        <v>9</v>
      </c>
      <c r="L1739" t="s">
        <v>161</v>
      </c>
      <c r="M1739">
        <v>-15400000</v>
      </c>
    </row>
    <row r="1740" spans="1:13" x14ac:dyDescent="0.3">
      <c r="A1740" s="23">
        <v>45405</v>
      </c>
      <c r="B1740" t="s">
        <v>12</v>
      </c>
      <c r="C1740" t="s">
        <v>132</v>
      </c>
      <c r="D1740" t="s">
        <v>17</v>
      </c>
      <c r="E1740" t="s">
        <v>43</v>
      </c>
      <c r="F1740">
        <v>2900000</v>
      </c>
      <c r="G1740" t="s">
        <v>23</v>
      </c>
      <c r="H1740" t="s">
        <v>81</v>
      </c>
      <c r="I1740" t="s">
        <v>9</v>
      </c>
      <c r="L1740" t="s">
        <v>161</v>
      </c>
      <c r="M1740">
        <v>-2900000</v>
      </c>
    </row>
    <row r="1741" spans="1:13" x14ac:dyDescent="0.3">
      <c r="A1741" s="23">
        <v>45404</v>
      </c>
      <c r="B1741" t="s">
        <v>12</v>
      </c>
      <c r="C1741" t="s">
        <v>132</v>
      </c>
      <c r="D1741" t="s">
        <v>16</v>
      </c>
      <c r="E1741" t="s">
        <v>43</v>
      </c>
      <c r="F1741">
        <v>5500000</v>
      </c>
      <c r="G1741" t="s">
        <v>23</v>
      </c>
      <c r="H1741" t="s">
        <v>81</v>
      </c>
      <c r="I1741" t="s">
        <v>9</v>
      </c>
      <c r="L1741" t="s">
        <v>161</v>
      </c>
      <c r="M1741">
        <v>5500000</v>
      </c>
    </row>
    <row r="1742" spans="1:13" x14ac:dyDescent="0.3">
      <c r="A1742" s="23">
        <v>45401</v>
      </c>
      <c r="B1742" t="s">
        <v>12</v>
      </c>
      <c r="C1742" t="s">
        <v>132</v>
      </c>
      <c r="D1742" t="s">
        <v>17</v>
      </c>
      <c r="E1742" t="s">
        <v>43</v>
      </c>
      <c r="F1742">
        <v>324500000</v>
      </c>
      <c r="G1742" t="s">
        <v>23</v>
      </c>
      <c r="H1742" t="s">
        <v>81</v>
      </c>
      <c r="I1742" t="s">
        <v>9</v>
      </c>
      <c r="L1742" t="s">
        <v>161</v>
      </c>
      <c r="M1742">
        <v>-324500000</v>
      </c>
    </row>
    <row r="1743" spans="1:13" x14ac:dyDescent="0.3">
      <c r="A1743" s="23">
        <v>45400</v>
      </c>
      <c r="B1743" t="s">
        <v>12</v>
      </c>
      <c r="C1743" t="s">
        <v>132</v>
      </c>
      <c r="D1743" t="s">
        <v>17</v>
      </c>
      <c r="E1743" t="s">
        <v>43</v>
      </c>
      <c r="F1743">
        <v>1000000</v>
      </c>
      <c r="G1743" t="s">
        <v>23</v>
      </c>
      <c r="H1743" t="s">
        <v>81</v>
      </c>
      <c r="I1743" t="s">
        <v>9</v>
      </c>
      <c r="L1743" t="s">
        <v>161</v>
      </c>
      <c r="M1743">
        <v>-1000000</v>
      </c>
    </row>
    <row r="1744" spans="1:13" x14ac:dyDescent="0.3">
      <c r="A1744" s="23">
        <v>45146</v>
      </c>
      <c r="B1744" t="s">
        <v>12</v>
      </c>
      <c r="C1744" t="s">
        <v>132</v>
      </c>
      <c r="D1744" t="s">
        <v>16</v>
      </c>
      <c r="E1744" t="s">
        <v>43</v>
      </c>
      <c r="F1744">
        <v>138100000</v>
      </c>
      <c r="G1744" t="s">
        <v>23</v>
      </c>
      <c r="H1744" t="s">
        <v>81</v>
      </c>
      <c r="I1744" t="s">
        <v>9</v>
      </c>
      <c r="L1744" t="s">
        <v>161</v>
      </c>
      <c r="M1744">
        <v>138100000</v>
      </c>
    </row>
    <row r="1745" spans="1:13" x14ac:dyDescent="0.3">
      <c r="A1745" s="23">
        <v>45147</v>
      </c>
      <c r="B1745" t="s">
        <v>12</v>
      </c>
      <c r="C1745" t="s">
        <v>132</v>
      </c>
      <c r="D1745" t="s">
        <v>17</v>
      </c>
      <c r="E1745" t="s">
        <v>43</v>
      </c>
      <c r="F1745">
        <v>50000000</v>
      </c>
      <c r="G1745" t="s">
        <v>23</v>
      </c>
      <c r="H1745" t="s">
        <v>81</v>
      </c>
      <c r="I1745" t="s">
        <v>9</v>
      </c>
      <c r="L1745" t="s">
        <v>161</v>
      </c>
      <c r="M1745">
        <v>-50000000</v>
      </c>
    </row>
    <row r="1746" spans="1:13" x14ac:dyDescent="0.3">
      <c r="A1746" s="23">
        <v>45397</v>
      </c>
      <c r="B1746" t="s">
        <v>12</v>
      </c>
      <c r="C1746" t="s">
        <v>132</v>
      </c>
      <c r="D1746" t="s">
        <v>17</v>
      </c>
      <c r="E1746" t="s">
        <v>43</v>
      </c>
      <c r="F1746">
        <v>503000000</v>
      </c>
      <c r="G1746" t="s">
        <v>23</v>
      </c>
      <c r="H1746" t="s">
        <v>81</v>
      </c>
      <c r="I1746" t="s">
        <v>9</v>
      </c>
      <c r="L1746" t="s">
        <v>161</v>
      </c>
      <c r="M1746">
        <v>-503000000</v>
      </c>
    </row>
    <row r="1747" spans="1:13" x14ac:dyDescent="0.3">
      <c r="A1747" s="23">
        <v>45148</v>
      </c>
      <c r="B1747" t="s">
        <v>12</v>
      </c>
      <c r="C1747" t="s">
        <v>132</v>
      </c>
      <c r="D1747" t="s">
        <v>16</v>
      </c>
      <c r="E1747" t="s">
        <v>43</v>
      </c>
      <c r="F1747">
        <v>310610.09999999998</v>
      </c>
      <c r="G1747" t="s">
        <v>23</v>
      </c>
      <c r="H1747" t="s">
        <v>81</v>
      </c>
      <c r="I1747" t="s">
        <v>9</v>
      </c>
      <c r="L1747" t="s">
        <v>161</v>
      </c>
      <c r="M1747">
        <v>310610.09999999998</v>
      </c>
    </row>
    <row r="1748" spans="1:13" x14ac:dyDescent="0.3">
      <c r="A1748" s="23">
        <v>45394</v>
      </c>
      <c r="B1748" t="s">
        <v>12</v>
      </c>
      <c r="C1748" t="s">
        <v>132</v>
      </c>
      <c r="D1748" t="s">
        <v>17</v>
      </c>
      <c r="E1748" t="s">
        <v>43</v>
      </c>
      <c r="F1748">
        <v>29800000</v>
      </c>
      <c r="G1748" t="s">
        <v>23</v>
      </c>
      <c r="H1748" t="s">
        <v>81</v>
      </c>
      <c r="I1748" t="s">
        <v>9</v>
      </c>
      <c r="L1748" t="s">
        <v>161</v>
      </c>
      <c r="M1748">
        <v>-29800000</v>
      </c>
    </row>
    <row r="1749" spans="1:13" x14ac:dyDescent="0.3">
      <c r="A1749" s="23">
        <v>45393</v>
      </c>
      <c r="B1749" t="s">
        <v>12</v>
      </c>
      <c r="C1749" t="s">
        <v>132</v>
      </c>
      <c r="D1749" t="s">
        <v>16</v>
      </c>
      <c r="E1749" t="s">
        <v>43</v>
      </c>
      <c r="F1749">
        <v>18600000</v>
      </c>
      <c r="G1749" t="s">
        <v>23</v>
      </c>
      <c r="H1749" t="s">
        <v>81</v>
      </c>
      <c r="I1749" t="s">
        <v>9</v>
      </c>
      <c r="L1749" t="s">
        <v>161</v>
      </c>
      <c r="M1749">
        <v>18600000</v>
      </c>
    </row>
    <row r="1750" spans="1:13" x14ac:dyDescent="0.3">
      <c r="A1750" s="23">
        <v>45392</v>
      </c>
      <c r="B1750" t="s">
        <v>12</v>
      </c>
      <c r="C1750" t="s">
        <v>132</v>
      </c>
      <c r="D1750" t="s">
        <v>17</v>
      </c>
      <c r="E1750" t="s">
        <v>43</v>
      </c>
      <c r="F1750">
        <v>149500000</v>
      </c>
      <c r="G1750" t="s">
        <v>23</v>
      </c>
      <c r="H1750" t="s">
        <v>81</v>
      </c>
      <c r="I1750" t="s">
        <v>9</v>
      </c>
      <c r="L1750" t="s">
        <v>161</v>
      </c>
      <c r="M1750">
        <v>-149500000</v>
      </c>
    </row>
    <row r="1751" spans="1:13" x14ac:dyDescent="0.3">
      <c r="A1751" s="23">
        <v>45390</v>
      </c>
      <c r="B1751" t="s">
        <v>12</v>
      </c>
      <c r="C1751" t="s">
        <v>132</v>
      </c>
      <c r="D1751" t="s">
        <v>16</v>
      </c>
      <c r="E1751" t="s">
        <v>43</v>
      </c>
      <c r="F1751">
        <v>653000000</v>
      </c>
      <c r="G1751" t="s">
        <v>23</v>
      </c>
      <c r="H1751" t="s">
        <v>81</v>
      </c>
      <c r="I1751" t="s">
        <v>9</v>
      </c>
      <c r="L1751" t="s">
        <v>161</v>
      </c>
      <c r="M1751">
        <v>653000000</v>
      </c>
    </row>
    <row r="1752" spans="1:13" x14ac:dyDescent="0.3">
      <c r="A1752" s="23">
        <v>45152</v>
      </c>
      <c r="B1752" t="s">
        <v>12</v>
      </c>
      <c r="C1752" t="s">
        <v>132</v>
      </c>
      <c r="D1752" t="s">
        <v>17</v>
      </c>
      <c r="E1752" t="s">
        <v>43</v>
      </c>
      <c r="F1752">
        <v>88410610.099999994</v>
      </c>
      <c r="G1752" t="s">
        <v>23</v>
      </c>
      <c r="H1752" t="s">
        <v>81</v>
      </c>
      <c r="I1752" t="s">
        <v>9</v>
      </c>
      <c r="L1752" t="s">
        <v>161</v>
      </c>
      <c r="M1752">
        <v>-88410610.099999994</v>
      </c>
    </row>
    <row r="1753" spans="1:13" x14ac:dyDescent="0.3">
      <c r="A1753" s="23">
        <v>45387</v>
      </c>
      <c r="B1753" t="s">
        <v>12</v>
      </c>
      <c r="C1753" t="s">
        <v>132</v>
      </c>
      <c r="D1753" t="s">
        <v>17</v>
      </c>
      <c r="E1753" t="s">
        <v>43</v>
      </c>
      <c r="F1753">
        <v>791800000</v>
      </c>
      <c r="G1753" t="s">
        <v>23</v>
      </c>
      <c r="H1753" t="s">
        <v>81</v>
      </c>
      <c r="I1753" t="s">
        <v>9</v>
      </c>
      <c r="L1753" t="s">
        <v>161</v>
      </c>
      <c r="M1753">
        <v>-791800000</v>
      </c>
    </row>
    <row r="1754" spans="1:13" x14ac:dyDescent="0.3">
      <c r="A1754" s="23">
        <v>45386</v>
      </c>
      <c r="B1754" t="s">
        <v>12</v>
      </c>
      <c r="C1754" t="s">
        <v>132</v>
      </c>
      <c r="D1754" t="s">
        <v>16</v>
      </c>
      <c r="E1754" t="s">
        <v>43</v>
      </c>
      <c r="F1754">
        <v>1744400000</v>
      </c>
      <c r="G1754" t="s">
        <v>23</v>
      </c>
      <c r="H1754" t="s">
        <v>81</v>
      </c>
      <c r="I1754" t="s">
        <v>9</v>
      </c>
      <c r="L1754" t="s">
        <v>161</v>
      </c>
      <c r="M1754">
        <v>1744400000</v>
      </c>
    </row>
    <row r="1755" spans="1:13" x14ac:dyDescent="0.3">
      <c r="A1755" s="23">
        <v>45385</v>
      </c>
      <c r="B1755" t="s">
        <v>12</v>
      </c>
      <c r="C1755" t="s">
        <v>132</v>
      </c>
      <c r="D1755" t="s">
        <v>17</v>
      </c>
      <c r="E1755" t="s">
        <v>43</v>
      </c>
      <c r="F1755">
        <v>32000000</v>
      </c>
      <c r="G1755" t="s">
        <v>23</v>
      </c>
      <c r="H1755" t="s">
        <v>81</v>
      </c>
      <c r="I1755" t="s">
        <v>9</v>
      </c>
      <c r="L1755" t="s">
        <v>161</v>
      </c>
      <c r="M1755">
        <v>-32000000</v>
      </c>
    </row>
    <row r="1756" spans="1:13" x14ac:dyDescent="0.3">
      <c r="A1756" s="23">
        <v>45383</v>
      </c>
      <c r="B1756" t="s">
        <v>12</v>
      </c>
      <c r="C1756" t="s">
        <v>132</v>
      </c>
      <c r="D1756" t="s">
        <v>16</v>
      </c>
      <c r="E1756" t="s">
        <v>43</v>
      </c>
      <c r="F1756">
        <v>11800000</v>
      </c>
      <c r="G1756" t="s">
        <v>23</v>
      </c>
      <c r="H1756" t="s">
        <v>81</v>
      </c>
      <c r="I1756" t="s">
        <v>9</v>
      </c>
      <c r="L1756" t="s">
        <v>161</v>
      </c>
      <c r="M1756">
        <v>11800000</v>
      </c>
    </row>
    <row r="1757" spans="1:13" x14ac:dyDescent="0.3">
      <c r="A1757" s="23">
        <v>45376</v>
      </c>
      <c r="B1757" t="s">
        <v>12</v>
      </c>
      <c r="C1757" t="s">
        <v>132</v>
      </c>
      <c r="D1757" t="s">
        <v>17</v>
      </c>
      <c r="E1757" t="s">
        <v>43</v>
      </c>
      <c r="F1757">
        <v>125400000</v>
      </c>
      <c r="G1757" t="s">
        <v>23</v>
      </c>
      <c r="H1757" t="s">
        <v>81</v>
      </c>
      <c r="I1757" t="s">
        <v>9</v>
      </c>
      <c r="L1757" t="s">
        <v>161</v>
      </c>
      <c r="M1757">
        <v>-125400000</v>
      </c>
    </row>
    <row r="1758" spans="1:13" x14ac:dyDescent="0.3">
      <c r="A1758" s="23">
        <v>45156</v>
      </c>
      <c r="B1758" t="s">
        <v>12</v>
      </c>
      <c r="C1758" t="s">
        <v>132</v>
      </c>
      <c r="D1758" t="s">
        <v>16</v>
      </c>
      <c r="E1758" t="s">
        <v>43</v>
      </c>
      <c r="F1758">
        <v>35500000</v>
      </c>
      <c r="G1758" t="s">
        <v>23</v>
      </c>
      <c r="H1758" t="s">
        <v>81</v>
      </c>
      <c r="I1758" t="s">
        <v>9</v>
      </c>
      <c r="L1758" t="s">
        <v>161</v>
      </c>
      <c r="M1758">
        <v>35500000</v>
      </c>
    </row>
    <row r="1759" spans="1:13" x14ac:dyDescent="0.3">
      <c r="A1759" s="23">
        <v>45160</v>
      </c>
      <c r="B1759" t="s">
        <v>12</v>
      </c>
      <c r="C1759" t="s">
        <v>132</v>
      </c>
      <c r="D1759" t="s">
        <v>16</v>
      </c>
      <c r="E1759" t="s">
        <v>43</v>
      </c>
      <c r="F1759">
        <v>37200000</v>
      </c>
      <c r="G1759" t="s">
        <v>23</v>
      </c>
      <c r="H1759" t="s">
        <v>81</v>
      </c>
      <c r="I1759" t="s">
        <v>9</v>
      </c>
      <c r="L1759" t="s">
        <v>161</v>
      </c>
      <c r="M1759">
        <v>37200000</v>
      </c>
    </row>
    <row r="1760" spans="1:13" x14ac:dyDescent="0.3">
      <c r="A1760" s="23">
        <v>45372</v>
      </c>
      <c r="B1760" t="s">
        <v>12</v>
      </c>
      <c r="C1760" t="s">
        <v>132</v>
      </c>
      <c r="D1760" t="s">
        <v>16</v>
      </c>
      <c r="E1760" t="s">
        <v>43</v>
      </c>
      <c r="F1760">
        <v>250000000</v>
      </c>
      <c r="G1760" t="s">
        <v>23</v>
      </c>
      <c r="H1760" t="s">
        <v>81</v>
      </c>
      <c r="I1760" t="s">
        <v>9</v>
      </c>
      <c r="L1760" t="s">
        <v>161</v>
      </c>
      <c r="M1760">
        <v>250000000</v>
      </c>
    </row>
    <row r="1761" spans="1:13" x14ac:dyDescent="0.3">
      <c r="A1761" s="23">
        <v>45161</v>
      </c>
      <c r="B1761" t="s">
        <v>12</v>
      </c>
      <c r="C1761" t="s">
        <v>132</v>
      </c>
      <c r="D1761" t="s">
        <v>16</v>
      </c>
      <c r="E1761" t="s">
        <v>43</v>
      </c>
      <c r="F1761">
        <v>490700000</v>
      </c>
      <c r="G1761" t="s">
        <v>23</v>
      </c>
      <c r="H1761" t="s">
        <v>81</v>
      </c>
      <c r="I1761" t="s">
        <v>9</v>
      </c>
      <c r="L1761" t="s">
        <v>161</v>
      </c>
      <c r="M1761">
        <v>490700000</v>
      </c>
    </row>
    <row r="1762" spans="1:13" x14ac:dyDescent="0.3">
      <c r="A1762" s="23">
        <v>45370</v>
      </c>
      <c r="B1762" t="s">
        <v>12</v>
      </c>
      <c r="C1762" t="s">
        <v>132</v>
      </c>
      <c r="D1762" t="s">
        <v>17</v>
      </c>
      <c r="E1762" t="s">
        <v>43</v>
      </c>
      <c r="F1762">
        <v>34800000</v>
      </c>
      <c r="G1762" t="s">
        <v>23</v>
      </c>
      <c r="H1762" t="s">
        <v>81</v>
      </c>
      <c r="I1762" t="s">
        <v>9</v>
      </c>
      <c r="L1762" t="s">
        <v>161</v>
      </c>
      <c r="M1762">
        <v>-34800000</v>
      </c>
    </row>
    <row r="1763" spans="1:13" x14ac:dyDescent="0.3">
      <c r="A1763" s="23">
        <v>45369</v>
      </c>
      <c r="B1763" t="s">
        <v>12</v>
      </c>
      <c r="C1763" t="s">
        <v>132</v>
      </c>
      <c r="D1763" t="s">
        <v>17</v>
      </c>
      <c r="E1763" t="s">
        <v>43</v>
      </c>
      <c r="F1763">
        <v>50000000</v>
      </c>
      <c r="G1763" t="s">
        <v>23</v>
      </c>
      <c r="H1763" t="s">
        <v>81</v>
      </c>
      <c r="I1763" t="s">
        <v>9</v>
      </c>
      <c r="L1763" t="s">
        <v>161</v>
      </c>
      <c r="M1763">
        <v>-50000000</v>
      </c>
    </row>
    <row r="1764" spans="1:13" x14ac:dyDescent="0.3">
      <c r="A1764" s="23">
        <v>45163</v>
      </c>
      <c r="B1764" t="s">
        <v>12</v>
      </c>
      <c r="C1764" t="s">
        <v>132</v>
      </c>
      <c r="D1764" t="s">
        <v>17</v>
      </c>
      <c r="E1764" t="s">
        <v>43</v>
      </c>
      <c r="F1764">
        <v>101700000</v>
      </c>
      <c r="G1764" t="s">
        <v>23</v>
      </c>
      <c r="H1764" t="s">
        <v>81</v>
      </c>
      <c r="I1764" t="s">
        <v>9</v>
      </c>
      <c r="L1764" t="s">
        <v>161</v>
      </c>
      <c r="M1764">
        <v>-101700000</v>
      </c>
    </row>
    <row r="1765" spans="1:13" x14ac:dyDescent="0.3">
      <c r="A1765" s="23">
        <v>45363</v>
      </c>
      <c r="B1765" t="s">
        <v>12</v>
      </c>
      <c r="C1765" t="s">
        <v>132</v>
      </c>
      <c r="D1765" t="s">
        <v>17</v>
      </c>
      <c r="E1765" t="s">
        <v>43</v>
      </c>
      <c r="F1765">
        <v>76200000</v>
      </c>
      <c r="G1765" t="s">
        <v>23</v>
      </c>
      <c r="H1765" t="s">
        <v>81</v>
      </c>
      <c r="I1765" t="s">
        <v>9</v>
      </c>
      <c r="L1765" t="s">
        <v>161</v>
      </c>
      <c r="M1765">
        <v>-76200000</v>
      </c>
    </row>
    <row r="1766" spans="1:13" x14ac:dyDescent="0.3">
      <c r="A1766" s="23">
        <v>45362</v>
      </c>
      <c r="B1766" t="s">
        <v>12</v>
      </c>
      <c r="C1766" t="s">
        <v>132</v>
      </c>
      <c r="D1766" t="s">
        <v>17</v>
      </c>
      <c r="E1766" t="s">
        <v>43</v>
      </c>
      <c r="F1766">
        <v>200000000</v>
      </c>
      <c r="G1766" t="s">
        <v>23</v>
      </c>
      <c r="H1766" t="s">
        <v>81</v>
      </c>
      <c r="I1766" t="s">
        <v>9</v>
      </c>
      <c r="L1766" t="s">
        <v>161</v>
      </c>
      <c r="M1766">
        <v>-200000000</v>
      </c>
    </row>
    <row r="1767" spans="1:13" x14ac:dyDescent="0.3">
      <c r="A1767" s="23">
        <v>45359</v>
      </c>
      <c r="B1767" t="s">
        <v>12</v>
      </c>
      <c r="C1767" t="s">
        <v>132</v>
      </c>
      <c r="D1767" t="s">
        <v>16</v>
      </c>
      <c r="E1767" t="s">
        <v>43</v>
      </c>
      <c r="F1767">
        <v>7200000</v>
      </c>
      <c r="G1767" t="s">
        <v>23</v>
      </c>
      <c r="H1767" t="s">
        <v>81</v>
      </c>
      <c r="I1767" t="s">
        <v>9</v>
      </c>
      <c r="L1767" t="s">
        <v>161</v>
      </c>
      <c r="M1767">
        <v>7200000</v>
      </c>
    </row>
    <row r="1768" spans="1:13" x14ac:dyDescent="0.3">
      <c r="A1768" s="23">
        <v>45166</v>
      </c>
      <c r="B1768" t="s">
        <v>12</v>
      </c>
      <c r="C1768" t="s">
        <v>132</v>
      </c>
      <c r="D1768" t="s">
        <v>17</v>
      </c>
      <c r="E1768" t="s">
        <v>43</v>
      </c>
      <c r="F1768">
        <v>7600000</v>
      </c>
      <c r="G1768" t="s">
        <v>23</v>
      </c>
      <c r="H1768" t="s">
        <v>81</v>
      </c>
      <c r="I1768" t="s">
        <v>9</v>
      </c>
      <c r="L1768" t="s">
        <v>161</v>
      </c>
      <c r="M1768">
        <v>-7600000</v>
      </c>
    </row>
    <row r="1769" spans="1:13" x14ac:dyDescent="0.3">
      <c r="A1769" s="23">
        <v>45359</v>
      </c>
      <c r="B1769" t="s">
        <v>12</v>
      </c>
      <c r="C1769" t="s">
        <v>132</v>
      </c>
      <c r="D1769" t="s">
        <v>17</v>
      </c>
      <c r="E1769" t="s">
        <v>43</v>
      </c>
      <c r="F1769">
        <v>152000000</v>
      </c>
      <c r="G1769" t="s">
        <v>23</v>
      </c>
      <c r="H1769" t="s">
        <v>81</v>
      </c>
      <c r="I1769" t="s">
        <v>9</v>
      </c>
      <c r="L1769" t="s">
        <v>161</v>
      </c>
      <c r="M1769">
        <v>-152000000</v>
      </c>
    </row>
    <row r="1770" spans="1:13" x14ac:dyDescent="0.3">
      <c r="A1770" s="23">
        <v>45358</v>
      </c>
      <c r="B1770" t="s">
        <v>12</v>
      </c>
      <c r="C1770" t="s">
        <v>132</v>
      </c>
      <c r="D1770" t="s">
        <v>16</v>
      </c>
      <c r="E1770" t="s">
        <v>43</v>
      </c>
      <c r="F1770">
        <v>199400000</v>
      </c>
      <c r="G1770" t="s">
        <v>23</v>
      </c>
      <c r="H1770" t="s">
        <v>81</v>
      </c>
      <c r="I1770" t="s">
        <v>9</v>
      </c>
      <c r="L1770" t="s">
        <v>161</v>
      </c>
      <c r="M1770">
        <v>199400000</v>
      </c>
    </row>
    <row r="1771" spans="1:13" x14ac:dyDescent="0.3">
      <c r="A1771" s="23">
        <v>45168</v>
      </c>
      <c r="B1771" t="s">
        <v>12</v>
      </c>
      <c r="C1771" t="s">
        <v>132</v>
      </c>
      <c r="D1771" t="s">
        <v>17</v>
      </c>
      <c r="E1771" t="s">
        <v>43</v>
      </c>
      <c r="F1771">
        <v>37600000</v>
      </c>
      <c r="G1771" t="s">
        <v>23</v>
      </c>
      <c r="H1771" t="s">
        <v>81</v>
      </c>
      <c r="I1771" t="s">
        <v>9</v>
      </c>
      <c r="L1771" t="s">
        <v>161</v>
      </c>
      <c r="M1771">
        <v>-37600000</v>
      </c>
    </row>
    <row r="1772" spans="1:13" x14ac:dyDescent="0.3">
      <c r="A1772" s="23">
        <v>45169</v>
      </c>
      <c r="B1772" t="s">
        <v>12</v>
      </c>
      <c r="C1772" t="s">
        <v>132</v>
      </c>
      <c r="D1772" t="s">
        <v>17</v>
      </c>
      <c r="E1772" t="s">
        <v>43</v>
      </c>
      <c r="F1772">
        <v>37000000</v>
      </c>
      <c r="G1772" t="s">
        <v>23</v>
      </c>
      <c r="H1772" t="s">
        <v>81</v>
      </c>
      <c r="I1772" t="s">
        <v>9</v>
      </c>
      <c r="L1772" t="s">
        <v>161</v>
      </c>
      <c r="M1772">
        <v>-37000000</v>
      </c>
    </row>
    <row r="1773" spans="1:13" x14ac:dyDescent="0.3">
      <c r="A1773" s="23">
        <v>45357</v>
      </c>
      <c r="B1773" t="s">
        <v>12</v>
      </c>
      <c r="C1773" t="s">
        <v>132</v>
      </c>
      <c r="D1773" t="s">
        <v>16</v>
      </c>
      <c r="E1773" t="s">
        <v>43</v>
      </c>
      <c r="F1773">
        <v>36800000</v>
      </c>
      <c r="G1773" t="s">
        <v>23</v>
      </c>
      <c r="H1773" t="s">
        <v>81</v>
      </c>
      <c r="I1773" t="s">
        <v>9</v>
      </c>
      <c r="L1773" t="s">
        <v>161</v>
      </c>
      <c r="M1773">
        <v>36800000</v>
      </c>
    </row>
    <row r="1774" spans="1:13" x14ac:dyDescent="0.3">
      <c r="A1774" s="23">
        <v>45169</v>
      </c>
      <c r="B1774" t="s">
        <v>12</v>
      </c>
      <c r="C1774" t="s">
        <v>132</v>
      </c>
      <c r="D1774" t="s">
        <v>17</v>
      </c>
      <c r="E1774" t="s">
        <v>43</v>
      </c>
      <c r="F1774">
        <v>112800000</v>
      </c>
      <c r="G1774" t="s">
        <v>23</v>
      </c>
      <c r="H1774" t="s">
        <v>81</v>
      </c>
      <c r="I1774" t="s">
        <v>9</v>
      </c>
      <c r="L1774" t="s">
        <v>161</v>
      </c>
      <c r="M1774">
        <v>-112800000</v>
      </c>
    </row>
    <row r="1775" spans="1:13" x14ac:dyDescent="0.3">
      <c r="A1775" s="23">
        <v>45170</v>
      </c>
      <c r="B1775" t="s">
        <v>12</v>
      </c>
      <c r="C1775" t="s">
        <v>132</v>
      </c>
      <c r="D1775" t="s">
        <v>16</v>
      </c>
      <c r="E1775" t="s">
        <v>43</v>
      </c>
      <c r="F1775">
        <v>10973825.789999999</v>
      </c>
      <c r="G1775" t="s">
        <v>23</v>
      </c>
      <c r="H1775" t="s">
        <v>81</v>
      </c>
      <c r="I1775" t="s">
        <v>9</v>
      </c>
      <c r="L1775" t="s">
        <v>161</v>
      </c>
      <c r="M1775">
        <v>10973825.789999999</v>
      </c>
    </row>
    <row r="1776" spans="1:13" x14ac:dyDescent="0.3">
      <c r="A1776" s="23">
        <v>45356</v>
      </c>
      <c r="B1776" t="s">
        <v>12</v>
      </c>
      <c r="C1776" t="s">
        <v>132</v>
      </c>
      <c r="D1776" t="s">
        <v>16</v>
      </c>
      <c r="E1776" t="s">
        <v>43</v>
      </c>
      <c r="F1776">
        <v>150000000</v>
      </c>
      <c r="G1776" t="s">
        <v>23</v>
      </c>
      <c r="H1776" t="s">
        <v>81</v>
      </c>
      <c r="I1776" t="s">
        <v>9</v>
      </c>
      <c r="L1776" t="s">
        <v>161</v>
      </c>
      <c r="M1776">
        <v>150000000</v>
      </c>
    </row>
    <row r="1777" spans="1:13" x14ac:dyDescent="0.3">
      <c r="A1777" s="23">
        <v>45352</v>
      </c>
      <c r="B1777" t="s">
        <v>12</v>
      </c>
      <c r="C1777" t="s">
        <v>132</v>
      </c>
      <c r="D1777" t="s">
        <v>17</v>
      </c>
      <c r="E1777" t="s">
        <v>43</v>
      </c>
      <c r="F1777">
        <v>100000000</v>
      </c>
      <c r="G1777" t="s">
        <v>23</v>
      </c>
      <c r="H1777" t="s">
        <v>81</v>
      </c>
      <c r="I1777" t="s">
        <v>9</v>
      </c>
      <c r="L1777" t="s">
        <v>161</v>
      </c>
      <c r="M1777">
        <v>-100000000</v>
      </c>
    </row>
    <row r="1778" spans="1:13" x14ac:dyDescent="0.3">
      <c r="A1778" s="23">
        <v>45351</v>
      </c>
      <c r="B1778" t="s">
        <v>12</v>
      </c>
      <c r="C1778" t="s">
        <v>132</v>
      </c>
      <c r="D1778" t="s">
        <v>16</v>
      </c>
      <c r="E1778" t="s">
        <v>43</v>
      </c>
      <c r="F1778">
        <v>126400000</v>
      </c>
      <c r="G1778" t="s">
        <v>23</v>
      </c>
      <c r="H1778" t="s">
        <v>81</v>
      </c>
      <c r="I1778" t="s">
        <v>9</v>
      </c>
      <c r="L1778" t="s">
        <v>161</v>
      </c>
      <c r="M1778">
        <v>126400000</v>
      </c>
    </row>
    <row r="1779" spans="1:13" x14ac:dyDescent="0.3">
      <c r="A1779" s="23">
        <v>45350</v>
      </c>
      <c r="B1779" t="s">
        <v>12</v>
      </c>
      <c r="C1779" t="s">
        <v>132</v>
      </c>
      <c r="D1779" t="s">
        <v>16</v>
      </c>
      <c r="E1779" t="s">
        <v>43</v>
      </c>
      <c r="F1779">
        <v>13700000</v>
      </c>
      <c r="G1779" t="s">
        <v>23</v>
      </c>
      <c r="H1779" t="s">
        <v>81</v>
      </c>
      <c r="I1779" t="s">
        <v>9</v>
      </c>
      <c r="L1779" t="s">
        <v>161</v>
      </c>
      <c r="M1779">
        <v>13700000</v>
      </c>
    </row>
    <row r="1780" spans="1:13" x14ac:dyDescent="0.3">
      <c r="A1780" s="23">
        <v>45343</v>
      </c>
      <c r="B1780" t="s">
        <v>12</v>
      </c>
      <c r="C1780" t="s">
        <v>132</v>
      </c>
      <c r="D1780" t="s">
        <v>16</v>
      </c>
      <c r="E1780" t="s">
        <v>43</v>
      </c>
      <c r="F1780">
        <v>2200000</v>
      </c>
      <c r="G1780" t="s">
        <v>23</v>
      </c>
      <c r="H1780" t="s">
        <v>81</v>
      </c>
      <c r="I1780" t="s">
        <v>9</v>
      </c>
      <c r="L1780" t="s">
        <v>161</v>
      </c>
      <c r="M1780">
        <v>2200000</v>
      </c>
    </row>
    <row r="1781" spans="1:13" x14ac:dyDescent="0.3">
      <c r="A1781" s="23">
        <v>45175</v>
      </c>
      <c r="B1781" t="s">
        <v>12</v>
      </c>
      <c r="C1781" t="s">
        <v>132</v>
      </c>
      <c r="D1781" t="s">
        <v>17</v>
      </c>
      <c r="E1781" t="s">
        <v>43</v>
      </c>
      <c r="F1781">
        <v>119900000</v>
      </c>
      <c r="G1781" t="s">
        <v>23</v>
      </c>
      <c r="H1781" t="s">
        <v>81</v>
      </c>
      <c r="I1781" t="s">
        <v>9</v>
      </c>
      <c r="L1781" t="s">
        <v>161</v>
      </c>
      <c r="M1781">
        <v>-119900000</v>
      </c>
    </row>
    <row r="1782" spans="1:13" x14ac:dyDescent="0.3">
      <c r="A1782" s="23">
        <v>45337</v>
      </c>
      <c r="B1782" t="s">
        <v>12</v>
      </c>
      <c r="C1782" t="s">
        <v>132</v>
      </c>
      <c r="D1782" t="s">
        <v>16</v>
      </c>
      <c r="E1782" t="s">
        <v>43</v>
      </c>
      <c r="F1782">
        <v>188900000</v>
      </c>
      <c r="G1782" t="s">
        <v>23</v>
      </c>
      <c r="H1782" t="s">
        <v>81</v>
      </c>
      <c r="I1782" t="s">
        <v>9</v>
      </c>
      <c r="L1782" t="s">
        <v>161</v>
      </c>
      <c r="M1782">
        <v>188900000</v>
      </c>
    </row>
    <row r="1783" spans="1:13" x14ac:dyDescent="0.3">
      <c r="A1783" s="23">
        <v>45177</v>
      </c>
      <c r="B1783" t="s">
        <v>12</v>
      </c>
      <c r="C1783" t="s">
        <v>132</v>
      </c>
      <c r="D1783" t="s">
        <v>17</v>
      </c>
      <c r="E1783" t="s">
        <v>43</v>
      </c>
      <c r="F1783">
        <v>100000000</v>
      </c>
      <c r="G1783" t="s">
        <v>23</v>
      </c>
      <c r="H1783" t="s">
        <v>81</v>
      </c>
      <c r="I1783" t="s">
        <v>9</v>
      </c>
      <c r="L1783" t="s">
        <v>161</v>
      </c>
      <c r="M1783">
        <v>-100000000</v>
      </c>
    </row>
    <row r="1784" spans="1:13" x14ac:dyDescent="0.3">
      <c r="A1784" s="23">
        <v>45331</v>
      </c>
      <c r="B1784" t="s">
        <v>12</v>
      </c>
      <c r="C1784" t="s">
        <v>132</v>
      </c>
      <c r="D1784" t="s">
        <v>17</v>
      </c>
      <c r="E1784" t="s">
        <v>43</v>
      </c>
      <c r="F1784">
        <v>55400000</v>
      </c>
      <c r="G1784" t="s">
        <v>23</v>
      </c>
      <c r="H1784" t="s">
        <v>81</v>
      </c>
      <c r="I1784" t="s">
        <v>9</v>
      </c>
      <c r="L1784" t="s">
        <v>161</v>
      </c>
      <c r="M1784">
        <v>-55400000</v>
      </c>
    </row>
    <row r="1785" spans="1:13" x14ac:dyDescent="0.3">
      <c r="A1785" s="23">
        <v>45180</v>
      </c>
      <c r="B1785" t="s">
        <v>12</v>
      </c>
      <c r="C1785" t="s">
        <v>132</v>
      </c>
      <c r="D1785" t="s">
        <v>17</v>
      </c>
      <c r="E1785" t="s">
        <v>43</v>
      </c>
      <c r="F1785">
        <v>56900000</v>
      </c>
      <c r="G1785" t="s">
        <v>23</v>
      </c>
      <c r="H1785" t="s">
        <v>81</v>
      </c>
      <c r="I1785" t="s">
        <v>9</v>
      </c>
      <c r="L1785" t="s">
        <v>161</v>
      </c>
      <c r="M1785">
        <v>-56900000</v>
      </c>
    </row>
    <row r="1786" spans="1:13" x14ac:dyDescent="0.3">
      <c r="A1786" s="23">
        <v>45330</v>
      </c>
      <c r="B1786" t="s">
        <v>12</v>
      </c>
      <c r="C1786" t="s">
        <v>132</v>
      </c>
      <c r="D1786" t="s">
        <v>17</v>
      </c>
      <c r="E1786" t="s">
        <v>43</v>
      </c>
      <c r="F1786">
        <v>150000000</v>
      </c>
      <c r="G1786" t="s">
        <v>23</v>
      </c>
      <c r="H1786" t="s">
        <v>81</v>
      </c>
      <c r="I1786" t="s">
        <v>9</v>
      </c>
      <c r="L1786" t="s">
        <v>161</v>
      </c>
      <c r="M1786">
        <v>-150000000</v>
      </c>
    </row>
    <row r="1787" spans="1:13" x14ac:dyDescent="0.3">
      <c r="A1787" s="23">
        <v>45329</v>
      </c>
      <c r="B1787" t="s">
        <v>12</v>
      </c>
      <c r="C1787" t="s">
        <v>132</v>
      </c>
      <c r="D1787" t="s">
        <v>17</v>
      </c>
      <c r="E1787" t="s">
        <v>43</v>
      </c>
      <c r="F1787">
        <v>89500000</v>
      </c>
      <c r="G1787" t="s">
        <v>23</v>
      </c>
      <c r="H1787" t="s">
        <v>81</v>
      </c>
      <c r="I1787" t="s">
        <v>9</v>
      </c>
      <c r="L1787" t="s">
        <v>161</v>
      </c>
      <c r="M1787">
        <v>-89500000</v>
      </c>
    </row>
    <row r="1788" spans="1:13" x14ac:dyDescent="0.3">
      <c r="A1788" s="23">
        <v>45328</v>
      </c>
      <c r="B1788" t="s">
        <v>12</v>
      </c>
      <c r="C1788" t="s">
        <v>132</v>
      </c>
      <c r="D1788" t="s">
        <v>16</v>
      </c>
      <c r="E1788" t="s">
        <v>43</v>
      </c>
      <c r="F1788">
        <v>200000000</v>
      </c>
      <c r="G1788" t="s">
        <v>23</v>
      </c>
      <c r="H1788" t="s">
        <v>81</v>
      </c>
      <c r="I1788" t="s">
        <v>9</v>
      </c>
      <c r="L1788" t="s">
        <v>161</v>
      </c>
      <c r="M1788">
        <v>200000000</v>
      </c>
    </row>
    <row r="1789" spans="1:13" x14ac:dyDescent="0.3">
      <c r="A1789" s="23">
        <v>45182</v>
      </c>
      <c r="B1789" t="s">
        <v>12</v>
      </c>
      <c r="C1789" t="s">
        <v>132</v>
      </c>
      <c r="D1789" t="s">
        <v>16</v>
      </c>
      <c r="E1789" t="s">
        <v>43</v>
      </c>
      <c r="F1789">
        <v>42600000</v>
      </c>
      <c r="G1789" t="s">
        <v>23</v>
      </c>
      <c r="H1789" t="s">
        <v>81</v>
      </c>
      <c r="I1789" t="s">
        <v>9</v>
      </c>
      <c r="L1789" t="s">
        <v>161</v>
      </c>
      <c r="M1789">
        <v>42600000</v>
      </c>
    </row>
    <row r="1790" spans="1:13" x14ac:dyDescent="0.3">
      <c r="A1790" s="23">
        <v>45324</v>
      </c>
      <c r="B1790" t="s">
        <v>12</v>
      </c>
      <c r="C1790" t="s">
        <v>132</v>
      </c>
      <c r="D1790" t="s">
        <v>17</v>
      </c>
      <c r="E1790" t="s">
        <v>43</v>
      </c>
      <c r="F1790">
        <v>32400000</v>
      </c>
      <c r="G1790" t="s">
        <v>23</v>
      </c>
      <c r="H1790" t="s">
        <v>81</v>
      </c>
      <c r="I1790" t="s">
        <v>9</v>
      </c>
      <c r="L1790" t="s">
        <v>161</v>
      </c>
      <c r="M1790">
        <v>-32400000</v>
      </c>
    </row>
    <row r="1791" spans="1:13" x14ac:dyDescent="0.3">
      <c r="A1791" s="23">
        <v>45323</v>
      </c>
      <c r="B1791" t="s">
        <v>12</v>
      </c>
      <c r="C1791" t="s">
        <v>132</v>
      </c>
      <c r="D1791" t="s">
        <v>17</v>
      </c>
      <c r="E1791" t="s">
        <v>43</v>
      </c>
      <c r="F1791">
        <v>200000000</v>
      </c>
      <c r="G1791" t="s">
        <v>23</v>
      </c>
      <c r="H1791" t="s">
        <v>81</v>
      </c>
      <c r="I1791" t="s">
        <v>9</v>
      </c>
      <c r="L1791" t="s">
        <v>161</v>
      </c>
      <c r="M1791">
        <v>-200000000</v>
      </c>
    </row>
    <row r="1792" spans="1:13" x14ac:dyDescent="0.3">
      <c r="A1792" s="23">
        <v>45184</v>
      </c>
      <c r="B1792" t="s">
        <v>12</v>
      </c>
      <c r="C1792" t="s">
        <v>132</v>
      </c>
      <c r="D1792" t="s">
        <v>16</v>
      </c>
      <c r="E1792" t="s">
        <v>43</v>
      </c>
      <c r="F1792">
        <v>5161235.68</v>
      </c>
      <c r="G1792" t="s">
        <v>23</v>
      </c>
      <c r="H1792" t="s">
        <v>81</v>
      </c>
      <c r="I1792" t="s">
        <v>9</v>
      </c>
      <c r="L1792" t="s">
        <v>161</v>
      </c>
      <c r="M1792">
        <v>5161235.68</v>
      </c>
    </row>
    <row r="1793" spans="1:13" x14ac:dyDescent="0.3">
      <c r="A1793" s="23">
        <v>45321</v>
      </c>
      <c r="B1793" t="s">
        <v>12</v>
      </c>
      <c r="C1793" t="s">
        <v>132</v>
      </c>
      <c r="D1793" t="s">
        <v>16</v>
      </c>
      <c r="E1793" t="s">
        <v>43</v>
      </c>
      <c r="F1793">
        <v>318000000</v>
      </c>
      <c r="G1793" t="s">
        <v>23</v>
      </c>
      <c r="H1793" t="s">
        <v>81</v>
      </c>
      <c r="I1793" t="s">
        <v>9</v>
      </c>
      <c r="L1793" t="s">
        <v>161</v>
      </c>
      <c r="M1793">
        <v>318000000</v>
      </c>
    </row>
    <row r="1794" spans="1:13" x14ac:dyDescent="0.3">
      <c r="A1794" s="23">
        <v>45184</v>
      </c>
      <c r="B1794" t="s">
        <v>12</v>
      </c>
      <c r="C1794" t="s">
        <v>132</v>
      </c>
      <c r="D1794" t="s">
        <v>17</v>
      </c>
      <c r="E1794" t="s">
        <v>43</v>
      </c>
      <c r="F1794">
        <v>29400000</v>
      </c>
      <c r="G1794" t="s">
        <v>23</v>
      </c>
      <c r="H1794" t="s">
        <v>81</v>
      </c>
      <c r="I1794" t="s">
        <v>9</v>
      </c>
      <c r="L1794" t="s">
        <v>161</v>
      </c>
      <c r="M1794">
        <v>-29400000</v>
      </c>
    </row>
    <row r="1795" spans="1:13" x14ac:dyDescent="0.3">
      <c r="A1795" s="23">
        <v>45313</v>
      </c>
      <c r="B1795" t="s">
        <v>12</v>
      </c>
      <c r="C1795" t="s">
        <v>132</v>
      </c>
      <c r="D1795" t="s">
        <v>17</v>
      </c>
      <c r="E1795" t="s">
        <v>43</v>
      </c>
      <c r="F1795">
        <v>3100000</v>
      </c>
      <c r="G1795" t="s">
        <v>23</v>
      </c>
      <c r="H1795" t="s">
        <v>81</v>
      </c>
      <c r="I1795" t="s">
        <v>9</v>
      </c>
      <c r="L1795" t="s">
        <v>161</v>
      </c>
      <c r="M1795">
        <v>-3100000</v>
      </c>
    </row>
    <row r="1796" spans="1:13" x14ac:dyDescent="0.3">
      <c r="A1796" s="23">
        <v>45308</v>
      </c>
      <c r="B1796" t="s">
        <v>12</v>
      </c>
      <c r="C1796" t="s">
        <v>132</v>
      </c>
      <c r="D1796" t="s">
        <v>16</v>
      </c>
      <c r="E1796" t="s">
        <v>43</v>
      </c>
      <c r="F1796">
        <v>2100000</v>
      </c>
      <c r="G1796" t="s">
        <v>23</v>
      </c>
      <c r="H1796" t="s">
        <v>81</v>
      </c>
      <c r="I1796" t="s">
        <v>9</v>
      </c>
      <c r="L1796" t="s">
        <v>161</v>
      </c>
      <c r="M1796">
        <v>2100000</v>
      </c>
    </row>
    <row r="1797" spans="1:13" x14ac:dyDescent="0.3">
      <c r="A1797" s="23">
        <v>45307</v>
      </c>
      <c r="B1797" t="s">
        <v>12</v>
      </c>
      <c r="C1797" t="s">
        <v>132</v>
      </c>
      <c r="D1797" t="s">
        <v>17</v>
      </c>
      <c r="E1797" t="s">
        <v>43</v>
      </c>
      <c r="F1797">
        <v>30000000</v>
      </c>
      <c r="G1797" t="s">
        <v>23</v>
      </c>
      <c r="H1797" t="s">
        <v>81</v>
      </c>
      <c r="I1797" t="s">
        <v>9</v>
      </c>
      <c r="L1797" t="s">
        <v>161</v>
      </c>
      <c r="M1797">
        <v>-30000000</v>
      </c>
    </row>
    <row r="1798" spans="1:13" x14ac:dyDescent="0.3">
      <c r="A1798" s="23">
        <v>45303</v>
      </c>
      <c r="B1798" t="s">
        <v>12</v>
      </c>
      <c r="C1798" t="s">
        <v>132</v>
      </c>
      <c r="D1798" t="s">
        <v>17</v>
      </c>
      <c r="E1798" t="s">
        <v>43</v>
      </c>
      <c r="F1798">
        <v>8500000</v>
      </c>
      <c r="G1798" t="s">
        <v>23</v>
      </c>
      <c r="H1798" t="s">
        <v>81</v>
      </c>
      <c r="I1798" t="s">
        <v>9</v>
      </c>
      <c r="L1798" t="s">
        <v>161</v>
      </c>
      <c r="M1798">
        <v>-8500000</v>
      </c>
    </row>
    <row r="1799" spans="1:13" x14ac:dyDescent="0.3">
      <c r="A1799" s="23">
        <v>45299</v>
      </c>
      <c r="B1799" t="s">
        <v>12</v>
      </c>
      <c r="C1799" t="s">
        <v>132</v>
      </c>
      <c r="D1799" t="s">
        <v>17</v>
      </c>
      <c r="E1799" t="s">
        <v>43</v>
      </c>
      <c r="F1799">
        <v>40000000</v>
      </c>
      <c r="G1799" t="s">
        <v>23</v>
      </c>
      <c r="H1799" t="s">
        <v>81</v>
      </c>
      <c r="I1799" t="s">
        <v>9</v>
      </c>
      <c r="L1799" t="s">
        <v>161</v>
      </c>
      <c r="M1799">
        <v>-40000000</v>
      </c>
    </row>
    <row r="1800" spans="1:13" x14ac:dyDescent="0.3">
      <c r="A1800" s="23">
        <v>45194</v>
      </c>
      <c r="B1800" t="s">
        <v>12</v>
      </c>
      <c r="C1800" t="s">
        <v>132</v>
      </c>
      <c r="D1800" t="s">
        <v>17</v>
      </c>
      <c r="E1800" t="s">
        <v>43</v>
      </c>
      <c r="F1800">
        <v>19235061.469999999</v>
      </c>
      <c r="G1800" t="s">
        <v>23</v>
      </c>
      <c r="H1800" t="s">
        <v>81</v>
      </c>
      <c r="I1800" t="s">
        <v>9</v>
      </c>
      <c r="L1800" t="s">
        <v>161</v>
      </c>
      <c r="M1800">
        <v>-19235061.469999999</v>
      </c>
    </row>
    <row r="1801" spans="1:13" x14ac:dyDescent="0.3">
      <c r="A1801" s="23">
        <v>45296</v>
      </c>
      <c r="B1801" t="s">
        <v>12</v>
      </c>
      <c r="C1801" t="s">
        <v>132</v>
      </c>
      <c r="D1801" t="s">
        <v>17</v>
      </c>
      <c r="E1801" t="s">
        <v>43</v>
      </c>
      <c r="F1801">
        <v>9800000</v>
      </c>
      <c r="G1801" t="s">
        <v>23</v>
      </c>
      <c r="H1801" t="s">
        <v>81</v>
      </c>
      <c r="I1801" t="s">
        <v>9</v>
      </c>
      <c r="L1801" t="s">
        <v>161</v>
      </c>
      <c r="M1801">
        <v>-9800000</v>
      </c>
    </row>
    <row r="1802" spans="1:13" x14ac:dyDescent="0.3">
      <c r="A1802" s="23">
        <v>45296</v>
      </c>
      <c r="B1802" t="s">
        <v>12</v>
      </c>
      <c r="C1802" t="s">
        <v>132</v>
      </c>
      <c r="D1802" t="s">
        <v>17</v>
      </c>
      <c r="E1802" t="s">
        <v>43</v>
      </c>
      <c r="F1802">
        <v>21000000</v>
      </c>
      <c r="G1802" t="s">
        <v>23</v>
      </c>
      <c r="H1802" t="s">
        <v>81</v>
      </c>
      <c r="I1802" t="s">
        <v>9</v>
      </c>
      <c r="L1802" t="s">
        <v>161</v>
      </c>
      <c r="M1802">
        <v>-21000000</v>
      </c>
    </row>
    <row r="1803" spans="1:13" x14ac:dyDescent="0.3">
      <c r="A1803" s="23">
        <v>45295</v>
      </c>
      <c r="B1803" t="s">
        <v>12</v>
      </c>
      <c r="C1803" t="s">
        <v>132</v>
      </c>
      <c r="D1803" t="s">
        <v>17</v>
      </c>
      <c r="E1803" t="s">
        <v>43</v>
      </c>
      <c r="F1803">
        <v>200000000</v>
      </c>
      <c r="G1803" t="s">
        <v>23</v>
      </c>
      <c r="H1803" t="s">
        <v>81</v>
      </c>
      <c r="I1803" t="s">
        <v>9</v>
      </c>
      <c r="L1803" t="s">
        <v>161</v>
      </c>
      <c r="M1803">
        <v>-200000000</v>
      </c>
    </row>
    <row r="1804" spans="1:13" x14ac:dyDescent="0.3">
      <c r="A1804" s="23">
        <v>45195</v>
      </c>
      <c r="B1804" t="s">
        <v>12</v>
      </c>
      <c r="C1804" t="s">
        <v>132</v>
      </c>
      <c r="D1804" t="s">
        <v>16</v>
      </c>
      <c r="E1804" t="s">
        <v>43</v>
      </c>
      <c r="F1804">
        <v>80000000</v>
      </c>
      <c r="G1804" t="s">
        <v>23</v>
      </c>
      <c r="H1804" t="s">
        <v>81</v>
      </c>
      <c r="I1804" t="s">
        <v>9</v>
      </c>
      <c r="L1804" t="s">
        <v>161</v>
      </c>
      <c r="M1804">
        <v>80000000</v>
      </c>
    </row>
    <row r="1805" spans="1:13" x14ac:dyDescent="0.3">
      <c r="A1805" s="23">
        <v>45293</v>
      </c>
      <c r="B1805" t="s">
        <v>12</v>
      </c>
      <c r="C1805" t="s">
        <v>132</v>
      </c>
      <c r="D1805" t="s">
        <v>17</v>
      </c>
      <c r="E1805" t="s">
        <v>43</v>
      </c>
      <c r="F1805">
        <v>480400000</v>
      </c>
      <c r="G1805" t="s">
        <v>23</v>
      </c>
      <c r="H1805" t="s">
        <v>81</v>
      </c>
      <c r="I1805" t="s">
        <v>9</v>
      </c>
      <c r="L1805" t="s">
        <v>161</v>
      </c>
      <c r="M1805">
        <v>-480400000</v>
      </c>
    </row>
    <row r="1806" spans="1:13" x14ac:dyDescent="0.3">
      <c r="A1806" s="23">
        <v>45197</v>
      </c>
      <c r="B1806" t="s">
        <v>12</v>
      </c>
      <c r="C1806" t="s">
        <v>132</v>
      </c>
      <c r="D1806" t="s">
        <v>17</v>
      </c>
      <c r="E1806" t="s">
        <v>43</v>
      </c>
      <c r="F1806">
        <v>70000000</v>
      </c>
      <c r="G1806" t="s">
        <v>23</v>
      </c>
      <c r="H1806" t="s">
        <v>81</v>
      </c>
      <c r="I1806" t="s">
        <v>9</v>
      </c>
      <c r="L1806" t="s">
        <v>161</v>
      </c>
      <c r="M1806">
        <v>-70000000</v>
      </c>
    </row>
    <row r="1807" spans="1:13" x14ac:dyDescent="0.3">
      <c r="A1807" s="23">
        <v>45289</v>
      </c>
      <c r="B1807" t="s">
        <v>12</v>
      </c>
      <c r="C1807" t="s">
        <v>132</v>
      </c>
      <c r="D1807" t="s">
        <v>16</v>
      </c>
      <c r="E1807" t="s">
        <v>43</v>
      </c>
      <c r="F1807">
        <v>800000000</v>
      </c>
      <c r="G1807" t="s">
        <v>23</v>
      </c>
      <c r="H1807" t="s">
        <v>81</v>
      </c>
      <c r="I1807" t="s">
        <v>9</v>
      </c>
      <c r="L1807" t="s">
        <v>161</v>
      </c>
      <c r="M1807">
        <v>800000000</v>
      </c>
    </row>
    <row r="1808" spans="1:13" x14ac:dyDescent="0.3">
      <c r="A1808" s="23">
        <v>45288</v>
      </c>
      <c r="B1808" t="s">
        <v>12</v>
      </c>
      <c r="C1808" t="s">
        <v>132</v>
      </c>
      <c r="D1808" t="s">
        <v>17</v>
      </c>
      <c r="E1808" t="s">
        <v>43</v>
      </c>
      <c r="F1808">
        <v>47000000</v>
      </c>
      <c r="G1808" t="s">
        <v>23</v>
      </c>
      <c r="H1808" t="s">
        <v>81</v>
      </c>
      <c r="I1808" t="s">
        <v>9</v>
      </c>
      <c r="L1808" t="s">
        <v>161</v>
      </c>
      <c r="M1808">
        <v>-47000000</v>
      </c>
    </row>
    <row r="1809" spans="1:13" x14ac:dyDescent="0.3">
      <c r="A1809" s="23">
        <v>45198</v>
      </c>
      <c r="B1809" t="s">
        <v>12</v>
      </c>
      <c r="C1809" t="s">
        <v>132</v>
      </c>
      <c r="D1809" t="s">
        <v>17</v>
      </c>
      <c r="E1809" t="s">
        <v>43</v>
      </c>
      <c r="F1809">
        <v>10000000</v>
      </c>
      <c r="G1809" t="s">
        <v>23</v>
      </c>
      <c r="H1809" t="s">
        <v>81</v>
      </c>
      <c r="I1809" t="s">
        <v>9</v>
      </c>
      <c r="L1809" t="s">
        <v>161</v>
      </c>
      <c r="M1809">
        <v>-10000000</v>
      </c>
    </row>
    <row r="1810" spans="1:13" x14ac:dyDescent="0.3">
      <c r="A1810" s="23">
        <v>45281</v>
      </c>
      <c r="B1810" t="s">
        <v>12</v>
      </c>
      <c r="C1810" t="s">
        <v>132</v>
      </c>
      <c r="D1810" t="s">
        <v>16</v>
      </c>
      <c r="E1810" t="s">
        <v>43</v>
      </c>
      <c r="F1810">
        <v>47000000</v>
      </c>
      <c r="G1810" t="s">
        <v>23</v>
      </c>
      <c r="H1810" t="s">
        <v>81</v>
      </c>
      <c r="I1810" t="s">
        <v>9</v>
      </c>
      <c r="L1810" t="s">
        <v>161</v>
      </c>
      <c r="M1810">
        <v>47000000</v>
      </c>
    </row>
    <row r="1811" spans="1:13" x14ac:dyDescent="0.3">
      <c r="A1811" s="23">
        <v>45279</v>
      </c>
      <c r="B1811" t="s">
        <v>12</v>
      </c>
      <c r="C1811" t="s">
        <v>132</v>
      </c>
      <c r="D1811" t="s">
        <v>17</v>
      </c>
      <c r="E1811" t="s">
        <v>43</v>
      </c>
      <c r="F1811">
        <v>903800000</v>
      </c>
      <c r="G1811" t="s">
        <v>23</v>
      </c>
      <c r="H1811" t="s">
        <v>81</v>
      </c>
      <c r="I1811" t="s">
        <v>9</v>
      </c>
      <c r="L1811" t="s">
        <v>161</v>
      </c>
      <c r="M1811">
        <v>-903800000</v>
      </c>
    </row>
    <row r="1812" spans="1:13" x14ac:dyDescent="0.3">
      <c r="A1812" s="23">
        <v>45275</v>
      </c>
      <c r="B1812" t="s">
        <v>12</v>
      </c>
      <c r="C1812" t="s">
        <v>132</v>
      </c>
      <c r="D1812" t="s">
        <v>16</v>
      </c>
      <c r="E1812" t="s">
        <v>43</v>
      </c>
      <c r="F1812">
        <v>903800000</v>
      </c>
      <c r="G1812" t="s">
        <v>23</v>
      </c>
      <c r="H1812" t="s">
        <v>81</v>
      </c>
      <c r="I1812" t="s">
        <v>9</v>
      </c>
      <c r="L1812" t="s">
        <v>161</v>
      </c>
      <c r="M1812">
        <v>903800000</v>
      </c>
    </row>
    <row r="1813" spans="1:13" x14ac:dyDescent="0.3">
      <c r="A1813" s="23">
        <v>44652</v>
      </c>
      <c r="B1813" t="s">
        <v>12</v>
      </c>
      <c r="C1813" t="s">
        <v>132</v>
      </c>
      <c r="D1813" t="s">
        <v>17</v>
      </c>
      <c r="E1813" t="s">
        <v>39</v>
      </c>
      <c r="F1813">
        <v>710000000</v>
      </c>
      <c r="G1813" t="s">
        <v>24</v>
      </c>
      <c r="H1813" t="s">
        <v>81</v>
      </c>
      <c r="I1813" t="s">
        <v>9</v>
      </c>
      <c r="L1813" t="s">
        <v>161</v>
      </c>
      <c r="M1813">
        <v>-710000000</v>
      </c>
    </row>
    <row r="1814" spans="1:13" x14ac:dyDescent="0.3">
      <c r="A1814" s="23">
        <v>45804</v>
      </c>
      <c r="B1814" t="s">
        <v>12</v>
      </c>
      <c r="C1814" t="s">
        <v>132</v>
      </c>
      <c r="D1814" t="s">
        <v>16</v>
      </c>
      <c r="E1814" t="s">
        <v>39</v>
      </c>
      <c r="F1814">
        <v>747000</v>
      </c>
      <c r="G1814" t="s">
        <v>24</v>
      </c>
      <c r="H1814" t="s">
        <v>81</v>
      </c>
      <c r="I1814" t="s">
        <v>9</v>
      </c>
      <c r="L1814" t="s">
        <v>161</v>
      </c>
      <c r="M1814">
        <v>747000</v>
      </c>
    </row>
    <row r="1815" spans="1:13" x14ac:dyDescent="0.3">
      <c r="A1815" s="23">
        <v>45769</v>
      </c>
      <c r="B1815" t="s">
        <v>12</v>
      </c>
      <c r="C1815" t="s">
        <v>132</v>
      </c>
      <c r="D1815" t="s">
        <v>16</v>
      </c>
      <c r="E1815" t="s">
        <v>39</v>
      </c>
      <c r="F1815">
        <v>1490000</v>
      </c>
      <c r="G1815" t="s">
        <v>24</v>
      </c>
      <c r="H1815" t="s">
        <v>81</v>
      </c>
      <c r="I1815" t="s">
        <v>9</v>
      </c>
      <c r="L1815" t="s">
        <v>161</v>
      </c>
      <c r="M1815">
        <v>1490000</v>
      </c>
    </row>
    <row r="1816" spans="1:13" x14ac:dyDescent="0.3">
      <c r="A1816" s="23">
        <v>44742</v>
      </c>
      <c r="B1816" t="s">
        <v>12</v>
      </c>
      <c r="C1816" t="s">
        <v>132</v>
      </c>
      <c r="D1816" t="s">
        <v>16</v>
      </c>
      <c r="E1816" t="s">
        <v>39</v>
      </c>
      <c r="F1816">
        <v>710000000</v>
      </c>
      <c r="G1816" t="s">
        <v>24</v>
      </c>
      <c r="H1816" t="s">
        <v>81</v>
      </c>
      <c r="I1816" t="s">
        <v>9</v>
      </c>
      <c r="L1816" t="s">
        <v>161</v>
      </c>
      <c r="M1816">
        <v>710000000</v>
      </c>
    </row>
    <row r="1817" spans="1:13" x14ac:dyDescent="0.3">
      <c r="A1817" s="23">
        <v>45695</v>
      </c>
      <c r="B1817" t="s">
        <v>12</v>
      </c>
      <c r="C1817" t="s">
        <v>132</v>
      </c>
      <c r="D1817" t="s">
        <v>16</v>
      </c>
      <c r="E1817" t="s">
        <v>39</v>
      </c>
      <c r="F1817">
        <v>6470000</v>
      </c>
      <c r="G1817" t="s">
        <v>24</v>
      </c>
      <c r="H1817" t="s">
        <v>81</v>
      </c>
      <c r="I1817" t="s">
        <v>9</v>
      </c>
      <c r="L1817" t="s">
        <v>161</v>
      </c>
      <c r="M1817">
        <v>6470000</v>
      </c>
    </row>
    <row r="1818" spans="1:13" x14ac:dyDescent="0.3">
      <c r="A1818" s="23">
        <v>44775</v>
      </c>
      <c r="B1818" t="s">
        <v>12</v>
      </c>
      <c r="C1818" t="s">
        <v>132</v>
      </c>
      <c r="D1818" t="s">
        <v>16</v>
      </c>
      <c r="E1818" t="s">
        <v>39</v>
      </c>
      <c r="F1818">
        <v>161000000</v>
      </c>
      <c r="G1818" t="s">
        <v>24</v>
      </c>
      <c r="H1818" t="s">
        <v>81</v>
      </c>
      <c r="I1818" t="s">
        <v>9</v>
      </c>
      <c r="L1818" t="s">
        <v>161</v>
      </c>
      <c r="M1818">
        <v>161000000</v>
      </c>
    </row>
    <row r="1819" spans="1:13" x14ac:dyDescent="0.3">
      <c r="A1819" s="23">
        <v>44778</v>
      </c>
      <c r="B1819" t="s">
        <v>12</v>
      </c>
      <c r="C1819" t="s">
        <v>132</v>
      </c>
      <c r="D1819" t="s">
        <v>17</v>
      </c>
      <c r="E1819" t="s">
        <v>39</v>
      </c>
      <c r="F1819">
        <v>58500000</v>
      </c>
      <c r="G1819" t="s">
        <v>24</v>
      </c>
      <c r="H1819" t="s">
        <v>81</v>
      </c>
      <c r="I1819" t="s">
        <v>9</v>
      </c>
      <c r="L1819" t="s">
        <v>161</v>
      </c>
      <c r="M1819">
        <v>-58500000</v>
      </c>
    </row>
    <row r="1820" spans="1:13" x14ac:dyDescent="0.3">
      <c r="A1820" s="23">
        <v>44781</v>
      </c>
      <c r="B1820" t="s">
        <v>12</v>
      </c>
      <c r="C1820" t="s">
        <v>132</v>
      </c>
      <c r="D1820" t="s">
        <v>16</v>
      </c>
      <c r="E1820" t="s">
        <v>39</v>
      </c>
      <c r="F1820">
        <v>100000000</v>
      </c>
      <c r="G1820" t="s">
        <v>24</v>
      </c>
      <c r="H1820" t="s">
        <v>81</v>
      </c>
      <c r="I1820" t="s">
        <v>9</v>
      </c>
      <c r="L1820" t="s">
        <v>161</v>
      </c>
      <c r="M1820">
        <v>100000000</v>
      </c>
    </row>
    <row r="1821" spans="1:13" x14ac:dyDescent="0.3">
      <c r="A1821" s="23">
        <v>44782</v>
      </c>
      <c r="B1821" t="s">
        <v>12</v>
      </c>
      <c r="C1821" t="s">
        <v>132</v>
      </c>
      <c r="D1821" t="s">
        <v>17</v>
      </c>
      <c r="E1821" t="s">
        <v>39</v>
      </c>
      <c r="F1821">
        <v>146500000</v>
      </c>
      <c r="G1821" t="s">
        <v>24</v>
      </c>
      <c r="H1821" t="s">
        <v>81</v>
      </c>
      <c r="I1821" t="s">
        <v>9</v>
      </c>
      <c r="L1821" t="s">
        <v>161</v>
      </c>
      <c r="M1821">
        <v>-146500000</v>
      </c>
    </row>
    <row r="1822" spans="1:13" x14ac:dyDescent="0.3">
      <c r="A1822" s="23">
        <v>44789</v>
      </c>
      <c r="B1822" t="s">
        <v>12</v>
      </c>
      <c r="C1822" t="s">
        <v>132</v>
      </c>
      <c r="D1822" t="s">
        <v>17</v>
      </c>
      <c r="E1822" t="s">
        <v>39</v>
      </c>
      <c r="F1822">
        <v>56000000</v>
      </c>
      <c r="G1822" t="s">
        <v>24</v>
      </c>
      <c r="H1822" t="s">
        <v>81</v>
      </c>
      <c r="I1822" t="s">
        <v>9</v>
      </c>
      <c r="L1822" t="s">
        <v>161</v>
      </c>
      <c r="M1822">
        <v>-56000000</v>
      </c>
    </row>
    <row r="1823" spans="1:13" x14ac:dyDescent="0.3">
      <c r="A1823" s="23">
        <v>45656</v>
      </c>
      <c r="B1823" t="s">
        <v>12</v>
      </c>
      <c r="C1823" t="s">
        <v>132</v>
      </c>
      <c r="D1823" t="s">
        <v>17</v>
      </c>
      <c r="E1823" t="s">
        <v>39</v>
      </c>
      <c r="F1823">
        <v>2230000000</v>
      </c>
      <c r="G1823" t="s">
        <v>24</v>
      </c>
      <c r="H1823" t="s">
        <v>81</v>
      </c>
      <c r="I1823" t="s">
        <v>9</v>
      </c>
      <c r="L1823" t="s">
        <v>161</v>
      </c>
      <c r="M1823">
        <v>-2230000000</v>
      </c>
    </row>
    <row r="1824" spans="1:13" x14ac:dyDescent="0.3">
      <c r="A1824" s="23">
        <v>45653</v>
      </c>
      <c r="B1824" t="s">
        <v>12</v>
      </c>
      <c r="C1824" t="s">
        <v>132</v>
      </c>
      <c r="D1824" t="s">
        <v>16</v>
      </c>
      <c r="E1824" t="s">
        <v>39</v>
      </c>
      <c r="F1824">
        <v>2250000000</v>
      </c>
      <c r="G1824" t="s">
        <v>24</v>
      </c>
      <c r="H1824" t="s">
        <v>81</v>
      </c>
      <c r="I1824" t="s">
        <v>9</v>
      </c>
      <c r="L1824" t="s">
        <v>161</v>
      </c>
      <c r="M1824">
        <v>2250000000</v>
      </c>
    </row>
    <row r="1825" spans="1:13" x14ac:dyDescent="0.3">
      <c r="A1825" s="23">
        <v>44803</v>
      </c>
      <c r="B1825" t="s">
        <v>12</v>
      </c>
      <c r="C1825" t="s">
        <v>132</v>
      </c>
      <c r="D1825" t="s">
        <v>16</v>
      </c>
      <c r="E1825" t="s">
        <v>39</v>
      </c>
      <c r="F1825">
        <v>125500000</v>
      </c>
      <c r="G1825" t="s">
        <v>24</v>
      </c>
      <c r="H1825" t="s">
        <v>81</v>
      </c>
      <c r="I1825" t="s">
        <v>9</v>
      </c>
      <c r="L1825" t="s">
        <v>161</v>
      </c>
      <c r="M1825">
        <v>125500000</v>
      </c>
    </row>
    <row r="1826" spans="1:13" x14ac:dyDescent="0.3">
      <c r="A1826" s="23">
        <v>44804</v>
      </c>
      <c r="B1826" t="s">
        <v>12</v>
      </c>
      <c r="C1826" t="s">
        <v>132</v>
      </c>
      <c r="D1826" t="s">
        <v>17</v>
      </c>
      <c r="E1826" t="s">
        <v>39</v>
      </c>
      <c r="F1826">
        <v>91400000</v>
      </c>
      <c r="G1826" t="s">
        <v>24</v>
      </c>
      <c r="H1826" t="s">
        <v>81</v>
      </c>
      <c r="I1826" t="s">
        <v>9</v>
      </c>
      <c r="L1826" t="s">
        <v>161</v>
      </c>
      <c r="M1826">
        <v>-91400000</v>
      </c>
    </row>
    <row r="1827" spans="1:13" x14ac:dyDescent="0.3">
      <c r="A1827" s="23">
        <v>44805</v>
      </c>
      <c r="B1827" t="s">
        <v>12</v>
      </c>
      <c r="C1827" t="s">
        <v>132</v>
      </c>
      <c r="D1827" t="s">
        <v>17</v>
      </c>
      <c r="E1827" t="s">
        <v>39</v>
      </c>
      <c r="F1827">
        <v>34100000</v>
      </c>
      <c r="G1827" t="s">
        <v>24</v>
      </c>
      <c r="H1827" t="s">
        <v>81</v>
      </c>
      <c r="I1827" t="s">
        <v>9</v>
      </c>
      <c r="L1827" t="s">
        <v>161</v>
      </c>
      <c r="M1827">
        <v>-34100000</v>
      </c>
    </row>
    <row r="1828" spans="1:13" x14ac:dyDescent="0.3">
      <c r="A1828" s="23">
        <v>45628</v>
      </c>
      <c r="B1828" t="s">
        <v>12</v>
      </c>
      <c r="C1828" t="s">
        <v>132</v>
      </c>
      <c r="D1828" t="s">
        <v>17</v>
      </c>
      <c r="E1828" t="s">
        <v>39</v>
      </c>
      <c r="F1828">
        <v>300000000</v>
      </c>
      <c r="G1828" t="s">
        <v>24</v>
      </c>
      <c r="H1828" t="s">
        <v>81</v>
      </c>
      <c r="I1828" t="s">
        <v>9</v>
      </c>
      <c r="L1828" t="s">
        <v>161</v>
      </c>
      <c r="M1828">
        <v>-300000000</v>
      </c>
    </row>
    <row r="1829" spans="1:13" x14ac:dyDescent="0.3">
      <c r="A1829" s="23">
        <v>45625</v>
      </c>
      <c r="B1829" t="s">
        <v>12</v>
      </c>
      <c r="C1829" t="s">
        <v>132</v>
      </c>
      <c r="D1829" t="s">
        <v>16</v>
      </c>
      <c r="E1829" t="s">
        <v>39</v>
      </c>
      <c r="F1829">
        <v>300000000</v>
      </c>
      <c r="G1829" t="s">
        <v>24</v>
      </c>
      <c r="H1829" t="s">
        <v>81</v>
      </c>
      <c r="I1829" t="s">
        <v>9</v>
      </c>
      <c r="L1829" t="s">
        <v>161</v>
      </c>
      <c r="M1829">
        <v>300000000</v>
      </c>
    </row>
    <row r="1830" spans="1:13" x14ac:dyDescent="0.3">
      <c r="A1830" s="23">
        <v>45566</v>
      </c>
      <c r="B1830" t="s">
        <v>12</v>
      </c>
      <c r="C1830" t="s">
        <v>132</v>
      </c>
      <c r="D1830" t="s">
        <v>17</v>
      </c>
      <c r="E1830" t="s">
        <v>39</v>
      </c>
      <c r="F1830">
        <v>63927000</v>
      </c>
      <c r="G1830" t="s">
        <v>24</v>
      </c>
      <c r="H1830" t="s">
        <v>81</v>
      </c>
      <c r="I1830" t="s">
        <v>9</v>
      </c>
      <c r="L1830" t="s">
        <v>161</v>
      </c>
      <c r="M1830">
        <v>-63927000</v>
      </c>
    </row>
    <row r="1831" spans="1:13" x14ac:dyDescent="0.3">
      <c r="A1831" s="23">
        <v>45565</v>
      </c>
      <c r="B1831" t="s">
        <v>12</v>
      </c>
      <c r="C1831" t="s">
        <v>132</v>
      </c>
      <c r="D1831" t="s">
        <v>16</v>
      </c>
      <c r="E1831" t="s">
        <v>39</v>
      </c>
      <c r="F1831">
        <v>1550000</v>
      </c>
      <c r="G1831" t="s">
        <v>24</v>
      </c>
      <c r="H1831" t="s">
        <v>81</v>
      </c>
      <c r="I1831" t="s">
        <v>9</v>
      </c>
      <c r="L1831" t="s">
        <v>161</v>
      </c>
      <c r="M1831">
        <v>1550000</v>
      </c>
    </row>
    <row r="1832" spans="1:13" x14ac:dyDescent="0.3">
      <c r="A1832" s="23">
        <v>45538</v>
      </c>
      <c r="B1832" t="s">
        <v>12</v>
      </c>
      <c r="C1832" t="s">
        <v>132</v>
      </c>
      <c r="D1832" t="s">
        <v>16</v>
      </c>
      <c r="E1832" t="s">
        <v>39</v>
      </c>
      <c r="F1832">
        <v>2260000</v>
      </c>
      <c r="G1832" t="s">
        <v>24</v>
      </c>
      <c r="H1832" t="s">
        <v>81</v>
      </c>
      <c r="I1832" t="s">
        <v>9</v>
      </c>
      <c r="L1832" t="s">
        <v>161</v>
      </c>
      <c r="M1832">
        <v>2260000</v>
      </c>
    </row>
    <row r="1833" spans="1:13" x14ac:dyDescent="0.3">
      <c r="A1833" s="23">
        <v>45504</v>
      </c>
      <c r="B1833" t="s">
        <v>12</v>
      </c>
      <c r="C1833" t="s">
        <v>132</v>
      </c>
      <c r="D1833" t="s">
        <v>16</v>
      </c>
      <c r="E1833" t="s">
        <v>39</v>
      </c>
      <c r="F1833">
        <v>35347000</v>
      </c>
      <c r="G1833" t="s">
        <v>24</v>
      </c>
      <c r="H1833" t="s">
        <v>81</v>
      </c>
      <c r="I1833" t="s">
        <v>9</v>
      </c>
      <c r="L1833" t="s">
        <v>161</v>
      </c>
      <c r="M1833">
        <v>35347000</v>
      </c>
    </row>
    <row r="1834" spans="1:13" x14ac:dyDescent="0.3">
      <c r="A1834" s="23">
        <v>45474</v>
      </c>
      <c r="B1834" t="s">
        <v>12</v>
      </c>
      <c r="C1834" t="s">
        <v>132</v>
      </c>
      <c r="D1834" t="s">
        <v>17</v>
      </c>
      <c r="E1834" t="s">
        <v>39</v>
      </c>
      <c r="F1834">
        <v>1913000000</v>
      </c>
      <c r="G1834" t="s">
        <v>24</v>
      </c>
      <c r="H1834" t="s">
        <v>81</v>
      </c>
      <c r="I1834" t="s">
        <v>9</v>
      </c>
      <c r="L1834" t="s">
        <v>161</v>
      </c>
      <c r="M1834">
        <v>-1913000000</v>
      </c>
    </row>
    <row r="1835" spans="1:13" x14ac:dyDescent="0.3">
      <c r="A1835" s="23">
        <v>45460</v>
      </c>
      <c r="B1835" t="s">
        <v>12</v>
      </c>
      <c r="C1835" t="s">
        <v>132</v>
      </c>
      <c r="D1835" t="s">
        <v>16</v>
      </c>
      <c r="E1835" t="s">
        <v>39</v>
      </c>
      <c r="F1835">
        <v>13770000</v>
      </c>
      <c r="G1835" t="s">
        <v>24</v>
      </c>
      <c r="H1835" t="s">
        <v>81</v>
      </c>
      <c r="I1835" t="s">
        <v>9</v>
      </c>
      <c r="L1835" t="s">
        <v>161</v>
      </c>
      <c r="M1835">
        <v>13770000</v>
      </c>
    </row>
    <row r="1836" spans="1:13" x14ac:dyDescent="0.3">
      <c r="A1836" s="23">
        <v>45450</v>
      </c>
      <c r="B1836" t="s">
        <v>12</v>
      </c>
      <c r="C1836" t="s">
        <v>132</v>
      </c>
      <c r="D1836" t="s">
        <v>16</v>
      </c>
      <c r="E1836" t="s">
        <v>39</v>
      </c>
      <c r="F1836">
        <v>1924000000</v>
      </c>
      <c r="G1836" t="s">
        <v>24</v>
      </c>
      <c r="H1836" t="s">
        <v>81</v>
      </c>
      <c r="I1836" t="s">
        <v>9</v>
      </c>
      <c r="L1836" t="s">
        <v>161</v>
      </c>
      <c r="M1836">
        <v>1924000000</v>
      </c>
    </row>
    <row r="1837" spans="1:13" x14ac:dyDescent="0.3">
      <c r="A1837" s="23">
        <v>45295</v>
      </c>
      <c r="B1837" t="s">
        <v>12</v>
      </c>
      <c r="C1837" t="s">
        <v>132</v>
      </c>
      <c r="D1837" t="s">
        <v>17</v>
      </c>
      <c r="E1837" t="s">
        <v>39</v>
      </c>
      <c r="F1837">
        <v>100000000</v>
      </c>
      <c r="G1837" t="s">
        <v>24</v>
      </c>
      <c r="H1837" t="s">
        <v>81</v>
      </c>
      <c r="I1837" t="s">
        <v>9</v>
      </c>
      <c r="L1837" t="s">
        <v>161</v>
      </c>
      <c r="M1837">
        <v>-100000000</v>
      </c>
    </row>
    <row r="1838" spans="1:13" x14ac:dyDescent="0.3">
      <c r="A1838" s="23">
        <v>45293</v>
      </c>
      <c r="B1838" t="s">
        <v>12</v>
      </c>
      <c r="C1838" t="s">
        <v>132</v>
      </c>
      <c r="D1838" t="s">
        <v>17</v>
      </c>
      <c r="E1838" t="s">
        <v>39</v>
      </c>
      <c r="F1838">
        <v>1700000000</v>
      </c>
      <c r="G1838" t="s">
        <v>24</v>
      </c>
      <c r="H1838" t="s">
        <v>81</v>
      </c>
      <c r="I1838" t="s">
        <v>9</v>
      </c>
      <c r="L1838" t="s">
        <v>161</v>
      </c>
      <c r="M1838">
        <v>-1700000000</v>
      </c>
    </row>
    <row r="1839" spans="1:13" x14ac:dyDescent="0.3">
      <c r="A1839" s="23">
        <v>45288</v>
      </c>
      <c r="B1839" t="s">
        <v>12</v>
      </c>
      <c r="C1839" t="s">
        <v>132</v>
      </c>
      <c r="D1839" t="s">
        <v>17</v>
      </c>
      <c r="E1839" t="s">
        <v>39</v>
      </c>
      <c r="F1839">
        <v>100000000</v>
      </c>
      <c r="G1839" t="s">
        <v>24</v>
      </c>
      <c r="H1839" t="s">
        <v>81</v>
      </c>
      <c r="I1839" t="s">
        <v>9</v>
      </c>
      <c r="L1839" t="s">
        <v>161</v>
      </c>
      <c r="M1839">
        <v>-100000000</v>
      </c>
    </row>
    <row r="1840" spans="1:13" x14ac:dyDescent="0.3">
      <c r="A1840" s="23">
        <v>45287</v>
      </c>
      <c r="B1840" t="s">
        <v>12</v>
      </c>
      <c r="C1840" t="s">
        <v>132</v>
      </c>
      <c r="D1840" t="s">
        <v>16</v>
      </c>
      <c r="E1840" t="s">
        <v>39</v>
      </c>
      <c r="F1840">
        <v>1900000000</v>
      </c>
      <c r="G1840" t="s">
        <v>24</v>
      </c>
      <c r="H1840" t="s">
        <v>81</v>
      </c>
      <c r="I1840" t="s">
        <v>9</v>
      </c>
      <c r="L1840" t="s">
        <v>161</v>
      </c>
      <c r="M1840">
        <v>1900000000</v>
      </c>
    </row>
    <row r="1841" spans="1:13" x14ac:dyDescent="0.3">
      <c r="A1841" s="23">
        <v>45819</v>
      </c>
      <c r="B1841" t="s">
        <v>12</v>
      </c>
      <c r="C1841" t="s">
        <v>132</v>
      </c>
      <c r="D1841" t="s">
        <v>16</v>
      </c>
      <c r="E1841" t="s">
        <v>128</v>
      </c>
      <c r="F1841">
        <v>23928192.48</v>
      </c>
      <c r="G1841" t="s">
        <v>129</v>
      </c>
      <c r="H1841" t="s">
        <v>81</v>
      </c>
      <c r="I1841" t="s">
        <v>9</v>
      </c>
      <c r="L1841" t="s">
        <v>161</v>
      </c>
      <c r="M1841">
        <v>23928192.48</v>
      </c>
    </row>
    <row r="1842" spans="1:13" x14ac:dyDescent="0.3">
      <c r="A1842" s="23">
        <v>45819</v>
      </c>
      <c r="B1842" t="s">
        <v>12</v>
      </c>
      <c r="C1842" t="s">
        <v>132</v>
      </c>
      <c r="D1842" t="s">
        <v>16</v>
      </c>
      <c r="E1842" t="s">
        <v>128</v>
      </c>
      <c r="F1842">
        <v>34176732.100000001</v>
      </c>
      <c r="G1842" t="s">
        <v>129</v>
      </c>
      <c r="H1842" t="s">
        <v>81</v>
      </c>
      <c r="I1842" t="s">
        <v>9</v>
      </c>
      <c r="L1842" t="s">
        <v>161</v>
      </c>
      <c r="M1842">
        <v>34176732.100000001</v>
      </c>
    </row>
    <row r="1843" spans="1:13" x14ac:dyDescent="0.3">
      <c r="A1843" s="23">
        <v>45089</v>
      </c>
      <c r="B1843" t="s">
        <v>12</v>
      </c>
      <c r="C1843" t="s">
        <v>132</v>
      </c>
      <c r="D1843" t="s">
        <v>16</v>
      </c>
      <c r="E1843" t="s">
        <v>128</v>
      </c>
      <c r="F1843">
        <v>100000000</v>
      </c>
      <c r="G1843" t="s">
        <v>129</v>
      </c>
      <c r="H1843" t="s">
        <v>81</v>
      </c>
      <c r="I1843" t="s">
        <v>9</v>
      </c>
      <c r="L1843" t="s">
        <v>161</v>
      </c>
      <c r="M1843">
        <v>100000000</v>
      </c>
    </row>
    <row r="1844" spans="1:13" x14ac:dyDescent="0.3">
      <c r="A1844" s="23">
        <v>45091</v>
      </c>
      <c r="B1844" t="s">
        <v>12</v>
      </c>
      <c r="C1844" t="s">
        <v>132</v>
      </c>
      <c r="D1844" t="s">
        <v>16</v>
      </c>
      <c r="E1844" t="s">
        <v>128</v>
      </c>
      <c r="F1844">
        <v>1110182</v>
      </c>
      <c r="G1844" t="s">
        <v>129</v>
      </c>
      <c r="H1844" t="s">
        <v>81</v>
      </c>
      <c r="I1844" t="s">
        <v>9</v>
      </c>
      <c r="J1844" t="s">
        <v>155</v>
      </c>
      <c r="L1844" t="s">
        <v>161</v>
      </c>
      <c r="M1844">
        <v>1110182</v>
      </c>
    </row>
    <row r="1845" spans="1:13" x14ac:dyDescent="0.3">
      <c r="A1845" s="23">
        <v>45099</v>
      </c>
      <c r="B1845" t="s">
        <v>12</v>
      </c>
      <c r="C1845" t="s">
        <v>132</v>
      </c>
      <c r="D1845" t="s">
        <v>17</v>
      </c>
      <c r="E1845" t="s">
        <v>128</v>
      </c>
      <c r="F1845">
        <v>101110182</v>
      </c>
      <c r="G1845" t="s">
        <v>129</v>
      </c>
      <c r="H1845" t="s">
        <v>81</v>
      </c>
      <c r="I1845" t="s">
        <v>9</v>
      </c>
      <c r="L1845" t="s">
        <v>161</v>
      </c>
      <c r="M1845">
        <v>-101110182</v>
      </c>
    </row>
    <row r="1846" spans="1:13" x14ac:dyDescent="0.3">
      <c r="A1846" s="23">
        <v>45121</v>
      </c>
      <c r="B1846" t="s">
        <v>12</v>
      </c>
      <c r="C1846" t="s">
        <v>132</v>
      </c>
      <c r="D1846" t="s">
        <v>16</v>
      </c>
      <c r="E1846" t="s">
        <v>128</v>
      </c>
      <c r="F1846">
        <v>102900000</v>
      </c>
      <c r="G1846" t="s">
        <v>129</v>
      </c>
      <c r="H1846" t="s">
        <v>81</v>
      </c>
      <c r="I1846" t="s">
        <v>9</v>
      </c>
      <c r="L1846" t="s">
        <v>161</v>
      </c>
      <c r="M1846">
        <v>102900000</v>
      </c>
    </row>
    <row r="1847" spans="1:13" x14ac:dyDescent="0.3">
      <c r="A1847" s="23">
        <v>45128</v>
      </c>
      <c r="B1847" t="s">
        <v>12</v>
      </c>
      <c r="C1847" t="s">
        <v>132</v>
      </c>
      <c r="D1847" t="s">
        <v>17</v>
      </c>
      <c r="E1847" t="s">
        <v>128</v>
      </c>
      <c r="F1847">
        <v>102900000</v>
      </c>
      <c r="G1847" t="s">
        <v>129</v>
      </c>
      <c r="H1847" t="s">
        <v>81</v>
      </c>
      <c r="I1847" t="s">
        <v>9</v>
      </c>
      <c r="L1847" t="s">
        <v>161</v>
      </c>
      <c r="M1847">
        <v>-102900000</v>
      </c>
    </row>
    <row r="1848" spans="1:13" x14ac:dyDescent="0.3">
      <c r="A1848" s="23">
        <v>45128</v>
      </c>
      <c r="B1848" t="s">
        <v>12</v>
      </c>
      <c r="C1848" t="s">
        <v>132</v>
      </c>
      <c r="D1848" t="s">
        <v>16</v>
      </c>
      <c r="E1848" t="s">
        <v>128</v>
      </c>
      <c r="F1848">
        <v>228424</v>
      </c>
      <c r="G1848" t="s">
        <v>129</v>
      </c>
      <c r="H1848" t="s">
        <v>81</v>
      </c>
      <c r="I1848" t="s">
        <v>9</v>
      </c>
      <c r="L1848" t="s">
        <v>161</v>
      </c>
      <c r="M1848">
        <v>228424</v>
      </c>
    </row>
    <row r="1849" spans="1:13" x14ac:dyDescent="0.3">
      <c r="A1849" s="23">
        <v>45132</v>
      </c>
      <c r="B1849" t="s">
        <v>12</v>
      </c>
      <c r="C1849" t="s">
        <v>132</v>
      </c>
      <c r="D1849" t="s">
        <v>16</v>
      </c>
      <c r="E1849" t="s">
        <v>128</v>
      </c>
      <c r="F1849">
        <v>3552</v>
      </c>
      <c r="G1849" t="s">
        <v>129</v>
      </c>
      <c r="H1849" t="s">
        <v>81</v>
      </c>
      <c r="I1849" t="s">
        <v>9</v>
      </c>
      <c r="J1849" t="s">
        <v>155</v>
      </c>
      <c r="L1849" t="s">
        <v>161</v>
      </c>
      <c r="M1849">
        <v>3552</v>
      </c>
    </row>
    <row r="1850" spans="1:13" x14ac:dyDescent="0.3">
      <c r="A1850" s="23">
        <v>45142</v>
      </c>
      <c r="B1850" t="s">
        <v>12</v>
      </c>
      <c r="C1850" t="s">
        <v>132</v>
      </c>
      <c r="D1850" t="s">
        <v>17</v>
      </c>
      <c r="E1850" t="s">
        <v>128</v>
      </c>
      <c r="F1850">
        <v>231976</v>
      </c>
      <c r="G1850" t="s">
        <v>129</v>
      </c>
      <c r="H1850" t="s">
        <v>81</v>
      </c>
      <c r="I1850" t="s">
        <v>9</v>
      </c>
      <c r="L1850" t="s">
        <v>161</v>
      </c>
      <c r="M1850">
        <v>-231976</v>
      </c>
    </row>
    <row r="1851" spans="1:13" x14ac:dyDescent="0.3">
      <c r="A1851" s="23">
        <v>45153</v>
      </c>
      <c r="B1851" t="s">
        <v>12</v>
      </c>
      <c r="C1851" t="s">
        <v>132</v>
      </c>
      <c r="D1851" t="s">
        <v>16</v>
      </c>
      <c r="E1851" t="s">
        <v>128</v>
      </c>
      <c r="F1851">
        <v>200000000</v>
      </c>
      <c r="G1851" t="s">
        <v>129</v>
      </c>
      <c r="H1851" t="s">
        <v>81</v>
      </c>
      <c r="I1851" t="s">
        <v>9</v>
      </c>
      <c r="L1851" t="s">
        <v>161</v>
      </c>
      <c r="M1851">
        <v>200000000</v>
      </c>
    </row>
    <row r="1852" spans="1:13" x14ac:dyDescent="0.3">
      <c r="A1852" s="23">
        <v>45155</v>
      </c>
      <c r="B1852" t="s">
        <v>12</v>
      </c>
      <c r="C1852" t="s">
        <v>132</v>
      </c>
      <c r="D1852" t="s">
        <v>17</v>
      </c>
      <c r="E1852" t="s">
        <v>128</v>
      </c>
      <c r="F1852">
        <v>200000000</v>
      </c>
      <c r="G1852" t="s">
        <v>129</v>
      </c>
      <c r="H1852" t="s">
        <v>81</v>
      </c>
      <c r="I1852" t="s">
        <v>9</v>
      </c>
      <c r="L1852" t="s">
        <v>161</v>
      </c>
      <c r="M1852">
        <v>-200000000</v>
      </c>
    </row>
    <row r="1853" spans="1:13" x14ac:dyDescent="0.3">
      <c r="A1853" s="23">
        <v>45155</v>
      </c>
      <c r="B1853" t="s">
        <v>12</v>
      </c>
      <c r="C1853" t="s">
        <v>132</v>
      </c>
      <c r="D1853" t="s">
        <v>16</v>
      </c>
      <c r="E1853" t="s">
        <v>128</v>
      </c>
      <c r="F1853">
        <v>200000000</v>
      </c>
      <c r="G1853" t="s">
        <v>129</v>
      </c>
      <c r="H1853" t="s">
        <v>81</v>
      </c>
      <c r="I1853" t="s">
        <v>9</v>
      </c>
      <c r="L1853" t="s">
        <v>161</v>
      </c>
      <c r="M1853">
        <v>200000000</v>
      </c>
    </row>
    <row r="1854" spans="1:13" x14ac:dyDescent="0.3">
      <c r="A1854" s="23">
        <v>45156</v>
      </c>
      <c r="B1854" t="s">
        <v>12</v>
      </c>
      <c r="C1854" t="s">
        <v>132</v>
      </c>
      <c r="D1854" t="s">
        <v>16</v>
      </c>
      <c r="E1854" t="s">
        <v>128</v>
      </c>
      <c r="F1854">
        <v>1012848</v>
      </c>
      <c r="G1854" t="s">
        <v>129</v>
      </c>
      <c r="H1854" t="s">
        <v>81</v>
      </c>
      <c r="I1854" t="s">
        <v>9</v>
      </c>
      <c r="L1854" t="s">
        <v>161</v>
      </c>
      <c r="M1854">
        <v>1012848</v>
      </c>
    </row>
    <row r="1855" spans="1:13" x14ac:dyDescent="0.3">
      <c r="A1855" s="23">
        <v>45156</v>
      </c>
      <c r="B1855" t="s">
        <v>12</v>
      </c>
      <c r="C1855" t="s">
        <v>132</v>
      </c>
      <c r="D1855" t="s">
        <v>17</v>
      </c>
      <c r="E1855" t="s">
        <v>128</v>
      </c>
      <c r="F1855">
        <v>201012848</v>
      </c>
      <c r="G1855" t="s">
        <v>129</v>
      </c>
      <c r="H1855" t="s">
        <v>81</v>
      </c>
      <c r="I1855" t="s">
        <v>9</v>
      </c>
      <c r="L1855" t="s">
        <v>161</v>
      </c>
      <c r="M1855">
        <v>-201012848</v>
      </c>
    </row>
    <row r="1856" spans="1:13" x14ac:dyDescent="0.3">
      <c r="A1856" s="23">
        <v>45174</v>
      </c>
      <c r="B1856" t="s">
        <v>12</v>
      </c>
      <c r="C1856" t="s">
        <v>132</v>
      </c>
      <c r="D1856" t="s">
        <v>16</v>
      </c>
      <c r="E1856" t="s">
        <v>128</v>
      </c>
      <c r="F1856">
        <v>211035118</v>
      </c>
      <c r="G1856" t="s">
        <v>129</v>
      </c>
      <c r="H1856" t="s">
        <v>81</v>
      </c>
      <c r="I1856" t="s">
        <v>9</v>
      </c>
      <c r="L1856" t="s">
        <v>161</v>
      </c>
      <c r="M1856">
        <v>211035118</v>
      </c>
    </row>
    <row r="1857" spans="1:13" x14ac:dyDescent="0.3">
      <c r="A1857" s="23">
        <v>45177</v>
      </c>
      <c r="B1857" t="s">
        <v>12</v>
      </c>
      <c r="C1857" t="s">
        <v>132</v>
      </c>
      <c r="D1857" t="s">
        <v>16</v>
      </c>
      <c r="E1857" t="s">
        <v>128</v>
      </c>
      <c r="F1857">
        <v>1681196</v>
      </c>
      <c r="G1857" t="s">
        <v>129</v>
      </c>
      <c r="H1857" t="s">
        <v>81</v>
      </c>
      <c r="I1857" t="s">
        <v>9</v>
      </c>
      <c r="L1857" t="s">
        <v>161</v>
      </c>
      <c r="M1857">
        <v>1681196</v>
      </c>
    </row>
    <row r="1858" spans="1:13" x14ac:dyDescent="0.3">
      <c r="A1858" s="23">
        <v>45177</v>
      </c>
      <c r="B1858" t="s">
        <v>12</v>
      </c>
      <c r="C1858" t="s">
        <v>132</v>
      </c>
      <c r="D1858" t="s">
        <v>17</v>
      </c>
      <c r="E1858" t="s">
        <v>128</v>
      </c>
      <c r="F1858">
        <v>212716314</v>
      </c>
      <c r="G1858" t="s">
        <v>129</v>
      </c>
      <c r="H1858" t="s">
        <v>81</v>
      </c>
      <c r="I1858" t="s">
        <v>9</v>
      </c>
      <c r="L1858" t="s">
        <v>161</v>
      </c>
      <c r="M1858">
        <v>-212716314</v>
      </c>
    </row>
    <row r="1859" spans="1:13" x14ac:dyDescent="0.3">
      <c r="A1859" s="23">
        <v>45128</v>
      </c>
      <c r="B1859" t="s">
        <v>12</v>
      </c>
      <c r="C1859" t="s">
        <v>132</v>
      </c>
      <c r="D1859" t="s">
        <v>16</v>
      </c>
      <c r="E1859" t="s">
        <v>45</v>
      </c>
      <c r="F1859">
        <v>6000000</v>
      </c>
      <c r="G1859" t="s">
        <v>26</v>
      </c>
      <c r="H1859" t="s">
        <v>81</v>
      </c>
      <c r="I1859" t="s">
        <v>9</v>
      </c>
      <c r="L1859" t="s">
        <v>161</v>
      </c>
      <c r="M1859">
        <v>6000000</v>
      </c>
    </row>
    <row r="1860" spans="1:13" x14ac:dyDescent="0.3">
      <c r="A1860" s="23">
        <v>45132</v>
      </c>
      <c r="B1860" t="s">
        <v>12</v>
      </c>
      <c r="C1860" t="s">
        <v>132</v>
      </c>
      <c r="D1860" t="s">
        <v>16</v>
      </c>
      <c r="E1860" t="s">
        <v>45</v>
      </c>
      <c r="F1860">
        <v>144368.01</v>
      </c>
      <c r="G1860" t="s">
        <v>26</v>
      </c>
      <c r="H1860" t="s">
        <v>81</v>
      </c>
      <c r="I1860" t="s">
        <v>9</v>
      </c>
      <c r="J1860" t="s">
        <v>155</v>
      </c>
      <c r="L1860" t="s">
        <v>161</v>
      </c>
      <c r="M1860">
        <v>144368.01</v>
      </c>
    </row>
    <row r="1861" spans="1:13" x14ac:dyDescent="0.3">
      <c r="A1861" s="23">
        <v>45134</v>
      </c>
      <c r="B1861" t="s">
        <v>12</v>
      </c>
      <c r="C1861" t="s">
        <v>132</v>
      </c>
      <c r="D1861" t="s">
        <v>17</v>
      </c>
      <c r="E1861" t="s">
        <v>45</v>
      </c>
      <c r="F1861">
        <v>6144368.0099999998</v>
      </c>
      <c r="G1861" t="s">
        <v>26</v>
      </c>
      <c r="H1861" t="s">
        <v>81</v>
      </c>
      <c r="I1861" t="s">
        <v>9</v>
      </c>
      <c r="L1861" t="s">
        <v>161</v>
      </c>
      <c r="M1861">
        <v>-6144368.0099999998</v>
      </c>
    </row>
    <row r="1862" spans="1:13" x14ac:dyDescent="0.3">
      <c r="A1862" s="23">
        <v>45869</v>
      </c>
      <c r="B1862" t="s">
        <v>12</v>
      </c>
      <c r="C1862" t="s">
        <v>132</v>
      </c>
      <c r="D1862" t="s">
        <v>17</v>
      </c>
      <c r="E1862" t="s">
        <v>162</v>
      </c>
      <c r="F1862">
        <v>255851107</v>
      </c>
      <c r="G1862" t="s">
        <v>22</v>
      </c>
      <c r="H1862" t="s">
        <v>81</v>
      </c>
      <c r="I1862" t="s">
        <v>9</v>
      </c>
      <c r="L1862" t="s">
        <v>161</v>
      </c>
      <c r="M1862">
        <v>-255851107</v>
      </c>
    </row>
    <row r="1863" spans="1:13" x14ac:dyDescent="0.3">
      <c r="A1863" s="23">
        <v>45806</v>
      </c>
      <c r="B1863" t="s">
        <v>12</v>
      </c>
      <c r="C1863" t="s">
        <v>132</v>
      </c>
      <c r="D1863" t="s">
        <v>16</v>
      </c>
      <c r="E1863" t="s">
        <v>162</v>
      </c>
      <c r="F1863">
        <v>12683538</v>
      </c>
      <c r="G1863" t="s">
        <v>22</v>
      </c>
      <c r="H1863" t="s">
        <v>81</v>
      </c>
      <c r="I1863" t="s">
        <v>9</v>
      </c>
      <c r="L1863" t="s">
        <v>161</v>
      </c>
      <c r="M1863">
        <v>12683538</v>
      </c>
    </row>
    <row r="1864" spans="1:13" x14ac:dyDescent="0.3">
      <c r="A1864" s="23">
        <v>45737</v>
      </c>
      <c r="B1864" t="s">
        <v>12</v>
      </c>
      <c r="C1864" t="s">
        <v>132</v>
      </c>
      <c r="D1864" t="s">
        <v>16</v>
      </c>
      <c r="E1864" t="s">
        <v>162</v>
      </c>
      <c r="F1864">
        <v>183851625</v>
      </c>
      <c r="G1864" t="s">
        <v>22</v>
      </c>
      <c r="H1864" t="s">
        <v>81</v>
      </c>
      <c r="I1864" t="s">
        <v>9</v>
      </c>
      <c r="L1864" t="s">
        <v>161</v>
      </c>
      <c r="M1864">
        <v>183851625</v>
      </c>
    </row>
    <row r="1865" spans="1:13" x14ac:dyDescent="0.3">
      <c r="A1865" s="23">
        <v>45695</v>
      </c>
      <c r="B1865" t="s">
        <v>12</v>
      </c>
      <c r="C1865" t="s">
        <v>132</v>
      </c>
      <c r="D1865" t="s">
        <v>16</v>
      </c>
      <c r="E1865" t="s">
        <v>162</v>
      </c>
      <c r="F1865">
        <v>960000</v>
      </c>
      <c r="G1865" t="s">
        <v>22</v>
      </c>
      <c r="H1865" t="s">
        <v>81</v>
      </c>
      <c r="I1865" t="s">
        <v>9</v>
      </c>
      <c r="L1865" t="s">
        <v>161</v>
      </c>
      <c r="M1865">
        <v>960000</v>
      </c>
    </row>
    <row r="1866" spans="1:13" x14ac:dyDescent="0.3">
      <c r="A1866" s="23">
        <v>45674</v>
      </c>
      <c r="B1866" t="s">
        <v>12</v>
      </c>
      <c r="C1866" t="s">
        <v>132</v>
      </c>
      <c r="D1866" t="s">
        <v>16</v>
      </c>
      <c r="E1866" t="s">
        <v>162</v>
      </c>
      <c r="F1866">
        <v>58355944</v>
      </c>
      <c r="G1866" t="s">
        <v>22</v>
      </c>
      <c r="H1866" t="s">
        <v>81</v>
      </c>
      <c r="I1866" t="s">
        <v>9</v>
      </c>
      <c r="L1866" t="s">
        <v>161</v>
      </c>
      <c r="M1866">
        <v>58355944</v>
      </c>
    </row>
    <row r="1867" spans="1:13" x14ac:dyDescent="0.3">
      <c r="A1867" s="23">
        <v>45666</v>
      </c>
      <c r="B1867" t="s">
        <v>12</v>
      </c>
      <c r="C1867" t="s">
        <v>132</v>
      </c>
      <c r="D1867" t="s">
        <v>17</v>
      </c>
      <c r="E1867" t="s">
        <v>162</v>
      </c>
      <c r="F1867">
        <v>56461776</v>
      </c>
      <c r="G1867" t="s">
        <v>22</v>
      </c>
      <c r="H1867" t="s">
        <v>81</v>
      </c>
      <c r="I1867" t="s">
        <v>9</v>
      </c>
      <c r="L1867" t="s">
        <v>161</v>
      </c>
      <c r="M1867">
        <v>-56461776</v>
      </c>
    </row>
    <row r="1868" spans="1:13" x14ac:dyDescent="0.3">
      <c r="A1868" s="23">
        <v>45664</v>
      </c>
      <c r="B1868" t="s">
        <v>12</v>
      </c>
      <c r="C1868" t="s">
        <v>132</v>
      </c>
      <c r="D1868" t="s">
        <v>16</v>
      </c>
      <c r="E1868" t="s">
        <v>162</v>
      </c>
      <c r="F1868">
        <v>56461776</v>
      </c>
      <c r="G1868" t="s">
        <v>22</v>
      </c>
      <c r="H1868" t="s">
        <v>81</v>
      </c>
      <c r="I1868" t="s">
        <v>9</v>
      </c>
      <c r="L1868" t="s">
        <v>161</v>
      </c>
      <c r="M1868">
        <v>56461776</v>
      </c>
    </row>
    <row r="1869" spans="1:13" x14ac:dyDescent="0.3">
      <c r="A1869" s="23">
        <v>45656</v>
      </c>
      <c r="B1869" t="s">
        <v>12</v>
      </c>
      <c r="C1869" t="s">
        <v>132</v>
      </c>
      <c r="D1869" t="s">
        <v>17</v>
      </c>
      <c r="E1869" t="s">
        <v>162</v>
      </c>
      <c r="F1869">
        <v>131142113</v>
      </c>
      <c r="G1869" t="s">
        <v>22</v>
      </c>
      <c r="H1869" t="s">
        <v>81</v>
      </c>
      <c r="I1869" t="s">
        <v>9</v>
      </c>
      <c r="L1869" t="s">
        <v>161</v>
      </c>
      <c r="M1869">
        <v>-131142113</v>
      </c>
    </row>
    <row r="1870" spans="1:13" x14ac:dyDescent="0.3">
      <c r="A1870" s="23">
        <v>45652</v>
      </c>
      <c r="B1870" t="s">
        <v>12</v>
      </c>
      <c r="C1870" t="s">
        <v>132</v>
      </c>
      <c r="D1870" t="s">
        <v>16</v>
      </c>
      <c r="E1870" t="s">
        <v>162</v>
      </c>
      <c r="F1870">
        <v>42617313</v>
      </c>
      <c r="G1870" t="s">
        <v>22</v>
      </c>
      <c r="H1870" t="s">
        <v>81</v>
      </c>
      <c r="I1870" t="s">
        <v>9</v>
      </c>
      <c r="L1870" t="s">
        <v>161</v>
      </c>
      <c r="M1870">
        <v>42617313</v>
      </c>
    </row>
    <row r="1871" spans="1:13" x14ac:dyDescent="0.3">
      <c r="A1871" s="23">
        <v>45636</v>
      </c>
      <c r="B1871" t="s">
        <v>12</v>
      </c>
      <c r="C1871" t="s">
        <v>132</v>
      </c>
      <c r="D1871" t="s">
        <v>16</v>
      </c>
      <c r="E1871" t="s">
        <v>162</v>
      </c>
      <c r="F1871">
        <v>88524800</v>
      </c>
      <c r="G1871" t="s">
        <v>22</v>
      </c>
      <c r="H1871" t="s">
        <v>81</v>
      </c>
      <c r="I1871" t="s">
        <v>9</v>
      </c>
      <c r="L1871" t="s">
        <v>161</v>
      </c>
      <c r="M1871">
        <v>88524800</v>
      </c>
    </row>
    <row r="1872" spans="1:13" x14ac:dyDescent="0.3">
      <c r="A1872" s="23">
        <v>45581</v>
      </c>
      <c r="B1872" t="s">
        <v>12</v>
      </c>
      <c r="C1872" t="s">
        <v>132</v>
      </c>
      <c r="D1872" t="s">
        <v>17</v>
      </c>
      <c r="E1872" t="s">
        <v>162</v>
      </c>
      <c r="F1872">
        <v>46607400</v>
      </c>
      <c r="G1872" t="s">
        <v>22</v>
      </c>
      <c r="H1872" t="s">
        <v>81</v>
      </c>
      <c r="I1872" t="s">
        <v>9</v>
      </c>
      <c r="L1872" t="s">
        <v>161</v>
      </c>
      <c r="M1872">
        <v>-46607400</v>
      </c>
    </row>
    <row r="1873" spans="1:13" x14ac:dyDescent="0.3">
      <c r="A1873" s="23">
        <v>45572</v>
      </c>
      <c r="B1873" t="s">
        <v>12</v>
      </c>
      <c r="C1873" t="s">
        <v>132</v>
      </c>
      <c r="D1873" t="s">
        <v>17</v>
      </c>
      <c r="E1873" t="s">
        <v>162</v>
      </c>
      <c r="F1873">
        <v>100000000</v>
      </c>
      <c r="G1873" t="s">
        <v>22</v>
      </c>
      <c r="H1873" t="s">
        <v>81</v>
      </c>
      <c r="I1873" t="s">
        <v>9</v>
      </c>
      <c r="L1873" t="s">
        <v>161</v>
      </c>
      <c r="M1873">
        <v>-100000000</v>
      </c>
    </row>
    <row r="1874" spans="1:13" x14ac:dyDescent="0.3">
      <c r="A1874" s="23">
        <v>45565</v>
      </c>
      <c r="B1874" t="s">
        <v>12</v>
      </c>
      <c r="C1874" t="s">
        <v>132</v>
      </c>
      <c r="D1874" t="s">
        <v>16</v>
      </c>
      <c r="E1874" t="s">
        <v>162</v>
      </c>
      <c r="F1874">
        <v>3000000</v>
      </c>
      <c r="G1874" t="s">
        <v>22</v>
      </c>
      <c r="H1874" t="s">
        <v>81</v>
      </c>
      <c r="I1874" t="s">
        <v>9</v>
      </c>
      <c r="L1874" t="s">
        <v>161</v>
      </c>
      <c r="M1874">
        <v>3000000</v>
      </c>
    </row>
    <row r="1875" spans="1:13" x14ac:dyDescent="0.3">
      <c r="A1875" s="23">
        <v>44935</v>
      </c>
      <c r="B1875" t="s">
        <v>12</v>
      </c>
      <c r="C1875" t="s">
        <v>132</v>
      </c>
      <c r="D1875" t="s">
        <v>17</v>
      </c>
      <c r="E1875" t="s">
        <v>162</v>
      </c>
      <c r="F1875">
        <v>307100000</v>
      </c>
      <c r="G1875" t="s">
        <v>22</v>
      </c>
      <c r="H1875" t="s">
        <v>81</v>
      </c>
      <c r="I1875" t="s">
        <v>9</v>
      </c>
      <c r="L1875" t="s">
        <v>161</v>
      </c>
      <c r="M1875">
        <v>-307100000</v>
      </c>
    </row>
    <row r="1876" spans="1:13" x14ac:dyDescent="0.3">
      <c r="A1876" s="23">
        <v>45544</v>
      </c>
      <c r="B1876" t="s">
        <v>12</v>
      </c>
      <c r="C1876" t="s">
        <v>132</v>
      </c>
      <c r="D1876" t="s">
        <v>16</v>
      </c>
      <c r="E1876" t="s">
        <v>162</v>
      </c>
      <c r="F1876">
        <v>109223400</v>
      </c>
      <c r="G1876" t="s">
        <v>22</v>
      </c>
      <c r="H1876" t="s">
        <v>81</v>
      </c>
      <c r="I1876" t="s">
        <v>9</v>
      </c>
      <c r="L1876" t="s">
        <v>161</v>
      </c>
      <c r="M1876">
        <v>109223400</v>
      </c>
    </row>
    <row r="1877" spans="1:13" x14ac:dyDescent="0.3">
      <c r="A1877" s="23">
        <v>44951</v>
      </c>
      <c r="B1877" t="s">
        <v>12</v>
      </c>
      <c r="C1877" t="s">
        <v>132</v>
      </c>
      <c r="D1877" t="s">
        <v>16</v>
      </c>
      <c r="E1877" t="s">
        <v>162</v>
      </c>
      <c r="F1877">
        <v>232000000</v>
      </c>
      <c r="G1877" t="s">
        <v>22</v>
      </c>
      <c r="H1877" t="s">
        <v>81</v>
      </c>
      <c r="I1877" t="s">
        <v>9</v>
      </c>
      <c r="L1877" t="s">
        <v>161</v>
      </c>
      <c r="M1877">
        <v>232000000</v>
      </c>
    </row>
    <row r="1878" spans="1:13" x14ac:dyDescent="0.3">
      <c r="A1878" s="23">
        <v>44952</v>
      </c>
      <c r="B1878" t="s">
        <v>12</v>
      </c>
      <c r="C1878" t="s">
        <v>132</v>
      </c>
      <c r="D1878" t="s">
        <v>17</v>
      </c>
      <c r="E1878" t="s">
        <v>162</v>
      </c>
      <c r="F1878">
        <v>231999999</v>
      </c>
      <c r="G1878" t="s">
        <v>22</v>
      </c>
      <c r="H1878" t="s">
        <v>81</v>
      </c>
      <c r="I1878" t="s">
        <v>9</v>
      </c>
      <c r="L1878" t="s">
        <v>161</v>
      </c>
      <c r="M1878">
        <v>-231999999</v>
      </c>
    </row>
    <row r="1879" spans="1:13" x14ac:dyDescent="0.3">
      <c r="A1879" s="23">
        <v>44957</v>
      </c>
      <c r="B1879" t="s">
        <v>12</v>
      </c>
      <c r="C1879" t="s">
        <v>132</v>
      </c>
      <c r="D1879" t="s">
        <v>16</v>
      </c>
      <c r="E1879" t="s">
        <v>162</v>
      </c>
      <c r="F1879">
        <v>232000000</v>
      </c>
      <c r="G1879" t="s">
        <v>22</v>
      </c>
      <c r="H1879" t="s">
        <v>81</v>
      </c>
      <c r="I1879" t="s">
        <v>9</v>
      </c>
      <c r="L1879" t="s">
        <v>161</v>
      </c>
      <c r="M1879">
        <v>232000000</v>
      </c>
    </row>
    <row r="1880" spans="1:13" x14ac:dyDescent="0.3">
      <c r="A1880" s="23">
        <v>44960</v>
      </c>
      <c r="B1880" t="s">
        <v>12</v>
      </c>
      <c r="C1880" t="s">
        <v>132</v>
      </c>
      <c r="D1880" t="s">
        <v>17</v>
      </c>
      <c r="E1880" t="s">
        <v>162</v>
      </c>
      <c r="F1880">
        <v>232000001</v>
      </c>
      <c r="G1880" t="s">
        <v>22</v>
      </c>
      <c r="H1880" t="s">
        <v>81</v>
      </c>
      <c r="I1880" t="s">
        <v>9</v>
      </c>
      <c r="L1880" t="s">
        <v>161</v>
      </c>
      <c r="M1880">
        <v>-232000001</v>
      </c>
    </row>
    <row r="1881" spans="1:13" x14ac:dyDescent="0.3">
      <c r="A1881" s="23">
        <v>45538</v>
      </c>
      <c r="B1881" t="s">
        <v>12</v>
      </c>
      <c r="C1881" t="s">
        <v>132</v>
      </c>
      <c r="D1881" t="s">
        <v>16</v>
      </c>
      <c r="E1881" t="s">
        <v>162</v>
      </c>
      <c r="F1881">
        <v>252000</v>
      </c>
      <c r="G1881" t="s">
        <v>22</v>
      </c>
      <c r="H1881" t="s">
        <v>81</v>
      </c>
      <c r="I1881" t="s">
        <v>9</v>
      </c>
      <c r="L1881" t="s">
        <v>161</v>
      </c>
      <c r="M1881">
        <v>252000</v>
      </c>
    </row>
    <row r="1882" spans="1:13" x14ac:dyDescent="0.3">
      <c r="A1882" s="23">
        <v>45531</v>
      </c>
      <c r="B1882" t="s">
        <v>12</v>
      </c>
      <c r="C1882" t="s">
        <v>132</v>
      </c>
      <c r="D1882" t="s">
        <v>16</v>
      </c>
      <c r="E1882" t="s">
        <v>162</v>
      </c>
      <c r="F1882">
        <v>34132000</v>
      </c>
      <c r="G1882" t="s">
        <v>22</v>
      </c>
      <c r="H1882" t="s">
        <v>81</v>
      </c>
      <c r="I1882" t="s">
        <v>9</v>
      </c>
      <c r="L1882" t="s">
        <v>161</v>
      </c>
      <c r="M1882">
        <v>34132000</v>
      </c>
    </row>
    <row r="1883" spans="1:13" x14ac:dyDescent="0.3">
      <c r="A1883" s="23">
        <v>45524</v>
      </c>
      <c r="B1883" t="s">
        <v>12</v>
      </c>
      <c r="C1883" t="s">
        <v>132</v>
      </c>
      <c r="D1883" t="s">
        <v>17</v>
      </c>
      <c r="E1883" t="s">
        <v>162</v>
      </c>
      <c r="F1883">
        <v>299112642.66000003</v>
      </c>
      <c r="G1883" t="s">
        <v>22</v>
      </c>
      <c r="H1883" t="s">
        <v>81</v>
      </c>
      <c r="I1883" t="s">
        <v>9</v>
      </c>
      <c r="L1883" t="s">
        <v>161</v>
      </c>
      <c r="M1883">
        <v>-299112642.66000003</v>
      </c>
    </row>
    <row r="1884" spans="1:13" x14ac:dyDescent="0.3">
      <c r="A1884" s="23">
        <v>45001</v>
      </c>
      <c r="B1884" t="s">
        <v>12</v>
      </c>
      <c r="C1884" t="s">
        <v>132</v>
      </c>
      <c r="D1884" t="s">
        <v>16</v>
      </c>
      <c r="E1884" t="s">
        <v>162</v>
      </c>
      <c r="F1884">
        <v>235000000</v>
      </c>
      <c r="G1884" t="s">
        <v>22</v>
      </c>
      <c r="H1884" t="s">
        <v>81</v>
      </c>
      <c r="I1884" t="s">
        <v>9</v>
      </c>
      <c r="L1884" t="s">
        <v>161</v>
      </c>
      <c r="M1884">
        <v>235000000</v>
      </c>
    </row>
    <row r="1885" spans="1:13" x14ac:dyDescent="0.3">
      <c r="A1885" s="23">
        <v>45516</v>
      </c>
      <c r="B1885" t="s">
        <v>12</v>
      </c>
      <c r="C1885" t="s">
        <v>132</v>
      </c>
      <c r="D1885" t="s">
        <v>17</v>
      </c>
      <c r="E1885" t="s">
        <v>162</v>
      </c>
      <c r="F1885">
        <v>254500000</v>
      </c>
      <c r="G1885" t="s">
        <v>22</v>
      </c>
      <c r="H1885" t="s">
        <v>81</v>
      </c>
      <c r="I1885" t="s">
        <v>9</v>
      </c>
      <c r="L1885" t="s">
        <v>161</v>
      </c>
      <c r="M1885">
        <v>-254500000</v>
      </c>
    </row>
    <row r="1886" spans="1:13" x14ac:dyDescent="0.3">
      <c r="A1886" s="23">
        <v>45510</v>
      </c>
      <c r="B1886" t="s">
        <v>12</v>
      </c>
      <c r="C1886" t="s">
        <v>132</v>
      </c>
      <c r="D1886" t="s">
        <v>17</v>
      </c>
      <c r="E1886" t="s">
        <v>162</v>
      </c>
      <c r="F1886">
        <v>300000000</v>
      </c>
      <c r="G1886" t="s">
        <v>22</v>
      </c>
      <c r="H1886" t="s">
        <v>81</v>
      </c>
      <c r="I1886" t="s">
        <v>9</v>
      </c>
      <c r="L1886" t="s">
        <v>161</v>
      </c>
      <c r="M1886">
        <v>-300000000</v>
      </c>
    </row>
    <row r="1887" spans="1:13" x14ac:dyDescent="0.3">
      <c r="A1887" s="23">
        <v>45012</v>
      </c>
      <c r="B1887" t="s">
        <v>12</v>
      </c>
      <c r="C1887" t="s">
        <v>132</v>
      </c>
      <c r="D1887" t="s">
        <v>17</v>
      </c>
      <c r="E1887" t="s">
        <v>162</v>
      </c>
      <c r="F1887">
        <v>50000000</v>
      </c>
      <c r="G1887" t="s">
        <v>22</v>
      </c>
      <c r="H1887" t="s">
        <v>81</v>
      </c>
      <c r="I1887" t="s">
        <v>9</v>
      </c>
      <c r="L1887" t="s">
        <v>161</v>
      </c>
      <c r="M1887">
        <v>-50000000</v>
      </c>
    </row>
    <row r="1888" spans="1:13" x14ac:dyDescent="0.3">
      <c r="A1888" s="23">
        <v>45013</v>
      </c>
      <c r="B1888" t="s">
        <v>12</v>
      </c>
      <c r="C1888" t="s">
        <v>132</v>
      </c>
      <c r="D1888" t="s">
        <v>17</v>
      </c>
      <c r="E1888" t="s">
        <v>162</v>
      </c>
      <c r="F1888">
        <v>95900000</v>
      </c>
      <c r="G1888" t="s">
        <v>22</v>
      </c>
      <c r="H1888" t="s">
        <v>81</v>
      </c>
      <c r="I1888" t="s">
        <v>9</v>
      </c>
      <c r="L1888" t="s">
        <v>161</v>
      </c>
      <c r="M1888">
        <v>-95900000</v>
      </c>
    </row>
    <row r="1889" spans="1:13" x14ac:dyDescent="0.3">
      <c r="A1889" s="23">
        <v>45506</v>
      </c>
      <c r="B1889" t="s">
        <v>12</v>
      </c>
      <c r="C1889" t="s">
        <v>132</v>
      </c>
      <c r="D1889" t="s">
        <v>16</v>
      </c>
      <c r="E1889" t="s">
        <v>162</v>
      </c>
      <c r="F1889">
        <v>67485853</v>
      </c>
      <c r="G1889" t="s">
        <v>22</v>
      </c>
      <c r="H1889" t="s">
        <v>81</v>
      </c>
      <c r="I1889" t="s">
        <v>9</v>
      </c>
      <c r="L1889" t="s">
        <v>161</v>
      </c>
      <c r="M1889">
        <v>67485853</v>
      </c>
    </row>
    <row r="1890" spans="1:13" x14ac:dyDescent="0.3">
      <c r="A1890" s="23">
        <v>45505</v>
      </c>
      <c r="B1890" t="s">
        <v>12</v>
      </c>
      <c r="C1890" t="s">
        <v>132</v>
      </c>
      <c r="D1890" t="s">
        <v>16</v>
      </c>
      <c r="E1890" t="s">
        <v>162</v>
      </c>
      <c r="F1890">
        <v>13038429.66</v>
      </c>
      <c r="G1890" t="s">
        <v>22</v>
      </c>
      <c r="H1890" t="s">
        <v>81</v>
      </c>
      <c r="I1890" t="s">
        <v>9</v>
      </c>
      <c r="L1890" t="s">
        <v>161</v>
      </c>
      <c r="M1890">
        <v>13038429.66</v>
      </c>
    </row>
    <row r="1891" spans="1:13" x14ac:dyDescent="0.3">
      <c r="A1891" s="23">
        <v>45504</v>
      </c>
      <c r="B1891" t="s">
        <v>12</v>
      </c>
      <c r="C1891" t="s">
        <v>132</v>
      </c>
      <c r="D1891" t="s">
        <v>16</v>
      </c>
      <c r="E1891" t="s">
        <v>162</v>
      </c>
      <c r="F1891">
        <v>21520000</v>
      </c>
      <c r="G1891" t="s">
        <v>22</v>
      </c>
      <c r="H1891" t="s">
        <v>81</v>
      </c>
      <c r="I1891" t="s">
        <v>9</v>
      </c>
      <c r="L1891" t="s">
        <v>161</v>
      </c>
      <c r="M1891">
        <v>21520000</v>
      </c>
    </row>
    <row r="1892" spans="1:13" x14ac:dyDescent="0.3">
      <c r="A1892" s="23">
        <v>45020</v>
      </c>
      <c r="B1892" t="s">
        <v>12</v>
      </c>
      <c r="C1892" t="s">
        <v>132</v>
      </c>
      <c r="D1892" t="s">
        <v>16</v>
      </c>
      <c r="E1892" t="s">
        <v>162</v>
      </c>
      <c r="F1892">
        <v>5400000</v>
      </c>
      <c r="G1892" t="s">
        <v>22</v>
      </c>
      <c r="H1892" t="s">
        <v>81</v>
      </c>
      <c r="I1892" t="s">
        <v>9</v>
      </c>
      <c r="L1892" t="s">
        <v>161</v>
      </c>
      <c r="M1892">
        <v>5400000</v>
      </c>
    </row>
    <row r="1893" spans="1:13" x14ac:dyDescent="0.3">
      <c r="A1893" s="23">
        <v>45020</v>
      </c>
      <c r="B1893" t="s">
        <v>12</v>
      </c>
      <c r="C1893" t="s">
        <v>132</v>
      </c>
      <c r="D1893" t="s">
        <v>17</v>
      </c>
      <c r="E1893" t="s">
        <v>162</v>
      </c>
      <c r="F1893">
        <v>94500000</v>
      </c>
      <c r="G1893" t="s">
        <v>22</v>
      </c>
      <c r="H1893" t="s">
        <v>81</v>
      </c>
      <c r="I1893" t="s">
        <v>9</v>
      </c>
      <c r="L1893" t="s">
        <v>161</v>
      </c>
      <c r="M1893">
        <v>-94500000</v>
      </c>
    </row>
    <row r="1894" spans="1:13" x14ac:dyDescent="0.3">
      <c r="A1894" s="23">
        <v>45488</v>
      </c>
      <c r="B1894" t="s">
        <v>12</v>
      </c>
      <c r="C1894" t="s">
        <v>132</v>
      </c>
      <c r="D1894" t="s">
        <v>17</v>
      </c>
      <c r="E1894" t="s">
        <v>162</v>
      </c>
      <c r="F1894">
        <v>200000000</v>
      </c>
      <c r="G1894" t="s">
        <v>22</v>
      </c>
      <c r="H1894" t="s">
        <v>81</v>
      </c>
      <c r="I1894" t="s">
        <v>9</v>
      </c>
      <c r="L1894" t="s">
        <v>161</v>
      </c>
      <c r="M1894">
        <v>-200000000</v>
      </c>
    </row>
    <row r="1895" spans="1:13" x14ac:dyDescent="0.3">
      <c r="A1895" s="23">
        <v>45478</v>
      </c>
      <c r="B1895" t="s">
        <v>12</v>
      </c>
      <c r="C1895" t="s">
        <v>132</v>
      </c>
      <c r="D1895" t="s">
        <v>16</v>
      </c>
      <c r="E1895" t="s">
        <v>162</v>
      </c>
      <c r="F1895">
        <v>157209000</v>
      </c>
      <c r="G1895" t="s">
        <v>22</v>
      </c>
      <c r="H1895" t="s">
        <v>81</v>
      </c>
      <c r="I1895" t="s">
        <v>9</v>
      </c>
      <c r="L1895" t="s">
        <v>161</v>
      </c>
      <c r="M1895">
        <v>157209000</v>
      </c>
    </row>
    <row r="1896" spans="1:13" x14ac:dyDescent="0.3">
      <c r="A1896" s="23">
        <v>45469</v>
      </c>
      <c r="B1896" t="s">
        <v>12</v>
      </c>
      <c r="C1896" t="s">
        <v>132</v>
      </c>
      <c r="D1896" t="s">
        <v>16</v>
      </c>
      <c r="E1896" t="s">
        <v>162</v>
      </c>
      <c r="F1896">
        <v>71318400</v>
      </c>
      <c r="G1896" t="s">
        <v>22</v>
      </c>
      <c r="H1896" t="s">
        <v>81</v>
      </c>
      <c r="I1896" t="s">
        <v>9</v>
      </c>
      <c r="L1896" t="s">
        <v>161</v>
      </c>
      <c r="M1896">
        <v>71318400</v>
      </c>
    </row>
    <row r="1897" spans="1:13" x14ac:dyDescent="0.3">
      <c r="A1897" s="23">
        <v>45468</v>
      </c>
      <c r="B1897" t="s">
        <v>12</v>
      </c>
      <c r="C1897" t="s">
        <v>132</v>
      </c>
      <c r="D1897" t="s">
        <v>16</v>
      </c>
      <c r="E1897" t="s">
        <v>162</v>
      </c>
      <c r="F1897">
        <v>88745300</v>
      </c>
      <c r="G1897" t="s">
        <v>22</v>
      </c>
      <c r="H1897" t="s">
        <v>81</v>
      </c>
      <c r="I1897" t="s">
        <v>9</v>
      </c>
      <c r="L1897" t="s">
        <v>161</v>
      </c>
      <c r="M1897">
        <v>88745300</v>
      </c>
    </row>
    <row r="1898" spans="1:13" x14ac:dyDescent="0.3">
      <c r="A1898" s="23">
        <v>45460</v>
      </c>
      <c r="B1898" t="s">
        <v>12</v>
      </c>
      <c r="C1898" t="s">
        <v>132</v>
      </c>
      <c r="D1898" t="s">
        <v>16</v>
      </c>
      <c r="E1898" t="s">
        <v>162</v>
      </c>
      <c r="F1898">
        <v>159580000</v>
      </c>
      <c r="G1898" t="s">
        <v>22</v>
      </c>
      <c r="H1898" t="s">
        <v>81</v>
      </c>
      <c r="I1898" t="s">
        <v>9</v>
      </c>
      <c r="L1898" t="s">
        <v>161</v>
      </c>
      <c r="M1898">
        <v>159580000</v>
      </c>
    </row>
    <row r="1899" spans="1:13" x14ac:dyDescent="0.3">
      <c r="A1899" s="23">
        <v>45453</v>
      </c>
      <c r="B1899" t="s">
        <v>12</v>
      </c>
      <c r="C1899" t="s">
        <v>132</v>
      </c>
      <c r="D1899" t="s">
        <v>16</v>
      </c>
      <c r="E1899" t="s">
        <v>162</v>
      </c>
      <c r="F1899">
        <v>176274300</v>
      </c>
      <c r="G1899" t="s">
        <v>22</v>
      </c>
      <c r="H1899" t="s">
        <v>81</v>
      </c>
      <c r="I1899" t="s">
        <v>9</v>
      </c>
      <c r="L1899" t="s">
        <v>161</v>
      </c>
      <c r="M1899">
        <v>176274300</v>
      </c>
    </row>
    <row r="1900" spans="1:13" x14ac:dyDescent="0.3">
      <c r="A1900" s="23">
        <v>45450</v>
      </c>
      <c r="B1900" t="s">
        <v>12</v>
      </c>
      <c r="C1900" t="s">
        <v>132</v>
      </c>
      <c r="D1900" t="s">
        <v>16</v>
      </c>
      <c r="E1900" t="s">
        <v>162</v>
      </c>
      <c r="F1900">
        <v>22774400</v>
      </c>
      <c r="G1900" t="s">
        <v>22</v>
      </c>
      <c r="H1900" t="s">
        <v>81</v>
      </c>
      <c r="I1900" t="s">
        <v>9</v>
      </c>
      <c r="L1900" t="s">
        <v>161</v>
      </c>
      <c r="M1900">
        <v>22774400</v>
      </c>
    </row>
    <row r="1901" spans="1:13" x14ac:dyDescent="0.3">
      <c r="A1901" s="23">
        <v>45442</v>
      </c>
      <c r="B1901" t="s">
        <v>12</v>
      </c>
      <c r="C1901" t="s">
        <v>132</v>
      </c>
      <c r="D1901" t="s">
        <v>16</v>
      </c>
      <c r="E1901" t="s">
        <v>162</v>
      </c>
      <c r="F1901">
        <v>104106200</v>
      </c>
      <c r="G1901" t="s">
        <v>22</v>
      </c>
      <c r="H1901" t="s">
        <v>81</v>
      </c>
      <c r="I1901" t="s">
        <v>9</v>
      </c>
      <c r="L1901" t="s">
        <v>161</v>
      </c>
      <c r="M1901">
        <v>104106200</v>
      </c>
    </row>
    <row r="1902" spans="1:13" x14ac:dyDescent="0.3">
      <c r="A1902" s="23">
        <v>45082</v>
      </c>
      <c r="B1902" t="s">
        <v>12</v>
      </c>
      <c r="C1902" t="s">
        <v>132</v>
      </c>
      <c r="D1902" t="s">
        <v>16</v>
      </c>
      <c r="E1902" t="s">
        <v>162</v>
      </c>
      <c r="F1902">
        <v>300000000</v>
      </c>
      <c r="G1902" t="s">
        <v>22</v>
      </c>
      <c r="H1902" t="s">
        <v>81</v>
      </c>
      <c r="I1902" t="s">
        <v>9</v>
      </c>
      <c r="L1902" t="s">
        <v>161</v>
      </c>
      <c r="M1902">
        <v>300000000</v>
      </c>
    </row>
    <row r="1903" spans="1:13" x14ac:dyDescent="0.3">
      <c r="A1903" s="23">
        <v>45083</v>
      </c>
      <c r="B1903" t="s">
        <v>12</v>
      </c>
      <c r="C1903" t="s">
        <v>132</v>
      </c>
      <c r="D1903" t="s">
        <v>17</v>
      </c>
      <c r="E1903" t="s">
        <v>162</v>
      </c>
      <c r="F1903">
        <v>250000000</v>
      </c>
      <c r="G1903" t="s">
        <v>22</v>
      </c>
      <c r="H1903" t="s">
        <v>81</v>
      </c>
      <c r="I1903" t="s">
        <v>9</v>
      </c>
      <c r="L1903" t="s">
        <v>161</v>
      </c>
      <c r="M1903">
        <v>-250000000</v>
      </c>
    </row>
    <row r="1904" spans="1:13" x14ac:dyDescent="0.3">
      <c r="A1904" s="23">
        <v>45084</v>
      </c>
      <c r="B1904" t="s">
        <v>12</v>
      </c>
      <c r="C1904" t="s">
        <v>132</v>
      </c>
      <c r="D1904" t="s">
        <v>17</v>
      </c>
      <c r="E1904" t="s">
        <v>162</v>
      </c>
      <c r="F1904">
        <v>50000000</v>
      </c>
      <c r="G1904" t="s">
        <v>22</v>
      </c>
      <c r="H1904" t="s">
        <v>81</v>
      </c>
      <c r="I1904" t="s">
        <v>9</v>
      </c>
      <c r="L1904" t="s">
        <v>161</v>
      </c>
      <c r="M1904">
        <v>-50000000</v>
      </c>
    </row>
    <row r="1905" spans="1:13" x14ac:dyDescent="0.3">
      <c r="A1905" s="23">
        <v>45436</v>
      </c>
      <c r="B1905" t="s">
        <v>12</v>
      </c>
      <c r="C1905" t="s">
        <v>132</v>
      </c>
      <c r="D1905" t="s">
        <v>16</v>
      </c>
      <c r="E1905" t="s">
        <v>162</v>
      </c>
      <c r="F1905">
        <v>127968000</v>
      </c>
      <c r="G1905" t="s">
        <v>22</v>
      </c>
      <c r="H1905" t="s">
        <v>81</v>
      </c>
      <c r="I1905" t="s">
        <v>9</v>
      </c>
      <c r="L1905" t="s">
        <v>161</v>
      </c>
      <c r="M1905">
        <v>127968000</v>
      </c>
    </row>
    <row r="1906" spans="1:13" x14ac:dyDescent="0.3">
      <c r="A1906" s="23">
        <v>45433</v>
      </c>
      <c r="B1906" t="s">
        <v>12</v>
      </c>
      <c r="C1906" t="s">
        <v>132</v>
      </c>
      <c r="D1906" t="s">
        <v>16</v>
      </c>
      <c r="E1906" t="s">
        <v>162</v>
      </c>
      <c r="F1906">
        <v>21250000</v>
      </c>
      <c r="G1906" t="s">
        <v>22</v>
      </c>
      <c r="H1906" t="s">
        <v>81</v>
      </c>
      <c r="I1906" t="s">
        <v>9</v>
      </c>
      <c r="L1906" t="s">
        <v>161</v>
      </c>
      <c r="M1906">
        <v>21250000</v>
      </c>
    </row>
    <row r="1907" spans="1:13" x14ac:dyDescent="0.3">
      <c r="A1907" s="23">
        <v>45433</v>
      </c>
      <c r="B1907" t="s">
        <v>12</v>
      </c>
      <c r="C1907" t="s">
        <v>132</v>
      </c>
      <c r="D1907" t="s">
        <v>17</v>
      </c>
      <c r="E1907" t="s">
        <v>162</v>
      </c>
      <c r="F1907">
        <v>800000000</v>
      </c>
      <c r="G1907" t="s">
        <v>22</v>
      </c>
      <c r="H1907" t="s">
        <v>81</v>
      </c>
      <c r="I1907" t="s">
        <v>9</v>
      </c>
      <c r="L1907" t="s">
        <v>161</v>
      </c>
      <c r="M1907">
        <v>-800000000</v>
      </c>
    </row>
    <row r="1908" spans="1:13" x14ac:dyDescent="0.3">
      <c r="A1908" s="23">
        <v>45432</v>
      </c>
      <c r="B1908" t="s">
        <v>12</v>
      </c>
      <c r="C1908" t="s">
        <v>132</v>
      </c>
      <c r="D1908" t="s">
        <v>17</v>
      </c>
      <c r="E1908" t="s">
        <v>162</v>
      </c>
      <c r="F1908">
        <v>215000000</v>
      </c>
      <c r="G1908" t="s">
        <v>22</v>
      </c>
      <c r="H1908" t="s">
        <v>81</v>
      </c>
      <c r="I1908" t="s">
        <v>9</v>
      </c>
      <c r="L1908" t="s">
        <v>161</v>
      </c>
      <c r="M1908">
        <v>-215000000</v>
      </c>
    </row>
    <row r="1909" spans="1:13" x14ac:dyDescent="0.3">
      <c r="A1909" s="23">
        <v>45429</v>
      </c>
      <c r="B1909" t="s">
        <v>12</v>
      </c>
      <c r="C1909" t="s">
        <v>132</v>
      </c>
      <c r="D1909" t="s">
        <v>16</v>
      </c>
      <c r="E1909" t="s">
        <v>162</v>
      </c>
      <c r="F1909">
        <v>33945000</v>
      </c>
      <c r="G1909" t="s">
        <v>22</v>
      </c>
      <c r="H1909" t="s">
        <v>81</v>
      </c>
      <c r="I1909" t="s">
        <v>9</v>
      </c>
      <c r="L1909" t="s">
        <v>161</v>
      </c>
      <c r="M1909">
        <v>33945000</v>
      </c>
    </row>
    <row r="1910" spans="1:13" x14ac:dyDescent="0.3">
      <c r="A1910" s="23">
        <v>45427</v>
      </c>
      <c r="B1910" t="s">
        <v>12</v>
      </c>
      <c r="C1910" t="s">
        <v>132</v>
      </c>
      <c r="D1910" t="s">
        <v>17</v>
      </c>
      <c r="E1910" t="s">
        <v>162</v>
      </c>
      <c r="F1910">
        <v>600000000</v>
      </c>
      <c r="G1910" t="s">
        <v>22</v>
      </c>
      <c r="H1910" t="s">
        <v>81</v>
      </c>
      <c r="I1910" t="s">
        <v>9</v>
      </c>
      <c r="L1910" t="s">
        <v>161</v>
      </c>
      <c r="M1910">
        <v>-600000000</v>
      </c>
    </row>
    <row r="1911" spans="1:13" x14ac:dyDescent="0.3">
      <c r="A1911" s="23">
        <v>45100</v>
      </c>
      <c r="B1911" t="s">
        <v>12</v>
      </c>
      <c r="C1911" t="s">
        <v>132</v>
      </c>
      <c r="D1911" t="s">
        <v>16</v>
      </c>
      <c r="E1911" t="s">
        <v>162</v>
      </c>
      <c r="F1911">
        <v>110000000</v>
      </c>
      <c r="G1911" t="s">
        <v>22</v>
      </c>
      <c r="H1911" t="s">
        <v>81</v>
      </c>
      <c r="I1911" t="s">
        <v>9</v>
      </c>
      <c r="L1911" t="s">
        <v>161</v>
      </c>
      <c r="M1911">
        <v>110000000</v>
      </c>
    </row>
    <row r="1912" spans="1:13" x14ac:dyDescent="0.3">
      <c r="A1912" s="23">
        <v>45425</v>
      </c>
      <c r="B1912" t="s">
        <v>12</v>
      </c>
      <c r="C1912" t="s">
        <v>132</v>
      </c>
      <c r="D1912" t="s">
        <v>17</v>
      </c>
      <c r="E1912" t="s">
        <v>162</v>
      </c>
      <c r="F1912">
        <v>1000000000</v>
      </c>
      <c r="G1912" t="s">
        <v>22</v>
      </c>
      <c r="H1912" t="s">
        <v>81</v>
      </c>
      <c r="I1912" t="s">
        <v>9</v>
      </c>
      <c r="L1912" t="s">
        <v>161</v>
      </c>
      <c r="M1912">
        <v>-1000000000</v>
      </c>
    </row>
    <row r="1913" spans="1:13" x14ac:dyDescent="0.3">
      <c r="A1913" s="23">
        <v>45103</v>
      </c>
      <c r="B1913" t="s">
        <v>12</v>
      </c>
      <c r="C1913" t="s">
        <v>132</v>
      </c>
      <c r="D1913" t="s">
        <v>17</v>
      </c>
      <c r="E1913" t="s">
        <v>162</v>
      </c>
      <c r="F1913">
        <v>0</v>
      </c>
      <c r="G1913" t="s">
        <v>22</v>
      </c>
      <c r="H1913" t="s">
        <v>81</v>
      </c>
      <c r="I1913" t="s">
        <v>9</v>
      </c>
      <c r="L1913" t="s">
        <v>161</v>
      </c>
      <c r="M1913">
        <v>0</v>
      </c>
    </row>
    <row r="1914" spans="1:13" x14ac:dyDescent="0.3">
      <c r="A1914" s="23">
        <v>45103</v>
      </c>
      <c r="B1914" t="s">
        <v>12</v>
      </c>
      <c r="C1914" t="s">
        <v>132</v>
      </c>
      <c r="D1914" t="s">
        <v>16</v>
      </c>
      <c r="E1914" t="s">
        <v>162</v>
      </c>
      <c r="F1914">
        <v>110000000</v>
      </c>
      <c r="G1914" t="s">
        <v>22</v>
      </c>
      <c r="H1914" t="s">
        <v>81</v>
      </c>
      <c r="I1914" t="s">
        <v>9</v>
      </c>
      <c r="L1914" t="s">
        <v>161</v>
      </c>
      <c r="M1914">
        <v>110000000</v>
      </c>
    </row>
    <row r="1915" spans="1:13" x14ac:dyDescent="0.3">
      <c r="A1915" s="23">
        <v>45121</v>
      </c>
      <c r="B1915" t="s">
        <v>12</v>
      </c>
      <c r="C1915" t="s">
        <v>132</v>
      </c>
      <c r="D1915" t="s">
        <v>17</v>
      </c>
      <c r="E1915" t="s">
        <v>162</v>
      </c>
      <c r="F1915">
        <v>182400000</v>
      </c>
      <c r="G1915" t="s">
        <v>22</v>
      </c>
      <c r="H1915" t="s">
        <v>81</v>
      </c>
      <c r="I1915" t="s">
        <v>9</v>
      </c>
      <c r="L1915" t="s">
        <v>161</v>
      </c>
      <c r="M1915">
        <v>-182400000</v>
      </c>
    </row>
    <row r="1916" spans="1:13" x14ac:dyDescent="0.3">
      <c r="A1916" s="23">
        <v>45128</v>
      </c>
      <c r="B1916" t="s">
        <v>12</v>
      </c>
      <c r="C1916" t="s">
        <v>132</v>
      </c>
      <c r="D1916" t="s">
        <v>17</v>
      </c>
      <c r="E1916" t="s">
        <v>162</v>
      </c>
      <c r="F1916">
        <v>37600000</v>
      </c>
      <c r="G1916" t="s">
        <v>22</v>
      </c>
      <c r="H1916" t="s">
        <v>81</v>
      </c>
      <c r="I1916" t="s">
        <v>9</v>
      </c>
      <c r="L1916" t="s">
        <v>161</v>
      </c>
      <c r="M1916">
        <v>-37600000</v>
      </c>
    </row>
    <row r="1917" spans="1:13" x14ac:dyDescent="0.3">
      <c r="A1917" s="23">
        <v>45425</v>
      </c>
      <c r="B1917" t="s">
        <v>12</v>
      </c>
      <c r="C1917" t="s">
        <v>132</v>
      </c>
      <c r="D1917" t="s">
        <v>16</v>
      </c>
      <c r="E1917" t="s">
        <v>162</v>
      </c>
      <c r="F1917">
        <v>723610000</v>
      </c>
      <c r="G1917" t="s">
        <v>22</v>
      </c>
      <c r="H1917" t="s">
        <v>81</v>
      </c>
      <c r="I1917" t="s">
        <v>9</v>
      </c>
      <c r="L1917" t="s">
        <v>161</v>
      </c>
      <c r="M1917">
        <v>723610000</v>
      </c>
    </row>
    <row r="1918" spans="1:13" x14ac:dyDescent="0.3">
      <c r="A1918" s="23">
        <v>45407</v>
      </c>
      <c r="B1918" t="s">
        <v>12</v>
      </c>
      <c r="C1918" t="s">
        <v>132</v>
      </c>
      <c r="D1918" t="s">
        <v>16</v>
      </c>
      <c r="E1918" t="s">
        <v>162</v>
      </c>
      <c r="F1918">
        <v>102750000</v>
      </c>
      <c r="G1918" t="s">
        <v>22</v>
      </c>
      <c r="H1918" t="s">
        <v>81</v>
      </c>
      <c r="I1918" t="s">
        <v>9</v>
      </c>
      <c r="L1918" t="s">
        <v>161</v>
      </c>
      <c r="M1918">
        <v>102750000</v>
      </c>
    </row>
    <row r="1919" spans="1:13" x14ac:dyDescent="0.3">
      <c r="A1919" s="23">
        <v>45401</v>
      </c>
      <c r="B1919" t="s">
        <v>12</v>
      </c>
      <c r="C1919" t="s">
        <v>132</v>
      </c>
      <c r="D1919" t="s">
        <v>16</v>
      </c>
      <c r="E1919" t="s">
        <v>162</v>
      </c>
      <c r="F1919">
        <v>42040000</v>
      </c>
      <c r="G1919" t="s">
        <v>22</v>
      </c>
      <c r="H1919" t="s">
        <v>81</v>
      </c>
      <c r="I1919" t="s">
        <v>9</v>
      </c>
      <c r="L1919" t="s">
        <v>161</v>
      </c>
      <c r="M1919">
        <v>42040000</v>
      </c>
    </row>
    <row r="1920" spans="1:13" x14ac:dyDescent="0.3">
      <c r="A1920" s="23">
        <v>45390</v>
      </c>
      <c r="B1920" t="s">
        <v>12</v>
      </c>
      <c r="C1920" t="s">
        <v>132</v>
      </c>
      <c r="D1920" t="s">
        <v>16</v>
      </c>
      <c r="E1920" t="s">
        <v>162</v>
      </c>
      <c r="F1920">
        <v>842550000</v>
      </c>
      <c r="G1920" t="s">
        <v>22</v>
      </c>
      <c r="H1920" t="s">
        <v>81</v>
      </c>
      <c r="I1920" t="s">
        <v>9</v>
      </c>
      <c r="L1920" t="s">
        <v>161</v>
      </c>
      <c r="M1920">
        <v>842550000</v>
      </c>
    </row>
    <row r="1921" spans="1:13" x14ac:dyDescent="0.3">
      <c r="A1921" s="23">
        <v>45153</v>
      </c>
      <c r="B1921" t="s">
        <v>12</v>
      </c>
      <c r="C1921" t="s">
        <v>132</v>
      </c>
      <c r="D1921" t="s">
        <v>16</v>
      </c>
      <c r="E1921" t="s">
        <v>162</v>
      </c>
      <c r="F1921">
        <v>200000000</v>
      </c>
      <c r="G1921" t="s">
        <v>22</v>
      </c>
      <c r="H1921" t="s">
        <v>81</v>
      </c>
      <c r="I1921" t="s">
        <v>9</v>
      </c>
      <c r="L1921" t="s">
        <v>161</v>
      </c>
      <c r="M1921">
        <v>200000000</v>
      </c>
    </row>
    <row r="1922" spans="1:13" x14ac:dyDescent="0.3">
      <c r="A1922" s="23">
        <v>45386</v>
      </c>
      <c r="B1922" t="s">
        <v>12</v>
      </c>
      <c r="C1922" t="s">
        <v>132</v>
      </c>
      <c r="D1922" t="s">
        <v>16</v>
      </c>
      <c r="E1922" t="s">
        <v>162</v>
      </c>
      <c r="F1922">
        <v>521727000</v>
      </c>
      <c r="G1922" t="s">
        <v>22</v>
      </c>
      <c r="H1922" t="s">
        <v>81</v>
      </c>
      <c r="I1922" t="s">
        <v>9</v>
      </c>
      <c r="L1922" t="s">
        <v>161</v>
      </c>
      <c r="M1922">
        <v>521727000</v>
      </c>
    </row>
    <row r="1923" spans="1:13" x14ac:dyDescent="0.3">
      <c r="A1923" s="23">
        <v>45154</v>
      </c>
      <c r="B1923" t="s">
        <v>12</v>
      </c>
      <c r="C1923" t="s">
        <v>132</v>
      </c>
      <c r="D1923" t="s">
        <v>17</v>
      </c>
      <c r="E1923" t="s">
        <v>162</v>
      </c>
      <c r="F1923">
        <v>59600000</v>
      </c>
      <c r="G1923" t="s">
        <v>22</v>
      </c>
      <c r="H1923" t="s">
        <v>81</v>
      </c>
      <c r="I1923" t="s">
        <v>9</v>
      </c>
      <c r="L1923" t="s">
        <v>161</v>
      </c>
      <c r="M1923">
        <v>-59600000</v>
      </c>
    </row>
    <row r="1924" spans="1:13" x14ac:dyDescent="0.3">
      <c r="A1924" s="23">
        <v>45155</v>
      </c>
      <c r="B1924" t="s">
        <v>12</v>
      </c>
      <c r="C1924" t="s">
        <v>132</v>
      </c>
      <c r="D1924" t="s">
        <v>17</v>
      </c>
      <c r="E1924" t="s">
        <v>162</v>
      </c>
      <c r="F1924">
        <v>109100000</v>
      </c>
      <c r="G1924" t="s">
        <v>22</v>
      </c>
      <c r="H1924" t="s">
        <v>81</v>
      </c>
      <c r="I1924" t="s">
        <v>9</v>
      </c>
      <c r="L1924" t="s">
        <v>161</v>
      </c>
      <c r="M1924">
        <v>-109100000</v>
      </c>
    </row>
    <row r="1925" spans="1:13" x14ac:dyDescent="0.3">
      <c r="A1925" s="23">
        <v>45383</v>
      </c>
      <c r="B1925" t="s">
        <v>12</v>
      </c>
      <c r="C1925" t="s">
        <v>132</v>
      </c>
      <c r="D1925" t="s">
        <v>16</v>
      </c>
      <c r="E1925" t="s">
        <v>162</v>
      </c>
      <c r="F1925">
        <v>69800000</v>
      </c>
      <c r="G1925" t="s">
        <v>22</v>
      </c>
      <c r="H1925" t="s">
        <v>81</v>
      </c>
      <c r="I1925" t="s">
        <v>9</v>
      </c>
      <c r="L1925" t="s">
        <v>161</v>
      </c>
      <c r="M1925">
        <v>69800000</v>
      </c>
    </row>
    <row r="1926" spans="1:13" x14ac:dyDescent="0.3">
      <c r="A1926" s="23">
        <v>45378</v>
      </c>
      <c r="B1926" t="s">
        <v>12</v>
      </c>
      <c r="C1926" t="s">
        <v>132</v>
      </c>
      <c r="D1926" t="s">
        <v>16</v>
      </c>
      <c r="E1926" t="s">
        <v>162</v>
      </c>
      <c r="F1926">
        <v>239759760</v>
      </c>
      <c r="G1926" t="s">
        <v>22</v>
      </c>
      <c r="H1926" t="s">
        <v>81</v>
      </c>
      <c r="I1926" t="s">
        <v>9</v>
      </c>
      <c r="L1926" t="s">
        <v>161</v>
      </c>
      <c r="M1926">
        <v>239759760</v>
      </c>
    </row>
    <row r="1927" spans="1:13" x14ac:dyDescent="0.3">
      <c r="A1927" s="23">
        <v>45156</v>
      </c>
      <c r="B1927" t="s">
        <v>12</v>
      </c>
      <c r="C1927" t="s">
        <v>132</v>
      </c>
      <c r="D1927" t="s">
        <v>16</v>
      </c>
      <c r="E1927" t="s">
        <v>162</v>
      </c>
      <c r="F1927">
        <v>692535.65</v>
      </c>
      <c r="G1927" t="s">
        <v>22</v>
      </c>
      <c r="H1927" t="s">
        <v>81</v>
      </c>
      <c r="I1927" t="s">
        <v>9</v>
      </c>
      <c r="L1927" t="s">
        <v>161</v>
      </c>
      <c r="M1927">
        <v>692535.65</v>
      </c>
    </row>
    <row r="1928" spans="1:13" x14ac:dyDescent="0.3">
      <c r="A1928" s="23">
        <v>45377</v>
      </c>
      <c r="B1928" t="s">
        <v>12</v>
      </c>
      <c r="C1928" t="s">
        <v>132</v>
      </c>
      <c r="D1928" t="s">
        <v>17</v>
      </c>
      <c r="E1928" t="s">
        <v>162</v>
      </c>
      <c r="F1928">
        <v>400000000</v>
      </c>
      <c r="G1928" t="s">
        <v>22</v>
      </c>
      <c r="H1928" t="s">
        <v>81</v>
      </c>
      <c r="I1928" t="s">
        <v>9</v>
      </c>
      <c r="L1928" t="s">
        <v>161</v>
      </c>
      <c r="M1928">
        <v>-400000000</v>
      </c>
    </row>
    <row r="1929" spans="1:13" x14ac:dyDescent="0.3">
      <c r="A1929" s="23">
        <v>45160</v>
      </c>
      <c r="B1929" t="s">
        <v>12</v>
      </c>
      <c r="C1929" t="s">
        <v>132</v>
      </c>
      <c r="D1929" t="s">
        <v>16</v>
      </c>
      <c r="E1929" t="s">
        <v>162</v>
      </c>
      <c r="F1929">
        <v>200000000</v>
      </c>
      <c r="G1929" t="s">
        <v>22</v>
      </c>
      <c r="H1929" t="s">
        <v>81</v>
      </c>
      <c r="I1929" t="s">
        <v>9</v>
      </c>
      <c r="L1929" t="s">
        <v>161</v>
      </c>
      <c r="M1929">
        <v>200000000</v>
      </c>
    </row>
    <row r="1930" spans="1:13" x14ac:dyDescent="0.3">
      <c r="A1930" s="23">
        <v>45161</v>
      </c>
      <c r="B1930" t="s">
        <v>12</v>
      </c>
      <c r="C1930" t="s">
        <v>132</v>
      </c>
      <c r="D1930" t="s">
        <v>17</v>
      </c>
      <c r="E1930" t="s">
        <v>162</v>
      </c>
      <c r="F1930">
        <v>231992535.65000001</v>
      </c>
      <c r="G1930" t="s">
        <v>22</v>
      </c>
      <c r="H1930" t="s">
        <v>81</v>
      </c>
      <c r="I1930" t="s">
        <v>9</v>
      </c>
      <c r="L1930" t="s">
        <v>161</v>
      </c>
      <c r="M1930">
        <v>-231992535.65000001</v>
      </c>
    </row>
    <row r="1931" spans="1:13" x14ac:dyDescent="0.3">
      <c r="A1931" s="23">
        <v>45161</v>
      </c>
      <c r="B1931" t="s">
        <v>12</v>
      </c>
      <c r="C1931" t="s">
        <v>132</v>
      </c>
      <c r="D1931" t="s">
        <v>16</v>
      </c>
      <c r="E1931" t="s">
        <v>162</v>
      </c>
      <c r="F1931">
        <v>400000000</v>
      </c>
      <c r="G1931" t="s">
        <v>22</v>
      </c>
      <c r="H1931" t="s">
        <v>81</v>
      </c>
      <c r="I1931" t="s">
        <v>9</v>
      </c>
      <c r="L1931" t="s">
        <v>161</v>
      </c>
      <c r="M1931">
        <v>400000000</v>
      </c>
    </row>
    <row r="1932" spans="1:13" x14ac:dyDescent="0.3">
      <c r="A1932" s="23">
        <v>45162</v>
      </c>
      <c r="B1932" t="s">
        <v>12</v>
      </c>
      <c r="C1932" t="s">
        <v>132</v>
      </c>
      <c r="D1932" t="s">
        <v>17</v>
      </c>
      <c r="E1932" t="s">
        <v>162</v>
      </c>
      <c r="F1932">
        <v>400000000</v>
      </c>
      <c r="G1932" t="s">
        <v>22</v>
      </c>
      <c r="H1932" t="s">
        <v>81</v>
      </c>
      <c r="I1932" t="s">
        <v>9</v>
      </c>
      <c r="L1932" t="s">
        <v>161</v>
      </c>
      <c r="M1932">
        <v>-400000000</v>
      </c>
    </row>
    <row r="1933" spans="1:13" x14ac:dyDescent="0.3">
      <c r="A1933" s="23">
        <v>45366</v>
      </c>
      <c r="B1933" t="s">
        <v>12</v>
      </c>
      <c r="C1933" t="s">
        <v>132</v>
      </c>
      <c r="D1933" t="s">
        <v>16</v>
      </c>
      <c r="E1933" t="s">
        <v>162</v>
      </c>
      <c r="F1933">
        <v>91611000</v>
      </c>
      <c r="G1933" t="s">
        <v>22</v>
      </c>
      <c r="H1933" t="s">
        <v>81</v>
      </c>
      <c r="I1933" t="s">
        <v>9</v>
      </c>
      <c r="L1933" t="s">
        <v>161</v>
      </c>
      <c r="M1933">
        <v>91611000</v>
      </c>
    </row>
    <row r="1934" spans="1:13" x14ac:dyDescent="0.3">
      <c r="A1934" s="23">
        <v>45365</v>
      </c>
      <c r="B1934" t="s">
        <v>12</v>
      </c>
      <c r="C1934" t="s">
        <v>132</v>
      </c>
      <c r="D1934" t="s">
        <v>16</v>
      </c>
      <c r="E1934" t="s">
        <v>162</v>
      </c>
      <c r="F1934">
        <v>48250000</v>
      </c>
      <c r="G1934" t="s">
        <v>22</v>
      </c>
      <c r="H1934" t="s">
        <v>81</v>
      </c>
      <c r="I1934" t="s">
        <v>9</v>
      </c>
      <c r="L1934" t="s">
        <v>161</v>
      </c>
      <c r="M1934">
        <v>48250000</v>
      </c>
    </row>
    <row r="1935" spans="1:13" x14ac:dyDescent="0.3">
      <c r="A1935" s="23">
        <v>45365</v>
      </c>
      <c r="B1935" t="s">
        <v>12</v>
      </c>
      <c r="C1935" t="s">
        <v>132</v>
      </c>
      <c r="D1935" t="s">
        <v>17</v>
      </c>
      <c r="E1935" t="s">
        <v>162</v>
      </c>
      <c r="F1935">
        <v>164600000</v>
      </c>
      <c r="G1935" t="s">
        <v>22</v>
      </c>
      <c r="H1935" t="s">
        <v>81</v>
      </c>
      <c r="I1935" t="s">
        <v>9</v>
      </c>
      <c r="L1935" t="s">
        <v>161</v>
      </c>
      <c r="M1935">
        <v>-164600000</v>
      </c>
    </row>
    <row r="1936" spans="1:13" x14ac:dyDescent="0.3">
      <c r="A1936" s="23">
        <v>45166</v>
      </c>
      <c r="B1936" t="s">
        <v>12</v>
      </c>
      <c r="C1936" t="s">
        <v>132</v>
      </c>
      <c r="D1936" t="s">
        <v>16</v>
      </c>
      <c r="E1936" t="s">
        <v>162</v>
      </c>
      <c r="F1936">
        <v>514805287.83999997</v>
      </c>
      <c r="G1936" t="s">
        <v>22</v>
      </c>
      <c r="H1936" t="s">
        <v>81</v>
      </c>
      <c r="I1936" t="s">
        <v>9</v>
      </c>
      <c r="L1936" t="s">
        <v>161</v>
      </c>
      <c r="M1936">
        <v>514805287.83999997</v>
      </c>
    </row>
    <row r="1937" spans="1:13" x14ac:dyDescent="0.3">
      <c r="A1937" s="23">
        <v>45359</v>
      </c>
      <c r="B1937" t="s">
        <v>12</v>
      </c>
      <c r="C1937" t="s">
        <v>132</v>
      </c>
      <c r="D1937" t="s">
        <v>16</v>
      </c>
      <c r="E1937" t="s">
        <v>162</v>
      </c>
      <c r="F1937">
        <v>6350000</v>
      </c>
      <c r="G1937" t="s">
        <v>22</v>
      </c>
      <c r="H1937" t="s">
        <v>81</v>
      </c>
      <c r="I1937" t="s">
        <v>9</v>
      </c>
      <c r="L1937" t="s">
        <v>161</v>
      </c>
      <c r="M1937">
        <v>6350000</v>
      </c>
    </row>
    <row r="1938" spans="1:13" x14ac:dyDescent="0.3">
      <c r="A1938" s="23">
        <v>45357</v>
      </c>
      <c r="B1938" t="s">
        <v>12</v>
      </c>
      <c r="C1938" t="s">
        <v>132</v>
      </c>
      <c r="D1938" t="s">
        <v>16</v>
      </c>
      <c r="E1938" t="s">
        <v>162</v>
      </c>
      <c r="F1938">
        <v>141800000</v>
      </c>
      <c r="G1938" t="s">
        <v>22</v>
      </c>
      <c r="H1938" t="s">
        <v>81</v>
      </c>
      <c r="I1938" t="s">
        <v>9</v>
      </c>
      <c r="L1938" t="s">
        <v>161</v>
      </c>
      <c r="M1938">
        <v>141800000</v>
      </c>
    </row>
    <row r="1939" spans="1:13" x14ac:dyDescent="0.3">
      <c r="A1939" s="23">
        <v>45356</v>
      </c>
      <c r="B1939" t="s">
        <v>12</v>
      </c>
      <c r="C1939" t="s">
        <v>132</v>
      </c>
      <c r="D1939" t="s">
        <v>16</v>
      </c>
      <c r="E1939" t="s">
        <v>162</v>
      </c>
      <c r="F1939">
        <v>122850000</v>
      </c>
      <c r="G1939" t="s">
        <v>22</v>
      </c>
      <c r="H1939" t="s">
        <v>81</v>
      </c>
      <c r="I1939" t="s">
        <v>9</v>
      </c>
      <c r="L1939" t="s">
        <v>161</v>
      </c>
      <c r="M1939">
        <v>122850000</v>
      </c>
    </row>
    <row r="1940" spans="1:13" x14ac:dyDescent="0.3">
      <c r="A1940" s="23">
        <v>45170</v>
      </c>
      <c r="B1940" t="s">
        <v>12</v>
      </c>
      <c r="C1940" t="s">
        <v>132</v>
      </c>
      <c r="D1940" t="s">
        <v>16</v>
      </c>
      <c r="E1940" t="s">
        <v>162</v>
      </c>
      <c r="F1940">
        <v>988660.21</v>
      </c>
      <c r="G1940" t="s">
        <v>22</v>
      </c>
      <c r="H1940" t="s">
        <v>81</v>
      </c>
      <c r="I1940" t="s">
        <v>9</v>
      </c>
      <c r="L1940" t="s">
        <v>161</v>
      </c>
      <c r="M1940">
        <v>988660.21</v>
      </c>
    </row>
    <row r="1941" spans="1:13" x14ac:dyDescent="0.3">
      <c r="A1941" s="23">
        <v>45351</v>
      </c>
      <c r="B1941" t="s">
        <v>12</v>
      </c>
      <c r="C1941" t="s">
        <v>132</v>
      </c>
      <c r="D1941" t="s">
        <v>16</v>
      </c>
      <c r="E1941" t="s">
        <v>162</v>
      </c>
      <c r="F1941">
        <v>2100000</v>
      </c>
      <c r="G1941" t="s">
        <v>22</v>
      </c>
      <c r="H1941" t="s">
        <v>81</v>
      </c>
      <c r="I1941" t="s">
        <v>9</v>
      </c>
      <c r="L1941" t="s">
        <v>161</v>
      </c>
      <c r="M1941">
        <v>2100000</v>
      </c>
    </row>
    <row r="1942" spans="1:13" x14ac:dyDescent="0.3">
      <c r="A1942" s="23">
        <v>45350</v>
      </c>
      <c r="B1942" t="s">
        <v>12</v>
      </c>
      <c r="C1942" t="s">
        <v>132</v>
      </c>
      <c r="D1942" t="s">
        <v>16</v>
      </c>
      <c r="E1942" t="s">
        <v>162</v>
      </c>
      <c r="F1942">
        <v>122200000</v>
      </c>
      <c r="G1942" t="s">
        <v>22</v>
      </c>
      <c r="H1942" t="s">
        <v>81</v>
      </c>
      <c r="I1942" t="s">
        <v>9</v>
      </c>
      <c r="L1942" t="s">
        <v>161</v>
      </c>
      <c r="M1942">
        <v>122200000</v>
      </c>
    </row>
    <row r="1943" spans="1:13" x14ac:dyDescent="0.3">
      <c r="A1943" s="23">
        <v>45170</v>
      </c>
      <c r="B1943" t="s">
        <v>12</v>
      </c>
      <c r="C1943" t="s">
        <v>132</v>
      </c>
      <c r="D1943" t="s">
        <v>17</v>
      </c>
      <c r="E1943" t="s">
        <v>162</v>
      </c>
      <c r="F1943">
        <v>172000000</v>
      </c>
      <c r="G1943" t="s">
        <v>22</v>
      </c>
      <c r="H1943" t="s">
        <v>81</v>
      </c>
      <c r="I1943" t="s">
        <v>9</v>
      </c>
      <c r="L1943" t="s">
        <v>161</v>
      </c>
      <c r="M1943">
        <v>-172000000</v>
      </c>
    </row>
    <row r="1944" spans="1:13" x14ac:dyDescent="0.3">
      <c r="A1944" s="23">
        <v>45343</v>
      </c>
      <c r="B1944" t="s">
        <v>12</v>
      </c>
      <c r="C1944" t="s">
        <v>132</v>
      </c>
      <c r="D1944" t="s">
        <v>16</v>
      </c>
      <c r="E1944" t="s">
        <v>162</v>
      </c>
      <c r="F1944">
        <v>13370000</v>
      </c>
      <c r="G1944" t="s">
        <v>22</v>
      </c>
      <c r="H1944" t="s">
        <v>81</v>
      </c>
      <c r="I1944" t="s">
        <v>9</v>
      </c>
      <c r="L1944" t="s">
        <v>161</v>
      </c>
      <c r="M1944">
        <v>13370000</v>
      </c>
    </row>
    <row r="1945" spans="1:13" x14ac:dyDescent="0.3">
      <c r="A1945" s="23">
        <v>45177</v>
      </c>
      <c r="B1945" t="s">
        <v>12</v>
      </c>
      <c r="C1945" t="s">
        <v>132</v>
      </c>
      <c r="D1945" t="s">
        <v>16</v>
      </c>
      <c r="E1945" t="s">
        <v>162</v>
      </c>
      <c r="F1945">
        <v>10706200.359999999</v>
      </c>
      <c r="G1945" t="s">
        <v>22</v>
      </c>
      <c r="H1945" t="s">
        <v>81</v>
      </c>
      <c r="I1945" t="s">
        <v>9</v>
      </c>
      <c r="L1945" t="s">
        <v>161</v>
      </c>
      <c r="M1945">
        <v>10706200.359999999</v>
      </c>
    </row>
    <row r="1946" spans="1:13" x14ac:dyDescent="0.3">
      <c r="A1946" s="23">
        <v>45181</v>
      </c>
      <c r="B1946" t="s">
        <v>12</v>
      </c>
      <c r="C1946" t="s">
        <v>132</v>
      </c>
      <c r="D1946" t="s">
        <v>16</v>
      </c>
      <c r="E1946" t="s">
        <v>162</v>
      </c>
      <c r="F1946">
        <v>279484714.55000001</v>
      </c>
      <c r="G1946" t="s">
        <v>22</v>
      </c>
      <c r="H1946" t="s">
        <v>81</v>
      </c>
      <c r="I1946" t="s">
        <v>9</v>
      </c>
      <c r="L1946" t="s">
        <v>161</v>
      </c>
      <c r="M1946">
        <v>279484714.55000001</v>
      </c>
    </row>
    <row r="1947" spans="1:13" x14ac:dyDescent="0.3">
      <c r="A1947" s="23">
        <v>45182</v>
      </c>
      <c r="B1947" t="s">
        <v>12</v>
      </c>
      <c r="C1947" t="s">
        <v>132</v>
      </c>
      <c r="D1947" t="s">
        <v>17</v>
      </c>
      <c r="E1947" t="s">
        <v>162</v>
      </c>
      <c r="F1947">
        <v>633984862.96000004</v>
      </c>
      <c r="G1947" t="s">
        <v>22</v>
      </c>
      <c r="H1947" t="s">
        <v>81</v>
      </c>
      <c r="I1947" t="s">
        <v>9</v>
      </c>
      <c r="L1947" t="s">
        <v>161</v>
      </c>
      <c r="M1947">
        <v>-633984862.96000004</v>
      </c>
    </row>
    <row r="1948" spans="1:13" x14ac:dyDescent="0.3">
      <c r="A1948" s="23">
        <v>45308</v>
      </c>
      <c r="B1948" t="s">
        <v>12</v>
      </c>
      <c r="C1948" t="s">
        <v>132</v>
      </c>
      <c r="D1948" t="s">
        <v>16</v>
      </c>
      <c r="E1948" t="s">
        <v>162</v>
      </c>
      <c r="F1948">
        <v>21250000</v>
      </c>
      <c r="G1948" t="s">
        <v>22</v>
      </c>
      <c r="H1948" t="s">
        <v>81</v>
      </c>
      <c r="I1948" t="s">
        <v>9</v>
      </c>
      <c r="L1948" t="s">
        <v>161</v>
      </c>
      <c r="M1948">
        <v>21250000</v>
      </c>
    </row>
    <row r="1949" spans="1:13" x14ac:dyDescent="0.3">
      <c r="A1949" s="23">
        <v>45303</v>
      </c>
      <c r="B1949" t="s">
        <v>12</v>
      </c>
      <c r="C1949" t="s">
        <v>132</v>
      </c>
      <c r="D1949" t="s">
        <v>16</v>
      </c>
      <c r="E1949" t="s">
        <v>162</v>
      </c>
      <c r="F1949">
        <v>10080000</v>
      </c>
      <c r="G1949" t="s">
        <v>22</v>
      </c>
      <c r="H1949" t="s">
        <v>81</v>
      </c>
      <c r="I1949" t="s">
        <v>9</v>
      </c>
      <c r="L1949" t="s">
        <v>161</v>
      </c>
      <c r="M1949">
        <v>10080000</v>
      </c>
    </row>
    <row r="1950" spans="1:13" x14ac:dyDescent="0.3">
      <c r="A1950" s="23">
        <v>45302</v>
      </c>
      <c r="B1950" t="s">
        <v>12</v>
      </c>
      <c r="C1950" t="s">
        <v>132</v>
      </c>
      <c r="D1950" t="s">
        <v>17</v>
      </c>
      <c r="E1950" t="s">
        <v>162</v>
      </c>
      <c r="F1950">
        <v>171600000</v>
      </c>
      <c r="G1950" t="s">
        <v>22</v>
      </c>
      <c r="H1950" t="s">
        <v>81</v>
      </c>
      <c r="I1950" t="s">
        <v>9</v>
      </c>
      <c r="L1950" t="s">
        <v>161</v>
      </c>
      <c r="M1950">
        <v>-171600000</v>
      </c>
    </row>
    <row r="1951" spans="1:13" x14ac:dyDescent="0.3">
      <c r="A1951" s="23">
        <v>45299</v>
      </c>
      <c r="B1951" t="s">
        <v>12</v>
      </c>
      <c r="C1951" t="s">
        <v>132</v>
      </c>
      <c r="D1951" t="s">
        <v>16</v>
      </c>
      <c r="E1951" t="s">
        <v>162</v>
      </c>
      <c r="F1951">
        <v>8700000</v>
      </c>
      <c r="G1951" t="s">
        <v>22</v>
      </c>
      <c r="H1951" t="s">
        <v>81</v>
      </c>
      <c r="I1951" t="s">
        <v>9</v>
      </c>
      <c r="L1951" t="s">
        <v>161</v>
      </c>
      <c r="M1951">
        <v>8700000</v>
      </c>
    </row>
    <row r="1952" spans="1:13" x14ac:dyDescent="0.3">
      <c r="A1952" s="23">
        <v>45289</v>
      </c>
      <c r="B1952" t="s">
        <v>12</v>
      </c>
      <c r="C1952" t="s">
        <v>132</v>
      </c>
      <c r="D1952" t="s">
        <v>16</v>
      </c>
      <c r="E1952" t="s">
        <v>162</v>
      </c>
      <c r="F1952">
        <v>515900000</v>
      </c>
      <c r="G1952" t="s">
        <v>22</v>
      </c>
      <c r="H1952" t="s">
        <v>81</v>
      </c>
      <c r="I1952" t="s">
        <v>9</v>
      </c>
      <c r="L1952" t="s">
        <v>161</v>
      </c>
      <c r="M1952">
        <v>515900000</v>
      </c>
    </row>
    <row r="1953" spans="1:13" x14ac:dyDescent="0.3">
      <c r="A1953" s="23">
        <v>45287</v>
      </c>
      <c r="B1953" t="s">
        <v>12</v>
      </c>
      <c r="C1953" t="s">
        <v>132</v>
      </c>
      <c r="D1953" t="s">
        <v>17</v>
      </c>
      <c r="E1953" t="s">
        <v>162</v>
      </c>
      <c r="F1953">
        <v>1376640384.3800001</v>
      </c>
      <c r="G1953" t="s">
        <v>22</v>
      </c>
      <c r="H1953" t="s">
        <v>81</v>
      </c>
      <c r="I1953" t="s">
        <v>9</v>
      </c>
      <c r="L1953" t="s">
        <v>161</v>
      </c>
      <c r="M1953">
        <v>-1376640384.3800001</v>
      </c>
    </row>
    <row r="1954" spans="1:13" x14ac:dyDescent="0.3">
      <c r="A1954" s="23">
        <v>45282</v>
      </c>
      <c r="B1954" t="s">
        <v>12</v>
      </c>
      <c r="C1954" t="s">
        <v>132</v>
      </c>
      <c r="D1954" t="s">
        <v>16</v>
      </c>
      <c r="E1954" t="s">
        <v>162</v>
      </c>
      <c r="F1954">
        <v>907340384.38</v>
      </c>
      <c r="G1954" t="s">
        <v>22</v>
      </c>
      <c r="H1954" t="s">
        <v>81</v>
      </c>
      <c r="I1954" t="s">
        <v>9</v>
      </c>
      <c r="L1954" t="s">
        <v>161</v>
      </c>
      <c r="M1954">
        <v>907340384.38</v>
      </c>
    </row>
    <row r="1955" spans="1:13" x14ac:dyDescent="0.3">
      <c r="A1955" s="23">
        <v>45275</v>
      </c>
      <c r="B1955" t="s">
        <v>12</v>
      </c>
      <c r="C1955" t="s">
        <v>132</v>
      </c>
      <c r="D1955" t="s">
        <v>16</v>
      </c>
      <c r="E1955" t="s">
        <v>162</v>
      </c>
      <c r="F1955">
        <v>469300000</v>
      </c>
      <c r="G1955" t="s">
        <v>22</v>
      </c>
      <c r="H1955" t="s">
        <v>81</v>
      </c>
      <c r="I1955" t="s">
        <v>9</v>
      </c>
      <c r="L1955" t="s">
        <v>161</v>
      </c>
      <c r="M1955">
        <v>469300000</v>
      </c>
    </row>
    <row r="1956" spans="1:13" x14ac:dyDescent="0.3">
      <c r="A1956" s="23">
        <v>45253</v>
      </c>
      <c r="B1956" t="s">
        <v>12</v>
      </c>
      <c r="C1956" t="s">
        <v>132</v>
      </c>
      <c r="D1956" t="s">
        <v>17</v>
      </c>
      <c r="E1956" t="s">
        <v>162</v>
      </c>
      <c r="F1956">
        <v>451000000</v>
      </c>
      <c r="G1956" t="s">
        <v>22</v>
      </c>
      <c r="H1956" t="s">
        <v>81</v>
      </c>
      <c r="I1956" t="s">
        <v>9</v>
      </c>
      <c r="L1956" t="s">
        <v>161</v>
      </c>
      <c r="M1956">
        <v>-451000000</v>
      </c>
    </row>
    <row r="1957" spans="1:13" x14ac:dyDescent="0.3">
      <c r="A1957" s="23">
        <v>45252</v>
      </c>
      <c r="B1957" t="s">
        <v>12</v>
      </c>
      <c r="C1957" t="s">
        <v>132</v>
      </c>
      <c r="D1957" t="s">
        <v>16</v>
      </c>
      <c r="E1957" t="s">
        <v>162</v>
      </c>
      <c r="F1957">
        <v>451000000</v>
      </c>
      <c r="G1957" t="s">
        <v>22</v>
      </c>
      <c r="H1957" t="s">
        <v>81</v>
      </c>
      <c r="I1957" t="s">
        <v>9</v>
      </c>
      <c r="L1957" t="s">
        <v>161</v>
      </c>
      <c r="M1957">
        <v>451000000</v>
      </c>
    </row>
    <row r="1958" spans="1:13" x14ac:dyDescent="0.3">
      <c r="A1958" s="23">
        <v>45252</v>
      </c>
      <c r="B1958" t="s">
        <v>12</v>
      </c>
      <c r="C1958" t="s">
        <v>132</v>
      </c>
      <c r="D1958" t="s">
        <v>17</v>
      </c>
      <c r="E1958" t="s">
        <v>162</v>
      </c>
      <c r="F1958">
        <v>44709693.759999998</v>
      </c>
      <c r="G1958" t="s">
        <v>22</v>
      </c>
      <c r="H1958" t="s">
        <v>81</v>
      </c>
      <c r="I1958" t="s">
        <v>9</v>
      </c>
      <c r="L1958" t="s">
        <v>161</v>
      </c>
      <c r="M1958">
        <v>-44709693.759999998</v>
      </c>
    </row>
    <row r="1959" spans="1:13" x14ac:dyDescent="0.3">
      <c r="A1959" s="23">
        <v>45247</v>
      </c>
      <c r="B1959" t="s">
        <v>12</v>
      </c>
      <c r="C1959" t="s">
        <v>132</v>
      </c>
      <c r="D1959" t="s">
        <v>16</v>
      </c>
      <c r="E1959" t="s">
        <v>162</v>
      </c>
      <c r="F1959">
        <v>133295.28</v>
      </c>
      <c r="G1959" t="s">
        <v>22</v>
      </c>
      <c r="H1959" t="s">
        <v>81</v>
      </c>
      <c r="I1959" t="s">
        <v>9</v>
      </c>
      <c r="L1959" t="s">
        <v>161</v>
      </c>
      <c r="M1959">
        <v>133295.28</v>
      </c>
    </row>
    <row r="1960" spans="1:13" x14ac:dyDescent="0.3">
      <c r="A1960" s="23">
        <v>45246</v>
      </c>
      <c r="B1960" t="s">
        <v>12</v>
      </c>
      <c r="C1960" t="s">
        <v>132</v>
      </c>
      <c r="D1960" t="s">
        <v>16</v>
      </c>
      <c r="E1960" t="s">
        <v>162</v>
      </c>
      <c r="F1960">
        <v>1576398.48</v>
      </c>
      <c r="G1960" t="s">
        <v>22</v>
      </c>
      <c r="H1960" t="s">
        <v>81</v>
      </c>
      <c r="I1960" t="s">
        <v>9</v>
      </c>
      <c r="L1960" t="s">
        <v>161</v>
      </c>
      <c r="M1960">
        <v>1576398.48</v>
      </c>
    </row>
    <row r="1961" spans="1:13" x14ac:dyDescent="0.3">
      <c r="A1961" s="23">
        <v>45233</v>
      </c>
      <c r="B1961" t="s">
        <v>12</v>
      </c>
      <c r="C1961" t="s">
        <v>132</v>
      </c>
      <c r="D1961" t="s">
        <v>16</v>
      </c>
      <c r="E1961" t="s">
        <v>162</v>
      </c>
      <c r="F1961">
        <v>43000000</v>
      </c>
      <c r="G1961" t="s">
        <v>22</v>
      </c>
      <c r="H1961" t="s">
        <v>81</v>
      </c>
      <c r="I1961" t="s">
        <v>9</v>
      </c>
      <c r="L1961" t="s">
        <v>161</v>
      </c>
      <c r="M1961">
        <v>43000000</v>
      </c>
    </row>
    <row r="1962" spans="1:13" x14ac:dyDescent="0.3">
      <c r="A1962" s="23">
        <v>45874</v>
      </c>
      <c r="B1962" t="s">
        <v>12</v>
      </c>
      <c r="C1962" t="s">
        <v>132</v>
      </c>
      <c r="D1962" t="s">
        <v>17</v>
      </c>
      <c r="E1962" t="s">
        <v>169</v>
      </c>
      <c r="F1962">
        <v>68675136.849999994</v>
      </c>
      <c r="G1962" t="s">
        <v>131</v>
      </c>
      <c r="H1962" t="s">
        <v>81</v>
      </c>
      <c r="I1962" t="s">
        <v>9</v>
      </c>
      <c r="L1962" t="s">
        <v>161</v>
      </c>
      <c r="M1962">
        <v>-68675136.849999994</v>
      </c>
    </row>
    <row r="1963" spans="1:13" x14ac:dyDescent="0.3">
      <c r="A1963" s="23">
        <v>45874</v>
      </c>
      <c r="B1963" t="s">
        <v>12</v>
      </c>
      <c r="C1963" t="s">
        <v>132</v>
      </c>
      <c r="D1963" t="s">
        <v>17</v>
      </c>
      <c r="E1963" t="s">
        <v>169</v>
      </c>
      <c r="F1963">
        <v>73496565.680000007</v>
      </c>
      <c r="G1963" t="s">
        <v>131</v>
      </c>
      <c r="H1963" t="s">
        <v>81</v>
      </c>
      <c r="I1963" t="s">
        <v>9</v>
      </c>
      <c r="L1963" t="s">
        <v>161</v>
      </c>
      <c r="M1963">
        <v>-73496565.680000007</v>
      </c>
    </row>
    <row r="1964" spans="1:13" x14ac:dyDescent="0.3">
      <c r="A1964" s="23">
        <v>45868</v>
      </c>
      <c r="B1964" t="s">
        <v>12</v>
      </c>
      <c r="C1964" t="s">
        <v>132</v>
      </c>
      <c r="D1964" t="s">
        <v>17</v>
      </c>
      <c r="E1964" t="s">
        <v>169</v>
      </c>
      <c r="F1964">
        <v>139894577.44</v>
      </c>
      <c r="G1964" t="s">
        <v>131</v>
      </c>
      <c r="H1964" t="s">
        <v>81</v>
      </c>
      <c r="I1964" t="s">
        <v>9</v>
      </c>
      <c r="L1964" t="s">
        <v>161</v>
      </c>
      <c r="M1964">
        <v>-139894577.44</v>
      </c>
    </row>
    <row r="1965" spans="1:13" x14ac:dyDescent="0.3">
      <c r="A1965" s="23">
        <v>45868</v>
      </c>
      <c r="B1965" t="s">
        <v>12</v>
      </c>
      <c r="C1965" t="s">
        <v>132</v>
      </c>
      <c r="D1965" t="s">
        <v>17</v>
      </c>
      <c r="E1965" t="s">
        <v>169</v>
      </c>
      <c r="F1965">
        <v>138266100</v>
      </c>
      <c r="G1965" t="s">
        <v>131</v>
      </c>
      <c r="H1965" t="s">
        <v>81</v>
      </c>
      <c r="I1965" t="s">
        <v>9</v>
      </c>
      <c r="L1965" t="s">
        <v>161</v>
      </c>
      <c r="M1965">
        <v>-138266100</v>
      </c>
    </row>
    <row r="1966" spans="1:13" x14ac:dyDescent="0.3">
      <c r="A1966" s="23">
        <v>45863</v>
      </c>
      <c r="B1966" t="s">
        <v>12</v>
      </c>
      <c r="C1966" t="s">
        <v>132</v>
      </c>
      <c r="D1966" t="s">
        <v>16</v>
      </c>
      <c r="E1966" t="s">
        <v>169</v>
      </c>
      <c r="F1966">
        <v>12888539.939999999</v>
      </c>
      <c r="G1966" t="s">
        <v>131</v>
      </c>
      <c r="H1966" t="s">
        <v>81</v>
      </c>
      <c r="I1966" t="s">
        <v>9</v>
      </c>
      <c r="L1966" t="s">
        <v>161</v>
      </c>
      <c r="M1966">
        <v>12888539.939999999</v>
      </c>
    </row>
    <row r="1967" spans="1:13" x14ac:dyDescent="0.3">
      <c r="A1967" s="23">
        <v>45862</v>
      </c>
      <c r="B1967" t="s">
        <v>12</v>
      </c>
      <c r="C1967" t="s">
        <v>132</v>
      </c>
      <c r="D1967" t="s">
        <v>17</v>
      </c>
      <c r="E1967" t="s">
        <v>169</v>
      </c>
      <c r="F1967">
        <v>78095036.430000007</v>
      </c>
      <c r="G1967" t="s">
        <v>131</v>
      </c>
      <c r="H1967" t="s">
        <v>81</v>
      </c>
      <c r="I1967" t="s">
        <v>9</v>
      </c>
      <c r="L1967" t="s">
        <v>161</v>
      </c>
      <c r="M1967">
        <v>-78095036.430000007</v>
      </c>
    </row>
    <row r="1968" spans="1:13" x14ac:dyDescent="0.3">
      <c r="A1968" s="23">
        <v>45862</v>
      </c>
      <c r="B1968" t="s">
        <v>12</v>
      </c>
      <c r="C1968" t="s">
        <v>132</v>
      </c>
      <c r="D1968" t="s">
        <v>17</v>
      </c>
      <c r="E1968" t="s">
        <v>169</v>
      </c>
      <c r="F1968">
        <v>81395727.629999995</v>
      </c>
      <c r="G1968" t="s">
        <v>131</v>
      </c>
      <c r="H1968" t="s">
        <v>81</v>
      </c>
      <c r="I1968" t="s">
        <v>9</v>
      </c>
      <c r="L1968" t="s">
        <v>161</v>
      </c>
      <c r="M1968">
        <v>-81395727.629999995</v>
      </c>
    </row>
    <row r="1969" spans="1:13" x14ac:dyDescent="0.3">
      <c r="A1969" s="23">
        <v>45860</v>
      </c>
      <c r="B1969" t="s">
        <v>12</v>
      </c>
      <c r="C1969" t="s">
        <v>132</v>
      </c>
      <c r="D1969" t="s">
        <v>17</v>
      </c>
      <c r="E1969" t="s">
        <v>169</v>
      </c>
      <c r="F1969">
        <v>297472636.80000001</v>
      </c>
      <c r="G1969" t="s">
        <v>131</v>
      </c>
      <c r="H1969" t="s">
        <v>81</v>
      </c>
      <c r="I1969" t="s">
        <v>9</v>
      </c>
      <c r="L1969" t="s">
        <v>161</v>
      </c>
      <c r="M1969">
        <v>-297472636.80000001</v>
      </c>
    </row>
    <row r="1970" spans="1:13" x14ac:dyDescent="0.3">
      <c r="A1970" s="23">
        <v>45860</v>
      </c>
      <c r="B1970" t="s">
        <v>12</v>
      </c>
      <c r="C1970" t="s">
        <v>132</v>
      </c>
      <c r="D1970" t="s">
        <v>17</v>
      </c>
      <c r="E1970" t="s">
        <v>169</v>
      </c>
      <c r="F1970">
        <v>70989425.819999993</v>
      </c>
      <c r="G1970" t="s">
        <v>131</v>
      </c>
      <c r="H1970" t="s">
        <v>81</v>
      </c>
      <c r="I1970" t="s">
        <v>9</v>
      </c>
      <c r="L1970" t="s">
        <v>161</v>
      </c>
      <c r="M1970">
        <v>-70989425.819999993</v>
      </c>
    </row>
    <row r="1971" spans="1:13" x14ac:dyDescent="0.3">
      <c r="A1971" s="23">
        <v>45849</v>
      </c>
      <c r="B1971" t="s">
        <v>12</v>
      </c>
      <c r="C1971" t="s">
        <v>132</v>
      </c>
      <c r="D1971" t="s">
        <v>16</v>
      </c>
      <c r="E1971" t="s">
        <v>169</v>
      </c>
      <c r="F1971">
        <v>54323612.75</v>
      </c>
      <c r="G1971" t="s">
        <v>131</v>
      </c>
      <c r="H1971" t="s">
        <v>81</v>
      </c>
      <c r="I1971" t="s">
        <v>9</v>
      </c>
      <c r="L1971" t="s">
        <v>161</v>
      </c>
      <c r="M1971">
        <v>54323612.75</v>
      </c>
    </row>
    <row r="1972" spans="1:13" x14ac:dyDescent="0.3">
      <c r="A1972" s="23">
        <v>45849</v>
      </c>
      <c r="B1972" t="s">
        <v>12</v>
      </c>
      <c r="C1972" t="s">
        <v>132</v>
      </c>
      <c r="D1972" t="s">
        <v>16</v>
      </c>
      <c r="E1972" t="s">
        <v>169</v>
      </c>
      <c r="F1972">
        <v>1000000000</v>
      </c>
      <c r="G1972" t="s">
        <v>131</v>
      </c>
      <c r="H1972" t="s">
        <v>81</v>
      </c>
      <c r="I1972" t="s">
        <v>9</v>
      </c>
      <c r="L1972" t="s">
        <v>161</v>
      </c>
      <c r="M1972">
        <v>1000000000</v>
      </c>
    </row>
    <row r="1973" spans="1:13" x14ac:dyDescent="0.3">
      <c r="A1973" s="23">
        <v>45848</v>
      </c>
      <c r="B1973" t="s">
        <v>12</v>
      </c>
      <c r="C1973" t="s">
        <v>132</v>
      </c>
      <c r="D1973" t="s">
        <v>17</v>
      </c>
      <c r="E1973" t="s">
        <v>169</v>
      </c>
      <c r="F1973">
        <v>440075089.08999997</v>
      </c>
      <c r="G1973" t="s">
        <v>131</v>
      </c>
      <c r="H1973" t="s">
        <v>81</v>
      </c>
      <c r="I1973" t="s">
        <v>9</v>
      </c>
      <c r="L1973" t="s">
        <v>161</v>
      </c>
      <c r="M1973">
        <v>-440075089.08999997</v>
      </c>
    </row>
    <row r="1974" spans="1:13" x14ac:dyDescent="0.3">
      <c r="A1974" s="23">
        <v>45848</v>
      </c>
      <c r="B1974" t="s">
        <v>12</v>
      </c>
      <c r="C1974" t="s">
        <v>132</v>
      </c>
      <c r="D1974" t="s">
        <v>17</v>
      </c>
      <c r="E1974" t="s">
        <v>169</v>
      </c>
      <c r="F1974">
        <v>72726647.030000001</v>
      </c>
      <c r="G1974" t="s">
        <v>131</v>
      </c>
      <c r="H1974" t="s">
        <v>81</v>
      </c>
      <c r="I1974" t="s">
        <v>9</v>
      </c>
      <c r="L1974" t="s">
        <v>161</v>
      </c>
      <c r="M1974">
        <v>-72726647.030000001</v>
      </c>
    </row>
    <row r="1975" spans="1:13" x14ac:dyDescent="0.3">
      <c r="A1975" s="23">
        <v>45845</v>
      </c>
      <c r="B1975" t="s">
        <v>12</v>
      </c>
      <c r="C1975" t="s">
        <v>132</v>
      </c>
      <c r="D1975" t="s">
        <v>17</v>
      </c>
      <c r="E1975" t="s">
        <v>169</v>
      </c>
      <c r="F1975">
        <v>7747336166.0699997</v>
      </c>
      <c r="G1975" t="s">
        <v>131</v>
      </c>
      <c r="H1975" t="s">
        <v>81</v>
      </c>
      <c r="I1975" t="s">
        <v>9</v>
      </c>
      <c r="L1975" t="s">
        <v>161</v>
      </c>
      <c r="M1975">
        <v>-7747336166.0699997</v>
      </c>
    </row>
    <row r="1976" spans="1:13" x14ac:dyDescent="0.3">
      <c r="A1976" s="23">
        <v>45845</v>
      </c>
      <c r="B1976" t="s">
        <v>12</v>
      </c>
      <c r="C1976" t="s">
        <v>132</v>
      </c>
      <c r="D1976" t="s">
        <v>17</v>
      </c>
      <c r="E1976" t="s">
        <v>169</v>
      </c>
      <c r="F1976">
        <v>992754609.77999997</v>
      </c>
      <c r="G1976" t="s">
        <v>131</v>
      </c>
      <c r="H1976" t="s">
        <v>81</v>
      </c>
      <c r="I1976" t="s">
        <v>9</v>
      </c>
      <c r="L1976" t="s">
        <v>161</v>
      </c>
      <c r="M1976">
        <v>-992754609.77999997</v>
      </c>
    </row>
    <row r="1977" spans="1:13" x14ac:dyDescent="0.3">
      <c r="A1977" s="23">
        <v>45845</v>
      </c>
      <c r="B1977" t="s">
        <v>12</v>
      </c>
      <c r="C1977" t="s">
        <v>132</v>
      </c>
      <c r="D1977" t="s">
        <v>16</v>
      </c>
      <c r="E1977" t="s">
        <v>169</v>
      </c>
      <c r="F1977">
        <v>500000000</v>
      </c>
      <c r="G1977" t="s">
        <v>131</v>
      </c>
      <c r="H1977" t="s">
        <v>81</v>
      </c>
      <c r="I1977" t="s">
        <v>9</v>
      </c>
      <c r="L1977" t="s">
        <v>161</v>
      </c>
      <c r="M1977">
        <v>500000000</v>
      </c>
    </row>
    <row r="1978" spans="1:13" x14ac:dyDescent="0.3">
      <c r="A1978" s="23">
        <v>45841</v>
      </c>
      <c r="B1978" t="s">
        <v>12</v>
      </c>
      <c r="C1978" t="s">
        <v>132</v>
      </c>
      <c r="D1978" t="s">
        <v>17</v>
      </c>
      <c r="E1978" t="s">
        <v>169</v>
      </c>
      <c r="F1978">
        <v>152580835.75</v>
      </c>
      <c r="G1978" t="s">
        <v>131</v>
      </c>
      <c r="H1978" t="s">
        <v>81</v>
      </c>
      <c r="I1978" t="s">
        <v>9</v>
      </c>
      <c r="L1978" t="s">
        <v>161</v>
      </c>
      <c r="M1978">
        <v>-152580835.75</v>
      </c>
    </row>
    <row r="1979" spans="1:13" x14ac:dyDescent="0.3">
      <c r="A1979" s="23">
        <v>45840</v>
      </c>
      <c r="B1979" t="s">
        <v>12</v>
      </c>
      <c r="C1979" t="s">
        <v>132</v>
      </c>
      <c r="D1979" t="s">
        <v>16</v>
      </c>
      <c r="E1979" t="s">
        <v>169</v>
      </c>
      <c r="F1979">
        <v>200000000</v>
      </c>
      <c r="G1979" t="s">
        <v>131</v>
      </c>
      <c r="H1979" t="s">
        <v>81</v>
      </c>
      <c r="I1979" t="s">
        <v>9</v>
      </c>
      <c r="L1979" t="s">
        <v>161</v>
      </c>
      <c r="M1979">
        <v>200000000</v>
      </c>
    </row>
    <row r="1980" spans="1:13" x14ac:dyDescent="0.3">
      <c r="A1980" s="23">
        <v>45839</v>
      </c>
      <c r="B1980" t="s">
        <v>12</v>
      </c>
      <c r="C1980" t="s">
        <v>132</v>
      </c>
      <c r="D1980" t="s">
        <v>16</v>
      </c>
      <c r="E1980" t="s">
        <v>169</v>
      </c>
      <c r="F1980">
        <v>7500000000</v>
      </c>
      <c r="G1980" t="s">
        <v>131</v>
      </c>
      <c r="H1980" t="s">
        <v>81</v>
      </c>
      <c r="I1980" t="s">
        <v>9</v>
      </c>
      <c r="L1980" t="s">
        <v>161</v>
      </c>
      <c r="M1980">
        <v>7500000000</v>
      </c>
    </row>
    <row r="1981" spans="1:13" x14ac:dyDescent="0.3">
      <c r="A1981" s="23">
        <v>45838</v>
      </c>
      <c r="B1981" t="s">
        <v>12</v>
      </c>
      <c r="C1981" t="s">
        <v>132</v>
      </c>
      <c r="D1981" t="s">
        <v>17</v>
      </c>
      <c r="E1981" t="s">
        <v>169</v>
      </c>
      <c r="F1981">
        <v>94822885.790000007</v>
      </c>
      <c r="G1981" t="s">
        <v>131</v>
      </c>
      <c r="H1981" t="s">
        <v>81</v>
      </c>
      <c r="I1981" t="s">
        <v>9</v>
      </c>
      <c r="L1981" t="s">
        <v>161</v>
      </c>
      <c r="M1981">
        <v>-94822885.790000007</v>
      </c>
    </row>
    <row r="1982" spans="1:13" x14ac:dyDescent="0.3">
      <c r="A1982" s="23">
        <v>45835</v>
      </c>
      <c r="B1982" t="s">
        <v>12</v>
      </c>
      <c r="C1982" t="s">
        <v>132</v>
      </c>
      <c r="D1982" t="s">
        <v>17</v>
      </c>
      <c r="E1982" t="s">
        <v>169</v>
      </c>
      <c r="F1982">
        <v>65900000</v>
      </c>
      <c r="G1982" t="s">
        <v>131</v>
      </c>
      <c r="H1982" t="s">
        <v>81</v>
      </c>
      <c r="I1982" t="s">
        <v>9</v>
      </c>
      <c r="L1982" t="s">
        <v>161</v>
      </c>
      <c r="M1982">
        <v>-65900000</v>
      </c>
    </row>
    <row r="1983" spans="1:13" x14ac:dyDescent="0.3">
      <c r="A1983" s="23">
        <v>45835</v>
      </c>
      <c r="B1983" t="s">
        <v>12</v>
      </c>
      <c r="C1983" t="s">
        <v>132</v>
      </c>
      <c r="D1983" t="s">
        <v>17</v>
      </c>
      <c r="E1983" t="s">
        <v>169</v>
      </c>
      <c r="F1983">
        <v>56730271.850000001</v>
      </c>
      <c r="G1983" t="s">
        <v>131</v>
      </c>
      <c r="H1983" t="s">
        <v>81</v>
      </c>
      <c r="I1983" t="s">
        <v>9</v>
      </c>
      <c r="L1983" t="s">
        <v>161</v>
      </c>
      <c r="M1983">
        <v>-56730271.850000001</v>
      </c>
    </row>
    <row r="1984" spans="1:13" x14ac:dyDescent="0.3">
      <c r="A1984" s="23">
        <v>45833</v>
      </c>
      <c r="B1984" t="s">
        <v>12</v>
      </c>
      <c r="C1984" t="s">
        <v>132</v>
      </c>
      <c r="D1984" t="s">
        <v>17</v>
      </c>
      <c r="E1984" t="s">
        <v>169</v>
      </c>
      <c r="F1984">
        <v>115233104.84</v>
      </c>
      <c r="G1984" t="s">
        <v>131</v>
      </c>
      <c r="H1984" t="s">
        <v>81</v>
      </c>
      <c r="I1984" t="s">
        <v>9</v>
      </c>
      <c r="L1984" t="s">
        <v>161</v>
      </c>
      <c r="M1984">
        <v>-115233104.84</v>
      </c>
    </row>
    <row r="1985" spans="1:13" x14ac:dyDescent="0.3">
      <c r="A1985" s="23">
        <v>45833</v>
      </c>
      <c r="B1985" t="s">
        <v>12</v>
      </c>
      <c r="C1985" t="s">
        <v>132</v>
      </c>
      <c r="D1985" t="s">
        <v>17</v>
      </c>
      <c r="E1985" t="s">
        <v>169</v>
      </c>
      <c r="F1985">
        <v>146921918.41</v>
      </c>
      <c r="G1985" t="s">
        <v>131</v>
      </c>
      <c r="H1985" t="s">
        <v>81</v>
      </c>
      <c r="I1985" t="s">
        <v>9</v>
      </c>
      <c r="L1985" t="s">
        <v>161</v>
      </c>
      <c r="M1985">
        <v>-146921918.41</v>
      </c>
    </row>
    <row r="1986" spans="1:13" x14ac:dyDescent="0.3">
      <c r="A1986" s="23">
        <v>45827</v>
      </c>
      <c r="B1986" t="s">
        <v>12</v>
      </c>
      <c r="C1986" t="s">
        <v>132</v>
      </c>
      <c r="D1986" t="s">
        <v>16</v>
      </c>
      <c r="E1986" t="s">
        <v>169</v>
      </c>
      <c r="F1986">
        <v>11660320.74</v>
      </c>
      <c r="G1986" t="s">
        <v>131</v>
      </c>
      <c r="H1986" t="s">
        <v>81</v>
      </c>
      <c r="I1986" t="s">
        <v>9</v>
      </c>
      <c r="L1986" t="s">
        <v>161</v>
      </c>
      <c r="M1986">
        <v>11660320.74</v>
      </c>
    </row>
    <row r="1987" spans="1:13" x14ac:dyDescent="0.3">
      <c r="A1987" s="23">
        <v>45821</v>
      </c>
      <c r="B1987" t="s">
        <v>12</v>
      </c>
      <c r="C1987" t="s">
        <v>132</v>
      </c>
      <c r="D1987" t="s">
        <v>17</v>
      </c>
      <c r="E1987" t="s">
        <v>169</v>
      </c>
      <c r="F1987">
        <v>103889610.59999999</v>
      </c>
      <c r="G1987" t="s">
        <v>131</v>
      </c>
      <c r="H1987" t="s">
        <v>81</v>
      </c>
      <c r="I1987" t="s">
        <v>9</v>
      </c>
      <c r="L1987" t="s">
        <v>161</v>
      </c>
      <c r="M1987">
        <v>-103889610.59999999</v>
      </c>
    </row>
    <row r="1988" spans="1:13" x14ac:dyDescent="0.3">
      <c r="A1988" s="23">
        <v>45820</v>
      </c>
      <c r="B1988" t="s">
        <v>12</v>
      </c>
      <c r="C1988" t="s">
        <v>132</v>
      </c>
      <c r="D1988" t="s">
        <v>17</v>
      </c>
      <c r="E1988" t="s">
        <v>169</v>
      </c>
      <c r="F1988">
        <v>126592200</v>
      </c>
      <c r="G1988" t="s">
        <v>131</v>
      </c>
      <c r="H1988" t="s">
        <v>81</v>
      </c>
      <c r="I1988" t="s">
        <v>9</v>
      </c>
      <c r="L1988" t="s">
        <v>161</v>
      </c>
      <c r="M1988">
        <v>-126592200</v>
      </c>
    </row>
    <row r="1989" spans="1:13" x14ac:dyDescent="0.3">
      <c r="A1989" s="23">
        <v>45819</v>
      </c>
      <c r="B1989" t="s">
        <v>12</v>
      </c>
      <c r="C1989" t="s">
        <v>132</v>
      </c>
      <c r="D1989" t="s">
        <v>16</v>
      </c>
      <c r="E1989" t="s">
        <v>169</v>
      </c>
      <c r="F1989">
        <v>6938171.3399999999</v>
      </c>
      <c r="G1989" t="s">
        <v>131</v>
      </c>
      <c r="H1989" t="s">
        <v>81</v>
      </c>
      <c r="I1989" t="s">
        <v>9</v>
      </c>
      <c r="L1989" t="s">
        <v>161</v>
      </c>
      <c r="M1989">
        <v>6938171.3399999999</v>
      </c>
    </row>
    <row r="1990" spans="1:13" x14ac:dyDescent="0.3">
      <c r="A1990" s="23">
        <v>45817</v>
      </c>
      <c r="B1990" t="s">
        <v>12</v>
      </c>
      <c r="C1990" t="s">
        <v>132</v>
      </c>
      <c r="D1990" t="s">
        <v>16</v>
      </c>
      <c r="E1990" t="s">
        <v>169</v>
      </c>
      <c r="F1990">
        <v>591966502.83000004</v>
      </c>
      <c r="G1990" t="s">
        <v>131</v>
      </c>
      <c r="H1990" t="s">
        <v>81</v>
      </c>
      <c r="I1990" t="s">
        <v>9</v>
      </c>
      <c r="L1990" t="s">
        <v>161</v>
      </c>
      <c r="M1990">
        <v>591966502.83000004</v>
      </c>
    </row>
    <row r="1991" spans="1:13" x14ac:dyDescent="0.3">
      <c r="A1991" s="23">
        <v>45818</v>
      </c>
      <c r="B1991" t="s">
        <v>12</v>
      </c>
      <c r="C1991" t="s">
        <v>132</v>
      </c>
      <c r="D1991" t="s">
        <v>17</v>
      </c>
      <c r="E1991" t="s">
        <v>169</v>
      </c>
      <c r="F1991">
        <v>113959840.66</v>
      </c>
      <c r="G1991" t="s">
        <v>131</v>
      </c>
      <c r="H1991" t="s">
        <v>81</v>
      </c>
      <c r="I1991" t="s">
        <v>9</v>
      </c>
      <c r="L1991" t="s">
        <v>161</v>
      </c>
      <c r="M1991">
        <v>-113959840.66</v>
      </c>
    </row>
    <row r="1992" spans="1:13" x14ac:dyDescent="0.3">
      <c r="A1992" s="23">
        <v>45818</v>
      </c>
      <c r="B1992" t="s">
        <v>12</v>
      </c>
      <c r="C1992" t="s">
        <v>132</v>
      </c>
      <c r="D1992" t="s">
        <v>17</v>
      </c>
      <c r="E1992" t="s">
        <v>169</v>
      </c>
      <c r="F1992">
        <v>67058050.210000001</v>
      </c>
      <c r="G1992" t="s">
        <v>131</v>
      </c>
      <c r="H1992" t="s">
        <v>81</v>
      </c>
      <c r="I1992" t="s">
        <v>9</v>
      </c>
      <c r="L1992" t="s">
        <v>161</v>
      </c>
      <c r="M1992">
        <v>-67058050.210000001</v>
      </c>
    </row>
    <row r="1993" spans="1:13" x14ac:dyDescent="0.3">
      <c r="A1993" s="23">
        <v>45814</v>
      </c>
      <c r="B1993" t="s">
        <v>12</v>
      </c>
      <c r="C1993" t="s">
        <v>132</v>
      </c>
      <c r="D1993" t="s">
        <v>16</v>
      </c>
      <c r="E1993" t="s">
        <v>169</v>
      </c>
      <c r="F1993">
        <v>9527902.7100000009</v>
      </c>
      <c r="G1993" t="s">
        <v>131</v>
      </c>
      <c r="H1993" t="s">
        <v>81</v>
      </c>
      <c r="I1993" t="s">
        <v>9</v>
      </c>
      <c r="L1993" t="s">
        <v>161</v>
      </c>
      <c r="M1993">
        <v>9527902.7100000009</v>
      </c>
    </row>
    <row r="1994" spans="1:13" x14ac:dyDescent="0.3">
      <c r="A1994" s="23">
        <v>45813</v>
      </c>
      <c r="B1994" t="s">
        <v>12</v>
      </c>
      <c r="C1994" t="s">
        <v>132</v>
      </c>
      <c r="D1994" t="s">
        <v>17</v>
      </c>
      <c r="E1994" t="s">
        <v>169</v>
      </c>
      <c r="F1994">
        <v>125668001.62</v>
      </c>
      <c r="G1994" t="s">
        <v>131</v>
      </c>
      <c r="H1994" t="s">
        <v>81</v>
      </c>
      <c r="I1994" t="s">
        <v>9</v>
      </c>
      <c r="L1994" t="s">
        <v>161</v>
      </c>
      <c r="M1994">
        <v>-125668001.62</v>
      </c>
    </row>
    <row r="1995" spans="1:13" x14ac:dyDescent="0.3">
      <c r="A1995" s="23">
        <v>45812</v>
      </c>
      <c r="B1995" t="s">
        <v>12</v>
      </c>
      <c r="C1995" t="s">
        <v>132</v>
      </c>
      <c r="D1995" t="s">
        <v>17</v>
      </c>
      <c r="E1995" t="s">
        <v>169</v>
      </c>
      <c r="F1995">
        <v>93688895.400000006</v>
      </c>
      <c r="G1995" t="s">
        <v>131</v>
      </c>
      <c r="H1995" t="s">
        <v>81</v>
      </c>
      <c r="I1995" t="s">
        <v>9</v>
      </c>
      <c r="L1995" t="s">
        <v>161</v>
      </c>
      <c r="M1995">
        <v>-93688895.400000006</v>
      </c>
    </row>
    <row r="1996" spans="1:13" x14ac:dyDescent="0.3">
      <c r="A1996" s="23">
        <v>45812</v>
      </c>
      <c r="B1996" t="s">
        <v>12</v>
      </c>
      <c r="C1996" t="s">
        <v>132</v>
      </c>
      <c r="D1996" t="s">
        <v>17</v>
      </c>
      <c r="E1996" t="s">
        <v>169</v>
      </c>
      <c r="F1996">
        <v>51423136.149999999</v>
      </c>
      <c r="G1996" t="s">
        <v>131</v>
      </c>
      <c r="H1996" t="s">
        <v>81</v>
      </c>
      <c r="I1996" t="s">
        <v>9</v>
      </c>
      <c r="L1996" t="s">
        <v>161</v>
      </c>
      <c r="M1996">
        <v>-51423136.149999999</v>
      </c>
    </row>
    <row r="1997" spans="1:13" x14ac:dyDescent="0.3">
      <c r="A1997" s="23">
        <v>45810</v>
      </c>
      <c r="B1997" t="s">
        <v>12</v>
      </c>
      <c r="C1997" t="s">
        <v>132</v>
      </c>
      <c r="D1997" t="s">
        <v>16</v>
      </c>
      <c r="E1997" t="s">
        <v>169</v>
      </c>
      <c r="F1997">
        <v>1074540000</v>
      </c>
      <c r="G1997" t="s">
        <v>131</v>
      </c>
      <c r="H1997" t="s">
        <v>81</v>
      </c>
      <c r="I1997" t="s">
        <v>9</v>
      </c>
      <c r="L1997" t="s">
        <v>161</v>
      </c>
      <c r="M1997">
        <v>1074540000</v>
      </c>
    </row>
    <row r="1998" spans="1:13" x14ac:dyDescent="0.3">
      <c r="A1998" s="23">
        <v>45804</v>
      </c>
      <c r="B1998" t="s">
        <v>12</v>
      </c>
      <c r="C1998" t="s">
        <v>132</v>
      </c>
      <c r="D1998" t="s">
        <v>17</v>
      </c>
      <c r="E1998" t="s">
        <v>169</v>
      </c>
      <c r="F1998">
        <v>48783795.049999997</v>
      </c>
      <c r="G1998" t="s">
        <v>131</v>
      </c>
      <c r="H1998" t="s">
        <v>81</v>
      </c>
      <c r="I1998" t="s">
        <v>9</v>
      </c>
      <c r="L1998" t="s">
        <v>161</v>
      </c>
      <c r="M1998">
        <v>-48783795.049999997</v>
      </c>
    </row>
    <row r="1999" spans="1:13" x14ac:dyDescent="0.3">
      <c r="A1999" s="23">
        <v>45804</v>
      </c>
      <c r="B1999" t="s">
        <v>12</v>
      </c>
      <c r="C1999" t="s">
        <v>132</v>
      </c>
      <c r="D1999" t="s">
        <v>17</v>
      </c>
      <c r="E1999" t="s">
        <v>169</v>
      </c>
      <c r="F1999">
        <v>134950482.66999999</v>
      </c>
      <c r="G1999" t="s">
        <v>131</v>
      </c>
      <c r="H1999" t="s">
        <v>81</v>
      </c>
      <c r="I1999" t="s">
        <v>9</v>
      </c>
      <c r="L1999" t="s">
        <v>161</v>
      </c>
      <c r="M1999">
        <v>-134950482.66999999</v>
      </c>
    </row>
    <row r="2000" spans="1:13" x14ac:dyDescent="0.3">
      <c r="A2000" s="23">
        <v>45804</v>
      </c>
      <c r="B2000" t="s">
        <v>12</v>
      </c>
      <c r="C2000" t="s">
        <v>132</v>
      </c>
      <c r="D2000" t="s">
        <v>16</v>
      </c>
      <c r="E2000" t="s">
        <v>169</v>
      </c>
      <c r="F2000">
        <v>4331000</v>
      </c>
      <c r="G2000" t="s">
        <v>131</v>
      </c>
      <c r="H2000" t="s">
        <v>81</v>
      </c>
      <c r="I2000" t="s">
        <v>9</v>
      </c>
      <c r="L2000" t="s">
        <v>161</v>
      </c>
      <c r="M2000">
        <v>4331000</v>
      </c>
    </row>
    <row r="2001" spans="1:13" x14ac:dyDescent="0.3">
      <c r="A2001" s="23">
        <v>45797</v>
      </c>
      <c r="B2001" t="s">
        <v>12</v>
      </c>
      <c r="C2001" t="s">
        <v>132</v>
      </c>
      <c r="D2001" t="s">
        <v>17</v>
      </c>
      <c r="E2001" t="s">
        <v>169</v>
      </c>
      <c r="F2001">
        <v>67258039.609999999</v>
      </c>
      <c r="G2001" t="s">
        <v>131</v>
      </c>
      <c r="H2001" t="s">
        <v>81</v>
      </c>
      <c r="I2001" t="s">
        <v>9</v>
      </c>
      <c r="L2001" t="s">
        <v>161</v>
      </c>
      <c r="M2001">
        <v>-67258039.609999999</v>
      </c>
    </row>
    <row r="2002" spans="1:13" x14ac:dyDescent="0.3">
      <c r="A2002" s="23">
        <v>45797</v>
      </c>
      <c r="B2002" t="s">
        <v>12</v>
      </c>
      <c r="C2002" t="s">
        <v>132</v>
      </c>
      <c r="D2002" t="s">
        <v>16</v>
      </c>
      <c r="E2002" t="s">
        <v>169</v>
      </c>
      <c r="F2002">
        <v>3850420</v>
      </c>
      <c r="G2002" t="s">
        <v>131</v>
      </c>
      <c r="H2002" t="s">
        <v>81</v>
      </c>
      <c r="I2002" t="s">
        <v>9</v>
      </c>
      <c r="L2002" t="s">
        <v>161</v>
      </c>
      <c r="M2002">
        <v>3850420</v>
      </c>
    </row>
    <row r="2003" spans="1:13" x14ac:dyDescent="0.3">
      <c r="A2003" s="23">
        <v>45792</v>
      </c>
      <c r="B2003" t="s">
        <v>12</v>
      </c>
      <c r="C2003" t="s">
        <v>132</v>
      </c>
      <c r="D2003" t="s">
        <v>16</v>
      </c>
      <c r="E2003" t="s">
        <v>169</v>
      </c>
      <c r="F2003">
        <v>68710509.239999995</v>
      </c>
      <c r="G2003" t="s">
        <v>131</v>
      </c>
      <c r="H2003" t="s">
        <v>81</v>
      </c>
      <c r="I2003" t="s">
        <v>9</v>
      </c>
      <c r="L2003" t="s">
        <v>161</v>
      </c>
      <c r="M2003">
        <v>68710509.239999995</v>
      </c>
    </row>
    <row r="2004" spans="1:13" x14ac:dyDescent="0.3">
      <c r="A2004" s="23">
        <v>45791</v>
      </c>
      <c r="B2004" t="s">
        <v>12</v>
      </c>
      <c r="C2004" t="s">
        <v>132</v>
      </c>
      <c r="D2004" t="s">
        <v>17</v>
      </c>
      <c r="E2004" t="s">
        <v>169</v>
      </c>
      <c r="F2004">
        <v>3790953972.77</v>
      </c>
      <c r="G2004" t="s">
        <v>131</v>
      </c>
      <c r="H2004" t="s">
        <v>81</v>
      </c>
      <c r="I2004" t="s">
        <v>9</v>
      </c>
      <c r="L2004" t="s">
        <v>161</v>
      </c>
      <c r="M2004">
        <v>-3790953972.77</v>
      </c>
    </row>
    <row r="2005" spans="1:13" x14ac:dyDescent="0.3">
      <c r="A2005" s="23">
        <v>45790</v>
      </c>
      <c r="B2005" t="s">
        <v>12</v>
      </c>
      <c r="C2005" t="s">
        <v>132</v>
      </c>
      <c r="D2005" t="s">
        <v>17</v>
      </c>
      <c r="E2005" t="s">
        <v>169</v>
      </c>
      <c r="F2005">
        <v>90891939.409999996</v>
      </c>
      <c r="G2005" t="s">
        <v>131</v>
      </c>
      <c r="H2005" t="s">
        <v>81</v>
      </c>
      <c r="I2005" t="s">
        <v>9</v>
      </c>
      <c r="L2005" t="s">
        <v>161</v>
      </c>
      <c r="M2005">
        <v>-90891939.409999996</v>
      </c>
    </row>
    <row r="2006" spans="1:13" x14ac:dyDescent="0.3">
      <c r="A2006" s="23">
        <v>45790</v>
      </c>
      <c r="B2006" t="s">
        <v>12</v>
      </c>
      <c r="C2006" t="s">
        <v>132</v>
      </c>
      <c r="D2006" t="s">
        <v>17</v>
      </c>
      <c r="E2006" t="s">
        <v>169</v>
      </c>
      <c r="F2006">
        <v>89862728.719999999</v>
      </c>
      <c r="G2006" t="s">
        <v>131</v>
      </c>
      <c r="H2006" t="s">
        <v>81</v>
      </c>
      <c r="I2006" t="s">
        <v>9</v>
      </c>
      <c r="L2006" t="s">
        <v>161</v>
      </c>
      <c r="M2006">
        <v>-89862728.719999999</v>
      </c>
    </row>
    <row r="2007" spans="1:13" x14ac:dyDescent="0.3">
      <c r="A2007" s="23">
        <v>45789</v>
      </c>
      <c r="B2007" t="s">
        <v>12</v>
      </c>
      <c r="C2007" t="s">
        <v>132</v>
      </c>
      <c r="D2007" t="s">
        <v>16</v>
      </c>
      <c r="E2007" t="s">
        <v>169</v>
      </c>
      <c r="F2007">
        <v>3000000000</v>
      </c>
      <c r="G2007" t="s">
        <v>131</v>
      </c>
      <c r="H2007" t="s">
        <v>81</v>
      </c>
      <c r="I2007" t="s">
        <v>9</v>
      </c>
      <c r="L2007" t="s">
        <v>161</v>
      </c>
      <c r="M2007">
        <v>3000000000</v>
      </c>
    </row>
    <row r="2008" spans="1:13" x14ac:dyDescent="0.3">
      <c r="A2008" s="23">
        <v>45789</v>
      </c>
      <c r="B2008" t="s">
        <v>12</v>
      </c>
      <c r="C2008" t="s">
        <v>132</v>
      </c>
      <c r="D2008" t="s">
        <v>16</v>
      </c>
      <c r="E2008" t="s">
        <v>169</v>
      </c>
      <c r="F2008">
        <v>100000000</v>
      </c>
      <c r="G2008" t="s">
        <v>131</v>
      </c>
      <c r="H2008" t="s">
        <v>81</v>
      </c>
      <c r="I2008" t="s">
        <v>9</v>
      </c>
      <c r="L2008" t="s">
        <v>161</v>
      </c>
      <c r="M2008">
        <v>100000000</v>
      </c>
    </row>
    <row r="2009" spans="1:13" x14ac:dyDescent="0.3">
      <c r="A2009" s="23">
        <v>45785</v>
      </c>
      <c r="B2009" t="s">
        <v>12</v>
      </c>
      <c r="C2009" t="s">
        <v>132</v>
      </c>
      <c r="D2009" t="s">
        <v>17</v>
      </c>
      <c r="E2009" t="s">
        <v>169</v>
      </c>
      <c r="F2009">
        <v>765280000</v>
      </c>
      <c r="G2009" t="s">
        <v>131</v>
      </c>
      <c r="H2009" t="s">
        <v>81</v>
      </c>
      <c r="I2009" t="s">
        <v>9</v>
      </c>
      <c r="L2009" t="s">
        <v>161</v>
      </c>
      <c r="M2009">
        <v>-765280000</v>
      </c>
    </row>
    <row r="2010" spans="1:13" x14ac:dyDescent="0.3">
      <c r="A2010" s="23">
        <v>45785</v>
      </c>
      <c r="B2010" t="s">
        <v>12</v>
      </c>
      <c r="C2010" t="s">
        <v>132</v>
      </c>
      <c r="D2010" t="s">
        <v>17</v>
      </c>
      <c r="E2010" t="s">
        <v>169</v>
      </c>
      <c r="F2010">
        <v>1968850000</v>
      </c>
      <c r="G2010" t="s">
        <v>131</v>
      </c>
      <c r="H2010" t="s">
        <v>81</v>
      </c>
      <c r="I2010" t="s">
        <v>9</v>
      </c>
      <c r="L2010" t="s">
        <v>161</v>
      </c>
      <c r="M2010">
        <v>-1968850000</v>
      </c>
    </row>
    <row r="2011" spans="1:13" x14ac:dyDescent="0.3">
      <c r="A2011" s="23">
        <v>45776</v>
      </c>
      <c r="B2011" t="s">
        <v>12</v>
      </c>
      <c r="C2011" t="s">
        <v>132</v>
      </c>
      <c r="D2011" t="s">
        <v>17</v>
      </c>
      <c r="E2011" t="s">
        <v>169</v>
      </c>
      <c r="F2011">
        <v>60546970.409999996</v>
      </c>
      <c r="G2011" t="s">
        <v>131</v>
      </c>
      <c r="H2011" t="s">
        <v>81</v>
      </c>
      <c r="I2011" t="s">
        <v>9</v>
      </c>
      <c r="L2011" t="s">
        <v>161</v>
      </c>
      <c r="M2011">
        <v>-60546970.409999996</v>
      </c>
    </row>
    <row r="2012" spans="1:13" x14ac:dyDescent="0.3">
      <c r="A2012" s="23">
        <v>45776</v>
      </c>
      <c r="B2012" t="s">
        <v>12</v>
      </c>
      <c r="C2012" t="s">
        <v>132</v>
      </c>
      <c r="D2012" t="s">
        <v>17</v>
      </c>
      <c r="E2012" t="s">
        <v>169</v>
      </c>
      <c r="F2012">
        <v>314325843.45999998</v>
      </c>
      <c r="G2012" t="s">
        <v>131</v>
      </c>
      <c r="H2012" t="s">
        <v>81</v>
      </c>
      <c r="I2012" t="s">
        <v>9</v>
      </c>
      <c r="L2012" t="s">
        <v>161</v>
      </c>
      <c r="M2012">
        <v>-314325843.45999998</v>
      </c>
    </row>
    <row r="2013" spans="1:13" x14ac:dyDescent="0.3">
      <c r="A2013" s="23">
        <v>45769</v>
      </c>
      <c r="B2013" t="s">
        <v>12</v>
      </c>
      <c r="C2013" t="s">
        <v>132</v>
      </c>
      <c r="D2013" t="s">
        <v>17</v>
      </c>
      <c r="E2013" t="s">
        <v>169</v>
      </c>
      <c r="F2013">
        <v>111260769.97</v>
      </c>
      <c r="G2013" t="s">
        <v>131</v>
      </c>
      <c r="H2013" t="s">
        <v>81</v>
      </c>
      <c r="I2013" t="s">
        <v>9</v>
      </c>
      <c r="L2013" t="s">
        <v>161</v>
      </c>
      <c r="M2013">
        <v>-111260769.97</v>
      </c>
    </row>
    <row r="2014" spans="1:13" x14ac:dyDescent="0.3">
      <c r="A2014" s="23">
        <v>45769</v>
      </c>
      <c r="B2014" t="s">
        <v>12</v>
      </c>
      <c r="C2014" t="s">
        <v>132</v>
      </c>
      <c r="D2014" t="s">
        <v>17</v>
      </c>
      <c r="E2014" t="s">
        <v>169</v>
      </c>
      <c r="F2014">
        <v>47701350.380000003</v>
      </c>
      <c r="G2014" t="s">
        <v>131</v>
      </c>
      <c r="H2014" t="s">
        <v>81</v>
      </c>
      <c r="I2014" t="s">
        <v>9</v>
      </c>
      <c r="L2014" t="s">
        <v>161</v>
      </c>
      <c r="M2014">
        <v>-47701350.380000003</v>
      </c>
    </row>
    <row r="2015" spans="1:13" x14ac:dyDescent="0.3">
      <c r="A2015" s="23">
        <v>45769</v>
      </c>
      <c r="B2015" t="s">
        <v>12</v>
      </c>
      <c r="C2015" t="s">
        <v>132</v>
      </c>
      <c r="D2015" t="s">
        <v>16</v>
      </c>
      <c r="E2015" t="s">
        <v>169</v>
      </c>
      <c r="F2015">
        <v>24520996.609999999</v>
      </c>
      <c r="G2015" t="s">
        <v>131</v>
      </c>
      <c r="H2015" t="s">
        <v>81</v>
      </c>
      <c r="I2015" t="s">
        <v>9</v>
      </c>
      <c r="L2015" t="s">
        <v>161</v>
      </c>
      <c r="M2015">
        <v>24520996.609999999</v>
      </c>
    </row>
    <row r="2016" spans="1:13" x14ac:dyDescent="0.3">
      <c r="A2016" s="23">
        <v>45763</v>
      </c>
      <c r="B2016" t="s">
        <v>12</v>
      </c>
      <c r="C2016" t="s">
        <v>132</v>
      </c>
      <c r="D2016" t="s">
        <v>16</v>
      </c>
      <c r="E2016" t="s">
        <v>169</v>
      </c>
      <c r="F2016">
        <v>5105988808.1400003</v>
      </c>
      <c r="G2016" t="s">
        <v>131</v>
      </c>
      <c r="H2016" t="s">
        <v>81</v>
      </c>
      <c r="I2016" t="s">
        <v>9</v>
      </c>
      <c r="L2016" t="s">
        <v>161</v>
      </c>
      <c r="M2016">
        <v>5105988808.1400003</v>
      </c>
    </row>
    <row r="2017" spans="1:13" x14ac:dyDescent="0.3">
      <c r="A2017" s="23">
        <v>45763</v>
      </c>
      <c r="B2017" t="s">
        <v>12</v>
      </c>
      <c r="C2017" t="s">
        <v>132</v>
      </c>
      <c r="D2017" t="s">
        <v>17</v>
      </c>
      <c r="E2017" t="s">
        <v>169</v>
      </c>
      <c r="F2017">
        <v>4579234325.3900003</v>
      </c>
      <c r="G2017" t="s">
        <v>131</v>
      </c>
      <c r="H2017" t="s">
        <v>81</v>
      </c>
      <c r="I2017" t="s">
        <v>9</v>
      </c>
      <c r="L2017" t="s">
        <v>161</v>
      </c>
      <c r="M2017">
        <v>-4579234325.3900003</v>
      </c>
    </row>
    <row r="2018" spans="1:13" x14ac:dyDescent="0.3">
      <c r="A2018" s="23">
        <v>45757</v>
      </c>
      <c r="B2018" t="s">
        <v>12</v>
      </c>
      <c r="C2018" t="s">
        <v>132</v>
      </c>
      <c r="D2018" t="s">
        <v>16</v>
      </c>
      <c r="E2018" t="s">
        <v>169</v>
      </c>
      <c r="F2018">
        <v>4500000000</v>
      </c>
      <c r="G2018" t="s">
        <v>131</v>
      </c>
      <c r="H2018" t="s">
        <v>81</v>
      </c>
      <c r="I2018" t="s">
        <v>9</v>
      </c>
      <c r="L2018" t="s">
        <v>161</v>
      </c>
      <c r="M2018">
        <v>4500000000</v>
      </c>
    </row>
    <row r="2019" spans="1:13" x14ac:dyDescent="0.3">
      <c r="A2019" s="23">
        <v>45743</v>
      </c>
      <c r="B2019" t="s">
        <v>12</v>
      </c>
      <c r="C2019" t="s">
        <v>132</v>
      </c>
      <c r="D2019" t="s">
        <v>16</v>
      </c>
      <c r="E2019" t="s">
        <v>169</v>
      </c>
      <c r="F2019">
        <v>2801956</v>
      </c>
      <c r="G2019" t="s">
        <v>131</v>
      </c>
      <c r="H2019" t="s">
        <v>81</v>
      </c>
      <c r="I2019" t="s">
        <v>9</v>
      </c>
      <c r="L2019" t="s">
        <v>161</v>
      </c>
      <c r="M2019">
        <v>2801956</v>
      </c>
    </row>
    <row r="2020" spans="1:13" x14ac:dyDescent="0.3">
      <c r="A2020" s="23">
        <v>45728</v>
      </c>
      <c r="B2020" t="s">
        <v>12</v>
      </c>
      <c r="C2020" t="s">
        <v>132</v>
      </c>
      <c r="D2020" t="s">
        <v>17</v>
      </c>
      <c r="E2020" t="s">
        <v>169</v>
      </c>
      <c r="F2020">
        <v>115779602.61</v>
      </c>
      <c r="G2020" t="s">
        <v>131</v>
      </c>
      <c r="H2020" t="s">
        <v>81</v>
      </c>
      <c r="I2020" t="s">
        <v>9</v>
      </c>
      <c r="L2020" t="s">
        <v>161</v>
      </c>
      <c r="M2020">
        <v>-115779602.61</v>
      </c>
    </row>
    <row r="2021" spans="1:13" x14ac:dyDescent="0.3">
      <c r="A2021" s="23">
        <v>45715</v>
      </c>
      <c r="B2021" t="s">
        <v>12</v>
      </c>
      <c r="C2021" t="s">
        <v>132</v>
      </c>
      <c r="D2021" t="s">
        <v>16</v>
      </c>
      <c r="E2021" t="s">
        <v>169</v>
      </c>
      <c r="F2021">
        <v>177990909</v>
      </c>
      <c r="G2021" t="s">
        <v>131</v>
      </c>
      <c r="H2021" t="s">
        <v>81</v>
      </c>
      <c r="I2021" t="s">
        <v>9</v>
      </c>
      <c r="L2021" t="s">
        <v>161</v>
      </c>
      <c r="M2021">
        <v>177990909</v>
      </c>
    </row>
    <row r="2022" spans="1:13" x14ac:dyDescent="0.3">
      <c r="A2022" s="23">
        <v>45695</v>
      </c>
      <c r="B2022" t="s">
        <v>12</v>
      </c>
      <c r="C2022" t="s">
        <v>132</v>
      </c>
      <c r="D2022" t="s">
        <v>16</v>
      </c>
      <c r="E2022" t="s">
        <v>169</v>
      </c>
      <c r="F2022">
        <v>250000</v>
      </c>
      <c r="G2022" t="s">
        <v>131</v>
      </c>
      <c r="H2022" t="s">
        <v>81</v>
      </c>
      <c r="I2022" t="s">
        <v>9</v>
      </c>
      <c r="L2022" t="s">
        <v>161</v>
      </c>
      <c r="M2022">
        <v>250000</v>
      </c>
    </row>
    <row r="2023" spans="1:13" x14ac:dyDescent="0.3">
      <c r="A2023" s="23">
        <v>45673</v>
      </c>
      <c r="B2023" t="s">
        <v>12</v>
      </c>
      <c r="C2023" t="s">
        <v>132</v>
      </c>
      <c r="D2023" t="s">
        <v>17</v>
      </c>
      <c r="E2023" t="s">
        <v>169</v>
      </c>
      <c r="F2023">
        <v>190640229</v>
      </c>
      <c r="G2023" t="s">
        <v>131</v>
      </c>
      <c r="H2023" t="s">
        <v>81</v>
      </c>
      <c r="I2023" t="s">
        <v>9</v>
      </c>
      <c r="L2023" t="s">
        <v>161</v>
      </c>
      <c r="M2023">
        <v>-190640229</v>
      </c>
    </row>
    <row r="2024" spans="1:13" x14ac:dyDescent="0.3">
      <c r="A2024" s="23">
        <v>45665</v>
      </c>
      <c r="B2024" t="s">
        <v>12</v>
      </c>
      <c r="C2024" t="s">
        <v>132</v>
      </c>
      <c r="D2024" t="s">
        <v>16</v>
      </c>
      <c r="E2024" t="s">
        <v>169</v>
      </c>
      <c r="F2024">
        <v>204611292</v>
      </c>
      <c r="G2024" t="s">
        <v>131</v>
      </c>
      <c r="H2024" t="s">
        <v>81</v>
      </c>
      <c r="I2024" t="s">
        <v>9</v>
      </c>
      <c r="L2024" t="s">
        <v>161</v>
      </c>
      <c r="M2024">
        <v>204611292</v>
      </c>
    </row>
    <row r="2025" spans="1:13" x14ac:dyDescent="0.3">
      <c r="A2025" s="23">
        <v>45601</v>
      </c>
      <c r="B2025" t="s">
        <v>12</v>
      </c>
      <c r="C2025" t="s">
        <v>132</v>
      </c>
      <c r="D2025" t="s">
        <v>17</v>
      </c>
      <c r="E2025" t="s">
        <v>169</v>
      </c>
      <c r="F2025">
        <v>33987825.659999996</v>
      </c>
      <c r="G2025" t="s">
        <v>131</v>
      </c>
      <c r="H2025" t="s">
        <v>81</v>
      </c>
      <c r="I2025" t="s">
        <v>9</v>
      </c>
      <c r="L2025" t="s">
        <v>161</v>
      </c>
      <c r="M2025">
        <v>-33987825.659999996</v>
      </c>
    </row>
    <row r="2026" spans="1:13" x14ac:dyDescent="0.3">
      <c r="A2026" s="23">
        <v>45596</v>
      </c>
      <c r="B2026" t="s">
        <v>12</v>
      </c>
      <c r="C2026" t="s">
        <v>132</v>
      </c>
      <c r="D2026" t="s">
        <v>17</v>
      </c>
      <c r="E2026" t="s">
        <v>169</v>
      </c>
      <c r="F2026">
        <v>123688140.45999999</v>
      </c>
      <c r="G2026" t="s">
        <v>131</v>
      </c>
      <c r="H2026" t="s">
        <v>81</v>
      </c>
      <c r="I2026" t="s">
        <v>9</v>
      </c>
      <c r="L2026" t="s">
        <v>161</v>
      </c>
      <c r="M2026">
        <v>-123688140.45999999</v>
      </c>
    </row>
    <row r="2027" spans="1:13" x14ac:dyDescent="0.3">
      <c r="A2027" s="23">
        <v>45596</v>
      </c>
      <c r="B2027" t="s">
        <v>12</v>
      </c>
      <c r="C2027" t="s">
        <v>132</v>
      </c>
      <c r="D2027" t="s">
        <v>17</v>
      </c>
      <c r="E2027" t="s">
        <v>169</v>
      </c>
      <c r="F2027">
        <v>59840066.880000003</v>
      </c>
      <c r="G2027" t="s">
        <v>131</v>
      </c>
      <c r="H2027" t="s">
        <v>81</v>
      </c>
      <c r="I2027" t="s">
        <v>9</v>
      </c>
      <c r="L2027" t="s">
        <v>161</v>
      </c>
      <c r="M2027">
        <v>-59840066.880000003</v>
      </c>
    </row>
    <row r="2028" spans="1:13" x14ac:dyDescent="0.3">
      <c r="A2028" s="23">
        <v>45593</v>
      </c>
      <c r="B2028" t="s">
        <v>12</v>
      </c>
      <c r="C2028" t="s">
        <v>132</v>
      </c>
      <c r="D2028" t="s">
        <v>16</v>
      </c>
      <c r="E2028" t="s">
        <v>169</v>
      </c>
      <c r="F2028">
        <v>217516033</v>
      </c>
      <c r="G2028" t="s">
        <v>131</v>
      </c>
      <c r="H2028" t="s">
        <v>81</v>
      </c>
      <c r="I2028" t="s">
        <v>9</v>
      </c>
      <c r="L2028" t="s">
        <v>161</v>
      </c>
      <c r="M2028">
        <v>217516033</v>
      </c>
    </row>
    <row r="2029" spans="1:13" x14ac:dyDescent="0.3">
      <c r="A2029" s="23">
        <v>45583</v>
      </c>
      <c r="B2029" t="s">
        <v>12</v>
      </c>
      <c r="C2029" t="s">
        <v>132</v>
      </c>
      <c r="D2029" t="s">
        <v>16</v>
      </c>
      <c r="E2029" t="s">
        <v>169</v>
      </c>
      <c r="F2029">
        <v>1985603.03</v>
      </c>
      <c r="G2029" t="s">
        <v>131</v>
      </c>
      <c r="H2029" t="s">
        <v>81</v>
      </c>
      <c r="I2029" t="s">
        <v>9</v>
      </c>
      <c r="L2029" t="s">
        <v>161</v>
      </c>
      <c r="M2029">
        <v>1985603.03</v>
      </c>
    </row>
    <row r="2030" spans="1:13" x14ac:dyDescent="0.3">
      <c r="A2030" s="23">
        <v>45583</v>
      </c>
      <c r="B2030" t="s">
        <v>12</v>
      </c>
      <c r="C2030" t="s">
        <v>132</v>
      </c>
      <c r="D2030" t="s">
        <v>17</v>
      </c>
      <c r="E2030" t="s">
        <v>169</v>
      </c>
      <c r="F2030">
        <v>220785039.94</v>
      </c>
      <c r="G2030" t="s">
        <v>131</v>
      </c>
      <c r="H2030" t="s">
        <v>81</v>
      </c>
      <c r="I2030" t="s">
        <v>9</v>
      </c>
      <c r="L2030" t="s">
        <v>161</v>
      </c>
      <c r="M2030">
        <v>-220785039.94</v>
      </c>
    </row>
    <row r="2031" spans="1:13" x14ac:dyDescent="0.3">
      <c r="A2031" s="23">
        <v>45582</v>
      </c>
      <c r="B2031" t="s">
        <v>12</v>
      </c>
      <c r="C2031" t="s">
        <v>132</v>
      </c>
      <c r="D2031" t="s">
        <v>17</v>
      </c>
      <c r="E2031" t="s">
        <v>169</v>
      </c>
      <c r="F2031">
        <v>300000000</v>
      </c>
      <c r="G2031" t="s">
        <v>131</v>
      </c>
      <c r="H2031" t="s">
        <v>81</v>
      </c>
      <c r="I2031" t="s">
        <v>9</v>
      </c>
      <c r="L2031" t="s">
        <v>161</v>
      </c>
      <c r="M2031">
        <v>-300000000</v>
      </c>
    </row>
    <row r="2032" spans="1:13" x14ac:dyDescent="0.3">
      <c r="A2032" s="23">
        <v>45581</v>
      </c>
      <c r="B2032" t="s">
        <v>12</v>
      </c>
      <c r="C2032" t="s">
        <v>132</v>
      </c>
      <c r="D2032" t="s">
        <v>16</v>
      </c>
      <c r="E2032" t="s">
        <v>169</v>
      </c>
      <c r="F2032">
        <v>423637528</v>
      </c>
      <c r="G2032" t="s">
        <v>131</v>
      </c>
      <c r="H2032" t="s">
        <v>81</v>
      </c>
      <c r="I2032" t="s">
        <v>9</v>
      </c>
      <c r="L2032" t="s">
        <v>161</v>
      </c>
      <c r="M2032">
        <v>423637528</v>
      </c>
    </row>
    <row r="2033" spans="1:13" x14ac:dyDescent="0.3">
      <c r="A2033" s="23">
        <v>45579</v>
      </c>
      <c r="B2033" t="s">
        <v>12</v>
      </c>
      <c r="C2033" t="s">
        <v>132</v>
      </c>
      <c r="D2033" t="s">
        <v>16</v>
      </c>
      <c r="E2033" t="s">
        <v>169</v>
      </c>
      <c r="F2033">
        <v>60306499.060000002</v>
      </c>
      <c r="G2033" t="s">
        <v>131</v>
      </c>
      <c r="H2033" t="s">
        <v>81</v>
      </c>
      <c r="I2033" t="s">
        <v>9</v>
      </c>
      <c r="L2033" t="s">
        <v>161</v>
      </c>
      <c r="M2033">
        <v>60306499.060000002</v>
      </c>
    </row>
    <row r="2034" spans="1:13" x14ac:dyDescent="0.3">
      <c r="A2034" s="23">
        <v>45569</v>
      </c>
      <c r="B2034" t="s">
        <v>12</v>
      </c>
      <c r="C2034" t="s">
        <v>132</v>
      </c>
      <c r="D2034" t="s">
        <v>17</v>
      </c>
      <c r="E2034" t="s">
        <v>169</v>
      </c>
      <c r="F2034">
        <v>175000000</v>
      </c>
      <c r="G2034" t="s">
        <v>131</v>
      </c>
      <c r="H2034" t="s">
        <v>81</v>
      </c>
      <c r="I2034" t="s">
        <v>9</v>
      </c>
      <c r="L2034" t="s">
        <v>161</v>
      </c>
      <c r="M2034">
        <v>-175000000</v>
      </c>
    </row>
    <row r="2035" spans="1:13" x14ac:dyDescent="0.3">
      <c r="A2035" s="23">
        <v>45568</v>
      </c>
      <c r="B2035" t="s">
        <v>12</v>
      </c>
      <c r="C2035" t="s">
        <v>132</v>
      </c>
      <c r="D2035" t="s">
        <v>17</v>
      </c>
      <c r="E2035" t="s">
        <v>169</v>
      </c>
      <c r="F2035">
        <v>108887631.70999999</v>
      </c>
      <c r="G2035" t="s">
        <v>131</v>
      </c>
      <c r="H2035" t="s">
        <v>81</v>
      </c>
      <c r="I2035" t="s">
        <v>9</v>
      </c>
      <c r="L2035" t="s">
        <v>161</v>
      </c>
      <c r="M2035">
        <v>-108887631.70999999</v>
      </c>
    </row>
    <row r="2036" spans="1:13" x14ac:dyDescent="0.3">
      <c r="A2036" s="23">
        <v>45567</v>
      </c>
      <c r="B2036" t="s">
        <v>12</v>
      </c>
      <c r="C2036" t="s">
        <v>132</v>
      </c>
      <c r="D2036" t="s">
        <v>16</v>
      </c>
      <c r="E2036" t="s">
        <v>169</v>
      </c>
      <c r="F2036">
        <v>300000000</v>
      </c>
      <c r="G2036" t="s">
        <v>131</v>
      </c>
      <c r="H2036" t="s">
        <v>81</v>
      </c>
      <c r="I2036" t="s">
        <v>9</v>
      </c>
      <c r="L2036" t="s">
        <v>161</v>
      </c>
      <c r="M2036">
        <v>300000000</v>
      </c>
    </row>
    <row r="2037" spans="1:13" x14ac:dyDescent="0.3">
      <c r="A2037" s="23">
        <v>45565</v>
      </c>
      <c r="B2037" t="s">
        <v>12</v>
      </c>
      <c r="C2037" t="s">
        <v>132</v>
      </c>
      <c r="D2037" t="s">
        <v>16</v>
      </c>
      <c r="E2037" t="s">
        <v>169</v>
      </c>
      <c r="F2037">
        <v>2500000</v>
      </c>
      <c r="G2037" t="s">
        <v>131</v>
      </c>
      <c r="H2037" t="s">
        <v>81</v>
      </c>
      <c r="I2037" t="s">
        <v>9</v>
      </c>
      <c r="L2037" t="s">
        <v>161</v>
      </c>
      <c r="M2037">
        <v>2500000</v>
      </c>
    </row>
    <row r="2038" spans="1:13" x14ac:dyDescent="0.3">
      <c r="A2038" s="23">
        <v>45561</v>
      </c>
      <c r="B2038" t="s">
        <v>12</v>
      </c>
      <c r="C2038" t="s">
        <v>132</v>
      </c>
      <c r="D2038" t="s">
        <v>17</v>
      </c>
      <c r="E2038" t="s">
        <v>169</v>
      </c>
      <c r="F2038">
        <v>161051346</v>
      </c>
      <c r="G2038" t="s">
        <v>131</v>
      </c>
      <c r="H2038" t="s">
        <v>81</v>
      </c>
      <c r="I2038" t="s">
        <v>9</v>
      </c>
      <c r="L2038" t="s">
        <v>161</v>
      </c>
      <c r="M2038">
        <v>-161051346</v>
      </c>
    </row>
    <row r="2039" spans="1:13" x14ac:dyDescent="0.3">
      <c r="A2039" s="23">
        <v>45561</v>
      </c>
      <c r="B2039" t="s">
        <v>12</v>
      </c>
      <c r="C2039" t="s">
        <v>132</v>
      </c>
      <c r="D2039" t="s">
        <v>17</v>
      </c>
      <c r="E2039" t="s">
        <v>169</v>
      </c>
      <c r="F2039">
        <v>160090251</v>
      </c>
      <c r="G2039" t="s">
        <v>131</v>
      </c>
      <c r="H2039" t="s">
        <v>81</v>
      </c>
      <c r="I2039" t="s">
        <v>9</v>
      </c>
      <c r="L2039" t="s">
        <v>161</v>
      </c>
      <c r="M2039">
        <v>-160090251</v>
      </c>
    </row>
    <row r="2040" spans="1:13" x14ac:dyDescent="0.3">
      <c r="A2040" s="23">
        <v>45560</v>
      </c>
      <c r="B2040" t="s">
        <v>12</v>
      </c>
      <c r="C2040" t="s">
        <v>132</v>
      </c>
      <c r="D2040" t="s">
        <v>16</v>
      </c>
      <c r="E2040" t="s">
        <v>169</v>
      </c>
      <c r="F2040">
        <v>300000000</v>
      </c>
      <c r="G2040" t="s">
        <v>131</v>
      </c>
      <c r="H2040" t="s">
        <v>81</v>
      </c>
      <c r="I2040" t="s">
        <v>9</v>
      </c>
      <c r="L2040" t="s">
        <v>161</v>
      </c>
      <c r="M2040">
        <v>300000000</v>
      </c>
    </row>
    <row r="2041" spans="1:13" x14ac:dyDescent="0.3">
      <c r="A2041" s="23">
        <v>45553</v>
      </c>
      <c r="B2041" t="s">
        <v>12</v>
      </c>
      <c r="C2041" t="s">
        <v>132</v>
      </c>
      <c r="D2041" t="s">
        <v>17</v>
      </c>
      <c r="E2041" t="s">
        <v>169</v>
      </c>
      <c r="F2041">
        <v>75051346</v>
      </c>
      <c r="G2041" t="s">
        <v>131</v>
      </c>
      <c r="H2041" t="s">
        <v>81</v>
      </c>
      <c r="I2041" t="s">
        <v>9</v>
      </c>
      <c r="L2041" t="s">
        <v>161</v>
      </c>
      <c r="M2041">
        <v>-75051346</v>
      </c>
    </row>
    <row r="2042" spans="1:13" x14ac:dyDescent="0.3">
      <c r="A2042" s="23">
        <v>45545</v>
      </c>
      <c r="B2042" t="s">
        <v>12</v>
      </c>
      <c r="C2042" t="s">
        <v>132</v>
      </c>
      <c r="D2042" t="s">
        <v>17</v>
      </c>
      <c r="E2042" t="s">
        <v>169</v>
      </c>
      <c r="F2042">
        <v>39904377.210000001</v>
      </c>
      <c r="G2042" t="s">
        <v>131</v>
      </c>
      <c r="H2042" t="s">
        <v>81</v>
      </c>
      <c r="I2042" t="s">
        <v>9</v>
      </c>
      <c r="L2042" t="s">
        <v>161</v>
      </c>
      <c r="M2042">
        <v>-39904377.210000001</v>
      </c>
    </row>
    <row r="2043" spans="1:13" x14ac:dyDescent="0.3">
      <c r="A2043" s="23">
        <v>45540</v>
      </c>
      <c r="B2043" t="s">
        <v>12</v>
      </c>
      <c r="C2043" t="s">
        <v>132</v>
      </c>
      <c r="D2043" t="s">
        <v>17</v>
      </c>
      <c r="E2043" t="s">
        <v>169</v>
      </c>
      <c r="F2043">
        <v>47047050.68</v>
      </c>
      <c r="G2043" t="s">
        <v>131</v>
      </c>
      <c r="H2043" t="s">
        <v>81</v>
      </c>
      <c r="I2043" t="s">
        <v>9</v>
      </c>
      <c r="L2043" t="s">
        <v>161</v>
      </c>
      <c r="M2043">
        <v>-47047050.68</v>
      </c>
    </row>
    <row r="2044" spans="1:13" x14ac:dyDescent="0.3">
      <c r="A2044" s="23">
        <v>45540</v>
      </c>
      <c r="B2044" t="s">
        <v>12</v>
      </c>
      <c r="C2044" t="s">
        <v>132</v>
      </c>
      <c r="D2044" t="s">
        <v>17</v>
      </c>
      <c r="E2044" t="s">
        <v>169</v>
      </c>
      <c r="F2044">
        <v>47008832.5</v>
      </c>
      <c r="G2044" t="s">
        <v>131</v>
      </c>
      <c r="H2044" t="s">
        <v>81</v>
      </c>
      <c r="I2044" t="s">
        <v>9</v>
      </c>
      <c r="L2044" t="s">
        <v>161</v>
      </c>
      <c r="M2044">
        <v>-47008832.5</v>
      </c>
    </row>
    <row r="2045" spans="1:13" x14ac:dyDescent="0.3">
      <c r="A2045" s="23">
        <v>45538</v>
      </c>
      <c r="B2045" t="s">
        <v>12</v>
      </c>
      <c r="C2045" t="s">
        <v>132</v>
      </c>
      <c r="D2045" t="s">
        <v>16</v>
      </c>
      <c r="E2045" t="s">
        <v>169</v>
      </c>
      <c r="F2045">
        <v>3370000</v>
      </c>
      <c r="G2045" t="s">
        <v>131</v>
      </c>
      <c r="H2045" t="s">
        <v>81</v>
      </c>
      <c r="I2045" t="s">
        <v>9</v>
      </c>
      <c r="L2045" t="s">
        <v>161</v>
      </c>
      <c r="M2045">
        <v>3370000</v>
      </c>
    </row>
    <row r="2046" spans="1:13" x14ac:dyDescent="0.3">
      <c r="A2046" s="23">
        <v>45538</v>
      </c>
      <c r="B2046" t="s">
        <v>12</v>
      </c>
      <c r="C2046" t="s">
        <v>132</v>
      </c>
      <c r="D2046" t="s">
        <v>16</v>
      </c>
      <c r="E2046" t="s">
        <v>169</v>
      </c>
      <c r="F2046">
        <v>17659600</v>
      </c>
      <c r="G2046" t="s">
        <v>131</v>
      </c>
      <c r="H2046" t="s">
        <v>81</v>
      </c>
      <c r="I2046" t="s">
        <v>9</v>
      </c>
      <c r="L2046" t="s">
        <v>161</v>
      </c>
      <c r="M2046">
        <v>17659600</v>
      </c>
    </row>
    <row r="2047" spans="1:13" x14ac:dyDescent="0.3">
      <c r="A2047" s="23">
        <v>45534</v>
      </c>
      <c r="B2047" t="s">
        <v>12</v>
      </c>
      <c r="C2047" t="s">
        <v>132</v>
      </c>
      <c r="D2047" t="s">
        <v>17</v>
      </c>
      <c r="E2047" t="s">
        <v>169</v>
      </c>
      <c r="F2047">
        <v>53473545</v>
      </c>
      <c r="G2047" t="s">
        <v>131</v>
      </c>
      <c r="H2047" t="s">
        <v>81</v>
      </c>
      <c r="I2047" t="s">
        <v>9</v>
      </c>
      <c r="L2047" t="s">
        <v>161</v>
      </c>
      <c r="M2047">
        <v>-53473545</v>
      </c>
    </row>
    <row r="2048" spans="1:13" x14ac:dyDescent="0.3">
      <c r="A2048" s="23">
        <v>45534</v>
      </c>
      <c r="B2048" t="s">
        <v>12</v>
      </c>
      <c r="C2048" t="s">
        <v>132</v>
      </c>
      <c r="D2048" t="s">
        <v>17</v>
      </c>
      <c r="E2048" t="s">
        <v>169</v>
      </c>
      <c r="F2048">
        <v>51003632.579999998</v>
      </c>
      <c r="G2048" t="s">
        <v>131</v>
      </c>
      <c r="H2048" t="s">
        <v>81</v>
      </c>
      <c r="I2048" t="s">
        <v>9</v>
      </c>
      <c r="L2048" t="s">
        <v>161</v>
      </c>
      <c r="M2048">
        <v>-51003632.579999998</v>
      </c>
    </row>
    <row r="2049" spans="1:13" x14ac:dyDescent="0.3">
      <c r="A2049" s="23">
        <v>45533</v>
      </c>
      <c r="B2049" t="s">
        <v>12</v>
      </c>
      <c r="C2049" t="s">
        <v>132</v>
      </c>
      <c r="D2049" t="s">
        <v>17</v>
      </c>
      <c r="E2049" t="s">
        <v>169</v>
      </c>
      <c r="F2049">
        <v>155631989.40000001</v>
      </c>
      <c r="G2049" t="s">
        <v>131</v>
      </c>
      <c r="H2049" t="s">
        <v>81</v>
      </c>
      <c r="I2049" t="s">
        <v>9</v>
      </c>
      <c r="L2049" t="s">
        <v>161</v>
      </c>
      <c r="M2049">
        <v>-155631989.40000001</v>
      </c>
    </row>
    <row r="2050" spans="1:13" x14ac:dyDescent="0.3">
      <c r="A2050" s="23">
        <v>45532</v>
      </c>
      <c r="B2050" t="s">
        <v>12</v>
      </c>
      <c r="C2050" t="s">
        <v>132</v>
      </c>
      <c r="D2050" t="s">
        <v>16</v>
      </c>
      <c r="E2050" t="s">
        <v>169</v>
      </c>
      <c r="F2050">
        <v>400000000</v>
      </c>
      <c r="G2050" t="s">
        <v>131</v>
      </c>
      <c r="H2050" t="s">
        <v>81</v>
      </c>
      <c r="I2050" t="s">
        <v>9</v>
      </c>
      <c r="L2050" t="s">
        <v>161</v>
      </c>
      <c r="M2050">
        <v>400000000</v>
      </c>
    </row>
    <row r="2051" spans="1:13" x14ac:dyDescent="0.3">
      <c r="A2051" s="23">
        <v>45530</v>
      </c>
      <c r="B2051" t="s">
        <v>12</v>
      </c>
      <c r="C2051" t="s">
        <v>132</v>
      </c>
      <c r="D2051" t="s">
        <v>16</v>
      </c>
      <c r="E2051" t="s">
        <v>169</v>
      </c>
      <c r="F2051">
        <v>9471786</v>
      </c>
      <c r="G2051" t="s">
        <v>131</v>
      </c>
      <c r="H2051" t="s">
        <v>81</v>
      </c>
      <c r="I2051" t="s">
        <v>9</v>
      </c>
      <c r="L2051" t="s">
        <v>161</v>
      </c>
      <c r="M2051">
        <v>9471786</v>
      </c>
    </row>
    <row r="2052" spans="1:13" x14ac:dyDescent="0.3">
      <c r="A2052" s="23">
        <v>45526</v>
      </c>
      <c r="B2052" t="s">
        <v>12</v>
      </c>
      <c r="C2052" t="s">
        <v>132</v>
      </c>
      <c r="D2052" t="s">
        <v>17</v>
      </c>
      <c r="E2052" t="s">
        <v>169</v>
      </c>
      <c r="F2052">
        <v>52696520</v>
      </c>
      <c r="G2052" t="s">
        <v>131</v>
      </c>
      <c r="H2052" t="s">
        <v>81</v>
      </c>
      <c r="I2052" t="s">
        <v>9</v>
      </c>
      <c r="L2052" t="s">
        <v>161</v>
      </c>
      <c r="M2052">
        <v>-52696520</v>
      </c>
    </row>
    <row r="2053" spans="1:13" x14ac:dyDescent="0.3">
      <c r="A2053" s="23">
        <v>45524</v>
      </c>
      <c r="B2053" t="s">
        <v>12</v>
      </c>
      <c r="C2053" t="s">
        <v>132</v>
      </c>
      <c r="D2053" t="s">
        <v>16</v>
      </c>
      <c r="E2053" t="s">
        <v>169</v>
      </c>
      <c r="F2053">
        <v>93474510</v>
      </c>
      <c r="G2053" t="s">
        <v>131</v>
      </c>
      <c r="H2053" t="s">
        <v>81</v>
      </c>
      <c r="I2053" t="s">
        <v>9</v>
      </c>
      <c r="L2053" t="s">
        <v>161</v>
      </c>
      <c r="M2053">
        <v>93474510</v>
      </c>
    </row>
    <row r="2054" spans="1:13" x14ac:dyDescent="0.3">
      <c r="A2054" s="23">
        <v>45524</v>
      </c>
      <c r="B2054" t="s">
        <v>12</v>
      </c>
      <c r="C2054" t="s">
        <v>132</v>
      </c>
      <c r="D2054" t="s">
        <v>17</v>
      </c>
      <c r="E2054" t="s">
        <v>169</v>
      </c>
      <c r="F2054">
        <v>103988518</v>
      </c>
      <c r="G2054" t="s">
        <v>131</v>
      </c>
      <c r="H2054" t="s">
        <v>81</v>
      </c>
      <c r="I2054" t="s">
        <v>9</v>
      </c>
      <c r="L2054" t="s">
        <v>161</v>
      </c>
      <c r="M2054">
        <v>-103988518</v>
      </c>
    </row>
    <row r="2055" spans="1:13" x14ac:dyDescent="0.3">
      <c r="A2055" s="23">
        <v>45520</v>
      </c>
      <c r="B2055" t="s">
        <v>12</v>
      </c>
      <c r="C2055" t="s">
        <v>132</v>
      </c>
      <c r="D2055" t="s">
        <v>17</v>
      </c>
      <c r="E2055" t="s">
        <v>169</v>
      </c>
      <c r="F2055">
        <v>88699538</v>
      </c>
      <c r="G2055" t="s">
        <v>131</v>
      </c>
      <c r="H2055" t="s">
        <v>81</v>
      </c>
      <c r="I2055" t="s">
        <v>9</v>
      </c>
      <c r="L2055" t="s">
        <v>161</v>
      </c>
      <c r="M2055">
        <v>-88699538</v>
      </c>
    </row>
    <row r="2056" spans="1:13" x14ac:dyDescent="0.3">
      <c r="A2056" s="23">
        <v>45518</v>
      </c>
      <c r="B2056" t="s">
        <v>12</v>
      </c>
      <c r="C2056" t="s">
        <v>132</v>
      </c>
      <c r="D2056" t="s">
        <v>16</v>
      </c>
      <c r="E2056" t="s">
        <v>169</v>
      </c>
      <c r="F2056">
        <v>80538225</v>
      </c>
      <c r="G2056" t="s">
        <v>131</v>
      </c>
      <c r="H2056" t="s">
        <v>81</v>
      </c>
      <c r="I2056" t="s">
        <v>9</v>
      </c>
      <c r="L2056" t="s">
        <v>161</v>
      </c>
      <c r="M2056">
        <v>80538225</v>
      </c>
    </row>
    <row r="2057" spans="1:13" x14ac:dyDescent="0.3">
      <c r="A2057" s="23">
        <v>45512</v>
      </c>
      <c r="B2057" t="s">
        <v>12</v>
      </c>
      <c r="C2057" t="s">
        <v>132</v>
      </c>
      <c r="D2057" t="s">
        <v>17</v>
      </c>
      <c r="E2057" t="s">
        <v>169</v>
      </c>
      <c r="F2057">
        <v>266788407</v>
      </c>
      <c r="G2057" t="s">
        <v>131</v>
      </c>
      <c r="H2057" t="s">
        <v>81</v>
      </c>
      <c r="I2057" t="s">
        <v>9</v>
      </c>
      <c r="L2057" t="s">
        <v>161</v>
      </c>
      <c r="M2057">
        <v>-266788407</v>
      </c>
    </row>
    <row r="2058" spans="1:13" x14ac:dyDescent="0.3">
      <c r="A2058" s="23">
        <v>45510</v>
      </c>
      <c r="B2058" t="s">
        <v>12</v>
      </c>
      <c r="C2058" t="s">
        <v>132</v>
      </c>
      <c r="D2058" t="s">
        <v>17</v>
      </c>
      <c r="E2058" t="s">
        <v>169</v>
      </c>
      <c r="F2058">
        <v>97089431.400000006</v>
      </c>
      <c r="G2058" t="s">
        <v>131</v>
      </c>
      <c r="H2058" t="s">
        <v>81</v>
      </c>
      <c r="I2058" t="s">
        <v>9</v>
      </c>
      <c r="L2058" t="s">
        <v>161</v>
      </c>
      <c r="M2058">
        <v>-97089431.400000006</v>
      </c>
    </row>
    <row r="2059" spans="1:13" x14ac:dyDescent="0.3">
      <c r="A2059" s="23">
        <v>45510</v>
      </c>
      <c r="B2059" t="s">
        <v>12</v>
      </c>
      <c r="C2059" t="s">
        <v>132</v>
      </c>
      <c r="D2059" t="s">
        <v>16</v>
      </c>
      <c r="E2059" t="s">
        <v>169</v>
      </c>
      <c r="F2059">
        <v>208904400</v>
      </c>
      <c r="G2059" t="s">
        <v>131</v>
      </c>
      <c r="H2059" t="s">
        <v>81</v>
      </c>
      <c r="I2059" t="s">
        <v>9</v>
      </c>
      <c r="L2059" t="s">
        <v>161</v>
      </c>
      <c r="M2059">
        <v>208904400</v>
      </c>
    </row>
    <row r="2060" spans="1:13" x14ac:dyDescent="0.3">
      <c r="A2060" s="23">
        <v>45505</v>
      </c>
      <c r="B2060" t="s">
        <v>12</v>
      </c>
      <c r="C2060" t="s">
        <v>132</v>
      </c>
      <c r="D2060" t="s">
        <v>16</v>
      </c>
      <c r="E2060" t="s">
        <v>169</v>
      </c>
      <c r="F2060">
        <v>152692000</v>
      </c>
      <c r="G2060" t="s">
        <v>131</v>
      </c>
      <c r="H2060" t="s">
        <v>81</v>
      </c>
      <c r="I2060" t="s">
        <v>9</v>
      </c>
      <c r="L2060" t="s">
        <v>161</v>
      </c>
      <c r="M2060">
        <v>152692000</v>
      </c>
    </row>
    <row r="2061" spans="1:13" x14ac:dyDescent="0.3">
      <c r="A2061" s="23">
        <v>45502</v>
      </c>
      <c r="B2061" t="s">
        <v>12</v>
      </c>
      <c r="C2061" t="s">
        <v>132</v>
      </c>
      <c r="D2061" t="s">
        <v>17</v>
      </c>
      <c r="E2061" t="s">
        <v>169</v>
      </c>
      <c r="F2061">
        <v>300000000</v>
      </c>
      <c r="G2061" t="s">
        <v>131</v>
      </c>
      <c r="H2061" t="s">
        <v>81</v>
      </c>
      <c r="I2061" t="s">
        <v>9</v>
      </c>
      <c r="L2061" t="s">
        <v>161</v>
      </c>
      <c r="M2061">
        <v>-300000000</v>
      </c>
    </row>
    <row r="2062" spans="1:13" x14ac:dyDescent="0.3">
      <c r="A2062" s="23">
        <v>45496</v>
      </c>
      <c r="B2062" t="s">
        <v>12</v>
      </c>
      <c r="C2062" t="s">
        <v>132</v>
      </c>
      <c r="D2062" t="s">
        <v>17</v>
      </c>
      <c r="E2062" t="s">
        <v>169</v>
      </c>
      <c r="F2062">
        <v>211322097.97999999</v>
      </c>
      <c r="G2062" t="s">
        <v>131</v>
      </c>
      <c r="H2062" t="s">
        <v>81</v>
      </c>
      <c r="I2062" t="s">
        <v>9</v>
      </c>
      <c r="L2062" t="s">
        <v>161</v>
      </c>
      <c r="M2062">
        <v>-211322097.97999999</v>
      </c>
    </row>
    <row r="2063" spans="1:13" x14ac:dyDescent="0.3">
      <c r="A2063" s="23">
        <v>45496</v>
      </c>
      <c r="B2063" t="s">
        <v>12</v>
      </c>
      <c r="C2063" t="s">
        <v>132</v>
      </c>
      <c r="D2063" t="s">
        <v>17</v>
      </c>
      <c r="E2063" t="s">
        <v>169</v>
      </c>
      <c r="F2063">
        <v>296631796.69</v>
      </c>
      <c r="G2063" t="s">
        <v>131</v>
      </c>
      <c r="H2063" t="s">
        <v>81</v>
      </c>
      <c r="I2063" t="s">
        <v>9</v>
      </c>
      <c r="L2063" t="s">
        <v>161</v>
      </c>
      <c r="M2063">
        <v>-296631796.69</v>
      </c>
    </row>
    <row r="2064" spans="1:13" x14ac:dyDescent="0.3">
      <c r="A2064" s="23">
        <v>45492</v>
      </c>
      <c r="B2064" t="s">
        <v>12</v>
      </c>
      <c r="C2064" t="s">
        <v>132</v>
      </c>
      <c r="D2064" t="s">
        <v>16</v>
      </c>
      <c r="E2064" t="s">
        <v>169</v>
      </c>
      <c r="F2064">
        <v>27636000</v>
      </c>
      <c r="G2064" t="s">
        <v>131</v>
      </c>
      <c r="H2064" t="s">
        <v>81</v>
      </c>
      <c r="I2064" t="s">
        <v>9</v>
      </c>
      <c r="L2064" t="s">
        <v>161</v>
      </c>
      <c r="M2064">
        <v>27636000</v>
      </c>
    </row>
    <row r="2065" spans="1:13" x14ac:dyDescent="0.3">
      <c r="A2065" s="23">
        <v>45489</v>
      </c>
      <c r="B2065" t="s">
        <v>12</v>
      </c>
      <c r="C2065" t="s">
        <v>132</v>
      </c>
      <c r="D2065" t="s">
        <v>16</v>
      </c>
      <c r="E2065" t="s">
        <v>169</v>
      </c>
      <c r="F2065">
        <v>807600000</v>
      </c>
      <c r="G2065" t="s">
        <v>131</v>
      </c>
      <c r="H2065" t="s">
        <v>81</v>
      </c>
      <c r="I2065" t="s">
        <v>9</v>
      </c>
      <c r="L2065" t="s">
        <v>161</v>
      </c>
      <c r="M2065">
        <v>807600000</v>
      </c>
    </row>
    <row r="2066" spans="1:13" x14ac:dyDescent="0.3">
      <c r="A2066" s="23">
        <v>45478</v>
      </c>
      <c r="B2066" t="s">
        <v>12</v>
      </c>
      <c r="C2066" t="s">
        <v>132</v>
      </c>
      <c r="D2066" t="s">
        <v>16</v>
      </c>
      <c r="E2066" t="s">
        <v>169</v>
      </c>
      <c r="F2066">
        <v>77284000</v>
      </c>
      <c r="G2066" t="s">
        <v>131</v>
      </c>
      <c r="H2066" t="s">
        <v>81</v>
      </c>
      <c r="I2066" t="s">
        <v>9</v>
      </c>
      <c r="L2066" t="s">
        <v>161</v>
      </c>
      <c r="M2066">
        <v>77284000</v>
      </c>
    </row>
    <row r="2067" spans="1:13" x14ac:dyDescent="0.3">
      <c r="A2067" s="23">
        <v>45470</v>
      </c>
      <c r="B2067" t="s">
        <v>12</v>
      </c>
      <c r="C2067" t="s">
        <v>132</v>
      </c>
      <c r="D2067" t="s">
        <v>16</v>
      </c>
      <c r="E2067" t="s">
        <v>169</v>
      </c>
      <c r="F2067">
        <v>10467600</v>
      </c>
      <c r="G2067" t="s">
        <v>131</v>
      </c>
      <c r="H2067" t="s">
        <v>81</v>
      </c>
      <c r="I2067" t="s">
        <v>9</v>
      </c>
      <c r="L2067" t="s">
        <v>161</v>
      </c>
      <c r="M2067">
        <v>10467600</v>
      </c>
    </row>
    <row r="2068" spans="1:13" x14ac:dyDescent="0.3">
      <c r="A2068" s="23">
        <v>45470</v>
      </c>
      <c r="B2068" t="s">
        <v>12</v>
      </c>
      <c r="C2068" t="s">
        <v>132</v>
      </c>
      <c r="D2068" t="s">
        <v>16</v>
      </c>
      <c r="E2068" t="s">
        <v>169</v>
      </c>
      <c r="F2068">
        <v>34623600</v>
      </c>
      <c r="G2068" t="s">
        <v>131</v>
      </c>
      <c r="H2068" t="s">
        <v>81</v>
      </c>
      <c r="I2068" t="s">
        <v>9</v>
      </c>
      <c r="L2068" t="s">
        <v>161</v>
      </c>
      <c r="M2068">
        <v>34623600</v>
      </c>
    </row>
    <row r="2069" spans="1:13" x14ac:dyDescent="0.3">
      <c r="A2069" s="23">
        <v>45470</v>
      </c>
      <c r="B2069" t="s">
        <v>12</v>
      </c>
      <c r="C2069" t="s">
        <v>132</v>
      </c>
      <c r="D2069" t="s">
        <v>17</v>
      </c>
      <c r="E2069" t="s">
        <v>169</v>
      </c>
      <c r="F2069">
        <v>98374551.349999994</v>
      </c>
      <c r="G2069" t="s">
        <v>131</v>
      </c>
      <c r="H2069" t="s">
        <v>81</v>
      </c>
      <c r="I2069" t="s">
        <v>9</v>
      </c>
      <c r="L2069" t="s">
        <v>161</v>
      </c>
      <c r="M2069">
        <v>-98374551.349999994</v>
      </c>
    </row>
    <row r="2070" spans="1:13" x14ac:dyDescent="0.3">
      <c r="A2070" s="23">
        <v>45460</v>
      </c>
      <c r="B2070" t="s">
        <v>12</v>
      </c>
      <c r="C2070" t="s">
        <v>132</v>
      </c>
      <c r="D2070" t="s">
        <v>16</v>
      </c>
      <c r="E2070" t="s">
        <v>169</v>
      </c>
      <c r="F2070">
        <v>33960000</v>
      </c>
      <c r="G2070" t="s">
        <v>131</v>
      </c>
      <c r="H2070" t="s">
        <v>81</v>
      </c>
      <c r="I2070" t="s">
        <v>9</v>
      </c>
      <c r="L2070" t="s">
        <v>161</v>
      </c>
      <c r="M2070">
        <v>33960000</v>
      </c>
    </row>
    <row r="2071" spans="1:13" x14ac:dyDescent="0.3">
      <c r="A2071" s="23">
        <v>45457</v>
      </c>
      <c r="B2071" t="s">
        <v>12</v>
      </c>
      <c r="C2071" t="s">
        <v>132</v>
      </c>
      <c r="D2071" t="s">
        <v>17</v>
      </c>
      <c r="E2071" t="s">
        <v>169</v>
      </c>
      <c r="F2071">
        <v>560000000</v>
      </c>
      <c r="G2071" t="s">
        <v>131</v>
      </c>
      <c r="H2071" t="s">
        <v>81</v>
      </c>
      <c r="I2071" t="s">
        <v>9</v>
      </c>
      <c r="L2071" t="s">
        <v>161</v>
      </c>
      <c r="M2071">
        <v>-560000000</v>
      </c>
    </row>
    <row r="2072" spans="1:13" x14ac:dyDescent="0.3">
      <c r="A2072" s="23">
        <v>45456</v>
      </c>
      <c r="B2072" t="s">
        <v>12</v>
      </c>
      <c r="C2072" t="s">
        <v>132</v>
      </c>
      <c r="D2072" t="s">
        <v>16</v>
      </c>
      <c r="E2072" t="s">
        <v>169</v>
      </c>
      <c r="F2072">
        <v>600000000</v>
      </c>
      <c r="G2072" t="s">
        <v>131</v>
      </c>
      <c r="H2072" t="s">
        <v>81</v>
      </c>
      <c r="I2072" t="s">
        <v>9</v>
      </c>
      <c r="L2072" t="s">
        <v>161</v>
      </c>
      <c r="M2072">
        <v>600000000</v>
      </c>
    </row>
    <row r="2073" spans="1:13" x14ac:dyDescent="0.3">
      <c r="A2073" s="23">
        <v>45455</v>
      </c>
      <c r="B2073" t="s">
        <v>12</v>
      </c>
      <c r="C2073" t="s">
        <v>132</v>
      </c>
      <c r="D2073" t="s">
        <v>17</v>
      </c>
      <c r="E2073" t="s">
        <v>169</v>
      </c>
      <c r="F2073">
        <v>78981305</v>
      </c>
      <c r="G2073" t="s">
        <v>131</v>
      </c>
      <c r="H2073" t="s">
        <v>81</v>
      </c>
      <c r="I2073" t="s">
        <v>9</v>
      </c>
      <c r="L2073" t="s">
        <v>161</v>
      </c>
      <c r="M2073">
        <v>-78981305</v>
      </c>
    </row>
    <row r="2074" spans="1:13" x14ac:dyDescent="0.3">
      <c r="A2074" s="23">
        <v>45442</v>
      </c>
      <c r="B2074" t="s">
        <v>12</v>
      </c>
      <c r="C2074" t="s">
        <v>132</v>
      </c>
      <c r="D2074" t="s">
        <v>17</v>
      </c>
      <c r="E2074" t="s">
        <v>169</v>
      </c>
      <c r="F2074">
        <v>50349470</v>
      </c>
      <c r="G2074" t="s">
        <v>131</v>
      </c>
      <c r="H2074" t="s">
        <v>81</v>
      </c>
      <c r="I2074" t="s">
        <v>9</v>
      </c>
      <c r="L2074" t="s">
        <v>161</v>
      </c>
      <c r="M2074">
        <v>-50349470</v>
      </c>
    </row>
    <row r="2075" spans="1:13" x14ac:dyDescent="0.3">
      <c r="A2075" s="23">
        <v>45442</v>
      </c>
      <c r="B2075" t="s">
        <v>12</v>
      </c>
      <c r="C2075" t="s">
        <v>132</v>
      </c>
      <c r="D2075" t="s">
        <v>17</v>
      </c>
      <c r="E2075" t="s">
        <v>169</v>
      </c>
      <c r="F2075">
        <v>251143729</v>
      </c>
      <c r="G2075" t="s">
        <v>131</v>
      </c>
      <c r="H2075" t="s">
        <v>81</v>
      </c>
      <c r="I2075" t="s">
        <v>9</v>
      </c>
      <c r="L2075" t="s">
        <v>161</v>
      </c>
      <c r="M2075">
        <v>-251143729</v>
      </c>
    </row>
    <row r="2076" spans="1:13" x14ac:dyDescent="0.3">
      <c r="A2076" s="23">
        <v>45441</v>
      </c>
      <c r="B2076" t="s">
        <v>12</v>
      </c>
      <c r="C2076" t="s">
        <v>132</v>
      </c>
      <c r="D2076" t="s">
        <v>17</v>
      </c>
      <c r="E2076" t="s">
        <v>169</v>
      </c>
      <c r="F2076">
        <v>39260259</v>
      </c>
      <c r="G2076" t="s">
        <v>131</v>
      </c>
      <c r="H2076" t="s">
        <v>81</v>
      </c>
      <c r="I2076" t="s">
        <v>9</v>
      </c>
      <c r="L2076" t="s">
        <v>161</v>
      </c>
      <c r="M2076">
        <v>-39260259</v>
      </c>
    </row>
    <row r="2077" spans="1:13" x14ac:dyDescent="0.3">
      <c r="A2077" s="23">
        <v>45441</v>
      </c>
      <c r="B2077" t="s">
        <v>12</v>
      </c>
      <c r="C2077" t="s">
        <v>132</v>
      </c>
      <c r="D2077" t="s">
        <v>17</v>
      </c>
      <c r="E2077" t="s">
        <v>169</v>
      </c>
      <c r="F2077">
        <v>37126487</v>
      </c>
      <c r="G2077" t="s">
        <v>131</v>
      </c>
      <c r="H2077" t="s">
        <v>81</v>
      </c>
      <c r="I2077" t="s">
        <v>9</v>
      </c>
      <c r="L2077" t="s">
        <v>161</v>
      </c>
      <c r="M2077">
        <v>-37126487</v>
      </c>
    </row>
    <row r="2078" spans="1:13" x14ac:dyDescent="0.3">
      <c r="A2078" s="23">
        <v>45434</v>
      </c>
      <c r="B2078" t="s">
        <v>12</v>
      </c>
      <c r="C2078" t="s">
        <v>132</v>
      </c>
      <c r="D2078" t="s">
        <v>17</v>
      </c>
      <c r="E2078" t="s">
        <v>169</v>
      </c>
      <c r="F2078">
        <v>49590200</v>
      </c>
      <c r="G2078" t="s">
        <v>131</v>
      </c>
      <c r="H2078" t="s">
        <v>81</v>
      </c>
      <c r="I2078" t="s">
        <v>9</v>
      </c>
      <c r="L2078" t="s">
        <v>161</v>
      </c>
      <c r="M2078">
        <v>-49590200</v>
      </c>
    </row>
    <row r="2079" spans="1:13" x14ac:dyDescent="0.3">
      <c r="A2079" s="23">
        <v>45433</v>
      </c>
      <c r="B2079" t="s">
        <v>12</v>
      </c>
      <c r="C2079" t="s">
        <v>132</v>
      </c>
      <c r="D2079" t="s">
        <v>17</v>
      </c>
      <c r="E2079" t="s">
        <v>169</v>
      </c>
      <c r="F2079">
        <v>289095868</v>
      </c>
      <c r="G2079" t="s">
        <v>131</v>
      </c>
      <c r="H2079" t="s">
        <v>81</v>
      </c>
      <c r="I2079" t="s">
        <v>9</v>
      </c>
      <c r="L2079" t="s">
        <v>161</v>
      </c>
      <c r="M2079">
        <v>-289095868</v>
      </c>
    </row>
    <row r="2080" spans="1:13" x14ac:dyDescent="0.3">
      <c r="A2080" s="23">
        <v>45429</v>
      </c>
      <c r="B2080" t="s">
        <v>12</v>
      </c>
      <c r="C2080" t="s">
        <v>132</v>
      </c>
      <c r="D2080" t="s">
        <v>16</v>
      </c>
      <c r="E2080" t="s">
        <v>169</v>
      </c>
      <c r="F2080">
        <v>500000000</v>
      </c>
      <c r="G2080" t="s">
        <v>131</v>
      </c>
      <c r="H2080" t="s">
        <v>81</v>
      </c>
      <c r="I2080" t="s">
        <v>9</v>
      </c>
      <c r="L2080" t="s">
        <v>161</v>
      </c>
      <c r="M2080">
        <v>500000000</v>
      </c>
    </row>
    <row r="2081" spans="1:13" x14ac:dyDescent="0.3">
      <c r="A2081" s="23">
        <v>45428</v>
      </c>
      <c r="B2081" t="s">
        <v>12</v>
      </c>
      <c r="C2081" t="s">
        <v>132</v>
      </c>
      <c r="D2081" t="s">
        <v>17</v>
      </c>
      <c r="E2081" t="s">
        <v>169</v>
      </c>
      <c r="F2081">
        <v>28134265</v>
      </c>
      <c r="G2081" t="s">
        <v>131</v>
      </c>
      <c r="H2081" t="s">
        <v>81</v>
      </c>
      <c r="I2081" t="s">
        <v>9</v>
      </c>
      <c r="L2081" t="s">
        <v>161</v>
      </c>
      <c r="M2081">
        <v>-28134265</v>
      </c>
    </row>
    <row r="2082" spans="1:13" x14ac:dyDescent="0.3">
      <c r="A2082" s="23">
        <v>45428</v>
      </c>
      <c r="B2082" t="s">
        <v>12</v>
      </c>
      <c r="C2082" t="s">
        <v>132</v>
      </c>
      <c r="D2082" t="s">
        <v>17</v>
      </c>
      <c r="E2082" t="s">
        <v>169</v>
      </c>
      <c r="F2082">
        <v>48199595</v>
      </c>
      <c r="G2082" t="s">
        <v>131</v>
      </c>
      <c r="H2082" t="s">
        <v>81</v>
      </c>
      <c r="I2082" t="s">
        <v>9</v>
      </c>
      <c r="L2082" t="s">
        <v>161</v>
      </c>
      <c r="M2082">
        <v>-48199595</v>
      </c>
    </row>
    <row r="2083" spans="1:13" x14ac:dyDescent="0.3">
      <c r="A2083" s="23">
        <v>45427</v>
      </c>
      <c r="B2083" t="s">
        <v>12</v>
      </c>
      <c r="C2083" t="s">
        <v>132</v>
      </c>
      <c r="D2083" t="s">
        <v>17</v>
      </c>
      <c r="E2083" t="s">
        <v>169</v>
      </c>
      <c r="F2083">
        <v>196924828</v>
      </c>
      <c r="G2083" t="s">
        <v>131</v>
      </c>
      <c r="H2083" t="s">
        <v>81</v>
      </c>
      <c r="I2083" t="s">
        <v>9</v>
      </c>
      <c r="L2083" t="s">
        <v>161</v>
      </c>
      <c r="M2083">
        <v>-196924828</v>
      </c>
    </row>
    <row r="2084" spans="1:13" x14ac:dyDescent="0.3">
      <c r="A2084" s="23">
        <v>45427</v>
      </c>
      <c r="B2084" t="s">
        <v>12</v>
      </c>
      <c r="C2084" t="s">
        <v>132</v>
      </c>
      <c r="D2084" t="s">
        <v>16</v>
      </c>
      <c r="E2084" t="s">
        <v>169</v>
      </c>
      <c r="F2084">
        <v>300000000</v>
      </c>
      <c r="G2084" t="s">
        <v>131</v>
      </c>
      <c r="H2084" t="s">
        <v>81</v>
      </c>
      <c r="I2084" t="s">
        <v>9</v>
      </c>
      <c r="L2084" t="s">
        <v>161</v>
      </c>
      <c r="M2084">
        <v>300000000</v>
      </c>
    </row>
    <row r="2085" spans="1:13" x14ac:dyDescent="0.3">
      <c r="A2085" s="23">
        <v>45425</v>
      </c>
      <c r="B2085" t="s">
        <v>12</v>
      </c>
      <c r="C2085" t="s">
        <v>132</v>
      </c>
      <c r="D2085" t="s">
        <v>16</v>
      </c>
      <c r="E2085" t="s">
        <v>169</v>
      </c>
      <c r="F2085">
        <v>9230000</v>
      </c>
      <c r="G2085" t="s">
        <v>131</v>
      </c>
      <c r="H2085" t="s">
        <v>81</v>
      </c>
      <c r="I2085" t="s">
        <v>9</v>
      </c>
      <c r="L2085" t="s">
        <v>161</v>
      </c>
      <c r="M2085">
        <v>9230000</v>
      </c>
    </row>
    <row r="2086" spans="1:13" x14ac:dyDescent="0.3">
      <c r="A2086" s="23">
        <v>45414</v>
      </c>
      <c r="B2086" t="s">
        <v>12</v>
      </c>
      <c r="C2086" t="s">
        <v>132</v>
      </c>
      <c r="D2086" t="s">
        <v>16</v>
      </c>
      <c r="E2086" t="s">
        <v>169</v>
      </c>
      <c r="F2086">
        <v>5668000</v>
      </c>
      <c r="G2086" t="s">
        <v>131</v>
      </c>
      <c r="H2086" t="s">
        <v>81</v>
      </c>
      <c r="I2086" t="s">
        <v>9</v>
      </c>
      <c r="L2086" t="s">
        <v>161</v>
      </c>
      <c r="M2086">
        <v>5668000</v>
      </c>
    </row>
    <row r="2087" spans="1:13" x14ac:dyDescent="0.3">
      <c r="A2087" s="23">
        <v>45414</v>
      </c>
      <c r="B2087" t="s">
        <v>12</v>
      </c>
      <c r="C2087" t="s">
        <v>132</v>
      </c>
      <c r="D2087" t="s">
        <v>17</v>
      </c>
      <c r="E2087" t="s">
        <v>169</v>
      </c>
      <c r="F2087">
        <v>31933991</v>
      </c>
      <c r="G2087" t="s">
        <v>131</v>
      </c>
      <c r="H2087" t="s">
        <v>81</v>
      </c>
      <c r="I2087" t="s">
        <v>9</v>
      </c>
      <c r="L2087" t="s">
        <v>161</v>
      </c>
      <c r="M2087">
        <v>-31933991</v>
      </c>
    </row>
    <row r="2088" spans="1:13" x14ac:dyDescent="0.3">
      <c r="A2088" s="23">
        <v>45412</v>
      </c>
      <c r="B2088" t="s">
        <v>12</v>
      </c>
      <c r="C2088" t="s">
        <v>132</v>
      </c>
      <c r="D2088" t="s">
        <v>16</v>
      </c>
      <c r="E2088" t="s">
        <v>169</v>
      </c>
      <c r="F2088">
        <v>98192500</v>
      </c>
      <c r="G2088" t="s">
        <v>131</v>
      </c>
      <c r="H2088" t="s">
        <v>81</v>
      </c>
      <c r="I2088" t="s">
        <v>9</v>
      </c>
      <c r="L2088" t="s">
        <v>161</v>
      </c>
      <c r="M2088">
        <v>98192500</v>
      </c>
    </row>
    <row r="2089" spans="1:13" x14ac:dyDescent="0.3">
      <c r="A2089" s="23">
        <v>45407</v>
      </c>
      <c r="B2089" t="s">
        <v>12</v>
      </c>
      <c r="C2089" t="s">
        <v>132</v>
      </c>
      <c r="D2089" t="s">
        <v>16</v>
      </c>
      <c r="E2089" t="s">
        <v>169</v>
      </c>
      <c r="F2089">
        <v>22650000</v>
      </c>
      <c r="G2089" t="s">
        <v>131</v>
      </c>
      <c r="H2089" t="s">
        <v>81</v>
      </c>
      <c r="I2089" t="s">
        <v>9</v>
      </c>
      <c r="L2089" t="s">
        <v>161</v>
      </c>
      <c r="M2089">
        <v>22650000</v>
      </c>
    </row>
    <row r="2090" spans="1:13" x14ac:dyDescent="0.3">
      <c r="A2090" s="23">
        <v>45398</v>
      </c>
      <c r="B2090" t="s">
        <v>12</v>
      </c>
      <c r="C2090" t="s">
        <v>132</v>
      </c>
      <c r="D2090" t="s">
        <v>17</v>
      </c>
      <c r="E2090" t="s">
        <v>169</v>
      </c>
      <c r="F2090">
        <v>473079814</v>
      </c>
      <c r="G2090" t="s">
        <v>131</v>
      </c>
      <c r="H2090" t="s">
        <v>81</v>
      </c>
      <c r="I2090" t="s">
        <v>9</v>
      </c>
      <c r="L2090" t="s">
        <v>161</v>
      </c>
      <c r="M2090">
        <v>-473079814</v>
      </c>
    </row>
    <row r="2091" spans="1:13" x14ac:dyDescent="0.3">
      <c r="A2091" s="23">
        <v>45397</v>
      </c>
      <c r="B2091" t="s">
        <v>12</v>
      </c>
      <c r="C2091" t="s">
        <v>132</v>
      </c>
      <c r="D2091" t="s">
        <v>16</v>
      </c>
      <c r="E2091" t="s">
        <v>169</v>
      </c>
      <c r="F2091">
        <v>500000000</v>
      </c>
      <c r="G2091" t="s">
        <v>131</v>
      </c>
      <c r="H2091" t="s">
        <v>81</v>
      </c>
      <c r="I2091" t="s">
        <v>9</v>
      </c>
      <c r="L2091" t="s">
        <v>161</v>
      </c>
      <c r="M2091">
        <v>500000000</v>
      </c>
    </row>
    <row r="2092" spans="1:13" x14ac:dyDescent="0.3">
      <c r="A2092" s="23">
        <v>45391</v>
      </c>
      <c r="B2092" t="s">
        <v>12</v>
      </c>
      <c r="C2092" t="s">
        <v>132</v>
      </c>
      <c r="D2092" t="s">
        <v>17</v>
      </c>
      <c r="E2092" t="s">
        <v>169</v>
      </c>
      <c r="F2092">
        <v>1340118137.6500001</v>
      </c>
      <c r="G2092" t="s">
        <v>131</v>
      </c>
      <c r="H2092" t="s">
        <v>81</v>
      </c>
      <c r="I2092" t="s">
        <v>9</v>
      </c>
      <c r="L2092" t="s">
        <v>161</v>
      </c>
      <c r="M2092">
        <v>-1340118137.6500001</v>
      </c>
    </row>
    <row r="2093" spans="1:13" x14ac:dyDescent="0.3">
      <c r="A2093" s="23">
        <v>45390</v>
      </c>
      <c r="B2093" t="s">
        <v>12</v>
      </c>
      <c r="C2093" t="s">
        <v>132</v>
      </c>
      <c r="D2093" t="s">
        <v>16</v>
      </c>
      <c r="E2093" t="s">
        <v>169</v>
      </c>
      <c r="F2093">
        <v>400000000</v>
      </c>
      <c r="G2093" t="s">
        <v>131</v>
      </c>
      <c r="H2093" t="s">
        <v>81</v>
      </c>
      <c r="I2093" t="s">
        <v>9</v>
      </c>
      <c r="L2093" t="s">
        <v>161</v>
      </c>
      <c r="M2093">
        <v>400000000</v>
      </c>
    </row>
    <row r="2094" spans="1:13" x14ac:dyDescent="0.3">
      <c r="A2094" s="23">
        <v>45387</v>
      </c>
      <c r="B2094" t="s">
        <v>12</v>
      </c>
      <c r="C2094" t="s">
        <v>132</v>
      </c>
      <c r="D2094" t="s">
        <v>16</v>
      </c>
      <c r="E2094" t="s">
        <v>169</v>
      </c>
      <c r="F2094">
        <v>700000000</v>
      </c>
      <c r="G2094" t="s">
        <v>131</v>
      </c>
      <c r="H2094" t="s">
        <v>81</v>
      </c>
      <c r="I2094" t="s">
        <v>9</v>
      </c>
      <c r="L2094" t="s">
        <v>161</v>
      </c>
      <c r="M2094">
        <v>700000000</v>
      </c>
    </row>
    <row r="2095" spans="1:13" x14ac:dyDescent="0.3">
      <c r="A2095" s="23">
        <v>45383</v>
      </c>
      <c r="B2095" t="s">
        <v>12</v>
      </c>
      <c r="C2095" t="s">
        <v>132</v>
      </c>
      <c r="D2095" t="s">
        <v>16</v>
      </c>
      <c r="E2095" t="s">
        <v>169</v>
      </c>
      <c r="F2095">
        <v>1070000</v>
      </c>
      <c r="G2095" t="s">
        <v>131</v>
      </c>
      <c r="H2095" t="s">
        <v>81</v>
      </c>
      <c r="I2095" t="s">
        <v>9</v>
      </c>
      <c r="L2095" t="s">
        <v>161</v>
      </c>
      <c r="M2095">
        <v>1070000</v>
      </c>
    </row>
    <row r="2096" spans="1:13" x14ac:dyDescent="0.3">
      <c r="A2096" s="23">
        <v>45378</v>
      </c>
      <c r="B2096" t="s">
        <v>12</v>
      </c>
      <c r="C2096" t="s">
        <v>132</v>
      </c>
      <c r="D2096" t="s">
        <v>16</v>
      </c>
      <c r="E2096" t="s">
        <v>169</v>
      </c>
      <c r="F2096">
        <v>375492000</v>
      </c>
      <c r="G2096" t="s">
        <v>131</v>
      </c>
      <c r="H2096" t="s">
        <v>81</v>
      </c>
      <c r="I2096" t="s">
        <v>9</v>
      </c>
      <c r="L2096" t="s">
        <v>161</v>
      </c>
      <c r="M2096">
        <v>375492000</v>
      </c>
    </row>
    <row r="2097" spans="1:13" x14ac:dyDescent="0.3">
      <c r="A2097" s="23">
        <v>45162</v>
      </c>
      <c r="B2097" t="s">
        <v>12</v>
      </c>
      <c r="C2097" t="s">
        <v>132</v>
      </c>
      <c r="D2097" t="s">
        <v>16</v>
      </c>
      <c r="E2097" t="s">
        <v>169</v>
      </c>
      <c r="F2097">
        <v>500000000</v>
      </c>
      <c r="G2097" t="s">
        <v>131</v>
      </c>
      <c r="H2097" t="s">
        <v>81</v>
      </c>
      <c r="I2097" t="s">
        <v>9</v>
      </c>
      <c r="L2097" t="s">
        <v>161</v>
      </c>
      <c r="M2097">
        <v>500000000</v>
      </c>
    </row>
    <row r="2098" spans="1:13" x14ac:dyDescent="0.3">
      <c r="A2098" s="23">
        <v>45163</v>
      </c>
      <c r="B2098" t="s">
        <v>12</v>
      </c>
      <c r="C2098" t="s">
        <v>132</v>
      </c>
      <c r="D2098" t="s">
        <v>17</v>
      </c>
      <c r="E2098" t="s">
        <v>169</v>
      </c>
      <c r="F2098">
        <v>500000000</v>
      </c>
      <c r="G2098" t="s">
        <v>131</v>
      </c>
      <c r="H2098" t="s">
        <v>81</v>
      </c>
      <c r="I2098" t="s">
        <v>9</v>
      </c>
      <c r="L2098" t="s">
        <v>161</v>
      </c>
      <c r="M2098">
        <v>-500000000</v>
      </c>
    </row>
    <row r="2099" spans="1:13" x14ac:dyDescent="0.3">
      <c r="A2099" s="23">
        <v>45359</v>
      </c>
      <c r="B2099" t="s">
        <v>12</v>
      </c>
      <c r="C2099" t="s">
        <v>132</v>
      </c>
      <c r="D2099" t="s">
        <v>16</v>
      </c>
      <c r="E2099" t="s">
        <v>169</v>
      </c>
      <c r="F2099">
        <v>1050000</v>
      </c>
      <c r="G2099" t="s">
        <v>131</v>
      </c>
      <c r="H2099" t="s">
        <v>81</v>
      </c>
      <c r="I2099" t="s">
        <v>9</v>
      </c>
      <c r="L2099" t="s">
        <v>161</v>
      </c>
      <c r="M2099">
        <v>1050000</v>
      </c>
    </row>
    <row r="2100" spans="1:13" x14ac:dyDescent="0.3">
      <c r="A2100" s="23">
        <v>45170</v>
      </c>
      <c r="B2100" t="s">
        <v>12</v>
      </c>
      <c r="C2100" t="s">
        <v>132</v>
      </c>
      <c r="D2100" t="s">
        <v>16</v>
      </c>
      <c r="E2100" t="s">
        <v>169</v>
      </c>
      <c r="F2100">
        <v>509232506.56999999</v>
      </c>
      <c r="G2100" t="s">
        <v>131</v>
      </c>
      <c r="H2100" t="s">
        <v>81</v>
      </c>
      <c r="I2100" t="s">
        <v>9</v>
      </c>
      <c r="L2100" t="s">
        <v>161</v>
      </c>
      <c r="M2100">
        <v>509232506.56999999</v>
      </c>
    </row>
    <row r="2101" spans="1:13" x14ac:dyDescent="0.3">
      <c r="A2101" s="23">
        <v>45343</v>
      </c>
      <c r="B2101" t="s">
        <v>12</v>
      </c>
      <c r="C2101" t="s">
        <v>132</v>
      </c>
      <c r="D2101" t="s">
        <v>16</v>
      </c>
      <c r="E2101" t="s">
        <v>169</v>
      </c>
      <c r="F2101">
        <v>310000</v>
      </c>
      <c r="G2101" t="s">
        <v>131</v>
      </c>
      <c r="H2101" t="s">
        <v>81</v>
      </c>
      <c r="I2101" t="s">
        <v>9</v>
      </c>
      <c r="L2101" t="s">
        <v>161</v>
      </c>
      <c r="M2101">
        <v>310000</v>
      </c>
    </row>
    <row r="2102" spans="1:13" x14ac:dyDescent="0.3">
      <c r="A2102" s="23">
        <v>45177</v>
      </c>
      <c r="B2102" t="s">
        <v>12</v>
      </c>
      <c r="C2102" t="s">
        <v>132</v>
      </c>
      <c r="D2102" t="s">
        <v>16</v>
      </c>
      <c r="E2102" t="s">
        <v>169</v>
      </c>
      <c r="F2102">
        <v>9087088.4299999997</v>
      </c>
      <c r="G2102" t="s">
        <v>131</v>
      </c>
      <c r="H2102" t="s">
        <v>81</v>
      </c>
      <c r="I2102" t="s">
        <v>9</v>
      </c>
      <c r="L2102" t="s">
        <v>161</v>
      </c>
      <c r="M2102">
        <v>9087088.4299999997</v>
      </c>
    </row>
    <row r="2103" spans="1:13" x14ac:dyDescent="0.3">
      <c r="A2103" s="23">
        <v>45337</v>
      </c>
      <c r="B2103" t="s">
        <v>12</v>
      </c>
      <c r="C2103" t="s">
        <v>132</v>
      </c>
      <c r="D2103" t="s">
        <v>16</v>
      </c>
      <c r="E2103" t="s">
        <v>169</v>
      </c>
      <c r="F2103">
        <v>830228.66</v>
      </c>
      <c r="G2103" t="s">
        <v>131</v>
      </c>
      <c r="H2103" t="s">
        <v>81</v>
      </c>
      <c r="I2103" t="s">
        <v>9</v>
      </c>
      <c r="L2103" t="s">
        <v>161</v>
      </c>
      <c r="M2103">
        <v>830228.66</v>
      </c>
    </row>
    <row r="2104" spans="1:13" x14ac:dyDescent="0.3">
      <c r="A2104" s="23">
        <v>45181</v>
      </c>
      <c r="B2104" t="s">
        <v>12</v>
      </c>
      <c r="C2104" t="s">
        <v>132</v>
      </c>
      <c r="D2104" t="s">
        <v>17</v>
      </c>
      <c r="E2104" t="s">
        <v>169</v>
      </c>
      <c r="F2104">
        <v>518319595</v>
      </c>
      <c r="G2104" t="s">
        <v>131</v>
      </c>
      <c r="H2104" t="s">
        <v>81</v>
      </c>
      <c r="I2104" t="s">
        <v>9</v>
      </c>
      <c r="L2104" t="s">
        <v>161</v>
      </c>
      <c r="M2104">
        <v>-518319595</v>
      </c>
    </row>
    <row r="2105" spans="1:13" x14ac:dyDescent="0.3">
      <c r="A2105" s="23">
        <v>45323</v>
      </c>
      <c r="B2105" t="s">
        <v>12</v>
      </c>
      <c r="C2105" t="s">
        <v>132</v>
      </c>
      <c r="D2105" t="s">
        <v>16</v>
      </c>
      <c r="E2105" t="s">
        <v>169</v>
      </c>
      <c r="F2105">
        <v>1200000</v>
      </c>
      <c r="G2105" t="s">
        <v>131</v>
      </c>
      <c r="H2105" t="s">
        <v>81</v>
      </c>
      <c r="I2105" t="s">
        <v>9</v>
      </c>
      <c r="L2105" t="s">
        <v>161</v>
      </c>
      <c r="M2105">
        <v>1200000</v>
      </c>
    </row>
    <row r="2106" spans="1:13" x14ac:dyDescent="0.3">
      <c r="A2106" s="23">
        <v>45320</v>
      </c>
      <c r="B2106" t="s">
        <v>12</v>
      </c>
      <c r="C2106" t="s">
        <v>132</v>
      </c>
      <c r="D2106" t="s">
        <v>17</v>
      </c>
      <c r="E2106" t="s">
        <v>169</v>
      </c>
      <c r="F2106">
        <v>47640228.659999996</v>
      </c>
      <c r="G2106" t="s">
        <v>131</v>
      </c>
      <c r="H2106" t="s">
        <v>81</v>
      </c>
      <c r="I2106" t="s">
        <v>9</v>
      </c>
      <c r="L2106" t="s">
        <v>161</v>
      </c>
      <c r="M2106">
        <v>-47640228.659999996</v>
      </c>
    </row>
    <row r="2107" spans="1:13" x14ac:dyDescent="0.3">
      <c r="A2107" s="23">
        <v>45317</v>
      </c>
      <c r="B2107" t="s">
        <v>12</v>
      </c>
      <c r="C2107" t="s">
        <v>132</v>
      </c>
      <c r="D2107" t="s">
        <v>16</v>
      </c>
      <c r="E2107" t="s">
        <v>169</v>
      </c>
      <c r="F2107">
        <v>3000000</v>
      </c>
      <c r="G2107" t="s">
        <v>131</v>
      </c>
      <c r="H2107" t="s">
        <v>81</v>
      </c>
      <c r="I2107" t="s">
        <v>9</v>
      </c>
      <c r="L2107" t="s">
        <v>161</v>
      </c>
      <c r="M2107">
        <v>3000000</v>
      </c>
    </row>
    <row r="2108" spans="1:13" x14ac:dyDescent="0.3">
      <c r="A2108" s="23">
        <v>45188</v>
      </c>
      <c r="B2108" t="s">
        <v>12</v>
      </c>
      <c r="C2108" t="s">
        <v>132</v>
      </c>
      <c r="D2108" t="s">
        <v>16</v>
      </c>
      <c r="E2108" t="s">
        <v>169</v>
      </c>
      <c r="F2108">
        <v>185162374.75</v>
      </c>
      <c r="G2108" t="s">
        <v>131</v>
      </c>
      <c r="H2108" t="s">
        <v>81</v>
      </c>
      <c r="I2108" t="s">
        <v>9</v>
      </c>
      <c r="L2108" t="s">
        <v>161</v>
      </c>
      <c r="M2108">
        <v>185162374.75</v>
      </c>
    </row>
    <row r="2109" spans="1:13" x14ac:dyDescent="0.3">
      <c r="A2109" s="23">
        <v>45189</v>
      </c>
      <c r="B2109" t="s">
        <v>12</v>
      </c>
      <c r="C2109" t="s">
        <v>132</v>
      </c>
      <c r="D2109" t="s">
        <v>17</v>
      </c>
      <c r="E2109" t="s">
        <v>169</v>
      </c>
      <c r="F2109">
        <v>166200000</v>
      </c>
      <c r="G2109" t="s">
        <v>131</v>
      </c>
      <c r="H2109" t="s">
        <v>81</v>
      </c>
      <c r="I2109" t="s">
        <v>9</v>
      </c>
      <c r="L2109" t="s">
        <v>161</v>
      </c>
      <c r="M2109">
        <v>-166200000</v>
      </c>
    </row>
    <row r="2110" spans="1:13" x14ac:dyDescent="0.3">
      <c r="A2110" s="23">
        <v>45301</v>
      </c>
      <c r="B2110" t="s">
        <v>12</v>
      </c>
      <c r="C2110" t="s">
        <v>132</v>
      </c>
      <c r="D2110" t="s">
        <v>17</v>
      </c>
      <c r="E2110" t="s">
        <v>169</v>
      </c>
      <c r="F2110">
        <v>374400000</v>
      </c>
      <c r="G2110" t="s">
        <v>131</v>
      </c>
      <c r="H2110" t="s">
        <v>81</v>
      </c>
      <c r="I2110" t="s">
        <v>9</v>
      </c>
      <c r="L2110" t="s">
        <v>161</v>
      </c>
      <c r="M2110">
        <v>-374400000</v>
      </c>
    </row>
    <row r="2111" spans="1:13" x14ac:dyDescent="0.3">
      <c r="A2111" s="23">
        <v>45299</v>
      </c>
      <c r="B2111" t="s">
        <v>12</v>
      </c>
      <c r="C2111" t="s">
        <v>132</v>
      </c>
      <c r="D2111" t="s">
        <v>16</v>
      </c>
      <c r="E2111" t="s">
        <v>169</v>
      </c>
      <c r="F2111">
        <v>3400000</v>
      </c>
      <c r="G2111" t="s">
        <v>131</v>
      </c>
      <c r="H2111" t="s">
        <v>81</v>
      </c>
      <c r="I2111" t="s">
        <v>9</v>
      </c>
      <c r="L2111" t="s">
        <v>161</v>
      </c>
      <c r="M2111">
        <v>3400000</v>
      </c>
    </row>
    <row r="2112" spans="1:13" x14ac:dyDescent="0.3">
      <c r="A2112" s="23">
        <v>45194</v>
      </c>
      <c r="B2112" t="s">
        <v>12</v>
      </c>
      <c r="C2112" t="s">
        <v>132</v>
      </c>
      <c r="D2112" t="s">
        <v>17</v>
      </c>
      <c r="E2112" t="s">
        <v>169</v>
      </c>
      <c r="F2112">
        <v>18962374.75</v>
      </c>
      <c r="G2112" t="s">
        <v>131</v>
      </c>
      <c r="H2112" t="s">
        <v>81</v>
      </c>
      <c r="I2112" t="s">
        <v>9</v>
      </c>
      <c r="L2112" t="s">
        <v>161</v>
      </c>
      <c r="M2112">
        <v>-18962374.75</v>
      </c>
    </row>
    <row r="2113" spans="1:13" x14ac:dyDescent="0.3">
      <c r="A2113" s="23">
        <v>45195</v>
      </c>
      <c r="B2113" t="s">
        <v>12</v>
      </c>
      <c r="C2113" t="s">
        <v>132</v>
      </c>
      <c r="D2113" t="s">
        <v>16</v>
      </c>
      <c r="E2113" t="s">
        <v>169</v>
      </c>
      <c r="F2113">
        <v>400000000</v>
      </c>
      <c r="G2113" t="s">
        <v>131</v>
      </c>
      <c r="H2113" t="s">
        <v>81</v>
      </c>
      <c r="I2113" t="s">
        <v>9</v>
      </c>
      <c r="L2113" t="s">
        <v>161</v>
      </c>
      <c r="M2113">
        <v>400000000</v>
      </c>
    </row>
    <row r="2114" spans="1:13" x14ac:dyDescent="0.3">
      <c r="A2114" s="23">
        <v>45295</v>
      </c>
      <c r="B2114" t="s">
        <v>12</v>
      </c>
      <c r="C2114" t="s">
        <v>132</v>
      </c>
      <c r="D2114" t="s">
        <v>16</v>
      </c>
      <c r="E2114" t="s">
        <v>169</v>
      </c>
      <c r="F2114">
        <v>300000000</v>
      </c>
      <c r="G2114" t="s">
        <v>131</v>
      </c>
      <c r="H2114" t="s">
        <v>81</v>
      </c>
      <c r="I2114" t="s">
        <v>9</v>
      </c>
      <c r="L2114" t="s">
        <v>161</v>
      </c>
      <c r="M2114">
        <v>300000000</v>
      </c>
    </row>
    <row r="2115" spans="1:13" x14ac:dyDescent="0.3">
      <c r="A2115" s="23">
        <v>45197</v>
      </c>
      <c r="B2115" t="s">
        <v>12</v>
      </c>
      <c r="C2115" t="s">
        <v>132</v>
      </c>
      <c r="D2115" t="s">
        <v>17</v>
      </c>
      <c r="E2115" t="s">
        <v>169</v>
      </c>
      <c r="F2115">
        <v>173336034.69999999</v>
      </c>
      <c r="G2115" t="s">
        <v>131</v>
      </c>
      <c r="H2115" t="s">
        <v>81</v>
      </c>
      <c r="I2115" t="s">
        <v>9</v>
      </c>
      <c r="L2115" t="s">
        <v>161</v>
      </c>
      <c r="M2115">
        <v>-173336034.69999999</v>
      </c>
    </row>
    <row r="2116" spans="1:13" x14ac:dyDescent="0.3">
      <c r="A2116" s="23">
        <v>45288</v>
      </c>
      <c r="B2116" t="s">
        <v>12</v>
      </c>
      <c r="C2116" t="s">
        <v>132</v>
      </c>
      <c r="D2116" t="s">
        <v>16</v>
      </c>
      <c r="E2116" t="s">
        <v>169</v>
      </c>
      <c r="F2116">
        <v>138300000</v>
      </c>
      <c r="G2116" t="s">
        <v>131</v>
      </c>
      <c r="H2116" t="s">
        <v>81</v>
      </c>
      <c r="I2116" t="s">
        <v>9</v>
      </c>
      <c r="L2116" t="s">
        <v>161</v>
      </c>
      <c r="M2116">
        <v>138300000</v>
      </c>
    </row>
    <row r="2117" spans="1:13" x14ac:dyDescent="0.3">
      <c r="A2117" s="23">
        <v>45287</v>
      </c>
      <c r="B2117" t="s">
        <v>12</v>
      </c>
      <c r="C2117" t="s">
        <v>132</v>
      </c>
      <c r="D2117" t="s">
        <v>17</v>
      </c>
      <c r="E2117" t="s">
        <v>169</v>
      </c>
      <c r="F2117">
        <v>472544748.50999999</v>
      </c>
      <c r="G2117" t="s">
        <v>131</v>
      </c>
      <c r="H2117" t="s">
        <v>81</v>
      </c>
      <c r="I2117" t="s">
        <v>9</v>
      </c>
      <c r="L2117" t="s">
        <v>161</v>
      </c>
      <c r="M2117">
        <v>-472544748.50999999</v>
      </c>
    </row>
    <row r="2118" spans="1:13" x14ac:dyDescent="0.3">
      <c r="A2118" s="23">
        <v>45201</v>
      </c>
      <c r="B2118" t="s">
        <v>12</v>
      </c>
      <c r="C2118" t="s">
        <v>132</v>
      </c>
      <c r="D2118" t="s">
        <v>17</v>
      </c>
      <c r="E2118" t="s">
        <v>169</v>
      </c>
      <c r="F2118">
        <v>226663965.30000001</v>
      </c>
      <c r="G2118" t="s">
        <v>131</v>
      </c>
      <c r="H2118" t="s">
        <v>81</v>
      </c>
      <c r="I2118" t="s">
        <v>9</v>
      </c>
      <c r="L2118" t="s">
        <v>161</v>
      </c>
      <c r="M2118">
        <v>-226663965.30000001</v>
      </c>
    </row>
    <row r="2119" spans="1:13" x14ac:dyDescent="0.3">
      <c r="A2119" s="23">
        <v>45282</v>
      </c>
      <c r="B2119" t="s">
        <v>12</v>
      </c>
      <c r="C2119" t="s">
        <v>132</v>
      </c>
      <c r="D2119" t="s">
        <v>16</v>
      </c>
      <c r="E2119" t="s">
        <v>169</v>
      </c>
      <c r="F2119">
        <v>7076748.5099999998</v>
      </c>
      <c r="G2119" t="s">
        <v>131</v>
      </c>
      <c r="H2119" t="s">
        <v>81</v>
      </c>
      <c r="I2119" t="s">
        <v>9</v>
      </c>
      <c r="L2119" t="s">
        <v>161</v>
      </c>
      <c r="M2119">
        <v>7076748.5099999998</v>
      </c>
    </row>
    <row r="2120" spans="1:13" x14ac:dyDescent="0.3">
      <c r="A2120" s="23">
        <v>45275</v>
      </c>
      <c r="B2120" t="s">
        <v>12</v>
      </c>
      <c r="C2120" t="s">
        <v>132</v>
      </c>
      <c r="D2120" t="s">
        <v>16</v>
      </c>
      <c r="E2120" t="s">
        <v>169</v>
      </c>
      <c r="F2120">
        <v>465468000</v>
      </c>
      <c r="G2120" t="s">
        <v>131</v>
      </c>
      <c r="H2120" t="s">
        <v>81</v>
      </c>
      <c r="I2120" t="s">
        <v>9</v>
      </c>
      <c r="L2120" t="s">
        <v>161</v>
      </c>
      <c r="M2120">
        <v>465468000</v>
      </c>
    </row>
    <row r="2121" spans="1:13" x14ac:dyDescent="0.3">
      <c r="A2121" s="23">
        <v>45267</v>
      </c>
      <c r="B2121" t="s">
        <v>12</v>
      </c>
      <c r="C2121" t="s">
        <v>132</v>
      </c>
      <c r="D2121" t="s">
        <v>17</v>
      </c>
      <c r="E2121" t="s">
        <v>169</v>
      </c>
      <c r="F2121">
        <v>49120000</v>
      </c>
      <c r="G2121" t="s">
        <v>131</v>
      </c>
      <c r="H2121" t="s">
        <v>81</v>
      </c>
      <c r="I2121" t="s">
        <v>9</v>
      </c>
      <c r="L2121" t="s">
        <v>161</v>
      </c>
      <c r="M2121">
        <v>-49120000</v>
      </c>
    </row>
    <row r="2122" spans="1:13" x14ac:dyDescent="0.3">
      <c r="A2122" s="23">
        <v>45266</v>
      </c>
      <c r="B2122" t="s">
        <v>12</v>
      </c>
      <c r="C2122" t="s">
        <v>132</v>
      </c>
      <c r="D2122" t="s">
        <v>16</v>
      </c>
      <c r="E2122" t="s">
        <v>169</v>
      </c>
      <c r="F2122">
        <v>40000000</v>
      </c>
      <c r="G2122" t="s">
        <v>131</v>
      </c>
      <c r="H2122" t="s">
        <v>81</v>
      </c>
      <c r="I2122" t="s">
        <v>9</v>
      </c>
      <c r="L2122" t="s">
        <v>161</v>
      </c>
      <c r="M2122">
        <v>40000000</v>
      </c>
    </row>
    <row r="2123" spans="1:13" x14ac:dyDescent="0.3">
      <c r="A2123" s="23">
        <v>45265</v>
      </c>
      <c r="B2123" t="s">
        <v>12</v>
      </c>
      <c r="C2123" t="s">
        <v>132</v>
      </c>
      <c r="D2123" t="s">
        <v>17</v>
      </c>
      <c r="E2123" t="s">
        <v>169</v>
      </c>
      <c r="F2123">
        <v>69200000</v>
      </c>
      <c r="G2123" t="s">
        <v>131</v>
      </c>
      <c r="H2123" t="s">
        <v>81</v>
      </c>
      <c r="I2123" t="s">
        <v>9</v>
      </c>
      <c r="L2123" t="s">
        <v>161</v>
      </c>
      <c r="M2123">
        <v>-69200000</v>
      </c>
    </row>
    <row r="2124" spans="1:13" x14ac:dyDescent="0.3">
      <c r="A2124" s="23">
        <v>45265</v>
      </c>
      <c r="B2124" t="s">
        <v>12</v>
      </c>
      <c r="C2124" t="s">
        <v>132</v>
      </c>
      <c r="D2124" t="s">
        <v>17</v>
      </c>
      <c r="E2124" t="s">
        <v>169</v>
      </c>
      <c r="F2124">
        <v>1350000000</v>
      </c>
      <c r="G2124" t="s">
        <v>131</v>
      </c>
      <c r="H2124" t="s">
        <v>81</v>
      </c>
      <c r="I2124" t="s">
        <v>9</v>
      </c>
      <c r="L2124" t="s">
        <v>161</v>
      </c>
      <c r="M2124">
        <v>-1350000000</v>
      </c>
    </row>
    <row r="2125" spans="1:13" x14ac:dyDescent="0.3">
      <c r="A2125" s="23">
        <v>45265</v>
      </c>
      <c r="B2125" t="s">
        <v>12</v>
      </c>
      <c r="C2125" t="s">
        <v>132</v>
      </c>
      <c r="D2125" t="s">
        <v>16</v>
      </c>
      <c r="E2125" t="s">
        <v>169</v>
      </c>
      <c r="F2125">
        <v>1428320000</v>
      </c>
      <c r="G2125" t="s">
        <v>131</v>
      </c>
      <c r="H2125" t="s">
        <v>81</v>
      </c>
      <c r="I2125" t="s">
        <v>9</v>
      </c>
      <c r="L2125" t="s">
        <v>161</v>
      </c>
      <c r="M2125">
        <v>1428320000</v>
      </c>
    </row>
    <row r="2126" spans="1:13" x14ac:dyDescent="0.3">
      <c r="A2126" s="23">
        <v>45209</v>
      </c>
      <c r="B2126" t="s">
        <v>12</v>
      </c>
      <c r="C2126" t="s">
        <v>132</v>
      </c>
      <c r="D2126" t="s">
        <v>16</v>
      </c>
      <c r="E2126" t="s">
        <v>169</v>
      </c>
      <c r="F2126">
        <v>85000000</v>
      </c>
      <c r="G2126" t="s">
        <v>131</v>
      </c>
      <c r="H2126" t="s">
        <v>81</v>
      </c>
      <c r="I2126" t="s">
        <v>9</v>
      </c>
      <c r="L2126" t="s">
        <v>161</v>
      </c>
      <c r="M2126">
        <v>85000000</v>
      </c>
    </row>
    <row r="2127" spans="1:13" x14ac:dyDescent="0.3">
      <c r="A2127" s="23">
        <v>45210</v>
      </c>
      <c r="B2127" t="s">
        <v>12</v>
      </c>
      <c r="C2127" t="s">
        <v>132</v>
      </c>
      <c r="D2127" t="s">
        <v>16</v>
      </c>
      <c r="E2127" t="s">
        <v>169</v>
      </c>
      <c r="F2127">
        <v>120000000</v>
      </c>
      <c r="G2127" t="s">
        <v>131</v>
      </c>
      <c r="H2127" t="s">
        <v>81</v>
      </c>
      <c r="I2127" t="s">
        <v>9</v>
      </c>
      <c r="L2127" t="s">
        <v>161</v>
      </c>
      <c r="M2127">
        <v>120000000</v>
      </c>
    </row>
    <row r="2128" spans="1:13" x14ac:dyDescent="0.3">
      <c r="A2128" s="23">
        <v>45253</v>
      </c>
      <c r="B2128" t="s">
        <v>12</v>
      </c>
      <c r="C2128" t="s">
        <v>132</v>
      </c>
      <c r="D2128" t="s">
        <v>17</v>
      </c>
      <c r="E2128" t="s">
        <v>169</v>
      </c>
      <c r="F2128">
        <v>895000000</v>
      </c>
      <c r="G2128" t="s">
        <v>131</v>
      </c>
      <c r="H2128" t="s">
        <v>81</v>
      </c>
      <c r="I2128" t="s">
        <v>9</v>
      </c>
      <c r="L2128" t="s">
        <v>161</v>
      </c>
      <c r="M2128">
        <v>-895000000</v>
      </c>
    </row>
    <row r="2129" spans="1:13" x14ac:dyDescent="0.3">
      <c r="A2129" s="23">
        <v>45211</v>
      </c>
      <c r="B2129" t="s">
        <v>12</v>
      </c>
      <c r="C2129" t="s">
        <v>132</v>
      </c>
      <c r="D2129" t="s">
        <v>17</v>
      </c>
      <c r="E2129" t="s">
        <v>169</v>
      </c>
      <c r="F2129">
        <v>200000000</v>
      </c>
      <c r="G2129" t="s">
        <v>131</v>
      </c>
      <c r="H2129" t="s">
        <v>81</v>
      </c>
      <c r="I2129" t="s">
        <v>9</v>
      </c>
      <c r="L2129" t="s">
        <v>161</v>
      </c>
      <c r="M2129">
        <v>-200000000</v>
      </c>
    </row>
    <row r="2130" spans="1:13" x14ac:dyDescent="0.3">
      <c r="A2130" s="23">
        <v>45252</v>
      </c>
      <c r="B2130" t="s">
        <v>12</v>
      </c>
      <c r="C2130" t="s">
        <v>132</v>
      </c>
      <c r="D2130" t="s">
        <v>16</v>
      </c>
      <c r="E2130" t="s">
        <v>169</v>
      </c>
      <c r="F2130">
        <v>895000000</v>
      </c>
      <c r="G2130" t="s">
        <v>131</v>
      </c>
      <c r="H2130" t="s">
        <v>81</v>
      </c>
      <c r="I2130" t="s">
        <v>9</v>
      </c>
      <c r="L2130" t="s">
        <v>161</v>
      </c>
      <c r="M2130">
        <v>895000000</v>
      </c>
    </row>
    <row r="2131" spans="1:13" x14ac:dyDescent="0.3">
      <c r="A2131" s="23">
        <v>45217</v>
      </c>
      <c r="B2131" t="s">
        <v>12</v>
      </c>
      <c r="C2131" t="s">
        <v>132</v>
      </c>
      <c r="D2131" t="s">
        <v>17</v>
      </c>
      <c r="E2131" t="s">
        <v>169</v>
      </c>
      <c r="F2131">
        <v>5000000</v>
      </c>
      <c r="G2131" t="s">
        <v>131</v>
      </c>
      <c r="H2131" t="s">
        <v>81</v>
      </c>
      <c r="I2131" t="s">
        <v>9</v>
      </c>
      <c r="L2131" t="s">
        <v>161</v>
      </c>
      <c r="M2131">
        <v>-5000000</v>
      </c>
    </row>
    <row r="2132" spans="1:13" x14ac:dyDescent="0.3">
      <c r="A2132" s="23">
        <v>45434</v>
      </c>
      <c r="B2132" t="s">
        <v>12</v>
      </c>
      <c r="C2132" t="s">
        <v>132</v>
      </c>
      <c r="D2132" t="s">
        <v>17</v>
      </c>
      <c r="E2132" t="s">
        <v>170</v>
      </c>
      <c r="F2132">
        <v>20339497.920000002</v>
      </c>
      <c r="G2132" t="s">
        <v>23</v>
      </c>
      <c r="H2132" t="s">
        <v>81</v>
      </c>
      <c r="I2132" t="s">
        <v>9</v>
      </c>
      <c r="L2132" t="s">
        <v>161</v>
      </c>
      <c r="M2132">
        <v>-20339497.920000002</v>
      </c>
    </row>
    <row r="2133" spans="1:13" x14ac:dyDescent="0.3">
      <c r="A2133" s="23">
        <v>45425</v>
      </c>
      <c r="B2133" t="s">
        <v>12</v>
      </c>
      <c r="C2133" t="s">
        <v>132</v>
      </c>
      <c r="D2133" t="s">
        <v>16</v>
      </c>
      <c r="E2133" t="s">
        <v>170</v>
      </c>
      <c r="F2133">
        <v>496000</v>
      </c>
      <c r="G2133" t="s">
        <v>23</v>
      </c>
      <c r="H2133" t="s">
        <v>81</v>
      </c>
      <c r="I2133" t="s">
        <v>9</v>
      </c>
      <c r="L2133" t="s">
        <v>161</v>
      </c>
      <c r="M2133">
        <v>496000</v>
      </c>
    </row>
    <row r="2134" spans="1:13" x14ac:dyDescent="0.3">
      <c r="A2134" s="23">
        <v>45407</v>
      </c>
      <c r="B2134" t="s">
        <v>12</v>
      </c>
      <c r="C2134" t="s">
        <v>132</v>
      </c>
      <c r="D2134" t="s">
        <v>17</v>
      </c>
      <c r="E2134" t="s">
        <v>170</v>
      </c>
      <c r="F2134">
        <v>52477771</v>
      </c>
      <c r="G2134" t="s">
        <v>23</v>
      </c>
      <c r="H2134" t="s">
        <v>81</v>
      </c>
      <c r="I2134" t="s">
        <v>9</v>
      </c>
      <c r="L2134" t="s">
        <v>161</v>
      </c>
      <c r="M2134">
        <v>-52477771</v>
      </c>
    </row>
    <row r="2135" spans="1:13" x14ac:dyDescent="0.3">
      <c r="A2135" s="23">
        <v>45407</v>
      </c>
      <c r="B2135" t="s">
        <v>12</v>
      </c>
      <c r="C2135" t="s">
        <v>132</v>
      </c>
      <c r="D2135" t="s">
        <v>16</v>
      </c>
      <c r="E2135" t="s">
        <v>170</v>
      </c>
      <c r="F2135">
        <v>24211000</v>
      </c>
      <c r="G2135" t="s">
        <v>23</v>
      </c>
      <c r="H2135" t="s">
        <v>81</v>
      </c>
      <c r="I2135" t="s">
        <v>9</v>
      </c>
      <c r="L2135" t="s">
        <v>161</v>
      </c>
      <c r="M2135">
        <v>24211000</v>
      </c>
    </row>
    <row r="2136" spans="1:13" x14ac:dyDescent="0.3">
      <c r="A2136" s="23">
        <v>45407</v>
      </c>
      <c r="B2136" t="s">
        <v>12</v>
      </c>
      <c r="C2136" t="s">
        <v>132</v>
      </c>
      <c r="D2136" t="s">
        <v>17</v>
      </c>
      <c r="E2136" t="s">
        <v>170</v>
      </c>
      <c r="F2136">
        <v>51366643</v>
      </c>
      <c r="G2136" t="s">
        <v>23</v>
      </c>
      <c r="H2136" t="s">
        <v>81</v>
      </c>
      <c r="I2136" t="s">
        <v>9</v>
      </c>
      <c r="L2136" t="s">
        <v>161</v>
      </c>
      <c r="M2136">
        <v>-51366643</v>
      </c>
    </row>
    <row r="2137" spans="1:13" x14ac:dyDescent="0.3">
      <c r="A2137" s="23">
        <v>45406</v>
      </c>
      <c r="B2137" t="s">
        <v>12</v>
      </c>
      <c r="C2137" t="s">
        <v>132</v>
      </c>
      <c r="D2137" t="s">
        <v>17</v>
      </c>
      <c r="E2137" t="s">
        <v>170</v>
      </c>
      <c r="F2137">
        <v>77966259</v>
      </c>
      <c r="G2137" t="s">
        <v>23</v>
      </c>
      <c r="H2137" t="s">
        <v>81</v>
      </c>
      <c r="I2137" t="s">
        <v>9</v>
      </c>
      <c r="L2137" t="s">
        <v>161</v>
      </c>
      <c r="M2137">
        <v>-77966259</v>
      </c>
    </row>
    <row r="2138" spans="1:13" x14ac:dyDescent="0.3">
      <c r="A2138" s="23">
        <v>45401</v>
      </c>
      <c r="B2138" t="s">
        <v>12</v>
      </c>
      <c r="C2138" t="s">
        <v>132</v>
      </c>
      <c r="D2138" t="s">
        <v>17</v>
      </c>
      <c r="E2138" t="s">
        <v>170</v>
      </c>
      <c r="F2138">
        <v>57411517</v>
      </c>
      <c r="G2138" t="s">
        <v>23</v>
      </c>
      <c r="H2138" t="s">
        <v>81</v>
      </c>
      <c r="I2138" t="s">
        <v>9</v>
      </c>
      <c r="L2138" t="s">
        <v>161</v>
      </c>
      <c r="M2138">
        <v>-57411517</v>
      </c>
    </row>
    <row r="2139" spans="1:13" x14ac:dyDescent="0.3">
      <c r="A2139" s="23">
        <v>45400</v>
      </c>
      <c r="B2139" t="s">
        <v>12</v>
      </c>
      <c r="C2139" t="s">
        <v>132</v>
      </c>
      <c r="D2139" t="s">
        <v>17</v>
      </c>
      <c r="E2139" t="s">
        <v>170</v>
      </c>
      <c r="F2139">
        <v>500000000</v>
      </c>
      <c r="G2139" t="s">
        <v>23</v>
      </c>
      <c r="H2139" t="s">
        <v>81</v>
      </c>
      <c r="I2139" t="s">
        <v>9</v>
      </c>
      <c r="L2139" t="s">
        <v>161</v>
      </c>
      <c r="M2139">
        <v>-500000000</v>
      </c>
    </row>
    <row r="2140" spans="1:13" x14ac:dyDescent="0.3">
      <c r="A2140" s="23">
        <v>45390</v>
      </c>
      <c r="B2140" t="s">
        <v>12</v>
      </c>
      <c r="C2140" t="s">
        <v>132</v>
      </c>
      <c r="D2140" t="s">
        <v>17</v>
      </c>
      <c r="E2140" t="s">
        <v>170</v>
      </c>
      <c r="F2140">
        <v>297328000</v>
      </c>
      <c r="G2140" t="s">
        <v>23</v>
      </c>
      <c r="H2140" t="s">
        <v>81</v>
      </c>
      <c r="I2140" t="s">
        <v>9</v>
      </c>
      <c r="L2140" t="s">
        <v>161</v>
      </c>
      <c r="M2140">
        <v>-297328000</v>
      </c>
    </row>
    <row r="2141" spans="1:13" x14ac:dyDescent="0.3">
      <c r="A2141" s="23">
        <v>45386</v>
      </c>
      <c r="B2141" t="s">
        <v>12</v>
      </c>
      <c r="C2141" t="s">
        <v>132</v>
      </c>
      <c r="D2141" t="s">
        <v>16</v>
      </c>
      <c r="E2141" t="s">
        <v>170</v>
      </c>
      <c r="F2141">
        <v>1000000000</v>
      </c>
      <c r="G2141" t="s">
        <v>23</v>
      </c>
      <c r="H2141" t="s">
        <v>81</v>
      </c>
      <c r="I2141" t="s">
        <v>9</v>
      </c>
      <c r="L2141" t="s">
        <v>161</v>
      </c>
      <c r="M2141">
        <v>1000000000</v>
      </c>
    </row>
    <row r="2142" spans="1:13" x14ac:dyDescent="0.3">
      <c r="A2142" s="23">
        <v>45383</v>
      </c>
      <c r="B2142" t="s">
        <v>12</v>
      </c>
      <c r="C2142" t="s">
        <v>132</v>
      </c>
      <c r="D2142" t="s">
        <v>16</v>
      </c>
      <c r="E2142" t="s">
        <v>170</v>
      </c>
      <c r="F2142">
        <v>3000000</v>
      </c>
      <c r="G2142" t="s">
        <v>23</v>
      </c>
      <c r="H2142" t="s">
        <v>81</v>
      </c>
      <c r="I2142" t="s">
        <v>9</v>
      </c>
      <c r="L2142" t="s">
        <v>161</v>
      </c>
      <c r="M2142">
        <v>3000000</v>
      </c>
    </row>
    <row r="2143" spans="1:13" x14ac:dyDescent="0.3">
      <c r="A2143" s="23">
        <v>45363</v>
      </c>
      <c r="B2143" t="s">
        <v>12</v>
      </c>
      <c r="C2143" t="s">
        <v>132</v>
      </c>
      <c r="D2143" t="s">
        <v>17</v>
      </c>
      <c r="E2143" t="s">
        <v>170</v>
      </c>
      <c r="F2143">
        <v>75179670.5</v>
      </c>
      <c r="G2143" t="s">
        <v>23</v>
      </c>
      <c r="H2143" t="s">
        <v>81</v>
      </c>
      <c r="I2143" t="s">
        <v>9</v>
      </c>
      <c r="L2143" t="s">
        <v>161</v>
      </c>
      <c r="M2143">
        <v>-75179670.5</v>
      </c>
    </row>
    <row r="2144" spans="1:13" x14ac:dyDescent="0.3">
      <c r="A2144" s="23">
        <v>45363</v>
      </c>
      <c r="B2144" t="s">
        <v>12</v>
      </c>
      <c r="C2144" t="s">
        <v>132</v>
      </c>
      <c r="D2144" t="s">
        <v>17</v>
      </c>
      <c r="E2144" t="s">
        <v>170</v>
      </c>
      <c r="F2144">
        <v>67342060.049999997</v>
      </c>
      <c r="G2144" t="s">
        <v>23</v>
      </c>
      <c r="H2144" t="s">
        <v>81</v>
      </c>
      <c r="I2144" t="s">
        <v>9</v>
      </c>
      <c r="L2144" t="s">
        <v>161</v>
      </c>
      <c r="M2144">
        <v>-67342060.049999997</v>
      </c>
    </row>
    <row r="2145" spans="1:13" x14ac:dyDescent="0.3">
      <c r="A2145" s="23">
        <v>45359</v>
      </c>
      <c r="B2145" t="s">
        <v>12</v>
      </c>
      <c r="C2145" t="s">
        <v>132</v>
      </c>
      <c r="D2145" t="s">
        <v>16</v>
      </c>
      <c r="E2145" t="s">
        <v>170</v>
      </c>
      <c r="F2145">
        <v>1450000</v>
      </c>
      <c r="G2145" t="s">
        <v>23</v>
      </c>
      <c r="H2145" t="s">
        <v>81</v>
      </c>
      <c r="I2145" t="s">
        <v>9</v>
      </c>
      <c r="L2145" t="s">
        <v>161</v>
      </c>
      <c r="M2145">
        <v>1450000</v>
      </c>
    </row>
    <row r="2146" spans="1:13" x14ac:dyDescent="0.3">
      <c r="A2146" s="23">
        <v>45359</v>
      </c>
      <c r="B2146" t="s">
        <v>12</v>
      </c>
      <c r="C2146" t="s">
        <v>132</v>
      </c>
      <c r="D2146" t="s">
        <v>17</v>
      </c>
      <c r="E2146" t="s">
        <v>170</v>
      </c>
      <c r="F2146">
        <v>80784724.379999995</v>
      </c>
      <c r="G2146" t="s">
        <v>23</v>
      </c>
      <c r="H2146" t="s">
        <v>81</v>
      </c>
      <c r="I2146" t="s">
        <v>9</v>
      </c>
      <c r="L2146" t="s">
        <v>161</v>
      </c>
      <c r="M2146">
        <v>-80784724.379999995</v>
      </c>
    </row>
    <row r="2147" spans="1:13" x14ac:dyDescent="0.3">
      <c r="A2147" s="23">
        <v>45359</v>
      </c>
      <c r="B2147" t="s">
        <v>12</v>
      </c>
      <c r="C2147" t="s">
        <v>132</v>
      </c>
      <c r="D2147" t="s">
        <v>17</v>
      </c>
      <c r="E2147" t="s">
        <v>170</v>
      </c>
      <c r="F2147">
        <v>48960857.149999999</v>
      </c>
      <c r="G2147" t="s">
        <v>23</v>
      </c>
      <c r="H2147" t="s">
        <v>81</v>
      </c>
      <c r="I2147" t="s">
        <v>9</v>
      </c>
      <c r="L2147" t="s">
        <v>161</v>
      </c>
      <c r="M2147">
        <v>-48960857.149999999</v>
      </c>
    </row>
    <row r="2148" spans="1:13" x14ac:dyDescent="0.3">
      <c r="A2148" s="23">
        <v>45357</v>
      </c>
      <c r="B2148" t="s">
        <v>12</v>
      </c>
      <c r="C2148" t="s">
        <v>132</v>
      </c>
      <c r="D2148" t="s">
        <v>16</v>
      </c>
      <c r="E2148" t="s">
        <v>170</v>
      </c>
      <c r="F2148">
        <v>300000000</v>
      </c>
      <c r="G2148" t="s">
        <v>23</v>
      </c>
      <c r="H2148" t="s">
        <v>81</v>
      </c>
      <c r="I2148" t="s">
        <v>9</v>
      </c>
      <c r="L2148" t="s">
        <v>161</v>
      </c>
      <c r="M2148">
        <v>300000000</v>
      </c>
    </row>
    <row r="2149" spans="1:13" x14ac:dyDescent="0.3">
      <c r="A2149" s="23">
        <v>45195</v>
      </c>
      <c r="B2149" t="s">
        <v>12</v>
      </c>
      <c r="C2149" t="s">
        <v>132</v>
      </c>
      <c r="D2149" t="s">
        <v>16</v>
      </c>
      <c r="E2149" t="s">
        <v>170</v>
      </c>
      <c r="F2149">
        <v>100000000</v>
      </c>
      <c r="G2149" t="s">
        <v>23</v>
      </c>
      <c r="H2149" t="s">
        <v>81</v>
      </c>
      <c r="I2149" t="s">
        <v>9</v>
      </c>
      <c r="L2149" t="s">
        <v>161</v>
      </c>
      <c r="M2149">
        <v>100000000</v>
      </c>
    </row>
    <row r="2150" spans="1:13" x14ac:dyDescent="0.3">
      <c r="A2150" s="23">
        <v>45197</v>
      </c>
      <c r="B2150" t="s">
        <v>12</v>
      </c>
      <c r="C2150" t="s">
        <v>132</v>
      </c>
      <c r="D2150" t="s">
        <v>17</v>
      </c>
      <c r="E2150" t="s">
        <v>170</v>
      </c>
      <c r="F2150">
        <v>51558024.170000002</v>
      </c>
      <c r="G2150" t="s">
        <v>23</v>
      </c>
      <c r="H2150" t="s">
        <v>81</v>
      </c>
      <c r="I2150" t="s">
        <v>9</v>
      </c>
      <c r="L2150" t="s">
        <v>161</v>
      </c>
      <c r="M2150">
        <v>-51558024.170000002</v>
      </c>
    </row>
    <row r="2151" spans="1:13" x14ac:dyDescent="0.3">
      <c r="A2151" s="23">
        <v>45201</v>
      </c>
      <c r="B2151" t="s">
        <v>12</v>
      </c>
      <c r="C2151" t="s">
        <v>132</v>
      </c>
      <c r="D2151" t="s">
        <v>17</v>
      </c>
      <c r="E2151" t="s">
        <v>170</v>
      </c>
      <c r="F2151">
        <v>22700000</v>
      </c>
      <c r="G2151" t="s">
        <v>23</v>
      </c>
      <c r="H2151" t="s">
        <v>81</v>
      </c>
      <c r="I2151" t="s">
        <v>9</v>
      </c>
      <c r="L2151" t="s">
        <v>161</v>
      </c>
      <c r="M2151">
        <v>-22700000</v>
      </c>
    </row>
    <row r="2152" spans="1:13" x14ac:dyDescent="0.3">
      <c r="A2152" s="23">
        <v>45204</v>
      </c>
      <c r="B2152" t="s">
        <v>12</v>
      </c>
      <c r="C2152" t="s">
        <v>132</v>
      </c>
      <c r="D2152" t="s">
        <v>17</v>
      </c>
      <c r="E2152" t="s">
        <v>170</v>
      </c>
      <c r="F2152">
        <v>25741975.829999998</v>
      </c>
      <c r="G2152" t="s">
        <v>23</v>
      </c>
      <c r="H2152" t="s">
        <v>81</v>
      </c>
      <c r="I2152" t="s">
        <v>9</v>
      </c>
      <c r="L2152" t="s">
        <v>161</v>
      </c>
      <c r="M2152">
        <v>-25741975.829999998</v>
      </c>
    </row>
    <row r="2153" spans="1:13" x14ac:dyDescent="0.3">
      <c r="A2153" s="23">
        <v>45267</v>
      </c>
      <c r="B2153" t="s">
        <v>12</v>
      </c>
      <c r="C2153" t="s">
        <v>132</v>
      </c>
      <c r="D2153" t="s">
        <v>17</v>
      </c>
      <c r="E2153" t="s">
        <v>170</v>
      </c>
      <c r="F2153">
        <v>8653983.3499999996</v>
      </c>
      <c r="G2153" t="s">
        <v>23</v>
      </c>
      <c r="H2153" t="s">
        <v>81</v>
      </c>
      <c r="I2153" t="s">
        <v>9</v>
      </c>
      <c r="L2153" t="s">
        <v>161</v>
      </c>
      <c r="M2153">
        <v>-8653983.3499999996</v>
      </c>
    </row>
    <row r="2154" spans="1:13" x14ac:dyDescent="0.3">
      <c r="A2154" s="23">
        <v>45252</v>
      </c>
      <c r="B2154" t="s">
        <v>12</v>
      </c>
      <c r="C2154" t="s">
        <v>132</v>
      </c>
      <c r="D2154" t="s">
        <v>16</v>
      </c>
      <c r="E2154" t="s">
        <v>170</v>
      </c>
      <c r="F2154">
        <v>8653983.3499999996</v>
      </c>
      <c r="G2154" t="s">
        <v>23</v>
      </c>
      <c r="H2154" t="s">
        <v>81</v>
      </c>
      <c r="I2154" t="s">
        <v>9</v>
      </c>
      <c r="L2154" t="s">
        <v>161</v>
      </c>
      <c r="M2154">
        <v>8653983.3499999996</v>
      </c>
    </row>
    <row r="2155" spans="1:13" x14ac:dyDescent="0.3">
      <c r="A2155" s="23">
        <v>45845</v>
      </c>
      <c r="B2155" t="s">
        <v>12</v>
      </c>
      <c r="C2155" t="s">
        <v>132</v>
      </c>
      <c r="D2155" t="s">
        <v>17</v>
      </c>
      <c r="E2155" t="s">
        <v>174</v>
      </c>
      <c r="F2155">
        <v>60187956.649999999</v>
      </c>
      <c r="G2155" t="s">
        <v>175</v>
      </c>
      <c r="H2155" t="s">
        <v>81</v>
      </c>
      <c r="I2155" t="s">
        <v>9</v>
      </c>
      <c r="L2155" t="s">
        <v>161</v>
      </c>
      <c r="M2155">
        <v>-60187956.649999999</v>
      </c>
    </row>
    <row r="2156" spans="1:13" x14ac:dyDescent="0.3">
      <c r="A2156" s="23">
        <v>45845</v>
      </c>
      <c r="B2156" t="s">
        <v>12</v>
      </c>
      <c r="C2156" t="s">
        <v>132</v>
      </c>
      <c r="D2156" t="s">
        <v>17</v>
      </c>
      <c r="E2156" t="s">
        <v>174</v>
      </c>
      <c r="F2156">
        <v>755486258.03999996</v>
      </c>
      <c r="G2156" t="s">
        <v>175</v>
      </c>
      <c r="H2156" t="s">
        <v>81</v>
      </c>
      <c r="I2156" t="s">
        <v>9</v>
      </c>
      <c r="L2156" t="s">
        <v>161</v>
      </c>
      <c r="M2156">
        <v>-755486258.03999996</v>
      </c>
    </row>
    <row r="2157" spans="1:13" x14ac:dyDescent="0.3">
      <c r="A2157" s="23">
        <v>45839</v>
      </c>
      <c r="B2157" t="s">
        <v>12</v>
      </c>
      <c r="C2157" t="s">
        <v>132</v>
      </c>
      <c r="D2157" t="s">
        <v>16</v>
      </c>
      <c r="E2157" t="s">
        <v>174</v>
      </c>
      <c r="F2157">
        <v>400000000</v>
      </c>
      <c r="G2157" t="s">
        <v>175</v>
      </c>
      <c r="H2157" t="s">
        <v>81</v>
      </c>
      <c r="I2157" t="s">
        <v>9</v>
      </c>
      <c r="L2157" t="s">
        <v>161</v>
      </c>
      <c r="M2157">
        <v>400000000</v>
      </c>
    </row>
    <row r="2158" spans="1:13" x14ac:dyDescent="0.3">
      <c r="A2158" s="23">
        <v>45804</v>
      </c>
      <c r="B2158" t="s">
        <v>12</v>
      </c>
      <c r="C2158" t="s">
        <v>132</v>
      </c>
      <c r="D2158" t="s">
        <v>16</v>
      </c>
      <c r="E2158" t="s">
        <v>174</v>
      </c>
      <c r="F2158">
        <v>24000000</v>
      </c>
      <c r="G2158" t="s">
        <v>175</v>
      </c>
      <c r="H2158" t="s">
        <v>81</v>
      </c>
      <c r="I2158" t="s">
        <v>9</v>
      </c>
      <c r="L2158" t="s">
        <v>161</v>
      </c>
      <c r="M2158">
        <v>24000000</v>
      </c>
    </row>
    <row r="2159" spans="1:13" x14ac:dyDescent="0.3">
      <c r="A2159" s="23">
        <v>45715</v>
      </c>
      <c r="B2159" t="s">
        <v>12</v>
      </c>
      <c r="C2159" t="s">
        <v>132</v>
      </c>
      <c r="D2159" t="s">
        <v>16</v>
      </c>
      <c r="E2159" t="s">
        <v>174</v>
      </c>
      <c r="F2159">
        <v>400000000</v>
      </c>
      <c r="G2159" t="s">
        <v>175</v>
      </c>
      <c r="H2159" t="s">
        <v>81</v>
      </c>
      <c r="I2159" t="s">
        <v>9</v>
      </c>
      <c r="L2159" t="s">
        <v>161</v>
      </c>
      <c r="M2159">
        <v>400000000</v>
      </c>
    </row>
    <row r="2160" spans="1:13" x14ac:dyDescent="0.3">
      <c r="A2160" s="23">
        <v>45607</v>
      </c>
      <c r="B2160" t="s">
        <v>12</v>
      </c>
      <c r="C2160" t="s">
        <v>132</v>
      </c>
      <c r="D2160" t="s">
        <v>17</v>
      </c>
      <c r="E2160" t="s">
        <v>174</v>
      </c>
      <c r="F2160">
        <v>29420792</v>
      </c>
      <c r="G2160" t="s">
        <v>175</v>
      </c>
      <c r="H2160" t="s">
        <v>81</v>
      </c>
      <c r="I2160" t="s">
        <v>9</v>
      </c>
      <c r="L2160" t="s">
        <v>161</v>
      </c>
      <c r="M2160">
        <v>-29420792</v>
      </c>
    </row>
    <row r="2161" spans="1:13" x14ac:dyDescent="0.3">
      <c r="A2161" s="23">
        <v>45565</v>
      </c>
      <c r="B2161" t="s">
        <v>12</v>
      </c>
      <c r="C2161" t="s">
        <v>132</v>
      </c>
      <c r="D2161" t="s">
        <v>16</v>
      </c>
      <c r="E2161" t="s">
        <v>174</v>
      </c>
      <c r="F2161">
        <v>683000</v>
      </c>
      <c r="G2161" t="s">
        <v>175</v>
      </c>
      <c r="H2161" t="s">
        <v>81</v>
      </c>
      <c r="I2161" t="s">
        <v>9</v>
      </c>
      <c r="L2161" t="s">
        <v>161</v>
      </c>
      <c r="M2161">
        <v>683000</v>
      </c>
    </row>
    <row r="2162" spans="1:13" x14ac:dyDescent="0.3">
      <c r="A2162" s="23">
        <v>45538</v>
      </c>
      <c r="B2162" t="s">
        <v>12</v>
      </c>
      <c r="C2162" t="s">
        <v>132</v>
      </c>
      <c r="D2162" t="s">
        <v>16</v>
      </c>
      <c r="E2162" t="s">
        <v>174</v>
      </c>
      <c r="F2162">
        <v>9611000</v>
      </c>
      <c r="G2162" t="s">
        <v>175</v>
      </c>
      <c r="H2162" t="s">
        <v>81</v>
      </c>
      <c r="I2162" t="s">
        <v>9</v>
      </c>
      <c r="L2162" t="s">
        <v>161</v>
      </c>
      <c r="M2162">
        <v>9611000</v>
      </c>
    </row>
    <row r="2163" spans="1:13" x14ac:dyDescent="0.3">
      <c r="A2163" s="23">
        <v>45527</v>
      </c>
      <c r="B2163" t="s">
        <v>12</v>
      </c>
      <c r="C2163" t="s">
        <v>132</v>
      </c>
      <c r="D2163" t="s">
        <v>17</v>
      </c>
      <c r="E2163" t="s">
        <v>174</v>
      </c>
      <c r="F2163">
        <v>150000000</v>
      </c>
      <c r="G2163" t="s">
        <v>175</v>
      </c>
      <c r="H2163" t="s">
        <v>81</v>
      </c>
      <c r="I2163" t="s">
        <v>9</v>
      </c>
      <c r="L2163" t="s">
        <v>161</v>
      </c>
      <c r="M2163">
        <v>-150000000</v>
      </c>
    </row>
    <row r="2164" spans="1:13" x14ac:dyDescent="0.3">
      <c r="A2164" s="23">
        <v>45516</v>
      </c>
      <c r="B2164" t="s">
        <v>12</v>
      </c>
      <c r="C2164" t="s">
        <v>132</v>
      </c>
      <c r="D2164" t="s">
        <v>17</v>
      </c>
      <c r="E2164" t="s">
        <v>174</v>
      </c>
      <c r="F2164">
        <v>400000000</v>
      </c>
      <c r="G2164" t="s">
        <v>175</v>
      </c>
      <c r="H2164" t="s">
        <v>81</v>
      </c>
      <c r="I2164" t="s">
        <v>9</v>
      </c>
      <c r="L2164" t="s">
        <v>161</v>
      </c>
      <c r="M2164">
        <v>-400000000</v>
      </c>
    </row>
    <row r="2165" spans="1:13" x14ac:dyDescent="0.3">
      <c r="A2165" s="23">
        <v>45504</v>
      </c>
      <c r="B2165" t="s">
        <v>12</v>
      </c>
      <c r="C2165" t="s">
        <v>132</v>
      </c>
      <c r="D2165" t="s">
        <v>16</v>
      </c>
      <c r="E2165" t="s">
        <v>174</v>
      </c>
      <c r="F2165">
        <v>17193000</v>
      </c>
      <c r="G2165" t="s">
        <v>175</v>
      </c>
      <c r="H2165" t="s">
        <v>81</v>
      </c>
      <c r="I2165" t="s">
        <v>9</v>
      </c>
      <c r="L2165" t="s">
        <v>161</v>
      </c>
      <c r="M2165">
        <v>17193000</v>
      </c>
    </row>
    <row r="2166" spans="1:13" x14ac:dyDescent="0.3">
      <c r="A2166" s="23">
        <v>45475</v>
      </c>
      <c r="B2166" t="s">
        <v>12</v>
      </c>
      <c r="C2166" t="s">
        <v>132</v>
      </c>
      <c r="D2166" t="s">
        <v>16</v>
      </c>
      <c r="E2166" t="s">
        <v>174</v>
      </c>
      <c r="F2166">
        <v>500000000</v>
      </c>
      <c r="G2166" t="s">
        <v>175</v>
      </c>
      <c r="H2166" t="s">
        <v>81</v>
      </c>
      <c r="I2166" t="s">
        <v>9</v>
      </c>
      <c r="L2166" t="s">
        <v>161</v>
      </c>
      <c r="M2166">
        <v>500000000</v>
      </c>
    </row>
    <row r="2167" spans="1:13" x14ac:dyDescent="0.3">
      <c r="A2167" s="23">
        <v>45460</v>
      </c>
      <c r="B2167" t="s">
        <v>12</v>
      </c>
      <c r="C2167" t="s">
        <v>132</v>
      </c>
      <c r="D2167" t="s">
        <v>16</v>
      </c>
      <c r="E2167" t="s">
        <v>174</v>
      </c>
      <c r="F2167">
        <v>11540000</v>
      </c>
      <c r="G2167" t="s">
        <v>175</v>
      </c>
      <c r="H2167" t="s">
        <v>81</v>
      </c>
      <c r="I2167" t="s">
        <v>9</v>
      </c>
      <c r="L2167" t="s">
        <v>161</v>
      </c>
      <c r="M2167">
        <v>11540000</v>
      </c>
    </row>
    <row r="2168" spans="1:13" x14ac:dyDescent="0.3">
      <c r="A2168" s="23">
        <v>45446</v>
      </c>
      <c r="B2168" t="s">
        <v>12</v>
      </c>
      <c r="C2168" t="s">
        <v>132</v>
      </c>
      <c r="D2168" t="s">
        <v>17</v>
      </c>
      <c r="E2168" t="s">
        <v>174</v>
      </c>
      <c r="F2168">
        <v>485706723</v>
      </c>
      <c r="G2168" t="s">
        <v>175</v>
      </c>
      <c r="H2168" t="s">
        <v>81</v>
      </c>
      <c r="I2168" t="s">
        <v>9</v>
      </c>
      <c r="L2168" t="s">
        <v>161</v>
      </c>
      <c r="M2168">
        <v>-485706723</v>
      </c>
    </row>
    <row r="2169" spans="1:13" x14ac:dyDescent="0.3">
      <c r="A2169" s="23">
        <v>45442</v>
      </c>
      <c r="B2169" t="s">
        <v>12</v>
      </c>
      <c r="C2169" t="s">
        <v>132</v>
      </c>
      <c r="D2169" t="s">
        <v>16</v>
      </c>
      <c r="E2169" t="s">
        <v>174</v>
      </c>
      <c r="F2169">
        <v>200000000</v>
      </c>
      <c r="G2169" t="s">
        <v>175</v>
      </c>
      <c r="H2169" t="s">
        <v>81</v>
      </c>
      <c r="I2169" t="s">
        <v>9</v>
      </c>
      <c r="L2169" t="s">
        <v>161</v>
      </c>
      <c r="M2169">
        <v>200000000</v>
      </c>
    </row>
    <row r="2170" spans="1:13" x14ac:dyDescent="0.3">
      <c r="A2170" s="23">
        <v>45441</v>
      </c>
      <c r="B2170" t="s">
        <v>12</v>
      </c>
      <c r="C2170" t="s">
        <v>132</v>
      </c>
      <c r="D2170" t="s">
        <v>17</v>
      </c>
      <c r="E2170" t="s">
        <v>174</v>
      </c>
      <c r="F2170">
        <v>200000000</v>
      </c>
      <c r="G2170" t="s">
        <v>175</v>
      </c>
      <c r="H2170" t="s">
        <v>81</v>
      </c>
      <c r="I2170" t="s">
        <v>9</v>
      </c>
      <c r="L2170" t="s">
        <v>161</v>
      </c>
      <c r="M2170">
        <v>-200000000</v>
      </c>
    </row>
    <row r="2171" spans="1:13" x14ac:dyDescent="0.3">
      <c r="A2171" s="23">
        <v>45429</v>
      </c>
      <c r="B2171" t="s">
        <v>12</v>
      </c>
      <c r="C2171" t="s">
        <v>132</v>
      </c>
      <c r="D2171" t="s">
        <v>16</v>
      </c>
      <c r="E2171" t="s">
        <v>174</v>
      </c>
      <c r="F2171">
        <v>500000000</v>
      </c>
      <c r="G2171" t="s">
        <v>175</v>
      </c>
      <c r="H2171" t="s">
        <v>81</v>
      </c>
      <c r="I2171" t="s">
        <v>9</v>
      </c>
      <c r="L2171" t="s">
        <v>161</v>
      </c>
      <c r="M2171">
        <v>500000000</v>
      </c>
    </row>
    <row r="2172" spans="1:13" x14ac:dyDescent="0.3">
      <c r="A2172" s="23">
        <v>45425</v>
      </c>
      <c r="B2172" t="s">
        <v>12</v>
      </c>
      <c r="C2172" t="s">
        <v>132</v>
      </c>
      <c r="D2172" t="s">
        <v>16</v>
      </c>
      <c r="E2172" t="s">
        <v>174</v>
      </c>
      <c r="F2172">
        <v>558000</v>
      </c>
      <c r="G2172" t="s">
        <v>175</v>
      </c>
      <c r="H2172" t="s">
        <v>81</v>
      </c>
      <c r="I2172" t="s">
        <v>9</v>
      </c>
      <c r="L2172" t="s">
        <v>161</v>
      </c>
      <c r="M2172">
        <v>558000</v>
      </c>
    </row>
    <row r="2173" spans="1:13" x14ac:dyDescent="0.3">
      <c r="A2173" s="23">
        <v>45398</v>
      </c>
      <c r="B2173" t="s">
        <v>12</v>
      </c>
      <c r="C2173" t="s">
        <v>132</v>
      </c>
      <c r="D2173" t="s">
        <v>17</v>
      </c>
      <c r="E2173" t="s">
        <v>174</v>
      </c>
      <c r="F2173">
        <v>474457485</v>
      </c>
      <c r="G2173" t="s">
        <v>175</v>
      </c>
      <c r="H2173" t="s">
        <v>81</v>
      </c>
      <c r="I2173" t="s">
        <v>9</v>
      </c>
      <c r="L2173" t="s">
        <v>161</v>
      </c>
      <c r="M2173">
        <v>-474457485</v>
      </c>
    </row>
    <row r="2174" spans="1:13" x14ac:dyDescent="0.3">
      <c r="A2174" s="23">
        <v>45397</v>
      </c>
      <c r="B2174" t="s">
        <v>12</v>
      </c>
      <c r="C2174" t="s">
        <v>132</v>
      </c>
      <c r="D2174" t="s">
        <v>16</v>
      </c>
      <c r="E2174" t="s">
        <v>174</v>
      </c>
      <c r="F2174">
        <v>500000000</v>
      </c>
      <c r="G2174" t="s">
        <v>175</v>
      </c>
      <c r="H2174" t="s">
        <v>81</v>
      </c>
      <c r="I2174" t="s">
        <v>9</v>
      </c>
      <c r="L2174" t="s">
        <v>161</v>
      </c>
      <c r="M2174">
        <v>500000000</v>
      </c>
    </row>
    <row r="2175" spans="1:13" x14ac:dyDescent="0.3">
      <c r="A2175" s="23">
        <v>45271</v>
      </c>
      <c r="B2175" t="s">
        <v>12</v>
      </c>
      <c r="C2175" t="s">
        <v>132</v>
      </c>
      <c r="D2175" t="s">
        <v>17</v>
      </c>
      <c r="E2175" t="s">
        <v>174</v>
      </c>
      <c r="F2175">
        <v>4930292.45</v>
      </c>
      <c r="G2175" t="s">
        <v>175</v>
      </c>
      <c r="H2175" t="s">
        <v>81</v>
      </c>
      <c r="I2175" t="s">
        <v>9</v>
      </c>
      <c r="L2175" t="s">
        <v>161</v>
      </c>
      <c r="M2175">
        <v>-4930292.45</v>
      </c>
    </row>
    <row r="2176" spans="1:13" x14ac:dyDescent="0.3">
      <c r="A2176" s="23">
        <v>45266</v>
      </c>
      <c r="B2176" t="s">
        <v>12</v>
      </c>
      <c r="C2176" t="s">
        <v>132</v>
      </c>
      <c r="D2176" t="s">
        <v>16</v>
      </c>
      <c r="E2176" t="s">
        <v>174</v>
      </c>
      <c r="F2176">
        <v>2200000</v>
      </c>
      <c r="G2176" t="s">
        <v>175</v>
      </c>
      <c r="H2176" t="s">
        <v>81</v>
      </c>
      <c r="I2176" t="s">
        <v>9</v>
      </c>
      <c r="L2176" t="s">
        <v>161</v>
      </c>
      <c r="M2176">
        <v>2200000</v>
      </c>
    </row>
    <row r="2177" spans="1:13" x14ac:dyDescent="0.3">
      <c r="A2177" s="23">
        <v>45254</v>
      </c>
      <c r="B2177" t="s">
        <v>12</v>
      </c>
      <c r="C2177" t="s">
        <v>132</v>
      </c>
      <c r="D2177" t="s">
        <v>17</v>
      </c>
      <c r="E2177" t="s">
        <v>174</v>
      </c>
      <c r="F2177">
        <v>1047259985.97</v>
      </c>
      <c r="G2177" t="s">
        <v>175</v>
      </c>
      <c r="H2177" t="s">
        <v>81</v>
      </c>
      <c r="I2177" t="s">
        <v>9</v>
      </c>
      <c r="L2177" t="s">
        <v>161</v>
      </c>
      <c r="M2177">
        <v>-1047259985.97</v>
      </c>
    </row>
    <row r="2178" spans="1:13" x14ac:dyDescent="0.3">
      <c r="A2178" s="23">
        <v>45253</v>
      </c>
      <c r="B2178" t="s">
        <v>12</v>
      </c>
      <c r="C2178" t="s">
        <v>132</v>
      </c>
      <c r="D2178" t="s">
        <v>16</v>
      </c>
      <c r="E2178" t="s">
        <v>174</v>
      </c>
      <c r="F2178">
        <v>312000000</v>
      </c>
      <c r="G2178" t="s">
        <v>175</v>
      </c>
      <c r="H2178" t="s">
        <v>81</v>
      </c>
      <c r="I2178" t="s">
        <v>9</v>
      </c>
      <c r="L2178" t="s">
        <v>161</v>
      </c>
      <c r="M2178">
        <v>312000000</v>
      </c>
    </row>
    <row r="2179" spans="1:13" x14ac:dyDescent="0.3">
      <c r="A2179" s="23">
        <v>45252</v>
      </c>
      <c r="B2179" t="s">
        <v>12</v>
      </c>
      <c r="C2179" t="s">
        <v>132</v>
      </c>
      <c r="D2179" t="s">
        <v>16</v>
      </c>
      <c r="E2179" t="s">
        <v>174</v>
      </c>
      <c r="F2179">
        <v>702200000</v>
      </c>
      <c r="G2179" t="s">
        <v>175</v>
      </c>
      <c r="H2179" t="s">
        <v>81</v>
      </c>
      <c r="I2179" t="s">
        <v>9</v>
      </c>
      <c r="L2179" t="s">
        <v>161</v>
      </c>
      <c r="M2179">
        <v>702200000</v>
      </c>
    </row>
    <row r="2180" spans="1:13" x14ac:dyDescent="0.3">
      <c r="A2180" s="23">
        <v>45247</v>
      </c>
      <c r="B2180" t="s">
        <v>12</v>
      </c>
      <c r="C2180" t="s">
        <v>132</v>
      </c>
      <c r="D2180" t="s">
        <v>16</v>
      </c>
      <c r="E2180" t="s">
        <v>174</v>
      </c>
      <c r="F2180">
        <v>213987.05</v>
      </c>
      <c r="G2180" t="s">
        <v>175</v>
      </c>
      <c r="H2180" t="s">
        <v>81</v>
      </c>
      <c r="I2180" t="s">
        <v>9</v>
      </c>
      <c r="L2180" t="s">
        <v>161</v>
      </c>
      <c r="M2180">
        <v>213987.05</v>
      </c>
    </row>
    <row r="2181" spans="1:13" x14ac:dyDescent="0.3">
      <c r="A2181" s="23">
        <v>45246</v>
      </c>
      <c r="B2181" t="s">
        <v>12</v>
      </c>
      <c r="C2181" t="s">
        <v>132</v>
      </c>
      <c r="D2181" t="s">
        <v>16</v>
      </c>
      <c r="E2181" t="s">
        <v>174</v>
      </c>
      <c r="F2181">
        <v>8597130.6199999992</v>
      </c>
      <c r="G2181" t="s">
        <v>175</v>
      </c>
      <c r="H2181" t="s">
        <v>81</v>
      </c>
      <c r="I2181" t="s">
        <v>9</v>
      </c>
      <c r="L2181" t="s">
        <v>161</v>
      </c>
      <c r="M2181">
        <v>8597130.6199999992</v>
      </c>
    </row>
    <row r="2182" spans="1:13" x14ac:dyDescent="0.3">
      <c r="A2182" s="23">
        <v>45238</v>
      </c>
      <c r="B2182" t="s">
        <v>12</v>
      </c>
      <c r="C2182" t="s">
        <v>132</v>
      </c>
      <c r="D2182" t="s">
        <v>17</v>
      </c>
      <c r="E2182" t="s">
        <v>174</v>
      </c>
      <c r="F2182">
        <v>183800000</v>
      </c>
      <c r="G2182" t="s">
        <v>175</v>
      </c>
      <c r="H2182" t="s">
        <v>81</v>
      </c>
      <c r="I2182" t="s">
        <v>9</v>
      </c>
      <c r="L2182" t="s">
        <v>161</v>
      </c>
      <c r="M2182">
        <v>-183800000</v>
      </c>
    </row>
    <row r="2183" spans="1:13" x14ac:dyDescent="0.3">
      <c r="A2183" s="23">
        <v>45233</v>
      </c>
      <c r="B2183" t="s">
        <v>12</v>
      </c>
      <c r="C2183" t="s">
        <v>132</v>
      </c>
      <c r="D2183" t="s">
        <v>17</v>
      </c>
      <c r="E2183" t="s">
        <v>174</v>
      </c>
      <c r="F2183">
        <v>760000000</v>
      </c>
      <c r="G2183" t="s">
        <v>175</v>
      </c>
      <c r="H2183" t="s">
        <v>81</v>
      </c>
      <c r="I2183" t="s">
        <v>9</v>
      </c>
      <c r="L2183" t="s">
        <v>161</v>
      </c>
      <c r="M2183">
        <v>-760000000</v>
      </c>
    </row>
    <row r="2184" spans="1:13" x14ac:dyDescent="0.3">
      <c r="A2184" s="23">
        <v>45233</v>
      </c>
      <c r="B2184" t="s">
        <v>12</v>
      </c>
      <c r="C2184" t="s">
        <v>132</v>
      </c>
      <c r="D2184" t="s">
        <v>16</v>
      </c>
      <c r="E2184" t="s">
        <v>174</v>
      </c>
      <c r="F2184">
        <v>970779160.75</v>
      </c>
      <c r="G2184" t="s">
        <v>175</v>
      </c>
      <c r="H2184" t="s">
        <v>81</v>
      </c>
      <c r="I2184" t="s">
        <v>9</v>
      </c>
      <c r="L2184" t="s">
        <v>161</v>
      </c>
      <c r="M2184">
        <v>970779160.75</v>
      </c>
    </row>
    <row r="2185" spans="1:13" x14ac:dyDescent="0.3">
      <c r="A2185" s="23">
        <v>45446</v>
      </c>
      <c r="B2185" t="s">
        <v>12</v>
      </c>
      <c r="C2185" t="s">
        <v>132</v>
      </c>
      <c r="D2185" t="s">
        <v>17</v>
      </c>
      <c r="E2185" t="s">
        <v>176</v>
      </c>
      <c r="F2185">
        <v>123598204</v>
      </c>
      <c r="G2185" t="s">
        <v>176</v>
      </c>
      <c r="H2185" t="s">
        <v>81</v>
      </c>
      <c r="I2185" t="s">
        <v>9</v>
      </c>
      <c r="L2185" t="s">
        <v>161</v>
      </c>
      <c r="M2185">
        <v>-123598204</v>
      </c>
    </row>
    <row r="2186" spans="1:13" x14ac:dyDescent="0.3">
      <c r="A2186" s="23">
        <v>45411</v>
      </c>
      <c r="B2186" t="s">
        <v>12</v>
      </c>
      <c r="C2186" t="s">
        <v>132</v>
      </c>
      <c r="D2186" t="s">
        <v>17</v>
      </c>
      <c r="E2186" t="s">
        <v>176</v>
      </c>
      <c r="F2186">
        <v>476401796</v>
      </c>
      <c r="G2186" t="s">
        <v>176</v>
      </c>
      <c r="H2186" t="s">
        <v>81</v>
      </c>
      <c r="I2186" t="s">
        <v>9</v>
      </c>
      <c r="L2186" t="s">
        <v>161</v>
      </c>
      <c r="M2186">
        <v>-476401796</v>
      </c>
    </row>
    <row r="2187" spans="1:13" x14ac:dyDescent="0.3">
      <c r="A2187" s="23">
        <v>45407</v>
      </c>
      <c r="B2187" t="s">
        <v>12</v>
      </c>
      <c r="C2187" t="s">
        <v>132</v>
      </c>
      <c r="D2187" t="s">
        <v>16</v>
      </c>
      <c r="E2187" t="s">
        <v>176</v>
      </c>
      <c r="F2187">
        <v>600000000</v>
      </c>
      <c r="G2187" t="s">
        <v>176</v>
      </c>
      <c r="H2187" t="s">
        <v>81</v>
      </c>
      <c r="I2187" t="s">
        <v>9</v>
      </c>
      <c r="L2187" t="s">
        <v>161</v>
      </c>
      <c r="M2187">
        <v>600000000</v>
      </c>
    </row>
    <row r="2188" spans="1:13" x14ac:dyDescent="0.3">
      <c r="A2188" s="23">
        <v>45245</v>
      </c>
      <c r="B2188" t="s">
        <v>12</v>
      </c>
      <c r="C2188" t="s">
        <v>132</v>
      </c>
      <c r="D2188" t="s">
        <v>17</v>
      </c>
      <c r="E2188" t="s">
        <v>176</v>
      </c>
      <c r="F2188">
        <v>340000000</v>
      </c>
      <c r="G2188" t="s">
        <v>176</v>
      </c>
      <c r="H2188" t="s">
        <v>81</v>
      </c>
      <c r="I2188" t="s">
        <v>9</v>
      </c>
      <c r="L2188" t="s">
        <v>161</v>
      </c>
      <c r="M2188">
        <v>-340000000</v>
      </c>
    </row>
    <row r="2189" spans="1:13" x14ac:dyDescent="0.3">
      <c r="A2189" s="23">
        <v>45240</v>
      </c>
      <c r="B2189" t="s">
        <v>12</v>
      </c>
      <c r="C2189" t="s">
        <v>132</v>
      </c>
      <c r="D2189" t="s">
        <v>16</v>
      </c>
      <c r="E2189" t="s">
        <v>176</v>
      </c>
      <c r="F2189">
        <v>340000000</v>
      </c>
      <c r="G2189" t="s">
        <v>176</v>
      </c>
      <c r="H2189" t="s">
        <v>81</v>
      </c>
      <c r="I2189" t="s">
        <v>9</v>
      </c>
      <c r="L2189" t="s">
        <v>161</v>
      </c>
      <c r="M2189">
        <v>340000000</v>
      </c>
    </row>
    <row r="2190" spans="1:13" x14ac:dyDescent="0.3">
      <c r="A2190" s="23">
        <v>45848</v>
      </c>
      <c r="B2190" t="s">
        <v>12</v>
      </c>
      <c r="C2190" t="s">
        <v>132</v>
      </c>
      <c r="D2190" t="s">
        <v>17</v>
      </c>
      <c r="E2190" t="s">
        <v>180</v>
      </c>
      <c r="F2190">
        <v>118526316.55</v>
      </c>
      <c r="G2190" t="s">
        <v>181</v>
      </c>
      <c r="H2190" t="s">
        <v>81</v>
      </c>
      <c r="I2190" t="s">
        <v>9</v>
      </c>
      <c r="L2190" t="s">
        <v>161</v>
      </c>
      <c r="M2190">
        <v>-118526316.55</v>
      </c>
    </row>
    <row r="2191" spans="1:13" x14ac:dyDescent="0.3">
      <c r="A2191" s="23">
        <v>45848</v>
      </c>
      <c r="B2191" t="s">
        <v>12</v>
      </c>
      <c r="C2191" t="s">
        <v>132</v>
      </c>
      <c r="D2191" t="s">
        <v>17</v>
      </c>
      <c r="E2191" t="s">
        <v>180</v>
      </c>
      <c r="F2191">
        <v>66000726.140000001</v>
      </c>
      <c r="G2191" t="s">
        <v>181</v>
      </c>
      <c r="H2191" t="s">
        <v>81</v>
      </c>
      <c r="I2191" t="s">
        <v>9</v>
      </c>
      <c r="L2191" t="s">
        <v>161</v>
      </c>
      <c r="M2191">
        <v>-66000726.140000001</v>
      </c>
    </row>
    <row r="2192" spans="1:13" x14ac:dyDescent="0.3">
      <c r="A2192" s="23">
        <v>45845</v>
      </c>
      <c r="B2192" t="s">
        <v>12</v>
      </c>
      <c r="C2192" t="s">
        <v>132</v>
      </c>
      <c r="D2192" t="s">
        <v>17</v>
      </c>
      <c r="E2192" t="s">
        <v>180</v>
      </c>
      <c r="F2192">
        <v>99275036.189999998</v>
      </c>
      <c r="G2192" t="s">
        <v>181</v>
      </c>
      <c r="H2192" t="s">
        <v>81</v>
      </c>
      <c r="I2192" t="s">
        <v>9</v>
      </c>
      <c r="L2192" t="s">
        <v>161</v>
      </c>
      <c r="M2192">
        <v>-99275036.189999998</v>
      </c>
    </row>
    <row r="2193" spans="1:13" x14ac:dyDescent="0.3">
      <c r="A2193" s="23">
        <v>45845</v>
      </c>
      <c r="B2193" t="s">
        <v>12</v>
      </c>
      <c r="C2193" t="s">
        <v>132</v>
      </c>
      <c r="D2193" t="s">
        <v>17</v>
      </c>
      <c r="E2193" t="s">
        <v>180</v>
      </c>
      <c r="F2193">
        <v>85694589.590000004</v>
      </c>
      <c r="G2193" t="s">
        <v>181</v>
      </c>
      <c r="H2193" t="s">
        <v>81</v>
      </c>
      <c r="I2193" t="s">
        <v>9</v>
      </c>
      <c r="L2193" t="s">
        <v>161</v>
      </c>
      <c r="M2193">
        <v>-85694589.590000004</v>
      </c>
    </row>
    <row r="2194" spans="1:13" x14ac:dyDescent="0.3">
      <c r="A2194" s="23">
        <v>45845</v>
      </c>
      <c r="B2194" t="s">
        <v>12</v>
      </c>
      <c r="C2194" t="s">
        <v>132</v>
      </c>
      <c r="D2194" t="s">
        <v>16</v>
      </c>
      <c r="E2194" t="s">
        <v>180</v>
      </c>
      <c r="F2194">
        <v>300000000</v>
      </c>
      <c r="G2194" t="s">
        <v>181</v>
      </c>
      <c r="H2194" t="s">
        <v>81</v>
      </c>
      <c r="I2194" t="s">
        <v>9</v>
      </c>
      <c r="L2194" t="s">
        <v>161</v>
      </c>
      <c r="M2194">
        <v>300000000</v>
      </c>
    </row>
    <row r="2195" spans="1:13" x14ac:dyDescent="0.3">
      <c r="A2195" s="23">
        <v>45839</v>
      </c>
      <c r="B2195" t="s">
        <v>12</v>
      </c>
      <c r="C2195" t="s">
        <v>132</v>
      </c>
      <c r="D2195" t="s">
        <v>16</v>
      </c>
      <c r="E2195" t="s">
        <v>180</v>
      </c>
      <c r="F2195">
        <v>150000000</v>
      </c>
      <c r="G2195" t="s">
        <v>181</v>
      </c>
      <c r="H2195" t="s">
        <v>81</v>
      </c>
      <c r="I2195" t="s">
        <v>9</v>
      </c>
      <c r="L2195" t="s">
        <v>161</v>
      </c>
      <c r="M2195">
        <v>150000000</v>
      </c>
    </row>
    <row r="2196" spans="1:13" x14ac:dyDescent="0.3">
      <c r="A2196" s="23">
        <v>45804</v>
      </c>
      <c r="B2196" t="s">
        <v>12</v>
      </c>
      <c r="C2196" t="s">
        <v>132</v>
      </c>
      <c r="D2196" t="s">
        <v>16</v>
      </c>
      <c r="E2196" t="s">
        <v>180</v>
      </c>
      <c r="F2196">
        <v>934000</v>
      </c>
      <c r="G2196" t="s">
        <v>181</v>
      </c>
      <c r="H2196" t="s">
        <v>81</v>
      </c>
      <c r="I2196" t="s">
        <v>9</v>
      </c>
      <c r="L2196" t="s">
        <v>161</v>
      </c>
      <c r="M2196">
        <v>934000</v>
      </c>
    </row>
    <row r="2197" spans="1:13" x14ac:dyDescent="0.3">
      <c r="A2197" s="23">
        <v>45790</v>
      </c>
      <c r="B2197" t="s">
        <v>12</v>
      </c>
      <c r="C2197" t="s">
        <v>132</v>
      </c>
      <c r="D2197" t="s">
        <v>17</v>
      </c>
      <c r="E2197" t="s">
        <v>180</v>
      </c>
      <c r="F2197">
        <v>61961072.380000003</v>
      </c>
      <c r="G2197" t="s">
        <v>181</v>
      </c>
      <c r="H2197" t="s">
        <v>81</v>
      </c>
      <c r="I2197" t="s">
        <v>9</v>
      </c>
      <c r="L2197" t="s">
        <v>161</v>
      </c>
      <c r="M2197">
        <v>-61961072.380000003</v>
      </c>
    </row>
    <row r="2198" spans="1:13" x14ac:dyDescent="0.3">
      <c r="A2198" s="23">
        <v>45789</v>
      </c>
      <c r="B2198" t="s">
        <v>12</v>
      </c>
      <c r="C2198" t="s">
        <v>132</v>
      </c>
      <c r="D2198" t="s">
        <v>16</v>
      </c>
      <c r="E2198" t="s">
        <v>180</v>
      </c>
      <c r="F2198">
        <v>15439440</v>
      </c>
      <c r="G2198" t="s">
        <v>181</v>
      </c>
      <c r="H2198" t="s">
        <v>81</v>
      </c>
      <c r="I2198" t="s">
        <v>9</v>
      </c>
      <c r="L2198" t="s">
        <v>161</v>
      </c>
      <c r="M2198">
        <v>15439440</v>
      </c>
    </row>
    <row r="2199" spans="1:13" x14ac:dyDescent="0.3">
      <c r="A2199" s="23">
        <v>45769</v>
      </c>
      <c r="B2199" t="s">
        <v>12</v>
      </c>
      <c r="C2199" t="s">
        <v>132</v>
      </c>
      <c r="D2199" t="s">
        <v>17</v>
      </c>
      <c r="E2199" t="s">
        <v>180</v>
      </c>
      <c r="F2199">
        <v>20644762.649999999</v>
      </c>
      <c r="G2199" t="s">
        <v>181</v>
      </c>
      <c r="H2199" t="s">
        <v>81</v>
      </c>
      <c r="I2199" t="s">
        <v>9</v>
      </c>
      <c r="L2199" t="s">
        <v>161</v>
      </c>
      <c r="M2199">
        <v>-20644762.649999999</v>
      </c>
    </row>
    <row r="2200" spans="1:13" x14ac:dyDescent="0.3">
      <c r="A2200" s="23">
        <v>45734</v>
      </c>
      <c r="B2200" t="s">
        <v>12</v>
      </c>
      <c r="C2200" t="s">
        <v>132</v>
      </c>
      <c r="D2200" t="s">
        <v>17</v>
      </c>
      <c r="E2200" t="s">
        <v>180</v>
      </c>
      <c r="F2200">
        <v>185521886.25999999</v>
      </c>
      <c r="G2200" t="s">
        <v>181</v>
      </c>
      <c r="H2200" t="s">
        <v>81</v>
      </c>
      <c r="I2200" t="s">
        <v>9</v>
      </c>
      <c r="L2200" t="s">
        <v>161</v>
      </c>
      <c r="M2200">
        <v>-185521886.25999999</v>
      </c>
    </row>
    <row r="2201" spans="1:13" x14ac:dyDescent="0.3">
      <c r="A2201" s="23">
        <v>45714</v>
      </c>
      <c r="B2201" t="s">
        <v>12</v>
      </c>
      <c r="C2201" t="s">
        <v>132</v>
      </c>
      <c r="D2201" t="s">
        <v>17</v>
      </c>
      <c r="E2201" t="s">
        <v>180</v>
      </c>
      <c r="F2201">
        <v>167577244.88999999</v>
      </c>
      <c r="G2201" t="s">
        <v>181</v>
      </c>
      <c r="H2201" t="s">
        <v>81</v>
      </c>
      <c r="I2201" t="s">
        <v>9</v>
      </c>
      <c r="L2201" t="s">
        <v>161</v>
      </c>
      <c r="M2201">
        <v>-167577244.88999999</v>
      </c>
    </row>
    <row r="2202" spans="1:13" x14ac:dyDescent="0.3">
      <c r="A2202" s="23">
        <v>45714</v>
      </c>
      <c r="B2202" t="s">
        <v>12</v>
      </c>
      <c r="C2202" t="s">
        <v>132</v>
      </c>
      <c r="D2202" t="s">
        <v>17</v>
      </c>
      <c r="E2202" t="s">
        <v>180</v>
      </c>
      <c r="F2202">
        <v>71549386.680000007</v>
      </c>
      <c r="G2202" t="s">
        <v>181</v>
      </c>
      <c r="H2202" t="s">
        <v>81</v>
      </c>
      <c r="I2202" t="s">
        <v>9</v>
      </c>
      <c r="L2202" t="s">
        <v>161</v>
      </c>
      <c r="M2202">
        <v>-71549386.680000007</v>
      </c>
    </row>
    <row r="2203" spans="1:13" x14ac:dyDescent="0.3">
      <c r="A2203" s="23">
        <v>45701</v>
      </c>
      <c r="B2203" t="s">
        <v>12</v>
      </c>
      <c r="C2203" t="s">
        <v>132</v>
      </c>
      <c r="D2203" t="s">
        <v>16</v>
      </c>
      <c r="E2203" t="s">
        <v>180</v>
      </c>
      <c r="F2203">
        <v>500000000</v>
      </c>
      <c r="G2203" t="s">
        <v>181</v>
      </c>
      <c r="H2203" t="s">
        <v>81</v>
      </c>
      <c r="I2203" t="s">
        <v>9</v>
      </c>
      <c r="L2203" t="s">
        <v>161</v>
      </c>
      <c r="M2203">
        <v>500000000</v>
      </c>
    </row>
    <row r="2204" spans="1:13" x14ac:dyDescent="0.3">
      <c r="A2204" s="23">
        <v>45695</v>
      </c>
      <c r="B2204" t="s">
        <v>12</v>
      </c>
      <c r="C2204" t="s">
        <v>132</v>
      </c>
      <c r="D2204" t="s">
        <v>16</v>
      </c>
      <c r="E2204" t="s">
        <v>180</v>
      </c>
      <c r="F2204">
        <v>2970000</v>
      </c>
      <c r="G2204" t="s">
        <v>181</v>
      </c>
      <c r="H2204" t="s">
        <v>81</v>
      </c>
      <c r="I2204" t="s">
        <v>9</v>
      </c>
      <c r="L2204" t="s">
        <v>161</v>
      </c>
      <c r="M2204">
        <v>2970000</v>
      </c>
    </row>
    <row r="2205" spans="1:13" x14ac:dyDescent="0.3">
      <c r="A2205" s="23">
        <v>45681</v>
      </c>
      <c r="B2205" t="s">
        <v>12</v>
      </c>
      <c r="C2205" t="s">
        <v>132</v>
      </c>
      <c r="D2205" t="s">
        <v>17</v>
      </c>
      <c r="E2205" t="s">
        <v>180</v>
      </c>
      <c r="F2205">
        <v>50000000</v>
      </c>
      <c r="G2205" t="s">
        <v>181</v>
      </c>
      <c r="H2205" t="s">
        <v>81</v>
      </c>
      <c r="I2205" t="s">
        <v>9</v>
      </c>
      <c r="L2205" t="s">
        <v>161</v>
      </c>
      <c r="M2205">
        <v>-50000000</v>
      </c>
    </row>
    <row r="2206" spans="1:13" x14ac:dyDescent="0.3">
      <c r="A2206" s="23">
        <v>45680</v>
      </c>
      <c r="B2206" t="s">
        <v>12</v>
      </c>
      <c r="C2206" t="s">
        <v>132</v>
      </c>
      <c r="D2206" t="s">
        <v>17</v>
      </c>
      <c r="E2206" t="s">
        <v>180</v>
      </c>
      <c r="F2206">
        <v>153091289.38</v>
      </c>
      <c r="G2206" t="s">
        <v>181</v>
      </c>
      <c r="H2206" t="s">
        <v>81</v>
      </c>
      <c r="I2206" t="s">
        <v>9</v>
      </c>
      <c r="L2206" t="s">
        <v>161</v>
      </c>
      <c r="M2206">
        <v>-153091289.38</v>
      </c>
    </row>
    <row r="2207" spans="1:13" x14ac:dyDescent="0.3">
      <c r="A2207" s="23">
        <v>45680</v>
      </c>
      <c r="B2207" t="s">
        <v>12</v>
      </c>
      <c r="C2207" t="s">
        <v>132</v>
      </c>
      <c r="D2207" t="s">
        <v>17</v>
      </c>
      <c r="E2207" t="s">
        <v>180</v>
      </c>
      <c r="F2207">
        <v>106202534.02</v>
      </c>
      <c r="G2207" t="s">
        <v>181</v>
      </c>
      <c r="H2207" t="s">
        <v>81</v>
      </c>
      <c r="I2207" t="s">
        <v>9</v>
      </c>
      <c r="L2207" t="s">
        <v>161</v>
      </c>
      <c r="M2207">
        <v>-106202534.02</v>
      </c>
    </row>
    <row r="2208" spans="1:13" x14ac:dyDescent="0.3">
      <c r="A2208" s="23">
        <v>45677</v>
      </c>
      <c r="B2208" t="s">
        <v>12</v>
      </c>
      <c r="C2208" t="s">
        <v>132</v>
      </c>
      <c r="D2208" t="s">
        <v>16</v>
      </c>
      <c r="E2208" t="s">
        <v>180</v>
      </c>
      <c r="F2208">
        <v>350000000</v>
      </c>
      <c r="G2208" t="s">
        <v>181</v>
      </c>
      <c r="H2208" t="s">
        <v>81</v>
      </c>
      <c r="I2208" t="s">
        <v>9</v>
      </c>
      <c r="L2208" t="s">
        <v>161</v>
      </c>
      <c r="M2208">
        <v>350000000</v>
      </c>
    </row>
    <row r="2209" spans="1:13" x14ac:dyDescent="0.3">
      <c r="A2209" s="23">
        <v>45652</v>
      </c>
      <c r="B2209" t="s">
        <v>12</v>
      </c>
      <c r="C2209" t="s">
        <v>132</v>
      </c>
      <c r="D2209" t="s">
        <v>17</v>
      </c>
      <c r="E2209" t="s">
        <v>180</v>
      </c>
      <c r="F2209">
        <v>41933114.770000003</v>
      </c>
      <c r="G2209" t="s">
        <v>181</v>
      </c>
      <c r="H2209" t="s">
        <v>81</v>
      </c>
      <c r="I2209" t="s">
        <v>9</v>
      </c>
      <c r="L2209" t="s">
        <v>161</v>
      </c>
      <c r="M2209">
        <v>-41933114.770000003</v>
      </c>
    </row>
    <row r="2210" spans="1:13" x14ac:dyDescent="0.3">
      <c r="A2210" s="23">
        <v>45630</v>
      </c>
      <c r="B2210" t="s">
        <v>12</v>
      </c>
      <c r="C2210" t="s">
        <v>132</v>
      </c>
      <c r="D2210" t="s">
        <v>16</v>
      </c>
      <c r="E2210" t="s">
        <v>180</v>
      </c>
      <c r="F2210">
        <v>1084288</v>
      </c>
      <c r="G2210" t="s">
        <v>181</v>
      </c>
      <c r="H2210" t="s">
        <v>81</v>
      </c>
      <c r="I2210" t="s">
        <v>9</v>
      </c>
      <c r="L2210" t="s">
        <v>161</v>
      </c>
      <c r="M2210">
        <v>1084288</v>
      </c>
    </row>
    <row r="2211" spans="1:13" x14ac:dyDescent="0.3">
      <c r="A2211" s="23">
        <v>45607</v>
      </c>
      <c r="B2211" t="s">
        <v>12</v>
      </c>
      <c r="C2211" t="s">
        <v>132</v>
      </c>
      <c r="D2211" t="s">
        <v>16</v>
      </c>
      <c r="E2211" t="s">
        <v>180</v>
      </c>
      <c r="F2211">
        <v>6435608</v>
      </c>
      <c r="G2211" t="s">
        <v>181</v>
      </c>
      <c r="H2211" t="s">
        <v>81</v>
      </c>
      <c r="I2211" t="s">
        <v>9</v>
      </c>
      <c r="L2211" t="s">
        <v>161</v>
      </c>
      <c r="M2211">
        <v>6435608</v>
      </c>
    </row>
    <row r="2212" spans="1:13" x14ac:dyDescent="0.3">
      <c r="A2212" s="23">
        <v>45583</v>
      </c>
      <c r="B2212" t="s">
        <v>12</v>
      </c>
      <c r="C2212" t="s">
        <v>132</v>
      </c>
      <c r="D2212" t="s">
        <v>17</v>
      </c>
      <c r="E2212" t="s">
        <v>180</v>
      </c>
      <c r="F2212">
        <v>76768850.730000004</v>
      </c>
      <c r="G2212" t="s">
        <v>181</v>
      </c>
      <c r="H2212" t="s">
        <v>81</v>
      </c>
      <c r="I2212" t="s">
        <v>9</v>
      </c>
      <c r="L2212" t="s">
        <v>161</v>
      </c>
      <c r="M2212">
        <v>-76768850.730000004</v>
      </c>
    </row>
    <row r="2213" spans="1:13" x14ac:dyDescent="0.3">
      <c r="A2213" s="23">
        <v>45583</v>
      </c>
      <c r="B2213" t="s">
        <v>12</v>
      </c>
      <c r="C2213" t="s">
        <v>132</v>
      </c>
      <c r="D2213" t="s">
        <v>17</v>
      </c>
      <c r="E2213" t="s">
        <v>180</v>
      </c>
      <c r="F2213">
        <v>161204912.5</v>
      </c>
      <c r="G2213" t="s">
        <v>181</v>
      </c>
      <c r="H2213" t="s">
        <v>81</v>
      </c>
      <c r="I2213" t="s">
        <v>9</v>
      </c>
      <c r="L2213" t="s">
        <v>161</v>
      </c>
      <c r="M2213">
        <v>-161204912.5</v>
      </c>
    </row>
    <row r="2214" spans="1:13" x14ac:dyDescent="0.3">
      <c r="A2214" s="23">
        <v>45568</v>
      </c>
      <c r="B2214" t="s">
        <v>12</v>
      </c>
      <c r="C2214" t="s">
        <v>132</v>
      </c>
      <c r="D2214" t="s">
        <v>17</v>
      </c>
      <c r="E2214" t="s">
        <v>180</v>
      </c>
      <c r="F2214">
        <v>54898297.82</v>
      </c>
      <c r="G2214" t="s">
        <v>181</v>
      </c>
      <c r="H2214" t="s">
        <v>81</v>
      </c>
      <c r="I2214" t="s">
        <v>9</v>
      </c>
      <c r="L2214" t="s">
        <v>161</v>
      </c>
      <c r="M2214">
        <v>-54898297.82</v>
      </c>
    </row>
    <row r="2215" spans="1:13" x14ac:dyDescent="0.3">
      <c r="A2215" s="23">
        <v>45567</v>
      </c>
      <c r="B2215" t="s">
        <v>12</v>
      </c>
      <c r="C2215" t="s">
        <v>132</v>
      </c>
      <c r="D2215" t="s">
        <v>16</v>
      </c>
      <c r="E2215" t="s">
        <v>180</v>
      </c>
      <c r="F2215">
        <v>300000000</v>
      </c>
      <c r="G2215" t="s">
        <v>181</v>
      </c>
      <c r="H2215" t="s">
        <v>81</v>
      </c>
      <c r="I2215" t="s">
        <v>9</v>
      </c>
      <c r="L2215" t="s">
        <v>161</v>
      </c>
      <c r="M2215">
        <v>300000000</v>
      </c>
    </row>
    <row r="2216" spans="1:13" x14ac:dyDescent="0.3">
      <c r="A2216" s="23">
        <v>45565</v>
      </c>
      <c r="B2216" t="s">
        <v>12</v>
      </c>
      <c r="C2216" t="s">
        <v>132</v>
      </c>
      <c r="D2216" t="s">
        <v>16</v>
      </c>
      <c r="E2216" t="s">
        <v>180</v>
      </c>
      <c r="F2216">
        <v>900000</v>
      </c>
      <c r="G2216" t="s">
        <v>181</v>
      </c>
      <c r="H2216" t="s">
        <v>81</v>
      </c>
      <c r="I2216" t="s">
        <v>9</v>
      </c>
      <c r="L2216" t="s">
        <v>161</v>
      </c>
      <c r="M2216">
        <v>900000</v>
      </c>
    </row>
    <row r="2217" spans="1:13" x14ac:dyDescent="0.3">
      <c r="A2217" s="23">
        <v>45561</v>
      </c>
      <c r="B2217" t="s">
        <v>12</v>
      </c>
      <c r="C2217" t="s">
        <v>132</v>
      </c>
      <c r="D2217" t="s">
        <v>17</v>
      </c>
      <c r="E2217" t="s">
        <v>180</v>
      </c>
      <c r="F2217">
        <v>164317464</v>
      </c>
      <c r="G2217" t="s">
        <v>181</v>
      </c>
      <c r="H2217" t="s">
        <v>81</v>
      </c>
      <c r="I2217" t="s">
        <v>9</v>
      </c>
      <c r="L2217" t="s">
        <v>161</v>
      </c>
      <c r="M2217">
        <v>-164317464</v>
      </c>
    </row>
    <row r="2218" spans="1:13" x14ac:dyDescent="0.3">
      <c r="A2218" s="23">
        <v>45561</v>
      </c>
      <c r="B2218" t="s">
        <v>12</v>
      </c>
      <c r="C2218" t="s">
        <v>132</v>
      </c>
      <c r="D2218" t="s">
        <v>17</v>
      </c>
      <c r="E2218" t="s">
        <v>180</v>
      </c>
      <c r="F2218">
        <v>100000000</v>
      </c>
      <c r="G2218" t="s">
        <v>181</v>
      </c>
      <c r="H2218" t="s">
        <v>81</v>
      </c>
      <c r="I2218" t="s">
        <v>9</v>
      </c>
      <c r="L2218" t="s">
        <v>161</v>
      </c>
      <c r="M2218">
        <v>-100000000</v>
      </c>
    </row>
    <row r="2219" spans="1:13" x14ac:dyDescent="0.3">
      <c r="A2219" s="23">
        <v>45560</v>
      </c>
      <c r="B2219" t="s">
        <v>12</v>
      </c>
      <c r="C2219" t="s">
        <v>132</v>
      </c>
      <c r="D2219" t="s">
        <v>16</v>
      </c>
      <c r="E2219" t="s">
        <v>180</v>
      </c>
      <c r="F2219">
        <v>300000000</v>
      </c>
      <c r="G2219" t="s">
        <v>181</v>
      </c>
      <c r="H2219" t="s">
        <v>81</v>
      </c>
      <c r="I2219" t="s">
        <v>9</v>
      </c>
      <c r="L2219" t="s">
        <v>161</v>
      </c>
      <c r="M2219">
        <v>300000000</v>
      </c>
    </row>
    <row r="2220" spans="1:13" x14ac:dyDescent="0.3">
      <c r="A2220" s="23">
        <v>45544</v>
      </c>
      <c r="B2220" t="s">
        <v>12</v>
      </c>
      <c r="C2220" t="s">
        <v>132</v>
      </c>
      <c r="D2220" t="s">
        <v>17</v>
      </c>
      <c r="E2220" t="s">
        <v>180</v>
      </c>
      <c r="F2220">
        <v>93861964.099999994</v>
      </c>
      <c r="G2220" t="s">
        <v>181</v>
      </c>
      <c r="H2220" t="s">
        <v>81</v>
      </c>
      <c r="I2220" t="s">
        <v>9</v>
      </c>
      <c r="L2220" t="s">
        <v>161</v>
      </c>
      <c r="M2220">
        <v>-93861964.099999994</v>
      </c>
    </row>
    <row r="2221" spans="1:13" x14ac:dyDescent="0.3">
      <c r="A2221" s="23">
        <v>45538</v>
      </c>
      <c r="B2221" t="s">
        <v>12</v>
      </c>
      <c r="C2221" t="s">
        <v>132</v>
      </c>
      <c r="D2221" t="s">
        <v>16</v>
      </c>
      <c r="E2221" t="s">
        <v>180</v>
      </c>
      <c r="F2221">
        <v>5470000</v>
      </c>
      <c r="G2221" t="s">
        <v>181</v>
      </c>
      <c r="H2221" t="s">
        <v>81</v>
      </c>
      <c r="I2221" t="s">
        <v>9</v>
      </c>
      <c r="L2221" t="s">
        <v>161</v>
      </c>
      <c r="M2221">
        <v>5470000</v>
      </c>
    </row>
    <row r="2222" spans="1:13" x14ac:dyDescent="0.3">
      <c r="A2222" s="23">
        <v>45537</v>
      </c>
      <c r="B2222" t="s">
        <v>12</v>
      </c>
      <c r="C2222" t="s">
        <v>132</v>
      </c>
      <c r="D2222" t="s">
        <v>17</v>
      </c>
      <c r="E2222" t="s">
        <v>180</v>
      </c>
      <c r="F2222">
        <v>412000000</v>
      </c>
      <c r="G2222" t="s">
        <v>181</v>
      </c>
      <c r="H2222" t="s">
        <v>81</v>
      </c>
      <c r="I2222" t="s">
        <v>9</v>
      </c>
      <c r="L2222" t="s">
        <v>161</v>
      </c>
      <c r="M2222">
        <v>-412000000</v>
      </c>
    </row>
    <row r="2223" spans="1:13" x14ac:dyDescent="0.3">
      <c r="A2223" s="23">
        <v>45532</v>
      </c>
      <c r="B2223" t="s">
        <v>12</v>
      </c>
      <c r="C2223" t="s">
        <v>132</v>
      </c>
      <c r="D2223" t="s">
        <v>16</v>
      </c>
      <c r="E2223" t="s">
        <v>180</v>
      </c>
      <c r="F2223">
        <v>400000000</v>
      </c>
      <c r="G2223" t="s">
        <v>181</v>
      </c>
      <c r="H2223" t="s">
        <v>81</v>
      </c>
      <c r="I2223" t="s">
        <v>9</v>
      </c>
      <c r="L2223" t="s">
        <v>161</v>
      </c>
      <c r="M2223">
        <v>400000000</v>
      </c>
    </row>
    <row r="2224" spans="1:13" x14ac:dyDescent="0.3">
      <c r="A2224" s="23">
        <v>45504</v>
      </c>
      <c r="B2224" t="s">
        <v>12</v>
      </c>
      <c r="C2224" t="s">
        <v>132</v>
      </c>
      <c r="D2224" t="s">
        <v>16</v>
      </c>
      <c r="E2224" t="s">
        <v>180</v>
      </c>
      <c r="F2224">
        <v>16149000</v>
      </c>
      <c r="G2224" t="s">
        <v>181</v>
      </c>
      <c r="H2224" t="s">
        <v>81</v>
      </c>
      <c r="I2224" t="s">
        <v>9</v>
      </c>
      <c r="L2224" t="s">
        <v>161</v>
      </c>
      <c r="M2224">
        <v>16149000</v>
      </c>
    </row>
    <row r="2225" spans="1:13" x14ac:dyDescent="0.3">
      <c r="A2225" s="23">
        <v>45498</v>
      </c>
      <c r="B2225" t="s">
        <v>12</v>
      </c>
      <c r="C2225" t="s">
        <v>132</v>
      </c>
      <c r="D2225" t="s">
        <v>17</v>
      </c>
      <c r="E2225" t="s">
        <v>180</v>
      </c>
      <c r="F2225">
        <v>45636986</v>
      </c>
      <c r="G2225" t="s">
        <v>181</v>
      </c>
      <c r="H2225" t="s">
        <v>81</v>
      </c>
      <c r="I2225" t="s">
        <v>9</v>
      </c>
      <c r="L2225" t="s">
        <v>161</v>
      </c>
      <c r="M2225">
        <v>-45636986</v>
      </c>
    </row>
    <row r="2226" spans="1:13" x14ac:dyDescent="0.3">
      <c r="A2226" s="23">
        <v>45495</v>
      </c>
      <c r="B2226" t="s">
        <v>12</v>
      </c>
      <c r="C2226" t="s">
        <v>132</v>
      </c>
      <c r="D2226" t="s">
        <v>17</v>
      </c>
      <c r="E2226" t="s">
        <v>180</v>
      </c>
      <c r="F2226">
        <v>86325393</v>
      </c>
      <c r="G2226" t="s">
        <v>181</v>
      </c>
      <c r="H2226" t="s">
        <v>81</v>
      </c>
      <c r="I2226" t="s">
        <v>9</v>
      </c>
      <c r="L2226" t="s">
        <v>161</v>
      </c>
      <c r="M2226">
        <v>-86325393</v>
      </c>
    </row>
    <row r="2227" spans="1:13" x14ac:dyDescent="0.3">
      <c r="A2227" s="23">
        <v>45488</v>
      </c>
      <c r="B2227" t="s">
        <v>12</v>
      </c>
      <c r="C2227" t="s">
        <v>132</v>
      </c>
      <c r="D2227" t="s">
        <v>17</v>
      </c>
      <c r="E2227" t="s">
        <v>180</v>
      </c>
      <c r="F2227">
        <v>205780460</v>
      </c>
      <c r="G2227" t="s">
        <v>181</v>
      </c>
      <c r="H2227" t="s">
        <v>81</v>
      </c>
      <c r="I2227" t="s">
        <v>9</v>
      </c>
      <c r="L2227" t="s">
        <v>161</v>
      </c>
      <c r="M2227">
        <v>-205780460</v>
      </c>
    </row>
    <row r="2228" spans="1:13" x14ac:dyDescent="0.3">
      <c r="A2228" s="23">
        <v>45484</v>
      </c>
      <c r="B2228" t="s">
        <v>12</v>
      </c>
      <c r="C2228" t="s">
        <v>132</v>
      </c>
      <c r="D2228" t="s">
        <v>17</v>
      </c>
      <c r="E2228" t="s">
        <v>180</v>
      </c>
      <c r="F2228">
        <v>2700917840</v>
      </c>
      <c r="G2228" t="s">
        <v>181</v>
      </c>
      <c r="H2228" t="s">
        <v>81</v>
      </c>
      <c r="I2228" t="s">
        <v>9</v>
      </c>
      <c r="L2228" t="s">
        <v>161</v>
      </c>
      <c r="M2228">
        <v>-2700917840</v>
      </c>
    </row>
    <row r="2229" spans="1:13" x14ac:dyDescent="0.3">
      <c r="A2229" s="23">
        <v>45484</v>
      </c>
      <c r="B2229" t="s">
        <v>12</v>
      </c>
      <c r="C2229" t="s">
        <v>132</v>
      </c>
      <c r="D2229" t="s">
        <v>17</v>
      </c>
      <c r="E2229" t="s">
        <v>180</v>
      </c>
      <c r="F2229">
        <v>280899312</v>
      </c>
      <c r="G2229" t="s">
        <v>181</v>
      </c>
      <c r="H2229" t="s">
        <v>81</v>
      </c>
      <c r="I2229" t="s">
        <v>9</v>
      </c>
      <c r="L2229" t="s">
        <v>161</v>
      </c>
      <c r="M2229">
        <v>-280899312</v>
      </c>
    </row>
    <row r="2230" spans="1:13" x14ac:dyDescent="0.3">
      <c r="A2230" s="23">
        <v>45483</v>
      </c>
      <c r="B2230" t="s">
        <v>12</v>
      </c>
      <c r="C2230" t="s">
        <v>132</v>
      </c>
      <c r="D2230" t="s">
        <v>16</v>
      </c>
      <c r="E2230" t="s">
        <v>180</v>
      </c>
      <c r="F2230">
        <v>400000000</v>
      </c>
      <c r="G2230" t="s">
        <v>181</v>
      </c>
      <c r="H2230" t="s">
        <v>81</v>
      </c>
      <c r="I2230" t="s">
        <v>9</v>
      </c>
      <c r="L2230" t="s">
        <v>161</v>
      </c>
      <c r="M2230">
        <v>400000000</v>
      </c>
    </row>
    <row r="2231" spans="1:13" x14ac:dyDescent="0.3">
      <c r="A2231" s="23">
        <v>45481</v>
      </c>
      <c r="B2231" t="s">
        <v>12</v>
      </c>
      <c r="C2231" t="s">
        <v>132</v>
      </c>
      <c r="D2231" t="s">
        <v>16</v>
      </c>
      <c r="E2231" t="s">
        <v>180</v>
      </c>
      <c r="F2231">
        <v>3000000000</v>
      </c>
      <c r="G2231" t="s">
        <v>181</v>
      </c>
      <c r="H2231" t="s">
        <v>81</v>
      </c>
      <c r="I2231" t="s">
        <v>9</v>
      </c>
      <c r="L2231" t="s">
        <v>161</v>
      </c>
      <c r="M2231">
        <v>3000000000</v>
      </c>
    </row>
    <row r="2232" spans="1:13" x14ac:dyDescent="0.3">
      <c r="A2232" s="23">
        <v>45461</v>
      </c>
      <c r="B2232" t="s">
        <v>12</v>
      </c>
      <c r="C2232" t="s">
        <v>132</v>
      </c>
      <c r="D2232" t="s">
        <v>17</v>
      </c>
      <c r="E2232" t="s">
        <v>180</v>
      </c>
      <c r="F2232">
        <v>225191890</v>
      </c>
      <c r="G2232" t="s">
        <v>181</v>
      </c>
      <c r="H2232" t="s">
        <v>81</v>
      </c>
      <c r="I2232" t="s">
        <v>9</v>
      </c>
      <c r="L2232" t="s">
        <v>161</v>
      </c>
      <c r="M2232">
        <v>-225191890</v>
      </c>
    </row>
    <row r="2233" spans="1:13" x14ac:dyDescent="0.3">
      <c r="A2233" s="23">
        <v>45460</v>
      </c>
      <c r="B2233" t="s">
        <v>12</v>
      </c>
      <c r="C2233" t="s">
        <v>132</v>
      </c>
      <c r="D2233" t="s">
        <v>16</v>
      </c>
      <c r="E2233" t="s">
        <v>180</v>
      </c>
      <c r="F2233">
        <v>10220000</v>
      </c>
      <c r="G2233" t="s">
        <v>181</v>
      </c>
      <c r="H2233" t="s">
        <v>81</v>
      </c>
      <c r="I2233" t="s">
        <v>9</v>
      </c>
      <c r="L2233" t="s">
        <v>161</v>
      </c>
      <c r="M2233">
        <v>10220000</v>
      </c>
    </row>
    <row r="2234" spans="1:13" x14ac:dyDescent="0.3">
      <c r="A2234" s="23">
        <v>45457</v>
      </c>
      <c r="B2234" t="s">
        <v>12</v>
      </c>
      <c r="C2234" t="s">
        <v>132</v>
      </c>
      <c r="D2234" t="s">
        <v>17</v>
      </c>
      <c r="E2234" t="s">
        <v>180</v>
      </c>
      <c r="F2234">
        <v>560000000</v>
      </c>
      <c r="G2234" t="s">
        <v>181</v>
      </c>
      <c r="H2234" t="s">
        <v>81</v>
      </c>
      <c r="I2234" t="s">
        <v>9</v>
      </c>
      <c r="L2234" t="s">
        <v>161</v>
      </c>
      <c r="M2234">
        <v>-560000000</v>
      </c>
    </row>
    <row r="2235" spans="1:13" x14ac:dyDescent="0.3">
      <c r="A2235" s="23">
        <v>45456</v>
      </c>
      <c r="B2235" t="s">
        <v>12</v>
      </c>
      <c r="C2235" t="s">
        <v>132</v>
      </c>
      <c r="D2235" t="s">
        <v>16</v>
      </c>
      <c r="E2235" t="s">
        <v>180</v>
      </c>
      <c r="F2235">
        <v>500000000</v>
      </c>
      <c r="G2235" t="s">
        <v>181</v>
      </c>
      <c r="H2235" t="s">
        <v>81</v>
      </c>
      <c r="I2235" t="s">
        <v>9</v>
      </c>
      <c r="L2235" t="s">
        <v>161</v>
      </c>
      <c r="M2235">
        <v>500000000</v>
      </c>
    </row>
    <row r="2236" spans="1:13" x14ac:dyDescent="0.3">
      <c r="A2236" s="23">
        <v>45442</v>
      </c>
      <c r="B2236" t="s">
        <v>12</v>
      </c>
      <c r="C2236" t="s">
        <v>132</v>
      </c>
      <c r="D2236" t="s">
        <v>16</v>
      </c>
      <c r="E2236" t="s">
        <v>180</v>
      </c>
      <c r="F2236">
        <v>70444400</v>
      </c>
      <c r="G2236" t="s">
        <v>181</v>
      </c>
      <c r="H2236" t="s">
        <v>81</v>
      </c>
      <c r="I2236" t="s">
        <v>9</v>
      </c>
      <c r="L2236" t="s">
        <v>161</v>
      </c>
      <c r="M2236">
        <v>70444400</v>
      </c>
    </row>
    <row r="2237" spans="1:13" x14ac:dyDescent="0.3">
      <c r="A2237" s="23">
        <v>45426</v>
      </c>
      <c r="B2237" t="s">
        <v>12</v>
      </c>
      <c r="C2237" t="s">
        <v>132</v>
      </c>
      <c r="D2237" t="s">
        <v>17</v>
      </c>
      <c r="E2237" t="s">
        <v>180</v>
      </c>
      <c r="F2237">
        <v>103603698</v>
      </c>
      <c r="G2237" t="s">
        <v>181</v>
      </c>
      <c r="H2237" t="s">
        <v>81</v>
      </c>
      <c r="I2237" t="s">
        <v>9</v>
      </c>
      <c r="L2237" t="s">
        <v>161</v>
      </c>
      <c r="M2237">
        <v>-103603698</v>
      </c>
    </row>
    <row r="2238" spans="1:13" x14ac:dyDescent="0.3">
      <c r="A2238" s="23">
        <v>45426</v>
      </c>
      <c r="B2238" t="s">
        <v>12</v>
      </c>
      <c r="C2238" t="s">
        <v>132</v>
      </c>
      <c r="D2238" t="s">
        <v>17</v>
      </c>
      <c r="E2238" t="s">
        <v>180</v>
      </c>
      <c r="F2238">
        <v>107716739</v>
      </c>
      <c r="G2238" t="s">
        <v>181</v>
      </c>
      <c r="H2238" t="s">
        <v>81</v>
      </c>
      <c r="I2238" t="s">
        <v>9</v>
      </c>
      <c r="L2238" t="s">
        <v>161</v>
      </c>
      <c r="M2238">
        <v>-107716739</v>
      </c>
    </row>
    <row r="2239" spans="1:13" x14ac:dyDescent="0.3">
      <c r="A2239" s="23">
        <v>45425</v>
      </c>
      <c r="B2239" t="s">
        <v>12</v>
      </c>
      <c r="C2239" t="s">
        <v>132</v>
      </c>
      <c r="D2239" t="s">
        <v>16</v>
      </c>
      <c r="E2239" t="s">
        <v>180</v>
      </c>
      <c r="F2239">
        <v>18173000</v>
      </c>
      <c r="G2239" t="s">
        <v>181</v>
      </c>
      <c r="H2239" t="s">
        <v>81</v>
      </c>
      <c r="I2239" t="s">
        <v>9</v>
      </c>
      <c r="L2239" t="s">
        <v>161</v>
      </c>
      <c r="M2239">
        <v>18173000</v>
      </c>
    </row>
    <row r="2240" spans="1:13" x14ac:dyDescent="0.3">
      <c r="A2240" s="23">
        <v>45422</v>
      </c>
      <c r="B2240" t="s">
        <v>12</v>
      </c>
      <c r="C2240" t="s">
        <v>132</v>
      </c>
      <c r="D2240" t="s">
        <v>17</v>
      </c>
      <c r="E2240" t="s">
        <v>180</v>
      </c>
      <c r="F2240">
        <v>227239060</v>
      </c>
      <c r="G2240" t="s">
        <v>181</v>
      </c>
      <c r="H2240" t="s">
        <v>81</v>
      </c>
      <c r="I2240" t="s">
        <v>9</v>
      </c>
      <c r="L2240" t="s">
        <v>161</v>
      </c>
      <c r="M2240">
        <v>-227239060</v>
      </c>
    </row>
    <row r="2241" spans="1:13" x14ac:dyDescent="0.3">
      <c r="A2241" s="23">
        <v>45421</v>
      </c>
      <c r="B2241" t="s">
        <v>12</v>
      </c>
      <c r="C2241" t="s">
        <v>132</v>
      </c>
      <c r="D2241" t="s">
        <v>17</v>
      </c>
      <c r="E2241" t="s">
        <v>180</v>
      </c>
      <c r="F2241">
        <v>58572750</v>
      </c>
      <c r="G2241" t="s">
        <v>181</v>
      </c>
      <c r="H2241" t="s">
        <v>81</v>
      </c>
      <c r="I2241" t="s">
        <v>9</v>
      </c>
      <c r="L2241" t="s">
        <v>161</v>
      </c>
      <c r="M2241">
        <v>-58572750</v>
      </c>
    </row>
    <row r="2242" spans="1:13" x14ac:dyDescent="0.3">
      <c r="A2242" s="23">
        <v>45421</v>
      </c>
      <c r="B2242" t="s">
        <v>12</v>
      </c>
      <c r="C2242" t="s">
        <v>132</v>
      </c>
      <c r="D2242" t="s">
        <v>17</v>
      </c>
      <c r="E2242" t="s">
        <v>180</v>
      </c>
      <c r="F2242">
        <v>55428305</v>
      </c>
      <c r="G2242" t="s">
        <v>181</v>
      </c>
      <c r="H2242" t="s">
        <v>81</v>
      </c>
      <c r="I2242" t="s">
        <v>9</v>
      </c>
      <c r="L2242" t="s">
        <v>161</v>
      </c>
      <c r="M2242">
        <v>-55428305</v>
      </c>
    </row>
    <row r="2243" spans="1:13" x14ac:dyDescent="0.3">
      <c r="A2243" s="23">
        <v>45414</v>
      </c>
      <c r="B2243" t="s">
        <v>12</v>
      </c>
      <c r="C2243" t="s">
        <v>132</v>
      </c>
      <c r="D2243" t="s">
        <v>17</v>
      </c>
      <c r="E2243" t="s">
        <v>180</v>
      </c>
      <c r="F2243">
        <v>51102142</v>
      </c>
      <c r="G2243" t="s">
        <v>181</v>
      </c>
      <c r="H2243" t="s">
        <v>81</v>
      </c>
      <c r="I2243" t="s">
        <v>9</v>
      </c>
      <c r="L2243" t="s">
        <v>161</v>
      </c>
      <c r="M2243">
        <v>-51102142</v>
      </c>
    </row>
    <row r="2244" spans="1:13" x14ac:dyDescent="0.3">
      <c r="A2244" s="23">
        <v>45411</v>
      </c>
      <c r="B2244" t="s">
        <v>12</v>
      </c>
      <c r="C2244" t="s">
        <v>132</v>
      </c>
      <c r="D2244" t="s">
        <v>17</v>
      </c>
      <c r="E2244" t="s">
        <v>180</v>
      </c>
      <c r="F2244">
        <v>170463230</v>
      </c>
      <c r="G2244" t="s">
        <v>181</v>
      </c>
      <c r="H2244" t="s">
        <v>81</v>
      </c>
      <c r="I2244" t="s">
        <v>9</v>
      </c>
      <c r="L2244" t="s">
        <v>161</v>
      </c>
      <c r="M2244">
        <v>-170463230</v>
      </c>
    </row>
    <row r="2245" spans="1:13" x14ac:dyDescent="0.3">
      <c r="A2245" s="23">
        <v>45407</v>
      </c>
      <c r="B2245" t="s">
        <v>12</v>
      </c>
      <c r="C2245" t="s">
        <v>132</v>
      </c>
      <c r="D2245" t="s">
        <v>16</v>
      </c>
      <c r="E2245" t="s">
        <v>180</v>
      </c>
      <c r="F2245">
        <v>46850000</v>
      </c>
      <c r="G2245" t="s">
        <v>181</v>
      </c>
      <c r="H2245" t="s">
        <v>81</v>
      </c>
      <c r="I2245" t="s">
        <v>9</v>
      </c>
      <c r="L2245" t="s">
        <v>161</v>
      </c>
      <c r="M2245">
        <v>46850000</v>
      </c>
    </row>
    <row r="2246" spans="1:13" x14ac:dyDescent="0.3">
      <c r="A2246" s="23">
        <v>45406</v>
      </c>
      <c r="B2246" t="s">
        <v>12</v>
      </c>
      <c r="C2246" t="s">
        <v>132</v>
      </c>
      <c r="D2246" t="s">
        <v>17</v>
      </c>
      <c r="E2246" t="s">
        <v>180</v>
      </c>
      <c r="F2246">
        <v>76726596</v>
      </c>
      <c r="G2246" t="s">
        <v>181</v>
      </c>
      <c r="H2246" t="s">
        <v>81</v>
      </c>
      <c r="I2246" t="s">
        <v>9</v>
      </c>
      <c r="L2246" t="s">
        <v>161</v>
      </c>
      <c r="M2246">
        <v>-76726596</v>
      </c>
    </row>
    <row r="2247" spans="1:13" x14ac:dyDescent="0.3">
      <c r="A2247" s="23">
        <v>45400</v>
      </c>
      <c r="B2247" t="s">
        <v>12</v>
      </c>
      <c r="C2247" t="s">
        <v>132</v>
      </c>
      <c r="D2247" t="s">
        <v>17</v>
      </c>
      <c r="E2247" t="s">
        <v>180</v>
      </c>
      <c r="F2247">
        <v>488434690</v>
      </c>
      <c r="G2247" t="s">
        <v>181</v>
      </c>
      <c r="H2247" t="s">
        <v>81</v>
      </c>
      <c r="I2247" t="s">
        <v>9</v>
      </c>
      <c r="L2247" t="s">
        <v>161</v>
      </c>
      <c r="M2247">
        <v>-488434690</v>
      </c>
    </row>
    <row r="2248" spans="1:13" x14ac:dyDescent="0.3">
      <c r="A2248" s="23">
        <v>45390</v>
      </c>
      <c r="B2248" t="s">
        <v>12</v>
      </c>
      <c r="C2248" t="s">
        <v>132</v>
      </c>
      <c r="D2248" t="s">
        <v>16</v>
      </c>
      <c r="E2248" t="s">
        <v>180</v>
      </c>
      <c r="F2248">
        <v>600000000</v>
      </c>
      <c r="G2248" t="s">
        <v>181</v>
      </c>
      <c r="H2248" t="s">
        <v>81</v>
      </c>
      <c r="I2248" t="s">
        <v>9</v>
      </c>
      <c r="L2248" t="s">
        <v>161</v>
      </c>
      <c r="M2248">
        <v>600000000</v>
      </c>
    </row>
    <row r="2249" spans="1:13" x14ac:dyDescent="0.3">
      <c r="A2249" s="23">
        <v>45387</v>
      </c>
      <c r="B2249" t="s">
        <v>12</v>
      </c>
      <c r="C2249" t="s">
        <v>132</v>
      </c>
      <c r="D2249" t="s">
        <v>16</v>
      </c>
      <c r="E2249" t="s">
        <v>180</v>
      </c>
      <c r="F2249">
        <v>800000000</v>
      </c>
      <c r="G2249" t="s">
        <v>181</v>
      </c>
      <c r="H2249" t="s">
        <v>81</v>
      </c>
      <c r="I2249" t="s">
        <v>9</v>
      </c>
      <c r="L2249" t="s">
        <v>161</v>
      </c>
      <c r="M2249">
        <v>800000000</v>
      </c>
    </row>
    <row r="2250" spans="1:13" x14ac:dyDescent="0.3">
      <c r="A2250" s="23">
        <v>45387</v>
      </c>
      <c r="B2250" t="s">
        <v>12</v>
      </c>
      <c r="C2250" t="s">
        <v>132</v>
      </c>
      <c r="D2250" t="s">
        <v>17</v>
      </c>
      <c r="E2250" t="s">
        <v>180</v>
      </c>
      <c r="F2250">
        <v>40683170</v>
      </c>
      <c r="G2250" t="s">
        <v>181</v>
      </c>
      <c r="H2250" t="s">
        <v>81</v>
      </c>
      <c r="I2250" t="s">
        <v>9</v>
      </c>
      <c r="L2250" t="s">
        <v>161</v>
      </c>
      <c r="M2250">
        <v>-40683170</v>
      </c>
    </row>
    <row r="2251" spans="1:13" x14ac:dyDescent="0.3">
      <c r="A2251" s="23">
        <v>45386</v>
      </c>
      <c r="B2251" t="s">
        <v>12</v>
      </c>
      <c r="C2251" t="s">
        <v>132</v>
      </c>
      <c r="D2251" t="s">
        <v>17</v>
      </c>
      <c r="E2251" t="s">
        <v>180</v>
      </c>
      <c r="F2251">
        <v>37636723</v>
      </c>
      <c r="G2251" t="s">
        <v>181</v>
      </c>
      <c r="H2251" t="s">
        <v>81</v>
      </c>
      <c r="I2251" t="s">
        <v>9</v>
      </c>
      <c r="L2251" t="s">
        <v>161</v>
      </c>
      <c r="M2251">
        <v>-37636723</v>
      </c>
    </row>
    <row r="2252" spans="1:13" x14ac:dyDescent="0.3">
      <c r="A2252" s="23">
        <v>45386</v>
      </c>
      <c r="B2252" t="s">
        <v>12</v>
      </c>
      <c r="C2252" t="s">
        <v>132</v>
      </c>
      <c r="D2252" t="s">
        <v>17</v>
      </c>
      <c r="E2252" t="s">
        <v>180</v>
      </c>
      <c r="F2252">
        <v>53872315</v>
      </c>
      <c r="G2252" t="s">
        <v>181</v>
      </c>
      <c r="H2252" t="s">
        <v>81</v>
      </c>
      <c r="I2252" t="s">
        <v>9</v>
      </c>
      <c r="L2252" t="s">
        <v>161</v>
      </c>
      <c r="M2252">
        <v>-53872315</v>
      </c>
    </row>
    <row r="2253" spans="1:13" x14ac:dyDescent="0.3">
      <c r="A2253" s="23">
        <v>45383</v>
      </c>
      <c r="B2253" t="s">
        <v>12</v>
      </c>
      <c r="C2253" t="s">
        <v>132</v>
      </c>
      <c r="D2253" t="s">
        <v>16</v>
      </c>
      <c r="E2253" t="s">
        <v>180</v>
      </c>
      <c r="F2253">
        <v>14800000</v>
      </c>
      <c r="G2253" t="s">
        <v>181</v>
      </c>
      <c r="H2253" t="s">
        <v>81</v>
      </c>
      <c r="I2253" t="s">
        <v>9</v>
      </c>
      <c r="L2253" t="s">
        <v>161</v>
      </c>
      <c r="M2253">
        <v>14800000</v>
      </c>
    </row>
    <row r="2254" spans="1:13" x14ac:dyDescent="0.3">
      <c r="A2254" s="23">
        <v>45378</v>
      </c>
      <c r="B2254" t="s">
        <v>12</v>
      </c>
      <c r="C2254" t="s">
        <v>132</v>
      </c>
      <c r="D2254" t="s">
        <v>17</v>
      </c>
      <c r="E2254" t="s">
        <v>180</v>
      </c>
      <c r="F2254">
        <v>34530649</v>
      </c>
      <c r="G2254" t="s">
        <v>181</v>
      </c>
      <c r="H2254" t="s">
        <v>81</v>
      </c>
      <c r="I2254" t="s">
        <v>9</v>
      </c>
      <c r="L2254" t="s">
        <v>161</v>
      </c>
      <c r="M2254">
        <v>-34530649</v>
      </c>
    </row>
    <row r="2255" spans="1:13" x14ac:dyDescent="0.3">
      <c r="A2255" s="23">
        <v>45378</v>
      </c>
      <c r="B2255" t="s">
        <v>12</v>
      </c>
      <c r="C2255" t="s">
        <v>132</v>
      </c>
      <c r="D2255" t="s">
        <v>17</v>
      </c>
      <c r="E2255" t="s">
        <v>180</v>
      </c>
      <c r="F2255">
        <v>49116904</v>
      </c>
      <c r="G2255" t="s">
        <v>181</v>
      </c>
      <c r="H2255" t="s">
        <v>81</v>
      </c>
      <c r="I2255" t="s">
        <v>9</v>
      </c>
      <c r="L2255" t="s">
        <v>161</v>
      </c>
      <c r="M2255">
        <v>-49116904</v>
      </c>
    </row>
    <row r="2256" spans="1:13" x14ac:dyDescent="0.3">
      <c r="A2256" s="23">
        <v>45372</v>
      </c>
      <c r="B2256" t="s">
        <v>12</v>
      </c>
      <c r="C2256" t="s">
        <v>132</v>
      </c>
      <c r="D2256" t="s">
        <v>17</v>
      </c>
      <c r="E2256" t="s">
        <v>180</v>
      </c>
      <c r="F2256">
        <v>60499683.619999997</v>
      </c>
      <c r="G2256" t="s">
        <v>181</v>
      </c>
      <c r="H2256" t="s">
        <v>81</v>
      </c>
      <c r="I2256" t="s">
        <v>9</v>
      </c>
      <c r="L2256" t="s">
        <v>161</v>
      </c>
      <c r="M2256">
        <v>-60499683.619999997</v>
      </c>
    </row>
    <row r="2257" spans="1:13" x14ac:dyDescent="0.3">
      <c r="A2257" s="23">
        <v>45363</v>
      </c>
      <c r="B2257" t="s">
        <v>12</v>
      </c>
      <c r="C2257" t="s">
        <v>132</v>
      </c>
      <c r="D2257" t="s">
        <v>17</v>
      </c>
      <c r="E2257" t="s">
        <v>180</v>
      </c>
      <c r="F2257">
        <v>62610428.960000001</v>
      </c>
      <c r="G2257" t="s">
        <v>181</v>
      </c>
      <c r="H2257" t="s">
        <v>81</v>
      </c>
      <c r="I2257" t="s">
        <v>9</v>
      </c>
      <c r="L2257" t="s">
        <v>161</v>
      </c>
      <c r="M2257">
        <v>-62610428.960000001</v>
      </c>
    </row>
    <row r="2258" spans="1:13" x14ac:dyDescent="0.3">
      <c r="A2258" s="23">
        <v>45359</v>
      </c>
      <c r="B2258" t="s">
        <v>12</v>
      </c>
      <c r="C2258" t="s">
        <v>132</v>
      </c>
      <c r="D2258" t="s">
        <v>16</v>
      </c>
      <c r="E2258" t="s">
        <v>180</v>
      </c>
      <c r="F2258">
        <v>1080000</v>
      </c>
      <c r="G2258" t="s">
        <v>181</v>
      </c>
      <c r="H2258" t="s">
        <v>81</v>
      </c>
      <c r="I2258" t="s">
        <v>9</v>
      </c>
      <c r="L2258" t="s">
        <v>161</v>
      </c>
      <c r="M2258">
        <v>1080000</v>
      </c>
    </row>
    <row r="2259" spans="1:13" x14ac:dyDescent="0.3">
      <c r="A2259" s="23">
        <v>45358</v>
      </c>
      <c r="B2259" t="s">
        <v>12</v>
      </c>
      <c r="C2259" t="s">
        <v>132</v>
      </c>
      <c r="D2259" t="s">
        <v>16</v>
      </c>
      <c r="E2259" t="s">
        <v>180</v>
      </c>
      <c r="F2259">
        <v>400000000</v>
      </c>
      <c r="G2259" t="s">
        <v>181</v>
      </c>
      <c r="H2259" t="s">
        <v>81</v>
      </c>
      <c r="I2259" t="s">
        <v>9</v>
      </c>
      <c r="L2259" t="s">
        <v>161</v>
      </c>
      <c r="M2259">
        <v>400000000</v>
      </c>
    </row>
    <row r="2260" spans="1:13" x14ac:dyDescent="0.3">
      <c r="A2260" s="23">
        <v>45352</v>
      </c>
      <c r="B2260" t="s">
        <v>12</v>
      </c>
      <c r="C2260" t="s">
        <v>132</v>
      </c>
      <c r="D2260" t="s">
        <v>17</v>
      </c>
      <c r="E2260" t="s">
        <v>180</v>
      </c>
      <c r="F2260">
        <v>25960615.379999999</v>
      </c>
      <c r="G2260" t="s">
        <v>181</v>
      </c>
      <c r="H2260" t="s">
        <v>81</v>
      </c>
      <c r="I2260" t="s">
        <v>9</v>
      </c>
      <c r="L2260" t="s">
        <v>161</v>
      </c>
      <c r="M2260">
        <v>-25960615.379999999</v>
      </c>
    </row>
    <row r="2261" spans="1:13" x14ac:dyDescent="0.3">
      <c r="A2261" s="23">
        <v>45343</v>
      </c>
      <c r="B2261" t="s">
        <v>12</v>
      </c>
      <c r="C2261" t="s">
        <v>132</v>
      </c>
      <c r="D2261" t="s">
        <v>16</v>
      </c>
      <c r="E2261" t="s">
        <v>180</v>
      </c>
      <c r="F2261">
        <v>2342953.34</v>
      </c>
      <c r="G2261" t="s">
        <v>181</v>
      </c>
      <c r="H2261" t="s">
        <v>81</v>
      </c>
      <c r="I2261" t="s">
        <v>9</v>
      </c>
      <c r="L2261" t="s">
        <v>161</v>
      </c>
      <c r="M2261">
        <v>2342953.34</v>
      </c>
    </row>
    <row r="2262" spans="1:13" x14ac:dyDescent="0.3">
      <c r="A2262" s="23">
        <v>45330</v>
      </c>
      <c r="B2262" t="s">
        <v>12</v>
      </c>
      <c r="C2262" t="s">
        <v>132</v>
      </c>
      <c r="D2262" t="s">
        <v>17</v>
      </c>
      <c r="E2262" t="s">
        <v>180</v>
      </c>
      <c r="F2262">
        <v>266042953.34</v>
      </c>
      <c r="G2262" t="s">
        <v>181</v>
      </c>
      <c r="H2262" t="s">
        <v>81</v>
      </c>
      <c r="I2262" t="s">
        <v>9</v>
      </c>
      <c r="L2262" t="s">
        <v>161</v>
      </c>
      <c r="M2262">
        <v>-266042953.34</v>
      </c>
    </row>
    <row r="2263" spans="1:13" x14ac:dyDescent="0.3">
      <c r="A2263" s="23">
        <v>45328</v>
      </c>
      <c r="B2263" t="s">
        <v>12</v>
      </c>
      <c r="C2263" t="s">
        <v>132</v>
      </c>
      <c r="D2263" t="s">
        <v>16</v>
      </c>
      <c r="E2263" t="s">
        <v>180</v>
      </c>
      <c r="F2263">
        <v>300000000</v>
      </c>
      <c r="G2263" t="s">
        <v>181</v>
      </c>
      <c r="H2263" t="s">
        <v>81</v>
      </c>
      <c r="I2263" t="s">
        <v>9</v>
      </c>
      <c r="L2263" t="s">
        <v>161</v>
      </c>
      <c r="M2263">
        <v>300000000</v>
      </c>
    </row>
    <row r="2264" spans="1:13" x14ac:dyDescent="0.3">
      <c r="A2264" s="23">
        <v>45763</v>
      </c>
      <c r="B2264" t="s">
        <v>12</v>
      </c>
      <c r="C2264" t="s">
        <v>132</v>
      </c>
      <c r="D2264" t="s">
        <v>17</v>
      </c>
      <c r="E2264" t="s">
        <v>193</v>
      </c>
      <c r="F2264">
        <v>507974803.60000002</v>
      </c>
      <c r="G2264" t="s">
        <v>131</v>
      </c>
      <c r="H2264" t="s">
        <v>81</v>
      </c>
      <c r="I2264" t="s">
        <v>9</v>
      </c>
      <c r="L2264" t="s">
        <v>161</v>
      </c>
      <c r="M2264">
        <v>-507974803.60000002</v>
      </c>
    </row>
    <row r="2265" spans="1:13" x14ac:dyDescent="0.3">
      <c r="A2265" s="23">
        <v>45755</v>
      </c>
      <c r="B2265" t="s">
        <v>12</v>
      </c>
      <c r="C2265" t="s">
        <v>132</v>
      </c>
      <c r="D2265" t="s">
        <v>17</v>
      </c>
      <c r="E2265" t="s">
        <v>193</v>
      </c>
      <c r="F2265">
        <v>70077392.280000001</v>
      </c>
      <c r="G2265" t="s">
        <v>131</v>
      </c>
      <c r="H2265" t="s">
        <v>81</v>
      </c>
      <c r="I2265" t="s">
        <v>9</v>
      </c>
      <c r="L2265" t="s">
        <v>161</v>
      </c>
      <c r="M2265">
        <v>-70077392.280000001</v>
      </c>
    </row>
    <row r="2266" spans="1:13" x14ac:dyDescent="0.3">
      <c r="A2266" s="23">
        <v>45755</v>
      </c>
      <c r="B2266" t="s">
        <v>12</v>
      </c>
      <c r="C2266" t="s">
        <v>132</v>
      </c>
      <c r="D2266" t="s">
        <v>17</v>
      </c>
      <c r="E2266" t="s">
        <v>193</v>
      </c>
      <c r="F2266">
        <v>75383427.230000004</v>
      </c>
      <c r="G2266" t="s">
        <v>131</v>
      </c>
      <c r="H2266" t="s">
        <v>81</v>
      </c>
      <c r="I2266" t="s">
        <v>9</v>
      </c>
      <c r="L2266" t="s">
        <v>161</v>
      </c>
      <c r="M2266">
        <v>-75383427.230000004</v>
      </c>
    </row>
    <row r="2267" spans="1:13" x14ac:dyDescent="0.3">
      <c r="A2267" s="23">
        <v>45751</v>
      </c>
      <c r="B2267" t="s">
        <v>12</v>
      </c>
      <c r="C2267" t="s">
        <v>132</v>
      </c>
      <c r="D2267" t="s">
        <v>17</v>
      </c>
      <c r="E2267" t="s">
        <v>193</v>
      </c>
      <c r="F2267">
        <v>1014141695.86</v>
      </c>
      <c r="G2267" t="s">
        <v>131</v>
      </c>
      <c r="H2267" t="s">
        <v>81</v>
      </c>
      <c r="I2267" t="s">
        <v>9</v>
      </c>
      <c r="L2267" t="s">
        <v>161</v>
      </c>
      <c r="M2267">
        <v>-1014141695.86</v>
      </c>
    </row>
    <row r="2268" spans="1:13" x14ac:dyDescent="0.3">
      <c r="A2268" s="23">
        <v>45747</v>
      </c>
      <c r="B2268" t="s">
        <v>12</v>
      </c>
      <c r="C2268" t="s">
        <v>132</v>
      </c>
      <c r="D2268" t="s">
        <v>17</v>
      </c>
      <c r="E2268" t="s">
        <v>193</v>
      </c>
      <c r="F2268">
        <v>130493278.34</v>
      </c>
      <c r="G2268" t="s">
        <v>131</v>
      </c>
      <c r="H2268" t="s">
        <v>81</v>
      </c>
      <c r="I2268" t="s">
        <v>9</v>
      </c>
      <c r="L2268" t="s">
        <v>161</v>
      </c>
      <c r="M2268">
        <v>-130493278.34</v>
      </c>
    </row>
    <row r="2269" spans="1:13" x14ac:dyDescent="0.3">
      <c r="A2269" s="23">
        <v>45747</v>
      </c>
      <c r="B2269" t="s">
        <v>12</v>
      </c>
      <c r="C2269" t="s">
        <v>132</v>
      </c>
      <c r="D2269" t="s">
        <v>17</v>
      </c>
      <c r="E2269" t="s">
        <v>193</v>
      </c>
      <c r="F2269">
        <v>100000000</v>
      </c>
      <c r="G2269" t="s">
        <v>131</v>
      </c>
      <c r="H2269" t="s">
        <v>81</v>
      </c>
      <c r="I2269" t="s">
        <v>9</v>
      </c>
      <c r="L2269" t="s">
        <v>161</v>
      </c>
      <c r="M2269">
        <v>-100000000</v>
      </c>
    </row>
    <row r="2270" spans="1:13" x14ac:dyDescent="0.3">
      <c r="A2270" s="23">
        <v>45747</v>
      </c>
      <c r="B2270" t="s">
        <v>12</v>
      </c>
      <c r="C2270" t="s">
        <v>132</v>
      </c>
      <c r="D2270" t="s">
        <v>16</v>
      </c>
      <c r="E2270" t="s">
        <v>193</v>
      </c>
      <c r="F2270">
        <v>251689639</v>
      </c>
      <c r="G2270" t="s">
        <v>131</v>
      </c>
      <c r="H2270" t="s">
        <v>81</v>
      </c>
      <c r="I2270" t="s">
        <v>9</v>
      </c>
      <c r="L2270" t="s">
        <v>161</v>
      </c>
      <c r="M2270">
        <v>251689639</v>
      </c>
    </row>
    <row r="2271" spans="1:13" x14ac:dyDescent="0.3">
      <c r="A2271" s="23">
        <v>45743</v>
      </c>
      <c r="B2271" t="s">
        <v>12</v>
      </c>
      <c r="C2271" t="s">
        <v>132</v>
      </c>
      <c r="D2271" t="s">
        <v>16</v>
      </c>
      <c r="E2271" t="s">
        <v>193</v>
      </c>
      <c r="F2271">
        <v>35412320</v>
      </c>
      <c r="G2271" t="s">
        <v>131</v>
      </c>
      <c r="H2271" t="s">
        <v>81</v>
      </c>
      <c r="I2271" t="s">
        <v>9</v>
      </c>
      <c r="L2271" t="s">
        <v>161</v>
      </c>
      <c r="M2271">
        <v>35412320</v>
      </c>
    </row>
    <row r="2272" spans="1:13" x14ac:dyDescent="0.3">
      <c r="A2272" s="23">
        <v>45743</v>
      </c>
      <c r="B2272" t="s">
        <v>12</v>
      </c>
      <c r="C2272" t="s">
        <v>132</v>
      </c>
      <c r="D2272" t="s">
        <v>17</v>
      </c>
      <c r="E2272" t="s">
        <v>193</v>
      </c>
      <c r="F2272">
        <v>74355523.390000001</v>
      </c>
      <c r="G2272" t="s">
        <v>131</v>
      </c>
      <c r="H2272" t="s">
        <v>81</v>
      </c>
      <c r="I2272" t="s">
        <v>9</v>
      </c>
      <c r="L2272" t="s">
        <v>161</v>
      </c>
      <c r="M2272">
        <v>-74355523.390000001</v>
      </c>
    </row>
    <row r="2273" spans="1:13" x14ac:dyDescent="0.3">
      <c r="A2273" s="23">
        <v>45743</v>
      </c>
      <c r="B2273" t="s">
        <v>12</v>
      </c>
      <c r="C2273" t="s">
        <v>132</v>
      </c>
      <c r="D2273" t="s">
        <v>17</v>
      </c>
      <c r="E2273" t="s">
        <v>193</v>
      </c>
      <c r="F2273">
        <v>44705817.759999998</v>
      </c>
      <c r="G2273" t="s">
        <v>131</v>
      </c>
      <c r="H2273" t="s">
        <v>81</v>
      </c>
      <c r="I2273" t="s">
        <v>9</v>
      </c>
      <c r="L2273" t="s">
        <v>161</v>
      </c>
      <c r="M2273">
        <v>-44705817.759999998</v>
      </c>
    </row>
    <row r="2274" spans="1:13" x14ac:dyDescent="0.3">
      <c r="A2274" s="23">
        <v>45742</v>
      </c>
      <c r="B2274" t="s">
        <v>12</v>
      </c>
      <c r="C2274" t="s">
        <v>132</v>
      </c>
      <c r="D2274" t="s">
        <v>16</v>
      </c>
      <c r="E2274" t="s">
        <v>193</v>
      </c>
      <c r="F2274">
        <v>801249498</v>
      </c>
      <c r="G2274" t="s">
        <v>131</v>
      </c>
      <c r="H2274" t="s">
        <v>81</v>
      </c>
      <c r="I2274" t="s">
        <v>9</v>
      </c>
      <c r="L2274" t="s">
        <v>161</v>
      </c>
      <c r="M2274">
        <v>801249498</v>
      </c>
    </row>
    <row r="2275" spans="1:13" x14ac:dyDescent="0.3">
      <c r="A2275" s="23">
        <v>45737</v>
      </c>
      <c r="B2275" t="s">
        <v>12</v>
      </c>
      <c r="C2275" t="s">
        <v>132</v>
      </c>
      <c r="D2275" t="s">
        <v>16</v>
      </c>
      <c r="E2275" t="s">
        <v>193</v>
      </c>
      <c r="F2275">
        <v>181848908</v>
      </c>
      <c r="G2275" t="s">
        <v>131</v>
      </c>
      <c r="H2275" t="s">
        <v>81</v>
      </c>
      <c r="I2275" t="s">
        <v>9</v>
      </c>
      <c r="L2275" t="s">
        <v>161</v>
      </c>
      <c r="M2275">
        <v>181848908</v>
      </c>
    </row>
    <row r="2276" spans="1:13" x14ac:dyDescent="0.3">
      <c r="A2276" s="23">
        <v>45734</v>
      </c>
      <c r="B2276" t="s">
        <v>12</v>
      </c>
      <c r="C2276" t="s">
        <v>132</v>
      </c>
      <c r="D2276" t="s">
        <v>17</v>
      </c>
      <c r="E2276" t="s">
        <v>193</v>
      </c>
      <c r="F2276">
        <v>138491227.65000001</v>
      </c>
      <c r="G2276" t="s">
        <v>131</v>
      </c>
      <c r="H2276" t="s">
        <v>81</v>
      </c>
      <c r="I2276" t="s">
        <v>9</v>
      </c>
      <c r="L2276" t="s">
        <v>161</v>
      </c>
      <c r="M2276">
        <v>-138491227.65000001</v>
      </c>
    </row>
    <row r="2277" spans="1:13" x14ac:dyDescent="0.3">
      <c r="A2277" s="23">
        <v>45734</v>
      </c>
      <c r="B2277" t="s">
        <v>12</v>
      </c>
      <c r="C2277" t="s">
        <v>132</v>
      </c>
      <c r="D2277" t="s">
        <v>17</v>
      </c>
      <c r="E2277" t="s">
        <v>193</v>
      </c>
      <c r="F2277">
        <v>130000000</v>
      </c>
      <c r="G2277" t="s">
        <v>131</v>
      </c>
      <c r="H2277" t="s">
        <v>81</v>
      </c>
      <c r="I2277" t="s">
        <v>9</v>
      </c>
      <c r="L2277" t="s">
        <v>161</v>
      </c>
      <c r="M2277">
        <v>-130000000</v>
      </c>
    </row>
    <row r="2278" spans="1:13" x14ac:dyDescent="0.3">
      <c r="A2278" s="23">
        <v>45730</v>
      </c>
      <c r="B2278" t="s">
        <v>12</v>
      </c>
      <c r="C2278" t="s">
        <v>132</v>
      </c>
      <c r="D2278" t="s">
        <v>17</v>
      </c>
      <c r="E2278" t="s">
        <v>193</v>
      </c>
      <c r="F2278">
        <v>78631924.799999997</v>
      </c>
      <c r="G2278" t="s">
        <v>131</v>
      </c>
      <c r="H2278" t="s">
        <v>81</v>
      </c>
      <c r="I2278" t="s">
        <v>9</v>
      </c>
      <c r="L2278" t="s">
        <v>161</v>
      </c>
      <c r="M2278">
        <v>-78631924.799999997</v>
      </c>
    </row>
    <row r="2279" spans="1:13" x14ac:dyDescent="0.3">
      <c r="A2279" s="23">
        <v>45730</v>
      </c>
      <c r="B2279" t="s">
        <v>12</v>
      </c>
      <c r="C2279" t="s">
        <v>132</v>
      </c>
      <c r="D2279" t="s">
        <v>17</v>
      </c>
      <c r="E2279" t="s">
        <v>193</v>
      </c>
      <c r="F2279">
        <v>49567485</v>
      </c>
      <c r="G2279" t="s">
        <v>131</v>
      </c>
      <c r="H2279" t="s">
        <v>81</v>
      </c>
      <c r="I2279" t="s">
        <v>9</v>
      </c>
      <c r="L2279" t="s">
        <v>161</v>
      </c>
      <c r="M2279">
        <v>-49567485</v>
      </c>
    </row>
    <row r="2280" spans="1:13" x14ac:dyDescent="0.3">
      <c r="A2280" s="23">
        <v>45728</v>
      </c>
      <c r="B2280" t="s">
        <v>12</v>
      </c>
      <c r="C2280" t="s">
        <v>132</v>
      </c>
      <c r="D2280" t="s">
        <v>16</v>
      </c>
      <c r="E2280" t="s">
        <v>193</v>
      </c>
      <c r="F2280">
        <v>333757250</v>
      </c>
      <c r="G2280" t="s">
        <v>131</v>
      </c>
      <c r="H2280" t="s">
        <v>81</v>
      </c>
      <c r="I2280" t="s">
        <v>9</v>
      </c>
      <c r="L2280" t="s">
        <v>161</v>
      </c>
      <c r="M2280">
        <v>333757250</v>
      </c>
    </row>
    <row r="2281" spans="1:13" x14ac:dyDescent="0.3">
      <c r="A2281" s="23">
        <v>45722</v>
      </c>
      <c r="B2281" t="s">
        <v>12</v>
      </c>
      <c r="C2281" t="s">
        <v>132</v>
      </c>
      <c r="D2281" t="s">
        <v>17</v>
      </c>
      <c r="E2281" t="s">
        <v>193</v>
      </c>
      <c r="F2281">
        <v>164547696.5</v>
      </c>
      <c r="G2281" t="s">
        <v>131</v>
      </c>
      <c r="H2281" t="s">
        <v>81</v>
      </c>
      <c r="I2281" t="s">
        <v>9</v>
      </c>
      <c r="L2281" t="s">
        <v>161</v>
      </c>
      <c r="M2281">
        <v>-164547696.5</v>
      </c>
    </row>
    <row r="2282" spans="1:13" x14ac:dyDescent="0.3">
      <c r="A2282" s="23">
        <v>45722</v>
      </c>
      <c r="B2282" t="s">
        <v>12</v>
      </c>
      <c r="C2282" t="s">
        <v>132</v>
      </c>
      <c r="D2282" t="s">
        <v>17</v>
      </c>
      <c r="E2282" t="s">
        <v>193</v>
      </c>
      <c r="F2282">
        <v>63963553.5</v>
      </c>
      <c r="G2282" t="s">
        <v>131</v>
      </c>
      <c r="H2282" t="s">
        <v>81</v>
      </c>
      <c r="I2282" t="s">
        <v>9</v>
      </c>
      <c r="L2282" t="s">
        <v>161</v>
      </c>
      <c r="M2282">
        <v>-63963553.5</v>
      </c>
    </row>
    <row r="2283" spans="1:13" x14ac:dyDescent="0.3">
      <c r="A2283" s="23">
        <v>45716</v>
      </c>
      <c r="B2283" t="s">
        <v>12</v>
      </c>
      <c r="C2283" t="s">
        <v>132</v>
      </c>
      <c r="D2283" t="s">
        <v>16</v>
      </c>
      <c r="E2283" t="s">
        <v>193</v>
      </c>
      <c r="F2283">
        <v>3416882</v>
      </c>
      <c r="G2283" t="s">
        <v>131</v>
      </c>
      <c r="H2283" t="s">
        <v>81</v>
      </c>
      <c r="I2283" t="s">
        <v>9</v>
      </c>
      <c r="L2283" t="s">
        <v>161</v>
      </c>
      <c r="M2283">
        <v>3416882</v>
      </c>
    </row>
    <row r="2284" spans="1:13" x14ac:dyDescent="0.3">
      <c r="A2284" s="23">
        <v>45712</v>
      </c>
      <c r="B2284" t="s">
        <v>12</v>
      </c>
      <c r="C2284" t="s">
        <v>132</v>
      </c>
      <c r="D2284" t="s">
        <v>17</v>
      </c>
      <c r="E2284" t="s">
        <v>193</v>
      </c>
      <c r="F2284">
        <v>80932279.75</v>
      </c>
      <c r="G2284" t="s">
        <v>131</v>
      </c>
      <c r="H2284" t="s">
        <v>81</v>
      </c>
      <c r="I2284" t="s">
        <v>9</v>
      </c>
      <c r="L2284" t="s">
        <v>161</v>
      </c>
      <c r="M2284">
        <v>-80932279.75</v>
      </c>
    </row>
    <row r="2285" spans="1:13" x14ac:dyDescent="0.3">
      <c r="A2285" s="23">
        <v>45707</v>
      </c>
      <c r="B2285" t="s">
        <v>12</v>
      </c>
      <c r="C2285" t="s">
        <v>132</v>
      </c>
      <c r="D2285" t="s">
        <v>16</v>
      </c>
      <c r="E2285" t="s">
        <v>193</v>
      </c>
      <c r="F2285">
        <v>238166710</v>
      </c>
      <c r="G2285" t="s">
        <v>131</v>
      </c>
      <c r="H2285" t="s">
        <v>81</v>
      </c>
      <c r="I2285" t="s">
        <v>9</v>
      </c>
      <c r="L2285" t="s">
        <v>161</v>
      </c>
      <c r="M2285">
        <v>238166710</v>
      </c>
    </row>
    <row r="2286" spans="1:13" x14ac:dyDescent="0.3">
      <c r="A2286" s="23">
        <v>45706</v>
      </c>
      <c r="B2286" t="s">
        <v>12</v>
      </c>
      <c r="C2286" t="s">
        <v>132</v>
      </c>
      <c r="D2286" t="s">
        <v>17</v>
      </c>
      <c r="E2286" t="s">
        <v>193</v>
      </c>
      <c r="F2286">
        <v>129675501.67</v>
      </c>
      <c r="G2286" t="s">
        <v>131</v>
      </c>
      <c r="H2286" t="s">
        <v>81</v>
      </c>
      <c r="I2286" t="s">
        <v>9</v>
      </c>
      <c r="L2286" t="s">
        <v>161</v>
      </c>
      <c r="M2286">
        <v>-129675501.67</v>
      </c>
    </row>
    <row r="2287" spans="1:13" x14ac:dyDescent="0.3">
      <c r="A2287" s="23">
        <v>45706</v>
      </c>
      <c r="B2287" t="s">
        <v>12</v>
      </c>
      <c r="C2287" t="s">
        <v>132</v>
      </c>
      <c r="D2287" t="s">
        <v>17</v>
      </c>
      <c r="E2287" t="s">
        <v>193</v>
      </c>
      <c r="F2287">
        <v>50745068.979999997</v>
      </c>
      <c r="G2287" t="s">
        <v>131</v>
      </c>
      <c r="H2287" t="s">
        <v>81</v>
      </c>
      <c r="I2287" t="s">
        <v>9</v>
      </c>
      <c r="L2287" t="s">
        <v>161</v>
      </c>
      <c r="M2287">
        <v>-50745068.979999997</v>
      </c>
    </row>
    <row r="2288" spans="1:13" x14ac:dyDescent="0.3">
      <c r="A2288" s="23">
        <v>45700</v>
      </c>
      <c r="B2288" t="s">
        <v>12</v>
      </c>
      <c r="C2288" t="s">
        <v>132</v>
      </c>
      <c r="D2288" t="s">
        <v>17</v>
      </c>
      <c r="E2288" t="s">
        <v>193</v>
      </c>
      <c r="F2288">
        <v>125127278.12</v>
      </c>
      <c r="G2288" t="s">
        <v>131</v>
      </c>
      <c r="H2288" t="s">
        <v>81</v>
      </c>
      <c r="I2288" t="s">
        <v>9</v>
      </c>
      <c r="L2288" t="s">
        <v>161</v>
      </c>
      <c r="M2288">
        <v>-125127278.12</v>
      </c>
    </row>
    <row r="2289" spans="1:13" x14ac:dyDescent="0.3">
      <c r="A2289" s="23">
        <v>45700</v>
      </c>
      <c r="B2289" t="s">
        <v>12</v>
      </c>
      <c r="C2289" t="s">
        <v>132</v>
      </c>
      <c r="D2289" t="s">
        <v>17</v>
      </c>
      <c r="E2289" t="s">
        <v>193</v>
      </c>
      <c r="F2289">
        <v>61981592.060000002</v>
      </c>
      <c r="G2289" t="s">
        <v>131</v>
      </c>
      <c r="H2289" t="s">
        <v>81</v>
      </c>
      <c r="I2289" t="s">
        <v>9</v>
      </c>
      <c r="L2289" t="s">
        <v>161</v>
      </c>
      <c r="M2289">
        <v>-61981592.060000002</v>
      </c>
    </row>
    <row r="2290" spans="1:13" x14ac:dyDescent="0.3">
      <c r="A2290" s="23">
        <v>45699</v>
      </c>
      <c r="B2290" t="s">
        <v>12</v>
      </c>
      <c r="C2290" t="s">
        <v>132</v>
      </c>
      <c r="D2290" t="s">
        <v>17</v>
      </c>
      <c r="E2290" t="s">
        <v>193</v>
      </c>
      <c r="F2290">
        <v>271852619</v>
      </c>
      <c r="G2290" t="s">
        <v>131</v>
      </c>
      <c r="H2290" t="s">
        <v>81</v>
      </c>
      <c r="I2290" t="s">
        <v>9</v>
      </c>
      <c r="L2290" t="s">
        <v>161</v>
      </c>
      <c r="M2290">
        <v>-271852619</v>
      </c>
    </row>
    <row r="2291" spans="1:13" x14ac:dyDescent="0.3">
      <c r="A2291" s="23">
        <v>45698</v>
      </c>
      <c r="B2291" t="s">
        <v>12</v>
      </c>
      <c r="C2291" t="s">
        <v>132</v>
      </c>
      <c r="D2291" t="s">
        <v>16</v>
      </c>
      <c r="E2291" t="s">
        <v>193</v>
      </c>
      <c r="F2291">
        <v>983242000</v>
      </c>
      <c r="G2291" t="s">
        <v>131</v>
      </c>
      <c r="H2291" t="s">
        <v>81</v>
      </c>
      <c r="I2291" t="s">
        <v>9</v>
      </c>
      <c r="L2291" t="s">
        <v>161</v>
      </c>
      <c r="M2291">
        <v>983242000</v>
      </c>
    </row>
    <row r="2292" spans="1:13" x14ac:dyDescent="0.3">
      <c r="A2292" s="23">
        <v>45695</v>
      </c>
      <c r="B2292" t="s">
        <v>12</v>
      </c>
      <c r="C2292" t="s">
        <v>132</v>
      </c>
      <c r="D2292" t="s">
        <v>16</v>
      </c>
      <c r="E2292" t="s">
        <v>193</v>
      </c>
      <c r="F2292">
        <v>11980000</v>
      </c>
      <c r="G2292" t="s">
        <v>131</v>
      </c>
      <c r="H2292" t="s">
        <v>81</v>
      </c>
      <c r="I2292" t="s">
        <v>9</v>
      </c>
      <c r="L2292" t="s">
        <v>161</v>
      </c>
      <c r="M2292">
        <v>11980000</v>
      </c>
    </row>
    <row r="2293" spans="1:13" x14ac:dyDescent="0.3">
      <c r="A2293" s="23">
        <v>45695</v>
      </c>
      <c r="B2293" t="s">
        <v>12</v>
      </c>
      <c r="C2293" t="s">
        <v>132</v>
      </c>
      <c r="D2293" t="s">
        <v>17</v>
      </c>
      <c r="E2293" t="s">
        <v>193</v>
      </c>
      <c r="F2293">
        <v>227570000</v>
      </c>
      <c r="G2293" t="s">
        <v>131</v>
      </c>
      <c r="H2293" t="s">
        <v>81</v>
      </c>
      <c r="I2293" t="s">
        <v>9</v>
      </c>
      <c r="L2293" t="s">
        <v>161</v>
      </c>
      <c r="M2293">
        <v>-227570000</v>
      </c>
    </row>
    <row r="2294" spans="1:13" x14ac:dyDescent="0.3">
      <c r="A2294" s="23">
        <v>45694</v>
      </c>
      <c r="B2294" t="s">
        <v>12</v>
      </c>
      <c r="C2294" t="s">
        <v>132</v>
      </c>
      <c r="D2294" t="s">
        <v>16</v>
      </c>
      <c r="E2294" t="s">
        <v>193</v>
      </c>
      <c r="F2294">
        <v>51626620</v>
      </c>
      <c r="G2294" t="s">
        <v>131</v>
      </c>
      <c r="H2294" t="s">
        <v>81</v>
      </c>
      <c r="I2294" t="s">
        <v>9</v>
      </c>
      <c r="L2294" t="s">
        <v>161</v>
      </c>
      <c r="M2294">
        <v>51626620</v>
      </c>
    </row>
    <row r="2295" spans="1:13" x14ac:dyDescent="0.3">
      <c r="A2295" s="23">
        <v>45692</v>
      </c>
      <c r="B2295" t="s">
        <v>12</v>
      </c>
      <c r="C2295" t="s">
        <v>132</v>
      </c>
      <c r="D2295" t="s">
        <v>17</v>
      </c>
      <c r="E2295" t="s">
        <v>193</v>
      </c>
      <c r="F2295">
        <v>186676976</v>
      </c>
      <c r="G2295" t="s">
        <v>131</v>
      </c>
      <c r="H2295" t="s">
        <v>81</v>
      </c>
      <c r="I2295" t="s">
        <v>9</v>
      </c>
      <c r="L2295" t="s">
        <v>161</v>
      </c>
      <c r="M2295">
        <v>-186676976</v>
      </c>
    </row>
    <row r="2296" spans="1:13" x14ac:dyDescent="0.3">
      <c r="A2296" s="23">
        <v>45687</v>
      </c>
      <c r="B2296" t="s">
        <v>12</v>
      </c>
      <c r="C2296" t="s">
        <v>132</v>
      </c>
      <c r="D2296" t="s">
        <v>16</v>
      </c>
      <c r="E2296" t="s">
        <v>193</v>
      </c>
      <c r="F2296">
        <v>142284122</v>
      </c>
      <c r="G2296" t="s">
        <v>131</v>
      </c>
      <c r="H2296" t="s">
        <v>81</v>
      </c>
      <c r="I2296" t="s">
        <v>9</v>
      </c>
      <c r="L2296" t="s">
        <v>161</v>
      </c>
      <c r="M2296">
        <v>142284122</v>
      </c>
    </row>
    <row r="2297" spans="1:13" x14ac:dyDescent="0.3">
      <c r="A2297" s="23">
        <v>45687</v>
      </c>
      <c r="B2297" t="s">
        <v>12</v>
      </c>
      <c r="C2297" t="s">
        <v>132</v>
      </c>
      <c r="D2297" t="s">
        <v>17</v>
      </c>
      <c r="E2297" t="s">
        <v>193</v>
      </c>
      <c r="F2297">
        <v>100581428</v>
      </c>
      <c r="G2297" t="s">
        <v>131</v>
      </c>
      <c r="H2297" t="s">
        <v>81</v>
      </c>
      <c r="I2297" t="s">
        <v>9</v>
      </c>
      <c r="L2297" t="s">
        <v>161</v>
      </c>
      <c r="M2297">
        <v>-100581428</v>
      </c>
    </row>
    <row r="2298" spans="1:13" x14ac:dyDescent="0.3">
      <c r="A2298" s="23">
        <v>45686</v>
      </c>
      <c r="B2298" t="s">
        <v>12</v>
      </c>
      <c r="C2298" t="s">
        <v>132</v>
      </c>
      <c r="D2298" t="s">
        <v>17</v>
      </c>
      <c r="E2298" t="s">
        <v>193</v>
      </c>
      <c r="F2298">
        <v>155904128</v>
      </c>
      <c r="G2298" t="s">
        <v>131</v>
      </c>
      <c r="H2298" t="s">
        <v>81</v>
      </c>
      <c r="I2298" t="s">
        <v>9</v>
      </c>
      <c r="L2298" t="s">
        <v>161</v>
      </c>
      <c r="M2298">
        <v>-155904128</v>
      </c>
    </row>
    <row r="2299" spans="1:13" x14ac:dyDescent="0.3">
      <c r="A2299" s="23">
        <v>45685</v>
      </c>
      <c r="B2299" t="s">
        <v>12</v>
      </c>
      <c r="C2299" t="s">
        <v>132</v>
      </c>
      <c r="D2299" t="s">
        <v>16</v>
      </c>
      <c r="E2299" t="s">
        <v>193</v>
      </c>
      <c r="F2299">
        <v>347564357</v>
      </c>
      <c r="G2299" t="s">
        <v>131</v>
      </c>
      <c r="H2299" t="s">
        <v>81</v>
      </c>
      <c r="I2299" t="s">
        <v>9</v>
      </c>
      <c r="L2299" t="s">
        <v>161</v>
      </c>
      <c r="M2299">
        <v>347564357</v>
      </c>
    </row>
    <row r="2300" spans="1:13" x14ac:dyDescent="0.3">
      <c r="A2300" s="23">
        <v>45681</v>
      </c>
      <c r="B2300" t="s">
        <v>12</v>
      </c>
      <c r="C2300" t="s">
        <v>132</v>
      </c>
      <c r="D2300" t="s">
        <v>17</v>
      </c>
      <c r="E2300" t="s">
        <v>193</v>
      </c>
      <c r="F2300">
        <v>102040935</v>
      </c>
      <c r="G2300" t="s">
        <v>131</v>
      </c>
      <c r="H2300" t="s">
        <v>81</v>
      </c>
      <c r="I2300" t="s">
        <v>9</v>
      </c>
      <c r="L2300" t="s">
        <v>161</v>
      </c>
      <c r="M2300">
        <v>-102040935</v>
      </c>
    </row>
    <row r="2301" spans="1:13" x14ac:dyDescent="0.3">
      <c r="A2301" s="23">
        <v>45680</v>
      </c>
      <c r="B2301" t="s">
        <v>12</v>
      </c>
      <c r="C2301" t="s">
        <v>132</v>
      </c>
      <c r="D2301" t="s">
        <v>16</v>
      </c>
      <c r="E2301" t="s">
        <v>193</v>
      </c>
      <c r="F2301">
        <v>456716063</v>
      </c>
      <c r="G2301" t="s">
        <v>131</v>
      </c>
      <c r="H2301" t="s">
        <v>81</v>
      </c>
      <c r="I2301" t="s">
        <v>9</v>
      </c>
      <c r="L2301" t="s">
        <v>161</v>
      </c>
      <c r="M2301">
        <v>456716063</v>
      </c>
    </row>
    <row r="2302" spans="1:13" x14ac:dyDescent="0.3">
      <c r="A2302" s="23">
        <v>45680</v>
      </c>
      <c r="B2302" t="s">
        <v>12</v>
      </c>
      <c r="C2302" t="s">
        <v>132</v>
      </c>
      <c r="D2302" t="s">
        <v>17</v>
      </c>
      <c r="E2302" t="s">
        <v>193</v>
      </c>
      <c r="F2302">
        <v>65326901.399999999</v>
      </c>
      <c r="G2302" t="s">
        <v>131</v>
      </c>
      <c r="H2302" t="s">
        <v>81</v>
      </c>
      <c r="I2302" t="s">
        <v>9</v>
      </c>
      <c r="L2302" t="s">
        <v>161</v>
      </c>
      <c r="M2302">
        <v>-65326901.399999999</v>
      </c>
    </row>
    <row r="2303" spans="1:13" x14ac:dyDescent="0.3">
      <c r="A2303" s="23">
        <v>45680</v>
      </c>
      <c r="B2303" t="s">
        <v>12</v>
      </c>
      <c r="C2303" t="s">
        <v>132</v>
      </c>
      <c r="D2303" t="s">
        <v>17</v>
      </c>
      <c r="E2303" t="s">
        <v>193</v>
      </c>
      <c r="F2303">
        <v>56780640</v>
      </c>
      <c r="G2303" t="s">
        <v>131</v>
      </c>
      <c r="H2303" t="s">
        <v>81</v>
      </c>
      <c r="I2303" t="s">
        <v>9</v>
      </c>
      <c r="L2303" t="s">
        <v>161</v>
      </c>
      <c r="M2303">
        <v>-56780640</v>
      </c>
    </row>
    <row r="2304" spans="1:13" x14ac:dyDescent="0.3">
      <c r="A2304" s="23">
        <v>45679</v>
      </c>
      <c r="B2304" t="s">
        <v>12</v>
      </c>
      <c r="C2304" t="s">
        <v>132</v>
      </c>
      <c r="D2304" t="s">
        <v>16</v>
      </c>
      <c r="E2304" t="s">
        <v>193</v>
      </c>
      <c r="F2304">
        <v>300000000</v>
      </c>
      <c r="G2304" t="s">
        <v>131</v>
      </c>
      <c r="H2304" t="s">
        <v>81</v>
      </c>
      <c r="I2304" t="s">
        <v>9</v>
      </c>
      <c r="L2304" t="s">
        <v>161</v>
      </c>
      <c r="M2304">
        <v>300000000</v>
      </c>
    </row>
    <row r="2305" spans="1:13" x14ac:dyDescent="0.3">
      <c r="A2305" s="23">
        <v>45673</v>
      </c>
      <c r="B2305" t="s">
        <v>12</v>
      </c>
      <c r="C2305" t="s">
        <v>132</v>
      </c>
      <c r="D2305" t="s">
        <v>16</v>
      </c>
      <c r="E2305" t="s">
        <v>193</v>
      </c>
      <c r="F2305">
        <v>197216939</v>
      </c>
      <c r="G2305" t="s">
        <v>131</v>
      </c>
      <c r="H2305" t="s">
        <v>81</v>
      </c>
      <c r="I2305" t="s">
        <v>9</v>
      </c>
      <c r="L2305" t="s">
        <v>161</v>
      </c>
      <c r="M2305">
        <v>197216939</v>
      </c>
    </row>
    <row r="2306" spans="1:13" x14ac:dyDescent="0.3">
      <c r="A2306" s="23">
        <v>45673</v>
      </c>
      <c r="B2306" t="s">
        <v>12</v>
      </c>
      <c r="C2306" t="s">
        <v>132</v>
      </c>
      <c r="D2306" t="s">
        <v>17</v>
      </c>
      <c r="E2306" t="s">
        <v>193</v>
      </c>
      <c r="F2306">
        <v>53709345</v>
      </c>
      <c r="G2306" t="s">
        <v>131</v>
      </c>
      <c r="H2306" t="s">
        <v>81</v>
      </c>
      <c r="I2306" t="s">
        <v>9</v>
      </c>
      <c r="L2306" t="s">
        <v>161</v>
      </c>
      <c r="M2306">
        <v>-53709345</v>
      </c>
    </row>
    <row r="2307" spans="1:13" x14ac:dyDescent="0.3">
      <c r="A2307" s="23">
        <v>45673</v>
      </c>
      <c r="B2307" t="s">
        <v>12</v>
      </c>
      <c r="C2307" t="s">
        <v>132</v>
      </c>
      <c r="D2307" t="s">
        <v>17</v>
      </c>
      <c r="E2307" t="s">
        <v>193</v>
      </c>
      <c r="F2307">
        <v>38283538.460000001</v>
      </c>
      <c r="G2307" t="s">
        <v>131</v>
      </c>
      <c r="H2307" t="s">
        <v>81</v>
      </c>
      <c r="I2307" t="s">
        <v>9</v>
      </c>
      <c r="L2307" t="s">
        <v>161</v>
      </c>
      <c r="M2307">
        <v>-38283538.460000001</v>
      </c>
    </row>
    <row r="2308" spans="1:13" x14ac:dyDescent="0.3">
      <c r="A2308" s="23">
        <v>45672</v>
      </c>
      <c r="B2308" t="s">
        <v>12</v>
      </c>
      <c r="C2308" t="s">
        <v>132</v>
      </c>
      <c r="D2308" t="s">
        <v>17</v>
      </c>
      <c r="E2308" t="s">
        <v>193</v>
      </c>
      <c r="F2308">
        <v>78660883.700000003</v>
      </c>
      <c r="G2308" t="s">
        <v>131</v>
      </c>
      <c r="H2308" t="s">
        <v>81</v>
      </c>
      <c r="I2308" t="s">
        <v>9</v>
      </c>
      <c r="L2308" t="s">
        <v>161</v>
      </c>
      <c r="M2308">
        <v>-78660883.700000003</v>
      </c>
    </row>
    <row r="2309" spans="1:13" x14ac:dyDescent="0.3">
      <c r="A2309" s="23">
        <v>45671</v>
      </c>
      <c r="B2309" t="s">
        <v>12</v>
      </c>
      <c r="C2309" t="s">
        <v>132</v>
      </c>
      <c r="D2309" t="s">
        <v>17</v>
      </c>
      <c r="E2309" t="s">
        <v>193</v>
      </c>
      <c r="F2309">
        <v>125331291.89</v>
      </c>
      <c r="G2309" t="s">
        <v>131</v>
      </c>
      <c r="H2309" t="s">
        <v>81</v>
      </c>
      <c r="I2309" t="s">
        <v>9</v>
      </c>
      <c r="L2309" t="s">
        <v>161</v>
      </c>
      <c r="M2309">
        <v>-125331291.89</v>
      </c>
    </row>
    <row r="2310" spans="1:13" x14ac:dyDescent="0.3">
      <c r="A2310" s="23">
        <v>45670</v>
      </c>
      <c r="B2310" t="s">
        <v>12</v>
      </c>
      <c r="C2310" t="s">
        <v>132</v>
      </c>
      <c r="D2310" t="s">
        <v>16</v>
      </c>
      <c r="E2310" t="s">
        <v>193</v>
      </c>
      <c r="F2310">
        <v>144462060</v>
      </c>
      <c r="G2310" t="s">
        <v>131</v>
      </c>
      <c r="H2310" t="s">
        <v>81</v>
      </c>
      <c r="I2310" t="s">
        <v>9</v>
      </c>
      <c r="L2310" t="s">
        <v>161</v>
      </c>
      <c r="M2310">
        <v>144462060</v>
      </c>
    </row>
    <row r="2311" spans="1:13" x14ac:dyDescent="0.3">
      <c r="A2311" s="23">
        <v>45667</v>
      </c>
      <c r="B2311" t="s">
        <v>12</v>
      </c>
      <c r="C2311" t="s">
        <v>132</v>
      </c>
      <c r="D2311" t="s">
        <v>17</v>
      </c>
      <c r="E2311" t="s">
        <v>193</v>
      </c>
      <c r="F2311">
        <v>43843108.75</v>
      </c>
      <c r="G2311" t="s">
        <v>131</v>
      </c>
      <c r="H2311" t="s">
        <v>81</v>
      </c>
      <c r="I2311" t="s">
        <v>9</v>
      </c>
      <c r="L2311" t="s">
        <v>161</v>
      </c>
      <c r="M2311">
        <v>-43843108.75</v>
      </c>
    </row>
    <row r="2312" spans="1:13" x14ac:dyDescent="0.3">
      <c r="A2312" s="23">
        <v>45667</v>
      </c>
      <c r="B2312" t="s">
        <v>12</v>
      </c>
      <c r="C2312" t="s">
        <v>132</v>
      </c>
      <c r="D2312" t="s">
        <v>17</v>
      </c>
      <c r="E2312" t="s">
        <v>193</v>
      </c>
      <c r="F2312">
        <v>104368550.31</v>
      </c>
      <c r="G2312" t="s">
        <v>131</v>
      </c>
      <c r="H2312" t="s">
        <v>81</v>
      </c>
      <c r="I2312" t="s">
        <v>9</v>
      </c>
      <c r="L2312" t="s">
        <v>161</v>
      </c>
      <c r="M2312">
        <v>-104368550.31</v>
      </c>
    </row>
    <row r="2313" spans="1:13" x14ac:dyDescent="0.3">
      <c r="A2313" s="23">
        <v>45667</v>
      </c>
      <c r="B2313" t="s">
        <v>12</v>
      </c>
      <c r="C2313" t="s">
        <v>132</v>
      </c>
      <c r="D2313" t="s">
        <v>16</v>
      </c>
      <c r="E2313" t="s">
        <v>193</v>
      </c>
      <c r="F2313">
        <v>143661423</v>
      </c>
      <c r="G2313" t="s">
        <v>131</v>
      </c>
      <c r="H2313" t="s">
        <v>81</v>
      </c>
      <c r="I2313" t="s">
        <v>9</v>
      </c>
      <c r="L2313" t="s">
        <v>161</v>
      </c>
      <c r="M2313">
        <v>143661423</v>
      </c>
    </row>
    <row r="2314" spans="1:13" x14ac:dyDescent="0.3">
      <c r="A2314" s="23">
        <v>45666</v>
      </c>
      <c r="B2314" t="s">
        <v>12</v>
      </c>
      <c r="C2314" t="s">
        <v>132</v>
      </c>
      <c r="D2314" t="s">
        <v>17</v>
      </c>
      <c r="E2314" t="s">
        <v>193</v>
      </c>
      <c r="F2314">
        <v>350000000</v>
      </c>
      <c r="G2314" t="s">
        <v>131</v>
      </c>
      <c r="H2314" t="s">
        <v>81</v>
      </c>
      <c r="I2314" t="s">
        <v>9</v>
      </c>
      <c r="L2314" t="s">
        <v>161</v>
      </c>
      <c r="M2314">
        <v>-350000000</v>
      </c>
    </row>
    <row r="2315" spans="1:13" x14ac:dyDescent="0.3">
      <c r="A2315" s="23">
        <v>45665</v>
      </c>
      <c r="B2315" t="s">
        <v>12</v>
      </c>
      <c r="C2315" t="s">
        <v>132</v>
      </c>
      <c r="D2315" t="s">
        <v>17</v>
      </c>
      <c r="E2315" t="s">
        <v>193</v>
      </c>
      <c r="F2315">
        <v>250000000</v>
      </c>
      <c r="G2315" t="s">
        <v>131</v>
      </c>
      <c r="H2315" t="s">
        <v>81</v>
      </c>
      <c r="I2315" t="s">
        <v>9</v>
      </c>
      <c r="L2315" t="s">
        <v>161</v>
      </c>
      <c r="M2315">
        <v>-250000000</v>
      </c>
    </row>
    <row r="2316" spans="1:13" x14ac:dyDescent="0.3">
      <c r="A2316" s="23">
        <v>45664</v>
      </c>
      <c r="B2316" t="s">
        <v>12</v>
      </c>
      <c r="C2316" t="s">
        <v>132</v>
      </c>
      <c r="D2316" t="s">
        <v>16</v>
      </c>
      <c r="E2316" t="s">
        <v>193</v>
      </c>
      <c r="F2316">
        <v>402501765</v>
      </c>
      <c r="G2316" t="s">
        <v>131</v>
      </c>
      <c r="H2316" t="s">
        <v>81</v>
      </c>
      <c r="I2316" t="s">
        <v>9</v>
      </c>
      <c r="L2316" t="s">
        <v>161</v>
      </c>
      <c r="M2316">
        <v>402501765</v>
      </c>
    </row>
    <row r="2317" spans="1:13" x14ac:dyDescent="0.3">
      <c r="A2317" s="23">
        <v>45659</v>
      </c>
      <c r="B2317" t="s">
        <v>12</v>
      </c>
      <c r="C2317" t="s">
        <v>132</v>
      </c>
      <c r="D2317" t="s">
        <v>17</v>
      </c>
      <c r="E2317" t="s">
        <v>193</v>
      </c>
      <c r="F2317">
        <v>10100000</v>
      </c>
      <c r="G2317" t="s">
        <v>131</v>
      </c>
      <c r="H2317" t="s">
        <v>81</v>
      </c>
      <c r="I2317" t="s">
        <v>9</v>
      </c>
      <c r="L2317" t="s">
        <v>161</v>
      </c>
      <c r="M2317">
        <v>-10100000</v>
      </c>
    </row>
    <row r="2318" spans="1:13" x14ac:dyDescent="0.3">
      <c r="A2318" s="23">
        <v>45659</v>
      </c>
      <c r="B2318" t="s">
        <v>12</v>
      </c>
      <c r="C2318" t="s">
        <v>132</v>
      </c>
      <c r="D2318" t="s">
        <v>16</v>
      </c>
      <c r="E2318" t="s">
        <v>193</v>
      </c>
      <c r="F2318">
        <v>47729336</v>
      </c>
      <c r="G2318" t="s">
        <v>131</v>
      </c>
      <c r="H2318" t="s">
        <v>81</v>
      </c>
      <c r="I2318" t="s">
        <v>9</v>
      </c>
      <c r="L2318" t="s">
        <v>161</v>
      </c>
      <c r="M2318">
        <v>47729336</v>
      </c>
    </row>
    <row r="2319" spans="1:13" x14ac:dyDescent="0.3">
      <c r="A2319" s="23">
        <v>45656</v>
      </c>
      <c r="B2319" t="s">
        <v>12</v>
      </c>
      <c r="C2319" t="s">
        <v>132</v>
      </c>
      <c r="D2319" t="s">
        <v>16</v>
      </c>
      <c r="E2319" t="s">
        <v>193</v>
      </c>
      <c r="F2319">
        <v>237300000</v>
      </c>
      <c r="G2319" t="s">
        <v>131</v>
      </c>
      <c r="H2319" t="s">
        <v>81</v>
      </c>
      <c r="I2319" t="s">
        <v>9</v>
      </c>
      <c r="L2319" t="s">
        <v>161</v>
      </c>
      <c r="M2319">
        <v>237300000</v>
      </c>
    </row>
    <row r="2320" spans="1:13" x14ac:dyDescent="0.3">
      <c r="A2320" s="23">
        <v>45656</v>
      </c>
      <c r="B2320" t="s">
        <v>12</v>
      </c>
      <c r="C2320" t="s">
        <v>132</v>
      </c>
      <c r="D2320" t="s">
        <v>17</v>
      </c>
      <c r="E2320" t="s">
        <v>193</v>
      </c>
      <c r="F2320">
        <v>303859631.89999998</v>
      </c>
      <c r="G2320" t="s">
        <v>131</v>
      </c>
      <c r="H2320" t="s">
        <v>81</v>
      </c>
      <c r="I2320" t="s">
        <v>9</v>
      </c>
      <c r="L2320" t="s">
        <v>161</v>
      </c>
      <c r="M2320">
        <v>-303859631.89999998</v>
      </c>
    </row>
    <row r="2321" spans="1:13" x14ac:dyDescent="0.3">
      <c r="A2321" s="23">
        <v>45653</v>
      </c>
      <c r="B2321" t="s">
        <v>12</v>
      </c>
      <c r="C2321" t="s">
        <v>132</v>
      </c>
      <c r="D2321" t="s">
        <v>17</v>
      </c>
      <c r="E2321" t="s">
        <v>193</v>
      </c>
      <c r="F2321">
        <v>800000000</v>
      </c>
      <c r="G2321" t="s">
        <v>131</v>
      </c>
      <c r="H2321" t="s">
        <v>81</v>
      </c>
      <c r="I2321" t="s">
        <v>9</v>
      </c>
      <c r="L2321" t="s">
        <v>161</v>
      </c>
      <c r="M2321">
        <v>-800000000</v>
      </c>
    </row>
    <row r="2322" spans="1:13" x14ac:dyDescent="0.3">
      <c r="A2322" s="23">
        <v>45652</v>
      </c>
      <c r="B2322" t="s">
        <v>12</v>
      </c>
      <c r="C2322" t="s">
        <v>132</v>
      </c>
      <c r="D2322" t="s">
        <v>17</v>
      </c>
      <c r="E2322" t="s">
        <v>193</v>
      </c>
      <c r="F2322">
        <v>60000000</v>
      </c>
      <c r="G2322" t="s">
        <v>131</v>
      </c>
      <c r="H2322" t="s">
        <v>81</v>
      </c>
      <c r="I2322" t="s">
        <v>9</v>
      </c>
      <c r="L2322" t="s">
        <v>161</v>
      </c>
      <c r="M2322">
        <v>-60000000</v>
      </c>
    </row>
    <row r="2323" spans="1:13" x14ac:dyDescent="0.3">
      <c r="A2323" s="23">
        <v>45652</v>
      </c>
      <c r="B2323" t="s">
        <v>12</v>
      </c>
      <c r="C2323" t="s">
        <v>132</v>
      </c>
      <c r="D2323" t="s">
        <v>17</v>
      </c>
      <c r="E2323" t="s">
        <v>193</v>
      </c>
      <c r="F2323">
        <v>60000000</v>
      </c>
      <c r="G2323" t="s">
        <v>131</v>
      </c>
      <c r="H2323" t="s">
        <v>81</v>
      </c>
      <c r="I2323" t="s">
        <v>9</v>
      </c>
      <c r="L2323" t="s">
        <v>161</v>
      </c>
      <c r="M2323">
        <v>-60000000</v>
      </c>
    </row>
    <row r="2324" spans="1:13" x14ac:dyDescent="0.3">
      <c r="A2324" s="23">
        <v>45649</v>
      </c>
      <c r="B2324" t="s">
        <v>12</v>
      </c>
      <c r="C2324" t="s">
        <v>132</v>
      </c>
      <c r="D2324" t="s">
        <v>16</v>
      </c>
      <c r="E2324" t="s">
        <v>193</v>
      </c>
      <c r="F2324">
        <v>280295472</v>
      </c>
      <c r="G2324" t="s">
        <v>131</v>
      </c>
      <c r="H2324" t="s">
        <v>81</v>
      </c>
      <c r="I2324" t="s">
        <v>9</v>
      </c>
      <c r="L2324" t="s">
        <v>161</v>
      </c>
      <c r="M2324">
        <v>280295472</v>
      </c>
    </row>
    <row r="2325" spans="1:13" x14ac:dyDescent="0.3">
      <c r="A2325" s="23">
        <v>45646</v>
      </c>
      <c r="B2325" t="s">
        <v>12</v>
      </c>
      <c r="C2325" t="s">
        <v>132</v>
      </c>
      <c r="D2325" t="s">
        <v>17</v>
      </c>
      <c r="E2325" t="s">
        <v>193</v>
      </c>
      <c r="F2325">
        <v>613840.01</v>
      </c>
      <c r="G2325" t="s">
        <v>131</v>
      </c>
      <c r="H2325" t="s">
        <v>81</v>
      </c>
      <c r="I2325" t="s">
        <v>9</v>
      </c>
      <c r="L2325" t="s">
        <v>161</v>
      </c>
      <c r="M2325">
        <v>-613840.01</v>
      </c>
    </row>
    <row r="2326" spans="1:13" x14ac:dyDescent="0.3">
      <c r="A2326" s="23">
        <v>45645</v>
      </c>
      <c r="B2326" t="s">
        <v>12</v>
      </c>
      <c r="C2326" t="s">
        <v>132</v>
      </c>
      <c r="D2326" t="s">
        <v>16</v>
      </c>
      <c r="E2326" t="s">
        <v>193</v>
      </c>
      <c r="F2326">
        <v>15808293</v>
      </c>
      <c r="G2326" t="s">
        <v>131</v>
      </c>
      <c r="H2326" t="s">
        <v>81</v>
      </c>
      <c r="I2326" t="s">
        <v>9</v>
      </c>
      <c r="L2326" t="s">
        <v>161</v>
      </c>
      <c r="M2326">
        <v>15808293</v>
      </c>
    </row>
    <row r="2327" spans="1:13" x14ac:dyDescent="0.3">
      <c r="A2327" s="23">
        <v>45643</v>
      </c>
      <c r="B2327" t="s">
        <v>12</v>
      </c>
      <c r="C2327" t="s">
        <v>132</v>
      </c>
      <c r="D2327" t="s">
        <v>16</v>
      </c>
      <c r="E2327" t="s">
        <v>193</v>
      </c>
      <c r="F2327">
        <v>786761403</v>
      </c>
      <c r="G2327" t="s">
        <v>131</v>
      </c>
      <c r="H2327" t="s">
        <v>81</v>
      </c>
      <c r="I2327" t="s">
        <v>9</v>
      </c>
      <c r="L2327" t="s">
        <v>161</v>
      </c>
      <c r="M2327">
        <v>786761403</v>
      </c>
    </row>
    <row r="2328" spans="1:13" x14ac:dyDescent="0.3">
      <c r="A2328" s="23">
        <v>45643</v>
      </c>
      <c r="B2328" t="s">
        <v>12</v>
      </c>
      <c r="C2328" t="s">
        <v>132</v>
      </c>
      <c r="D2328" t="s">
        <v>17</v>
      </c>
      <c r="E2328" t="s">
        <v>193</v>
      </c>
      <c r="F2328">
        <v>500000000</v>
      </c>
      <c r="G2328" t="s">
        <v>131</v>
      </c>
      <c r="H2328" t="s">
        <v>81</v>
      </c>
      <c r="I2328" t="s">
        <v>9</v>
      </c>
      <c r="L2328" t="s">
        <v>161</v>
      </c>
      <c r="M2328">
        <v>-500000000</v>
      </c>
    </row>
    <row r="2329" spans="1:13" x14ac:dyDescent="0.3">
      <c r="A2329" s="23">
        <v>45643</v>
      </c>
      <c r="B2329" t="s">
        <v>12</v>
      </c>
      <c r="C2329" t="s">
        <v>132</v>
      </c>
      <c r="D2329" t="s">
        <v>17</v>
      </c>
      <c r="E2329" t="s">
        <v>193</v>
      </c>
      <c r="F2329">
        <v>200000000</v>
      </c>
      <c r="G2329" t="s">
        <v>131</v>
      </c>
      <c r="H2329" t="s">
        <v>81</v>
      </c>
      <c r="I2329" t="s">
        <v>9</v>
      </c>
      <c r="L2329" t="s">
        <v>161</v>
      </c>
      <c r="M2329">
        <v>-200000000</v>
      </c>
    </row>
    <row r="2330" spans="1:13" x14ac:dyDescent="0.3">
      <c r="A2330" s="23">
        <v>45639</v>
      </c>
      <c r="B2330" t="s">
        <v>12</v>
      </c>
      <c r="C2330" t="s">
        <v>132</v>
      </c>
      <c r="D2330" t="s">
        <v>16</v>
      </c>
      <c r="E2330" t="s">
        <v>193</v>
      </c>
      <c r="F2330">
        <v>300000000</v>
      </c>
      <c r="G2330" t="s">
        <v>131</v>
      </c>
      <c r="H2330" t="s">
        <v>81</v>
      </c>
      <c r="I2330" t="s">
        <v>9</v>
      </c>
      <c r="L2330" t="s">
        <v>161</v>
      </c>
      <c r="M2330">
        <v>300000000</v>
      </c>
    </row>
    <row r="2331" spans="1:13" x14ac:dyDescent="0.3">
      <c r="A2331" s="23">
        <v>45639</v>
      </c>
      <c r="B2331" t="s">
        <v>12</v>
      </c>
      <c r="C2331" t="s">
        <v>132</v>
      </c>
      <c r="D2331" t="s">
        <v>17</v>
      </c>
      <c r="E2331" t="s">
        <v>193</v>
      </c>
      <c r="F2331">
        <v>135845202</v>
      </c>
      <c r="G2331" t="s">
        <v>131</v>
      </c>
      <c r="H2331" t="s">
        <v>81</v>
      </c>
      <c r="I2331" t="s">
        <v>9</v>
      </c>
      <c r="L2331" t="s">
        <v>161</v>
      </c>
      <c r="M2331">
        <v>-135845202</v>
      </c>
    </row>
    <row r="2332" spans="1:13" x14ac:dyDescent="0.3">
      <c r="A2332" s="23">
        <v>45637</v>
      </c>
      <c r="B2332" t="s">
        <v>12</v>
      </c>
      <c r="C2332" t="s">
        <v>132</v>
      </c>
      <c r="D2332" t="s">
        <v>17</v>
      </c>
      <c r="E2332" t="s">
        <v>193</v>
      </c>
      <c r="F2332">
        <v>50000000</v>
      </c>
      <c r="G2332" t="s">
        <v>131</v>
      </c>
      <c r="H2332" t="s">
        <v>81</v>
      </c>
      <c r="I2332" t="s">
        <v>9</v>
      </c>
      <c r="L2332" t="s">
        <v>161</v>
      </c>
      <c r="M2332">
        <v>-50000000</v>
      </c>
    </row>
    <row r="2333" spans="1:13" x14ac:dyDescent="0.3">
      <c r="A2333" s="23">
        <v>45636</v>
      </c>
      <c r="B2333" t="s">
        <v>12</v>
      </c>
      <c r="C2333" t="s">
        <v>132</v>
      </c>
      <c r="D2333" t="s">
        <v>16</v>
      </c>
      <c r="E2333" t="s">
        <v>193</v>
      </c>
      <c r="F2333">
        <v>445191001</v>
      </c>
      <c r="G2333" t="s">
        <v>131</v>
      </c>
      <c r="H2333" t="s">
        <v>81</v>
      </c>
      <c r="I2333" t="s">
        <v>9</v>
      </c>
      <c r="L2333" t="s">
        <v>161</v>
      </c>
      <c r="M2333">
        <v>445191001</v>
      </c>
    </row>
    <row r="2334" spans="1:13" x14ac:dyDescent="0.3">
      <c r="A2334" s="23">
        <v>45635</v>
      </c>
      <c r="B2334" t="s">
        <v>12</v>
      </c>
      <c r="C2334" t="s">
        <v>132</v>
      </c>
      <c r="D2334" t="s">
        <v>17</v>
      </c>
      <c r="E2334" t="s">
        <v>193</v>
      </c>
      <c r="F2334">
        <v>300000000</v>
      </c>
      <c r="G2334" t="s">
        <v>131</v>
      </c>
      <c r="H2334" t="s">
        <v>81</v>
      </c>
      <c r="I2334" t="s">
        <v>9</v>
      </c>
      <c r="L2334" t="s">
        <v>161</v>
      </c>
      <c r="M2334">
        <v>-300000000</v>
      </c>
    </row>
    <row r="2335" spans="1:13" x14ac:dyDescent="0.3">
      <c r="A2335" s="23">
        <v>45631</v>
      </c>
      <c r="B2335" t="s">
        <v>12</v>
      </c>
      <c r="C2335" t="s">
        <v>132</v>
      </c>
      <c r="D2335" t="s">
        <v>16</v>
      </c>
      <c r="E2335" t="s">
        <v>193</v>
      </c>
      <c r="F2335">
        <v>139496700</v>
      </c>
      <c r="G2335" t="s">
        <v>131</v>
      </c>
      <c r="H2335" t="s">
        <v>81</v>
      </c>
      <c r="I2335" t="s">
        <v>9</v>
      </c>
      <c r="L2335" t="s">
        <v>161</v>
      </c>
      <c r="M2335">
        <v>139496700</v>
      </c>
    </row>
    <row r="2336" spans="1:13" x14ac:dyDescent="0.3">
      <c r="A2336" s="23">
        <v>45631</v>
      </c>
      <c r="B2336" t="s">
        <v>12</v>
      </c>
      <c r="C2336" t="s">
        <v>132</v>
      </c>
      <c r="D2336" t="s">
        <v>16</v>
      </c>
      <c r="E2336" t="s">
        <v>193</v>
      </c>
      <c r="F2336">
        <v>138285600</v>
      </c>
      <c r="G2336" t="s">
        <v>131</v>
      </c>
      <c r="H2336" t="s">
        <v>81</v>
      </c>
      <c r="I2336" t="s">
        <v>9</v>
      </c>
      <c r="L2336" t="s">
        <v>161</v>
      </c>
      <c r="M2336">
        <v>138285600</v>
      </c>
    </row>
    <row r="2337" spans="1:13" x14ac:dyDescent="0.3">
      <c r="A2337" s="23">
        <v>45630</v>
      </c>
      <c r="B2337" t="s">
        <v>12</v>
      </c>
      <c r="C2337" t="s">
        <v>132</v>
      </c>
      <c r="D2337" t="s">
        <v>16</v>
      </c>
      <c r="E2337" t="s">
        <v>193</v>
      </c>
      <c r="F2337">
        <v>14490569</v>
      </c>
      <c r="G2337" t="s">
        <v>131</v>
      </c>
      <c r="H2337" t="s">
        <v>81</v>
      </c>
      <c r="I2337" t="s">
        <v>9</v>
      </c>
      <c r="L2337" t="s">
        <v>161</v>
      </c>
      <c r="M2337">
        <v>14490569</v>
      </c>
    </row>
    <row r="2338" spans="1:13" x14ac:dyDescent="0.3">
      <c r="A2338" s="23">
        <v>45629</v>
      </c>
      <c r="B2338" t="s">
        <v>12</v>
      </c>
      <c r="C2338" t="s">
        <v>132</v>
      </c>
      <c r="D2338" t="s">
        <v>17</v>
      </c>
      <c r="E2338" t="s">
        <v>193</v>
      </c>
      <c r="F2338">
        <v>200000000</v>
      </c>
      <c r="G2338" t="s">
        <v>131</v>
      </c>
      <c r="H2338" t="s">
        <v>81</v>
      </c>
      <c r="I2338" t="s">
        <v>9</v>
      </c>
      <c r="L2338" t="s">
        <v>161</v>
      </c>
      <c r="M2338">
        <v>-200000000</v>
      </c>
    </row>
    <row r="2339" spans="1:13" x14ac:dyDescent="0.3">
      <c r="A2339" s="23">
        <v>45625</v>
      </c>
      <c r="B2339" t="s">
        <v>12</v>
      </c>
      <c r="C2339" t="s">
        <v>132</v>
      </c>
      <c r="D2339" t="s">
        <v>16</v>
      </c>
      <c r="E2339" t="s">
        <v>193</v>
      </c>
      <c r="F2339">
        <v>16530000</v>
      </c>
      <c r="G2339" t="s">
        <v>131</v>
      </c>
      <c r="H2339" t="s">
        <v>81</v>
      </c>
      <c r="I2339" t="s">
        <v>9</v>
      </c>
      <c r="L2339" t="s">
        <v>161</v>
      </c>
      <c r="M2339">
        <v>16530000</v>
      </c>
    </row>
    <row r="2340" spans="1:13" x14ac:dyDescent="0.3">
      <c r="A2340" s="23">
        <v>45625</v>
      </c>
      <c r="B2340" t="s">
        <v>12</v>
      </c>
      <c r="C2340" t="s">
        <v>132</v>
      </c>
      <c r="D2340" t="s">
        <v>17</v>
      </c>
      <c r="E2340" t="s">
        <v>193</v>
      </c>
      <c r="F2340">
        <v>300000000</v>
      </c>
      <c r="G2340" t="s">
        <v>131</v>
      </c>
      <c r="H2340" t="s">
        <v>81</v>
      </c>
      <c r="I2340" t="s">
        <v>9</v>
      </c>
      <c r="L2340" t="s">
        <v>161</v>
      </c>
      <c r="M2340">
        <v>-300000000</v>
      </c>
    </row>
    <row r="2341" spans="1:13" x14ac:dyDescent="0.3">
      <c r="A2341" s="23">
        <v>45624</v>
      </c>
      <c r="B2341" t="s">
        <v>12</v>
      </c>
      <c r="C2341" t="s">
        <v>132</v>
      </c>
      <c r="D2341" t="s">
        <v>17</v>
      </c>
      <c r="E2341" t="s">
        <v>193</v>
      </c>
      <c r="F2341">
        <v>84796166</v>
      </c>
      <c r="G2341" t="s">
        <v>131</v>
      </c>
      <c r="H2341" t="s">
        <v>81</v>
      </c>
      <c r="I2341" t="s">
        <v>9</v>
      </c>
      <c r="L2341" t="s">
        <v>161</v>
      </c>
      <c r="M2341">
        <v>-84796166</v>
      </c>
    </row>
    <row r="2342" spans="1:13" x14ac:dyDescent="0.3">
      <c r="A2342" s="23">
        <v>45622</v>
      </c>
      <c r="B2342" t="s">
        <v>12</v>
      </c>
      <c r="C2342" t="s">
        <v>132</v>
      </c>
      <c r="D2342" t="s">
        <v>16</v>
      </c>
      <c r="E2342" t="s">
        <v>193</v>
      </c>
      <c r="F2342">
        <v>267094388.41999999</v>
      </c>
      <c r="G2342" t="s">
        <v>131</v>
      </c>
      <c r="H2342" t="s">
        <v>81</v>
      </c>
      <c r="I2342" t="s">
        <v>9</v>
      </c>
      <c r="L2342" t="s">
        <v>161</v>
      </c>
      <c r="M2342">
        <v>267094388.41999999</v>
      </c>
    </row>
    <row r="2343" spans="1:13" x14ac:dyDescent="0.3">
      <c r="A2343" s="23">
        <v>45621</v>
      </c>
      <c r="B2343" t="s">
        <v>12</v>
      </c>
      <c r="C2343" t="s">
        <v>132</v>
      </c>
      <c r="D2343" t="s">
        <v>17</v>
      </c>
      <c r="E2343" t="s">
        <v>193</v>
      </c>
      <c r="F2343">
        <v>500000000</v>
      </c>
      <c r="G2343" t="s">
        <v>131</v>
      </c>
      <c r="H2343" t="s">
        <v>81</v>
      </c>
      <c r="I2343" t="s">
        <v>9</v>
      </c>
      <c r="L2343" t="s">
        <v>161</v>
      </c>
      <c r="M2343">
        <v>-500000000</v>
      </c>
    </row>
    <row r="2344" spans="1:13" x14ac:dyDescent="0.3">
      <c r="A2344" s="23">
        <v>45617</v>
      </c>
      <c r="B2344" t="s">
        <v>12</v>
      </c>
      <c r="C2344" t="s">
        <v>132</v>
      </c>
      <c r="D2344" t="s">
        <v>17</v>
      </c>
      <c r="E2344" t="s">
        <v>193</v>
      </c>
      <c r="F2344">
        <v>32477717</v>
      </c>
      <c r="G2344" t="s">
        <v>131</v>
      </c>
      <c r="H2344" t="s">
        <v>81</v>
      </c>
      <c r="I2344" t="s">
        <v>9</v>
      </c>
      <c r="L2344" t="s">
        <v>161</v>
      </c>
      <c r="M2344">
        <v>-32477717</v>
      </c>
    </row>
    <row r="2345" spans="1:13" x14ac:dyDescent="0.3">
      <c r="A2345" s="23">
        <v>45617</v>
      </c>
      <c r="B2345" t="s">
        <v>12</v>
      </c>
      <c r="C2345" t="s">
        <v>132</v>
      </c>
      <c r="D2345" t="s">
        <v>17</v>
      </c>
      <c r="E2345" t="s">
        <v>193</v>
      </c>
      <c r="F2345">
        <v>32000000</v>
      </c>
      <c r="G2345" t="s">
        <v>131</v>
      </c>
      <c r="H2345" t="s">
        <v>81</v>
      </c>
      <c r="I2345" t="s">
        <v>9</v>
      </c>
      <c r="L2345" t="s">
        <v>161</v>
      </c>
      <c r="M2345">
        <v>-32000000</v>
      </c>
    </row>
    <row r="2346" spans="1:13" x14ac:dyDescent="0.3">
      <c r="A2346" s="23">
        <v>45616</v>
      </c>
      <c r="B2346" t="s">
        <v>12</v>
      </c>
      <c r="C2346" t="s">
        <v>132</v>
      </c>
      <c r="D2346" t="s">
        <v>16</v>
      </c>
      <c r="E2346" t="s">
        <v>193</v>
      </c>
      <c r="F2346">
        <v>534714859</v>
      </c>
      <c r="G2346" t="s">
        <v>131</v>
      </c>
      <c r="H2346" t="s">
        <v>81</v>
      </c>
      <c r="I2346" t="s">
        <v>9</v>
      </c>
      <c r="L2346" t="s">
        <v>161</v>
      </c>
      <c r="M2346">
        <v>534714859</v>
      </c>
    </row>
    <row r="2347" spans="1:13" x14ac:dyDescent="0.3">
      <c r="A2347" s="23">
        <v>45616</v>
      </c>
      <c r="B2347" t="s">
        <v>12</v>
      </c>
      <c r="C2347" t="s">
        <v>132</v>
      </c>
      <c r="D2347" t="s">
        <v>17</v>
      </c>
      <c r="E2347" t="s">
        <v>193</v>
      </c>
      <c r="F2347">
        <v>114500000</v>
      </c>
      <c r="G2347" t="s">
        <v>131</v>
      </c>
      <c r="H2347" t="s">
        <v>81</v>
      </c>
      <c r="I2347" t="s">
        <v>9</v>
      </c>
      <c r="L2347" t="s">
        <v>161</v>
      </c>
      <c r="M2347">
        <v>-114500000</v>
      </c>
    </row>
    <row r="2348" spans="1:13" x14ac:dyDescent="0.3">
      <c r="A2348" s="23">
        <v>45616</v>
      </c>
      <c r="B2348" t="s">
        <v>12</v>
      </c>
      <c r="C2348" t="s">
        <v>132</v>
      </c>
      <c r="D2348" t="s">
        <v>17</v>
      </c>
      <c r="E2348" t="s">
        <v>193</v>
      </c>
      <c r="F2348">
        <v>114665440</v>
      </c>
      <c r="G2348" t="s">
        <v>131</v>
      </c>
      <c r="H2348" t="s">
        <v>81</v>
      </c>
      <c r="I2348" t="s">
        <v>9</v>
      </c>
      <c r="L2348" t="s">
        <v>161</v>
      </c>
      <c r="M2348">
        <v>-114665440</v>
      </c>
    </row>
    <row r="2349" spans="1:13" x14ac:dyDescent="0.3">
      <c r="A2349" s="23">
        <v>45610</v>
      </c>
      <c r="B2349" t="s">
        <v>12</v>
      </c>
      <c r="C2349" t="s">
        <v>132</v>
      </c>
      <c r="D2349" t="s">
        <v>17</v>
      </c>
      <c r="E2349" t="s">
        <v>193</v>
      </c>
      <c r="F2349">
        <v>117542908.31</v>
      </c>
      <c r="G2349" t="s">
        <v>131</v>
      </c>
      <c r="H2349" t="s">
        <v>81</v>
      </c>
      <c r="I2349" t="s">
        <v>9</v>
      </c>
      <c r="L2349" t="s">
        <v>161</v>
      </c>
      <c r="M2349">
        <v>-117542908.31</v>
      </c>
    </row>
    <row r="2350" spans="1:13" x14ac:dyDescent="0.3">
      <c r="A2350" s="23">
        <v>45608</v>
      </c>
      <c r="B2350" t="s">
        <v>12</v>
      </c>
      <c r="C2350" t="s">
        <v>132</v>
      </c>
      <c r="D2350" t="s">
        <v>16</v>
      </c>
      <c r="E2350" t="s">
        <v>193</v>
      </c>
      <c r="F2350">
        <v>197263977</v>
      </c>
      <c r="G2350" t="s">
        <v>131</v>
      </c>
      <c r="H2350" t="s">
        <v>81</v>
      </c>
      <c r="I2350" t="s">
        <v>9</v>
      </c>
      <c r="L2350" t="s">
        <v>161</v>
      </c>
      <c r="M2350">
        <v>197263977</v>
      </c>
    </row>
    <row r="2351" spans="1:13" x14ac:dyDescent="0.3">
      <c r="A2351" s="23">
        <v>45609</v>
      </c>
      <c r="B2351" t="s">
        <v>12</v>
      </c>
      <c r="C2351" t="s">
        <v>132</v>
      </c>
      <c r="D2351" t="s">
        <v>17</v>
      </c>
      <c r="E2351" t="s">
        <v>193</v>
      </c>
      <c r="F2351">
        <v>114073120</v>
      </c>
      <c r="G2351" t="s">
        <v>131</v>
      </c>
      <c r="H2351" t="s">
        <v>81</v>
      </c>
      <c r="I2351" t="s">
        <v>9</v>
      </c>
      <c r="L2351" t="s">
        <v>161</v>
      </c>
      <c r="M2351">
        <v>-114073120</v>
      </c>
    </row>
    <row r="2352" spans="1:13" x14ac:dyDescent="0.3">
      <c r="A2352" s="23">
        <v>45609</v>
      </c>
      <c r="B2352" t="s">
        <v>12</v>
      </c>
      <c r="C2352" t="s">
        <v>132</v>
      </c>
      <c r="D2352" t="s">
        <v>17</v>
      </c>
      <c r="E2352" t="s">
        <v>193</v>
      </c>
      <c r="F2352">
        <v>170421457</v>
      </c>
      <c r="G2352" t="s">
        <v>131</v>
      </c>
      <c r="H2352" t="s">
        <v>81</v>
      </c>
      <c r="I2352" t="s">
        <v>9</v>
      </c>
      <c r="L2352" t="s">
        <v>161</v>
      </c>
      <c r="M2352">
        <v>-170421457</v>
      </c>
    </row>
    <row r="2353" spans="1:13" x14ac:dyDescent="0.3">
      <c r="A2353" s="23">
        <v>45608</v>
      </c>
      <c r="B2353" t="s">
        <v>12</v>
      </c>
      <c r="C2353" t="s">
        <v>132</v>
      </c>
      <c r="D2353" t="s">
        <v>16</v>
      </c>
      <c r="E2353" t="s">
        <v>193</v>
      </c>
      <c r="F2353">
        <v>1000000000</v>
      </c>
      <c r="G2353" t="s">
        <v>131</v>
      </c>
      <c r="H2353" t="s">
        <v>81</v>
      </c>
      <c r="I2353" t="s">
        <v>9</v>
      </c>
      <c r="L2353" t="s">
        <v>161</v>
      </c>
      <c r="M2353">
        <v>1000000000</v>
      </c>
    </row>
    <row r="2354" spans="1:13" x14ac:dyDescent="0.3">
      <c r="A2354" s="23">
        <v>45607</v>
      </c>
      <c r="B2354" t="s">
        <v>12</v>
      </c>
      <c r="C2354" t="s">
        <v>132</v>
      </c>
      <c r="D2354" t="s">
        <v>16</v>
      </c>
      <c r="E2354" t="s">
        <v>193</v>
      </c>
      <c r="F2354">
        <v>4732924</v>
      </c>
      <c r="G2354" t="s">
        <v>131</v>
      </c>
      <c r="H2354" t="s">
        <v>81</v>
      </c>
      <c r="I2354" t="s">
        <v>9</v>
      </c>
      <c r="L2354" t="s">
        <v>161</v>
      </c>
      <c r="M2354">
        <v>4732924</v>
      </c>
    </row>
    <row r="2355" spans="1:13" x14ac:dyDescent="0.3">
      <c r="A2355" s="23">
        <v>45604</v>
      </c>
      <c r="B2355" t="s">
        <v>12</v>
      </c>
      <c r="C2355" t="s">
        <v>132</v>
      </c>
      <c r="D2355" t="s">
        <v>17</v>
      </c>
      <c r="E2355" t="s">
        <v>193</v>
      </c>
      <c r="F2355">
        <v>130000000</v>
      </c>
      <c r="G2355" t="s">
        <v>131</v>
      </c>
      <c r="H2355" t="s">
        <v>81</v>
      </c>
      <c r="I2355" t="s">
        <v>9</v>
      </c>
      <c r="L2355" t="s">
        <v>161</v>
      </c>
      <c r="M2355">
        <v>-130000000</v>
      </c>
    </row>
    <row r="2356" spans="1:13" x14ac:dyDescent="0.3">
      <c r="A2356" s="23">
        <v>45603</v>
      </c>
      <c r="B2356" t="s">
        <v>12</v>
      </c>
      <c r="C2356" t="s">
        <v>132</v>
      </c>
      <c r="D2356" t="s">
        <v>16</v>
      </c>
      <c r="E2356" t="s">
        <v>193</v>
      </c>
      <c r="F2356">
        <v>74103700</v>
      </c>
      <c r="G2356" t="s">
        <v>131</v>
      </c>
      <c r="H2356" t="s">
        <v>81</v>
      </c>
      <c r="I2356" t="s">
        <v>9</v>
      </c>
      <c r="L2356" t="s">
        <v>161</v>
      </c>
      <c r="M2356">
        <v>74103700</v>
      </c>
    </row>
    <row r="2357" spans="1:13" x14ac:dyDescent="0.3">
      <c r="A2357" s="23">
        <v>45601</v>
      </c>
      <c r="B2357" t="s">
        <v>12</v>
      </c>
      <c r="C2357" t="s">
        <v>132</v>
      </c>
      <c r="D2357" t="s">
        <v>17</v>
      </c>
      <c r="E2357" t="s">
        <v>193</v>
      </c>
      <c r="F2357">
        <v>66012174.340000004</v>
      </c>
      <c r="G2357" t="s">
        <v>131</v>
      </c>
      <c r="H2357" t="s">
        <v>81</v>
      </c>
      <c r="I2357" t="s">
        <v>9</v>
      </c>
      <c r="L2357" t="s">
        <v>161</v>
      </c>
      <c r="M2357">
        <v>-66012174.340000004</v>
      </c>
    </row>
    <row r="2358" spans="1:13" x14ac:dyDescent="0.3">
      <c r="A2358" s="23">
        <v>45600</v>
      </c>
      <c r="B2358" t="s">
        <v>12</v>
      </c>
      <c r="C2358" t="s">
        <v>132</v>
      </c>
      <c r="D2358" t="s">
        <v>16</v>
      </c>
      <c r="E2358" t="s">
        <v>193</v>
      </c>
      <c r="F2358">
        <v>71770580</v>
      </c>
      <c r="G2358" t="s">
        <v>131</v>
      </c>
      <c r="H2358" t="s">
        <v>81</v>
      </c>
      <c r="I2358" t="s">
        <v>9</v>
      </c>
      <c r="L2358" t="s">
        <v>161</v>
      </c>
      <c r="M2358">
        <v>71770580</v>
      </c>
    </row>
    <row r="2359" spans="1:13" x14ac:dyDescent="0.3">
      <c r="A2359" s="23">
        <v>45583</v>
      </c>
      <c r="B2359" t="s">
        <v>12</v>
      </c>
      <c r="C2359" t="s">
        <v>132</v>
      </c>
      <c r="D2359" t="s">
        <v>16</v>
      </c>
      <c r="E2359" t="s">
        <v>193</v>
      </c>
      <c r="F2359">
        <v>5559054.0999999996</v>
      </c>
      <c r="G2359" t="s">
        <v>131</v>
      </c>
      <c r="H2359" t="s">
        <v>81</v>
      </c>
      <c r="I2359" t="s">
        <v>9</v>
      </c>
      <c r="L2359" t="s">
        <v>161</v>
      </c>
      <c r="M2359">
        <v>5559054.0999999996</v>
      </c>
    </row>
    <row r="2360" spans="1:13" x14ac:dyDescent="0.3">
      <c r="A2360" s="23">
        <v>45583</v>
      </c>
      <c r="B2360" t="s">
        <v>12</v>
      </c>
      <c r="C2360" t="s">
        <v>132</v>
      </c>
      <c r="D2360" t="s">
        <v>17</v>
      </c>
      <c r="E2360" t="s">
        <v>193</v>
      </c>
      <c r="F2360">
        <v>129214960.06</v>
      </c>
      <c r="G2360" t="s">
        <v>131</v>
      </c>
      <c r="H2360" t="s">
        <v>81</v>
      </c>
      <c r="I2360" t="s">
        <v>9</v>
      </c>
      <c r="L2360" t="s">
        <v>161</v>
      </c>
      <c r="M2360">
        <v>-129214960.06</v>
      </c>
    </row>
    <row r="2361" spans="1:13" x14ac:dyDescent="0.3">
      <c r="A2361" s="23">
        <v>45579</v>
      </c>
      <c r="B2361" t="s">
        <v>12</v>
      </c>
      <c r="C2361" t="s">
        <v>132</v>
      </c>
      <c r="D2361" t="s">
        <v>17</v>
      </c>
      <c r="E2361" t="s">
        <v>193</v>
      </c>
      <c r="F2361">
        <v>100000000</v>
      </c>
      <c r="G2361" t="s">
        <v>131</v>
      </c>
      <c r="H2361" t="s">
        <v>81</v>
      </c>
      <c r="I2361" t="s">
        <v>9</v>
      </c>
      <c r="L2361" t="s">
        <v>161</v>
      </c>
      <c r="M2361">
        <v>-100000000</v>
      </c>
    </row>
    <row r="2362" spans="1:13" x14ac:dyDescent="0.3">
      <c r="A2362" s="23">
        <v>45569</v>
      </c>
      <c r="B2362" t="s">
        <v>12</v>
      </c>
      <c r="C2362" t="s">
        <v>132</v>
      </c>
      <c r="D2362" t="s">
        <v>17</v>
      </c>
      <c r="E2362" t="s">
        <v>193</v>
      </c>
      <c r="F2362">
        <v>170332796.90000001</v>
      </c>
      <c r="G2362" t="s">
        <v>131</v>
      </c>
      <c r="H2362" t="s">
        <v>81</v>
      </c>
      <c r="I2362" t="s">
        <v>9</v>
      </c>
      <c r="L2362" t="s">
        <v>161</v>
      </c>
      <c r="M2362">
        <v>-170332796.90000001</v>
      </c>
    </row>
    <row r="2363" spans="1:13" x14ac:dyDescent="0.3">
      <c r="A2363" s="23">
        <v>45568</v>
      </c>
      <c r="B2363" t="s">
        <v>12</v>
      </c>
      <c r="C2363" t="s">
        <v>132</v>
      </c>
      <c r="D2363" t="s">
        <v>16</v>
      </c>
      <c r="E2363" t="s">
        <v>193</v>
      </c>
      <c r="F2363">
        <v>430810399</v>
      </c>
      <c r="G2363" t="s">
        <v>131</v>
      </c>
      <c r="H2363" t="s">
        <v>81</v>
      </c>
      <c r="I2363" t="s">
        <v>9</v>
      </c>
      <c r="L2363" t="s">
        <v>161</v>
      </c>
      <c r="M2363">
        <v>430810399</v>
      </c>
    </row>
    <row r="2364" spans="1:13" x14ac:dyDescent="0.3">
      <c r="A2364" s="23">
        <v>45565</v>
      </c>
      <c r="B2364" t="s">
        <v>12</v>
      </c>
      <c r="C2364" t="s">
        <v>132</v>
      </c>
      <c r="D2364" t="s">
        <v>16</v>
      </c>
      <c r="E2364" t="s">
        <v>193</v>
      </c>
      <c r="F2364">
        <v>1650000</v>
      </c>
      <c r="G2364" t="s">
        <v>131</v>
      </c>
      <c r="H2364" t="s">
        <v>81</v>
      </c>
      <c r="I2364" t="s">
        <v>9</v>
      </c>
      <c r="L2364" t="s">
        <v>161</v>
      </c>
      <c r="M2364">
        <v>1650000</v>
      </c>
    </row>
    <row r="2365" spans="1:13" x14ac:dyDescent="0.3">
      <c r="A2365" s="23">
        <v>45538</v>
      </c>
      <c r="B2365" t="s">
        <v>12</v>
      </c>
      <c r="C2365" t="s">
        <v>132</v>
      </c>
      <c r="D2365" t="s">
        <v>16</v>
      </c>
      <c r="E2365" t="s">
        <v>193</v>
      </c>
      <c r="F2365">
        <v>5914000</v>
      </c>
      <c r="G2365" t="s">
        <v>131</v>
      </c>
      <c r="H2365" t="s">
        <v>81</v>
      </c>
      <c r="I2365" t="s">
        <v>9</v>
      </c>
      <c r="L2365" t="s">
        <v>161</v>
      </c>
      <c r="M2365">
        <v>5914000</v>
      </c>
    </row>
    <row r="2366" spans="1:13" x14ac:dyDescent="0.3">
      <c r="A2366" s="23">
        <v>45530</v>
      </c>
      <c r="B2366" t="s">
        <v>12</v>
      </c>
      <c r="C2366" t="s">
        <v>132</v>
      </c>
      <c r="D2366" t="s">
        <v>17</v>
      </c>
      <c r="E2366" t="s">
        <v>193</v>
      </c>
      <c r="F2366">
        <v>200000000</v>
      </c>
      <c r="G2366" t="s">
        <v>131</v>
      </c>
      <c r="H2366" t="s">
        <v>81</v>
      </c>
      <c r="I2366" t="s">
        <v>9</v>
      </c>
      <c r="L2366" t="s">
        <v>161</v>
      </c>
      <c r="M2366">
        <v>-200000000</v>
      </c>
    </row>
    <row r="2367" spans="1:13" x14ac:dyDescent="0.3">
      <c r="A2367" s="23">
        <v>45527</v>
      </c>
      <c r="B2367" t="s">
        <v>12</v>
      </c>
      <c r="C2367" t="s">
        <v>132</v>
      </c>
      <c r="D2367" t="s">
        <v>17</v>
      </c>
      <c r="E2367" t="s">
        <v>193</v>
      </c>
      <c r="F2367">
        <v>245813258</v>
      </c>
      <c r="G2367" t="s">
        <v>131</v>
      </c>
      <c r="H2367" t="s">
        <v>81</v>
      </c>
      <c r="I2367" t="s">
        <v>9</v>
      </c>
      <c r="L2367" t="s">
        <v>161</v>
      </c>
      <c r="M2367">
        <v>-245813258</v>
      </c>
    </row>
    <row r="2368" spans="1:13" x14ac:dyDescent="0.3">
      <c r="A2368" s="23">
        <v>45518</v>
      </c>
      <c r="B2368" t="s">
        <v>12</v>
      </c>
      <c r="C2368" t="s">
        <v>132</v>
      </c>
      <c r="D2368" t="s">
        <v>16</v>
      </c>
      <c r="E2368" t="s">
        <v>193</v>
      </c>
      <c r="F2368">
        <v>113313155</v>
      </c>
      <c r="G2368" t="s">
        <v>131</v>
      </c>
      <c r="H2368" t="s">
        <v>81</v>
      </c>
      <c r="I2368" t="s">
        <v>9</v>
      </c>
      <c r="L2368" t="s">
        <v>161</v>
      </c>
      <c r="M2368">
        <v>113313155</v>
      </c>
    </row>
    <row r="2369" spans="1:13" x14ac:dyDescent="0.3">
      <c r="A2369" s="23">
        <v>45503</v>
      </c>
      <c r="B2369" t="s">
        <v>12</v>
      </c>
      <c r="C2369" t="s">
        <v>132</v>
      </c>
      <c r="D2369" t="s">
        <v>17</v>
      </c>
      <c r="E2369" t="s">
        <v>193</v>
      </c>
      <c r="F2369">
        <v>502892125</v>
      </c>
      <c r="G2369" t="s">
        <v>131</v>
      </c>
      <c r="H2369" t="s">
        <v>81</v>
      </c>
      <c r="I2369" t="s">
        <v>9</v>
      </c>
      <c r="L2369" t="s">
        <v>161</v>
      </c>
      <c r="M2369">
        <v>-502892125</v>
      </c>
    </row>
    <row r="2370" spans="1:13" x14ac:dyDescent="0.3">
      <c r="A2370" s="23">
        <v>45470</v>
      </c>
      <c r="B2370" t="s">
        <v>12</v>
      </c>
      <c r="C2370" t="s">
        <v>132</v>
      </c>
      <c r="D2370" t="s">
        <v>17</v>
      </c>
      <c r="E2370" t="s">
        <v>193</v>
      </c>
      <c r="F2370">
        <v>152842471</v>
      </c>
      <c r="G2370" t="s">
        <v>131</v>
      </c>
      <c r="H2370" t="s">
        <v>81</v>
      </c>
      <c r="I2370" t="s">
        <v>9</v>
      </c>
      <c r="L2370" t="s">
        <v>161</v>
      </c>
      <c r="M2370">
        <v>-152842471</v>
      </c>
    </row>
    <row r="2371" spans="1:13" x14ac:dyDescent="0.3">
      <c r="A2371" s="23">
        <v>45469</v>
      </c>
      <c r="B2371" t="s">
        <v>12</v>
      </c>
      <c r="C2371" t="s">
        <v>132</v>
      </c>
      <c r="D2371" t="s">
        <v>17</v>
      </c>
      <c r="E2371" t="s">
        <v>193</v>
      </c>
      <c r="F2371">
        <v>478182807</v>
      </c>
      <c r="G2371" t="s">
        <v>131</v>
      </c>
      <c r="H2371" t="s">
        <v>81</v>
      </c>
      <c r="I2371" t="s">
        <v>9</v>
      </c>
      <c r="L2371" t="s">
        <v>161</v>
      </c>
      <c r="M2371">
        <v>-478182807</v>
      </c>
    </row>
    <row r="2372" spans="1:13" x14ac:dyDescent="0.3">
      <c r="A2372" s="23">
        <v>45460</v>
      </c>
      <c r="B2372" t="s">
        <v>12</v>
      </c>
      <c r="C2372" t="s">
        <v>132</v>
      </c>
      <c r="D2372" t="s">
        <v>16</v>
      </c>
      <c r="E2372" t="s">
        <v>193</v>
      </c>
      <c r="F2372">
        <v>22300000</v>
      </c>
      <c r="G2372" t="s">
        <v>131</v>
      </c>
      <c r="H2372" t="s">
        <v>81</v>
      </c>
      <c r="I2372" t="s">
        <v>9</v>
      </c>
      <c r="L2372" t="s">
        <v>161</v>
      </c>
      <c r="M2372">
        <v>22300000</v>
      </c>
    </row>
    <row r="2373" spans="1:13" x14ac:dyDescent="0.3">
      <c r="A2373" s="23">
        <v>45456</v>
      </c>
      <c r="B2373" t="s">
        <v>12</v>
      </c>
      <c r="C2373" t="s">
        <v>132</v>
      </c>
      <c r="D2373" t="s">
        <v>16</v>
      </c>
      <c r="E2373" t="s">
        <v>193</v>
      </c>
      <c r="F2373">
        <v>500000000</v>
      </c>
      <c r="G2373" t="s">
        <v>131</v>
      </c>
      <c r="H2373" t="s">
        <v>81</v>
      </c>
      <c r="I2373" t="s">
        <v>9</v>
      </c>
      <c r="L2373" t="s">
        <v>161</v>
      </c>
      <c r="M2373">
        <v>500000000</v>
      </c>
    </row>
    <row r="2374" spans="1:13" x14ac:dyDescent="0.3">
      <c r="A2374" s="23">
        <v>45440</v>
      </c>
      <c r="B2374" t="s">
        <v>12</v>
      </c>
      <c r="C2374" t="s">
        <v>132</v>
      </c>
      <c r="D2374" t="s">
        <v>16</v>
      </c>
      <c r="E2374" t="s">
        <v>193</v>
      </c>
      <c r="F2374">
        <v>1000000000</v>
      </c>
      <c r="G2374" t="s">
        <v>131</v>
      </c>
      <c r="H2374" t="s">
        <v>81</v>
      </c>
      <c r="I2374" t="s">
        <v>9</v>
      </c>
      <c r="L2374" t="s">
        <v>161</v>
      </c>
      <c r="M2374">
        <v>1000000000</v>
      </c>
    </row>
    <row r="2375" spans="1:13" x14ac:dyDescent="0.3">
      <c r="A2375" s="23">
        <v>45770</v>
      </c>
      <c r="B2375" t="s">
        <v>12</v>
      </c>
      <c r="C2375" t="s">
        <v>132</v>
      </c>
      <c r="D2375" t="s">
        <v>17</v>
      </c>
      <c r="E2375" t="s">
        <v>195</v>
      </c>
      <c r="F2375">
        <v>762540931.87</v>
      </c>
      <c r="G2375" t="s">
        <v>134</v>
      </c>
      <c r="H2375" t="s">
        <v>81</v>
      </c>
      <c r="I2375" t="s">
        <v>9</v>
      </c>
      <c r="L2375" t="s">
        <v>161</v>
      </c>
      <c r="M2375">
        <v>-762540931.87</v>
      </c>
    </row>
    <row r="2376" spans="1:13" x14ac:dyDescent="0.3">
      <c r="A2376" s="23">
        <v>45754</v>
      </c>
      <c r="B2376" t="s">
        <v>12</v>
      </c>
      <c r="C2376" t="s">
        <v>132</v>
      </c>
      <c r="D2376" t="s">
        <v>16</v>
      </c>
      <c r="E2376" t="s">
        <v>195</v>
      </c>
      <c r="F2376">
        <v>537050887</v>
      </c>
      <c r="G2376" t="s">
        <v>134</v>
      </c>
      <c r="H2376" t="s">
        <v>81</v>
      </c>
      <c r="I2376" t="s">
        <v>9</v>
      </c>
      <c r="L2376" t="s">
        <v>161</v>
      </c>
      <c r="M2376">
        <v>537050887</v>
      </c>
    </row>
    <row r="2377" spans="1:13" x14ac:dyDescent="0.3">
      <c r="A2377" s="23">
        <v>45743</v>
      </c>
      <c r="B2377" t="s">
        <v>12</v>
      </c>
      <c r="C2377" t="s">
        <v>132</v>
      </c>
      <c r="D2377" t="s">
        <v>16</v>
      </c>
      <c r="E2377" t="s">
        <v>195</v>
      </c>
      <c r="F2377">
        <v>645359</v>
      </c>
      <c r="G2377" t="s">
        <v>134</v>
      </c>
      <c r="H2377" t="s">
        <v>81</v>
      </c>
      <c r="I2377" t="s">
        <v>9</v>
      </c>
      <c r="L2377" t="s">
        <v>161</v>
      </c>
      <c r="M2377">
        <v>645359</v>
      </c>
    </row>
    <row r="2378" spans="1:13" x14ac:dyDescent="0.3">
      <c r="A2378" s="23">
        <v>45734</v>
      </c>
      <c r="B2378" t="s">
        <v>12</v>
      </c>
      <c r="C2378" t="s">
        <v>132</v>
      </c>
      <c r="D2378" t="s">
        <v>16</v>
      </c>
      <c r="E2378" t="s">
        <v>195</v>
      </c>
      <c r="F2378">
        <v>22831234</v>
      </c>
      <c r="G2378" t="s">
        <v>134</v>
      </c>
      <c r="H2378" t="s">
        <v>81</v>
      </c>
      <c r="I2378" t="s">
        <v>9</v>
      </c>
      <c r="L2378" t="s">
        <v>161</v>
      </c>
      <c r="M2378">
        <v>22831234</v>
      </c>
    </row>
    <row r="2379" spans="1:13" x14ac:dyDescent="0.3">
      <c r="A2379" s="23">
        <v>45734</v>
      </c>
      <c r="B2379" t="s">
        <v>12</v>
      </c>
      <c r="C2379" t="s">
        <v>132</v>
      </c>
      <c r="D2379" t="s">
        <v>17</v>
      </c>
      <c r="E2379" t="s">
        <v>195</v>
      </c>
      <c r="F2379">
        <v>100000000</v>
      </c>
      <c r="G2379" t="s">
        <v>134</v>
      </c>
      <c r="H2379" t="s">
        <v>81</v>
      </c>
      <c r="I2379" t="s">
        <v>9</v>
      </c>
      <c r="L2379" t="s">
        <v>161</v>
      </c>
      <c r="M2379">
        <v>-100000000</v>
      </c>
    </row>
    <row r="2380" spans="1:13" x14ac:dyDescent="0.3">
      <c r="A2380" s="23">
        <v>45734</v>
      </c>
      <c r="B2380" t="s">
        <v>12</v>
      </c>
      <c r="C2380" t="s">
        <v>132</v>
      </c>
      <c r="D2380" t="s">
        <v>17</v>
      </c>
      <c r="E2380" t="s">
        <v>195</v>
      </c>
      <c r="F2380">
        <v>70000000</v>
      </c>
      <c r="G2380" t="s">
        <v>134</v>
      </c>
      <c r="H2380" t="s">
        <v>81</v>
      </c>
      <c r="I2380" t="s">
        <v>9</v>
      </c>
      <c r="L2380" t="s">
        <v>161</v>
      </c>
      <c r="M2380">
        <v>-70000000</v>
      </c>
    </row>
    <row r="2381" spans="1:13" x14ac:dyDescent="0.3">
      <c r="A2381" s="23">
        <v>45733</v>
      </c>
      <c r="B2381" t="s">
        <v>12</v>
      </c>
      <c r="C2381" t="s">
        <v>132</v>
      </c>
      <c r="D2381" t="s">
        <v>16</v>
      </c>
      <c r="E2381" t="s">
        <v>195</v>
      </c>
      <c r="F2381">
        <v>149506294</v>
      </c>
      <c r="G2381" t="s">
        <v>134</v>
      </c>
      <c r="H2381" t="s">
        <v>81</v>
      </c>
      <c r="I2381" t="s">
        <v>9</v>
      </c>
      <c r="L2381" t="s">
        <v>161</v>
      </c>
      <c r="M2381">
        <v>149506294</v>
      </c>
    </row>
    <row r="2382" spans="1:13" x14ac:dyDescent="0.3">
      <c r="A2382" s="23">
        <v>45714</v>
      </c>
      <c r="B2382" t="s">
        <v>12</v>
      </c>
      <c r="C2382" t="s">
        <v>132</v>
      </c>
      <c r="D2382" t="s">
        <v>16</v>
      </c>
      <c r="E2382" t="s">
        <v>195</v>
      </c>
      <c r="F2382">
        <v>620095</v>
      </c>
      <c r="G2382" t="s">
        <v>134</v>
      </c>
      <c r="H2382" t="s">
        <v>81</v>
      </c>
      <c r="I2382" t="s">
        <v>9</v>
      </c>
      <c r="L2382" t="s">
        <v>161</v>
      </c>
      <c r="M2382">
        <v>620095</v>
      </c>
    </row>
    <row r="2383" spans="1:13" x14ac:dyDescent="0.3">
      <c r="A2383" s="23">
        <v>45707</v>
      </c>
      <c r="B2383" t="s">
        <v>12</v>
      </c>
      <c r="C2383" t="s">
        <v>132</v>
      </c>
      <c r="D2383" t="s">
        <v>17</v>
      </c>
      <c r="E2383" t="s">
        <v>195</v>
      </c>
      <c r="F2383">
        <v>115183806</v>
      </c>
      <c r="G2383" t="s">
        <v>134</v>
      </c>
      <c r="H2383" t="s">
        <v>81</v>
      </c>
      <c r="I2383" t="s">
        <v>9</v>
      </c>
      <c r="L2383" t="s">
        <v>161</v>
      </c>
      <c r="M2383">
        <v>-115183806</v>
      </c>
    </row>
    <row r="2384" spans="1:13" x14ac:dyDescent="0.3">
      <c r="A2384" s="23">
        <v>45706</v>
      </c>
      <c r="B2384" t="s">
        <v>12</v>
      </c>
      <c r="C2384" t="s">
        <v>132</v>
      </c>
      <c r="D2384" t="s">
        <v>17</v>
      </c>
      <c r="E2384" t="s">
        <v>195</v>
      </c>
      <c r="F2384">
        <v>100591669.55</v>
      </c>
      <c r="G2384" t="s">
        <v>134</v>
      </c>
      <c r="H2384" t="s">
        <v>81</v>
      </c>
      <c r="I2384" t="s">
        <v>9</v>
      </c>
      <c r="L2384" t="s">
        <v>161</v>
      </c>
      <c r="M2384">
        <v>-100591669.55</v>
      </c>
    </row>
    <row r="2385" spans="1:13" x14ac:dyDescent="0.3">
      <c r="A2385" s="23">
        <v>45706</v>
      </c>
      <c r="B2385" t="s">
        <v>12</v>
      </c>
      <c r="C2385" t="s">
        <v>132</v>
      </c>
      <c r="D2385" t="s">
        <v>17</v>
      </c>
      <c r="E2385" t="s">
        <v>195</v>
      </c>
      <c r="F2385">
        <v>176360888</v>
      </c>
      <c r="G2385" t="s">
        <v>134</v>
      </c>
      <c r="H2385" t="s">
        <v>81</v>
      </c>
      <c r="I2385" t="s">
        <v>9</v>
      </c>
      <c r="L2385" t="s">
        <v>161</v>
      </c>
      <c r="M2385">
        <v>-176360888</v>
      </c>
    </row>
    <row r="2386" spans="1:13" x14ac:dyDescent="0.3">
      <c r="A2386" s="23">
        <v>45700</v>
      </c>
      <c r="B2386" t="s">
        <v>12</v>
      </c>
      <c r="C2386" t="s">
        <v>132</v>
      </c>
      <c r="D2386" t="s">
        <v>16</v>
      </c>
      <c r="E2386" t="s">
        <v>195</v>
      </c>
      <c r="F2386">
        <v>400000000</v>
      </c>
      <c r="G2386" t="s">
        <v>134</v>
      </c>
      <c r="H2386" t="s">
        <v>81</v>
      </c>
      <c r="I2386" t="s">
        <v>9</v>
      </c>
      <c r="L2386" t="s">
        <v>161</v>
      </c>
      <c r="M2386">
        <v>400000000</v>
      </c>
    </row>
    <row r="2387" spans="1:13" x14ac:dyDescent="0.3">
      <c r="A2387" s="23">
        <v>45700</v>
      </c>
      <c r="B2387" t="s">
        <v>12</v>
      </c>
      <c r="C2387" t="s">
        <v>132</v>
      </c>
      <c r="D2387" t="s">
        <v>17</v>
      </c>
      <c r="E2387" t="s">
        <v>195</v>
      </c>
      <c r="F2387">
        <v>38644669.579999998</v>
      </c>
      <c r="G2387" t="s">
        <v>134</v>
      </c>
      <c r="H2387" t="s">
        <v>81</v>
      </c>
      <c r="I2387" t="s">
        <v>9</v>
      </c>
      <c r="L2387" t="s">
        <v>161</v>
      </c>
      <c r="M2387">
        <v>-38644669.579999998</v>
      </c>
    </row>
    <row r="2388" spans="1:13" x14ac:dyDescent="0.3">
      <c r="A2388" s="23">
        <v>45700</v>
      </c>
      <c r="B2388" t="s">
        <v>12</v>
      </c>
      <c r="C2388" t="s">
        <v>132</v>
      </c>
      <c r="D2388" t="s">
        <v>17</v>
      </c>
      <c r="E2388" t="s">
        <v>195</v>
      </c>
      <c r="F2388">
        <v>40000000</v>
      </c>
      <c r="G2388" t="s">
        <v>134</v>
      </c>
      <c r="H2388" t="s">
        <v>81</v>
      </c>
      <c r="I2388" t="s">
        <v>9</v>
      </c>
      <c r="L2388" t="s">
        <v>161</v>
      </c>
      <c r="M2388">
        <v>-40000000</v>
      </c>
    </row>
    <row r="2389" spans="1:13" x14ac:dyDescent="0.3">
      <c r="A2389" s="23">
        <v>45699</v>
      </c>
      <c r="B2389" t="s">
        <v>12</v>
      </c>
      <c r="C2389" t="s">
        <v>132</v>
      </c>
      <c r="D2389" t="s">
        <v>17</v>
      </c>
      <c r="E2389" t="s">
        <v>195</v>
      </c>
      <c r="F2389">
        <v>155117108</v>
      </c>
      <c r="G2389" t="s">
        <v>134</v>
      </c>
      <c r="H2389" t="s">
        <v>81</v>
      </c>
      <c r="I2389" t="s">
        <v>9</v>
      </c>
      <c r="L2389" t="s">
        <v>161</v>
      </c>
      <c r="M2389">
        <v>-155117108</v>
      </c>
    </row>
    <row r="2390" spans="1:13" x14ac:dyDescent="0.3">
      <c r="A2390" s="23">
        <v>45691</v>
      </c>
      <c r="B2390" t="s">
        <v>12</v>
      </c>
      <c r="C2390" t="s">
        <v>132</v>
      </c>
      <c r="D2390" t="s">
        <v>16</v>
      </c>
      <c r="E2390" t="s">
        <v>195</v>
      </c>
      <c r="F2390">
        <v>218634000</v>
      </c>
      <c r="G2390" t="s">
        <v>134</v>
      </c>
      <c r="H2390" t="s">
        <v>81</v>
      </c>
      <c r="I2390" t="s">
        <v>9</v>
      </c>
      <c r="L2390" t="s">
        <v>161</v>
      </c>
      <c r="M2390">
        <v>218634000</v>
      </c>
    </row>
    <row r="2391" spans="1:13" x14ac:dyDescent="0.3">
      <c r="A2391" s="23">
        <v>45687</v>
      </c>
      <c r="B2391" t="s">
        <v>12</v>
      </c>
      <c r="C2391" t="s">
        <v>132</v>
      </c>
      <c r="D2391" t="s">
        <v>16</v>
      </c>
      <c r="E2391" t="s">
        <v>195</v>
      </c>
      <c r="F2391">
        <v>142299964</v>
      </c>
      <c r="G2391" t="s">
        <v>134</v>
      </c>
      <c r="H2391" t="s">
        <v>81</v>
      </c>
      <c r="I2391" t="s">
        <v>9</v>
      </c>
      <c r="L2391" t="s">
        <v>161</v>
      </c>
      <c r="M2391">
        <v>142299964</v>
      </c>
    </row>
    <row r="2392" spans="1:13" x14ac:dyDescent="0.3">
      <c r="A2392" s="23">
        <v>45687</v>
      </c>
      <c r="B2392" t="s">
        <v>12</v>
      </c>
      <c r="C2392" t="s">
        <v>132</v>
      </c>
      <c r="D2392" t="s">
        <v>17</v>
      </c>
      <c r="E2392" t="s">
        <v>195</v>
      </c>
      <c r="F2392">
        <v>80000000</v>
      </c>
      <c r="G2392" t="s">
        <v>134</v>
      </c>
      <c r="H2392" t="s">
        <v>81</v>
      </c>
      <c r="I2392" t="s">
        <v>9</v>
      </c>
      <c r="L2392" t="s">
        <v>161</v>
      </c>
      <c r="M2392">
        <v>-80000000</v>
      </c>
    </row>
    <row r="2393" spans="1:13" x14ac:dyDescent="0.3">
      <c r="A2393" s="23">
        <v>45686</v>
      </c>
      <c r="B2393" t="s">
        <v>12</v>
      </c>
      <c r="C2393" t="s">
        <v>132</v>
      </c>
      <c r="D2393" t="s">
        <v>17</v>
      </c>
      <c r="E2393" t="s">
        <v>195</v>
      </c>
      <c r="F2393">
        <v>154148909</v>
      </c>
      <c r="G2393" t="s">
        <v>134</v>
      </c>
      <c r="H2393" t="s">
        <v>81</v>
      </c>
      <c r="I2393" t="s">
        <v>9</v>
      </c>
      <c r="L2393" t="s">
        <v>161</v>
      </c>
      <c r="M2393">
        <v>-154148909</v>
      </c>
    </row>
    <row r="2394" spans="1:13" x14ac:dyDescent="0.3">
      <c r="A2394" s="23">
        <v>45685</v>
      </c>
      <c r="B2394" t="s">
        <v>12</v>
      </c>
      <c r="C2394" t="s">
        <v>132</v>
      </c>
      <c r="D2394" t="s">
        <v>16</v>
      </c>
      <c r="E2394" t="s">
        <v>195</v>
      </c>
      <c r="F2394">
        <v>321000149</v>
      </c>
      <c r="G2394" t="s">
        <v>134</v>
      </c>
      <c r="H2394" t="s">
        <v>81</v>
      </c>
      <c r="I2394" t="s">
        <v>9</v>
      </c>
      <c r="L2394" t="s">
        <v>161</v>
      </c>
      <c r="M2394">
        <v>321000149</v>
      </c>
    </row>
    <row r="2395" spans="1:13" x14ac:dyDescent="0.3">
      <c r="A2395" s="23">
        <v>45679</v>
      </c>
      <c r="B2395" t="s">
        <v>12</v>
      </c>
      <c r="C2395" t="s">
        <v>132</v>
      </c>
      <c r="D2395" t="s">
        <v>17</v>
      </c>
      <c r="E2395" t="s">
        <v>195</v>
      </c>
      <c r="F2395">
        <v>163986137.63</v>
      </c>
      <c r="G2395" t="s">
        <v>134</v>
      </c>
      <c r="H2395" t="s">
        <v>81</v>
      </c>
      <c r="I2395" t="s">
        <v>9</v>
      </c>
      <c r="L2395" t="s">
        <v>161</v>
      </c>
      <c r="M2395">
        <v>-163986137.63</v>
      </c>
    </row>
    <row r="2396" spans="1:13" x14ac:dyDescent="0.3">
      <c r="A2396" s="23">
        <v>45674</v>
      </c>
      <c r="B2396" t="s">
        <v>12</v>
      </c>
      <c r="C2396" t="s">
        <v>132</v>
      </c>
      <c r="D2396" t="s">
        <v>16</v>
      </c>
      <c r="E2396" t="s">
        <v>195</v>
      </c>
      <c r="F2396">
        <v>59470271</v>
      </c>
      <c r="G2396" t="s">
        <v>134</v>
      </c>
      <c r="H2396" t="s">
        <v>81</v>
      </c>
      <c r="I2396" t="s">
        <v>9</v>
      </c>
      <c r="L2396" t="s">
        <v>161</v>
      </c>
      <c r="M2396">
        <v>59470271</v>
      </c>
    </row>
    <row r="2397" spans="1:13" x14ac:dyDescent="0.3">
      <c r="A2397" s="23">
        <v>45674</v>
      </c>
      <c r="B2397" t="s">
        <v>12</v>
      </c>
      <c r="C2397" t="s">
        <v>132</v>
      </c>
      <c r="D2397" t="s">
        <v>17</v>
      </c>
      <c r="E2397" t="s">
        <v>195</v>
      </c>
      <c r="F2397">
        <v>275820693.24000001</v>
      </c>
      <c r="G2397" t="s">
        <v>134</v>
      </c>
      <c r="H2397" t="s">
        <v>81</v>
      </c>
      <c r="I2397" t="s">
        <v>9</v>
      </c>
      <c r="L2397" t="s">
        <v>161</v>
      </c>
      <c r="M2397">
        <v>-275820693.24000001</v>
      </c>
    </row>
    <row r="2398" spans="1:13" x14ac:dyDescent="0.3">
      <c r="A2398" s="23">
        <v>45672</v>
      </c>
      <c r="B2398" t="s">
        <v>12</v>
      </c>
      <c r="C2398" t="s">
        <v>132</v>
      </c>
      <c r="D2398" t="s">
        <v>17</v>
      </c>
      <c r="E2398" t="s">
        <v>195</v>
      </c>
      <c r="F2398">
        <v>1031685856.13</v>
      </c>
      <c r="G2398" t="s">
        <v>134</v>
      </c>
      <c r="H2398" t="s">
        <v>81</v>
      </c>
      <c r="I2398" t="s">
        <v>9</v>
      </c>
      <c r="L2398" t="s">
        <v>161</v>
      </c>
      <c r="M2398">
        <v>-1031685856.13</v>
      </c>
    </row>
    <row r="2399" spans="1:13" x14ac:dyDescent="0.3">
      <c r="A2399" s="23">
        <v>45673</v>
      </c>
      <c r="B2399" t="s">
        <v>12</v>
      </c>
      <c r="C2399" t="s">
        <v>132</v>
      </c>
      <c r="D2399" t="s">
        <v>16</v>
      </c>
      <c r="E2399" t="s">
        <v>195</v>
      </c>
      <c r="F2399">
        <v>177117944</v>
      </c>
      <c r="G2399" t="s">
        <v>134</v>
      </c>
      <c r="H2399" t="s">
        <v>81</v>
      </c>
      <c r="I2399" t="s">
        <v>9</v>
      </c>
      <c r="L2399" t="s">
        <v>161</v>
      </c>
      <c r="M2399">
        <v>177117944</v>
      </c>
    </row>
    <row r="2400" spans="1:13" x14ac:dyDescent="0.3">
      <c r="A2400" s="23">
        <v>45672</v>
      </c>
      <c r="B2400" t="s">
        <v>12</v>
      </c>
      <c r="C2400" t="s">
        <v>132</v>
      </c>
      <c r="D2400" t="s">
        <v>16</v>
      </c>
      <c r="E2400" t="s">
        <v>195</v>
      </c>
      <c r="F2400">
        <v>153866550</v>
      </c>
      <c r="G2400" t="s">
        <v>134</v>
      </c>
      <c r="H2400" t="s">
        <v>81</v>
      </c>
      <c r="I2400" t="s">
        <v>9</v>
      </c>
      <c r="L2400" t="s">
        <v>161</v>
      </c>
      <c r="M2400">
        <v>153866550</v>
      </c>
    </row>
    <row r="2401" spans="1:13" x14ac:dyDescent="0.3">
      <c r="A2401" s="23">
        <v>45671</v>
      </c>
      <c r="B2401" t="s">
        <v>12</v>
      </c>
      <c r="C2401" t="s">
        <v>132</v>
      </c>
      <c r="D2401" t="s">
        <v>16</v>
      </c>
      <c r="E2401" t="s">
        <v>195</v>
      </c>
      <c r="F2401">
        <v>900000000</v>
      </c>
      <c r="G2401" t="s">
        <v>134</v>
      </c>
      <c r="H2401" t="s">
        <v>81</v>
      </c>
      <c r="I2401" t="s">
        <v>9</v>
      </c>
      <c r="L2401" t="s">
        <v>161</v>
      </c>
      <c r="M2401">
        <v>900000000</v>
      </c>
    </row>
    <row r="2402" spans="1:13" x14ac:dyDescent="0.3">
      <c r="A2402" s="23">
        <v>45671</v>
      </c>
      <c r="B2402" t="s">
        <v>12</v>
      </c>
      <c r="C2402" t="s">
        <v>132</v>
      </c>
      <c r="D2402" t="s">
        <v>17</v>
      </c>
      <c r="E2402" t="s">
        <v>195</v>
      </c>
      <c r="F2402">
        <v>110764944.11</v>
      </c>
      <c r="G2402" t="s">
        <v>134</v>
      </c>
      <c r="H2402" t="s">
        <v>81</v>
      </c>
      <c r="I2402" t="s">
        <v>9</v>
      </c>
      <c r="L2402" t="s">
        <v>161</v>
      </c>
      <c r="M2402">
        <v>-110764944.11</v>
      </c>
    </row>
    <row r="2403" spans="1:13" x14ac:dyDescent="0.3">
      <c r="A2403" s="23">
        <v>45671</v>
      </c>
      <c r="B2403" t="s">
        <v>12</v>
      </c>
      <c r="C2403" t="s">
        <v>132</v>
      </c>
      <c r="D2403" t="s">
        <v>17</v>
      </c>
      <c r="E2403" t="s">
        <v>195</v>
      </c>
      <c r="F2403">
        <v>98931040.890000001</v>
      </c>
      <c r="G2403" t="s">
        <v>134</v>
      </c>
      <c r="H2403" t="s">
        <v>81</v>
      </c>
      <c r="I2403" t="s">
        <v>9</v>
      </c>
      <c r="L2403" t="s">
        <v>161</v>
      </c>
      <c r="M2403">
        <v>-98931040.890000001</v>
      </c>
    </row>
    <row r="2404" spans="1:13" x14ac:dyDescent="0.3">
      <c r="A2404" s="23">
        <v>45670</v>
      </c>
      <c r="B2404" t="s">
        <v>12</v>
      </c>
      <c r="C2404" t="s">
        <v>132</v>
      </c>
      <c r="D2404" t="s">
        <v>16</v>
      </c>
      <c r="E2404" t="s">
        <v>195</v>
      </c>
      <c r="F2404">
        <v>36086267</v>
      </c>
      <c r="G2404" t="s">
        <v>134</v>
      </c>
      <c r="H2404" t="s">
        <v>81</v>
      </c>
      <c r="I2404" t="s">
        <v>9</v>
      </c>
      <c r="L2404" t="s">
        <v>161</v>
      </c>
      <c r="M2404">
        <v>36086267</v>
      </c>
    </row>
    <row r="2405" spans="1:13" x14ac:dyDescent="0.3">
      <c r="A2405" s="23">
        <v>45667</v>
      </c>
      <c r="B2405" t="s">
        <v>12</v>
      </c>
      <c r="C2405" t="s">
        <v>132</v>
      </c>
      <c r="D2405" t="s">
        <v>17</v>
      </c>
      <c r="E2405" t="s">
        <v>195</v>
      </c>
      <c r="F2405">
        <v>142710696</v>
      </c>
      <c r="G2405" t="s">
        <v>134</v>
      </c>
      <c r="H2405" t="s">
        <v>81</v>
      </c>
      <c r="I2405" t="s">
        <v>9</v>
      </c>
      <c r="L2405" t="s">
        <v>161</v>
      </c>
      <c r="M2405">
        <v>-142710696</v>
      </c>
    </row>
    <row r="2406" spans="1:13" x14ac:dyDescent="0.3">
      <c r="A2406" s="23">
        <v>45667</v>
      </c>
      <c r="B2406" t="s">
        <v>12</v>
      </c>
      <c r="C2406" t="s">
        <v>132</v>
      </c>
      <c r="D2406" t="s">
        <v>16</v>
      </c>
      <c r="E2406" t="s">
        <v>195</v>
      </c>
      <c r="F2406">
        <v>431076228</v>
      </c>
      <c r="G2406" t="s">
        <v>134</v>
      </c>
      <c r="H2406" t="s">
        <v>81</v>
      </c>
      <c r="I2406" t="s">
        <v>9</v>
      </c>
      <c r="L2406" t="s">
        <v>161</v>
      </c>
      <c r="M2406">
        <v>431076228</v>
      </c>
    </row>
    <row r="2407" spans="1:13" x14ac:dyDescent="0.3">
      <c r="A2407" s="23">
        <v>45666</v>
      </c>
      <c r="B2407" t="s">
        <v>12</v>
      </c>
      <c r="C2407" t="s">
        <v>132</v>
      </c>
      <c r="D2407" t="s">
        <v>17</v>
      </c>
      <c r="E2407" t="s">
        <v>195</v>
      </c>
      <c r="F2407">
        <v>250000000</v>
      </c>
      <c r="G2407" t="s">
        <v>134</v>
      </c>
      <c r="H2407" t="s">
        <v>81</v>
      </c>
      <c r="I2407" t="s">
        <v>9</v>
      </c>
      <c r="L2407" t="s">
        <v>161</v>
      </c>
      <c r="M2407">
        <v>-250000000</v>
      </c>
    </row>
    <row r="2408" spans="1:13" x14ac:dyDescent="0.3">
      <c r="A2408" s="23">
        <v>45665</v>
      </c>
      <c r="B2408" t="s">
        <v>12</v>
      </c>
      <c r="C2408" t="s">
        <v>132</v>
      </c>
      <c r="D2408" t="s">
        <v>17</v>
      </c>
      <c r="E2408" t="s">
        <v>195</v>
      </c>
      <c r="F2408">
        <v>250000000</v>
      </c>
      <c r="G2408" t="s">
        <v>134</v>
      </c>
      <c r="H2408" t="s">
        <v>81</v>
      </c>
      <c r="I2408" t="s">
        <v>9</v>
      </c>
      <c r="L2408" t="s">
        <v>161</v>
      </c>
      <c r="M2408">
        <v>-250000000</v>
      </c>
    </row>
    <row r="2409" spans="1:13" x14ac:dyDescent="0.3">
      <c r="A2409" s="23">
        <v>45664</v>
      </c>
      <c r="B2409" t="s">
        <v>12</v>
      </c>
      <c r="C2409" t="s">
        <v>132</v>
      </c>
      <c r="D2409" t="s">
        <v>16</v>
      </c>
      <c r="E2409" t="s">
        <v>195</v>
      </c>
      <c r="F2409">
        <v>424203759</v>
      </c>
      <c r="G2409" t="s">
        <v>134</v>
      </c>
      <c r="H2409" t="s">
        <v>81</v>
      </c>
      <c r="I2409" t="s">
        <v>9</v>
      </c>
      <c r="L2409" t="s">
        <v>161</v>
      </c>
      <c r="M2409">
        <v>424203759</v>
      </c>
    </row>
    <row r="2410" spans="1:13" x14ac:dyDescent="0.3">
      <c r="A2410" s="23">
        <v>45659</v>
      </c>
      <c r="B2410" t="s">
        <v>12</v>
      </c>
      <c r="C2410" t="s">
        <v>132</v>
      </c>
      <c r="D2410" t="s">
        <v>16</v>
      </c>
      <c r="E2410" t="s">
        <v>195</v>
      </c>
      <c r="F2410">
        <v>142078349</v>
      </c>
      <c r="G2410" t="s">
        <v>134</v>
      </c>
      <c r="H2410" t="s">
        <v>81</v>
      </c>
      <c r="I2410" t="s">
        <v>9</v>
      </c>
      <c r="L2410" t="s">
        <v>161</v>
      </c>
      <c r="M2410">
        <v>142078349</v>
      </c>
    </row>
    <row r="2411" spans="1:13" x14ac:dyDescent="0.3">
      <c r="A2411" s="23">
        <v>45656</v>
      </c>
      <c r="B2411" t="s">
        <v>12</v>
      </c>
      <c r="C2411" t="s">
        <v>132</v>
      </c>
      <c r="D2411" t="s">
        <v>17</v>
      </c>
      <c r="E2411" t="s">
        <v>195</v>
      </c>
      <c r="F2411">
        <v>342968383.99000001</v>
      </c>
      <c r="G2411" t="s">
        <v>134</v>
      </c>
      <c r="H2411" t="s">
        <v>81</v>
      </c>
      <c r="I2411" t="s">
        <v>9</v>
      </c>
      <c r="L2411" t="s">
        <v>161</v>
      </c>
      <c r="M2411">
        <v>-342968383.99000001</v>
      </c>
    </row>
    <row r="2412" spans="1:13" x14ac:dyDescent="0.3">
      <c r="A2412" s="23">
        <v>45653</v>
      </c>
      <c r="B2412" t="s">
        <v>12</v>
      </c>
      <c r="C2412" t="s">
        <v>132</v>
      </c>
      <c r="D2412" t="s">
        <v>17</v>
      </c>
      <c r="E2412" t="s">
        <v>195</v>
      </c>
      <c r="F2412">
        <v>350000000</v>
      </c>
      <c r="G2412" t="s">
        <v>134</v>
      </c>
      <c r="H2412" t="s">
        <v>81</v>
      </c>
      <c r="I2412" t="s">
        <v>9</v>
      </c>
      <c r="L2412" t="s">
        <v>161</v>
      </c>
      <c r="M2412">
        <v>-350000000</v>
      </c>
    </row>
    <row r="2413" spans="1:13" x14ac:dyDescent="0.3">
      <c r="A2413" s="23">
        <v>45652</v>
      </c>
      <c r="B2413" t="s">
        <v>12</v>
      </c>
      <c r="C2413" t="s">
        <v>132</v>
      </c>
      <c r="D2413" t="s">
        <v>17</v>
      </c>
      <c r="E2413" t="s">
        <v>195</v>
      </c>
      <c r="F2413">
        <v>120681428.81999999</v>
      </c>
      <c r="G2413" t="s">
        <v>134</v>
      </c>
      <c r="H2413" t="s">
        <v>81</v>
      </c>
      <c r="I2413" t="s">
        <v>9</v>
      </c>
      <c r="L2413" t="s">
        <v>161</v>
      </c>
      <c r="M2413">
        <v>-120681428.81999999</v>
      </c>
    </row>
    <row r="2414" spans="1:13" x14ac:dyDescent="0.3">
      <c r="A2414" s="23">
        <v>45652</v>
      </c>
      <c r="B2414" t="s">
        <v>12</v>
      </c>
      <c r="C2414" t="s">
        <v>132</v>
      </c>
      <c r="D2414" t="s">
        <v>17</v>
      </c>
      <c r="E2414" t="s">
        <v>195</v>
      </c>
      <c r="F2414">
        <v>81384491.400000006</v>
      </c>
      <c r="G2414" t="s">
        <v>134</v>
      </c>
      <c r="H2414" t="s">
        <v>81</v>
      </c>
      <c r="I2414" t="s">
        <v>9</v>
      </c>
      <c r="L2414" t="s">
        <v>161</v>
      </c>
      <c r="M2414">
        <v>-81384491.400000006</v>
      </c>
    </row>
    <row r="2415" spans="1:13" x14ac:dyDescent="0.3">
      <c r="A2415" s="23">
        <v>45652</v>
      </c>
      <c r="B2415" t="s">
        <v>12</v>
      </c>
      <c r="C2415" t="s">
        <v>132</v>
      </c>
      <c r="D2415" t="s">
        <v>16</v>
      </c>
      <c r="E2415" t="s">
        <v>195</v>
      </c>
      <c r="F2415">
        <v>54472444</v>
      </c>
      <c r="G2415" t="s">
        <v>134</v>
      </c>
      <c r="H2415" t="s">
        <v>81</v>
      </c>
      <c r="I2415" t="s">
        <v>9</v>
      </c>
      <c r="L2415" t="s">
        <v>161</v>
      </c>
      <c r="M2415">
        <v>54472444</v>
      </c>
    </row>
    <row r="2416" spans="1:13" x14ac:dyDescent="0.3">
      <c r="A2416" s="23">
        <v>45649</v>
      </c>
      <c r="B2416" t="s">
        <v>12</v>
      </c>
      <c r="C2416" t="s">
        <v>132</v>
      </c>
      <c r="D2416" t="s">
        <v>16</v>
      </c>
      <c r="E2416" t="s">
        <v>195</v>
      </c>
      <c r="F2416">
        <v>436224670</v>
      </c>
      <c r="G2416" t="s">
        <v>134</v>
      </c>
      <c r="H2416" t="s">
        <v>81</v>
      </c>
      <c r="I2416" t="s">
        <v>9</v>
      </c>
      <c r="L2416" t="s">
        <v>161</v>
      </c>
      <c r="M2416">
        <v>436224670</v>
      </c>
    </row>
    <row r="2417" spans="1:13" x14ac:dyDescent="0.3">
      <c r="A2417" s="23">
        <v>45646</v>
      </c>
      <c r="B2417" t="s">
        <v>12</v>
      </c>
      <c r="C2417" t="s">
        <v>132</v>
      </c>
      <c r="D2417" t="s">
        <v>17</v>
      </c>
      <c r="E2417" t="s">
        <v>195</v>
      </c>
      <c r="F2417">
        <v>101141841.44</v>
      </c>
      <c r="G2417" t="s">
        <v>134</v>
      </c>
      <c r="H2417" t="s">
        <v>81</v>
      </c>
      <c r="I2417" t="s">
        <v>9</v>
      </c>
      <c r="L2417" t="s">
        <v>161</v>
      </c>
      <c r="M2417">
        <v>-101141841.44</v>
      </c>
    </row>
    <row r="2418" spans="1:13" x14ac:dyDescent="0.3">
      <c r="A2418" s="23">
        <v>45645</v>
      </c>
      <c r="B2418" t="s">
        <v>12</v>
      </c>
      <c r="C2418" t="s">
        <v>132</v>
      </c>
      <c r="D2418" t="s">
        <v>16</v>
      </c>
      <c r="E2418" t="s">
        <v>195</v>
      </c>
      <c r="F2418">
        <v>141074340</v>
      </c>
      <c r="G2418" t="s">
        <v>134</v>
      </c>
      <c r="H2418" t="s">
        <v>81</v>
      </c>
      <c r="I2418" t="s">
        <v>9</v>
      </c>
      <c r="L2418" t="s">
        <v>161</v>
      </c>
      <c r="M2418">
        <v>141074340</v>
      </c>
    </row>
    <row r="2419" spans="1:13" x14ac:dyDescent="0.3">
      <c r="A2419" s="23">
        <v>45645</v>
      </c>
      <c r="B2419" t="s">
        <v>12</v>
      </c>
      <c r="C2419" t="s">
        <v>132</v>
      </c>
      <c r="D2419" t="s">
        <v>16</v>
      </c>
      <c r="E2419" t="s">
        <v>195</v>
      </c>
      <c r="F2419">
        <v>4210317.72</v>
      </c>
      <c r="G2419" t="s">
        <v>134</v>
      </c>
      <c r="H2419" t="s">
        <v>81</v>
      </c>
      <c r="I2419" t="s">
        <v>9</v>
      </c>
      <c r="L2419" t="s">
        <v>161</v>
      </c>
      <c r="M2419">
        <v>4210317.72</v>
      </c>
    </row>
    <row r="2420" spans="1:13" x14ac:dyDescent="0.3">
      <c r="A2420" s="23">
        <v>45644</v>
      </c>
      <c r="B2420" t="s">
        <v>12</v>
      </c>
      <c r="C2420" t="s">
        <v>132</v>
      </c>
      <c r="D2420" t="s">
        <v>17</v>
      </c>
      <c r="E2420" t="s">
        <v>195</v>
      </c>
      <c r="F2420">
        <v>84677718.219999999</v>
      </c>
      <c r="G2420" t="s">
        <v>134</v>
      </c>
      <c r="H2420" t="s">
        <v>81</v>
      </c>
      <c r="I2420" t="s">
        <v>9</v>
      </c>
      <c r="L2420" t="s">
        <v>161</v>
      </c>
      <c r="M2420">
        <v>-84677718.219999999</v>
      </c>
    </row>
    <row r="2421" spans="1:13" x14ac:dyDescent="0.3">
      <c r="A2421" s="23">
        <v>45644</v>
      </c>
      <c r="B2421" t="s">
        <v>12</v>
      </c>
      <c r="C2421" t="s">
        <v>132</v>
      </c>
      <c r="D2421" t="s">
        <v>17</v>
      </c>
      <c r="E2421" t="s">
        <v>195</v>
      </c>
      <c r="F2421">
        <v>360000000</v>
      </c>
      <c r="G2421" t="s">
        <v>134</v>
      </c>
      <c r="H2421" t="s">
        <v>81</v>
      </c>
      <c r="I2421" t="s">
        <v>9</v>
      </c>
      <c r="L2421" t="s">
        <v>161</v>
      </c>
      <c r="M2421">
        <v>-360000000</v>
      </c>
    </row>
    <row r="2422" spans="1:13" x14ac:dyDescent="0.3">
      <c r="A2422" s="23">
        <v>45643</v>
      </c>
      <c r="B2422" t="s">
        <v>12</v>
      </c>
      <c r="C2422" t="s">
        <v>132</v>
      </c>
      <c r="D2422" t="s">
        <v>16</v>
      </c>
      <c r="E2422" t="s">
        <v>195</v>
      </c>
      <c r="F2422">
        <v>700898825</v>
      </c>
      <c r="G2422" t="s">
        <v>134</v>
      </c>
      <c r="H2422" t="s">
        <v>81</v>
      </c>
      <c r="I2422" t="s">
        <v>9</v>
      </c>
      <c r="L2422" t="s">
        <v>161</v>
      </c>
      <c r="M2422">
        <v>700898825</v>
      </c>
    </row>
    <row r="2423" spans="1:13" x14ac:dyDescent="0.3">
      <c r="A2423" s="23">
        <v>45642</v>
      </c>
      <c r="B2423" t="s">
        <v>12</v>
      </c>
      <c r="C2423" t="s">
        <v>132</v>
      </c>
      <c r="D2423" t="s">
        <v>17</v>
      </c>
      <c r="E2423" t="s">
        <v>195</v>
      </c>
      <c r="F2423">
        <v>500000000</v>
      </c>
      <c r="G2423" t="s">
        <v>134</v>
      </c>
      <c r="H2423" t="s">
        <v>81</v>
      </c>
      <c r="I2423" t="s">
        <v>9</v>
      </c>
      <c r="L2423" t="s">
        <v>161</v>
      </c>
      <c r="M2423">
        <v>-500000000</v>
      </c>
    </row>
    <row r="2424" spans="1:13" x14ac:dyDescent="0.3">
      <c r="A2424" s="23">
        <v>45639</v>
      </c>
      <c r="B2424" t="s">
        <v>12</v>
      </c>
      <c r="C2424" t="s">
        <v>132</v>
      </c>
      <c r="D2424" t="s">
        <v>16</v>
      </c>
      <c r="E2424" t="s">
        <v>195</v>
      </c>
      <c r="F2424">
        <v>500000000</v>
      </c>
      <c r="G2424" t="s">
        <v>134</v>
      </c>
      <c r="H2424" t="s">
        <v>81</v>
      </c>
      <c r="I2424" t="s">
        <v>9</v>
      </c>
      <c r="L2424" t="s">
        <v>161</v>
      </c>
      <c r="M2424">
        <v>500000000</v>
      </c>
    </row>
    <row r="2425" spans="1:13" x14ac:dyDescent="0.3">
      <c r="A2425" s="23">
        <v>45638</v>
      </c>
      <c r="B2425" t="s">
        <v>12</v>
      </c>
      <c r="C2425" t="s">
        <v>132</v>
      </c>
      <c r="D2425" t="s">
        <v>17</v>
      </c>
      <c r="E2425" t="s">
        <v>195</v>
      </c>
      <c r="F2425">
        <v>299137254.23000002</v>
      </c>
      <c r="G2425" t="s">
        <v>134</v>
      </c>
      <c r="H2425" t="s">
        <v>81</v>
      </c>
      <c r="I2425" t="s">
        <v>9</v>
      </c>
      <c r="L2425" t="s">
        <v>161</v>
      </c>
      <c r="M2425">
        <v>-299137254.23000002</v>
      </c>
    </row>
    <row r="2426" spans="1:13" x14ac:dyDescent="0.3">
      <c r="A2426" s="23">
        <v>45637</v>
      </c>
      <c r="B2426" t="s">
        <v>12</v>
      </c>
      <c r="C2426" t="s">
        <v>132</v>
      </c>
      <c r="D2426" t="s">
        <v>17</v>
      </c>
      <c r="E2426" t="s">
        <v>195</v>
      </c>
      <c r="F2426">
        <v>301965540.14999998</v>
      </c>
      <c r="G2426" t="s">
        <v>134</v>
      </c>
      <c r="H2426" t="s">
        <v>81</v>
      </c>
      <c r="I2426" t="s">
        <v>9</v>
      </c>
      <c r="L2426" t="s">
        <v>161</v>
      </c>
      <c r="M2426">
        <v>-301965540.14999998</v>
      </c>
    </row>
    <row r="2427" spans="1:13" x14ac:dyDescent="0.3">
      <c r="A2427" s="23">
        <v>45637</v>
      </c>
      <c r="B2427" t="s">
        <v>12</v>
      </c>
      <c r="C2427" t="s">
        <v>132</v>
      </c>
      <c r="D2427" t="s">
        <v>17</v>
      </c>
      <c r="E2427" t="s">
        <v>195</v>
      </c>
      <c r="F2427">
        <v>197181665.69999999</v>
      </c>
      <c r="G2427" t="s">
        <v>134</v>
      </c>
      <c r="H2427" t="s">
        <v>81</v>
      </c>
      <c r="I2427" t="s">
        <v>9</v>
      </c>
      <c r="L2427" t="s">
        <v>161</v>
      </c>
      <c r="M2427">
        <v>-197181665.69999999</v>
      </c>
    </row>
    <row r="2428" spans="1:13" x14ac:dyDescent="0.3">
      <c r="A2428" s="23">
        <v>45637</v>
      </c>
      <c r="B2428" t="s">
        <v>12</v>
      </c>
      <c r="C2428" t="s">
        <v>132</v>
      </c>
      <c r="D2428" t="s">
        <v>16</v>
      </c>
      <c r="E2428" t="s">
        <v>195</v>
      </c>
      <c r="F2428">
        <v>280000000</v>
      </c>
      <c r="G2428" t="s">
        <v>134</v>
      </c>
      <c r="H2428" t="s">
        <v>81</v>
      </c>
      <c r="I2428" t="s">
        <v>9</v>
      </c>
      <c r="L2428" t="s">
        <v>161</v>
      </c>
      <c r="M2428">
        <v>280000000</v>
      </c>
    </row>
    <row r="2429" spans="1:13" x14ac:dyDescent="0.3">
      <c r="A2429" s="23">
        <v>45636</v>
      </c>
      <c r="B2429" t="s">
        <v>12</v>
      </c>
      <c r="C2429" t="s">
        <v>132</v>
      </c>
      <c r="D2429" t="s">
        <v>16</v>
      </c>
      <c r="E2429" t="s">
        <v>195</v>
      </c>
      <c r="F2429">
        <v>476432792</v>
      </c>
      <c r="G2429" t="s">
        <v>134</v>
      </c>
      <c r="H2429" t="s">
        <v>81</v>
      </c>
      <c r="I2429" t="s">
        <v>9</v>
      </c>
      <c r="L2429" t="s">
        <v>161</v>
      </c>
      <c r="M2429">
        <v>476432792</v>
      </c>
    </row>
    <row r="2430" spans="1:13" x14ac:dyDescent="0.3">
      <c r="A2430" s="23">
        <v>45632</v>
      </c>
      <c r="B2430" t="s">
        <v>12</v>
      </c>
      <c r="C2430" t="s">
        <v>132</v>
      </c>
      <c r="D2430" t="s">
        <v>17</v>
      </c>
      <c r="E2430" t="s">
        <v>195</v>
      </c>
      <c r="F2430">
        <v>293400000</v>
      </c>
      <c r="G2430" t="s">
        <v>134</v>
      </c>
      <c r="H2430" t="s">
        <v>81</v>
      </c>
      <c r="I2430" t="s">
        <v>9</v>
      </c>
      <c r="L2430" t="s">
        <v>161</v>
      </c>
      <c r="M2430">
        <v>-293400000</v>
      </c>
    </row>
    <row r="2431" spans="1:13" x14ac:dyDescent="0.3">
      <c r="A2431" s="23">
        <v>45631</v>
      </c>
      <c r="B2431" t="s">
        <v>12</v>
      </c>
      <c r="C2431" t="s">
        <v>132</v>
      </c>
      <c r="D2431" t="s">
        <v>16</v>
      </c>
      <c r="E2431" t="s">
        <v>195</v>
      </c>
      <c r="F2431">
        <v>25218625</v>
      </c>
      <c r="G2431" t="s">
        <v>134</v>
      </c>
      <c r="H2431" t="s">
        <v>81</v>
      </c>
      <c r="I2431" t="s">
        <v>9</v>
      </c>
      <c r="L2431" t="s">
        <v>161</v>
      </c>
      <c r="M2431">
        <v>25218625</v>
      </c>
    </row>
    <row r="2432" spans="1:13" x14ac:dyDescent="0.3">
      <c r="A2432" s="23">
        <v>45631</v>
      </c>
      <c r="B2432" t="s">
        <v>12</v>
      </c>
      <c r="C2432" t="s">
        <v>132</v>
      </c>
      <c r="D2432" t="s">
        <v>16</v>
      </c>
      <c r="E2432" t="s">
        <v>195</v>
      </c>
      <c r="F2432">
        <v>251635625</v>
      </c>
      <c r="G2432" t="s">
        <v>134</v>
      </c>
      <c r="H2432" t="s">
        <v>81</v>
      </c>
      <c r="I2432" t="s">
        <v>9</v>
      </c>
      <c r="L2432" t="s">
        <v>161</v>
      </c>
      <c r="M2432">
        <v>251635625</v>
      </c>
    </row>
    <row r="2433" spans="1:13" x14ac:dyDescent="0.3">
      <c r="A2433" s="23">
        <v>45630</v>
      </c>
      <c r="B2433" t="s">
        <v>12</v>
      </c>
      <c r="C2433" t="s">
        <v>132</v>
      </c>
      <c r="D2433" t="s">
        <v>16</v>
      </c>
      <c r="E2433" t="s">
        <v>195</v>
      </c>
      <c r="F2433">
        <v>12424700</v>
      </c>
      <c r="G2433" t="s">
        <v>134</v>
      </c>
      <c r="H2433" t="s">
        <v>81</v>
      </c>
      <c r="I2433" t="s">
        <v>9</v>
      </c>
      <c r="L2433" t="s">
        <v>161</v>
      </c>
      <c r="M2433">
        <v>12424700</v>
      </c>
    </row>
    <row r="2434" spans="1:13" x14ac:dyDescent="0.3">
      <c r="A2434" s="23">
        <v>45628</v>
      </c>
      <c r="B2434" t="s">
        <v>12</v>
      </c>
      <c r="C2434" t="s">
        <v>132</v>
      </c>
      <c r="D2434" t="s">
        <v>17</v>
      </c>
      <c r="E2434" t="s">
        <v>195</v>
      </c>
      <c r="F2434">
        <v>500000000</v>
      </c>
      <c r="G2434" t="s">
        <v>134</v>
      </c>
      <c r="H2434" t="s">
        <v>81</v>
      </c>
      <c r="I2434" t="s">
        <v>9</v>
      </c>
      <c r="L2434" t="s">
        <v>161</v>
      </c>
      <c r="M2434">
        <v>-500000000</v>
      </c>
    </row>
    <row r="2435" spans="1:13" x14ac:dyDescent="0.3">
      <c r="A2435" s="23">
        <v>45625</v>
      </c>
      <c r="B2435" t="s">
        <v>12</v>
      </c>
      <c r="C2435" t="s">
        <v>132</v>
      </c>
      <c r="D2435" t="s">
        <v>16</v>
      </c>
      <c r="E2435" t="s">
        <v>195</v>
      </c>
      <c r="F2435">
        <v>396292479</v>
      </c>
      <c r="G2435" t="s">
        <v>134</v>
      </c>
      <c r="H2435" t="s">
        <v>81</v>
      </c>
      <c r="I2435" t="s">
        <v>9</v>
      </c>
      <c r="L2435" t="s">
        <v>161</v>
      </c>
      <c r="M2435">
        <v>396292479</v>
      </c>
    </row>
    <row r="2436" spans="1:13" x14ac:dyDescent="0.3">
      <c r="A2436" s="23">
        <v>45625</v>
      </c>
      <c r="B2436" t="s">
        <v>12</v>
      </c>
      <c r="C2436" t="s">
        <v>132</v>
      </c>
      <c r="D2436" t="s">
        <v>17</v>
      </c>
      <c r="E2436" t="s">
        <v>195</v>
      </c>
      <c r="F2436">
        <v>300000000</v>
      </c>
      <c r="G2436" t="s">
        <v>134</v>
      </c>
      <c r="H2436" t="s">
        <v>81</v>
      </c>
      <c r="I2436" t="s">
        <v>9</v>
      </c>
      <c r="L2436" t="s">
        <v>161</v>
      </c>
      <c r="M2436">
        <v>-300000000</v>
      </c>
    </row>
    <row r="2437" spans="1:13" x14ac:dyDescent="0.3">
      <c r="A2437" s="23">
        <v>45623</v>
      </c>
      <c r="B2437" t="s">
        <v>12</v>
      </c>
      <c r="C2437" t="s">
        <v>132</v>
      </c>
      <c r="D2437" t="s">
        <v>17</v>
      </c>
      <c r="E2437" t="s">
        <v>195</v>
      </c>
      <c r="F2437">
        <v>154985509</v>
      </c>
      <c r="G2437" t="s">
        <v>134</v>
      </c>
      <c r="H2437" t="s">
        <v>81</v>
      </c>
      <c r="I2437" t="s">
        <v>9</v>
      </c>
      <c r="L2437" t="s">
        <v>161</v>
      </c>
      <c r="M2437">
        <v>-154985509</v>
      </c>
    </row>
    <row r="2438" spans="1:13" x14ac:dyDescent="0.3">
      <c r="A2438" s="23">
        <v>45622</v>
      </c>
      <c r="B2438" t="s">
        <v>12</v>
      </c>
      <c r="C2438" t="s">
        <v>132</v>
      </c>
      <c r="D2438" t="s">
        <v>16</v>
      </c>
      <c r="E2438" t="s">
        <v>195</v>
      </c>
      <c r="F2438">
        <v>133547192</v>
      </c>
      <c r="G2438" t="s">
        <v>134</v>
      </c>
      <c r="H2438" t="s">
        <v>81</v>
      </c>
      <c r="I2438" t="s">
        <v>9</v>
      </c>
      <c r="L2438" t="s">
        <v>161</v>
      </c>
      <c r="M2438">
        <v>133547192</v>
      </c>
    </row>
    <row r="2439" spans="1:13" x14ac:dyDescent="0.3">
      <c r="A2439" s="23">
        <v>45618</v>
      </c>
      <c r="B2439" t="s">
        <v>12</v>
      </c>
      <c r="C2439" t="s">
        <v>132</v>
      </c>
      <c r="D2439" t="s">
        <v>16</v>
      </c>
      <c r="E2439" t="s">
        <v>195</v>
      </c>
      <c r="F2439">
        <v>55500000</v>
      </c>
      <c r="G2439" t="s">
        <v>134</v>
      </c>
      <c r="H2439" t="s">
        <v>81</v>
      </c>
      <c r="I2439" t="s">
        <v>9</v>
      </c>
      <c r="L2439" t="s">
        <v>161</v>
      </c>
      <c r="M2439">
        <v>55500000</v>
      </c>
    </row>
    <row r="2440" spans="1:13" x14ac:dyDescent="0.3">
      <c r="A2440" s="23">
        <v>45617</v>
      </c>
      <c r="B2440" t="s">
        <v>12</v>
      </c>
      <c r="C2440" t="s">
        <v>132</v>
      </c>
      <c r="D2440" t="s">
        <v>17</v>
      </c>
      <c r="E2440" t="s">
        <v>195</v>
      </c>
      <c r="F2440">
        <v>64000000</v>
      </c>
      <c r="G2440" t="s">
        <v>134</v>
      </c>
      <c r="H2440" t="s">
        <v>81</v>
      </c>
      <c r="I2440" t="s">
        <v>9</v>
      </c>
      <c r="L2440" t="s">
        <v>161</v>
      </c>
      <c r="M2440">
        <v>-64000000</v>
      </c>
    </row>
    <row r="2441" spans="1:13" x14ac:dyDescent="0.3">
      <c r="A2441" s="23">
        <v>45616</v>
      </c>
      <c r="B2441" t="s">
        <v>12</v>
      </c>
      <c r="C2441" t="s">
        <v>132</v>
      </c>
      <c r="D2441" t="s">
        <v>17</v>
      </c>
      <c r="E2441" t="s">
        <v>195</v>
      </c>
      <c r="F2441">
        <v>50024696.920000002</v>
      </c>
      <c r="G2441" t="s">
        <v>134</v>
      </c>
      <c r="H2441" t="s">
        <v>81</v>
      </c>
      <c r="I2441" t="s">
        <v>9</v>
      </c>
      <c r="L2441" t="s">
        <v>161</v>
      </c>
      <c r="M2441">
        <v>-50024696.920000002</v>
      </c>
    </row>
    <row r="2442" spans="1:13" x14ac:dyDescent="0.3">
      <c r="A2442" s="23">
        <v>45616</v>
      </c>
      <c r="B2442" t="s">
        <v>12</v>
      </c>
      <c r="C2442" t="s">
        <v>132</v>
      </c>
      <c r="D2442" t="s">
        <v>17</v>
      </c>
      <c r="E2442" t="s">
        <v>195</v>
      </c>
      <c r="F2442">
        <v>65249743.539999999</v>
      </c>
      <c r="G2442" t="s">
        <v>134</v>
      </c>
      <c r="H2442" t="s">
        <v>81</v>
      </c>
      <c r="I2442" t="s">
        <v>9</v>
      </c>
      <c r="L2442" t="s">
        <v>161</v>
      </c>
      <c r="M2442">
        <v>-65249743.539999999</v>
      </c>
    </row>
    <row r="2443" spans="1:13" x14ac:dyDescent="0.3">
      <c r="A2443" s="23">
        <v>45611</v>
      </c>
      <c r="B2443" t="s">
        <v>12</v>
      </c>
      <c r="C2443" t="s">
        <v>132</v>
      </c>
      <c r="D2443" t="s">
        <v>17</v>
      </c>
      <c r="E2443" t="s">
        <v>195</v>
      </c>
      <c r="F2443">
        <v>70092623</v>
      </c>
      <c r="G2443" t="s">
        <v>134</v>
      </c>
      <c r="H2443" t="s">
        <v>81</v>
      </c>
      <c r="I2443" t="s">
        <v>9</v>
      </c>
      <c r="L2443" t="s">
        <v>161</v>
      </c>
      <c r="M2443">
        <v>-70092623</v>
      </c>
    </row>
    <row r="2444" spans="1:13" x14ac:dyDescent="0.3">
      <c r="A2444" s="23">
        <v>45609</v>
      </c>
      <c r="B2444" t="s">
        <v>12</v>
      </c>
      <c r="C2444" t="s">
        <v>132</v>
      </c>
      <c r="D2444" t="s">
        <v>16</v>
      </c>
      <c r="E2444" t="s">
        <v>195</v>
      </c>
      <c r="F2444">
        <v>224409600</v>
      </c>
      <c r="G2444" t="s">
        <v>134</v>
      </c>
      <c r="H2444" t="s">
        <v>81</v>
      </c>
      <c r="I2444" t="s">
        <v>9</v>
      </c>
      <c r="L2444" t="s">
        <v>161</v>
      </c>
      <c r="M2444">
        <v>224409600</v>
      </c>
    </row>
    <row r="2445" spans="1:13" x14ac:dyDescent="0.3">
      <c r="A2445" s="23">
        <v>45608</v>
      </c>
      <c r="B2445" t="s">
        <v>12</v>
      </c>
      <c r="C2445" t="s">
        <v>132</v>
      </c>
      <c r="D2445" t="s">
        <v>16</v>
      </c>
      <c r="E2445" t="s">
        <v>195</v>
      </c>
      <c r="F2445">
        <v>500000000</v>
      </c>
      <c r="G2445" t="s">
        <v>134</v>
      </c>
      <c r="H2445" t="s">
        <v>81</v>
      </c>
      <c r="I2445" t="s">
        <v>9</v>
      </c>
      <c r="L2445" t="s">
        <v>161</v>
      </c>
      <c r="M2445">
        <v>500000000</v>
      </c>
    </row>
    <row r="2446" spans="1:13" x14ac:dyDescent="0.3">
      <c r="A2446" s="23">
        <v>45607</v>
      </c>
      <c r="B2446" t="s">
        <v>12</v>
      </c>
      <c r="C2446" t="s">
        <v>132</v>
      </c>
      <c r="D2446" t="s">
        <v>16</v>
      </c>
      <c r="E2446" t="s">
        <v>195</v>
      </c>
      <c r="F2446">
        <v>11846213</v>
      </c>
      <c r="G2446" t="s">
        <v>134</v>
      </c>
      <c r="H2446" t="s">
        <v>81</v>
      </c>
      <c r="I2446" t="s">
        <v>9</v>
      </c>
      <c r="L2446" t="s">
        <v>161</v>
      </c>
      <c r="M2446">
        <v>11846213</v>
      </c>
    </row>
    <row r="2447" spans="1:13" x14ac:dyDescent="0.3">
      <c r="A2447" s="23">
        <v>45607</v>
      </c>
      <c r="B2447" t="s">
        <v>12</v>
      </c>
      <c r="C2447" t="s">
        <v>132</v>
      </c>
      <c r="D2447" t="s">
        <v>17</v>
      </c>
      <c r="E2447" t="s">
        <v>195</v>
      </c>
      <c r="F2447">
        <v>100000000</v>
      </c>
      <c r="G2447" t="s">
        <v>134</v>
      </c>
      <c r="H2447" t="s">
        <v>81</v>
      </c>
      <c r="I2447" t="s">
        <v>9</v>
      </c>
      <c r="L2447" t="s">
        <v>161</v>
      </c>
      <c r="M2447">
        <v>-100000000</v>
      </c>
    </row>
    <row r="2448" spans="1:13" x14ac:dyDescent="0.3">
      <c r="A2448" s="23">
        <v>45604</v>
      </c>
      <c r="B2448" t="s">
        <v>12</v>
      </c>
      <c r="C2448" t="s">
        <v>132</v>
      </c>
      <c r="D2448" t="s">
        <v>16</v>
      </c>
      <c r="E2448" t="s">
        <v>195</v>
      </c>
      <c r="F2448">
        <v>89454375</v>
      </c>
      <c r="G2448" t="s">
        <v>134</v>
      </c>
      <c r="H2448" t="s">
        <v>81</v>
      </c>
      <c r="I2448" t="s">
        <v>9</v>
      </c>
      <c r="L2448" t="s">
        <v>161</v>
      </c>
      <c r="M2448">
        <v>89454375</v>
      </c>
    </row>
    <row r="2449" spans="1:13" x14ac:dyDescent="0.3">
      <c r="A2449" s="23">
        <v>45601</v>
      </c>
      <c r="B2449" t="s">
        <v>12</v>
      </c>
      <c r="C2449" t="s">
        <v>132</v>
      </c>
      <c r="D2449" t="s">
        <v>17</v>
      </c>
      <c r="E2449" t="s">
        <v>195</v>
      </c>
      <c r="F2449">
        <v>300000000</v>
      </c>
      <c r="G2449" t="s">
        <v>134</v>
      </c>
      <c r="H2449" t="s">
        <v>81</v>
      </c>
      <c r="I2449" t="s">
        <v>9</v>
      </c>
      <c r="L2449" t="s">
        <v>161</v>
      </c>
      <c r="M2449">
        <v>-300000000</v>
      </c>
    </row>
    <row r="2450" spans="1:13" x14ac:dyDescent="0.3">
      <c r="A2450" s="23">
        <v>45600</v>
      </c>
      <c r="B2450" t="s">
        <v>12</v>
      </c>
      <c r="C2450" t="s">
        <v>132</v>
      </c>
      <c r="D2450" t="s">
        <v>16</v>
      </c>
      <c r="E2450" t="s">
        <v>195</v>
      </c>
      <c r="F2450">
        <v>68151300</v>
      </c>
      <c r="G2450" t="s">
        <v>134</v>
      </c>
      <c r="H2450" t="s">
        <v>81</v>
      </c>
      <c r="I2450" t="s">
        <v>9</v>
      </c>
      <c r="L2450" t="s">
        <v>161</v>
      </c>
      <c r="M2450">
        <v>68151300</v>
      </c>
    </row>
    <row r="2451" spans="1:13" x14ac:dyDescent="0.3">
      <c r="A2451" s="23">
        <v>45600</v>
      </c>
      <c r="B2451" t="s">
        <v>12</v>
      </c>
      <c r="C2451" t="s">
        <v>132</v>
      </c>
      <c r="D2451" t="s">
        <v>16</v>
      </c>
      <c r="E2451" t="s">
        <v>195</v>
      </c>
      <c r="F2451">
        <v>78284712.730000004</v>
      </c>
      <c r="G2451" t="s">
        <v>134</v>
      </c>
      <c r="H2451" t="s">
        <v>81</v>
      </c>
      <c r="I2451" t="s">
        <v>9</v>
      </c>
      <c r="L2451" t="s">
        <v>161</v>
      </c>
      <c r="M2451">
        <v>78284712.730000004</v>
      </c>
    </row>
    <row r="2452" spans="1:13" x14ac:dyDescent="0.3">
      <c r="A2452" s="23">
        <v>45597</v>
      </c>
      <c r="B2452" t="s">
        <v>12</v>
      </c>
      <c r="C2452" t="s">
        <v>132</v>
      </c>
      <c r="D2452" t="s">
        <v>17</v>
      </c>
      <c r="E2452" t="s">
        <v>195</v>
      </c>
      <c r="F2452">
        <v>800000000</v>
      </c>
      <c r="G2452" t="s">
        <v>134</v>
      </c>
      <c r="H2452" t="s">
        <v>81</v>
      </c>
      <c r="I2452" t="s">
        <v>9</v>
      </c>
      <c r="L2452" t="s">
        <v>161</v>
      </c>
      <c r="M2452">
        <v>-800000000</v>
      </c>
    </row>
    <row r="2453" spans="1:13" x14ac:dyDescent="0.3">
      <c r="A2453" s="23">
        <v>45595</v>
      </c>
      <c r="B2453" t="s">
        <v>12</v>
      </c>
      <c r="C2453" t="s">
        <v>132</v>
      </c>
      <c r="D2453" t="s">
        <v>17</v>
      </c>
      <c r="E2453" t="s">
        <v>195</v>
      </c>
      <c r="F2453">
        <v>250000000</v>
      </c>
      <c r="G2453" t="s">
        <v>134</v>
      </c>
      <c r="H2453" t="s">
        <v>81</v>
      </c>
      <c r="I2453" t="s">
        <v>9</v>
      </c>
      <c r="L2453" t="s">
        <v>161</v>
      </c>
      <c r="M2453">
        <v>-250000000</v>
      </c>
    </row>
    <row r="2454" spans="1:13" x14ac:dyDescent="0.3">
      <c r="A2454" s="23">
        <v>45594</v>
      </c>
      <c r="B2454" t="s">
        <v>12</v>
      </c>
      <c r="C2454" t="s">
        <v>132</v>
      </c>
      <c r="D2454" t="s">
        <v>16</v>
      </c>
      <c r="E2454" t="s">
        <v>195</v>
      </c>
      <c r="F2454">
        <v>1031072989</v>
      </c>
      <c r="G2454" t="s">
        <v>134</v>
      </c>
      <c r="H2454" t="s">
        <v>81</v>
      </c>
      <c r="I2454" t="s">
        <v>9</v>
      </c>
      <c r="L2454" t="s">
        <v>161</v>
      </c>
      <c r="M2454">
        <v>1031072989</v>
      </c>
    </row>
    <row r="2455" spans="1:13" x14ac:dyDescent="0.3">
      <c r="A2455" s="23">
        <v>45586</v>
      </c>
      <c r="B2455" t="s">
        <v>12</v>
      </c>
      <c r="C2455" t="s">
        <v>132</v>
      </c>
      <c r="D2455" t="s">
        <v>16</v>
      </c>
      <c r="E2455" t="s">
        <v>195</v>
      </c>
      <c r="F2455">
        <v>200000000</v>
      </c>
      <c r="G2455" t="s">
        <v>134</v>
      </c>
      <c r="H2455" t="s">
        <v>81</v>
      </c>
      <c r="I2455" t="s">
        <v>9</v>
      </c>
      <c r="L2455" t="s">
        <v>161</v>
      </c>
      <c r="M2455">
        <v>200000000</v>
      </c>
    </row>
    <row r="2456" spans="1:13" x14ac:dyDescent="0.3">
      <c r="A2456" s="23">
        <v>45583</v>
      </c>
      <c r="B2456" t="s">
        <v>12</v>
      </c>
      <c r="C2456" t="s">
        <v>132</v>
      </c>
      <c r="D2456" t="s">
        <v>16</v>
      </c>
      <c r="E2456" t="s">
        <v>195</v>
      </c>
      <c r="F2456">
        <v>90729919.370000005</v>
      </c>
      <c r="G2456" t="s">
        <v>134</v>
      </c>
      <c r="H2456" t="s">
        <v>81</v>
      </c>
      <c r="I2456" t="s">
        <v>9</v>
      </c>
      <c r="L2456" t="s">
        <v>161</v>
      </c>
      <c r="M2456">
        <v>90729919.370000005</v>
      </c>
    </row>
    <row r="2457" spans="1:13" x14ac:dyDescent="0.3">
      <c r="A2457" s="23">
        <v>45583</v>
      </c>
      <c r="B2457" t="s">
        <v>12</v>
      </c>
      <c r="C2457" t="s">
        <v>132</v>
      </c>
      <c r="D2457" t="s">
        <v>17</v>
      </c>
      <c r="E2457" t="s">
        <v>195</v>
      </c>
      <c r="F2457">
        <v>104532534.05</v>
      </c>
      <c r="G2457" t="s">
        <v>134</v>
      </c>
      <c r="H2457" t="s">
        <v>81</v>
      </c>
      <c r="I2457" t="s">
        <v>9</v>
      </c>
      <c r="L2457" t="s">
        <v>161</v>
      </c>
      <c r="M2457">
        <v>-104532534.05</v>
      </c>
    </row>
    <row r="2458" spans="1:13" x14ac:dyDescent="0.3">
      <c r="A2458" s="23">
        <v>45566</v>
      </c>
      <c r="B2458" t="s">
        <v>12</v>
      </c>
      <c r="C2458" t="s">
        <v>132</v>
      </c>
      <c r="D2458" t="s">
        <v>17</v>
      </c>
      <c r="E2458" t="s">
        <v>195</v>
      </c>
      <c r="F2458">
        <v>350000000</v>
      </c>
      <c r="G2458" t="s">
        <v>134</v>
      </c>
      <c r="H2458" t="s">
        <v>81</v>
      </c>
      <c r="I2458" t="s">
        <v>9</v>
      </c>
      <c r="L2458" t="s">
        <v>161</v>
      </c>
      <c r="M2458">
        <v>-350000000</v>
      </c>
    </row>
    <row r="2459" spans="1:13" x14ac:dyDescent="0.3">
      <c r="A2459" s="23">
        <v>45565</v>
      </c>
      <c r="B2459" t="s">
        <v>12</v>
      </c>
      <c r="C2459" t="s">
        <v>132</v>
      </c>
      <c r="D2459" t="s">
        <v>17</v>
      </c>
      <c r="E2459" t="s">
        <v>195</v>
      </c>
      <c r="F2459">
        <v>60000000</v>
      </c>
      <c r="G2459" t="s">
        <v>134</v>
      </c>
      <c r="H2459" t="s">
        <v>81</v>
      </c>
      <c r="I2459" t="s">
        <v>9</v>
      </c>
      <c r="L2459" t="s">
        <v>161</v>
      </c>
      <c r="M2459">
        <v>-60000000</v>
      </c>
    </row>
    <row r="2460" spans="1:13" x14ac:dyDescent="0.3">
      <c r="A2460" s="23">
        <v>45565</v>
      </c>
      <c r="B2460" t="s">
        <v>12</v>
      </c>
      <c r="C2460" t="s">
        <v>132</v>
      </c>
      <c r="D2460" t="s">
        <v>16</v>
      </c>
      <c r="E2460" t="s">
        <v>195</v>
      </c>
      <c r="F2460">
        <v>3900000</v>
      </c>
      <c r="G2460" t="s">
        <v>134</v>
      </c>
      <c r="H2460" t="s">
        <v>81</v>
      </c>
      <c r="I2460" t="s">
        <v>9</v>
      </c>
      <c r="L2460" t="s">
        <v>161</v>
      </c>
      <c r="M2460">
        <v>3900000</v>
      </c>
    </row>
    <row r="2461" spans="1:13" x14ac:dyDescent="0.3">
      <c r="A2461" s="23">
        <v>45560</v>
      </c>
      <c r="B2461" t="s">
        <v>12</v>
      </c>
      <c r="C2461" t="s">
        <v>132</v>
      </c>
      <c r="D2461" t="s">
        <v>16</v>
      </c>
      <c r="E2461" t="s">
        <v>195</v>
      </c>
      <c r="F2461">
        <v>201079800</v>
      </c>
      <c r="G2461" t="s">
        <v>134</v>
      </c>
      <c r="H2461" t="s">
        <v>81</v>
      </c>
      <c r="I2461" t="s">
        <v>9</v>
      </c>
      <c r="L2461" t="s">
        <v>161</v>
      </c>
      <c r="M2461">
        <v>201079800</v>
      </c>
    </row>
    <row r="2462" spans="1:13" x14ac:dyDescent="0.3">
      <c r="A2462" s="23">
        <v>45553</v>
      </c>
      <c r="B2462" t="s">
        <v>12</v>
      </c>
      <c r="C2462" t="s">
        <v>132</v>
      </c>
      <c r="D2462" t="s">
        <v>16</v>
      </c>
      <c r="E2462" t="s">
        <v>195</v>
      </c>
      <c r="F2462">
        <v>166622401</v>
      </c>
      <c r="G2462" t="s">
        <v>134</v>
      </c>
      <c r="H2462" t="s">
        <v>81</v>
      </c>
      <c r="I2462" t="s">
        <v>9</v>
      </c>
      <c r="L2462" t="s">
        <v>161</v>
      </c>
      <c r="M2462">
        <v>166622401</v>
      </c>
    </row>
    <row r="2463" spans="1:13" x14ac:dyDescent="0.3">
      <c r="A2463" s="23">
        <v>45546</v>
      </c>
      <c r="B2463" t="s">
        <v>12</v>
      </c>
      <c r="C2463" t="s">
        <v>132</v>
      </c>
      <c r="D2463" t="s">
        <v>16</v>
      </c>
      <c r="E2463" t="s">
        <v>195</v>
      </c>
      <c r="F2463">
        <v>63047600</v>
      </c>
      <c r="G2463" t="s">
        <v>134</v>
      </c>
      <c r="H2463" t="s">
        <v>81</v>
      </c>
      <c r="I2463" t="s">
        <v>9</v>
      </c>
      <c r="L2463" t="s">
        <v>161</v>
      </c>
      <c r="M2463">
        <v>63047600</v>
      </c>
    </row>
    <row r="2464" spans="1:13" x14ac:dyDescent="0.3">
      <c r="A2464" s="23">
        <v>45544</v>
      </c>
      <c r="B2464" t="s">
        <v>12</v>
      </c>
      <c r="C2464" t="s">
        <v>132</v>
      </c>
      <c r="D2464" t="s">
        <v>17</v>
      </c>
      <c r="E2464" t="s">
        <v>195</v>
      </c>
      <c r="F2464">
        <v>184638649.30000001</v>
      </c>
      <c r="G2464" t="s">
        <v>134</v>
      </c>
      <c r="H2464" t="s">
        <v>81</v>
      </c>
      <c r="I2464" t="s">
        <v>9</v>
      </c>
      <c r="L2464" t="s">
        <v>161</v>
      </c>
      <c r="M2464">
        <v>-184638649.30000001</v>
      </c>
    </row>
    <row r="2465" spans="1:13" x14ac:dyDescent="0.3">
      <c r="A2465" s="23">
        <v>45544</v>
      </c>
      <c r="B2465" t="s">
        <v>12</v>
      </c>
      <c r="C2465" t="s">
        <v>132</v>
      </c>
      <c r="D2465" t="s">
        <v>16</v>
      </c>
      <c r="E2465" t="s">
        <v>195</v>
      </c>
      <c r="F2465">
        <v>1105543.4099999999</v>
      </c>
      <c r="G2465" t="s">
        <v>134</v>
      </c>
      <c r="H2465" t="s">
        <v>81</v>
      </c>
      <c r="I2465" t="s">
        <v>9</v>
      </c>
      <c r="L2465" t="s">
        <v>161</v>
      </c>
      <c r="M2465">
        <v>1105543.4099999999</v>
      </c>
    </row>
    <row r="2466" spans="1:13" x14ac:dyDescent="0.3">
      <c r="A2466" s="23">
        <v>45540</v>
      </c>
      <c r="B2466" t="s">
        <v>12</v>
      </c>
      <c r="C2466" t="s">
        <v>132</v>
      </c>
      <c r="D2466" t="s">
        <v>17</v>
      </c>
      <c r="E2466" t="s">
        <v>195</v>
      </c>
      <c r="F2466">
        <v>106948105</v>
      </c>
      <c r="G2466" t="s">
        <v>134</v>
      </c>
      <c r="H2466" t="s">
        <v>81</v>
      </c>
      <c r="I2466" t="s">
        <v>9</v>
      </c>
      <c r="L2466" t="s">
        <v>161</v>
      </c>
      <c r="M2466">
        <v>-106948105</v>
      </c>
    </row>
    <row r="2467" spans="1:13" x14ac:dyDescent="0.3">
      <c r="A2467" s="23">
        <v>45538</v>
      </c>
      <c r="B2467" t="s">
        <v>12</v>
      </c>
      <c r="C2467" t="s">
        <v>132</v>
      </c>
      <c r="D2467" t="s">
        <v>16</v>
      </c>
      <c r="E2467" t="s">
        <v>195</v>
      </c>
      <c r="F2467">
        <v>176693000</v>
      </c>
      <c r="G2467" t="s">
        <v>134</v>
      </c>
      <c r="H2467" t="s">
        <v>81</v>
      </c>
      <c r="I2467" t="s">
        <v>9</v>
      </c>
      <c r="L2467" t="s">
        <v>161</v>
      </c>
      <c r="M2467">
        <v>176693000</v>
      </c>
    </row>
    <row r="2468" spans="1:13" x14ac:dyDescent="0.3">
      <c r="A2468" s="23">
        <v>45530</v>
      </c>
      <c r="B2468" t="s">
        <v>12</v>
      </c>
      <c r="C2468" t="s">
        <v>132</v>
      </c>
      <c r="D2468" t="s">
        <v>17</v>
      </c>
      <c r="E2468" t="s">
        <v>195</v>
      </c>
      <c r="F2468">
        <v>250000000</v>
      </c>
      <c r="G2468" t="s">
        <v>134</v>
      </c>
      <c r="H2468" t="s">
        <v>81</v>
      </c>
      <c r="I2468" t="s">
        <v>9</v>
      </c>
      <c r="L2468" t="s">
        <v>161</v>
      </c>
      <c r="M2468">
        <v>-250000000</v>
      </c>
    </row>
    <row r="2469" spans="1:13" x14ac:dyDescent="0.3">
      <c r="A2469" s="23">
        <v>45509</v>
      </c>
      <c r="B2469" t="s">
        <v>12</v>
      </c>
      <c r="C2469" t="s">
        <v>132</v>
      </c>
      <c r="D2469" t="s">
        <v>17</v>
      </c>
      <c r="E2469" t="s">
        <v>195</v>
      </c>
      <c r="F2469">
        <v>50579278.469999999</v>
      </c>
      <c r="G2469" t="s">
        <v>134</v>
      </c>
      <c r="H2469" t="s">
        <v>81</v>
      </c>
      <c r="I2469" t="s">
        <v>9</v>
      </c>
      <c r="L2469" t="s">
        <v>161</v>
      </c>
      <c r="M2469">
        <v>-50579278.469999999</v>
      </c>
    </row>
    <row r="2470" spans="1:13" x14ac:dyDescent="0.3">
      <c r="A2470" s="23">
        <v>45504</v>
      </c>
      <c r="B2470" t="s">
        <v>12</v>
      </c>
      <c r="C2470" t="s">
        <v>132</v>
      </c>
      <c r="D2470" t="s">
        <v>16</v>
      </c>
      <c r="E2470" t="s">
        <v>195</v>
      </c>
      <c r="F2470">
        <v>18880000</v>
      </c>
      <c r="G2470" t="s">
        <v>134</v>
      </c>
      <c r="H2470" t="s">
        <v>81</v>
      </c>
      <c r="I2470" t="s">
        <v>9</v>
      </c>
      <c r="L2470" t="s">
        <v>161</v>
      </c>
      <c r="M2470">
        <v>18880000</v>
      </c>
    </row>
    <row r="2471" spans="1:13" x14ac:dyDescent="0.3">
      <c r="A2471" s="23">
        <v>45460</v>
      </c>
      <c r="B2471" t="s">
        <v>12</v>
      </c>
      <c r="C2471" t="s">
        <v>132</v>
      </c>
      <c r="D2471" t="s">
        <v>16</v>
      </c>
      <c r="E2471" t="s">
        <v>195</v>
      </c>
      <c r="F2471">
        <v>380000</v>
      </c>
      <c r="G2471" t="s">
        <v>134</v>
      </c>
      <c r="H2471" t="s">
        <v>81</v>
      </c>
      <c r="I2471" t="s">
        <v>9</v>
      </c>
      <c r="L2471" t="s">
        <v>161</v>
      </c>
      <c r="M2471">
        <v>380000</v>
      </c>
    </row>
    <row r="2472" spans="1:13" x14ac:dyDescent="0.3">
      <c r="A2472" s="23">
        <v>45456</v>
      </c>
      <c r="B2472" t="s">
        <v>12</v>
      </c>
      <c r="C2472" t="s">
        <v>132</v>
      </c>
      <c r="D2472" t="s">
        <v>16</v>
      </c>
      <c r="E2472" t="s">
        <v>195</v>
      </c>
      <c r="F2472">
        <v>400000000</v>
      </c>
      <c r="G2472" t="s">
        <v>134</v>
      </c>
      <c r="H2472" t="s">
        <v>81</v>
      </c>
      <c r="I2472" t="s">
        <v>9</v>
      </c>
      <c r="L2472" t="s">
        <v>161</v>
      </c>
      <c r="M2472">
        <v>400000000</v>
      </c>
    </row>
    <row r="2473" spans="1:13" x14ac:dyDescent="0.3">
      <c r="A2473" s="23">
        <v>45483</v>
      </c>
      <c r="B2473" t="s">
        <v>12</v>
      </c>
      <c r="C2473" t="s">
        <v>132</v>
      </c>
      <c r="D2473" t="s">
        <v>17</v>
      </c>
      <c r="E2473" t="s">
        <v>196</v>
      </c>
      <c r="F2473">
        <v>400000000</v>
      </c>
      <c r="G2473" t="s">
        <v>181</v>
      </c>
      <c r="H2473" t="s">
        <v>81</v>
      </c>
      <c r="I2473" t="s">
        <v>9</v>
      </c>
      <c r="L2473" t="s">
        <v>161</v>
      </c>
      <c r="M2473">
        <v>-400000000</v>
      </c>
    </row>
    <row r="2474" spans="1:13" x14ac:dyDescent="0.3">
      <c r="A2474" s="23">
        <v>45456</v>
      </c>
      <c r="B2474" t="s">
        <v>12</v>
      </c>
      <c r="C2474" t="s">
        <v>132</v>
      </c>
      <c r="D2474" t="s">
        <v>16</v>
      </c>
      <c r="E2474" t="s">
        <v>196</v>
      </c>
      <c r="F2474">
        <v>400000000</v>
      </c>
      <c r="G2474" t="s">
        <v>181</v>
      </c>
      <c r="H2474" t="s">
        <v>81</v>
      </c>
      <c r="I2474" t="s">
        <v>9</v>
      </c>
      <c r="L2474" t="s">
        <v>161</v>
      </c>
      <c r="M2474">
        <v>400000000</v>
      </c>
    </row>
    <row r="2475" spans="1:13" x14ac:dyDescent="0.3">
      <c r="A2475" s="23">
        <v>45845</v>
      </c>
      <c r="B2475" t="s">
        <v>12</v>
      </c>
      <c r="C2475" t="s">
        <v>132</v>
      </c>
      <c r="D2475" t="s">
        <v>17</v>
      </c>
      <c r="E2475" t="s">
        <v>197</v>
      </c>
      <c r="F2475">
        <v>79099807.909999996</v>
      </c>
      <c r="G2475" t="s">
        <v>198</v>
      </c>
      <c r="H2475" t="s">
        <v>81</v>
      </c>
      <c r="I2475" t="s">
        <v>9</v>
      </c>
      <c r="L2475" t="s">
        <v>161</v>
      </c>
      <c r="M2475">
        <v>-79099807.909999996</v>
      </c>
    </row>
    <row r="2476" spans="1:13" x14ac:dyDescent="0.3">
      <c r="A2476" s="23">
        <v>45845</v>
      </c>
      <c r="B2476" t="s">
        <v>12</v>
      </c>
      <c r="C2476" t="s">
        <v>132</v>
      </c>
      <c r="D2476" t="s">
        <v>17</v>
      </c>
      <c r="E2476" t="s">
        <v>197</v>
      </c>
      <c r="F2476">
        <v>79099807.909999996</v>
      </c>
      <c r="G2476" t="s">
        <v>198</v>
      </c>
      <c r="H2476" t="s">
        <v>81</v>
      </c>
      <c r="I2476" t="s">
        <v>9</v>
      </c>
      <c r="L2476" t="s">
        <v>161</v>
      </c>
      <c r="M2476">
        <v>-79099807.909999996</v>
      </c>
    </row>
    <row r="2477" spans="1:13" x14ac:dyDescent="0.3">
      <c r="A2477" s="23">
        <v>45839</v>
      </c>
      <c r="B2477" t="s">
        <v>12</v>
      </c>
      <c r="C2477" t="s">
        <v>132</v>
      </c>
      <c r="D2477" t="s">
        <v>16</v>
      </c>
      <c r="E2477" t="s">
        <v>197</v>
      </c>
      <c r="F2477">
        <v>200000000</v>
      </c>
      <c r="G2477" t="s">
        <v>198</v>
      </c>
      <c r="H2477" t="s">
        <v>81</v>
      </c>
      <c r="I2477" t="s">
        <v>9</v>
      </c>
      <c r="L2477" t="s">
        <v>161</v>
      </c>
      <c r="M2477">
        <v>200000000</v>
      </c>
    </row>
    <row r="2478" spans="1:13" x14ac:dyDescent="0.3">
      <c r="A2478" s="23">
        <v>45762</v>
      </c>
      <c r="B2478" t="s">
        <v>12</v>
      </c>
      <c r="C2478" t="s">
        <v>132</v>
      </c>
      <c r="D2478" t="s">
        <v>17</v>
      </c>
      <c r="E2478" t="s">
        <v>197</v>
      </c>
      <c r="F2478">
        <v>14925092.640000001</v>
      </c>
      <c r="G2478" t="s">
        <v>198</v>
      </c>
      <c r="H2478" t="s">
        <v>81</v>
      </c>
      <c r="I2478" t="s">
        <v>9</v>
      </c>
      <c r="L2478" t="s">
        <v>161</v>
      </c>
      <c r="M2478">
        <v>-14925092.640000001</v>
      </c>
    </row>
    <row r="2479" spans="1:13" x14ac:dyDescent="0.3">
      <c r="A2479" s="23">
        <v>45695</v>
      </c>
      <c r="B2479" t="s">
        <v>12</v>
      </c>
      <c r="C2479" t="s">
        <v>132</v>
      </c>
      <c r="D2479" t="s">
        <v>16</v>
      </c>
      <c r="E2479" t="s">
        <v>197</v>
      </c>
      <c r="F2479">
        <v>700000</v>
      </c>
      <c r="G2479" t="s">
        <v>198</v>
      </c>
      <c r="H2479" t="s">
        <v>81</v>
      </c>
      <c r="I2479" t="s">
        <v>9</v>
      </c>
      <c r="L2479" t="s">
        <v>161</v>
      </c>
      <c r="M2479">
        <v>700000</v>
      </c>
    </row>
    <row r="2480" spans="1:13" x14ac:dyDescent="0.3">
      <c r="A2480" s="23">
        <v>45630</v>
      </c>
      <c r="B2480" t="s">
        <v>12</v>
      </c>
      <c r="C2480" t="s">
        <v>132</v>
      </c>
      <c r="D2480" t="s">
        <v>16</v>
      </c>
      <c r="E2480" t="s">
        <v>197</v>
      </c>
      <c r="F2480">
        <v>274158</v>
      </c>
      <c r="G2480" t="s">
        <v>198</v>
      </c>
      <c r="H2480" t="s">
        <v>81</v>
      </c>
      <c r="I2480" t="s">
        <v>9</v>
      </c>
      <c r="L2480" t="s">
        <v>161</v>
      </c>
      <c r="M2480">
        <v>274158</v>
      </c>
    </row>
    <row r="2481" spans="1:13" x14ac:dyDescent="0.3">
      <c r="A2481" s="23">
        <v>45607</v>
      </c>
      <c r="B2481" t="s">
        <v>12</v>
      </c>
      <c r="C2481" t="s">
        <v>132</v>
      </c>
      <c r="D2481" t="s">
        <v>16</v>
      </c>
      <c r="E2481" t="s">
        <v>197</v>
      </c>
      <c r="F2481">
        <v>3557571</v>
      </c>
      <c r="G2481" t="s">
        <v>198</v>
      </c>
      <c r="H2481" t="s">
        <v>81</v>
      </c>
      <c r="I2481" t="s">
        <v>9</v>
      </c>
      <c r="L2481" t="s">
        <v>161</v>
      </c>
      <c r="M2481">
        <v>3557571</v>
      </c>
    </row>
    <row r="2482" spans="1:13" x14ac:dyDescent="0.3">
      <c r="A2482" s="23">
        <v>45607</v>
      </c>
      <c r="B2482" t="s">
        <v>12</v>
      </c>
      <c r="C2482" t="s">
        <v>132</v>
      </c>
      <c r="D2482" t="s">
        <v>17</v>
      </c>
      <c r="E2482" t="s">
        <v>197</v>
      </c>
      <c r="F2482">
        <v>70000000</v>
      </c>
      <c r="G2482" t="s">
        <v>198</v>
      </c>
      <c r="H2482" t="s">
        <v>81</v>
      </c>
      <c r="I2482" t="s">
        <v>9</v>
      </c>
      <c r="L2482" t="s">
        <v>161</v>
      </c>
      <c r="M2482">
        <v>-70000000</v>
      </c>
    </row>
    <row r="2483" spans="1:13" x14ac:dyDescent="0.3">
      <c r="A2483" s="23">
        <v>45583</v>
      </c>
      <c r="B2483" t="s">
        <v>12</v>
      </c>
      <c r="C2483" t="s">
        <v>132</v>
      </c>
      <c r="D2483" t="s">
        <v>17</v>
      </c>
      <c r="E2483" t="s">
        <v>197</v>
      </c>
      <c r="F2483">
        <v>68789696.650000006</v>
      </c>
      <c r="G2483" t="s">
        <v>198</v>
      </c>
      <c r="H2483" t="s">
        <v>81</v>
      </c>
      <c r="I2483" t="s">
        <v>9</v>
      </c>
      <c r="L2483" t="s">
        <v>161</v>
      </c>
      <c r="M2483">
        <v>-68789696.650000006</v>
      </c>
    </row>
    <row r="2484" spans="1:13" x14ac:dyDescent="0.3">
      <c r="A2484" s="23">
        <v>45582</v>
      </c>
      <c r="B2484" t="s">
        <v>12</v>
      </c>
      <c r="C2484" t="s">
        <v>132</v>
      </c>
      <c r="D2484" t="s">
        <v>17</v>
      </c>
      <c r="E2484" t="s">
        <v>197</v>
      </c>
      <c r="F2484">
        <v>300000000</v>
      </c>
      <c r="G2484" t="s">
        <v>198</v>
      </c>
      <c r="H2484" t="s">
        <v>81</v>
      </c>
      <c r="I2484" t="s">
        <v>9</v>
      </c>
      <c r="L2484" t="s">
        <v>161</v>
      </c>
      <c r="M2484">
        <v>-300000000</v>
      </c>
    </row>
    <row r="2485" spans="1:13" x14ac:dyDescent="0.3">
      <c r="A2485" s="23">
        <v>45581</v>
      </c>
      <c r="B2485" t="s">
        <v>12</v>
      </c>
      <c r="C2485" t="s">
        <v>132</v>
      </c>
      <c r="D2485" t="s">
        <v>16</v>
      </c>
      <c r="E2485" t="s">
        <v>197</v>
      </c>
      <c r="F2485">
        <v>419800672</v>
      </c>
      <c r="G2485" t="s">
        <v>198</v>
      </c>
      <c r="H2485" t="s">
        <v>81</v>
      </c>
      <c r="I2485" t="s">
        <v>9</v>
      </c>
      <c r="L2485" t="s">
        <v>161</v>
      </c>
      <c r="M2485">
        <v>419800672</v>
      </c>
    </row>
    <row r="2486" spans="1:13" x14ac:dyDescent="0.3">
      <c r="A2486" s="23">
        <v>45569</v>
      </c>
      <c r="B2486" t="s">
        <v>12</v>
      </c>
      <c r="C2486" t="s">
        <v>132</v>
      </c>
      <c r="D2486" t="s">
        <v>17</v>
      </c>
      <c r="E2486" t="s">
        <v>197</v>
      </c>
      <c r="F2486">
        <v>103530841.93000001</v>
      </c>
      <c r="G2486" t="s">
        <v>198</v>
      </c>
      <c r="H2486" t="s">
        <v>81</v>
      </c>
      <c r="I2486" t="s">
        <v>9</v>
      </c>
      <c r="L2486" t="s">
        <v>161</v>
      </c>
      <c r="M2486">
        <v>-103530841.93000001</v>
      </c>
    </row>
    <row r="2487" spans="1:13" x14ac:dyDescent="0.3">
      <c r="A2487" s="23">
        <v>45569</v>
      </c>
      <c r="B2487" t="s">
        <v>12</v>
      </c>
      <c r="C2487" t="s">
        <v>132</v>
      </c>
      <c r="D2487" t="s">
        <v>17</v>
      </c>
      <c r="E2487" t="s">
        <v>197</v>
      </c>
      <c r="F2487">
        <v>87799328.75</v>
      </c>
      <c r="G2487" t="s">
        <v>198</v>
      </c>
      <c r="H2487" t="s">
        <v>81</v>
      </c>
      <c r="I2487" t="s">
        <v>9</v>
      </c>
      <c r="L2487" t="s">
        <v>161</v>
      </c>
      <c r="M2487">
        <v>-87799328.75</v>
      </c>
    </row>
    <row r="2488" spans="1:13" x14ac:dyDescent="0.3">
      <c r="A2488" s="23">
        <v>45567</v>
      </c>
      <c r="B2488" t="s">
        <v>12</v>
      </c>
      <c r="C2488" t="s">
        <v>132</v>
      </c>
      <c r="D2488" t="s">
        <v>16</v>
      </c>
      <c r="E2488" t="s">
        <v>197</v>
      </c>
      <c r="F2488">
        <v>209100000</v>
      </c>
      <c r="G2488" t="s">
        <v>198</v>
      </c>
      <c r="H2488" t="s">
        <v>81</v>
      </c>
      <c r="I2488" t="s">
        <v>9</v>
      </c>
      <c r="L2488" t="s">
        <v>161</v>
      </c>
      <c r="M2488">
        <v>209100000</v>
      </c>
    </row>
    <row r="2489" spans="1:13" x14ac:dyDescent="0.3">
      <c r="A2489" s="23">
        <v>45473</v>
      </c>
      <c r="B2489" t="s">
        <v>12</v>
      </c>
      <c r="C2489" t="s">
        <v>132</v>
      </c>
      <c r="D2489" t="s">
        <v>16</v>
      </c>
      <c r="E2489" t="s">
        <v>197</v>
      </c>
      <c r="F2489">
        <v>1350000</v>
      </c>
      <c r="G2489" t="s">
        <v>198</v>
      </c>
      <c r="H2489" t="s">
        <v>81</v>
      </c>
      <c r="I2489" t="s">
        <v>9</v>
      </c>
      <c r="L2489" t="s">
        <v>161</v>
      </c>
      <c r="M2489">
        <v>1350000</v>
      </c>
    </row>
    <row r="2490" spans="1:13" x14ac:dyDescent="0.3">
      <c r="A2490" s="23">
        <v>45546</v>
      </c>
      <c r="B2490" t="s">
        <v>12</v>
      </c>
      <c r="C2490" t="s">
        <v>132</v>
      </c>
      <c r="D2490" t="s">
        <v>17</v>
      </c>
      <c r="E2490" t="s">
        <v>197</v>
      </c>
      <c r="F2490">
        <v>150836941.03</v>
      </c>
      <c r="G2490" t="s">
        <v>198</v>
      </c>
      <c r="H2490" t="s">
        <v>81</v>
      </c>
      <c r="I2490" t="s">
        <v>9</v>
      </c>
      <c r="L2490" t="s">
        <v>161</v>
      </c>
      <c r="M2490">
        <v>-150836941.03</v>
      </c>
    </row>
    <row r="2491" spans="1:13" x14ac:dyDescent="0.3">
      <c r="A2491" s="23">
        <v>45539</v>
      </c>
      <c r="B2491" t="s">
        <v>12</v>
      </c>
      <c r="C2491" t="s">
        <v>132</v>
      </c>
      <c r="D2491" t="s">
        <v>16</v>
      </c>
      <c r="E2491" t="s">
        <v>197</v>
      </c>
      <c r="F2491">
        <v>85540000</v>
      </c>
      <c r="G2491" t="s">
        <v>198</v>
      </c>
      <c r="H2491" t="s">
        <v>81</v>
      </c>
      <c r="I2491" t="s">
        <v>9</v>
      </c>
      <c r="L2491" t="s">
        <v>161</v>
      </c>
      <c r="M2491">
        <v>85540000</v>
      </c>
    </row>
    <row r="2492" spans="1:13" x14ac:dyDescent="0.3">
      <c r="A2492" s="23">
        <v>45538</v>
      </c>
      <c r="B2492" t="s">
        <v>12</v>
      </c>
      <c r="C2492" t="s">
        <v>132</v>
      </c>
      <c r="D2492" t="s">
        <v>16</v>
      </c>
      <c r="E2492" t="s">
        <v>197</v>
      </c>
      <c r="F2492">
        <v>1434000</v>
      </c>
      <c r="G2492" t="s">
        <v>198</v>
      </c>
      <c r="H2492" t="s">
        <v>81</v>
      </c>
      <c r="I2492" t="s">
        <v>9</v>
      </c>
      <c r="L2492" t="s">
        <v>161</v>
      </c>
      <c r="M2492">
        <v>1434000</v>
      </c>
    </row>
    <row r="2493" spans="1:13" x14ac:dyDescent="0.3">
      <c r="A2493" s="23">
        <v>45531</v>
      </c>
      <c r="B2493" t="s">
        <v>12</v>
      </c>
      <c r="C2493" t="s">
        <v>132</v>
      </c>
      <c r="D2493" t="s">
        <v>16</v>
      </c>
      <c r="E2493" t="s">
        <v>197</v>
      </c>
      <c r="F2493">
        <v>25393300</v>
      </c>
      <c r="G2493" t="s">
        <v>198</v>
      </c>
      <c r="H2493" t="s">
        <v>81</v>
      </c>
      <c r="I2493" t="s">
        <v>9</v>
      </c>
      <c r="L2493" t="s">
        <v>161</v>
      </c>
      <c r="M2493">
        <v>25393300</v>
      </c>
    </row>
    <row r="2494" spans="1:13" x14ac:dyDescent="0.3">
      <c r="A2494" s="23">
        <v>45524</v>
      </c>
      <c r="B2494" t="s">
        <v>12</v>
      </c>
      <c r="C2494" t="s">
        <v>132</v>
      </c>
      <c r="D2494" t="s">
        <v>16</v>
      </c>
      <c r="E2494" t="s">
        <v>197</v>
      </c>
      <c r="F2494">
        <v>23314200</v>
      </c>
      <c r="G2494" t="s">
        <v>198</v>
      </c>
      <c r="H2494" t="s">
        <v>81</v>
      </c>
      <c r="I2494" t="s">
        <v>9</v>
      </c>
      <c r="L2494" t="s">
        <v>161</v>
      </c>
      <c r="M2494">
        <v>23314200</v>
      </c>
    </row>
    <row r="2495" spans="1:13" x14ac:dyDescent="0.3">
      <c r="A2495" s="23">
        <v>45504</v>
      </c>
      <c r="B2495" t="s">
        <v>12</v>
      </c>
      <c r="C2495" t="s">
        <v>132</v>
      </c>
      <c r="D2495" t="s">
        <v>16</v>
      </c>
      <c r="E2495" t="s">
        <v>197</v>
      </c>
      <c r="F2495">
        <v>148000</v>
      </c>
      <c r="G2495" t="s">
        <v>198</v>
      </c>
      <c r="H2495" t="s">
        <v>81</v>
      </c>
      <c r="I2495" t="s">
        <v>9</v>
      </c>
      <c r="L2495" t="s">
        <v>161</v>
      </c>
      <c r="M2495">
        <v>148000</v>
      </c>
    </row>
    <row r="2496" spans="1:13" x14ac:dyDescent="0.3">
      <c r="A2496" s="23">
        <v>45497</v>
      </c>
      <c r="B2496" t="s">
        <v>12</v>
      </c>
      <c r="C2496" t="s">
        <v>132</v>
      </c>
      <c r="D2496" t="s">
        <v>16</v>
      </c>
      <c r="E2496" t="s">
        <v>197</v>
      </c>
      <c r="F2496">
        <v>25270000</v>
      </c>
      <c r="G2496" t="s">
        <v>198</v>
      </c>
      <c r="H2496" t="s">
        <v>81</v>
      </c>
      <c r="I2496" t="s">
        <v>9</v>
      </c>
      <c r="L2496" t="s">
        <v>161</v>
      </c>
      <c r="M2496">
        <v>25270000</v>
      </c>
    </row>
    <row r="2497" spans="1:13" x14ac:dyDescent="0.3">
      <c r="A2497" s="23">
        <v>45663</v>
      </c>
      <c r="B2497" t="s">
        <v>12</v>
      </c>
      <c r="C2497" t="s">
        <v>132</v>
      </c>
      <c r="D2497" t="s">
        <v>17</v>
      </c>
      <c r="E2497" t="s">
        <v>203</v>
      </c>
      <c r="F2497">
        <v>610000000</v>
      </c>
      <c r="G2497" t="s">
        <v>109</v>
      </c>
      <c r="H2497" t="s">
        <v>81</v>
      </c>
      <c r="I2497" t="s">
        <v>9</v>
      </c>
      <c r="L2497" t="s">
        <v>161</v>
      </c>
      <c r="M2497">
        <v>-610000000</v>
      </c>
    </row>
    <row r="2498" spans="1:13" x14ac:dyDescent="0.3">
      <c r="A2498" s="23">
        <v>45659</v>
      </c>
      <c r="B2498" t="s">
        <v>12</v>
      </c>
      <c r="C2498" t="s">
        <v>132</v>
      </c>
      <c r="D2498" t="s">
        <v>16</v>
      </c>
      <c r="E2498" t="s">
        <v>203</v>
      </c>
      <c r="F2498">
        <v>610000000</v>
      </c>
      <c r="G2498" t="s">
        <v>109</v>
      </c>
      <c r="H2498" t="s">
        <v>81</v>
      </c>
      <c r="I2498" t="s">
        <v>9</v>
      </c>
      <c r="L2498" t="s">
        <v>161</v>
      </c>
      <c r="M2498">
        <v>610000000</v>
      </c>
    </row>
    <row r="2499" spans="1:13" x14ac:dyDescent="0.3">
      <c r="A2499" s="23">
        <v>45845</v>
      </c>
      <c r="B2499" t="s">
        <v>12</v>
      </c>
      <c r="C2499" t="s">
        <v>132</v>
      </c>
      <c r="D2499" t="s">
        <v>17</v>
      </c>
      <c r="E2499" t="s">
        <v>204</v>
      </c>
      <c r="F2499">
        <v>864761526.48000002</v>
      </c>
      <c r="G2499" t="s">
        <v>205</v>
      </c>
      <c r="H2499" t="s">
        <v>81</v>
      </c>
      <c r="I2499" t="s">
        <v>9</v>
      </c>
      <c r="L2499" t="s">
        <v>161</v>
      </c>
      <c r="M2499">
        <v>-864761526.48000002</v>
      </c>
    </row>
    <row r="2500" spans="1:13" x14ac:dyDescent="0.3">
      <c r="A2500" s="23">
        <v>45845</v>
      </c>
      <c r="B2500" t="s">
        <v>12</v>
      </c>
      <c r="C2500" t="s">
        <v>132</v>
      </c>
      <c r="D2500" t="s">
        <v>17</v>
      </c>
      <c r="E2500" t="s">
        <v>204</v>
      </c>
      <c r="F2500">
        <v>658079823.47000003</v>
      </c>
      <c r="G2500" t="s">
        <v>205</v>
      </c>
      <c r="H2500" t="s">
        <v>81</v>
      </c>
      <c r="I2500" t="s">
        <v>9</v>
      </c>
      <c r="L2500" t="s">
        <v>161</v>
      </c>
      <c r="M2500">
        <v>-658079823.47000003</v>
      </c>
    </row>
    <row r="2501" spans="1:13" x14ac:dyDescent="0.3">
      <c r="A2501" s="23">
        <v>45839</v>
      </c>
      <c r="B2501" t="s">
        <v>12</v>
      </c>
      <c r="C2501" t="s">
        <v>132</v>
      </c>
      <c r="D2501" t="s">
        <v>16</v>
      </c>
      <c r="E2501" t="s">
        <v>204</v>
      </c>
      <c r="F2501">
        <v>600000000</v>
      </c>
      <c r="G2501" t="s">
        <v>205</v>
      </c>
      <c r="H2501" t="s">
        <v>81</v>
      </c>
      <c r="I2501" t="s">
        <v>9</v>
      </c>
      <c r="L2501" t="s">
        <v>161</v>
      </c>
      <c r="M2501">
        <v>600000000</v>
      </c>
    </row>
    <row r="2502" spans="1:13" x14ac:dyDescent="0.3">
      <c r="A2502" s="23">
        <v>45835</v>
      </c>
      <c r="B2502" t="s">
        <v>12</v>
      </c>
      <c r="C2502" t="s">
        <v>132</v>
      </c>
      <c r="D2502" t="s">
        <v>17</v>
      </c>
      <c r="E2502" t="s">
        <v>204</v>
      </c>
      <c r="F2502">
        <v>93003158.5</v>
      </c>
      <c r="G2502" t="s">
        <v>205</v>
      </c>
      <c r="H2502" t="s">
        <v>81</v>
      </c>
      <c r="I2502" t="s">
        <v>9</v>
      </c>
      <c r="L2502" t="s">
        <v>161</v>
      </c>
      <c r="M2502">
        <v>-93003158.5</v>
      </c>
    </row>
    <row r="2503" spans="1:13" x14ac:dyDescent="0.3">
      <c r="A2503" s="23">
        <v>45833</v>
      </c>
      <c r="B2503" t="s">
        <v>12</v>
      </c>
      <c r="C2503" t="s">
        <v>132</v>
      </c>
      <c r="D2503" t="s">
        <v>17</v>
      </c>
      <c r="E2503" t="s">
        <v>204</v>
      </c>
      <c r="F2503">
        <v>98551449.359999999</v>
      </c>
      <c r="G2503" t="s">
        <v>205</v>
      </c>
      <c r="H2503" t="s">
        <v>81</v>
      </c>
      <c r="I2503" t="s">
        <v>9</v>
      </c>
      <c r="L2503" t="s">
        <v>161</v>
      </c>
      <c r="M2503">
        <v>-98551449.359999999</v>
      </c>
    </row>
    <row r="2504" spans="1:13" x14ac:dyDescent="0.3">
      <c r="A2504" s="23">
        <v>45818</v>
      </c>
      <c r="B2504" t="s">
        <v>12</v>
      </c>
      <c r="C2504" t="s">
        <v>132</v>
      </c>
      <c r="D2504" t="s">
        <v>17</v>
      </c>
      <c r="E2504" t="s">
        <v>204</v>
      </c>
      <c r="F2504">
        <v>52430808.210000001</v>
      </c>
      <c r="G2504" t="s">
        <v>205</v>
      </c>
      <c r="H2504" t="s">
        <v>81</v>
      </c>
      <c r="I2504" t="s">
        <v>9</v>
      </c>
      <c r="L2504" t="s">
        <v>161</v>
      </c>
      <c r="M2504">
        <v>-52430808.210000001</v>
      </c>
    </row>
    <row r="2505" spans="1:13" x14ac:dyDescent="0.3">
      <c r="A2505" s="23">
        <v>45818</v>
      </c>
      <c r="B2505" t="s">
        <v>12</v>
      </c>
      <c r="C2505" t="s">
        <v>132</v>
      </c>
      <c r="D2505" t="s">
        <v>17</v>
      </c>
      <c r="E2505" t="s">
        <v>204</v>
      </c>
      <c r="F2505">
        <v>78247913.659999996</v>
      </c>
      <c r="G2505" t="s">
        <v>205</v>
      </c>
      <c r="H2505" t="s">
        <v>81</v>
      </c>
      <c r="I2505" t="s">
        <v>9</v>
      </c>
      <c r="L2505" t="s">
        <v>161</v>
      </c>
      <c r="M2505">
        <v>-78247913.659999996</v>
      </c>
    </row>
    <row r="2506" spans="1:13" x14ac:dyDescent="0.3">
      <c r="A2506" s="23">
        <v>45804</v>
      </c>
      <c r="B2506" t="s">
        <v>12</v>
      </c>
      <c r="C2506" t="s">
        <v>132</v>
      </c>
      <c r="D2506" t="s">
        <v>16</v>
      </c>
      <c r="E2506" t="s">
        <v>204</v>
      </c>
      <c r="F2506">
        <v>62364000</v>
      </c>
      <c r="G2506" t="s">
        <v>205</v>
      </c>
      <c r="H2506" t="s">
        <v>81</v>
      </c>
      <c r="I2506" t="s">
        <v>9</v>
      </c>
      <c r="L2506" t="s">
        <v>161</v>
      </c>
      <c r="M2506">
        <v>62364000</v>
      </c>
    </row>
    <row r="2507" spans="1:13" x14ac:dyDescent="0.3">
      <c r="A2507" s="23">
        <v>45799</v>
      </c>
      <c r="B2507" t="s">
        <v>12</v>
      </c>
      <c r="C2507" t="s">
        <v>132</v>
      </c>
      <c r="D2507" t="s">
        <v>17</v>
      </c>
      <c r="E2507" t="s">
        <v>204</v>
      </c>
      <c r="F2507">
        <v>197504802.94</v>
      </c>
      <c r="G2507" t="s">
        <v>205</v>
      </c>
      <c r="H2507" t="s">
        <v>81</v>
      </c>
      <c r="I2507" t="s">
        <v>9</v>
      </c>
      <c r="L2507" t="s">
        <v>161</v>
      </c>
      <c r="M2507">
        <v>-197504802.94</v>
      </c>
    </row>
    <row r="2508" spans="1:13" x14ac:dyDescent="0.3">
      <c r="A2508" s="23">
        <v>45790</v>
      </c>
      <c r="B2508" t="s">
        <v>12</v>
      </c>
      <c r="C2508" t="s">
        <v>132</v>
      </c>
      <c r="D2508" t="s">
        <v>17</v>
      </c>
      <c r="E2508" t="s">
        <v>204</v>
      </c>
      <c r="F2508">
        <v>73048243.370000005</v>
      </c>
      <c r="G2508" t="s">
        <v>205</v>
      </c>
      <c r="H2508" t="s">
        <v>81</v>
      </c>
      <c r="I2508" t="s">
        <v>9</v>
      </c>
      <c r="L2508" t="s">
        <v>161</v>
      </c>
      <c r="M2508">
        <v>-73048243.370000005</v>
      </c>
    </row>
    <row r="2509" spans="1:13" x14ac:dyDescent="0.3">
      <c r="A2509" s="23">
        <v>45790</v>
      </c>
      <c r="B2509" t="s">
        <v>12</v>
      </c>
      <c r="C2509" t="s">
        <v>132</v>
      </c>
      <c r="D2509" t="s">
        <v>17</v>
      </c>
      <c r="E2509" t="s">
        <v>204</v>
      </c>
      <c r="F2509">
        <v>65224562.520000003</v>
      </c>
      <c r="G2509" t="s">
        <v>205</v>
      </c>
      <c r="H2509" t="s">
        <v>81</v>
      </c>
      <c r="I2509" t="s">
        <v>9</v>
      </c>
      <c r="L2509" t="s">
        <v>161</v>
      </c>
      <c r="M2509">
        <v>-65224562.520000003</v>
      </c>
    </row>
    <row r="2510" spans="1:13" x14ac:dyDescent="0.3">
      <c r="A2510" s="23">
        <v>45790</v>
      </c>
      <c r="B2510" t="s">
        <v>12</v>
      </c>
      <c r="C2510" t="s">
        <v>132</v>
      </c>
      <c r="D2510" t="s">
        <v>16</v>
      </c>
      <c r="E2510" t="s">
        <v>204</v>
      </c>
      <c r="F2510">
        <v>1000000000</v>
      </c>
      <c r="G2510" t="s">
        <v>205</v>
      </c>
      <c r="H2510" t="s">
        <v>81</v>
      </c>
      <c r="I2510" t="s">
        <v>9</v>
      </c>
      <c r="L2510" t="s">
        <v>161</v>
      </c>
      <c r="M2510">
        <v>1000000000</v>
      </c>
    </row>
    <row r="2511" spans="1:13" x14ac:dyDescent="0.3">
      <c r="A2511" s="23">
        <v>45785</v>
      </c>
      <c r="B2511" t="s">
        <v>12</v>
      </c>
      <c r="C2511" t="s">
        <v>132</v>
      </c>
      <c r="D2511" t="s">
        <v>17</v>
      </c>
      <c r="E2511" t="s">
        <v>204</v>
      </c>
      <c r="F2511">
        <v>108350481.76000001</v>
      </c>
      <c r="G2511" t="s">
        <v>205</v>
      </c>
      <c r="H2511" t="s">
        <v>81</v>
      </c>
      <c r="I2511" t="s">
        <v>9</v>
      </c>
      <c r="L2511" t="s">
        <v>161</v>
      </c>
      <c r="M2511">
        <v>-108350481.76000001</v>
      </c>
    </row>
    <row r="2512" spans="1:13" x14ac:dyDescent="0.3">
      <c r="A2512" s="23">
        <v>45734</v>
      </c>
      <c r="B2512" t="s">
        <v>12</v>
      </c>
      <c r="C2512" t="s">
        <v>132</v>
      </c>
      <c r="D2512" t="s">
        <v>17</v>
      </c>
      <c r="E2512" t="s">
        <v>204</v>
      </c>
      <c r="F2512">
        <v>65000000</v>
      </c>
      <c r="G2512" t="s">
        <v>205</v>
      </c>
      <c r="H2512" t="s">
        <v>81</v>
      </c>
      <c r="I2512" t="s">
        <v>9</v>
      </c>
      <c r="L2512" t="s">
        <v>161</v>
      </c>
      <c r="M2512">
        <v>-65000000</v>
      </c>
    </row>
    <row r="2513" spans="1:13" x14ac:dyDescent="0.3">
      <c r="A2513" s="23">
        <v>45734</v>
      </c>
      <c r="B2513" t="s">
        <v>12</v>
      </c>
      <c r="C2513" t="s">
        <v>132</v>
      </c>
      <c r="D2513" t="s">
        <v>17</v>
      </c>
      <c r="E2513" t="s">
        <v>204</v>
      </c>
      <c r="F2513">
        <v>50000000</v>
      </c>
      <c r="G2513" t="s">
        <v>205</v>
      </c>
      <c r="H2513" t="s">
        <v>81</v>
      </c>
      <c r="I2513" t="s">
        <v>9</v>
      </c>
      <c r="L2513" t="s">
        <v>161</v>
      </c>
      <c r="M2513">
        <v>-50000000</v>
      </c>
    </row>
    <row r="2514" spans="1:13" x14ac:dyDescent="0.3">
      <c r="A2514" s="23">
        <v>45714</v>
      </c>
      <c r="B2514" t="s">
        <v>12</v>
      </c>
      <c r="C2514" t="s">
        <v>132</v>
      </c>
      <c r="D2514" t="s">
        <v>16</v>
      </c>
      <c r="E2514" t="s">
        <v>204</v>
      </c>
      <c r="F2514">
        <v>257243853</v>
      </c>
      <c r="G2514" t="s">
        <v>205</v>
      </c>
      <c r="H2514" t="s">
        <v>81</v>
      </c>
      <c r="I2514" t="s">
        <v>9</v>
      </c>
      <c r="L2514" t="s">
        <v>161</v>
      </c>
      <c r="M2514">
        <v>257243853</v>
      </c>
    </row>
    <row r="2515" spans="1:13" x14ac:dyDescent="0.3">
      <c r="A2515" s="23">
        <v>45706</v>
      </c>
      <c r="B2515" t="s">
        <v>12</v>
      </c>
      <c r="C2515" t="s">
        <v>132</v>
      </c>
      <c r="D2515" t="s">
        <v>16</v>
      </c>
      <c r="E2515" t="s">
        <v>204</v>
      </c>
      <c r="F2515">
        <v>273604147</v>
      </c>
      <c r="G2515" t="s">
        <v>205</v>
      </c>
      <c r="H2515" t="s">
        <v>81</v>
      </c>
      <c r="I2515" t="s">
        <v>9</v>
      </c>
      <c r="L2515" t="s">
        <v>161</v>
      </c>
      <c r="M2515">
        <v>273604147</v>
      </c>
    </row>
    <row r="2516" spans="1:13" x14ac:dyDescent="0.3">
      <c r="A2516" s="23">
        <v>45695</v>
      </c>
      <c r="B2516" t="s">
        <v>12</v>
      </c>
      <c r="C2516" t="s">
        <v>132</v>
      </c>
      <c r="D2516" t="s">
        <v>16</v>
      </c>
      <c r="E2516" t="s">
        <v>204</v>
      </c>
      <c r="F2516">
        <v>2050000</v>
      </c>
      <c r="G2516" t="s">
        <v>205</v>
      </c>
      <c r="H2516" t="s">
        <v>81</v>
      </c>
      <c r="I2516" t="s">
        <v>9</v>
      </c>
      <c r="L2516" t="s">
        <v>161</v>
      </c>
      <c r="M2516">
        <v>2050000</v>
      </c>
    </row>
    <row r="2517" spans="1:13" x14ac:dyDescent="0.3">
      <c r="A2517" s="23">
        <v>45686</v>
      </c>
      <c r="B2517" t="s">
        <v>12</v>
      </c>
      <c r="C2517" t="s">
        <v>132</v>
      </c>
      <c r="D2517" t="s">
        <v>16</v>
      </c>
      <c r="E2517" t="s">
        <v>204</v>
      </c>
      <c r="F2517">
        <v>300000000</v>
      </c>
      <c r="G2517" t="s">
        <v>205</v>
      </c>
      <c r="H2517" t="s">
        <v>81</v>
      </c>
      <c r="I2517" t="s">
        <v>9</v>
      </c>
      <c r="L2517" t="s">
        <v>161</v>
      </c>
      <c r="M2517">
        <v>300000000</v>
      </c>
    </row>
    <row r="2518" spans="1:13" x14ac:dyDescent="0.3">
      <c r="A2518" s="23">
        <v>45656</v>
      </c>
      <c r="B2518" t="s">
        <v>12</v>
      </c>
      <c r="C2518" t="s">
        <v>132</v>
      </c>
      <c r="D2518" t="s">
        <v>17</v>
      </c>
      <c r="E2518" t="s">
        <v>204</v>
      </c>
      <c r="F2518">
        <v>261058219.44</v>
      </c>
      <c r="G2518" t="s">
        <v>205</v>
      </c>
      <c r="H2518" t="s">
        <v>81</v>
      </c>
      <c r="I2518" t="s">
        <v>9</v>
      </c>
      <c r="L2518" t="s">
        <v>161</v>
      </c>
      <c r="M2518">
        <v>-261058219.44</v>
      </c>
    </row>
    <row r="2519" spans="1:13" x14ac:dyDescent="0.3">
      <c r="A2519" s="23">
        <v>45653</v>
      </c>
      <c r="B2519" t="s">
        <v>12</v>
      </c>
      <c r="C2519" t="s">
        <v>132</v>
      </c>
      <c r="D2519" t="s">
        <v>17</v>
      </c>
      <c r="E2519" t="s">
        <v>204</v>
      </c>
      <c r="F2519">
        <v>350000000</v>
      </c>
      <c r="G2519" t="s">
        <v>205</v>
      </c>
      <c r="H2519" t="s">
        <v>81</v>
      </c>
      <c r="I2519" t="s">
        <v>9</v>
      </c>
      <c r="L2519" t="s">
        <v>161</v>
      </c>
      <c r="M2519">
        <v>-350000000</v>
      </c>
    </row>
    <row r="2520" spans="1:13" x14ac:dyDescent="0.3">
      <c r="A2520" s="23">
        <v>45645</v>
      </c>
      <c r="B2520" t="s">
        <v>12</v>
      </c>
      <c r="C2520" t="s">
        <v>132</v>
      </c>
      <c r="D2520" t="s">
        <v>16</v>
      </c>
      <c r="E2520" t="s">
        <v>204</v>
      </c>
      <c r="F2520">
        <v>282148680</v>
      </c>
      <c r="G2520" t="s">
        <v>205</v>
      </c>
      <c r="H2520" t="s">
        <v>81</v>
      </c>
      <c r="I2520" t="s">
        <v>9</v>
      </c>
      <c r="L2520" t="s">
        <v>161</v>
      </c>
      <c r="M2520">
        <v>282148680</v>
      </c>
    </row>
    <row r="2521" spans="1:13" x14ac:dyDescent="0.3">
      <c r="A2521" s="23">
        <v>45643</v>
      </c>
      <c r="B2521" t="s">
        <v>12</v>
      </c>
      <c r="C2521" t="s">
        <v>132</v>
      </c>
      <c r="D2521" t="s">
        <v>17</v>
      </c>
      <c r="E2521" t="s">
        <v>204</v>
      </c>
      <c r="F2521">
        <v>125000000</v>
      </c>
      <c r="G2521" t="s">
        <v>205</v>
      </c>
      <c r="H2521" t="s">
        <v>81</v>
      </c>
      <c r="I2521" t="s">
        <v>9</v>
      </c>
      <c r="L2521" t="s">
        <v>161</v>
      </c>
      <c r="M2521">
        <v>-125000000</v>
      </c>
    </row>
    <row r="2522" spans="1:13" x14ac:dyDescent="0.3">
      <c r="A2522" s="23">
        <v>45639</v>
      </c>
      <c r="B2522" t="s">
        <v>12</v>
      </c>
      <c r="C2522" t="s">
        <v>132</v>
      </c>
      <c r="D2522" t="s">
        <v>16</v>
      </c>
      <c r="E2522" t="s">
        <v>204</v>
      </c>
      <c r="F2522">
        <v>100000000</v>
      </c>
      <c r="G2522" t="s">
        <v>205</v>
      </c>
      <c r="H2522" t="s">
        <v>81</v>
      </c>
      <c r="I2522" t="s">
        <v>9</v>
      </c>
      <c r="L2522" t="s">
        <v>161</v>
      </c>
      <c r="M2522">
        <v>100000000</v>
      </c>
    </row>
    <row r="2523" spans="1:13" x14ac:dyDescent="0.3">
      <c r="A2523" s="23">
        <v>45638</v>
      </c>
      <c r="B2523" t="s">
        <v>12</v>
      </c>
      <c r="C2523" t="s">
        <v>132</v>
      </c>
      <c r="D2523" t="s">
        <v>17</v>
      </c>
      <c r="E2523" t="s">
        <v>204</v>
      </c>
      <c r="F2523">
        <v>56239221.100000001</v>
      </c>
      <c r="G2523" t="s">
        <v>205</v>
      </c>
      <c r="H2523" t="s">
        <v>81</v>
      </c>
      <c r="I2523" t="s">
        <v>9</v>
      </c>
      <c r="L2523" t="s">
        <v>161</v>
      </c>
      <c r="M2523">
        <v>-56239221.100000001</v>
      </c>
    </row>
    <row r="2524" spans="1:13" x14ac:dyDescent="0.3">
      <c r="A2524" s="23">
        <v>45638</v>
      </c>
      <c r="B2524" t="s">
        <v>12</v>
      </c>
      <c r="C2524" t="s">
        <v>132</v>
      </c>
      <c r="D2524" t="s">
        <v>17</v>
      </c>
      <c r="E2524" t="s">
        <v>204</v>
      </c>
      <c r="F2524">
        <v>22695562.41</v>
      </c>
      <c r="G2524" t="s">
        <v>205</v>
      </c>
      <c r="H2524" t="s">
        <v>81</v>
      </c>
      <c r="I2524" t="s">
        <v>9</v>
      </c>
      <c r="L2524" t="s">
        <v>161</v>
      </c>
      <c r="M2524">
        <v>-22695562.41</v>
      </c>
    </row>
    <row r="2525" spans="1:13" x14ac:dyDescent="0.3">
      <c r="A2525" s="23">
        <v>45637</v>
      </c>
      <c r="B2525" t="s">
        <v>12</v>
      </c>
      <c r="C2525" t="s">
        <v>132</v>
      </c>
      <c r="D2525" t="s">
        <v>17</v>
      </c>
      <c r="E2525" t="s">
        <v>204</v>
      </c>
      <c r="F2525">
        <v>87998285.400000006</v>
      </c>
      <c r="G2525" t="s">
        <v>205</v>
      </c>
      <c r="H2525" t="s">
        <v>81</v>
      </c>
      <c r="I2525" t="s">
        <v>9</v>
      </c>
      <c r="L2525" t="s">
        <v>161</v>
      </c>
      <c r="M2525">
        <v>-87998285.400000006</v>
      </c>
    </row>
    <row r="2526" spans="1:13" x14ac:dyDescent="0.3">
      <c r="A2526" s="23">
        <v>45636</v>
      </c>
      <c r="B2526" t="s">
        <v>12</v>
      </c>
      <c r="C2526" t="s">
        <v>132</v>
      </c>
      <c r="D2526" t="s">
        <v>16</v>
      </c>
      <c r="E2526" t="s">
        <v>204</v>
      </c>
      <c r="F2526">
        <v>386059933</v>
      </c>
      <c r="G2526" t="s">
        <v>205</v>
      </c>
      <c r="H2526" t="s">
        <v>81</v>
      </c>
      <c r="I2526" t="s">
        <v>9</v>
      </c>
      <c r="L2526" t="s">
        <v>161</v>
      </c>
      <c r="M2526">
        <v>386059933</v>
      </c>
    </row>
    <row r="2527" spans="1:13" x14ac:dyDescent="0.3">
      <c r="A2527" s="23">
        <v>45630</v>
      </c>
      <c r="B2527" t="s">
        <v>12</v>
      </c>
      <c r="C2527" t="s">
        <v>132</v>
      </c>
      <c r="D2527" t="s">
        <v>16</v>
      </c>
      <c r="E2527" t="s">
        <v>204</v>
      </c>
      <c r="F2527">
        <v>3930538</v>
      </c>
      <c r="G2527" t="s">
        <v>205</v>
      </c>
      <c r="H2527" t="s">
        <v>81</v>
      </c>
      <c r="I2527" t="s">
        <v>9</v>
      </c>
      <c r="L2527" t="s">
        <v>161</v>
      </c>
      <c r="M2527">
        <v>3930538</v>
      </c>
    </row>
    <row r="2528" spans="1:13" x14ac:dyDescent="0.3">
      <c r="A2528" s="23">
        <v>45628</v>
      </c>
      <c r="B2528" t="s">
        <v>12</v>
      </c>
      <c r="C2528" t="s">
        <v>132</v>
      </c>
      <c r="D2528" t="s">
        <v>17</v>
      </c>
      <c r="E2528" t="s">
        <v>204</v>
      </c>
      <c r="F2528">
        <v>140000000</v>
      </c>
      <c r="G2528" t="s">
        <v>205</v>
      </c>
      <c r="H2528" t="s">
        <v>81</v>
      </c>
      <c r="I2528" t="s">
        <v>9</v>
      </c>
      <c r="L2528" t="s">
        <v>161</v>
      </c>
      <c r="M2528">
        <v>-140000000</v>
      </c>
    </row>
    <row r="2529" spans="1:13" x14ac:dyDescent="0.3">
      <c r="A2529" s="23">
        <v>45623</v>
      </c>
      <c r="B2529" t="s">
        <v>12</v>
      </c>
      <c r="C2529" t="s">
        <v>132</v>
      </c>
      <c r="D2529" t="s">
        <v>17</v>
      </c>
      <c r="E2529" t="s">
        <v>204</v>
      </c>
      <c r="F2529">
        <v>83059986</v>
      </c>
      <c r="G2529" t="s">
        <v>205</v>
      </c>
      <c r="H2529" t="s">
        <v>81</v>
      </c>
      <c r="I2529" t="s">
        <v>9</v>
      </c>
      <c r="L2529" t="s">
        <v>161</v>
      </c>
      <c r="M2529">
        <v>-83059986</v>
      </c>
    </row>
    <row r="2530" spans="1:13" x14ac:dyDescent="0.3">
      <c r="A2530" s="23">
        <v>45617</v>
      </c>
      <c r="B2530" t="s">
        <v>12</v>
      </c>
      <c r="C2530" t="s">
        <v>132</v>
      </c>
      <c r="D2530" t="s">
        <v>17</v>
      </c>
      <c r="E2530" t="s">
        <v>204</v>
      </c>
      <c r="F2530">
        <v>64000000</v>
      </c>
      <c r="G2530" t="s">
        <v>205</v>
      </c>
      <c r="H2530" t="s">
        <v>81</v>
      </c>
      <c r="I2530" t="s">
        <v>9</v>
      </c>
      <c r="L2530" t="s">
        <v>161</v>
      </c>
      <c r="M2530">
        <v>-64000000</v>
      </c>
    </row>
    <row r="2531" spans="1:13" x14ac:dyDescent="0.3">
      <c r="A2531" s="23">
        <v>45616</v>
      </c>
      <c r="B2531" t="s">
        <v>12</v>
      </c>
      <c r="C2531" t="s">
        <v>132</v>
      </c>
      <c r="D2531" t="s">
        <v>16</v>
      </c>
      <c r="E2531" t="s">
        <v>204</v>
      </c>
      <c r="F2531">
        <v>394148141</v>
      </c>
      <c r="G2531" t="s">
        <v>205</v>
      </c>
      <c r="H2531" t="s">
        <v>81</v>
      </c>
      <c r="I2531" t="s">
        <v>9</v>
      </c>
      <c r="L2531" t="s">
        <v>161</v>
      </c>
      <c r="M2531">
        <v>394148141</v>
      </c>
    </row>
    <row r="2532" spans="1:13" x14ac:dyDescent="0.3">
      <c r="A2532" s="23">
        <v>45607</v>
      </c>
      <c r="B2532" t="s">
        <v>12</v>
      </c>
      <c r="C2532" t="s">
        <v>132</v>
      </c>
      <c r="D2532" t="s">
        <v>16</v>
      </c>
      <c r="E2532" t="s">
        <v>204</v>
      </c>
      <c r="F2532">
        <v>3340748</v>
      </c>
      <c r="G2532" t="s">
        <v>205</v>
      </c>
      <c r="H2532" t="s">
        <v>81</v>
      </c>
      <c r="I2532" t="s">
        <v>9</v>
      </c>
      <c r="L2532" t="s">
        <v>161</v>
      </c>
      <c r="M2532">
        <v>3340748</v>
      </c>
    </row>
    <row r="2533" spans="1:13" x14ac:dyDescent="0.3">
      <c r="A2533" s="23">
        <v>45604</v>
      </c>
      <c r="B2533" t="s">
        <v>12</v>
      </c>
      <c r="C2533" t="s">
        <v>132</v>
      </c>
      <c r="D2533" t="s">
        <v>17</v>
      </c>
      <c r="E2533" t="s">
        <v>204</v>
      </c>
      <c r="F2533">
        <v>74662200</v>
      </c>
      <c r="G2533" t="s">
        <v>205</v>
      </c>
      <c r="H2533" t="s">
        <v>81</v>
      </c>
      <c r="I2533" t="s">
        <v>9</v>
      </c>
      <c r="L2533" t="s">
        <v>161</v>
      </c>
      <c r="M2533">
        <v>-74662200</v>
      </c>
    </row>
    <row r="2534" spans="1:13" x14ac:dyDescent="0.3">
      <c r="A2534" s="23">
        <v>45595</v>
      </c>
      <c r="B2534" t="s">
        <v>12</v>
      </c>
      <c r="C2534" t="s">
        <v>132</v>
      </c>
      <c r="D2534" t="s">
        <v>17</v>
      </c>
      <c r="E2534" t="s">
        <v>204</v>
      </c>
      <c r="F2534">
        <v>75591923</v>
      </c>
      <c r="G2534" t="s">
        <v>205</v>
      </c>
      <c r="H2534" t="s">
        <v>81</v>
      </c>
      <c r="I2534" t="s">
        <v>9</v>
      </c>
      <c r="L2534" t="s">
        <v>161</v>
      </c>
      <c r="M2534">
        <v>-75591923</v>
      </c>
    </row>
    <row r="2535" spans="1:13" x14ac:dyDescent="0.3">
      <c r="A2535" s="23">
        <v>45593</v>
      </c>
      <c r="B2535" t="s">
        <v>12</v>
      </c>
      <c r="C2535" t="s">
        <v>132</v>
      </c>
      <c r="D2535" t="s">
        <v>16</v>
      </c>
      <c r="E2535" t="s">
        <v>204</v>
      </c>
      <c r="F2535">
        <v>139832179</v>
      </c>
      <c r="G2535" t="s">
        <v>205</v>
      </c>
      <c r="H2535" t="s">
        <v>81</v>
      </c>
      <c r="I2535" t="s">
        <v>9</v>
      </c>
      <c r="L2535" t="s">
        <v>161</v>
      </c>
      <c r="M2535">
        <v>139832179</v>
      </c>
    </row>
    <row r="2536" spans="1:13" x14ac:dyDescent="0.3">
      <c r="A2536" s="23">
        <v>45561</v>
      </c>
      <c r="B2536" t="s">
        <v>12</v>
      </c>
      <c r="C2536" t="s">
        <v>132</v>
      </c>
      <c r="D2536" t="s">
        <v>17</v>
      </c>
      <c r="E2536" t="s">
        <v>204</v>
      </c>
      <c r="F2536">
        <v>95364513</v>
      </c>
      <c r="G2536" t="s">
        <v>205</v>
      </c>
      <c r="H2536" t="s">
        <v>81</v>
      </c>
      <c r="I2536" t="s">
        <v>9</v>
      </c>
      <c r="L2536" t="s">
        <v>161</v>
      </c>
      <c r="M2536">
        <v>-95364513</v>
      </c>
    </row>
    <row r="2537" spans="1:13" x14ac:dyDescent="0.3">
      <c r="A2537" s="23">
        <v>45555</v>
      </c>
      <c r="B2537" t="s">
        <v>12</v>
      </c>
      <c r="C2537" t="s">
        <v>132</v>
      </c>
      <c r="D2537" t="s">
        <v>17</v>
      </c>
      <c r="E2537" t="s">
        <v>204</v>
      </c>
      <c r="F2537">
        <v>116832102.27</v>
      </c>
      <c r="G2537" t="s">
        <v>205</v>
      </c>
      <c r="H2537" t="s">
        <v>81</v>
      </c>
      <c r="I2537" t="s">
        <v>9</v>
      </c>
      <c r="L2537" t="s">
        <v>161</v>
      </c>
      <c r="M2537">
        <v>-116832102.27</v>
      </c>
    </row>
    <row r="2538" spans="1:13" x14ac:dyDescent="0.3">
      <c r="A2538" s="23">
        <v>45555</v>
      </c>
      <c r="B2538" t="s">
        <v>12</v>
      </c>
      <c r="C2538" t="s">
        <v>132</v>
      </c>
      <c r="D2538" t="s">
        <v>17</v>
      </c>
      <c r="E2538" t="s">
        <v>204</v>
      </c>
      <c r="F2538">
        <v>45501634.359999999</v>
      </c>
      <c r="G2538" t="s">
        <v>205</v>
      </c>
      <c r="H2538" t="s">
        <v>81</v>
      </c>
      <c r="I2538" t="s">
        <v>9</v>
      </c>
      <c r="L2538" t="s">
        <v>161</v>
      </c>
      <c r="M2538">
        <v>-45501634.359999999</v>
      </c>
    </row>
    <row r="2539" spans="1:13" x14ac:dyDescent="0.3">
      <c r="A2539" s="23">
        <v>45552</v>
      </c>
      <c r="B2539" t="s">
        <v>12</v>
      </c>
      <c r="C2539" t="s">
        <v>132</v>
      </c>
      <c r="D2539" t="s">
        <v>16</v>
      </c>
      <c r="E2539" t="s">
        <v>204</v>
      </c>
      <c r="F2539">
        <v>288543427.98000002</v>
      </c>
      <c r="G2539" t="s">
        <v>205</v>
      </c>
      <c r="H2539" t="s">
        <v>81</v>
      </c>
      <c r="I2539" t="s">
        <v>9</v>
      </c>
      <c r="L2539" t="s">
        <v>161</v>
      </c>
      <c r="M2539">
        <v>288543427.98000002</v>
      </c>
    </row>
    <row r="2540" spans="1:13" x14ac:dyDescent="0.3">
      <c r="A2540" s="23">
        <v>45849</v>
      </c>
      <c r="B2540" t="s">
        <v>12</v>
      </c>
      <c r="C2540" t="s">
        <v>132</v>
      </c>
      <c r="D2540" t="s">
        <v>16</v>
      </c>
      <c r="E2540" t="s">
        <v>206</v>
      </c>
      <c r="F2540">
        <v>500000000</v>
      </c>
      <c r="G2540" t="s">
        <v>207</v>
      </c>
      <c r="H2540" t="s">
        <v>81</v>
      </c>
      <c r="I2540" t="s">
        <v>9</v>
      </c>
      <c r="L2540" t="s">
        <v>161</v>
      </c>
      <c r="M2540">
        <v>500000000</v>
      </c>
    </row>
    <row r="2541" spans="1:13" x14ac:dyDescent="0.3">
      <c r="A2541" s="23">
        <v>45845</v>
      </c>
      <c r="B2541" t="s">
        <v>12</v>
      </c>
      <c r="C2541" t="s">
        <v>132</v>
      </c>
      <c r="D2541" t="s">
        <v>17</v>
      </c>
      <c r="E2541" t="s">
        <v>206</v>
      </c>
      <c r="F2541">
        <v>206681702.99000001</v>
      </c>
      <c r="G2541" t="s">
        <v>207</v>
      </c>
      <c r="H2541" t="s">
        <v>81</v>
      </c>
      <c r="I2541" t="s">
        <v>9</v>
      </c>
      <c r="L2541" t="s">
        <v>161</v>
      </c>
      <c r="M2541">
        <v>-206681702.99000001</v>
      </c>
    </row>
    <row r="2542" spans="1:13" x14ac:dyDescent="0.3">
      <c r="A2542" s="23">
        <v>45845</v>
      </c>
      <c r="B2542" t="s">
        <v>12</v>
      </c>
      <c r="C2542" t="s">
        <v>132</v>
      </c>
      <c r="D2542" t="s">
        <v>17</v>
      </c>
      <c r="E2542" t="s">
        <v>206</v>
      </c>
      <c r="F2542">
        <v>237268351.74000001</v>
      </c>
      <c r="G2542" t="s">
        <v>207</v>
      </c>
      <c r="H2542" t="s">
        <v>81</v>
      </c>
      <c r="I2542" t="s">
        <v>9</v>
      </c>
      <c r="L2542" t="s">
        <v>161</v>
      </c>
      <c r="M2542">
        <v>-237268351.74000001</v>
      </c>
    </row>
    <row r="2543" spans="1:13" x14ac:dyDescent="0.3">
      <c r="A2543" s="23">
        <v>45827</v>
      </c>
      <c r="B2543" t="s">
        <v>12</v>
      </c>
      <c r="C2543" t="s">
        <v>132</v>
      </c>
      <c r="D2543" t="s">
        <v>16</v>
      </c>
      <c r="E2543" t="s">
        <v>206</v>
      </c>
      <c r="F2543">
        <v>500000000</v>
      </c>
      <c r="G2543" t="s">
        <v>207</v>
      </c>
      <c r="H2543" t="s">
        <v>81</v>
      </c>
      <c r="I2543" t="s">
        <v>9</v>
      </c>
      <c r="L2543" t="s">
        <v>161</v>
      </c>
      <c r="M2543">
        <v>500000000</v>
      </c>
    </row>
    <row r="2544" spans="1:13" x14ac:dyDescent="0.3">
      <c r="A2544" s="23">
        <v>45804</v>
      </c>
      <c r="B2544" t="s">
        <v>12</v>
      </c>
      <c r="C2544" t="s">
        <v>132</v>
      </c>
      <c r="D2544" t="s">
        <v>16</v>
      </c>
      <c r="E2544" t="s">
        <v>206</v>
      </c>
      <c r="F2544">
        <v>715000</v>
      </c>
      <c r="G2544" t="s">
        <v>207</v>
      </c>
      <c r="H2544" t="s">
        <v>81</v>
      </c>
      <c r="I2544" t="s">
        <v>9</v>
      </c>
      <c r="L2544" t="s">
        <v>161</v>
      </c>
      <c r="M2544">
        <v>715000</v>
      </c>
    </row>
    <row r="2545" spans="1:13" x14ac:dyDescent="0.3">
      <c r="A2545" s="23">
        <v>45695</v>
      </c>
      <c r="B2545" t="s">
        <v>12</v>
      </c>
      <c r="C2545" t="s">
        <v>132</v>
      </c>
      <c r="D2545" t="s">
        <v>16</v>
      </c>
      <c r="E2545" t="s">
        <v>206</v>
      </c>
      <c r="F2545">
        <v>1000000</v>
      </c>
      <c r="G2545" t="s">
        <v>207</v>
      </c>
      <c r="H2545" t="s">
        <v>81</v>
      </c>
      <c r="I2545" t="s">
        <v>9</v>
      </c>
      <c r="L2545" t="s">
        <v>161</v>
      </c>
      <c r="M2545">
        <v>1000000</v>
      </c>
    </row>
    <row r="2546" spans="1:13" x14ac:dyDescent="0.3">
      <c r="A2546" s="23">
        <v>45630</v>
      </c>
      <c r="B2546" t="s">
        <v>12</v>
      </c>
      <c r="C2546" t="s">
        <v>132</v>
      </c>
      <c r="D2546" t="s">
        <v>16</v>
      </c>
      <c r="E2546" t="s">
        <v>206</v>
      </c>
      <c r="F2546">
        <v>14696</v>
      </c>
      <c r="G2546" t="s">
        <v>207</v>
      </c>
      <c r="H2546" t="s">
        <v>81</v>
      </c>
      <c r="I2546" t="s">
        <v>9</v>
      </c>
      <c r="L2546" t="s">
        <v>161</v>
      </c>
      <c r="M2546">
        <v>14696</v>
      </c>
    </row>
    <row r="2547" spans="1:13" x14ac:dyDescent="0.3">
      <c r="A2547" s="23">
        <v>45623</v>
      </c>
      <c r="B2547" t="s">
        <v>12</v>
      </c>
      <c r="C2547" t="s">
        <v>132</v>
      </c>
      <c r="D2547" t="s">
        <v>16</v>
      </c>
      <c r="E2547" t="s">
        <v>206</v>
      </c>
      <c r="F2547">
        <v>11291911</v>
      </c>
      <c r="G2547" t="s">
        <v>207</v>
      </c>
      <c r="H2547" t="s">
        <v>81</v>
      </c>
      <c r="I2547" t="s">
        <v>9</v>
      </c>
      <c r="L2547" t="s">
        <v>161</v>
      </c>
      <c r="M2547">
        <v>11291911</v>
      </c>
    </row>
    <row r="2548" spans="1:13" x14ac:dyDescent="0.3">
      <c r="A2548" s="23">
        <v>45845</v>
      </c>
      <c r="B2548" t="s">
        <v>12</v>
      </c>
      <c r="C2548" t="s">
        <v>132</v>
      </c>
      <c r="D2548" t="s">
        <v>17</v>
      </c>
      <c r="E2548" t="s">
        <v>208</v>
      </c>
      <c r="F2548">
        <v>118249078.95</v>
      </c>
      <c r="G2548" t="s">
        <v>209</v>
      </c>
      <c r="H2548" t="s">
        <v>81</v>
      </c>
      <c r="I2548" t="s">
        <v>9</v>
      </c>
      <c r="L2548" t="s">
        <v>161</v>
      </c>
      <c r="M2548">
        <v>-118249078.95</v>
      </c>
    </row>
    <row r="2549" spans="1:13" x14ac:dyDescent="0.3">
      <c r="A2549" s="23">
        <v>45845</v>
      </c>
      <c r="B2549" t="s">
        <v>12</v>
      </c>
      <c r="C2549" t="s">
        <v>132</v>
      </c>
      <c r="D2549" t="s">
        <v>17</v>
      </c>
      <c r="E2549" t="s">
        <v>208</v>
      </c>
      <c r="F2549">
        <v>112608503.5</v>
      </c>
      <c r="G2549" t="s">
        <v>209</v>
      </c>
      <c r="H2549" t="s">
        <v>81</v>
      </c>
      <c r="I2549" t="s">
        <v>9</v>
      </c>
      <c r="L2549" t="s">
        <v>161</v>
      </c>
      <c r="M2549">
        <v>-112608503.5</v>
      </c>
    </row>
    <row r="2550" spans="1:13" x14ac:dyDescent="0.3">
      <c r="A2550" s="23">
        <v>45804</v>
      </c>
      <c r="B2550" t="s">
        <v>12</v>
      </c>
      <c r="C2550" t="s">
        <v>132</v>
      </c>
      <c r="D2550" t="s">
        <v>16</v>
      </c>
      <c r="E2550" t="s">
        <v>208</v>
      </c>
      <c r="F2550">
        <v>4311000</v>
      </c>
      <c r="G2550" t="s">
        <v>209</v>
      </c>
      <c r="H2550" t="s">
        <v>81</v>
      </c>
      <c r="I2550" t="s">
        <v>9</v>
      </c>
      <c r="L2550" t="s">
        <v>161</v>
      </c>
      <c r="M2550">
        <v>4311000</v>
      </c>
    </row>
    <row r="2551" spans="1:13" x14ac:dyDescent="0.3">
      <c r="A2551" s="23">
        <v>45791</v>
      </c>
      <c r="B2551" t="s">
        <v>12</v>
      </c>
      <c r="C2551" t="s">
        <v>132</v>
      </c>
      <c r="D2551" t="s">
        <v>16</v>
      </c>
      <c r="E2551" t="s">
        <v>208</v>
      </c>
      <c r="F2551">
        <v>500000000</v>
      </c>
      <c r="G2551" t="s">
        <v>209</v>
      </c>
      <c r="H2551" t="s">
        <v>81</v>
      </c>
      <c r="I2551" t="s">
        <v>9</v>
      </c>
      <c r="L2551" t="s">
        <v>161</v>
      </c>
      <c r="M2551">
        <v>500000000</v>
      </c>
    </row>
    <row r="2552" spans="1:13" x14ac:dyDescent="0.3">
      <c r="A2552" s="23">
        <v>45604</v>
      </c>
      <c r="B2552" t="s">
        <v>12</v>
      </c>
      <c r="C2552" t="s">
        <v>132</v>
      </c>
      <c r="D2552" t="s">
        <v>17</v>
      </c>
      <c r="E2552" t="s">
        <v>210</v>
      </c>
      <c r="F2552">
        <v>9811126</v>
      </c>
      <c r="G2552" t="s">
        <v>210</v>
      </c>
      <c r="H2552" t="s">
        <v>81</v>
      </c>
      <c r="I2552" t="s">
        <v>9</v>
      </c>
      <c r="L2552" t="s">
        <v>161</v>
      </c>
      <c r="M2552">
        <v>-9811126</v>
      </c>
    </row>
    <row r="2553" spans="1:13" x14ac:dyDescent="0.3">
      <c r="A2553" s="23">
        <v>45588</v>
      </c>
      <c r="B2553" t="s">
        <v>12</v>
      </c>
      <c r="C2553" t="s">
        <v>132</v>
      </c>
      <c r="D2553" t="s">
        <v>16</v>
      </c>
      <c r="E2553" t="s">
        <v>210</v>
      </c>
      <c r="F2553">
        <v>9811126</v>
      </c>
      <c r="G2553" t="s">
        <v>210</v>
      </c>
      <c r="H2553" t="s">
        <v>81</v>
      </c>
      <c r="I2553" t="s">
        <v>9</v>
      </c>
      <c r="L2553" t="s">
        <v>161</v>
      </c>
      <c r="M2553">
        <v>9811126</v>
      </c>
    </row>
    <row r="2554" spans="1:13" x14ac:dyDescent="0.3">
      <c r="A2554" s="23">
        <v>45866</v>
      </c>
      <c r="B2554" t="s">
        <v>12</v>
      </c>
      <c r="C2554" t="s">
        <v>132</v>
      </c>
      <c r="D2554" t="s">
        <v>17</v>
      </c>
      <c r="E2554" t="s">
        <v>40</v>
      </c>
      <c r="F2554">
        <v>286033409</v>
      </c>
      <c r="G2554" t="s">
        <v>25</v>
      </c>
      <c r="H2554" t="s">
        <v>81</v>
      </c>
      <c r="I2554" t="s">
        <v>9</v>
      </c>
      <c r="L2554" t="s">
        <v>161</v>
      </c>
      <c r="M2554">
        <v>-286033409</v>
      </c>
    </row>
    <row r="2555" spans="1:13" x14ac:dyDescent="0.3">
      <c r="A2555" s="23">
        <v>45863</v>
      </c>
      <c r="B2555" t="s">
        <v>12</v>
      </c>
      <c r="C2555" t="s">
        <v>132</v>
      </c>
      <c r="D2555" t="s">
        <v>16</v>
      </c>
      <c r="E2555" t="s">
        <v>40</v>
      </c>
      <c r="F2555">
        <v>138401734.09</v>
      </c>
      <c r="G2555" t="s">
        <v>25</v>
      </c>
      <c r="H2555" t="s">
        <v>81</v>
      </c>
      <c r="I2555" t="s">
        <v>9</v>
      </c>
      <c r="L2555" t="s">
        <v>161</v>
      </c>
      <c r="M2555">
        <v>138401734.09</v>
      </c>
    </row>
    <row r="2556" spans="1:13" x14ac:dyDescent="0.3">
      <c r="A2556" s="23">
        <v>45862</v>
      </c>
      <c r="B2556" t="s">
        <v>12</v>
      </c>
      <c r="C2556" t="s">
        <v>132</v>
      </c>
      <c r="D2556" t="s">
        <v>17</v>
      </c>
      <c r="E2556" t="s">
        <v>40</v>
      </c>
      <c r="F2556">
        <v>700000000</v>
      </c>
      <c r="G2556" t="s">
        <v>25</v>
      </c>
      <c r="H2556" t="s">
        <v>81</v>
      </c>
      <c r="I2556" t="s">
        <v>9</v>
      </c>
      <c r="L2556" t="s">
        <v>161</v>
      </c>
      <c r="M2556">
        <v>-700000000</v>
      </c>
    </row>
    <row r="2557" spans="1:13" x14ac:dyDescent="0.3">
      <c r="A2557" s="23">
        <v>45859</v>
      </c>
      <c r="B2557" t="s">
        <v>12</v>
      </c>
      <c r="C2557" t="s">
        <v>132</v>
      </c>
      <c r="D2557" t="s">
        <v>17</v>
      </c>
      <c r="E2557" t="s">
        <v>40</v>
      </c>
      <c r="F2557">
        <v>700600000</v>
      </c>
      <c r="G2557" t="s">
        <v>25</v>
      </c>
      <c r="H2557" t="s">
        <v>81</v>
      </c>
      <c r="I2557" t="s">
        <v>9</v>
      </c>
      <c r="L2557" t="s">
        <v>161</v>
      </c>
      <c r="M2557">
        <v>-700600000</v>
      </c>
    </row>
    <row r="2558" spans="1:13" x14ac:dyDescent="0.3">
      <c r="A2558" s="23">
        <v>45856</v>
      </c>
      <c r="B2558" t="s">
        <v>12</v>
      </c>
      <c r="C2558" t="s">
        <v>132</v>
      </c>
      <c r="D2558" t="s">
        <v>17</v>
      </c>
      <c r="E2558" t="s">
        <v>40</v>
      </c>
      <c r="F2558">
        <v>557800000</v>
      </c>
      <c r="G2558" t="s">
        <v>25</v>
      </c>
      <c r="H2558" t="s">
        <v>81</v>
      </c>
      <c r="I2558" t="s">
        <v>9</v>
      </c>
      <c r="L2558" t="s">
        <v>161</v>
      </c>
      <c r="M2558">
        <v>-557800000</v>
      </c>
    </row>
    <row r="2559" spans="1:13" x14ac:dyDescent="0.3">
      <c r="A2559" s="23">
        <v>45854</v>
      </c>
      <c r="B2559" t="s">
        <v>12</v>
      </c>
      <c r="C2559" t="s">
        <v>132</v>
      </c>
      <c r="D2559" t="s">
        <v>17</v>
      </c>
      <c r="E2559" t="s">
        <v>40</v>
      </c>
      <c r="F2559">
        <v>8400000</v>
      </c>
      <c r="G2559" t="s">
        <v>25</v>
      </c>
      <c r="H2559" t="s">
        <v>81</v>
      </c>
      <c r="I2559" t="s">
        <v>9</v>
      </c>
      <c r="L2559" t="s">
        <v>161</v>
      </c>
      <c r="M2559">
        <v>-8400000</v>
      </c>
    </row>
    <row r="2560" spans="1:13" x14ac:dyDescent="0.3">
      <c r="A2560" s="23">
        <v>45854</v>
      </c>
      <c r="B2560" t="s">
        <v>12</v>
      </c>
      <c r="C2560" t="s">
        <v>132</v>
      </c>
      <c r="D2560" t="s">
        <v>17</v>
      </c>
      <c r="E2560" t="s">
        <v>40</v>
      </c>
      <c r="F2560">
        <v>353400000</v>
      </c>
      <c r="G2560" t="s">
        <v>25</v>
      </c>
      <c r="H2560" t="s">
        <v>81</v>
      </c>
      <c r="I2560" t="s">
        <v>9</v>
      </c>
      <c r="L2560" t="s">
        <v>161</v>
      </c>
      <c r="M2560">
        <v>-353400000</v>
      </c>
    </row>
    <row r="2561" spans="1:13" x14ac:dyDescent="0.3">
      <c r="A2561" s="23">
        <v>45853</v>
      </c>
      <c r="B2561" t="s">
        <v>12</v>
      </c>
      <c r="C2561" t="s">
        <v>132</v>
      </c>
      <c r="D2561" t="s">
        <v>17</v>
      </c>
      <c r="E2561" t="s">
        <v>40</v>
      </c>
      <c r="F2561">
        <v>1133400000</v>
      </c>
      <c r="G2561" t="s">
        <v>25</v>
      </c>
      <c r="H2561" t="s">
        <v>81</v>
      </c>
      <c r="I2561" t="s">
        <v>9</v>
      </c>
      <c r="L2561" t="s">
        <v>161</v>
      </c>
      <c r="M2561">
        <v>-1133400000</v>
      </c>
    </row>
    <row r="2562" spans="1:13" x14ac:dyDescent="0.3">
      <c r="A2562" s="23">
        <v>45852</v>
      </c>
      <c r="B2562" t="s">
        <v>12</v>
      </c>
      <c r="C2562" t="s">
        <v>132</v>
      </c>
      <c r="D2562" t="s">
        <v>17</v>
      </c>
      <c r="E2562" t="s">
        <v>40</v>
      </c>
      <c r="F2562">
        <v>1436300000</v>
      </c>
      <c r="G2562" t="s">
        <v>25</v>
      </c>
      <c r="H2562" t="s">
        <v>81</v>
      </c>
      <c r="I2562" t="s">
        <v>9</v>
      </c>
      <c r="L2562" t="s">
        <v>161</v>
      </c>
      <c r="M2562">
        <v>-1436300000</v>
      </c>
    </row>
    <row r="2563" spans="1:13" x14ac:dyDescent="0.3">
      <c r="A2563" s="23">
        <v>45849</v>
      </c>
      <c r="B2563" t="s">
        <v>12</v>
      </c>
      <c r="C2563" t="s">
        <v>132</v>
      </c>
      <c r="D2563" t="s">
        <v>17</v>
      </c>
      <c r="E2563" t="s">
        <v>40</v>
      </c>
      <c r="F2563">
        <v>2500000000</v>
      </c>
      <c r="G2563" t="s">
        <v>25</v>
      </c>
      <c r="H2563" t="s">
        <v>81</v>
      </c>
      <c r="I2563" t="s">
        <v>9</v>
      </c>
      <c r="L2563" t="s">
        <v>161</v>
      </c>
      <c r="M2563">
        <v>-2500000000</v>
      </c>
    </row>
    <row r="2564" spans="1:13" x14ac:dyDescent="0.3">
      <c r="A2564" s="23">
        <v>45848</v>
      </c>
      <c r="B2564" t="s">
        <v>12</v>
      </c>
      <c r="C2564" t="s">
        <v>132</v>
      </c>
      <c r="D2564" t="s">
        <v>16</v>
      </c>
      <c r="E2564" t="s">
        <v>40</v>
      </c>
      <c r="F2564">
        <v>6279000000</v>
      </c>
      <c r="G2564" t="s">
        <v>25</v>
      </c>
      <c r="H2564" t="s">
        <v>81</v>
      </c>
      <c r="I2564" t="s">
        <v>9</v>
      </c>
      <c r="L2564" t="s">
        <v>161</v>
      </c>
      <c r="M2564">
        <v>6279000000</v>
      </c>
    </row>
    <row r="2565" spans="1:13" x14ac:dyDescent="0.3">
      <c r="A2565" s="23">
        <v>45848</v>
      </c>
      <c r="B2565" t="s">
        <v>12</v>
      </c>
      <c r="C2565" t="s">
        <v>132</v>
      </c>
      <c r="D2565" t="s">
        <v>17</v>
      </c>
      <c r="E2565" t="s">
        <v>40</v>
      </c>
      <c r="F2565">
        <v>5600000</v>
      </c>
      <c r="G2565" t="s">
        <v>25</v>
      </c>
      <c r="H2565" t="s">
        <v>81</v>
      </c>
      <c r="I2565" t="s">
        <v>9</v>
      </c>
      <c r="L2565" t="s">
        <v>161</v>
      </c>
      <c r="M2565">
        <v>-5600000</v>
      </c>
    </row>
    <row r="2566" spans="1:13" x14ac:dyDescent="0.3">
      <c r="A2566" s="23">
        <v>45839</v>
      </c>
      <c r="B2566" t="s">
        <v>12</v>
      </c>
      <c r="C2566" t="s">
        <v>132</v>
      </c>
      <c r="D2566" t="s">
        <v>17</v>
      </c>
      <c r="E2566" t="s">
        <v>40</v>
      </c>
      <c r="F2566">
        <v>13000000000</v>
      </c>
      <c r="G2566" t="s">
        <v>25</v>
      </c>
      <c r="H2566" t="s">
        <v>81</v>
      </c>
      <c r="I2566" t="s">
        <v>9</v>
      </c>
      <c r="L2566" t="s">
        <v>161</v>
      </c>
      <c r="M2566">
        <v>-13000000000</v>
      </c>
    </row>
    <row r="2567" spans="1:13" x14ac:dyDescent="0.3">
      <c r="A2567" s="23">
        <v>45835</v>
      </c>
      <c r="B2567" t="s">
        <v>12</v>
      </c>
      <c r="C2567" t="s">
        <v>132</v>
      </c>
      <c r="D2567" t="s">
        <v>16</v>
      </c>
      <c r="E2567" t="s">
        <v>40</v>
      </c>
      <c r="F2567">
        <v>4740000000</v>
      </c>
      <c r="G2567" t="s">
        <v>25</v>
      </c>
      <c r="H2567" t="s">
        <v>81</v>
      </c>
      <c r="I2567" t="s">
        <v>9</v>
      </c>
      <c r="L2567" t="s">
        <v>161</v>
      </c>
      <c r="M2567">
        <v>4740000000</v>
      </c>
    </row>
    <row r="2568" spans="1:13" x14ac:dyDescent="0.3">
      <c r="A2568" s="23">
        <v>45834</v>
      </c>
      <c r="B2568" t="s">
        <v>12</v>
      </c>
      <c r="C2568" t="s">
        <v>132</v>
      </c>
      <c r="D2568" t="s">
        <v>17</v>
      </c>
      <c r="E2568" t="s">
        <v>40</v>
      </c>
      <c r="F2568">
        <v>200000000</v>
      </c>
      <c r="G2568" t="s">
        <v>25</v>
      </c>
      <c r="H2568" t="s">
        <v>81</v>
      </c>
      <c r="I2568" t="s">
        <v>9</v>
      </c>
      <c r="L2568" t="s">
        <v>161</v>
      </c>
      <c r="M2568">
        <v>-200000000</v>
      </c>
    </row>
    <row r="2569" spans="1:13" x14ac:dyDescent="0.3">
      <c r="A2569" s="23">
        <v>45833</v>
      </c>
      <c r="B2569" t="s">
        <v>12</v>
      </c>
      <c r="C2569" t="s">
        <v>132</v>
      </c>
      <c r="D2569" t="s">
        <v>17</v>
      </c>
      <c r="E2569" t="s">
        <v>40</v>
      </c>
      <c r="F2569">
        <v>766000000</v>
      </c>
      <c r="G2569" t="s">
        <v>25</v>
      </c>
      <c r="H2569" t="s">
        <v>81</v>
      </c>
      <c r="I2569" t="s">
        <v>9</v>
      </c>
      <c r="L2569" t="s">
        <v>161</v>
      </c>
      <c r="M2569">
        <v>-766000000</v>
      </c>
    </row>
    <row r="2570" spans="1:13" x14ac:dyDescent="0.3">
      <c r="A2570" s="23">
        <v>45832</v>
      </c>
      <c r="B2570" t="s">
        <v>12</v>
      </c>
      <c r="C2570" t="s">
        <v>132</v>
      </c>
      <c r="D2570" t="s">
        <v>16</v>
      </c>
      <c r="E2570" t="s">
        <v>40</v>
      </c>
      <c r="F2570">
        <v>617100000</v>
      </c>
      <c r="G2570" t="s">
        <v>25</v>
      </c>
      <c r="H2570" t="s">
        <v>81</v>
      </c>
      <c r="I2570" t="s">
        <v>9</v>
      </c>
      <c r="L2570" t="s">
        <v>161</v>
      </c>
      <c r="M2570">
        <v>617100000</v>
      </c>
    </row>
    <row r="2571" spans="1:13" x14ac:dyDescent="0.3">
      <c r="A2571" s="23">
        <v>45827</v>
      </c>
      <c r="B2571" t="s">
        <v>12</v>
      </c>
      <c r="C2571" t="s">
        <v>132</v>
      </c>
      <c r="D2571" t="s">
        <v>16</v>
      </c>
      <c r="E2571" t="s">
        <v>40</v>
      </c>
      <c r="F2571">
        <v>175675836.13999999</v>
      </c>
      <c r="G2571" t="s">
        <v>25</v>
      </c>
      <c r="H2571" t="s">
        <v>81</v>
      </c>
      <c r="I2571" t="s">
        <v>9</v>
      </c>
      <c r="L2571" t="s">
        <v>161</v>
      </c>
      <c r="M2571">
        <v>175675836.13999999</v>
      </c>
    </row>
    <row r="2572" spans="1:13" x14ac:dyDescent="0.3">
      <c r="A2572" s="23">
        <v>45827</v>
      </c>
      <c r="B2572" t="s">
        <v>12</v>
      </c>
      <c r="C2572" t="s">
        <v>132</v>
      </c>
      <c r="D2572" t="s">
        <v>17</v>
      </c>
      <c r="E2572" t="s">
        <v>40</v>
      </c>
      <c r="F2572">
        <v>500000000</v>
      </c>
      <c r="G2572" t="s">
        <v>25</v>
      </c>
      <c r="H2572" t="s">
        <v>81</v>
      </c>
      <c r="I2572" t="s">
        <v>9</v>
      </c>
      <c r="L2572" t="s">
        <v>161</v>
      </c>
      <c r="M2572">
        <v>-500000000</v>
      </c>
    </row>
    <row r="2573" spans="1:13" x14ac:dyDescent="0.3">
      <c r="A2573" s="23">
        <v>45812</v>
      </c>
      <c r="B2573" t="s">
        <v>12</v>
      </c>
      <c r="C2573" t="s">
        <v>132</v>
      </c>
      <c r="D2573" t="s">
        <v>17</v>
      </c>
      <c r="E2573" t="s">
        <v>40</v>
      </c>
      <c r="F2573">
        <v>1000000000</v>
      </c>
      <c r="G2573" t="s">
        <v>25</v>
      </c>
      <c r="H2573" t="s">
        <v>81</v>
      </c>
      <c r="I2573" t="s">
        <v>9</v>
      </c>
      <c r="L2573" t="s">
        <v>161</v>
      </c>
      <c r="M2573">
        <v>-1000000000</v>
      </c>
    </row>
    <row r="2574" spans="1:13" x14ac:dyDescent="0.3">
      <c r="A2574" s="23">
        <v>45804</v>
      </c>
      <c r="B2574" t="s">
        <v>12</v>
      </c>
      <c r="C2574" t="s">
        <v>132</v>
      </c>
      <c r="D2574" t="s">
        <v>16</v>
      </c>
      <c r="E2574" t="s">
        <v>40</v>
      </c>
      <c r="F2574">
        <v>98179000</v>
      </c>
      <c r="G2574" t="s">
        <v>25</v>
      </c>
      <c r="H2574" t="s">
        <v>81</v>
      </c>
      <c r="I2574" t="s">
        <v>9</v>
      </c>
      <c r="L2574" t="s">
        <v>161</v>
      </c>
      <c r="M2574">
        <v>98179000</v>
      </c>
    </row>
    <row r="2575" spans="1:13" x14ac:dyDescent="0.3">
      <c r="A2575" s="23">
        <v>45803</v>
      </c>
      <c r="B2575" t="s">
        <v>12</v>
      </c>
      <c r="C2575" t="s">
        <v>132</v>
      </c>
      <c r="D2575" t="s">
        <v>17</v>
      </c>
      <c r="E2575" t="s">
        <v>40</v>
      </c>
      <c r="F2575">
        <v>1500600000</v>
      </c>
      <c r="G2575" t="s">
        <v>25</v>
      </c>
      <c r="H2575" t="s">
        <v>81</v>
      </c>
      <c r="I2575" t="s">
        <v>9</v>
      </c>
      <c r="L2575" t="s">
        <v>161</v>
      </c>
      <c r="M2575">
        <v>-1500600000</v>
      </c>
    </row>
    <row r="2576" spans="1:13" x14ac:dyDescent="0.3">
      <c r="A2576" s="23">
        <v>45800</v>
      </c>
      <c r="B2576" t="s">
        <v>12</v>
      </c>
      <c r="C2576" t="s">
        <v>132</v>
      </c>
      <c r="D2576" t="s">
        <v>17</v>
      </c>
      <c r="E2576" t="s">
        <v>40</v>
      </c>
      <c r="F2576">
        <v>150000</v>
      </c>
      <c r="G2576" t="s">
        <v>25</v>
      </c>
      <c r="H2576" t="s">
        <v>81</v>
      </c>
      <c r="I2576" t="s">
        <v>9</v>
      </c>
      <c r="L2576" t="s">
        <v>161</v>
      </c>
      <c r="M2576">
        <v>-150000</v>
      </c>
    </row>
    <row r="2577" spans="1:13" x14ac:dyDescent="0.3">
      <c r="A2577" s="23">
        <v>45797</v>
      </c>
      <c r="B2577" t="s">
        <v>12</v>
      </c>
      <c r="C2577" t="s">
        <v>132</v>
      </c>
      <c r="D2577" t="s">
        <v>17</v>
      </c>
      <c r="E2577" t="s">
        <v>40</v>
      </c>
      <c r="F2577">
        <v>914000000</v>
      </c>
      <c r="G2577" t="s">
        <v>25</v>
      </c>
      <c r="H2577" t="s">
        <v>81</v>
      </c>
      <c r="I2577" t="s">
        <v>9</v>
      </c>
      <c r="L2577" t="s">
        <v>161</v>
      </c>
      <c r="M2577">
        <v>-914000000</v>
      </c>
    </row>
    <row r="2578" spans="1:13" x14ac:dyDescent="0.3">
      <c r="A2578" s="23">
        <v>45793</v>
      </c>
      <c r="B2578" t="s">
        <v>12</v>
      </c>
      <c r="C2578" t="s">
        <v>132</v>
      </c>
      <c r="D2578" t="s">
        <v>16</v>
      </c>
      <c r="E2578" t="s">
        <v>40</v>
      </c>
      <c r="F2578">
        <v>195809397.77000001</v>
      </c>
      <c r="G2578" t="s">
        <v>25</v>
      </c>
      <c r="H2578" t="s">
        <v>81</v>
      </c>
      <c r="I2578" t="s">
        <v>9</v>
      </c>
      <c r="L2578" t="s">
        <v>161</v>
      </c>
      <c r="M2578">
        <v>195809397.77000001</v>
      </c>
    </row>
    <row r="2579" spans="1:13" x14ac:dyDescent="0.3">
      <c r="A2579" s="23">
        <v>45791</v>
      </c>
      <c r="B2579" t="s">
        <v>12</v>
      </c>
      <c r="C2579" t="s">
        <v>132</v>
      </c>
      <c r="D2579" t="s">
        <v>17</v>
      </c>
      <c r="E2579" t="s">
        <v>40</v>
      </c>
      <c r="F2579">
        <v>500000000</v>
      </c>
      <c r="G2579" t="s">
        <v>25</v>
      </c>
      <c r="H2579" t="s">
        <v>81</v>
      </c>
      <c r="I2579" t="s">
        <v>9</v>
      </c>
      <c r="L2579" t="s">
        <v>161</v>
      </c>
      <c r="M2579">
        <v>-500000000</v>
      </c>
    </row>
    <row r="2580" spans="1:13" x14ac:dyDescent="0.3">
      <c r="A2580" s="23">
        <v>45790</v>
      </c>
      <c r="B2580" t="s">
        <v>12</v>
      </c>
      <c r="C2580" t="s">
        <v>132</v>
      </c>
      <c r="D2580" t="s">
        <v>16</v>
      </c>
      <c r="E2580" t="s">
        <v>40</v>
      </c>
      <c r="F2580">
        <v>338000000</v>
      </c>
      <c r="G2580" t="s">
        <v>25</v>
      </c>
      <c r="H2580" t="s">
        <v>81</v>
      </c>
      <c r="I2580" t="s">
        <v>9</v>
      </c>
      <c r="L2580" t="s">
        <v>161</v>
      </c>
      <c r="M2580">
        <v>338000000</v>
      </c>
    </row>
    <row r="2581" spans="1:13" x14ac:dyDescent="0.3">
      <c r="A2581" s="23">
        <v>45790</v>
      </c>
      <c r="B2581" t="s">
        <v>12</v>
      </c>
      <c r="C2581" t="s">
        <v>132</v>
      </c>
      <c r="D2581" t="s">
        <v>17</v>
      </c>
      <c r="E2581" t="s">
        <v>40</v>
      </c>
      <c r="F2581">
        <v>1000000000</v>
      </c>
      <c r="G2581" t="s">
        <v>25</v>
      </c>
      <c r="H2581" t="s">
        <v>81</v>
      </c>
      <c r="I2581" t="s">
        <v>9</v>
      </c>
      <c r="L2581" t="s">
        <v>161</v>
      </c>
      <c r="M2581">
        <v>-1000000000</v>
      </c>
    </row>
    <row r="2582" spans="1:13" x14ac:dyDescent="0.3">
      <c r="A2582" s="23">
        <v>45789</v>
      </c>
      <c r="B2582" t="s">
        <v>12</v>
      </c>
      <c r="C2582" t="s">
        <v>132</v>
      </c>
      <c r="D2582" t="s">
        <v>17</v>
      </c>
      <c r="E2582" t="s">
        <v>40</v>
      </c>
      <c r="F2582">
        <v>3100000000</v>
      </c>
      <c r="G2582" t="s">
        <v>25</v>
      </c>
      <c r="H2582" t="s">
        <v>81</v>
      </c>
      <c r="I2582" t="s">
        <v>9</v>
      </c>
      <c r="L2582" t="s">
        <v>161</v>
      </c>
      <c r="M2582">
        <v>-3100000000</v>
      </c>
    </row>
    <row r="2583" spans="1:13" x14ac:dyDescent="0.3">
      <c r="A2583" s="23">
        <v>45786</v>
      </c>
      <c r="B2583" t="s">
        <v>12</v>
      </c>
      <c r="C2583" t="s">
        <v>132</v>
      </c>
      <c r="D2583" t="s">
        <v>17</v>
      </c>
      <c r="E2583" t="s">
        <v>40</v>
      </c>
      <c r="F2583">
        <v>92460787</v>
      </c>
      <c r="G2583" t="s">
        <v>25</v>
      </c>
      <c r="H2583" t="s">
        <v>81</v>
      </c>
      <c r="I2583" t="s">
        <v>9</v>
      </c>
      <c r="L2583" t="s">
        <v>161</v>
      </c>
      <c r="M2583">
        <v>-92460787</v>
      </c>
    </row>
    <row r="2584" spans="1:13" x14ac:dyDescent="0.3">
      <c r="A2584" s="23">
        <v>45786</v>
      </c>
      <c r="B2584" t="s">
        <v>12</v>
      </c>
      <c r="C2584" t="s">
        <v>132</v>
      </c>
      <c r="D2584" t="s">
        <v>16</v>
      </c>
      <c r="E2584" t="s">
        <v>40</v>
      </c>
      <c r="F2584">
        <v>6749000000</v>
      </c>
      <c r="G2584" t="s">
        <v>25</v>
      </c>
      <c r="H2584" t="s">
        <v>81</v>
      </c>
      <c r="I2584" t="s">
        <v>9</v>
      </c>
      <c r="L2584" t="s">
        <v>161</v>
      </c>
      <c r="M2584">
        <v>6749000000</v>
      </c>
    </row>
    <row r="2585" spans="1:13" x14ac:dyDescent="0.3">
      <c r="A2585" s="23">
        <v>45786</v>
      </c>
      <c r="B2585" t="s">
        <v>12</v>
      </c>
      <c r="C2585" t="s">
        <v>132</v>
      </c>
      <c r="D2585" t="s">
        <v>17</v>
      </c>
      <c r="E2585" t="s">
        <v>40</v>
      </c>
      <c r="F2585">
        <v>116800000</v>
      </c>
      <c r="G2585" t="s">
        <v>25</v>
      </c>
      <c r="H2585" t="s">
        <v>81</v>
      </c>
      <c r="I2585" t="s">
        <v>9</v>
      </c>
      <c r="L2585" t="s">
        <v>161</v>
      </c>
      <c r="M2585">
        <v>-116800000</v>
      </c>
    </row>
    <row r="2586" spans="1:13" x14ac:dyDescent="0.3">
      <c r="A2586" s="23">
        <v>45785</v>
      </c>
      <c r="B2586" t="s">
        <v>12</v>
      </c>
      <c r="C2586" t="s">
        <v>132</v>
      </c>
      <c r="D2586" t="s">
        <v>16</v>
      </c>
      <c r="E2586" t="s">
        <v>40</v>
      </c>
      <c r="F2586">
        <v>4354300000</v>
      </c>
      <c r="G2586" t="s">
        <v>25</v>
      </c>
      <c r="H2586" t="s">
        <v>81</v>
      </c>
      <c r="I2586" t="s">
        <v>9</v>
      </c>
      <c r="L2586" t="s">
        <v>161</v>
      </c>
      <c r="M2586">
        <v>4354300000</v>
      </c>
    </row>
    <row r="2587" spans="1:13" x14ac:dyDescent="0.3">
      <c r="A2587" s="23">
        <v>45784</v>
      </c>
      <c r="B2587" t="s">
        <v>12</v>
      </c>
      <c r="C2587" t="s">
        <v>132</v>
      </c>
      <c r="D2587" t="s">
        <v>16</v>
      </c>
      <c r="E2587" t="s">
        <v>40</v>
      </c>
      <c r="F2587">
        <v>5585000000</v>
      </c>
      <c r="G2587" t="s">
        <v>25</v>
      </c>
      <c r="H2587" t="s">
        <v>81</v>
      </c>
      <c r="I2587" t="s">
        <v>9</v>
      </c>
      <c r="L2587" t="s">
        <v>161</v>
      </c>
      <c r="M2587">
        <v>5585000000</v>
      </c>
    </row>
    <row r="2588" spans="1:13" x14ac:dyDescent="0.3">
      <c r="A2588" s="23">
        <v>45772</v>
      </c>
      <c r="B2588" t="s">
        <v>12</v>
      </c>
      <c r="C2588" t="s">
        <v>132</v>
      </c>
      <c r="D2588" t="s">
        <v>16</v>
      </c>
      <c r="E2588" t="s">
        <v>40</v>
      </c>
      <c r="F2588">
        <v>140100000</v>
      </c>
      <c r="G2588" t="s">
        <v>25</v>
      </c>
      <c r="H2588" t="s">
        <v>81</v>
      </c>
      <c r="I2588" t="s">
        <v>9</v>
      </c>
      <c r="L2588" t="s">
        <v>161</v>
      </c>
      <c r="M2588">
        <v>140100000</v>
      </c>
    </row>
    <row r="2589" spans="1:13" x14ac:dyDescent="0.3">
      <c r="A2589" s="23">
        <v>45771</v>
      </c>
      <c r="B2589" t="s">
        <v>12</v>
      </c>
      <c r="C2589" t="s">
        <v>132</v>
      </c>
      <c r="D2589" t="s">
        <v>17</v>
      </c>
      <c r="E2589" t="s">
        <v>40</v>
      </c>
      <c r="F2589">
        <v>49100000</v>
      </c>
      <c r="G2589" t="s">
        <v>25</v>
      </c>
      <c r="H2589" t="s">
        <v>81</v>
      </c>
      <c r="I2589" t="s">
        <v>9</v>
      </c>
      <c r="L2589" t="s">
        <v>161</v>
      </c>
      <c r="M2589">
        <v>-49100000</v>
      </c>
    </row>
    <row r="2590" spans="1:13" x14ac:dyDescent="0.3">
      <c r="A2590" s="23">
        <v>45769</v>
      </c>
      <c r="B2590" t="s">
        <v>12</v>
      </c>
      <c r="C2590" t="s">
        <v>132</v>
      </c>
      <c r="D2590" t="s">
        <v>16</v>
      </c>
      <c r="E2590" t="s">
        <v>40</v>
      </c>
      <c r="F2590">
        <v>34207061.93</v>
      </c>
      <c r="G2590" t="s">
        <v>25</v>
      </c>
      <c r="H2590" t="s">
        <v>81</v>
      </c>
      <c r="I2590" t="s">
        <v>9</v>
      </c>
      <c r="L2590" t="s">
        <v>161</v>
      </c>
      <c r="M2590">
        <v>34207061.93</v>
      </c>
    </row>
    <row r="2591" spans="1:13" x14ac:dyDescent="0.3">
      <c r="A2591" s="23">
        <v>45762</v>
      </c>
      <c r="B2591" t="s">
        <v>12</v>
      </c>
      <c r="C2591" t="s">
        <v>132</v>
      </c>
      <c r="D2591" t="s">
        <v>16</v>
      </c>
      <c r="E2591" t="s">
        <v>40</v>
      </c>
      <c r="F2591">
        <v>678000000</v>
      </c>
      <c r="G2591" t="s">
        <v>25</v>
      </c>
      <c r="H2591" t="s">
        <v>81</v>
      </c>
      <c r="I2591" t="s">
        <v>9</v>
      </c>
      <c r="L2591" t="s">
        <v>161</v>
      </c>
      <c r="M2591">
        <v>678000000</v>
      </c>
    </row>
    <row r="2592" spans="1:13" x14ac:dyDescent="0.3">
      <c r="A2592" s="23">
        <v>45757</v>
      </c>
      <c r="B2592" t="s">
        <v>12</v>
      </c>
      <c r="C2592" t="s">
        <v>132</v>
      </c>
      <c r="D2592" t="s">
        <v>17</v>
      </c>
      <c r="E2592" t="s">
        <v>40</v>
      </c>
      <c r="F2592">
        <v>2500000000</v>
      </c>
      <c r="G2592" t="s">
        <v>25</v>
      </c>
      <c r="H2592" t="s">
        <v>81</v>
      </c>
      <c r="I2592" t="s">
        <v>9</v>
      </c>
      <c r="L2592" t="s">
        <v>161</v>
      </c>
      <c r="M2592">
        <v>-2500000000</v>
      </c>
    </row>
    <row r="2593" spans="1:13" x14ac:dyDescent="0.3">
      <c r="A2593" s="23">
        <v>45748</v>
      </c>
      <c r="B2593" t="s">
        <v>12</v>
      </c>
      <c r="C2593" t="s">
        <v>132</v>
      </c>
      <c r="D2593" t="s">
        <v>16</v>
      </c>
      <c r="E2593" t="s">
        <v>40</v>
      </c>
      <c r="F2593">
        <v>300500000</v>
      </c>
      <c r="G2593" t="s">
        <v>25</v>
      </c>
      <c r="H2593" t="s">
        <v>81</v>
      </c>
      <c r="I2593" t="s">
        <v>9</v>
      </c>
      <c r="L2593" t="s">
        <v>161</v>
      </c>
      <c r="M2593">
        <v>300500000</v>
      </c>
    </row>
    <row r="2594" spans="1:13" x14ac:dyDescent="0.3">
      <c r="A2594" s="23">
        <v>45743</v>
      </c>
      <c r="B2594" t="s">
        <v>12</v>
      </c>
      <c r="C2594" t="s">
        <v>132</v>
      </c>
      <c r="D2594" t="s">
        <v>16</v>
      </c>
      <c r="E2594" t="s">
        <v>40</v>
      </c>
      <c r="F2594">
        <v>72771166.069999993</v>
      </c>
      <c r="G2594" t="s">
        <v>25</v>
      </c>
      <c r="H2594" t="s">
        <v>81</v>
      </c>
      <c r="I2594" t="s">
        <v>9</v>
      </c>
      <c r="L2594" t="s">
        <v>161</v>
      </c>
      <c r="M2594">
        <v>72771166.069999993</v>
      </c>
    </row>
    <row r="2595" spans="1:13" x14ac:dyDescent="0.3">
      <c r="A2595" s="23">
        <v>45742</v>
      </c>
      <c r="B2595" t="s">
        <v>12</v>
      </c>
      <c r="C2595" t="s">
        <v>132</v>
      </c>
      <c r="D2595" t="s">
        <v>17</v>
      </c>
      <c r="E2595" t="s">
        <v>40</v>
      </c>
      <c r="F2595">
        <v>847000000</v>
      </c>
      <c r="G2595" t="s">
        <v>25</v>
      </c>
      <c r="H2595" t="s">
        <v>81</v>
      </c>
      <c r="I2595" t="s">
        <v>9</v>
      </c>
      <c r="L2595" t="s">
        <v>161</v>
      </c>
      <c r="M2595">
        <v>-847000000</v>
      </c>
    </row>
    <row r="2596" spans="1:13" x14ac:dyDescent="0.3">
      <c r="A2596" s="23">
        <v>45737</v>
      </c>
      <c r="B2596" t="s">
        <v>12</v>
      </c>
      <c r="C2596" t="s">
        <v>132</v>
      </c>
      <c r="D2596" t="s">
        <v>17</v>
      </c>
      <c r="E2596" t="s">
        <v>40</v>
      </c>
      <c r="F2596">
        <v>154000000</v>
      </c>
      <c r="G2596" t="s">
        <v>25</v>
      </c>
      <c r="H2596" t="s">
        <v>81</v>
      </c>
      <c r="I2596" t="s">
        <v>9</v>
      </c>
      <c r="L2596" t="s">
        <v>161</v>
      </c>
      <c r="M2596">
        <v>-154000000</v>
      </c>
    </row>
    <row r="2597" spans="1:13" x14ac:dyDescent="0.3">
      <c r="A2597" s="23">
        <v>45736</v>
      </c>
      <c r="B2597" t="s">
        <v>12</v>
      </c>
      <c r="C2597" t="s">
        <v>132</v>
      </c>
      <c r="D2597" t="s">
        <v>17</v>
      </c>
      <c r="E2597" t="s">
        <v>40</v>
      </c>
      <c r="F2597">
        <v>1372000000</v>
      </c>
      <c r="G2597" t="s">
        <v>25</v>
      </c>
      <c r="H2597" t="s">
        <v>81</v>
      </c>
      <c r="I2597" t="s">
        <v>9</v>
      </c>
      <c r="L2597" t="s">
        <v>161</v>
      </c>
      <c r="M2597">
        <v>-1372000000</v>
      </c>
    </row>
    <row r="2598" spans="1:13" x14ac:dyDescent="0.3">
      <c r="A2598" s="23">
        <v>45735</v>
      </c>
      <c r="B2598" t="s">
        <v>12</v>
      </c>
      <c r="C2598" t="s">
        <v>132</v>
      </c>
      <c r="D2598" t="s">
        <v>16</v>
      </c>
      <c r="E2598" t="s">
        <v>40</v>
      </c>
      <c r="F2598">
        <v>2700000000</v>
      </c>
      <c r="G2598" t="s">
        <v>25</v>
      </c>
      <c r="H2598" t="s">
        <v>81</v>
      </c>
      <c r="I2598" t="s">
        <v>9</v>
      </c>
      <c r="L2598" t="s">
        <v>161</v>
      </c>
      <c r="M2598">
        <v>2700000000</v>
      </c>
    </row>
    <row r="2599" spans="1:13" x14ac:dyDescent="0.3">
      <c r="A2599" s="23">
        <v>45734</v>
      </c>
      <c r="B2599" t="s">
        <v>12</v>
      </c>
      <c r="C2599" t="s">
        <v>132</v>
      </c>
      <c r="D2599" t="s">
        <v>17</v>
      </c>
      <c r="E2599" t="s">
        <v>40</v>
      </c>
      <c r="F2599">
        <v>222100000</v>
      </c>
      <c r="G2599" t="s">
        <v>25</v>
      </c>
      <c r="H2599" t="s">
        <v>81</v>
      </c>
      <c r="I2599" t="s">
        <v>9</v>
      </c>
      <c r="L2599" t="s">
        <v>161</v>
      </c>
      <c r="M2599">
        <v>-222100000</v>
      </c>
    </row>
    <row r="2600" spans="1:13" x14ac:dyDescent="0.3">
      <c r="A2600" s="23">
        <v>45729</v>
      </c>
      <c r="B2600" t="s">
        <v>12</v>
      </c>
      <c r="C2600" t="s">
        <v>132</v>
      </c>
      <c r="D2600" t="s">
        <v>17</v>
      </c>
      <c r="E2600" t="s">
        <v>40</v>
      </c>
      <c r="F2600">
        <v>184300000</v>
      </c>
      <c r="G2600" t="s">
        <v>25</v>
      </c>
      <c r="H2600" t="s">
        <v>81</v>
      </c>
      <c r="I2600" t="s">
        <v>9</v>
      </c>
      <c r="L2600" t="s">
        <v>161</v>
      </c>
      <c r="M2600">
        <v>-184300000</v>
      </c>
    </row>
    <row r="2601" spans="1:13" x14ac:dyDescent="0.3">
      <c r="A2601" s="23">
        <v>45727</v>
      </c>
      <c r="B2601" t="s">
        <v>12</v>
      </c>
      <c r="C2601" t="s">
        <v>132</v>
      </c>
      <c r="D2601" t="s">
        <v>17</v>
      </c>
      <c r="E2601" t="s">
        <v>40</v>
      </c>
      <c r="F2601">
        <v>628300000</v>
      </c>
      <c r="G2601" t="s">
        <v>25</v>
      </c>
      <c r="H2601" t="s">
        <v>81</v>
      </c>
      <c r="I2601" t="s">
        <v>9</v>
      </c>
      <c r="L2601" t="s">
        <v>161</v>
      </c>
      <c r="M2601">
        <v>-628300000</v>
      </c>
    </row>
    <row r="2602" spans="1:13" x14ac:dyDescent="0.3">
      <c r="A2602" s="23">
        <v>45715</v>
      </c>
      <c r="B2602" t="s">
        <v>12</v>
      </c>
      <c r="C2602" t="s">
        <v>132</v>
      </c>
      <c r="D2602" t="s">
        <v>16</v>
      </c>
      <c r="E2602" t="s">
        <v>40</v>
      </c>
      <c r="F2602">
        <v>2000000000</v>
      </c>
      <c r="G2602" t="s">
        <v>25</v>
      </c>
      <c r="H2602" t="s">
        <v>81</v>
      </c>
      <c r="I2602" t="s">
        <v>9</v>
      </c>
      <c r="L2602" t="s">
        <v>161</v>
      </c>
      <c r="M2602">
        <v>2000000000</v>
      </c>
    </row>
    <row r="2603" spans="1:13" x14ac:dyDescent="0.3">
      <c r="A2603" s="23">
        <v>45714</v>
      </c>
      <c r="B2603" t="s">
        <v>12</v>
      </c>
      <c r="C2603" t="s">
        <v>132</v>
      </c>
      <c r="D2603" t="s">
        <v>17</v>
      </c>
      <c r="E2603" t="s">
        <v>40</v>
      </c>
      <c r="F2603">
        <v>2000000000</v>
      </c>
      <c r="G2603" t="s">
        <v>25</v>
      </c>
      <c r="H2603" t="s">
        <v>81</v>
      </c>
      <c r="I2603" t="s">
        <v>9</v>
      </c>
      <c r="L2603" t="s">
        <v>161</v>
      </c>
      <c r="M2603">
        <v>-2000000000</v>
      </c>
    </row>
    <row r="2604" spans="1:13" x14ac:dyDescent="0.3">
      <c r="A2604" s="23">
        <v>45709</v>
      </c>
      <c r="B2604" t="s">
        <v>12</v>
      </c>
      <c r="C2604" t="s">
        <v>132</v>
      </c>
      <c r="D2604" t="s">
        <v>16</v>
      </c>
      <c r="E2604" t="s">
        <v>40</v>
      </c>
      <c r="F2604">
        <v>46000000</v>
      </c>
      <c r="G2604" t="s">
        <v>25</v>
      </c>
      <c r="H2604" t="s">
        <v>81</v>
      </c>
      <c r="I2604" t="s">
        <v>9</v>
      </c>
      <c r="L2604" t="s">
        <v>161</v>
      </c>
      <c r="M2604">
        <v>46000000</v>
      </c>
    </row>
    <row r="2605" spans="1:13" x14ac:dyDescent="0.3">
      <c r="A2605" s="23">
        <v>45709</v>
      </c>
      <c r="B2605" t="s">
        <v>12</v>
      </c>
      <c r="C2605" t="s">
        <v>132</v>
      </c>
      <c r="D2605" t="s">
        <v>16</v>
      </c>
      <c r="E2605" t="s">
        <v>40</v>
      </c>
      <c r="F2605">
        <v>3086300000</v>
      </c>
      <c r="G2605" t="s">
        <v>25</v>
      </c>
      <c r="H2605" t="s">
        <v>81</v>
      </c>
      <c r="I2605" t="s">
        <v>9</v>
      </c>
      <c r="L2605" t="s">
        <v>161</v>
      </c>
      <c r="M2605">
        <v>3086300000</v>
      </c>
    </row>
    <row r="2606" spans="1:13" x14ac:dyDescent="0.3">
      <c r="A2606" s="23">
        <v>45877</v>
      </c>
      <c r="B2606" t="s">
        <v>12</v>
      </c>
      <c r="C2606" t="s">
        <v>132</v>
      </c>
      <c r="D2606" t="s">
        <v>17</v>
      </c>
      <c r="E2606" t="s">
        <v>255</v>
      </c>
      <c r="F2606">
        <v>54971043</v>
      </c>
      <c r="G2606" t="s">
        <v>256</v>
      </c>
      <c r="H2606" t="s">
        <v>81</v>
      </c>
      <c r="I2606" t="s">
        <v>9</v>
      </c>
      <c r="L2606" t="s">
        <v>161</v>
      </c>
      <c r="M2606">
        <v>-54971043</v>
      </c>
    </row>
    <row r="2607" spans="1:13" x14ac:dyDescent="0.3">
      <c r="A2607" s="23">
        <v>45874</v>
      </c>
      <c r="B2607" t="s">
        <v>12</v>
      </c>
      <c r="C2607" t="s">
        <v>132</v>
      </c>
      <c r="D2607" t="s">
        <v>16</v>
      </c>
      <c r="E2607" t="s">
        <v>255</v>
      </c>
      <c r="F2607">
        <v>500000000</v>
      </c>
      <c r="G2607" t="s">
        <v>256</v>
      </c>
      <c r="H2607" t="s">
        <v>81</v>
      </c>
      <c r="I2607" t="s">
        <v>9</v>
      </c>
      <c r="L2607" t="s">
        <v>161</v>
      </c>
      <c r="M2607">
        <v>500000000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5"/>
  <dimension ref="A1:U536"/>
  <sheetViews>
    <sheetView workbookViewId="0"/>
  </sheetViews>
  <sheetFormatPr baseColWidth="10" defaultRowHeight="14.4" x14ac:dyDescent="0.3"/>
  <cols>
    <col min="1" max="1" width="12.6640625" bestFit="1" customWidth="1"/>
    <col min="2" max="2" width="33.5546875" bestFit="1" customWidth="1"/>
    <col min="3" max="3" width="26.33203125" bestFit="1" customWidth="1"/>
    <col min="4" max="5" width="26.33203125" customWidth="1"/>
    <col min="6" max="6" width="26.33203125" style="5" customWidth="1"/>
    <col min="7" max="7" width="17.44140625" style="5" bestFit="1" customWidth="1"/>
    <col min="8" max="14" width="17.44140625" style="5" customWidth="1"/>
    <col min="15" max="15" width="22.33203125" bestFit="1" customWidth="1"/>
    <col min="16" max="16" width="12.6640625" style="13" bestFit="1" customWidth="1"/>
    <col min="17" max="17" width="11.5546875" style="13" bestFit="1" customWidth="1"/>
    <col min="18" max="19" width="12.6640625" customWidth="1"/>
    <col min="21" max="21" width="43.6640625" bestFit="1" customWidth="1"/>
  </cols>
  <sheetData>
    <row r="1" spans="1:21" x14ac:dyDescent="0.3">
      <c r="A1" t="s">
        <v>11</v>
      </c>
      <c r="B1" t="s">
        <v>4</v>
      </c>
      <c r="C1" t="s">
        <v>19</v>
      </c>
      <c r="D1" t="s">
        <v>84</v>
      </c>
      <c r="E1" t="s">
        <v>113</v>
      </c>
      <c r="F1" s="5" t="s">
        <v>111</v>
      </c>
      <c r="G1" s="5" t="s">
        <v>87</v>
      </c>
      <c r="H1" s="5" t="s">
        <v>116</v>
      </c>
      <c r="I1" s="5" t="s">
        <v>117</v>
      </c>
      <c r="J1" s="5" t="s">
        <v>118</v>
      </c>
      <c r="K1" s="25">
        <f ca="1">+TODAY()</f>
        <v>46273</v>
      </c>
      <c r="L1" s="5" t="s">
        <v>114</v>
      </c>
      <c r="M1" s="5" t="s">
        <v>115</v>
      </c>
      <c r="N1" s="5" t="s">
        <v>98</v>
      </c>
      <c r="O1" t="s">
        <v>88</v>
      </c>
      <c r="P1" s="13" t="s">
        <v>89</v>
      </c>
      <c r="Q1" s="13" t="s">
        <v>94</v>
      </c>
      <c r="R1" t="s">
        <v>92</v>
      </c>
      <c r="S1" t="s">
        <v>93</v>
      </c>
      <c r="T1" t="s">
        <v>90</v>
      </c>
      <c r="U1" t="s">
        <v>91</v>
      </c>
    </row>
    <row r="2" spans="1:21" x14ac:dyDescent="0.3">
      <c r="A2" t="s">
        <v>12</v>
      </c>
      <c r="B2" t="s">
        <v>31</v>
      </c>
      <c r="C2" s="7" t="s">
        <v>50</v>
      </c>
      <c r="D2" t="s">
        <v>81</v>
      </c>
      <c r="E2" s="24">
        <f>+F2+G2</f>
        <v>0</v>
      </c>
      <c r="F2" s="22">
        <f>-SUMIFS(CARGA!I:I,CARGA!B:B,tabla!A2,CARGA!D:D,tabla!C2,CARGA!C:C,MAESTRO!$B$4)-SUMIFS(CARGA!I:I,CARGA!B:B,tabla!A2,CARGA!D:D,tabla!C2,CARGA!C:C,MAESTRO!$B$5)</f>
        <v>0</v>
      </c>
      <c r="G2" s="5">
        <f>+SUMIFS(CARGA!I:I,CARGA!B:B,tabla!A2,CARGA!D:D,tabla!C2)</f>
        <v>0</v>
      </c>
      <c r="H2" s="5">
        <f>+SUMIFS(CARGA!K:K,CARGA!B:B,tabla!A2,CARGA!D:D,tabla!C2)</f>
        <v>0</v>
      </c>
      <c r="I2" s="5">
        <f>+H2+J2</f>
        <v>0</v>
      </c>
      <c r="J2" s="5">
        <f>-SUMIFS(CARGA!K:K,CARGA!B:B,tabla!A2,CARGA!D:D,tabla!C2,CARGA!C:C,MAESTRO!$B$4)+SUMIFS(CARGA!K:K,CARGA!B:B,tabla!A2,CARGA!D:D,tabla!C2,CARGA!C:C,MAESTRO!$B$5)</f>
        <v>0</v>
      </c>
      <c r="K2" s="5" t="e">
        <f>+VLOOKUP(C2,#REF!,3,FALSE)</f>
        <v>#REF!</v>
      </c>
      <c r="L2" s="5" t="e">
        <f>+K2*I2</f>
        <v>#REF!</v>
      </c>
      <c r="M2" s="5" t="e">
        <f>+K2*J2</f>
        <v>#REF!</v>
      </c>
      <c r="N2" s="5" t="str">
        <f t="shared" ref="N2:N44" si="0">+IF(G2+F2=0,"NO","SI")</f>
        <v>NO</v>
      </c>
      <c r="O2" s="5">
        <f>+VLOOKUP(C2,[2]Fondos!$F:$J,5,FALSE)</f>
        <v>1817778903</v>
      </c>
      <c r="P2" s="13">
        <f>+VLOOKUP(C2,[2]Fondos!$F:$K,6,FALSE)</f>
        <v>0.23246230000000001</v>
      </c>
      <c r="Q2" s="13">
        <f t="shared" ref="Q2:Q44" si="1">+G2/O2</f>
        <v>0</v>
      </c>
      <c r="R2" s="10">
        <f>+IF(Q2&gt;MAESTRO!$G$6,0,1)</f>
        <v>1</v>
      </c>
      <c r="S2">
        <f>+IF(P2&lt;MAESTRO!$G$8,0,1)</f>
        <v>1</v>
      </c>
      <c r="T2" s="10">
        <f>+R2+S2</f>
        <v>2</v>
      </c>
      <c r="U2" t="str">
        <f>+IF(R2+S2=2,MAESTRO!$G$2,IF(R2+S2=0,MAESTRO!$G$5,IF(R2=0,MAESTRO!$G$3,IF(S2=0,MAESTRO!$G$4,))))</f>
        <v>cumple politica</v>
      </c>
    </row>
    <row r="3" spans="1:21" x14ac:dyDescent="0.3">
      <c r="A3" t="s">
        <v>12</v>
      </c>
      <c r="B3" t="s">
        <v>31</v>
      </c>
      <c r="C3" s="7" t="s">
        <v>70</v>
      </c>
      <c r="D3" t="s">
        <v>82</v>
      </c>
      <c r="E3" s="24">
        <f t="shared" ref="E3:E44" si="2">+F3+G3</f>
        <v>0</v>
      </c>
      <c r="F3" s="22">
        <f>-SUMIFS(CARGA!I:I,CARGA!B:B,tabla!A3,CARGA!D:D,tabla!C3,CARGA!C:C,MAESTRO!$B$4)-SUMIFS(CARGA!I:I,CARGA!B:B,tabla!A3,CARGA!D:D,tabla!C3,CARGA!C:C,MAESTRO!$B$5)</f>
        <v>0</v>
      </c>
      <c r="G3" s="5">
        <f>+SUMIFS(CARGA!I:I,CARGA!B:B,tabla!A3,CARGA!D:D,tabla!C3)</f>
        <v>0</v>
      </c>
      <c r="H3" s="5">
        <f>+SUMIFS(CARGA!K:K,CARGA!B:B,tabla!A3,CARGA!D:D,tabla!C3)</f>
        <v>0</v>
      </c>
      <c r="I3" s="5">
        <f t="shared" ref="I3:I78" si="3">+H3+J3</f>
        <v>0</v>
      </c>
      <c r="J3" s="5">
        <f>-SUMIFS(CARGA!K:K,CARGA!B:B,tabla!A3,CARGA!D:D,tabla!C3,CARGA!C:C,MAESTRO!$B$4)+SUMIFS(CARGA!K:K,CARGA!B:B,tabla!A3,CARGA!D:D,tabla!C3,CARGA!C:C,MAESTRO!$B$5)</f>
        <v>0</v>
      </c>
      <c r="K3" s="5" t="e">
        <f>+VLOOKUP(C3,#REF!,3,FALSE)</f>
        <v>#REF!</v>
      </c>
      <c r="L3" s="5" t="e">
        <f t="shared" ref="L3:L78" si="4">+K3*I3</f>
        <v>#REF!</v>
      </c>
      <c r="M3" s="5" t="e">
        <f t="shared" ref="M3:M78" si="5">+K3*J3</f>
        <v>#REF!</v>
      </c>
      <c r="N3" s="5" t="str">
        <f t="shared" si="0"/>
        <v>NO</v>
      </c>
      <c r="O3" s="5">
        <f>+VLOOKUP(C3,[2]Fondos!$F:$J,5,FALSE)</f>
        <v>6506463370</v>
      </c>
      <c r="P3" s="13" t="e">
        <f>+VLOOKUP(C3,[2]Fondos!$F:$K,6,FALSE)</f>
        <v>#VALUE!</v>
      </c>
      <c r="Q3" s="13">
        <f t="shared" si="1"/>
        <v>0</v>
      </c>
      <c r="R3" s="10">
        <f>+IF(Q3&gt;MAESTRO!$G$6,0,1)</f>
        <v>1</v>
      </c>
      <c r="S3" t="e">
        <f>+IF(P3&lt;MAESTRO!$G$8,0,1)</f>
        <v>#VALUE!</v>
      </c>
      <c r="T3" s="10" t="e">
        <f t="shared" ref="T3:T44" si="6">+R3+S3</f>
        <v>#VALUE!</v>
      </c>
      <c r="U3" t="e">
        <f>+IF(R3+S3=2,MAESTRO!$G$2,IF(R3+S3=0,MAESTRO!$G$5,IF(R3=0,MAESTRO!$G$3,IF(S3=0,MAESTRO!$G$4,))))</f>
        <v>#VALUE!</v>
      </c>
    </row>
    <row r="4" spans="1:21" x14ac:dyDescent="0.3">
      <c r="A4" t="s">
        <v>12</v>
      </c>
      <c r="B4" t="s">
        <v>31</v>
      </c>
      <c r="C4" s="7" t="s">
        <v>69</v>
      </c>
      <c r="D4" t="s">
        <v>82</v>
      </c>
      <c r="E4" s="24">
        <f t="shared" si="2"/>
        <v>0</v>
      </c>
      <c r="F4" s="22">
        <f>-SUMIFS(CARGA!I:I,CARGA!B:B,tabla!A4,CARGA!D:D,tabla!C4,CARGA!C:C,MAESTRO!$B$4)-SUMIFS(CARGA!I:I,CARGA!B:B,tabla!A4,CARGA!D:D,tabla!C4,CARGA!C:C,MAESTRO!$B$5)</f>
        <v>0</v>
      </c>
      <c r="G4" s="5">
        <f>+SUMIFS(CARGA!I:I,CARGA!B:B,tabla!A4,CARGA!D:D,tabla!C4)</f>
        <v>0</v>
      </c>
      <c r="H4" s="5">
        <f>+SUMIFS(CARGA!K:K,CARGA!B:B,tabla!A4,CARGA!D:D,tabla!C4)</f>
        <v>0</v>
      </c>
      <c r="I4" s="5">
        <f t="shared" si="3"/>
        <v>0</v>
      </c>
      <c r="J4" s="5">
        <f>-SUMIFS(CARGA!K:K,CARGA!B:B,tabla!A4,CARGA!D:D,tabla!C4,CARGA!C:C,MAESTRO!$B$4)+SUMIFS(CARGA!K:K,CARGA!B:B,tabla!A4,CARGA!D:D,tabla!C4,CARGA!C:C,MAESTRO!$B$5)</f>
        <v>0</v>
      </c>
      <c r="K4" s="5" t="e">
        <f>+VLOOKUP(C4,#REF!,3,FALSE)</f>
        <v>#REF!</v>
      </c>
      <c r="L4" s="5" t="e">
        <f t="shared" si="4"/>
        <v>#REF!</v>
      </c>
      <c r="M4" s="5" t="e">
        <f t="shared" si="5"/>
        <v>#REF!</v>
      </c>
      <c r="N4" s="5" t="str">
        <f t="shared" si="0"/>
        <v>NO</v>
      </c>
      <c r="O4" s="5">
        <f>+VLOOKUP(C4,[2]Fondos!$F:$J,5,FALSE)</f>
        <v>39848036</v>
      </c>
      <c r="P4" s="13" t="e">
        <f>+VLOOKUP(C4,[2]Fondos!$F:$K,6,FALSE)</f>
        <v>#VALUE!</v>
      </c>
      <c r="Q4" s="13">
        <f t="shared" si="1"/>
        <v>0</v>
      </c>
      <c r="R4" s="10">
        <f>+IF(Q4&gt;MAESTRO!$G$6,0,1)</f>
        <v>1</v>
      </c>
      <c r="S4" t="e">
        <f>+IF(P4&lt;MAESTRO!$G$8,0,1)</f>
        <v>#VALUE!</v>
      </c>
      <c r="T4" s="10" t="e">
        <f t="shared" si="6"/>
        <v>#VALUE!</v>
      </c>
      <c r="U4" t="e">
        <f>+IF(R4+S4=2,MAESTRO!$G$2,IF(R4+S4=0,MAESTRO!$G$5,IF(R4=0,MAESTRO!$G$3,IF(S4=0,MAESTRO!$G$4,))))</f>
        <v>#VALUE!</v>
      </c>
    </row>
    <row r="5" spans="1:21" x14ac:dyDescent="0.3">
      <c r="A5" t="s">
        <v>12</v>
      </c>
      <c r="B5" t="s">
        <v>33</v>
      </c>
      <c r="C5" s="7" t="s">
        <v>52</v>
      </c>
      <c r="D5" t="s">
        <v>81</v>
      </c>
      <c r="E5" s="24">
        <f t="shared" si="2"/>
        <v>0</v>
      </c>
      <c r="F5" s="22">
        <f>-SUMIFS(CARGA!I:I,CARGA!B:B,tabla!A5,CARGA!D:D,tabla!C5,CARGA!C:C,MAESTRO!$B$4)-SUMIFS(CARGA!I:I,CARGA!B:B,tabla!A5,CARGA!D:D,tabla!C5,CARGA!C:C,MAESTRO!$B$5)</f>
        <v>0</v>
      </c>
      <c r="G5" s="5">
        <f>+SUMIFS(CARGA!I:I,CARGA!B:B,tabla!A5,CARGA!D:D,tabla!C5)</f>
        <v>0</v>
      </c>
      <c r="H5" s="5">
        <f>+SUMIFS(CARGA!K:K,CARGA!B:B,tabla!A5,CARGA!D:D,tabla!C5)</f>
        <v>0</v>
      </c>
      <c r="I5" s="5">
        <f t="shared" si="3"/>
        <v>0</v>
      </c>
      <c r="J5" s="5">
        <f>-SUMIFS(CARGA!K:K,CARGA!B:B,tabla!A5,CARGA!D:D,tabla!C5,CARGA!C:C,MAESTRO!$B$4)+SUMIFS(CARGA!K:K,CARGA!B:B,tabla!A5,CARGA!D:D,tabla!C5,CARGA!C:C,MAESTRO!$B$5)</f>
        <v>0</v>
      </c>
      <c r="K5" s="5" t="e">
        <f>+VLOOKUP(C5,#REF!,3,FALSE)</f>
        <v>#REF!</v>
      </c>
      <c r="L5" s="5" t="e">
        <f t="shared" si="4"/>
        <v>#REF!</v>
      </c>
      <c r="M5" s="5" t="e">
        <f t="shared" si="5"/>
        <v>#REF!</v>
      </c>
      <c r="N5" s="5" t="str">
        <f t="shared" si="0"/>
        <v>NO</v>
      </c>
      <c r="O5" s="5">
        <f>+VLOOKUP(C5,[2]Fondos!$F:$J,5,FALSE)</f>
        <v>3875956517</v>
      </c>
      <c r="P5" s="13">
        <f>+VLOOKUP(C5,[2]Fondos!$F:$K,6,FALSE)</f>
        <v>0.23267859999999999</v>
      </c>
      <c r="Q5" s="13">
        <f t="shared" si="1"/>
        <v>0</v>
      </c>
      <c r="R5" s="10">
        <f>+IF(Q5&gt;MAESTRO!$G$6,0,1)</f>
        <v>1</v>
      </c>
      <c r="S5">
        <f>+IF(P5&lt;MAESTRO!$G$8,0,1)</f>
        <v>1</v>
      </c>
      <c r="T5" s="10">
        <f t="shared" si="6"/>
        <v>2</v>
      </c>
      <c r="U5" t="str">
        <f>+IF(R5+S5=2,MAESTRO!$G$2,IF(R5+S5=0,MAESTRO!$G$5,IF(R5=0,MAESTRO!$G$3,IF(S5=0,MAESTRO!$G$4,))))</f>
        <v>cumple politica</v>
      </c>
    </row>
    <row r="6" spans="1:21" x14ac:dyDescent="0.3">
      <c r="A6" t="s">
        <v>12</v>
      </c>
      <c r="B6" t="s">
        <v>33</v>
      </c>
      <c r="C6" s="7" t="s">
        <v>74</v>
      </c>
      <c r="D6" t="s">
        <v>82</v>
      </c>
      <c r="E6" s="24">
        <f t="shared" si="2"/>
        <v>0</v>
      </c>
      <c r="F6" s="22">
        <f>-SUMIFS(CARGA!I:I,CARGA!B:B,tabla!A6,CARGA!D:D,tabla!C6,CARGA!C:C,MAESTRO!$B$4)-SUMIFS(CARGA!I:I,CARGA!B:B,tabla!A6,CARGA!D:D,tabla!C6,CARGA!C:C,MAESTRO!$B$5)</f>
        <v>0</v>
      </c>
      <c r="G6" s="5">
        <f>+SUMIFS(CARGA!I:I,CARGA!B:B,tabla!A6,CARGA!D:D,tabla!C6)</f>
        <v>0</v>
      </c>
      <c r="H6" s="5">
        <f>+SUMIFS(CARGA!K:K,CARGA!B:B,tabla!A6,CARGA!D:D,tabla!C6)</f>
        <v>0</v>
      </c>
      <c r="I6" s="5">
        <f t="shared" si="3"/>
        <v>0</v>
      </c>
      <c r="J6" s="5">
        <f>-SUMIFS(CARGA!K:K,CARGA!B:B,tabla!A6,CARGA!D:D,tabla!C6,CARGA!C:C,MAESTRO!$B$4)+SUMIFS(CARGA!K:K,CARGA!B:B,tabla!A6,CARGA!D:D,tabla!C6,CARGA!C:C,MAESTRO!$B$5)</f>
        <v>0</v>
      </c>
      <c r="K6" s="5" t="e">
        <f>+VLOOKUP(C6,#REF!,3,FALSE)</f>
        <v>#REF!</v>
      </c>
      <c r="L6" s="5" t="e">
        <f t="shared" si="4"/>
        <v>#REF!</v>
      </c>
      <c r="M6" s="5" t="e">
        <f t="shared" si="5"/>
        <v>#REF!</v>
      </c>
      <c r="N6" s="5" t="str">
        <f t="shared" si="0"/>
        <v>NO</v>
      </c>
      <c r="O6" s="5">
        <f>+VLOOKUP(C6,[2]Fondos!$F:$J,5,FALSE)</f>
        <v>8775783683</v>
      </c>
      <c r="P6" s="13">
        <f>+VLOOKUP(C6,[2]Fondos!$F:$K,6,FALSE)</f>
        <v>0.2640304</v>
      </c>
      <c r="Q6" s="13">
        <f t="shared" si="1"/>
        <v>0</v>
      </c>
      <c r="R6" s="10">
        <f>+IF(Q6&gt;MAESTRO!$G$6,0,1)</f>
        <v>1</v>
      </c>
      <c r="S6">
        <f>+IF(P6&lt;MAESTRO!$G$8,0,1)</f>
        <v>1</v>
      </c>
      <c r="T6" s="10">
        <f t="shared" si="6"/>
        <v>2</v>
      </c>
      <c r="U6" t="str">
        <f>+IF(R6+S6=2,MAESTRO!$G$2,IF(R6+S6=0,MAESTRO!$G$5,IF(R6=0,MAESTRO!$G$3,IF(S6=0,MAESTRO!$G$4,))))</f>
        <v>cumple politica</v>
      </c>
    </row>
    <row r="7" spans="1:21" x14ac:dyDescent="0.3">
      <c r="A7" t="s">
        <v>12</v>
      </c>
      <c r="B7" t="s">
        <v>27</v>
      </c>
      <c r="C7" t="s">
        <v>63</v>
      </c>
      <c r="D7" t="s">
        <v>82</v>
      </c>
      <c r="E7" s="24">
        <f t="shared" si="2"/>
        <v>0</v>
      </c>
      <c r="F7" s="22">
        <f>-SUMIFS(CARGA!I:I,CARGA!B:B,tabla!A7,CARGA!D:D,tabla!C7,CARGA!C:C,MAESTRO!$B$4)-SUMIFS(CARGA!I:I,CARGA!B:B,tabla!A7,CARGA!D:D,tabla!C7,CARGA!C:C,MAESTRO!$B$5)</f>
        <v>0</v>
      </c>
      <c r="G7" s="5">
        <f>+SUMIFS(CARGA!I:I,CARGA!B:B,tabla!A7,CARGA!D:D,tabla!C7)</f>
        <v>0</v>
      </c>
      <c r="H7" s="5">
        <f>+SUMIFS(CARGA!K:K,CARGA!B:B,tabla!A7,CARGA!D:D,tabla!C7)</f>
        <v>0</v>
      </c>
      <c r="I7" s="5">
        <f t="shared" si="3"/>
        <v>0</v>
      </c>
      <c r="J7" s="5">
        <f>-SUMIFS(CARGA!K:K,CARGA!B:B,tabla!A7,CARGA!D:D,tabla!C7,CARGA!C:C,MAESTRO!$B$4)+SUMIFS(CARGA!K:K,CARGA!B:B,tabla!A7,CARGA!D:D,tabla!C7,CARGA!C:C,MAESTRO!$B$5)</f>
        <v>0</v>
      </c>
      <c r="K7" s="5" t="e">
        <f>+VLOOKUP(C7,#REF!,3,FALSE)</f>
        <v>#REF!</v>
      </c>
      <c r="L7" s="5" t="e">
        <f t="shared" si="4"/>
        <v>#REF!</v>
      </c>
      <c r="M7" s="5" t="e">
        <f t="shared" si="5"/>
        <v>#REF!</v>
      </c>
      <c r="N7" s="5" t="str">
        <f t="shared" si="0"/>
        <v>NO</v>
      </c>
      <c r="O7" s="5">
        <f>+VLOOKUP(C7,[2]Fondos!$F:$J,5,FALSE)</f>
        <v>14114977659</v>
      </c>
      <c r="P7" s="13">
        <f>+VLOOKUP(C7,[2]Fondos!$F:$K,6,FALSE)</f>
        <v>0.26056640000000003</v>
      </c>
      <c r="Q7" s="13">
        <f t="shared" si="1"/>
        <v>0</v>
      </c>
      <c r="R7" s="10">
        <f>+IF(Q7&gt;MAESTRO!$G$6,0,1)</f>
        <v>1</v>
      </c>
      <c r="S7">
        <f>+IF(P7&lt;MAESTRO!$G$8,0,1)</f>
        <v>1</v>
      </c>
      <c r="T7" s="10">
        <f t="shared" si="6"/>
        <v>2</v>
      </c>
      <c r="U7" t="str">
        <f>+IF(R7+S7=2,MAESTRO!$G$2,IF(R7+S7=0,MAESTRO!$G$5,IF(R7=0,MAESTRO!$G$3,IF(S7=0,MAESTRO!$G$4,))))</f>
        <v>cumple politica</v>
      </c>
    </row>
    <row r="8" spans="1:21" x14ac:dyDescent="0.3">
      <c r="A8" t="s">
        <v>12</v>
      </c>
      <c r="B8" t="s">
        <v>27</v>
      </c>
      <c r="C8" t="s">
        <v>47</v>
      </c>
      <c r="D8" t="s">
        <v>81</v>
      </c>
      <c r="E8" s="24">
        <f t="shared" si="2"/>
        <v>0</v>
      </c>
      <c r="F8" s="22">
        <f>-SUMIFS(CARGA!I:I,CARGA!B:B,tabla!A8,CARGA!D:D,tabla!C8,CARGA!C:C,MAESTRO!$B$4)-SUMIFS(CARGA!I:I,CARGA!B:B,tabla!A8,CARGA!D:D,tabla!C8,CARGA!C:C,MAESTRO!$B$5)</f>
        <v>0</v>
      </c>
      <c r="G8" s="5">
        <f>+SUMIFS(CARGA!I:I,CARGA!B:B,tabla!A8,CARGA!D:D,tabla!C8)</f>
        <v>0</v>
      </c>
      <c r="H8" s="5">
        <f>+SUMIFS(CARGA!K:K,CARGA!B:B,tabla!A8,CARGA!D:D,tabla!C8)</f>
        <v>0</v>
      </c>
      <c r="I8" s="5">
        <f t="shared" si="3"/>
        <v>0</v>
      </c>
      <c r="J8" s="5">
        <f>-SUMIFS(CARGA!K:K,CARGA!B:B,tabla!A8,CARGA!D:D,tabla!C8,CARGA!C:C,MAESTRO!$B$4)+SUMIFS(CARGA!K:K,CARGA!B:B,tabla!A8,CARGA!D:D,tabla!C8,CARGA!C:C,MAESTRO!$B$5)</f>
        <v>0</v>
      </c>
      <c r="K8" s="5" t="e">
        <f>+VLOOKUP(C8,#REF!,3,FALSE)</f>
        <v>#REF!</v>
      </c>
      <c r="L8" s="5" t="e">
        <f t="shared" si="4"/>
        <v>#REF!</v>
      </c>
      <c r="M8" s="5" t="e">
        <f t="shared" si="5"/>
        <v>#REF!</v>
      </c>
      <c r="N8" s="5" t="str">
        <f t="shared" si="0"/>
        <v>NO</v>
      </c>
      <c r="O8" s="5">
        <f>+VLOOKUP(C8,[2]Fondos!$F:$J,5,FALSE)</f>
        <v>1977335292</v>
      </c>
      <c r="P8" s="13">
        <f>+VLOOKUP(C8,[2]Fondos!$F:$K,6,FALSE)</f>
        <v>0.19354769999999999</v>
      </c>
      <c r="Q8" s="13">
        <f t="shared" si="1"/>
        <v>0</v>
      </c>
      <c r="R8" s="10">
        <f>+IF(Q8&gt;MAESTRO!$G$6,0,1)</f>
        <v>1</v>
      </c>
      <c r="S8">
        <f>+IF(P8&lt;MAESTRO!$G$8,0,1)</f>
        <v>1</v>
      </c>
      <c r="T8" s="10">
        <f t="shared" si="6"/>
        <v>2</v>
      </c>
      <c r="U8" t="str">
        <f>+IF(R8+S8=2,MAESTRO!$G$2,IF(R8+S8=0,MAESTRO!$G$5,IF(R8=0,MAESTRO!$G$3,IF(S8=0,MAESTRO!$G$4,))))</f>
        <v>cumple politica</v>
      </c>
    </row>
    <row r="9" spans="1:21" x14ac:dyDescent="0.3">
      <c r="A9" t="s">
        <v>12</v>
      </c>
      <c r="B9" t="s">
        <v>27</v>
      </c>
      <c r="C9" t="s">
        <v>42</v>
      </c>
      <c r="D9" t="s">
        <v>81</v>
      </c>
      <c r="E9" s="24">
        <f t="shared" si="2"/>
        <v>0</v>
      </c>
      <c r="F9" s="22">
        <f>-SUMIFS(CARGA!I:I,CARGA!B:B,tabla!A9,CARGA!D:D,tabla!C9,CARGA!C:C,MAESTRO!$B$4)-SUMIFS(CARGA!I:I,CARGA!B:B,tabla!A9,CARGA!D:D,tabla!C9,CARGA!C:C,MAESTRO!$B$5)</f>
        <v>0</v>
      </c>
      <c r="G9" s="5">
        <f>+SUMIFS(CARGA!I:I,CARGA!B:B,tabla!A9,CARGA!D:D,tabla!C9)</f>
        <v>0</v>
      </c>
      <c r="H9" s="5">
        <f>+SUMIFS(CARGA!K:K,CARGA!B:B,tabla!A9,CARGA!D:D,tabla!C9)</f>
        <v>0</v>
      </c>
      <c r="I9" s="5">
        <f t="shared" si="3"/>
        <v>0</v>
      </c>
      <c r="J9" s="5">
        <f>-SUMIFS(CARGA!K:K,CARGA!B:B,tabla!A9,CARGA!D:D,tabla!C9,CARGA!C:C,MAESTRO!$B$4)+SUMIFS(CARGA!K:K,CARGA!B:B,tabla!A9,CARGA!D:D,tabla!C9,CARGA!C:C,MAESTRO!$B$5)</f>
        <v>0</v>
      </c>
      <c r="K9" s="5" t="e">
        <f>+VLOOKUP(C9,#REF!,3,FALSE)</f>
        <v>#REF!</v>
      </c>
      <c r="L9" s="5" t="e">
        <f t="shared" si="4"/>
        <v>#REF!</v>
      </c>
      <c r="M9" s="5" t="e">
        <f t="shared" si="5"/>
        <v>#REF!</v>
      </c>
      <c r="N9" s="5" t="str">
        <f t="shared" si="0"/>
        <v>NO</v>
      </c>
      <c r="O9" s="5">
        <f>+VLOOKUP(C9,[2]Fondos!$F:$J,5,FALSE)</f>
        <v>2171371244</v>
      </c>
      <c r="P9" s="13">
        <f>+VLOOKUP(C9,[2]Fondos!$F:$K,6,FALSE)</f>
        <v>0.2113614</v>
      </c>
      <c r="Q9" s="13">
        <f t="shared" si="1"/>
        <v>0</v>
      </c>
      <c r="R9" s="10">
        <f>+IF(Q9&gt;MAESTRO!$G$6,0,1)</f>
        <v>1</v>
      </c>
      <c r="S9">
        <f>+IF(P9&lt;MAESTRO!$G$8,0,1)</f>
        <v>1</v>
      </c>
      <c r="T9" s="10">
        <f t="shared" si="6"/>
        <v>2</v>
      </c>
      <c r="U9" t="str">
        <f>+IF(R9+S9=2,MAESTRO!$G$2,IF(R9+S9=0,MAESTRO!$G$5,IF(R9=0,MAESTRO!$G$3,IF(S9=0,MAESTRO!$G$4,))))</f>
        <v>cumple politica</v>
      </c>
    </row>
    <row r="10" spans="1:21" x14ac:dyDescent="0.3">
      <c r="A10" t="s">
        <v>12</v>
      </c>
      <c r="B10" t="s">
        <v>27</v>
      </c>
      <c r="C10" t="s">
        <v>78</v>
      </c>
      <c r="D10" t="s">
        <v>82</v>
      </c>
      <c r="E10" s="24">
        <f t="shared" si="2"/>
        <v>0</v>
      </c>
      <c r="F10" s="22">
        <f>-SUMIFS(CARGA!I:I,CARGA!B:B,tabla!A10,CARGA!D:D,tabla!C10,CARGA!C:C,MAESTRO!$B$4)-SUMIFS(CARGA!I:I,CARGA!B:B,tabla!A10,CARGA!D:D,tabla!C10,CARGA!C:C,MAESTRO!$B$5)</f>
        <v>0</v>
      </c>
      <c r="G10" s="5">
        <f>+SUMIFS(CARGA!I:I,CARGA!B:B,tabla!A10,CARGA!D:D,tabla!C10)</f>
        <v>0</v>
      </c>
      <c r="H10" s="5">
        <f>+SUMIFS(CARGA!K:K,CARGA!B:B,tabla!A10,CARGA!D:D,tabla!C10)</f>
        <v>0</v>
      </c>
      <c r="I10" s="5">
        <f t="shared" si="3"/>
        <v>0</v>
      </c>
      <c r="J10" s="5">
        <f>-SUMIFS(CARGA!K:K,CARGA!B:B,tabla!A10,CARGA!D:D,tabla!C10,CARGA!C:C,MAESTRO!$B$4)+SUMIFS(CARGA!K:K,CARGA!B:B,tabla!A10,CARGA!D:D,tabla!C10,CARGA!C:C,MAESTRO!$B$5)</f>
        <v>0</v>
      </c>
      <c r="K10" s="5" t="e">
        <f>+VLOOKUP(C10,#REF!,3,FALSE)</f>
        <v>#REF!</v>
      </c>
      <c r="L10" s="5" t="e">
        <f t="shared" si="4"/>
        <v>#REF!</v>
      </c>
      <c r="M10" s="5" t="e">
        <f t="shared" si="5"/>
        <v>#REF!</v>
      </c>
      <c r="N10" s="5" t="str">
        <f t="shared" si="0"/>
        <v>NO</v>
      </c>
      <c r="O10" s="5">
        <f>+VLOOKUP(C10,[2]Fondos!$F:$J,5,FALSE)</f>
        <v>234619684</v>
      </c>
      <c r="P10" s="13">
        <f>+VLOOKUP(C10,[2]Fondos!$F:$K,6,FALSE)</f>
        <v>0.26737729999999998</v>
      </c>
      <c r="Q10" s="13">
        <f t="shared" si="1"/>
        <v>0</v>
      </c>
      <c r="R10" s="10">
        <f>+IF(Q10&gt;MAESTRO!$G$6,0,1)</f>
        <v>1</v>
      </c>
      <c r="S10">
        <f>+IF(P10&lt;MAESTRO!$G$8,0,1)</f>
        <v>1</v>
      </c>
      <c r="T10" s="10">
        <f t="shared" si="6"/>
        <v>2</v>
      </c>
      <c r="U10" t="str">
        <f>+IF(R10+S10=2,MAESTRO!$G$2,IF(R10+S10=0,MAESTRO!$G$5,IF(R10=0,MAESTRO!$G$3,IF(S10=0,MAESTRO!$G$4,))))</f>
        <v>cumple politica</v>
      </c>
    </row>
    <row r="11" spans="1:21" x14ac:dyDescent="0.3">
      <c r="A11" t="s">
        <v>12</v>
      </c>
      <c r="B11" t="s">
        <v>109</v>
      </c>
      <c r="C11" t="s">
        <v>75</v>
      </c>
      <c r="D11" t="s">
        <v>82</v>
      </c>
      <c r="E11" s="24">
        <f t="shared" si="2"/>
        <v>0</v>
      </c>
      <c r="F11" s="22">
        <f>-SUMIFS(CARGA!I:I,CARGA!B:B,tabla!A11,CARGA!D:D,tabla!C11,CARGA!C:C,MAESTRO!$B$4)-SUMIFS(CARGA!I:I,CARGA!B:B,tabla!A11,CARGA!D:D,tabla!C11,CARGA!C:C,MAESTRO!$B$5)</f>
        <v>0</v>
      </c>
      <c r="G11" s="5">
        <f>+SUMIFS(CARGA!I:I,CARGA!B:B,tabla!A11,CARGA!D:D,tabla!C11)</f>
        <v>0</v>
      </c>
      <c r="H11" s="5">
        <f>+SUMIFS(CARGA!K:K,CARGA!B:B,tabla!A11,CARGA!D:D,tabla!C11)</f>
        <v>0</v>
      </c>
      <c r="I11" s="5">
        <f t="shared" si="3"/>
        <v>0</v>
      </c>
      <c r="J11" s="5">
        <f>-SUMIFS(CARGA!K:K,CARGA!B:B,tabla!A11,CARGA!D:D,tabla!C11,CARGA!C:C,MAESTRO!$B$4)+SUMIFS(CARGA!K:K,CARGA!B:B,tabla!A11,CARGA!D:D,tabla!C11,CARGA!C:C,MAESTRO!$B$5)</f>
        <v>0</v>
      </c>
      <c r="K11" s="5" t="e">
        <f>+VLOOKUP(C11,#REF!,3,FALSE)</f>
        <v>#REF!</v>
      </c>
      <c r="L11" s="5" t="e">
        <f t="shared" si="4"/>
        <v>#REF!</v>
      </c>
      <c r="M11" s="5" t="e">
        <f t="shared" si="5"/>
        <v>#REF!</v>
      </c>
      <c r="N11" s="5" t="str">
        <f t="shared" si="0"/>
        <v>NO</v>
      </c>
      <c r="O11" s="5">
        <f>+VLOOKUP(C11,[2]Fondos!$F:$J,5,FALSE)</f>
        <v>1696672499</v>
      </c>
      <c r="P11" s="13">
        <f>+VLOOKUP(C11,[2]Fondos!$F:$K,6,FALSE)</f>
        <v>0.24191749999999998</v>
      </c>
      <c r="Q11" s="13">
        <f t="shared" si="1"/>
        <v>0</v>
      </c>
      <c r="R11" s="10">
        <f>+IF(Q11&gt;MAESTRO!$G$6,0,1)</f>
        <v>1</v>
      </c>
      <c r="S11">
        <f>+IF(P11&lt;MAESTRO!$G$8,0,1)</f>
        <v>1</v>
      </c>
      <c r="T11" s="10">
        <f t="shared" si="6"/>
        <v>2</v>
      </c>
      <c r="U11" t="str">
        <f>+IF(R11+S11=2,MAESTRO!$G$2,IF(R11+S11=0,MAESTRO!$G$5,IF(R11=0,MAESTRO!$G$3,IF(S11=0,MAESTRO!$G$4,))))</f>
        <v>cumple politica</v>
      </c>
    </row>
    <row r="12" spans="1:21" x14ac:dyDescent="0.3">
      <c r="A12" t="s">
        <v>12</v>
      </c>
      <c r="B12" s="20" t="s">
        <v>35</v>
      </c>
      <c r="C12" s="20" t="s">
        <v>75</v>
      </c>
      <c r="D12" s="20" t="s">
        <v>83</v>
      </c>
      <c r="E12" s="24">
        <f t="shared" si="2"/>
        <v>0</v>
      </c>
      <c r="F12" s="22">
        <f>-SUMIFS(CARGA!I:I,CARGA!B:B,tabla!A12,CARGA!D:D,tabla!C12,CARGA!C:C,MAESTRO!$B$4)-SUMIFS(CARGA!I:I,CARGA!B:B,tabla!A12,CARGA!D:D,tabla!C12,CARGA!C:C,MAESTRO!$B$5)</f>
        <v>0</v>
      </c>
      <c r="G12" s="5">
        <f>+SUMIFS(CARGA!I:I,CARGA!B:B,tabla!A12,CARGA!D:D,tabla!C12)</f>
        <v>0</v>
      </c>
      <c r="H12" s="5">
        <f>+SUMIFS(CARGA!K:K,CARGA!B:B,tabla!A12,CARGA!D:D,tabla!C12)</f>
        <v>0</v>
      </c>
      <c r="I12" s="5">
        <f t="shared" si="3"/>
        <v>0</v>
      </c>
      <c r="J12" s="5">
        <f>-SUMIFS(CARGA!K:K,CARGA!B:B,tabla!A12,CARGA!D:D,tabla!C12,CARGA!C:C,MAESTRO!$B$4)+SUMIFS(CARGA!K:K,CARGA!B:B,tabla!A12,CARGA!D:D,tabla!C12,CARGA!C:C,MAESTRO!$B$5)</f>
        <v>0</v>
      </c>
      <c r="K12" s="5" t="e">
        <f>+VLOOKUP(C12,#REF!,3,FALSE)</f>
        <v>#REF!</v>
      </c>
      <c r="L12" s="5" t="e">
        <f t="shared" si="4"/>
        <v>#REF!</v>
      </c>
      <c r="M12" s="5" t="e">
        <f t="shared" si="5"/>
        <v>#REF!</v>
      </c>
      <c r="N12" s="5" t="str">
        <f t="shared" si="0"/>
        <v>NO</v>
      </c>
      <c r="O12" s="5">
        <f>+VLOOKUP(C12,[2]Fondos!$F:$J,5,FALSE)</f>
        <v>1696672499</v>
      </c>
      <c r="P12" s="13">
        <f>+VLOOKUP(C12,[2]Fondos!$F:$K,6,FALSE)</f>
        <v>0.24191749999999998</v>
      </c>
      <c r="Q12" s="13">
        <f t="shared" si="1"/>
        <v>0</v>
      </c>
      <c r="R12" s="10">
        <f>+IF(Q12&gt;MAESTRO!$G$6,0,1)</f>
        <v>1</v>
      </c>
      <c r="S12">
        <f>+IF(P12&lt;MAESTRO!$G$8,0,1)</f>
        <v>1</v>
      </c>
      <c r="T12" s="10">
        <f t="shared" si="6"/>
        <v>2</v>
      </c>
      <c r="U12" t="str">
        <f>+IF(R12+S12=2,MAESTRO!$G$2,IF(R12+S12=0,MAESTRO!$G$5,IF(R12=0,MAESTRO!$G$3,IF(S12=0,MAESTRO!$G$4,))))</f>
        <v>cumple politica</v>
      </c>
    </row>
    <row r="13" spans="1:21" x14ac:dyDescent="0.3">
      <c r="A13" t="s">
        <v>12</v>
      </c>
      <c r="B13" t="s">
        <v>109</v>
      </c>
      <c r="C13" t="s">
        <v>76</v>
      </c>
      <c r="D13" t="s">
        <v>82</v>
      </c>
      <c r="E13" s="24">
        <f t="shared" si="2"/>
        <v>0</v>
      </c>
      <c r="F13" s="22">
        <f>-SUMIFS(CARGA!I:I,CARGA!B:B,tabla!A13,CARGA!D:D,tabla!C13,CARGA!C:C,MAESTRO!$B$4)-SUMIFS(CARGA!I:I,CARGA!B:B,tabla!A13,CARGA!D:D,tabla!C13,CARGA!C:C,MAESTRO!$B$5)</f>
        <v>0</v>
      </c>
      <c r="G13" s="5">
        <f>+SUMIFS(CARGA!I:I,CARGA!B:B,tabla!A13,CARGA!D:D,tabla!C13)</f>
        <v>0</v>
      </c>
      <c r="H13" s="5">
        <f>+SUMIFS(CARGA!K:K,CARGA!B:B,tabla!A13,CARGA!D:D,tabla!C13)</f>
        <v>0</v>
      </c>
      <c r="I13" s="5">
        <f t="shared" si="3"/>
        <v>0</v>
      </c>
      <c r="J13" s="5">
        <f>-SUMIFS(CARGA!K:K,CARGA!B:B,tabla!A13,CARGA!D:D,tabla!C13,CARGA!C:C,MAESTRO!$B$4)+SUMIFS(CARGA!K:K,CARGA!B:B,tabla!A13,CARGA!D:D,tabla!C13,CARGA!C:C,MAESTRO!$B$5)</f>
        <v>0</v>
      </c>
      <c r="K13" s="5" t="e">
        <f>+VLOOKUP(C13,#REF!,3,FALSE)</f>
        <v>#REF!</v>
      </c>
      <c r="L13" s="5" t="e">
        <f t="shared" si="4"/>
        <v>#REF!</v>
      </c>
      <c r="M13" s="5" t="e">
        <f t="shared" si="5"/>
        <v>#REF!</v>
      </c>
      <c r="N13" s="5" t="str">
        <f t="shared" si="0"/>
        <v>NO</v>
      </c>
      <c r="O13" s="5">
        <f>+VLOOKUP(C13,[2]Fondos!$F:$J,5,FALSE)</f>
        <v>3357048174</v>
      </c>
      <c r="P13" s="13">
        <f>+VLOOKUP(C13,[2]Fondos!$F:$K,6,FALSE)</f>
        <v>0.25849470000000002</v>
      </c>
      <c r="Q13" s="13">
        <f t="shared" si="1"/>
        <v>0</v>
      </c>
      <c r="R13" s="10">
        <f>+IF(Q13&gt;MAESTRO!$G$6,0,1)</f>
        <v>1</v>
      </c>
      <c r="S13">
        <f>+IF(P13&lt;MAESTRO!$G$8,0,1)</f>
        <v>1</v>
      </c>
      <c r="T13" s="10">
        <f t="shared" si="6"/>
        <v>2</v>
      </c>
      <c r="U13" t="str">
        <f>+IF(R13+S13=2,MAESTRO!$G$2,IF(R13+S13=0,MAESTRO!$G$5,IF(R13=0,MAESTRO!$G$3,IF(S13=0,MAESTRO!$G$4,))))</f>
        <v>cumple politica</v>
      </c>
    </row>
    <row r="14" spans="1:21" x14ac:dyDescent="0.3">
      <c r="A14" t="s">
        <v>12</v>
      </c>
      <c r="B14" s="20" t="s">
        <v>35</v>
      </c>
      <c r="C14" s="20" t="s">
        <v>76</v>
      </c>
      <c r="D14" s="20" t="s">
        <v>83</v>
      </c>
      <c r="E14" s="24">
        <f t="shared" si="2"/>
        <v>0</v>
      </c>
      <c r="F14" s="22">
        <f>-SUMIFS(CARGA!I:I,CARGA!B:B,tabla!A14,CARGA!D:D,tabla!C14,CARGA!C:C,MAESTRO!$B$4)-SUMIFS(CARGA!I:I,CARGA!B:B,tabla!A14,CARGA!D:D,tabla!C14,CARGA!C:C,MAESTRO!$B$5)</f>
        <v>0</v>
      </c>
      <c r="G14" s="5">
        <f>+SUMIFS(CARGA!I:I,CARGA!B:B,tabla!A14,CARGA!D:D,tabla!C14)</f>
        <v>0</v>
      </c>
      <c r="H14" s="5">
        <f>+SUMIFS(CARGA!K:K,CARGA!B:B,tabla!A14,CARGA!D:D,tabla!C14)</f>
        <v>0</v>
      </c>
      <c r="I14" s="5">
        <f t="shared" si="3"/>
        <v>0</v>
      </c>
      <c r="J14" s="5">
        <f>-SUMIFS(CARGA!K:K,CARGA!B:B,tabla!A14,CARGA!D:D,tabla!C14,CARGA!C:C,MAESTRO!$B$4)+SUMIFS(CARGA!K:K,CARGA!B:B,tabla!A14,CARGA!D:D,tabla!C14,CARGA!C:C,MAESTRO!$B$5)</f>
        <v>0</v>
      </c>
      <c r="K14" s="5" t="e">
        <f>+VLOOKUP(C14,#REF!,3,FALSE)</f>
        <v>#REF!</v>
      </c>
      <c r="L14" s="5" t="e">
        <f t="shared" si="4"/>
        <v>#REF!</v>
      </c>
      <c r="M14" s="5" t="e">
        <f t="shared" si="5"/>
        <v>#REF!</v>
      </c>
      <c r="N14" s="5" t="str">
        <f t="shared" si="0"/>
        <v>NO</v>
      </c>
      <c r="O14" s="5">
        <f>+VLOOKUP(C14,[2]Fondos!$F:$J,5,FALSE)</f>
        <v>3357048174</v>
      </c>
      <c r="P14" s="13">
        <f>+VLOOKUP(C14,[2]Fondos!$F:$K,6,FALSE)</f>
        <v>0.25849470000000002</v>
      </c>
      <c r="Q14" s="13">
        <f t="shared" si="1"/>
        <v>0</v>
      </c>
      <c r="R14" s="10">
        <f>+IF(Q14&gt;MAESTRO!$G$6,0,1)</f>
        <v>1</v>
      </c>
      <c r="S14">
        <f>+IF(P14&lt;MAESTRO!$G$8,0,1)</f>
        <v>1</v>
      </c>
      <c r="T14" s="10">
        <f t="shared" si="6"/>
        <v>2</v>
      </c>
      <c r="U14" t="str">
        <f>+IF(R14+S14=2,MAESTRO!$G$2,IF(R14+S14=0,MAESTRO!$G$5,IF(R14=0,MAESTRO!$G$3,IF(S14=0,MAESTRO!$G$4,))))</f>
        <v>cumple politica</v>
      </c>
    </row>
    <row r="15" spans="1:21" x14ac:dyDescent="0.3">
      <c r="A15" t="s">
        <v>12</v>
      </c>
      <c r="B15" t="s">
        <v>25</v>
      </c>
      <c r="C15" t="s">
        <v>59</v>
      </c>
      <c r="D15" t="s">
        <v>82</v>
      </c>
      <c r="E15" s="24">
        <f t="shared" si="2"/>
        <v>0</v>
      </c>
      <c r="F15" s="22">
        <f>-SUMIFS(CARGA!I:I,CARGA!B:B,tabla!A15,CARGA!D:D,tabla!C15,CARGA!C:C,MAESTRO!$B$4)-SUMIFS(CARGA!I:I,CARGA!B:B,tabla!A15,CARGA!D:D,tabla!C15,CARGA!C:C,MAESTRO!$B$5)</f>
        <v>0</v>
      </c>
      <c r="G15" s="5">
        <f>+SUMIFS(CARGA!I:I,CARGA!B:B,tabla!A15,CARGA!D:D,tabla!C15)</f>
        <v>0</v>
      </c>
      <c r="H15" s="5">
        <f>+SUMIFS(CARGA!K:K,CARGA!B:B,tabla!A15,CARGA!D:D,tabla!C15)</f>
        <v>0</v>
      </c>
      <c r="I15" s="5">
        <f t="shared" si="3"/>
        <v>0</v>
      </c>
      <c r="J15" s="5">
        <f>-SUMIFS(CARGA!K:K,CARGA!B:B,tabla!A15,CARGA!D:D,tabla!C15,CARGA!C:C,MAESTRO!$B$4)+SUMIFS(CARGA!K:K,CARGA!B:B,tabla!A15,CARGA!D:D,tabla!C15,CARGA!C:C,MAESTRO!$B$5)</f>
        <v>0</v>
      </c>
      <c r="K15" s="5" t="e">
        <f>+VLOOKUP(C15,#REF!,3,FALSE)</f>
        <v>#REF!</v>
      </c>
      <c r="L15" s="5" t="e">
        <f t="shared" si="4"/>
        <v>#REF!</v>
      </c>
      <c r="M15" s="5" t="e">
        <f t="shared" si="5"/>
        <v>#REF!</v>
      </c>
      <c r="N15" s="5" t="str">
        <f t="shared" si="0"/>
        <v>NO</v>
      </c>
      <c r="O15" s="5">
        <f>+VLOOKUP(C15,[2]Fondos!$F:$J,5,FALSE)</f>
        <v>15268657582.66</v>
      </c>
      <c r="P15" s="13">
        <f>+VLOOKUP(C15,[2]Fondos!$F:$K,6,FALSE)</f>
        <v>0.26679839999999999</v>
      </c>
      <c r="Q15" s="13">
        <f t="shared" si="1"/>
        <v>0</v>
      </c>
      <c r="R15" s="10">
        <f>+IF(Q15&gt;MAESTRO!$G$6,0,1)</f>
        <v>1</v>
      </c>
      <c r="S15">
        <f>+IF(P15&lt;MAESTRO!$G$8,0,1)</f>
        <v>1</v>
      </c>
      <c r="T15" s="10">
        <f t="shared" si="6"/>
        <v>2</v>
      </c>
      <c r="U15" t="str">
        <f>+IF(R15+S15=2,MAESTRO!$G$2,IF(R15+S15=0,MAESTRO!$G$5,IF(R15=0,MAESTRO!$G$3,IF(S15=0,MAESTRO!$G$4,))))</f>
        <v>cumple politica</v>
      </c>
    </row>
    <row r="16" spans="1:21" x14ac:dyDescent="0.3">
      <c r="A16" t="s">
        <v>12</v>
      </c>
      <c r="B16" t="s">
        <v>25</v>
      </c>
      <c r="C16" t="s">
        <v>40</v>
      </c>
      <c r="D16" t="s">
        <v>81</v>
      </c>
      <c r="E16" s="24">
        <f t="shared" si="2"/>
        <v>0</v>
      </c>
      <c r="F16" s="22">
        <f>-SUMIFS(CARGA!I:I,CARGA!B:B,tabla!A16,CARGA!D:D,tabla!C16,CARGA!C:C,MAESTRO!$B$4)-SUMIFS(CARGA!I:I,CARGA!B:B,tabla!A16,CARGA!D:D,tabla!C16,CARGA!C:C,MAESTRO!$B$5)</f>
        <v>0</v>
      </c>
      <c r="G16" s="5">
        <f>+SUMIFS(CARGA!I:I,CARGA!B:B,tabla!A16,CARGA!D:D,tabla!C16)</f>
        <v>0</v>
      </c>
      <c r="H16" s="5">
        <f>+SUMIFS(CARGA!K:K,CARGA!B:B,tabla!A16,CARGA!D:D,tabla!C16)</f>
        <v>0</v>
      </c>
      <c r="I16" s="5">
        <f t="shared" si="3"/>
        <v>0</v>
      </c>
      <c r="J16" s="5">
        <f>-SUMIFS(CARGA!K:K,CARGA!B:B,tabla!A16,CARGA!D:D,tabla!C16,CARGA!C:C,MAESTRO!$B$4)+SUMIFS(CARGA!K:K,CARGA!B:B,tabla!A16,CARGA!D:D,tabla!C16,CARGA!C:C,MAESTRO!$B$5)</f>
        <v>0</v>
      </c>
      <c r="K16" s="5" t="e">
        <f>+VLOOKUP(C16,#REF!,3,FALSE)</f>
        <v>#REF!</v>
      </c>
      <c r="L16" s="5" t="e">
        <f t="shared" si="4"/>
        <v>#REF!</v>
      </c>
      <c r="M16" s="5" t="e">
        <f t="shared" si="5"/>
        <v>#REF!</v>
      </c>
      <c r="N16" s="5" t="str">
        <f t="shared" si="0"/>
        <v>NO</v>
      </c>
      <c r="O16" s="5">
        <f>+VLOOKUP(C16,[2]Fondos!$F:$J,5,FALSE)</f>
        <v>4231508416.6700001</v>
      </c>
      <c r="P16" s="13">
        <f>+VLOOKUP(C16,[2]Fondos!$F:$K,6,FALSE)</f>
        <v>0.21473639999999999</v>
      </c>
      <c r="Q16" s="13">
        <f t="shared" si="1"/>
        <v>0</v>
      </c>
      <c r="R16" s="10">
        <f>+IF(Q16&gt;MAESTRO!$G$6,0,1)</f>
        <v>1</v>
      </c>
      <c r="S16">
        <f>+IF(P16&lt;MAESTRO!$G$8,0,1)</f>
        <v>1</v>
      </c>
      <c r="T16" s="10">
        <f t="shared" si="6"/>
        <v>2</v>
      </c>
      <c r="U16" t="str">
        <f>+IF(R16+S16=2,MAESTRO!$G$2,IF(R16+S16=0,MAESTRO!$G$5,IF(R16=0,MAESTRO!$G$3,IF(S16=0,MAESTRO!$G$4,))))</f>
        <v>cumple politica</v>
      </c>
    </row>
    <row r="17" spans="1:21" x14ac:dyDescent="0.3">
      <c r="A17" t="s">
        <v>12</v>
      </c>
      <c r="B17" t="s">
        <v>25</v>
      </c>
      <c r="C17" t="s">
        <v>79</v>
      </c>
      <c r="D17" t="s">
        <v>82</v>
      </c>
      <c r="E17" s="24">
        <f t="shared" si="2"/>
        <v>0</v>
      </c>
      <c r="F17" s="22">
        <f>-SUMIFS(CARGA!I:I,CARGA!B:B,tabla!A17,CARGA!D:D,tabla!C17,CARGA!C:C,MAESTRO!$B$4)-SUMIFS(CARGA!I:I,CARGA!B:B,tabla!A17,CARGA!D:D,tabla!C17,CARGA!C:C,MAESTRO!$B$5)</f>
        <v>0</v>
      </c>
      <c r="G17" s="5">
        <f>+SUMIFS(CARGA!I:I,CARGA!B:B,tabla!A17,CARGA!D:D,tabla!C17)</f>
        <v>0</v>
      </c>
      <c r="H17" s="5">
        <f>+SUMIFS(CARGA!K:K,CARGA!B:B,tabla!A17,CARGA!D:D,tabla!C17)</f>
        <v>0</v>
      </c>
      <c r="I17" s="5">
        <f t="shared" si="3"/>
        <v>0</v>
      </c>
      <c r="J17" s="5">
        <f>-SUMIFS(CARGA!K:K,CARGA!B:B,tabla!A17,CARGA!D:D,tabla!C17,CARGA!C:C,MAESTRO!$B$4)+SUMIFS(CARGA!K:K,CARGA!B:B,tabla!A17,CARGA!D:D,tabla!C17,CARGA!C:C,MAESTRO!$B$5)</f>
        <v>0</v>
      </c>
      <c r="K17" s="5" t="e">
        <f>+VLOOKUP(C17,#REF!,3,FALSE)</f>
        <v>#REF!</v>
      </c>
      <c r="L17" s="5" t="e">
        <f t="shared" si="4"/>
        <v>#REF!</v>
      </c>
      <c r="M17" s="5" t="e">
        <f t="shared" si="5"/>
        <v>#REF!</v>
      </c>
      <c r="N17" s="5" t="str">
        <f t="shared" si="0"/>
        <v>NO</v>
      </c>
      <c r="O17" s="5">
        <f>+VLOOKUP(C17,[2]Fondos!$F:$J,5,FALSE)</f>
        <v>415179361.94999999</v>
      </c>
      <c r="P17" s="13">
        <f>+VLOOKUP(C17,[2]Fondos!$F:$K,6,FALSE)</f>
        <v>0.20571149999999999</v>
      </c>
      <c r="Q17" s="13">
        <f t="shared" si="1"/>
        <v>0</v>
      </c>
      <c r="R17" s="10">
        <f>+IF(Q17&gt;MAESTRO!$G$6,0,1)</f>
        <v>1</v>
      </c>
      <c r="S17">
        <f>+IF(P17&lt;MAESTRO!$G$8,0,1)</f>
        <v>1</v>
      </c>
      <c r="T17" s="10">
        <f t="shared" si="6"/>
        <v>2</v>
      </c>
      <c r="U17" t="str">
        <f>+IF(R17+S17=2,MAESTRO!$G$2,IF(R17+S17=0,MAESTRO!$G$5,IF(R17=0,MAESTRO!$G$3,IF(S17=0,MAESTRO!$G$4,))))</f>
        <v>cumple politica</v>
      </c>
    </row>
    <row r="18" spans="1:21" x14ac:dyDescent="0.3">
      <c r="A18" t="s">
        <v>12</v>
      </c>
      <c r="B18" t="s">
        <v>26</v>
      </c>
      <c r="C18" t="s">
        <v>61</v>
      </c>
      <c r="D18" t="s">
        <v>82</v>
      </c>
      <c r="E18" s="24">
        <f t="shared" si="2"/>
        <v>0</v>
      </c>
      <c r="F18" s="22">
        <f>-SUMIFS(CARGA!I:I,CARGA!B:B,tabla!A18,CARGA!D:D,tabla!C18,CARGA!C:C,MAESTRO!$B$4)-SUMIFS(CARGA!I:I,CARGA!B:B,tabla!A18,CARGA!D:D,tabla!C18,CARGA!C:C,MAESTRO!$B$5)</f>
        <v>0</v>
      </c>
      <c r="G18" s="5">
        <f>+SUMIFS(CARGA!I:I,CARGA!B:B,tabla!A18,CARGA!D:D,tabla!C18)</f>
        <v>0</v>
      </c>
      <c r="H18" s="5">
        <f>+SUMIFS(CARGA!K:K,CARGA!B:B,tabla!A18,CARGA!D:D,tabla!C18)</f>
        <v>0</v>
      </c>
      <c r="I18" s="5">
        <f t="shared" si="3"/>
        <v>0</v>
      </c>
      <c r="J18" s="5">
        <f>-SUMIFS(CARGA!K:K,CARGA!B:B,tabla!A18,CARGA!D:D,tabla!C18,CARGA!C:C,MAESTRO!$B$4)+SUMIFS(CARGA!K:K,CARGA!B:B,tabla!A18,CARGA!D:D,tabla!C18,CARGA!C:C,MAESTRO!$B$5)</f>
        <v>0</v>
      </c>
      <c r="K18" s="5" t="e">
        <f>+VLOOKUP(C18,#REF!,3,FALSE)</f>
        <v>#REF!</v>
      </c>
      <c r="L18" s="5" t="e">
        <f t="shared" si="4"/>
        <v>#REF!</v>
      </c>
      <c r="M18" s="5" t="e">
        <f t="shared" si="5"/>
        <v>#REF!</v>
      </c>
      <c r="N18" s="5" t="str">
        <f t="shared" si="0"/>
        <v>NO</v>
      </c>
      <c r="O18" s="5">
        <f>+VLOOKUP(C18,[2]Fondos!$F:$J,5,FALSE)</f>
        <v>25454891426</v>
      </c>
      <c r="P18" s="13">
        <f>+VLOOKUP(C18,[2]Fondos!$F:$K,6,FALSE)</f>
        <v>0.26389279999999998</v>
      </c>
      <c r="Q18" s="13">
        <f t="shared" si="1"/>
        <v>0</v>
      </c>
      <c r="R18" s="10">
        <f>+IF(Q18&gt;MAESTRO!$G$6,0,1)</f>
        <v>1</v>
      </c>
      <c r="S18">
        <f>+IF(P18&lt;MAESTRO!$G$8,0,1)</f>
        <v>1</v>
      </c>
      <c r="T18" s="10">
        <f t="shared" si="6"/>
        <v>2</v>
      </c>
      <c r="U18" t="str">
        <f>+IF(R18+S18=2,MAESTRO!$G$2,IF(R18+S18=0,MAESTRO!$G$5,IF(R18=0,MAESTRO!$G$3,IF(S18=0,MAESTRO!$G$4,))))</f>
        <v>cumple politica</v>
      </c>
    </row>
    <row r="19" spans="1:21" x14ac:dyDescent="0.3">
      <c r="A19" t="s">
        <v>12</v>
      </c>
      <c r="B19" t="s">
        <v>26</v>
      </c>
      <c r="C19" t="s">
        <v>58</v>
      </c>
      <c r="D19" t="s">
        <v>82</v>
      </c>
      <c r="E19" s="24">
        <f t="shared" si="2"/>
        <v>0</v>
      </c>
      <c r="F19" s="22">
        <f>-SUMIFS(CARGA!I:I,CARGA!B:B,tabla!A19,CARGA!D:D,tabla!C19,CARGA!C:C,MAESTRO!$B$4)-SUMIFS(CARGA!I:I,CARGA!B:B,tabla!A19,CARGA!D:D,tabla!C19,CARGA!C:C,MAESTRO!$B$5)</f>
        <v>0</v>
      </c>
      <c r="G19" s="5">
        <f>+SUMIFS(CARGA!I:I,CARGA!B:B,tabla!A19,CARGA!D:D,tabla!C19)</f>
        <v>0</v>
      </c>
      <c r="H19" s="5">
        <f>+SUMIFS(CARGA!K:K,CARGA!B:B,tabla!A19,CARGA!D:D,tabla!C19)</f>
        <v>0</v>
      </c>
      <c r="I19" s="5">
        <f t="shared" si="3"/>
        <v>0</v>
      </c>
      <c r="J19" s="5">
        <f>-SUMIFS(CARGA!K:K,CARGA!B:B,tabla!A19,CARGA!D:D,tabla!C19,CARGA!C:C,MAESTRO!$B$4)+SUMIFS(CARGA!K:K,CARGA!B:B,tabla!A19,CARGA!D:D,tabla!C19,CARGA!C:C,MAESTRO!$B$5)</f>
        <v>0</v>
      </c>
      <c r="K19" s="5" t="e">
        <f>+VLOOKUP(C19,#REF!,3,FALSE)</f>
        <v>#REF!</v>
      </c>
      <c r="L19" s="5" t="e">
        <f t="shared" si="4"/>
        <v>#REF!</v>
      </c>
      <c r="M19" s="5" t="e">
        <f t="shared" si="5"/>
        <v>#REF!</v>
      </c>
      <c r="N19" s="5" t="str">
        <f t="shared" si="0"/>
        <v>NO</v>
      </c>
      <c r="O19" s="5">
        <f>+VLOOKUP(C19,[2]Fondos!$F:$J,5,FALSE)</f>
        <v>25454891426</v>
      </c>
      <c r="P19" s="13">
        <f>+VLOOKUP(C19,[2]Fondos!$F:$K,6,FALSE)</f>
        <v>0.26686179999999998</v>
      </c>
      <c r="Q19" s="13">
        <f t="shared" si="1"/>
        <v>0</v>
      </c>
      <c r="R19" s="10">
        <f>+IF(Q19&gt;MAESTRO!$G$6,0,1)</f>
        <v>1</v>
      </c>
      <c r="S19">
        <f>+IF(P19&lt;MAESTRO!$G$8,0,1)</f>
        <v>1</v>
      </c>
      <c r="T19" s="10">
        <f t="shared" si="6"/>
        <v>2</v>
      </c>
      <c r="U19" t="str">
        <f>+IF(R19+S19=2,MAESTRO!$G$2,IF(R19+S19=0,MAESTRO!$G$5,IF(R19=0,MAESTRO!$G$3,IF(S19=0,MAESTRO!$G$4,))))</f>
        <v>cumple politica</v>
      </c>
    </row>
    <row r="20" spans="1:21" x14ac:dyDescent="0.3">
      <c r="A20" t="s">
        <v>12</v>
      </c>
      <c r="B20" t="s">
        <v>26</v>
      </c>
      <c r="C20" t="s">
        <v>56</v>
      </c>
      <c r="D20" t="s">
        <v>82</v>
      </c>
      <c r="E20" s="24">
        <f t="shared" si="2"/>
        <v>0</v>
      </c>
      <c r="F20" s="22">
        <f>-SUMIFS(CARGA!I:I,CARGA!B:B,tabla!A20,CARGA!D:D,tabla!C20,CARGA!C:C,MAESTRO!$B$4)-SUMIFS(CARGA!I:I,CARGA!B:B,tabla!A20,CARGA!D:D,tabla!C20,CARGA!C:C,MAESTRO!$B$5)</f>
        <v>0</v>
      </c>
      <c r="G20" s="5">
        <f>+SUMIFS(CARGA!I:I,CARGA!B:B,tabla!A20,CARGA!D:D,tabla!C20)</f>
        <v>0</v>
      </c>
      <c r="H20" s="5">
        <f>+SUMIFS(CARGA!K:K,CARGA!B:B,tabla!A20,CARGA!D:D,tabla!C20)</f>
        <v>0</v>
      </c>
      <c r="I20" s="5">
        <f t="shared" si="3"/>
        <v>0</v>
      </c>
      <c r="J20" s="5">
        <f>-SUMIFS(CARGA!K:K,CARGA!B:B,tabla!A20,CARGA!D:D,tabla!C20,CARGA!C:C,MAESTRO!$B$4)+SUMIFS(CARGA!K:K,CARGA!B:B,tabla!A20,CARGA!D:D,tabla!C20,CARGA!C:C,MAESTRO!$B$5)</f>
        <v>0</v>
      </c>
      <c r="K20" s="5" t="e">
        <f>+VLOOKUP(C20,#REF!,3,FALSE)</f>
        <v>#REF!</v>
      </c>
      <c r="L20" s="5" t="e">
        <f t="shared" si="4"/>
        <v>#REF!</v>
      </c>
      <c r="M20" s="5" t="e">
        <f t="shared" si="5"/>
        <v>#REF!</v>
      </c>
      <c r="N20" s="5" t="str">
        <f t="shared" si="0"/>
        <v>NO</v>
      </c>
      <c r="O20" s="5">
        <f>+VLOOKUP(C20,[2]Fondos!$F:$J,5,FALSE)</f>
        <v>25454891426</v>
      </c>
      <c r="P20" s="13">
        <f>+VLOOKUP(C20,[2]Fondos!$F:$K,6,FALSE)</f>
        <v>0.27078930000000001</v>
      </c>
      <c r="Q20" s="13">
        <f t="shared" si="1"/>
        <v>0</v>
      </c>
      <c r="R20" s="10">
        <f>+IF(Q20&gt;MAESTRO!$G$6,0,1)</f>
        <v>1</v>
      </c>
      <c r="S20">
        <f>+IF(P20&lt;MAESTRO!$G$8,0,1)</f>
        <v>1</v>
      </c>
      <c r="T20" s="10">
        <f t="shared" si="6"/>
        <v>2</v>
      </c>
      <c r="U20" t="str">
        <f>+IF(R20+S20=2,MAESTRO!$G$2,IF(R20+S20=0,MAESTRO!$G$5,IF(R20=0,MAESTRO!$G$3,IF(S20=0,MAESTRO!$G$4,))))</f>
        <v>cumple politica</v>
      </c>
    </row>
    <row r="21" spans="1:21" x14ac:dyDescent="0.3">
      <c r="A21" t="s">
        <v>12</v>
      </c>
      <c r="B21" t="s">
        <v>26</v>
      </c>
      <c r="C21" t="s">
        <v>65</v>
      </c>
      <c r="D21" t="s">
        <v>82</v>
      </c>
      <c r="E21" s="24">
        <f t="shared" si="2"/>
        <v>0</v>
      </c>
      <c r="F21" s="22">
        <f>-SUMIFS(CARGA!I:I,CARGA!B:B,tabla!A21,CARGA!D:D,tabla!C21,CARGA!C:C,MAESTRO!$B$4)-SUMIFS(CARGA!I:I,CARGA!B:B,tabla!A21,CARGA!D:D,tabla!C21,CARGA!C:C,MAESTRO!$B$5)</f>
        <v>0</v>
      </c>
      <c r="G21" s="5">
        <f>+SUMIFS(CARGA!I:I,CARGA!B:B,tabla!A21,CARGA!D:D,tabla!C21)</f>
        <v>0</v>
      </c>
      <c r="H21" s="5">
        <f>+SUMIFS(CARGA!K:K,CARGA!B:B,tabla!A21,CARGA!D:D,tabla!C21)</f>
        <v>0</v>
      </c>
      <c r="I21" s="5">
        <f t="shared" si="3"/>
        <v>0</v>
      </c>
      <c r="J21" s="5">
        <f>-SUMIFS(CARGA!K:K,CARGA!B:B,tabla!A21,CARGA!D:D,tabla!C21,CARGA!C:C,MAESTRO!$B$4)+SUMIFS(CARGA!K:K,CARGA!B:B,tabla!A21,CARGA!D:D,tabla!C21,CARGA!C:C,MAESTRO!$B$5)</f>
        <v>0</v>
      </c>
      <c r="K21" s="5" t="e">
        <f>+VLOOKUP(C21,#REF!,3,FALSE)</f>
        <v>#REF!</v>
      </c>
      <c r="L21" s="5" t="e">
        <f t="shared" si="4"/>
        <v>#REF!</v>
      </c>
      <c r="M21" s="5" t="e">
        <f t="shared" si="5"/>
        <v>#REF!</v>
      </c>
      <c r="N21" s="5" t="str">
        <f t="shared" si="0"/>
        <v>NO</v>
      </c>
      <c r="O21" s="5">
        <f>+VLOOKUP(C21,[2]Fondos!$F:$J,5,FALSE)</f>
        <v>26527515773</v>
      </c>
      <c r="P21" s="13">
        <f>+VLOOKUP(C21,[2]Fondos!$F:$K,6,FALSE)</f>
        <v>0.26544099999999998</v>
      </c>
      <c r="Q21" s="13">
        <f t="shared" si="1"/>
        <v>0</v>
      </c>
      <c r="R21" s="10">
        <f>+IF(Q21&gt;MAESTRO!$G$6,0,1)</f>
        <v>1</v>
      </c>
      <c r="S21">
        <f>+IF(P21&lt;MAESTRO!$G$8,0,1)</f>
        <v>1</v>
      </c>
      <c r="T21" s="10">
        <f t="shared" si="6"/>
        <v>2</v>
      </c>
      <c r="U21" t="str">
        <f>+IF(R21+S21=2,MAESTRO!$G$2,IF(R21+S21=0,MAESTRO!$G$5,IF(R21=0,MAESTRO!$G$3,IF(S21=0,MAESTRO!$G$4,))))</f>
        <v>cumple politica</v>
      </c>
    </row>
    <row r="22" spans="1:21" x14ac:dyDescent="0.3">
      <c r="A22" t="s">
        <v>12</v>
      </c>
      <c r="B22" t="s">
        <v>26</v>
      </c>
      <c r="C22" t="s">
        <v>45</v>
      </c>
      <c r="D22" t="s">
        <v>81</v>
      </c>
      <c r="E22" s="24">
        <f t="shared" si="2"/>
        <v>0</v>
      </c>
      <c r="F22" s="22">
        <f>-SUMIFS(CARGA!I:I,CARGA!B:B,tabla!A22,CARGA!D:D,tabla!C22,CARGA!C:C,MAESTRO!$B$4)-SUMIFS(CARGA!I:I,CARGA!B:B,tabla!A22,CARGA!D:D,tabla!C22,CARGA!C:C,MAESTRO!$B$5)</f>
        <v>0</v>
      </c>
      <c r="G22" s="5">
        <f>+SUMIFS(CARGA!I:I,CARGA!B:B,tabla!A22,CARGA!D:D,tabla!C22)</f>
        <v>0</v>
      </c>
      <c r="H22" s="5">
        <f>+SUMIFS(CARGA!K:K,CARGA!B:B,tabla!A22,CARGA!D:D,tabla!C22)</f>
        <v>0</v>
      </c>
      <c r="I22" s="5">
        <f t="shared" si="3"/>
        <v>0</v>
      </c>
      <c r="J22" s="5">
        <f>-SUMIFS(CARGA!K:K,CARGA!B:B,tabla!A22,CARGA!D:D,tabla!C22,CARGA!C:C,MAESTRO!$B$4)+SUMIFS(CARGA!K:K,CARGA!B:B,tabla!A22,CARGA!D:D,tabla!C22,CARGA!C:C,MAESTRO!$B$5)</f>
        <v>0</v>
      </c>
      <c r="K22" s="5" t="e">
        <f>+VLOOKUP(C22,#REF!,3,FALSE)</f>
        <v>#REF!</v>
      </c>
      <c r="L22" s="5" t="e">
        <f t="shared" si="4"/>
        <v>#REF!</v>
      </c>
      <c r="M22" s="5" t="e">
        <f t="shared" si="5"/>
        <v>#REF!</v>
      </c>
      <c r="N22" s="5" t="str">
        <f t="shared" si="0"/>
        <v>NO</v>
      </c>
      <c r="O22" s="5">
        <f>+VLOOKUP(C22,[2]Fondos!$F:$J,5,FALSE)</f>
        <v>9536957677</v>
      </c>
      <c r="P22" s="13">
        <f>+VLOOKUP(C22,[2]Fondos!$F:$K,6,FALSE)</f>
        <v>0.20501570000000002</v>
      </c>
      <c r="Q22" s="13">
        <f t="shared" si="1"/>
        <v>0</v>
      </c>
      <c r="R22" s="10">
        <f>+IF(Q22&gt;MAESTRO!$G$6,0,1)</f>
        <v>1</v>
      </c>
      <c r="S22">
        <f>+IF(P22&lt;MAESTRO!$G$8,0,1)</f>
        <v>1</v>
      </c>
      <c r="T22" s="10">
        <f t="shared" si="6"/>
        <v>2</v>
      </c>
      <c r="U22" t="str">
        <f>+IF(R22+S22=2,MAESTRO!$G$2,IF(R22+S22=0,MAESTRO!$G$5,IF(R22=0,MAESTRO!$G$3,IF(S22=0,MAESTRO!$G$4,))))</f>
        <v>cumple politica</v>
      </c>
    </row>
    <row r="23" spans="1:21" x14ac:dyDescent="0.3">
      <c r="A23" t="s">
        <v>12</v>
      </c>
      <c r="B23" t="s">
        <v>26</v>
      </c>
      <c r="C23" t="s">
        <v>41</v>
      </c>
      <c r="D23" t="s">
        <v>81</v>
      </c>
      <c r="E23" s="24">
        <f t="shared" si="2"/>
        <v>0</v>
      </c>
      <c r="F23" s="22">
        <f>-SUMIFS(CARGA!I:I,CARGA!B:B,tabla!A23,CARGA!D:D,tabla!C23,CARGA!C:C,MAESTRO!$B$4)-SUMIFS(CARGA!I:I,CARGA!B:B,tabla!A23,CARGA!D:D,tabla!C23,CARGA!C:C,MAESTRO!$B$5)</f>
        <v>0</v>
      </c>
      <c r="G23" s="5">
        <f>+SUMIFS(CARGA!I:I,CARGA!B:B,tabla!A23,CARGA!D:D,tabla!C23)</f>
        <v>0</v>
      </c>
      <c r="H23" s="5">
        <f>+SUMIFS(CARGA!K:K,CARGA!B:B,tabla!A23,CARGA!D:D,tabla!C23)</f>
        <v>0</v>
      </c>
      <c r="I23" s="5">
        <f t="shared" si="3"/>
        <v>0</v>
      </c>
      <c r="J23" s="5">
        <f>-SUMIFS(CARGA!K:K,CARGA!B:B,tabla!A23,CARGA!D:D,tabla!C23,CARGA!C:C,MAESTRO!$B$4)+SUMIFS(CARGA!K:K,CARGA!B:B,tabla!A23,CARGA!D:D,tabla!C23,CARGA!C:C,MAESTRO!$B$5)</f>
        <v>0</v>
      </c>
      <c r="K23" s="5" t="e">
        <f>+VLOOKUP(C23,#REF!,3,FALSE)</f>
        <v>#REF!</v>
      </c>
      <c r="L23" s="5" t="e">
        <f t="shared" si="4"/>
        <v>#REF!</v>
      </c>
      <c r="M23" s="5" t="e">
        <f t="shared" si="5"/>
        <v>#REF!</v>
      </c>
      <c r="N23" s="5" t="str">
        <f t="shared" si="0"/>
        <v>NO</v>
      </c>
      <c r="O23" s="5">
        <f>+VLOOKUP(C23,[2]Fondos!$F:$J,5,FALSE)</f>
        <v>9536957677</v>
      </c>
      <c r="P23" s="13">
        <f>+VLOOKUP(C23,[2]Fondos!$F:$K,6,FALSE)</f>
        <v>0.2143747</v>
      </c>
      <c r="Q23" s="13">
        <f t="shared" si="1"/>
        <v>0</v>
      </c>
      <c r="R23" s="10">
        <f>+IF(Q23&gt;MAESTRO!$G$6,0,1)</f>
        <v>1</v>
      </c>
      <c r="S23">
        <f>+IF(P23&lt;MAESTRO!$G$8,0,1)</f>
        <v>1</v>
      </c>
      <c r="T23" s="10">
        <f t="shared" si="6"/>
        <v>2</v>
      </c>
      <c r="U23" t="str">
        <f>+IF(R23+S23=2,MAESTRO!$G$2,IF(R23+S23=0,MAESTRO!$G$5,IF(R23=0,MAESTRO!$G$3,IF(S23=0,MAESTRO!$G$4,))))</f>
        <v>cumple politica</v>
      </c>
    </row>
    <row r="24" spans="1:21" x14ac:dyDescent="0.3">
      <c r="A24" t="s">
        <v>12</v>
      </c>
      <c r="B24" t="s">
        <v>36</v>
      </c>
      <c r="C24" t="s">
        <v>73</v>
      </c>
      <c r="D24" t="s">
        <v>82</v>
      </c>
      <c r="E24" s="24">
        <f t="shared" si="2"/>
        <v>0</v>
      </c>
      <c r="F24" s="22">
        <f>-SUMIFS(CARGA!I:I,CARGA!B:B,tabla!A24,CARGA!D:D,tabla!C24,CARGA!C:C,MAESTRO!$B$4)-SUMIFS(CARGA!I:I,CARGA!B:B,tabla!A24,CARGA!D:D,tabla!C24,CARGA!C:C,MAESTRO!$B$5)</f>
        <v>0</v>
      </c>
      <c r="G24" s="5">
        <f>+SUMIFS(CARGA!I:I,CARGA!B:B,tabla!A24,CARGA!D:D,tabla!C24)</f>
        <v>0</v>
      </c>
      <c r="H24" s="5">
        <f>+SUMIFS(CARGA!K:K,CARGA!B:B,tabla!A24,CARGA!D:D,tabla!C24)</f>
        <v>0</v>
      </c>
      <c r="I24" s="5">
        <f t="shared" si="3"/>
        <v>0</v>
      </c>
      <c r="J24" s="5">
        <f>-SUMIFS(CARGA!K:K,CARGA!B:B,tabla!A24,CARGA!D:D,tabla!C24,CARGA!C:C,MAESTRO!$B$4)+SUMIFS(CARGA!K:K,CARGA!B:B,tabla!A24,CARGA!D:D,tabla!C24,CARGA!C:C,MAESTRO!$B$5)</f>
        <v>0</v>
      </c>
      <c r="K24" s="5" t="e">
        <f>+VLOOKUP(C24,#REF!,3,FALSE)</f>
        <v>#REF!</v>
      </c>
      <c r="L24" s="5" t="e">
        <f t="shared" si="4"/>
        <v>#REF!</v>
      </c>
      <c r="M24" s="5" t="e">
        <f t="shared" si="5"/>
        <v>#REF!</v>
      </c>
      <c r="N24" s="5" t="str">
        <f t="shared" si="0"/>
        <v>NO</v>
      </c>
      <c r="O24" s="5">
        <f>+VLOOKUP(C24,[2]Fondos!$F:$J,5,FALSE)</f>
        <v>5558283453.2200003</v>
      </c>
      <c r="P24" s="13">
        <f>+VLOOKUP(C24,[2]Fondos!$F:$K,6,FALSE)</f>
        <v>0.26949119999999999</v>
      </c>
      <c r="Q24" s="13">
        <f t="shared" si="1"/>
        <v>0</v>
      </c>
      <c r="R24" s="10">
        <f>+IF(Q24&gt;MAESTRO!$G$6,0,1)</f>
        <v>1</v>
      </c>
      <c r="S24">
        <f>+IF(P24&lt;MAESTRO!$G$8,0,1)</f>
        <v>1</v>
      </c>
      <c r="T24" s="10">
        <f t="shared" si="6"/>
        <v>2</v>
      </c>
      <c r="U24" t="str">
        <f>+IF(R24+S24=2,MAESTRO!$G$2,IF(R24+S24=0,MAESTRO!$G$5,IF(R24=0,MAESTRO!$G$3,IF(S24=0,MAESTRO!$G$4,))))</f>
        <v>cumple politica</v>
      </c>
    </row>
    <row r="25" spans="1:21" x14ac:dyDescent="0.3">
      <c r="A25" t="s">
        <v>12</v>
      </c>
      <c r="B25" t="s">
        <v>36</v>
      </c>
      <c r="C25" t="s">
        <v>72</v>
      </c>
      <c r="D25" t="s">
        <v>81</v>
      </c>
      <c r="E25" s="24">
        <f t="shared" si="2"/>
        <v>0</v>
      </c>
      <c r="F25" s="22">
        <f>-SUMIFS(CARGA!I:I,CARGA!B:B,tabla!A25,CARGA!D:D,tabla!C25,CARGA!C:C,MAESTRO!$B$4)-SUMIFS(CARGA!I:I,CARGA!B:B,tabla!A25,CARGA!D:D,tabla!C25,CARGA!C:C,MAESTRO!$B$5)</f>
        <v>0</v>
      </c>
      <c r="G25" s="5">
        <f>+SUMIFS(CARGA!I:I,CARGA!B:B,tabla!A25,CARGA!D:D,tabla!C25)</f>
        <v>0</v>
      </c>
      <c r="H25" s="5">
        <f>+SUMIFS(CARGA!K:K,CARGA!B:B,tabla!A25,CARGA!D:D,tabla!C25)</f>
        <v>0</v>
      </c>
      <c r="I25" s="5">
        <f t="shared" si="3"/>
        <v>0</v>
      </c>
      <c r="J25" s="5">
        <f>-SUMIFS(CARGA!K:K,CARGA!B:B,tabla!A25,CARGA!D:D,tabla!C25,CARGA!C:C,MAESTRO!$B$4)+SUMIFS(CARGA!K:K,CARGA!B:B,tabla!A25,CARGA!D:D,tabla!C25,CARGA!C:C,MAESTRO!$B$5)</f>
        <v>0</v>
      </c>
      <c r="K25" s="5" t="e">
        <f>+VLOOKUP(C25,#REF!,3,FALSE)</f>
        <v>#REF!</v>
      </c>
      <c r="L25" s="5" t="e">
        <f t="shared" si="4"/>
        <v>#REF!</v>
      </c>
      <c r="M25" s="5" t="e">
        <f t="shared" si="5"/>
        <v>#REF!</v>
      </c>
      <c r="N25" s="5" t="str">
        <f t="shared" si="0"/>
        <v>NO</v>
      </c>
      <c r="O25" s="5">
        <f>+VLOOKUP(C25,[2]Fondos!$F:$J,5,FALSE)</f>
        <v>4289905534.3099999</v>
      </c>
      <c r="P25" s="13">
        <f>+VLOOKUP(C25,[2]Fondos!$F:$K,6,FALSE)</f>
        <v>0.2090719</v>
      </c>
      <c r="Q25" s="13">
        <f t="shared" si="1"/>
        <v>0</v>
      </c>
      <c r="R25" s="10">
        <f>+IF(Q25&gt;MAESTRO!$G$6,0,1)</f>
        <v>1</v>
      </c>
      <c r="S25">
        <f>+IF(P25&lt;MAESTRO!$G$8,0,1)</f>
        <v>1</v>
      </c>
      <c r="T25" s="10">
        <f t="shared" si="6"/>
        <v>2</v>
      </c>
      <c r="U25" t="str">
        <f>+IF(R25+S25=2,MAESTRO!$G$2,IF(R25+S25=0,MAESTRO!$G$5,IF(R25=0,MAESTRO!$G$3,IF(S25=0,MAESTRO!$G$4,))))</f>
        <v>cumple politica</v>
      </c>
    </row>
    <row r="26" spans="1:21" x14ac:dyDescent="0.3">
      <c r="A26" t="s">
        <v>12</v>
      </c>
      <c r="B26" t="s">
        <v>28</v>
      </c>
      <c r="C26" t="s">
        <v>46</v>
      </c>
      <c r="D26" t="s">
        <v>81</v>
      </c>
      <c r="E26" s="24">
        <f t="shared" si="2"/>
        <v>0</v>
      </c>
      <c r="F26" s="22">
        <f>-SUMIFS(CARGA!I:I,CARGA!B:B,tabla!A26,CARGA!D:D,tabla!C26,CARGA!C:C,MAESTRO!$B$4)-SUMIFS(CARGA!I:I,CARGA!B:B,tabla!A26,CARGA!D:D,tabla!C26,CARGA!C:C,MAESTRO!$B$5)</f>
        <v>0</v>
      </c>
      <c r="G26" s="5">
        <f>+SUMIFS(CARGA!I:I,CARGA!B:B,tabla!A26,CARGA!D:D,tabla!C26)</f>
        <v>0</v>
      </c>
      <c r="H26" s="5">
        <f>+SUMIFS(CARGA!K:K,CARGA!B:B,tabla!A26,CARGA!D:D,tabla!C26)</f>
        <v>0</v>
      </c>
      <c r="I26" s="5">
        <f t="shared" si="3"/>
        <v>0</v>
      </c>
      <c r="J26" s="5">
        <f>-SUMIFS(CARGA!K:K,CARGA!B:B,tabla!A26,CARGA!D:D,tabla!C26,CARGA!C:C,MAESTRO!$B$4)+SUMIFS(CARGA!K:K,CARGA!B:B,tabla!A26,CARGA!D:D,tabla!C26,CARGA!C:C,MAESTRO!$B$5)</f>
        <v>0</v>
      </c>
      <c r="K26" s="5" t="e">
        <f>+VLOOKUP(C26,#REF!,3,FALSE)</f>
        <v>#REF!</v>
      </c>
      <c r="L26" s="5" t="e">
        <f t="shared" si="4"/>
        <v>#REF!</v>
      </c>
      <c r="M26" s="5" t="e">
        <f t="shared" si="5"/>
        <v>#REF!</v>
      </c>
      <c r="N26" s="5" t="str">
        <f t="shared" si="0"/>
        <v>NO</v>
      </c>
      <c r="O26" s="5">
        <f>+VLOOKUP(C26,[2]Fondos!$F:$J,5,FALSE)</f>
        <v>2107469999.9999998</v>
      </c>
      <c r="P26" s="13">
        <f>+VLOOKUP(C26,[2]Fondos!$F:$K,6,FALSE)</f>
        <v>0.20305720000000002</v>
      </c>
      <c r="Q26" s="13">
        <f t="shared" si="1"/>
        <v>0</v>
      </c>
      <c r="R26" s="10">
        <f>+IF(Q26&gt;MAESTRO!$G$6,0,1)</f>
        <v>1</v>
      </c>
      <c r="S26">
        <f>+IF(P26&lt;MAESTRO!$G$8,0,1)</f>
        <v>1</v>
      </c>
      <c r="T26" s="10">
        <f t="shared" si="6"/>
        <v>2</v>
      </c>
      <c r="U26" t="str">
        <f>+IF(R26+S26=2,MAESTRO!$G$2,IF(R26+S26=0,MAESTRO!$G$5,IF(R26=0,MAESTRO!$G$3,IF(S26=0,MAESTRO!$G$4,))))</f>
        <v>cumple politica</v>
      </c>
    </row>
    <row r="27" spans="1:21" x14ac:dyDescent="0.3">
      <c r="A27" t="s">
        <v>12</v>
      </c>
      <c r="B27" t="s">
        <v>28</v>
      </c>
      <c r="C27" t="s">
        <v>44</v>
      </c>
      <c r="D27" t="s">
        <v>81</v>
      </c>
      <c r="E27" s="24">
        <f t="shared" si="2"/>
        <v>0</v>
      </c>
      <c r="F27" s="22">
        <f>-SUMIFS(CARGA!I:I,CARGA!B:B,tabla!A27,CARGA!D:D,tabla!C27,CARGA!C:C,MAESTRO!$B$4)-SUMIFS(CARGA!I:I,CARGA!B:B,tabla!A27,CARGA!D:D,tabla!C27,CARGA!C:C,MAESTRO!$B$5)</f>
        <v>0</v>
      </c>
      <c r="G27" s="5">
        <f>+SUMIFS(CARGA!I:I,CARGA!B:B,tabla!A27,CARGA!D:D,tabla!C27)</f>
        <v>0</v>
      </c>
      <c r="H27" s="5">
        <f>+SUMIFS(CARGA!K:K,CARGA!B:B,tabla!A27,CARGA!D:D,tabla!C27)</f>
        <v>0</v>
      </c>
      <c r="I27" s="5">
        <f t="shared" si="3"/>
        <v>0</v>
      </c>
      <c r="J27" s="5">
        <f>-SUMIFS(CARGA!K:K,CARGA!B:B,tabla!A27,CARGA!D:D,tabla!C27,CARGA!C:C,MAESTRO!$B$4)+SUMIFS(CARGA!K:K,CARGA!B:B,tabla!A27,CARGA!D:D,tabla!C27,CARGA!C:C,MAESTRO!$B$5)</f>
        <v>0</v>
      </c>
      <c r="K27" s="5" t="e">
        <f>+VLOOKUP(C27,#REF!,3,FALSE)</f>
        <v>#REF!</v>
      </c>
      <c r="L27" s="5" t="e">
        <f t="shared" si="4"/>
        <v>#REF!</v>
      </c>
      <c r="M27" s="5" t="e">
        <f t="shared" si="5"/>
        <v>#REF!</v>
      </c>
      <c r="N27" s="5" t="str">
        <f t="shared" si="0"/>
        <v>NO</v>
      </c>
      <c r="O27" s="5">
        <f>+VLOOKUP(C27,[2]Fondos!$F:$J,5,FALSE)</f>
        <v>2107469999.9999998</v>
      </c>
      <c r="P27" s="13">
        <f>+VLOOKUP(C27,[2]Fondos!$F:$K,6,FALSE)</f>
        <v>0.20835799999999999</v>
      </c>
      <c r="Q27" s="13">
        <f t="shared" si="1"/>
        <v>0</v>
      </c>
      <c r="R27" s="10">
        <f>+IF(Q27&gt;MAESTRO!$G$6,0,1)</f>
        <v>1</v>
      </c>
      <c r="S27">
        <f>+IF(P27&lt;MAESTRO!$G$8,0,1)</f>
        <v>1</v>
      </c>
      <c r="T27" s="10">
        <f t="shared" si="6"/>
        <v>2</v>
      </c>
      <c r="U27" t="str">
        <f>+IF(R27+S27=2,MAESTRO!$G$2,IF(R27+S27=0,MAESTRO!$G$5,IF(R27=0,MAESTRO!$G$3,IF(S27=0,MAESTRO!$G$4,))))</f>
        <v>cumple politica</v>
      </c>
    </row>
    <row r="28" spans="1:21" x14ac:dyDescent="0.3">
      <c r="A28" t="s">
        <v>12</v>
      </c>
      <c r="B28" t="s">
        <v>28</v>
      </c>
      <c r="C28" t="s">
        <v>64</v>
      </c>
      <c r="D28" t="s">
        <v>82</v>
      </c>
      <c r="E28" s="24">
        <f t="shared" si="2"/>
        <v>0</v>
      </c>
      <c r="F28" s="22">
        <f>-SUMIFS(CARGA!I:I,CARGA!B:B,tabla!A28,CARGA!D:D,tabla!C28,CARGA!C:C,MAESTRO!$B$4)-SUMIFS(CARGA!I:I,CARGA!B:B,tabla!A28,CARGA!D:D,tabla!C28,CARGA!C:C,MAESTRO!$B$5)</f>
        <v>0</v>
      </c>
      <c r="G28" s="5">
        <f>+SUMIFS(CARGA!I:I,CARGA!B:B,tabla!A28,CARGA!D:D,tabla!C28)</f>
        <v>0</v>
      </c>
      <c r="H28" s="5">
        <f>+SUMIFS(CARGA!K:K,CARGA!B:B,tabla!A28,CARGA!D:D,tabla!C28)</f>
        <v>0</v>
      </c>
      <c r="I28" s="5">
        <f t="shared" si="3"/>
        <v>0</v>
      </c>
      <c r="J28" s="5">
        <f>-SUMIFS(CARGA!K:K,CARGA!B:B,tabla!A28,CARGA!D:D,tabla!C28,CARGA!C:C,MAESTRO!$B$4)+SUMIFS(CARGA!K:K,CARGA!B:B,tabla!A28,CARGA!D:D,tabla!C28,CARGA!C:C,MAESTRO!$B$5)</f>
        <v>0</v>
      </c>
      <c r="K28" s="5" t="e">
        <f>+VLOOKUP(C28,#REF!,3,FALSE)</f>
        <v>#REF!</v>
      </c>
      <c r="L28" s="5" t="e">
        <f t="shared" si="4"/>
        <v>#REF!</v>
      </c>
      <c r="M28" s="5" t="e">
        <f t="shared" si="5"/>
        <v>#REF!</v>
      </c>
      <c r="N28" s="5" t="str">
        <f t="shared" si="0"/>
        <v>NO</v>
      </c>
      <c r="O28" s="5">
        <f>+VLOOKUP(C28,[2]Fondos!$F:$J,5,FALSE)</f>
        <v>8673260000</v>
      </c>
      <c r="P28" s="13">
        <f>+VLOOKUP(C28,[2]Fondos!$F:$K,6,FALSE)</f>
        <v>0.25678699999999999</v>
      </c>
      <c r="Q28" s="13">
        <f t="shared" si="1"/>
        <v>0</v>
      </c>
      <c r="R28" s="10">
        <f>+IF(Q28&gt;MAESTRO!$G$6,0,1)</f>
        <v>1</v>
      </c>
      <c r="S28">
        <f>+IF(P28&lt;MAESTRO!$G$8,0,1)</f>
        <v>1</v>
      </c>
      <c r="T28" s="10">
        <f t="shared" si="6"/>
        <v>2</v>
      </c>
      <c r="U28" t="str">
        <f>+IF(R28+S28=2,MAESTRO!$G$2,IF(R28+S28=0,MAESTRO!$G$5,IF(R28=0,MAESTRO!$G$3,IF(S28=0,MAESTRO!$G$4,))))</f>
        <v>cumple politica</v>
      </c>
    </row>
    <row r="29" spans="1:21" x14ac:dyDescent="0.3">
      <c r="A29" t="s">
        <v>12</v>
      </c>
      <c r="B29" t="s">
        <v>28</v>
      </c>
      <c r="C29" t="s">
        <v>60</v>
      </c>
      <c r="D29" t="s">
        <v>82</v>
      </c>
      <c r="E29" s="24">
        <f t="shared" si="2"/>
        <v>0</v>
      </c>
      <c r="F29" s="22">
        <f>-SUMIFS(CARGA!I:I,CARGA!B:B,tabla!A29,CARGA!D:D,tabla!C29,CARGA!C:C,MAESTRO!$B$4)-SUMIFS(CARGA!I:I,CARGA!B:B,tabla!A29,CARGA!D:D,tabla!C29,CARGA!C:C,MAESTRO!$B$5)</f>
        <v>0</v>
      </c>
      <c r="G29" s="5">
        <f>+SUMIFS(CARGA!I:I,CARGA!B:B,tabla!A29,CARGA!D:D,tabla!C29)</f>
        <v>0</v>
      </c>
      <c r="H29" s="5">
        <f>+SUMIFS(CARGA!K:K,CARGA!B:B,tabla!A29,CARGA!D:D,tabla!C29)</f>
        <v>0</v>
      </c>
      <c r="I29" s="5">
        <f t="shared" si="3"/>
        <v>0</v>
      </c>
      <c r="J29" s="5">
        <f>-SUMIFS(CARGA!K:K,CARGA!B:B,tabla!A29,CARGA!D:D,tabla!C29,CARGA!C:C,MAESTRO!$B$4)+SUMIFS(CARGA!K:K,CARGA!B:B,tabla!A29,CARGA!D:D,tabla!C29,CARGA!C:C,MAESTRO!$B$5)</f>
        <v>0</v>
      </c>
      <c r="K29" s="5" t="e">
        <f>+VLOOKUP(C29,#REF!,3,FALSE)</f>
        <v>#REF!</v>
      </c>
      <c r="L29" s="5" t="e">
        <f t="shared" si="4"/>
        <v>#REF!</v>
      </c>
      <c r="M29" s="5" t="e">
        <f t="shared" si="5"/>
        <v>#REF!</v>
      </c>
      <c r="N29" s="5" t="str">
        <f t="shared" si="0"/>
        <v>NO</v>
      </c>
      <c r="O29" s="5">
        <f>+VLOOKUP(C29,[2]Fondos!$F:$J,5,FALSE)</f>
        <v>8673260000</v>
      </c>
      <c r="P29" s="13">
        <f>+VLOOKUP(C29,[2]Fondos!$F:$K,6,FALSE)</f>
        <v>0.26727390000000001</v>
      </c>
      <c r="Q29" s="13">
        <f t="shared" si="1"/>
        <v>0</v>
      </c>
      <c r="R29" s="10">
        <f>+IF(Q29&gt;MAESTRO!$G$6,0,1)</f>
        <v>1</v>
      </c>
      <c r="S29">
        <f>+IF(P29&lt;MAESTRO!$G$8,0,1)</f>
        <v>1</v>
      </c>
      <c r="T29" s="10">
        <f t="shared" si="6"/>
        <v>2</v>
      </c>
      <c r="U29" t="str">
        <f>+IF(R29+S29=2,MAESTRO!$G$2,IF(R29+S29=0,MAESTRO!$G$5,IF(R29=0,MAESTRO!$G$3,IF(S29=0,MAESTRO!$G$4,))))</f>
        <v>cumple politica</v>
      </c>
    </row>
    <row r="30" spans="1:21" x14ac:dyDescent="0.3">
      <c r="A30" t="s">
        <v>12</v>
      </c>
      <c r="B30" t="s">
        <v>22</v>
      </c>
      <c r="C30" t="s">
        <v>37</v>
      </c>
      <c r="D30" t="s">
        <v>81</v>
      </c>
      <c r="E30" s="24">
        <f t="shared" si="2"/>
        <v>0</v>
      </c>
      <c r="F30" s="22">
        <f>-SUMIFS(CARGA!I:I,CARGA!B:B,tabla!A30,CARGA!D:D,tabla!C30,CARGA!C:C,MAESTRO!$B$4)-SUMIFS(CARGA!I:I,CARGA!B:B,tabla!A30,CARGA!D:D,tabla!C30,CARGA!C:C,MAESTRO!$B$5)</f>
        <v>0</v>
      </c>
      <c r="G30" s="5">
        <f>+SUMIFS(CARGA!I:I,CARGA!B:B,tabla!A30,CARGA!D:D,tabla!C30)</f>
        <v>0</v>
      </c>
      <c r="H30" s="5">
        <f>+SUMIFS(CARGA!K:K,CARGA!B:B,tabla!A30,CARGA!D:D,tabla!C30)</f>
        <v>0</v>
      </c>
      <c r="I30" s="5">
        <f t="shared" si="3"/>
        <v>0</v>
      </c>
      <c r="J30" s="5">
        <f>-SUMIFS(CARGA!K:K,CARGA!B:B,tabla!A30,CARGA!D:D,tabla!C30,CARGA!C:C,MAESTRO!$B$4)+SUMIFS(CARGA!K:K,CARGA!B:B,tabla!A30,CARGA!D:D,tabla!C30,CARGA!C:C,MAESTRO!$B$5)</f>
        <v>0</v>
      </c>
      <c r="K30" s="5" t="e">
        <f>+VLOOKUP(C30,#REF!,3,FALSE)</f>
        <v>#REF!</v>
      </c>
      <c r="L30" s="5" t="e">
        <f t="shared" si="4"/>
        <v>#REF!</v>
      </c>
      <c r="M30" s="5" t="e">
        <f t="shared" si="5"/>
        <v>#REF!</v>
      </c>
      <c r="N30" s="5" t="str">
        <f t="shared" si="0"/>
        <v>NO</v>
      </c>
      <c r="O30" s="5">
        <f>+VLOOKUP(C30,[2]Fondos!$F:$J,5,FALSE)</f>
        <v>652691913</v>
      </c>
      <c r="P30" s="13">
        <f>+VLOOKUP(C30,[2]Fondos!$F:$K,6,FALSE)</f>
        <v>0.25056249999999997</v>
      </c>
      <c r="Q30" s="13">
        <f t="shared" si="1"/>
        <v>0</v>
      </c>
      <c r="R30" s="10">
        <f>+IF(Q30&gt;MAESTRO!$G$6,0,1)</f>
        <v>1</v>
      </c>
      <c r="S30">
        <f>+IF(P30&lt;MAESTRO!$G$8,0,1)</f>
        <v>1</v>
      </c>
      <c r="T30" s="10">
        <f t="shared" si="6"/>
        <v>2</v>
      </c>
      <c r="U30" t="str">
        <f>+IF(R30+S30=2,MAESTRO!$G$2,IF(R30+S30=0,MAESTRO!$G$5,IF(R30=0,MAESTRO!$G$3,IF(S30=0,MAESTRO!$G$4,))))</f>
        <v>cumple politica</v>
      </c>
    </row>
    <row r="31" spans="1:21" x14ac:dyDescent="0.3">
      <c r="A31" t="s">
        <v>12</v>
      </c>
      <c r="B31" t="s">
        <v>22</v>
      </c>
      <c r="C31" t="s">
        <v>54</v>
      </c>
      <c r="D31" t="s">
        <v>82</v>
      </c>
      <c r="E31" s="24">
        <f t="shared" si="2"/>
        <v>0</v>
      </c>
      <c r="F31" s="22">
        <f>-SUMIFS(CARGA!I:I,CARGA!B:B,tabla!A31,CARGA!D:D,tabla!C31,CARGA!C:C,MAESTRO!$B$4)-SUMIFS(CARGA!I:I,CARGA!B:B,tabla!A31,CARGA!D:D,tabla!C31,CARGA!C:C,MAESTRO!$B$5)</f>
        <v>0</v>
      </c>
      <c r="G31" s="5">
        <f>+SUMIFS(CARGA!I:I,CARGA!B:B,tabla!A31,CARGA!D:D,tabla!C31)</f>
        <v>0</v>
      </c>
      <c r="H31" s="5">
        <f>+SUMIFS(CARGA!K:K,CARGA!B:B,tabla!A31,CARGA!D:D,tabla!C31)</f>
        <v>0</v>
      </c>
      <c r="I31" s="5">
        <f t="shared" si="3"/>
        <v>0</v>
      </c>
      <c r="J31" s="5">
        <f>-SUMIFS(CARGA!K:K,CARGA!B:B,tabla!A31,CARGA!D:D,tabla!C31,CARGA!C:C,MAESTRO!$B$4)+SUMIFS(CARGA!K:K,CARGA!B:B,tabla!A31,CARGA!D:D,tabla!C31,CARGA!C:C,MAESTRO!$B$5)</f>
        <v>0</v>
      </c>
      <c r="K31" s="5" t="e">
        <f>+VLOOKUP(C31,#REF!,3,FALSE)</f>
        <v>#REF!</v>
      </c>
      <c r="L31" s="5" t="e">
        <f t="shared" si="4"/>
        <v>#REF!</v>
      </c>
      <c r="M31" s="5" t="e">
        <f t="shared" si="5"/>
        <v>#REF!</v>
      </c>
      <c r="N31" s="5" t="str">
        <f t="shared" si="0"/>
        <v>NO</v>
      </c>
      <c r="O31" s="5">
        <f>+VLOOKUP(C31,[2]Fondos!$F:$J,5,FALSE)</f>
        <v>2006490136</v>
      </c>
      <c r="P31" s="13">
        <f>+VLOOKUP(C31,[2]Fondos!$F:$K,6,FALSE)</f>
        <v>0.27425260000000001</v>
      </c>
      <c r="Q31" s="13">
        <f t="shared" si="1"/>
        <v>0</v>
      </c>
      <c r="R31" s="10">
        <f>+IF(Q31&gt;MAESTRO!$G$6,0,1)</f>
        <v>1</v>
      </c>
      <c r="S31">
        <f>+IF(P31&lt;MAESTRO!$G$8,0,1)</f>
        <v>1</v>
      </c>
      <c r="T31" s="10">
        <f t="shared" si="6"/>
        <v>2</v>
      </c>
      <c r="U31" t="str">
        <f>+IF(R31+S31=2,MAESTRO!$G$2,IF(R31+S31=0,MAESTRO!$G$5,IF(R31=0,MAESTRO!$G$3,IF(S31=0,MAESTRO!$G$4,))))</f>
        <v>cumple politica</v>
      </c>
    </row>
    <row r="32" spans="1:21" x14ac:dyDescent="0.3">
      <c r="A32" t="s">
        <v>12</v>
      </c>
      <c r="B32" t="s">
        <v>34</v>
      </c>
      <c r="C32" t="s">
        <v>77</v>
      </c>
      <c r="D32" t="s">
        <v>82</v>
      </c>
      <c r="E32" s="24">
        <f t="shared" si="2"/>
        <v>0</v>
      </c>
      <c r="F32" s="22">
        <f>-SUMIFS(CARGA!I:I,CARGA!B:B,tabla!A32,CARGA!D:D,tabla!C32,CARGA!C:C,MAESTRO!$B$4)-SUMIFS(CARGA!I:I,CARGA!B:B,tabla!A32,CARGA!D:D,tabla!C32,CARGA!C:C,MAESTRO!$B$5)</f>
        <v>0</v>
      </c>
      <c r="G32" s="5">
        <f>+SUMIFS(CARGA!I:I,CARGA!B:B,tabla!A32,CARGA!D:D,tabla!C32)</f>
        <v>0</v>
      </c>
      <c r="H32" s="5">
        <f>+SUMIFS(CARGA!K:K,CARGA!B:B,tabla!A32,CARGA!D:D,tabla!C32)</f>
        <v>0</v>
      </c>
      <c r="I32" s="5">
        <f t="shared" si="3"/>
        <v>0</v>
      </c>
      <c r="J32" s="5">
        <f>-SUMIFS(CARGA!K:K,CARGA!B:B,tabla!A32,CARGA!D:D,tabla!C32,CARGA!C:C,MAESTRO!$B$4)+SUMIFS(CARGA!K:K,CARGA!B:B,tabla!A32,CARGA!D:D,tabla!C32,CARGA!C:C,MAESTRO!$B$5)</f>
        <v>0</v>
      </c>
      <c r="K32" s="5" t="e">
        <f>+VLOOKUP(C32,#REF!,3,FALSE)</f>
        <v>#REF!</v>
      </c>
      <c r="L32" s="5" t="e">
        <f t="shared" si="4"/>
        <v>#REF!</v>
      </c>
      <c r="M32" s="5" t="e">
        <f t="shared" si="5"/>
        <v>#REF!</v>
      </c>
      <c r="N32" s="5" t="str">
        <f t="shared" si="0"/>
        <v>NO</v>
      </c>
      <c r="O32" s="5">
        <f>+VLOOKUP(C32,[2]Fondos!$F:$J,5,FALSE)</f>
        <v>10383624192</v>
      </c>
      <c r="P32" s="13">
        <f>+VLOOKUP(C32,[2]Fondos!$F:$K,6,FALSE)</f>
        <v>0.27741320000000003</v>
      </c>
      <c r="Q32" s="13">
        <f t="shared" si="1"/>
        <v>0</v>
      </c>
      <c r="R32" s="10">
        <f>+IF(Q32&gt;MAESTRO!$G$6,0,1)</f>
        <v>1</v>
      </c>
      <c r="S32">
        <f>+IF(P32&lt;MAESTRO!$G$8,0,1)</f>
        <v>1</v>
      </c>
      <c r="T32" s="10">
        <f t="shared" si="6"/>
        <v>2</v>
      </c>
      <c r="U32" t="str">
        <f>+IF(R32+S32=2,MAESTRO!$G$2,IF(R32+S32=0,MAESTRO!$G$5,IF(R32=0,MAESTRO!$G$3,IF(S32=0,MAESTRO!$G$4,))))</f>
        <v>cumple politica</v>
      </c>
    </row>
    <row r="33" spans="1:21" x14ac:dyDescent="0.3">
      <c r="A33" t="s">
        <v>12</v>
      </c>
      <c r="B33" t="s">
        <v>34</v>
      </c>
      <c r="C33" t="s">
        <v>53</v>
      </c>
      <c r="D33" t="s">
        <v>81</v>
      </c>
      <c r="E33" s="24">
        <f t="shared" si="2"/>
        <v>0</v>
      </c>
      <c r="F33" s="22">
        <f>-SUMIFS(CARGA!I:I,CARGA!B:B,tabla!A33,CARGA!D:D,tabla!C33,CARGA!C:C,MAESTRO!$B$4)-SUMIFS(CARGA!I:I,CARGA!B:B,tabla!A33,CARGA!D:D,tabla!C33,CARGA!C:C,MAESTRO!$B$5)</f>
        <v>0</v>
      </c>
      <c r="G33" s="5">
        <f>+SUMIFS(CARGA!I:I,CARGA!B:B,tabla!A33,CARGA!D:D,tabla!C33)</f>
        <v>0</v>
      </c>
      <c r="H33" s="5">
        <f>+SUMIFS(CARGA!K:K,CARGA!B:B,tabla!A33,CARGA!D:D,tabla!C33)</f>
        <v>0</v>
      </c>
      <c r="I33" s="5">
        <f t="shared" si="3"/>
        <v>0</v>
      </c>
      <c r="J33" s="5">
        <f>-SUMIFS(CARGA!K:K,CARGA!B:B,tabla!A33,CARGA!D:D,tabla!C33,CARGA!C:C,MAESTRO!$B$4)+SUMIFS(CARGA!K:K,CARGA!B:B,tabla!A33,CARGA!D:D,tabla!C33,CARGA!C:C,MAESTRO!$B$5)</f>
        <v>0</v>
      </c>
      <c r="K33" s="5" t="e">
        <f>+VLOOKUP(C33,#REF!,3,FALSE)</f>
        <v>#REF!</v>
      </c>
      <c r="L33" s="5" t="e">
        <f t="shared" si="4"/>
        <v>#REF!</v>
      </c>
      <c r="M33" s="5" t="e">
        <f t="shared" si="5"/>
        <v>#REF!</v>
      </c>
      <c r="N33" s="5" t="str">
        <f t="shared" si="0"/>
        <v>NO</v>
      </c>
      <c r="O33" s="5">
        <f>+VLOOKUP(C33,[2]Fondos!$F:$J,5,FALSE)</f>
        <v>4530803420</v>
      </c>
      <c r="P33" s="13">
        <f>+VLOOKUP(C33,[2]Fondos!$F:$K,6,FALSE)</f>
        <v>0.2425168</v>
      </c>
      <c r="Q33" s="13">
        <f t="shared" si="1"/>
        <v>0</v>
      </c>
      <c r="R33" s="10">
        <f>+IF(Q33&gt;MAESTRO!$G$6,0,1)</f>
        <v>1</v>
      </c>
      <c r="S33">
        <f>+IF(P33&lt;MAESTRO!$G$8,0,1)</f>
        <v>1</v>
      </c>
      <c r="T33" s="10">
        <f t="shared" si="6"/>
        <v>2</v>
      </c>
      <c r="U33" t="str">
        <f>+IF(R33+S33=2,MAESTRO!$G$2,IF(R33+S33=0,MAESTRO!$G$5,IF(R33=0,MAESTRO!$G$3,IF(S33=0,MAESTRO!$G$4,))))</f>
        <v>cumple politica</v>
      </c>
    </row>
    <row r="34" spans="1:21" x14ac:dyDescent="0.3">
      <c r="A34" t="s">
        <v>12</v>
      </c>
      <c r="B34" t="s">
        <v>129</v>
      </c>
      <c r="C34" t="s">
        <v>128</v>
      </c>
      <c r="D34" t="s">
        <v>81</v>
      </c>
      <c r="E34" s="24">
        <f t="shared" si="2"/>
        <v>0</v>
      </c>
      <c r="F34" s="22">
        <f>-SUMIFS(CARGA!I:I,CARGA!B:B,tabla!A34,CARGA!D:D,tabla!C34,CARGA!C:C,MAESTRO!$B$4)-SUMIFS(CARGA!I:I,CARGA!B:B,tabla!A34,CARGA!D:D,tabla!C34,CARGA!C:C,MAESTRO!$B$5)</f>
        <v>0</v>
      </c>
      <c r="G34" s="5">
        <f>+SUMIFS(CARGA!I:I,CARGA!B:B,tabla!A34,CARGA!D:D,tabla!C34)</f>
        <v>0</v>
      </c>
      <c r="H34" s="5">
        <f>+SUMIFS(CARGA!K:K,CARGA!B:B,tabla!A34,CARGA!D:D,tabla!C34)</f>
        <v>0</v>
      </c>
      <c r="I34" s="5">
        <f t="shared" si="3"/>
        <v>0</v>
      </c>
      <c r="J34" s="5">
        <f>-SUMIFS(CARGA!K:K,CARGA!B:B,tabla!A34,CARGA!D:D,tabla!C34,CARGA!C:C,MAESTRO!$B$4)+SUMIFS(CARGA!K:K,CARGA!B:B,tabla!A34,CARGA!D:D,tabla!C34,CARGA!C:C,MAESTRO!$B$5)</f>
        <v>0</v>
      </c>
      <c r="K34" s="5" t="e">
        <f>+VLOOKUP(C34,#REF!,3,FALSE)</f>
        <v>#REF!</v>
      </c>
      <c r="L34" s="5" t="e">
        <f t="shared" si="4"/>
        <v>#REF!</v>
      </c>
      <c r="M34" s="5" t="e">
        <f t="shared" si="5"/>
        <v>#REF!</v>
      </c>
      <c r="N34" s="5" t="str">
        <f t="shared" si="0"/>
        <v>NO</v>
      </c>
      <c r="O34" s="5" t="e">
        <f>+VLOOKUP(C34,[2]Fondos!$F:$J,5,FALSE)</f>
        <v>#N/A</v>
      </c>
      <c r="P34" s="13" t="e">
        <f>+VLOOKUP(C34,[2]Fondos!$F:$K,6,FALSE)</f>
        <v>#N/A</v>
      </c>
      <c r="Q34" s="13" t="e">
        <f t="shared" si="1"/>
        <v>#N/A</v>
      </c>
      <c r="R34" s="10" t="e">
        <f>+IF(Q34&gt;MAESTRO!$G$6,0,1)</f>
        <v>#N/A</v>
      </c>
      <c r="S34" t="e">
        <f>+IF(P34&lt;MAESTRO!$G$8,0,1)</f>
        <v>#N/A</v>
      </c>
      <c r="T34" s="10" t="e">
        <f t="shared" si="6"/>
        <v>#N/A</v>
      </c>
      <c r="U34" t="e">
        <f>+IF(R34+S34=2,MAESTRO!$G$2,IF(R34+S34=0,MAESTRO!$G$5,IF(R34=0,MAESTRO!$G$3,IF(S34=0,MAESTRO!$G$4,))))</f>
        <v>#N/A</v>
      </c>
    </row>
    <row r="35" spans="1:21" x14ac:dyDescent="0.3">
      <c r="A35" t="s">
        <v>12</v>
      </c>
      <c r="B35" t="s">
        <v>30</v>
      </c>
      <c r="C35" t="s">
        <v>49</v>
      </c>
      <c r="D35" t="s">
        <v>81</v>
      </c>
      <c r="E35" s="24">
        <f t="shared" si="2"/>
        <v>0</v>
      </c>
      <c r="F35" s="22">
        <f>-SUMIFS(CARGA!I:I,CARGA!B:B,tabla!A35,CARGA!D:D,tabla!C35,CARGA!C:C,MAESTRO!$B$4)-SUMIFS(CARGA!I:I,CARGA!B:B,tabla!A35,CARGA!D:D,tabla!C35,CARGA!C:C,MAESTRO!$B$5)</f>
        <v>0</v>
      </c>
      <c r="G35" s="5">
        <f>+SUMIFS(CARGA!I:I,CARGA!B:B,tabla!A35,CARGA!D:D,tabla!C35)</f>
        <v>0</v>
      </c>
      <c r="H35" s="5">
        <f>+SUMIFS(CARGA!K:K,CARGA!B:B,tabla!A35,CARGA!D:D,tabla!C35)</f>
        <v>0</v>
      </c>
      <c r="I35" s="5">
        <f t="shared" si="3"/>
        <v>0</v>
      </c>
      <c r="J35" s="5">
        <f>-SUMIFS(CARGA!K:K,CARGA!B:B,tabla!A35,CARGA!D:D,tabla!C35,CARGA!C:C,MAESTRO!$B$4)+SUMIFS(CARGA!K:K,CARGA!B:B,tabla!A35,CARGA!D:D,tabla!C35,CARGA!C:C,MAESTRO!$B$5)</f>
        <v>0</v>
      </c>
      <c r="K35" s="5" t="e">
        <f>+VLOOKUP(C35,#REF!,3,FALSE)</f>
        <v>#REF!</v>
      </c>
      <c r="L35" s="5" t="e">
        <f t="shared" si="4"/>
        <v>#REF!</v>
      </c>
      <c r="M35" s="5" t="e">
        <f t="shared" si="5"/>
        <v>#REF!</v>
      </c>
      <c r="N35" s="5" t="str">
        <f t="shared" si="0"/>
        <v>NO</v>
      </c>
      <c r="O35" s="5">
        <f>+VLOOKUP(C35,[2]Fondos!$F:$J,5,FALSE)</f>
        <v>9591427.7400000002</v>
      </c>
      <c r="P35" s="13">
        <f>+VLOOKUP(C35,[2]Fondos!$F:$K,6,FALSE)</f>
        <v>0.1408799</v>
      </c>
      <c r="Q35" s="13">
        <f t="shared" si="1"/>
        <v>0</v>
      </c>
      <c r="R35" s="10">
        <f>+IF(Q35&gt;MAESTRO!$G$6,0,1)</f>
        <v>1</v>
      </c>
      <c r="S35">
        <f>+IF(P35&lt;MAESTRO!$G$8,0,1)</f>
        <v>1</v>
      </c>
      <c r="T35" s="10">
        <f t="shared" si="6"/>
        <v>2</v>
      </c>
      <c r="U35" t="str">
        <f>+IF(R35+S35=2,MAESTRO!$G$2,IF(R35+S35=0,MAESTRO!$G$5,IF(R35=0,MAESTRO!$G$3,IF(S35=0,MAESTRO!$G$4,))))</f>
        <v>cumple politica</v>
      </c>
    </row>
    <row r="36" spans="1:21" x14ac:dyDescent="0.3">
      <c r="A36" t="s">
        <v>12</v>
      </c>
      <c r="B36" t="s">
        <v>30</v>
      </c>
      <c r="C36" t="s">
        <v>68</v>
      </c>
      <c r="D36" t="s">
        <v>82</v>
      </c>
      <c r="E36" s="24">
        <f t="shared" si="2"/>
        <v>0</v>
      </c>
      <c r="F36" s="22">
        <f>-SUMIFS(CARGA!I:I,CARGA!B:B,tabla!A36,CARGA!D:D,tabla!C36,CARGA!C:C,MAESTRO!$B$4)-SUMIFS(CARGA!I:I,CARGA!B:B,tabla!A36,CARGA!D:D,tabla!C36,CARGA!C:C,MAESTRO!$B$5)</f>
        <v>0</v>
      </c>
      <c r="G36" s="5">
        <f>+SUMIFS(CARGA!I:I,CARGA!B:B,tabla!A36,CARGA!D:D,tabla!C36)</f>
        <v>0</v>
      </c>
      <c r="H36" s="5">
        <f>+SUMIFS(CARGA!K:K,CARGA!B:B,tabla!A36,CARGA!D:D,tabla!C36)</f>
        <v>0</v>
      </c>
      <c r="I36" s="5">
        <f t="shared" si="3"/>
        <v>0</v>
      </c>
      <c r="J36" s="5">
        <f>-SUMIFS(CARGA!K:K,CARGA!B:B,tabla!A36,CARGA!D:D,tabla!C36,CARGA!C:C,MAESTRO!$B$4)+SUMIFS(CARGA!K:K,CARGA!B:B,tabla!A36,CARGA!D:D,tabla!C36,CARGA!C:C,MAESTRO!$B$5)</f>
        <v>0</v>
      </c>
      <c r="K36" s="5" t="e">
        <f>+VLOOKUP(C36,#REF!,3,FALSE)</f>
        <v>#REF!</v>
      </c>
      <c r="L36" s="5" t="e">
        <f t="shared" si="4"/>
        <v>#REF!</v>
      </c>
      <c r="M36" s="5" t="e">
        <f t="shared" si="5"/>
        <v>#REF!</v>
      </c>
      <c r="N36" s="5" t="str">
        <f t="shared" si="0"/>
        <v>NO</v>
      </c>
      <c r="O36" s="5">
        <f>+VLOOKUP(C36,[2]Fondos!$F:$J,5,FALSE)</f>
        <v>5034893543.9799995</v>
      </c>
      <c r="P36" s="13">
        <f>+VLOOKUP(C36,[2]Fondos!$F:$K,6,FALSE)</f>
        <v>0.27295020000000003</v>
      </c>
      <c r="Q36" s="13">
        <f t="shared" si="1"/>
        <v>0</v>
      </c>
      <c r="R36" s="10">
        <f>+IF(Q36&gt;MAESTRO!$G$6,0,1)</f>
        <v>1</v>
      </c>
      <c r="S36">
        <f>+IF(P36&lt;MAESTRO!$G$8,0,1)</f>
        <v>1</v>
      </c>
      <c r="T36" s="10">
        <f t="shared" si="6"/>
        <v>2</v>
      </c>
      <c r="U36" t="str">
        <f>+IF(R36+S36=2,MAESTRO!$G$2,IF(R36+S36=0,MAESTRO!$G$5,IF(R36=0,MAESTRO!$G$3,IF(S36=0,MAESTRO!$G$4,))))</f>
        <v>cumple politica</v>
      </c>
    </row>
    <row r="37" spans="1:21" x14ac:dyDescent="0.3">
      <c r="A37" t="s">
        <v>12</v>
      </c>
      <c r="B37" t="s">
        <v>30</v>
      </c>
      <c r="C37" t="s">
        <v>67</v>
      </c>
      <c r="D37" t="s">
        <v>82</v>
      </c>
      <c r="E37" s="24">
        <f t="shared" si="2"/>
        <v>0</v>
      </c>
      <c r="F37" s="22">
        <f>-SUMIFS(CARGA!I:I,CARGA!B:B,tabla!A37,CARGA!D:D,tabla!C37,CARGA!C:C,MAESTRO!$B$4)-SUMIFS(CARGA!I:I,CARGA!B:B,tabla!A37,CARGA!D:D,tabla!C37,CARGA!C:C,MAESTRO!$B$5)</f>
        <v>0</v>
      </c>
      <c r="G37" s="5">
        <f>+SUMIFS(CARGA!I:I,CARGA!B:B,tabla!A37,CARGA!D:D,tabla!C37)</f>
        <v>0</v>
      </c>
      <c r="H37" s="5">
        <f>+SUMIFS(CARGA!K:K,CARGA!B:B,tabla!A37,CARGA!D:D,tabla!C37)</f>
        <v>0</v>
      </c>
      <c r="I37" s="5">
        <f t="shared" si="3"/>
        <v>0</v>
      </c>
      <c r="J37" s="5">
        <f>-SUMIFS(CARGA!K:K,CARGA!B:B,tabla!A37,CARGA!D:D,tabla!C37,CARGA!C:C,MAESTRO!$B$4)+SUMIFS(CARGA!K:K,CARGA!B:B,tabla!A37,CARGA!D:D,tabla!C37,CARGA!C:C,MAESTRO!$B$5)</f>
        <v>0</v>
      </c>
      <c r="K37" s="5" t="e">
        <f>+VLOOKUP(C37,#REF!,3,FALSE)</f>
        <v>#REF!</v>
      </c>
      <c r="L37" s="5" t="e">
        <f t="shared" si="4"/>
        <v>#REF!</v>
      </c>
      <c r="M37" s="5" t="e">
        <f t="shared" si="5"/>
        <v>#REF!</v>
      </c>
      <c r="N37" s="5" t="str">
        <f t="shared" si="0"/>
        <v>NO</v>
      </c>
      <c r="O37" s="5">
        <f>+VLOOKUP(C37,[2]Fondos!$F:$J,5,FALSE)</f>
        <v>11465050695.200001</v>
      </c>
      <c r="P37" s="13">
        <f>+VLOOKUP(C37,[2]Fondos!$F:$K,6,FALSE)</f>
        <v>0.2357329</v>
      </c>
      <c r="Q37" s="13">
        <f t="shared" si="1"/>
        <v>0</v>
      </c>
      <c r="R37" s="10">
        <f>+IF(Q37&gt;MAESTRO!$G$6,0,1)</f>
        <v>1</v>
      </c>
      <c r="S37">
        <f>+IF(P37&lt;MAESTRO!$G$8,0,1)</f>
        <v>1</v>
      </c>
      <c r="T37" s="10">
        <f t="shared" si="6"/>
        <v>2</v>
      </c>
      <c r="U37" t="str">
        <f>+IF(R37+S37=2,MAESTRO!$G$2,IF(R37+S37=0,MAESTRO!$G$5,IF(R37=0,MAESTRO!$G$3,IF(S37=0,MAESTRO!$G$4,))))</f>
        <v>cumple politica</v>
      </c>
    </row>
    <row r="38" spans="1:21" x14ac:dyDescent="0.3">
      <c r="A38" t="s">
        <v>12</v>
      </c>
      <c r="B38" t="s">
        <v>29</v>
      </c>
      <c r="C38" t="s">
        <v>48</v>
      </c>
      <c r="D38" t="s">
        <v>81</v>
      </c>
      <c r="E38" s="24">
        <f t="shared" si="2"/>
        <v>0</v>
      </c>
      <c r="F38" s="22">
        <f>-SUMIFS(CARGA!I:I,CARGA!B:B,tabla!A38,CARGA!D:D,tabla!C38,CARGA!C:C,MAESTRO!$B$4)-SUMIFS(CARGA!I:I,CARGA!B:B,tabla!A38,CARGA!D:D,tabla!C38,CARGA!C:C,MAESTRO!$B$5)</f>
        <v>0</v>
      </c>
      <c r="G38" s="5">
        <f>+SUMIFS(CARGA!I:I,CARGA!B:B,tabla!A38,CARGA!D:D,tabla!C38)</f>
        <v>0</v>
      </c>
      <c r="H38" s="5">
        <f>+SUMIFS(CARGA!K:K,CARGA!B:B,tabla!A38,CARGA!D:D,tabla!C38)</f>
        <v>0</v>
      </c>
      <c r="I38" s="5">
        <f t="shared" si="3"/>
        <v>0</v>
      </c>
      <c r="J38" s="5">
        <f>-SUMIFS(CARGA!K:K,CARGA!B:B,tabla!A38,CARGA!D:D,tabla!C38,CARGA!C:C,MAESTRO!$B$4)+SUMIFS(CARGA!K:K,CARGA!B:B,tabla!A38,CARGA!D:D,tabla!C38,CARGA!C:C,MAESTRO!$B$5)</f>
        <v>0</v>
      </c>
      <c r="K38" s="5" t="e">
        <f>+VLOOKUP(C38,#REF!,3,FALSE)</f>
        <v>#REF!</v>
      </c>
      <c r="L38" s="5" t="e">
        <f t="shared" si="4"/>
        <v>#REF!</v>
      </c>
      <c r="M38" s="5" t="e">
        <f t="shared" si="5"/>
        <v>#REF!</v>
      </c>
      <c r="N38" s="5" t="str">
        <f t="shared" si="0"/>
        <v>NO</v>
      </c>
      <c r="O38" s="5">
        <f>+VLOOKUP(C38,[2]Fondos!$F:$J,5,FALSE)</f>
        <v>1752057008.8599999</v>
      </c>
      <c r="P38" s="13">
        <f>+VLOOKUP(C38,[2]Fondos!$F:$K,6,FALSE)</f>
        <v>0.21970210000000001</v>
      </c>
      <c r="Q38" s="13">
        <f t="shared" si="1"/>
        <v>0</v>
      </c>
      <c r="R38" s="10">
        <f>+IF(Q38&gt;MAESTRO!$G$6,0,1)</f>
        <v>1</v>
      </c>
      <c r="S38">
        <f>+IF(P38&lt;MAESTRO!$G$8,0,1)</f>
        <v>1</v>
      </c>
      <c r="T38" s="10">
        <f t="shared" si="6"/>
        <v>2</v>
      </c>
      <c r="U38" t="str">
        <f>+IF(R38+S38=2,MAESTRO!$G$2,IF(R38+S38=0,MAESTRO!$G$5,IF(R38=0,MAESTRO!$G$3,IF(S38=0,MAESTRO!$G$4,))))</f>
        <v>cumple politica</v>
      </c>
    </row>
    <row r="39" spans="1:21" x14ac:dyDescent="0.3">
      <c r="A39" t="s">
        <v>12</v>
      </c>
      <c r="B39" t="s">
        <v>29</v>
      </c>
      <c r="C39" t="s">
        <v>66</v>
      </c>
      <c r="D39" t="s">
        <v>82</v>
      </c>
      <c r="E39" s="24">
        <f t="shared" si="2"/>
        <v>0</v>
      </c>
      <c r="F39" s="22">
        <f>-SUMIFS(CARGA!I:I,CARGA!B:B,tabla!A39,CARGA!D:D,tabla!C39,CARGA!C:C,MAESTRO!$B$4)-SUMIFS(CARGA!I:I,CARGA!B:B,tabla!A39,CARGA!D:D,tabla!C39,CARGA!C:C,MAESTRO!$B$5)</f>
        <v>0</v>
      </c>
      <c r="G39" s="5">
        <f>+SUMIFS(CARGA!I:I,CARGA!B:B,tabla!A39,CARGA!D:D,tabla!C39)</f>
        <v>0</v>
      </c>
      <c r="H39" s="5">
        <f>+SUMIFS(CARGA!K:K,CARGA!B:B,tabla!A39,CARGA!D:D,tabla!C39)</f>
        <v>0</v>
      </c>
      <c r="I39" s="5">
        <f t="shared" si="3"/>
        <v>0</v>
      </c>
      <c r="J39" s="5">
        <f>-SUMIFS(CARGA!K:K,CARGA!B:B,tabla!A39,CARGA!D:D,tabla!C39,CARGA!C:C,MAESTRO!$B$4)+SUMIFS(CARGA!K:K,CARGA!B:B,tabla!A39,CARGA!D:D,tabla!C39,CARGA!C:C,MAESTRO!$B$5)</f>
        <v>0</v>
      </c>
      <c r="K39" s="5" t="e">
        <f>+VLOOKUP(C39,#REF!,3,FALSE)</f>
        <v>#REF!</v>
      </c>
      <c r="L39" s="5" t="e">
        <f t="shared" si="4"/>
        <v>#REF!</v>
      </c>
      <c r="M39" s="5" t="e">
        <f t="shared" si="5"/>
        <v>#REF!</v>
      </c>
      <c r="N39" s="5" t="str">
        <f t="shared" si="0"/>
        <v>NO</v>
      </c>
      <c r="O39" s="5">
        <f>+VLOOKUP(C39,[2]Fondos!$F:$J,5,FALSE)</f>
        <v>15968105687.34</v>
      </c>
      <c r="P39" s="13">
        <f>+VLOOKUP(C39,[2]Fondos!$F:$K,6,FALSE)</f>
        <v>0.27123580000000003</v>
      </c>
      <c r="Q39" s="13">
        <f t="shared" si="1"/>
        <v>0</v>
      </c>
      <c r="R39" s="10">
        <f>+IF(Q39&gt;MAESTRO!$G$6,0,1)</f>
        <v>1</v>
      </c>
      <c r="S39">
        <f>+IF(P39&lt;MAESTRO!$G$8,0,1)</f>
        <v>1</v>
      </c>
      <c r="T39" s="10">
        <f t="shared" si="6"/>
        <v>2</v>
      </c>
      <c r="U39" t="str">
        <f>+IF(R39+S39=2,MAESTRO!$G$2,IF(R39+S39=0,MAESTRO!$G$5,IF(R39=0,MAESTRO!$G$3,IF(S39=0,MAESTRO!$G$4,))))</f>
        <v>cumple politica</v>
      </c>
    </row>
    <row r="40" spans="1:21" x14ac:dyDescent="0.3">
      <c r="A40" t="s">
        <v>12</v>
      </c>
      <c r="B40" t="s">
        <v>29</v>
      </c>
      <c r="C40" t="s">
        <v>110</v>
      </c>
      <c r="D40" t="s">
        <v>83</v>
      </c>
      <c r="E40" s="24">
        <f t="shared" si="2"/>
        <v>0</v>
      </c>
      <c r="F40" s="22">
        <f>-SUMIFS(CARGA!I:I,CARGA!B:B,tabla!A40,CARGA!D:D,tabla!C40,CARGA!C:C,MAESTRO!$B$4)-SUMIFS(CARGA!I:I,CARGA!B:B,tabla!A40,CARGA!D:D,tabla!C40,CARGA!C:C,MAESTRO!$B$5)</f>
        <v>0</v>
      </c>
      <c r="G40" s="5">
        <f>+SUMIFS(CARGA!I:I,CARGA!B:B,tabla!A40,CARGA!D:D,tabla!C40)</f>
        <v>0</v>
      </c>
      <c r="H40" s="5">
        <f>+SUMIFS(CARGA!K:K,CARGA!B:B,tabla!A40,CARGA!D:D,tabla!C40)</f>
        <v>0</v>
      </c>
      <c r="I40" s="5">
        <f t="shared" si="3"/>
        <v>0</v>
      </c>
      <c r="J40" s="5">
        <f>-SUMIFS(CARGA!K:K,CARGA!B:B,tabla!A40,CARGA!D:D,tabla!C40,CARGA!C:C,MAESTRO!$B$4)+SUMIFS(CARGA!K:K,CARGA!B:B,tabla!A40,CARGA!D:D,tabla!C40,CARGA!C:C,MAESTRO!$B$5)</f>
        <v>0</v>
      </c>
      <c r="K40" s="5" t="e">
        <f>+VLOOKUP(C40,#REF!,3,FALSE)</f>
        <v>#REF!</v>
      </c>
      <c r="L40" s="5" t="e">
        <f t="shared" si="4"/>
        <v>#REF!</v>
      </c>
      <c r="M40" s="5" t="e">
        <f t="shared" si="5"/>
        <v>#REF!</v>
      </c>
      <c r="N40" s="5" t="str">
        <f t="shared" si="0"/>
        <v>NO</v>
      </c>
      <c r="O40" s="5" t="e">
        <f>+VLOOKUP(C40,[2]Fondos!$F:$J,5,FALSE)</f>
        <v>#N/A</v>
      </c>
      <c r="P40" s="13" t="e">
        <f>+VLOOKUP(C40,[2]Fondos!$F:$K,6,FALSE)</f>
        <v>#N/A</v>
      </c>
      <c r="Q40" s="13" t="e">
        <f t="shared" si="1"/>
        <v>#N/A</v>
      </c>
      <c r="R40" s="10" t="e">
        <f>+IF(Q40&gt;MAESTRO!$G$6,0,1)</f>
        <v>#N/A</v>
      </c>
      <c r="S40" t="e">
        <f>+IF(P40&lt;MAESTRO!$G$8,0,1)</f>
        <v>#N/A</v>
      </c>
      <c r="T40" s="10" t="e">
        <f t="shared" si="6"/>
        <v>#N/A</v>
      </c>
      <c r="U40" t="e">
        <f>+IF(R40+S40=2,MAESTRO!$G$2,IF(R40+S40=0,MAESTRO!$G$5,IF(R40=0,MAESTRO!$G$3,IF(S40=0,MAESTRO!$G$4,))))</f>
        <v>#N/A</v>
      </c>
    </row>
    <row r="41" spans="1:21" x14ac:dyDescent="0.3">
      <c r="A41" t="s">
        <v>12</v>
      </c>
      <c r="B41" t="s">
        <v>24</v>
      </c>
      <c r="C41" t="s">
        <v>39</v>
      </c>
      <c r="D41" t="s">
        <v>81</v>
      </c>
      <c r="E41" s="24">
        <f t="shared" si="2"/>
        <v>0</v>
      </c>
      <c r="F41" s="22">
        <f>-SUMIFS(CARGA!I:I,CARGA!B:B,tabla!A41,CARGA!D:D,tabla!C41,CARGA!C:C,MAESTRO!$B$4)-SUMIFS(CARGA!I:I,CARGA!B:B,tabla!A41,CARGA!D:D,tabla!C41,CARGA!C:C,MAESTRO!$B$5)</f>
        <v>0</v>
      </c>
      <c r="G41" s="5">
        <f>+SUMIFS(CARGA!I:I,CARGA!B:B,tabla!A41,CARGA!D:D,tabla!C41)</f>
        <v>0</v>
      </c>
      <c r="H41" s="5">
        <f>+SUMIFS(CARGA!K:K,CARGA!B:B,tabla!A41,CARGA!D:D,tabla!C41)</f>
        <v>0</v>
      </c>
      <c r="I41" s="5">
        <f t="shared" si="3"/>
        <v>0</v>
      </c>
      <c r="J41" s="5">
        <f>-SUMIFS(CARGA!K:K,CARGA!B:B,tabla!A41,CARGA!D:D,tabla!C41,CARGA!C:C,MAESTRO!$B$4)+SUMIFS(CARGA!K:K,CARGA!B:B,tabla!A41,CARGA!D:D,tabla!C41,CARGA!C:C,MAESTRO!$B$5)</f>
        <v>0</v>
      </c>
      <c r="K41" s="5" t="e">
        <f>+VLOOKUP(C41,#REF!,3,FALSE)</f>
        <v>#REF!</v>
      </c>
      <c r="L41" s="5" t="e">
        <f t="shared" si="4"/>
        <v>#REF!</v>
      </c>
      <c r="M41" s="5" t="e">
        <f t="shared" si="5"/>
        <v>#REF!</v>
      </c>
      <c r="N41" s="5" t="str">
        <f t="shared" si="0"/>
        <v>NO</v>
      </c>
      <c r="O41" s="5">
        <f>+VLOOKUP(C41,[2]Fondos!$F:$J,5,FALSE)</f>
        <v>2294506221</v>
      </c>
      <c r="P41" s="13">
        <f>+VLOOKUP(C41,[2]Fondos!$F:$K,6,FALSE)</f>
        <v>0.21526589999999998</v>
      </c>
      <c r="Q41" s="13">
        <f t="shared" si="1"/>
        <v>0</v>
      </c>
      <c r="R41" s="10">
        <f>+IF(Q41&gt;MAESTRO!$G$6,0,1)</f>
        <v>1</v>
      </c>
      <c r="S41">
        <f>+IF(P41&lt;MAESTRO!$G$8,0,1)</f>
        <v>1</v>
      </c>
      <c r="T41" s="10">
        <f t="shared" si="6"/>
        <v>2</v>
      </c>
      <c r="U41" t="str">
        <f>+IF(R41+S41=2,MAESTRO!$G$2,IF(R41+S41=0,MAESTRO!$G$5,IF(R41=0,MAESTRO!$G$3,IF(S41=0,MAESTRO!$G$4,))))</f>
        <v>cumple politica</v>
      </c>
    </row>
    <row r="42" spans="1:21" x14ac:dyDescent="0.3">
      <c r="A42" t="s">
        <v>12</v>
      </c>
      <c r="B42" t="s">
        <v>24</v>
      </c>
      <c r="C42" t="s">
        <v>80</v>
      </c>
      <c r="D42" t="s">
        <v>82</v>
      </c>
      <c r="E42" s="24">
        <f t="shared" si="2"/>
        <v>0</v>
      </c>
      <c r="F42" s="22">
        <f>-SUMIFS(CARGA!I:I,CARGA!B:B,tabla!A42,CARGA!D:D,tabla!C42,CARGA!C:C,MAESTRO!$B$4)-SUMIFS(CARGA!I:I,CARGA!B:B,tabla!A42,CARGA!D:D,tabla!C42,CARGA!C:C,MAESTRO!$B$5)</f>
        <v>0</v>
      </c>
      <c r="G42" s="5">
        <f>+SUMIFS(CARGA!I:I,CARGA!B:B,tabla!A42,CARGA!D:D,tabla!C42)</f>
        <v>0</v>
      </c>
      <c r="H42" s="5">
        <f>+SUMIFS(CARGA!K:K,CARGA!B:B,tabla!A42,CARGA!D:D,tabla!C42)</f>
        <v>0</v>
      </c>
      <c r="I42" s="5">
        <f t="shared" si="3"/>
        <v>0</v>
      </c>
      <c r="J42" s="5">
        <f>-SUMIFS(CARGA!K:K,CARGA!B:B,tabla!A42,CARGA!D:D,tabla!C42,CARGA!C:C,MAESTRO!$B$4)+SUMIFS(CARGA!K:K,CARGA!B:B,tabla!A42,CARGA!D:D,tabla!C42,CARGA!C:C,MAESTRO!$B$5)</f>
        <v>0</v>
      </c>
      <c r="K42" s="5" t="e">
        <f>+VLOOKUP(C42,#REF!,3,FALSE)</f>
        <v>#REF!</v>
      </c>
      <c r="L42" s="5" t="e">
        <f t="shared" si="4"/>
        <v>#REF!</v>
      </c>
      <c r="M42" s="5" t="e">
        <f t="shared" si="5"/>
        <v>#REF!</v>
      </c>
      <c r="N42" s="5" t="str">
        <f t="shared" si="0"/>
        <v>NO</v>
      </c>
      <c r="O42" s="5">
        <f>+VLOOKUP(C42,[2]Fondos!$F:$J,5,FALSE)</f>
        <v>8324714840</v>
      </c>
      <c r="P42" s="13">
        <f>+VLOOKUP(C42,[2]Fondos!$F:$K,6,FALSE)</f>
        <v>0.27053379999999999</v>
      </c>
      <c r="Q42" s="13">
        <f t="shared" si="1"/>
        <v>0</v>
      </c>
      <c r="R42" s="10">
        <f>+IF(Q42&gt;MAESTRO!$G$6,0,1)</f>
        <v>1</v>
      </c>
      <c r="S42">
        <f>+IF(P42&lt;MAESTRO!$G$8,0,1)</f>
        <v>1</v>
      </c>
      <c r="T42" s="10">
        <f t="shared" si="6"/>
        <v>2</v>
      </c>
      <c r="U42" t="str">
        <f>+IF(R42+S42=2,MAESTRO!$G$2,IF(R42+S42=0,MAESTRO!$G$5,IF(R42=0,MAESTRO!$G$3,IF(S42=0,MAESTRO!$G$4,))))</f>
        <v>cumple politica</v>
      </c>
    </row>
    <row r="43" spans="1:21" x14ac:dyDescent="0.3">
      <c r="A43" t="s">
        <v>12</v>
      </c>
      <c r="B43" t="s">
        <v>24</v>
      </c>
      <c r="C43" t="s">
        <v>62</v>
      </c>
      <c r="D43" t="s">
        <v>82</v>
      </c>
      <c r="E43" s="24">
        <f t="shared" si="2"/>
        <v>0</v>
      </c>
      <c r="F43" s="22">
        <f>-SUMIFS(CARGA!I:I,CARGA!B:B,tabla!A43,CARGA!D:D,tabla!C43,CARGA!C:C,MAESTRO!$B$4)-SUMIFS(CARGA!I:I,CARGA!B:B,tabla!A43,CARGA!D:D,tabla!C43,CARGA!C:C,MAESTRO!$B$5)</f>
        <v>0</v>
      </c>
      <c r="G43" s="5">
        <f>+SUMIFS(CARGA!I:I,CARGA!B:B,tabla!A43,CARGA!D:D,tabla!C43)</f>
        <v>0</v>
      </c>
      <c r="H43" s="5">
        <f>+SUMIFS(CARGA!K:K,CARGA!B:B,tabla!A43,CARGA!D:D,tabla!C43)</f>
        <v>0</v>
      </c>
      <c r="I43" s="5">
        <f t="shared" si="3"/>
        <v>0</v>
      </c>
      <c r="J43" s="5">
        <f>-SUMIFS(CARGA!K:K,CARGA!B:B,tabla!A43,CARGA!D:D,tabla!C43,CARGA!C:C,MAESTRO!$B$4)+SUMIFS(CARGA!K:K,CARGA!B:B,tabla!A43,CARGA!D:D,tabla!C43,CARGA!C:C,MAESTRO!$B$5)</f>
        <v>0</v>
      </c>
      <c r="K43" s="5" t="e">
        <f>+VLOOKUP(C43,#REF!,3,FALSE)</f>
        <v>#REF!</v>
      </c>
      <c r="L43" s="5" t="e">
        <f t="shared" si="4"/>
        <v>#REF!</v>
      </c>
      <c r="M43" s="5" t="e">
        <f t="shared" si="5"/>
        <v>#REF!</v>
      </c>
      <c r="N43" s="5" t="str">
        <f t="shared" si="0"/>
        <v>NO</v>
      </c>
      <c r="O43" s="5">
        <f>+VLOOKUP(C43,[2]Fondos!$F:$J,5,FALSE)</f>
        <v>2635564025</v>
      </c>
      <c r="P43" s="13">
        <f>+VLOOKUP(C43,[2]Fondos!$F:$K,6,FALSE)</f>
        <v>0.26226080000000002</v>
      </c>
      <c r="Q43" s="13">
        <f t="shared" si="1"/>
        <v>0</v>
      </c>
      <c r="R43" s="10">
        <f>+IF(Q43&gt;MAESTRO!$G$6,0,1)</f>
        <v>1</v>
      </c>
      <c r="S43">
        <f>+IF(P43&lt;MAESTRO!$G$8,0,1)</f>
        <v>1</v>
      </c>
      <c r="T43" s="10">
        <f t="shared" si="6"/>
        <v>2</v>
      </c>
      <c r="U43" t="str">
        <f>+IF(R43+S43=2,MAESTRO!$G$2,IF(R43+S43=0,MAESTRO!$G$5,IF(R43=0,MAESTRO!$G$3,IF(S43=0,MAESTRO!$G$4,))))</f>
        <v>cumple politica</v>
      </c>
    </row>
    <row r="44" spans="1:21" x14ac:dyDescent="0.3">
      <c r="A44" t="s">
        <v>12</v>
      </c>
      <c r="B44" t="s">
        <v>32</v>
      </c>
      <c r="C44" t="s">
        <v>71</v>
      </c>
      <c r="D44" t="s">
        <v>82</v>
      </c>
      <c r="E44" s="24">
        <f t="shared" si="2"/>
        <v>0</v>
      </c>
      <c r="F44" s="22">
        <f>-SUMIFS(CARGA!I:I,CARGA!B:B,tabla!A44,CARGA!D:D,tabla!C44,CARGA!C:C,MAESTRO!$B$4)-SUMIFS(CARGA!I:I,CARGA!B:B,tabla!A44,CARGA!D:D,tabla!C44,CARGA!C:C,MAESTRO!$B$5)</f>
        <v>0</v>
      </c>
      <c r="G44" s="5">
        <f>+SUMIFS(CARGA!I:I,CARGA!B:B,tabla!A44,CARGA!D:D,tabla!C44)</f>
        <v>0</v>
      </c>
      <c r="H44" s="5">
        <f>+SUMIFS(CARGA!K:K,CARGA!B:B,tabla!A44,CARGA!D:D,tabla!C44)</f>
        <v>0</v>
      </c>
      <c r="I44" s="5">
        <f t="shared" si="3"/>
        <v>0</v>
      </c>
      <c r="J44" s="5">
        <f>-SUMIFS(CARGA!K:K,CARGA!B:B,tabla!A44,CARGA!D:D,tabla!C44,CARGA!C:C,MAESTRO!$B$4)+SUMIFS(CARGA!K:K,CARGA!B:B,tabla!A44,CARGA!D:D,tabla!C44,CARGA!C:C,MAESTRO!$B$5)</f>
        <v>0</v>
      </c>
      <c r="K44" s="5" t="e">
        <f>+VLOOKUP(C44,#REF!,3,FALSE)</f>
        <v>#REF!</v>
      </c>
      <c r="L44" s="5" t="e">
        <f t="shared" si="4"/>
        <v>#REF!</v>
      </c>
      <c r="M44" s="5" t="e">
        <f t="shared" si="5"/>
        <v>#REF!</v>
      </c>
      <c r="N44" s="5" t="str">
        <f t="shared" si="0"/>
        <v>NO</v>
      </c>
      <c r="O44" s="5">
        <f>+VLOOKUP(C44,[2]Fondos!$F:$J,5,FALSE)</f>
        <v>240000000</v>
      </c>
      <c r="P44" s="13">
        <f>+VLOOKUP(C44,[2]Fondos!$F:$K,6,FALSE)</f>
        <v>0.27596609999999999</v>
      </c>
      <c r="Q44" s="13">
        <f t="shared" si="1"/>
        <v>0</v>
      </c>
      <c r="R44" s="10">
        <f>+IF(Q44&gt;MAESTRO!$G$6,0,1)</f>
        <v>1</v>
      </c>
      <c r="S44">
        <f>+IF(P44&lt;MAESTRO!$G$8,0,1)</f>
        <v>1</v>
      </c>
      <c r="T44" s="10">
        <f t="shared" si="6"/>
        <v>2</v>
      </c>
      <c r="U44" t="str">
        <f>+IF(R44+S44=2,MAESTRO!$G$2,IF(R44+S44=0,MAESTRO!$G$5,IF(R44=0,MAESTRO!$G$3,IF(S44=0,MAESTRO!$G$4,))))</f>
        <v>cumple politica</v>
      </c>
    </row>
    <row r="45" spans="1:21" x14ac:dyDescent="0.3">
      <c r="A45" t="s">
        <v>12</v>
      </c>
      <c r="B45" t="s">
        <v>131</v>
      </c>
      <c r="C45" t="s">
        <v>51</v>
      </c>
      <c r="D45" t="s">
        <v>81</v>
      </c>
      <c r="E45" s="24">
        <f t="shared" ref="E45:E50" si="7">+F45+G45</f>
        <v>0</v>
      </c>
      <c r="F45" s="22">
        <f>-SUMIFS(CARGA!I:I,CARGA!B:B,tabla!A45,CARGA!D:D,tabla!C45,CARGA!C:C,MAESTRO!$B$4)-SUMIFS(CARGA!I:I,CARGA!B:B,tabla!A45,CARGA!D:D,tabla!C45,CARGA!C:C,MAESTRO!$B$5)</f>
        <v>0</v>
      </c>
      <c r="G45" s="5">
        <f>+SUMIFS(CARGA!I:I,CARGA!B:B,tabla!A45,CARGA!D:D,tabla!C45)</f>
        <v>0</v>
      </c>
      <c r="H45" s="5">
        <f>+SUMIFS(CARGA!K:K,CARGA!B:B,tabla!A45,CARGA!D:D,tabla!C45)</f>
        <v>0</v>
      </c>
      <c r="I45" s="5">
        <f t="shared" ref="I45:I50" si="8">+H45+J45</f>
        <v>0</v>
      </c>
      <c r="J45" s="5">
        <f>-SUMIFS(CARGA!K:K,CARGA!B:B,tabla!A45,CARGA!D:D,tabla!C45,CARGA!C:C,MAESTRO!$B$4)+SUMIFS(CARGA!K:K,CARGA!B:B,tabla!A45,CARGA!D:D,tabla!C45,CARGA!C:C,MAESTRO!$B$5)</f>
        <v>0</v>
      </c>
      <c r="K45" s="5" t="e">
        <f>+VLOOKUP(C45,#REF!,3,FALSE)</f>
        <v>#REF!</v>
      </c>
      <c r="L45" s="5" t="e">
        <f t="shared" ref="L45:L50" si="9">+K45*I45</f>
        <v>#REF!</v>
      </c>
      <c r="M45" s="5" t="e">
        <f t="shared" ref="M45:M50" si="10">+K45*J45</f>
        <v>#REF!</v>
      </c>
      <c r="N45" s="5" t="str">
        <f t="shared" ref="N45:N50" si="11">+IF(G45+F45=0,"NO","SI")</f>
        <v>NO</v>
      </c>
      <c r="O45" s="5">
        <f>+VLOOKUP(C45,[2]Fondos!$F:$J,5,FALSE)</f>
        <v>360000000</v>
      </c>
      <c r="P45" s="13">
        <f>+VLOOKUP(C45,[2]Fondos!$F:$K,6,FALSE)</f>
        <v>0.19705159999999999</v>
      </c>
      <c r="Q45" s="13">
        <f t="shared" ref="Q45:Q50" si="12">+G45/O45</f>
        <v>0</v>
      </c>
      <c r="R45" s="10">
        <f>+IF(Q45&gt;MAESTRO!$G$6,0,1)</f>
        <v>1</v>
      </c>
      <c r="S45">
        <f>+IF(P45&lt;MAESTRO!$G$8,0,1)</f>
        <v>1</v>
      </c>
      <c r="T45" s="10">
        <f t="shared" ref="T45:T50" si="13">+R45+S45</f>
        <v>2</v>
      </c>
      <c r="U45" t="s">
        <v>132</v>
      </c>
    </row>
    <row r="46" spans="1:21" x14ac:dyDescent="0.3">
      <c r="A46" t="s">
        <v>12</v>
      </c>
      <c r="B46" t="s">
        <v>131</v>
      </c>
      <c r="C46" t="s">
        <v>130</v>
      </c>
      <c r="D46" t="s">
        <v>81</v>
      </c>
      <c r="E46" s="24">
        <f t="shared" si="7"/>
        <v>0</v>
      </c>
      <c r="F46" s="22">
        <f>-SUMIFS(CARGA!I:I,CARGA!B:B,tabla!A46,CARGA!D:D,tabla!C46,CARGA!C:C,MAESTRO!$B$4)-SUMIFS(CARGA!I:I,CARGA!B:B,tabla!A46,CARGA!D:D,tabla!C46,CARGA!C:C,MAESTRO!$B$5)</f>
        <v>0</v>
      </c>
      <c r="G46" s="5">
        <f>+SUMIFS(CARGA!I:I,CARGA!B:B,tabla!A46,CARGA!D:D,tabla!C46)</f>
        <v>0</v>
      </c>
      <c r="H46" s="5">
        <f>+SUMIFS(CARGA!K:K,CARGA!B:B,tabla!A46,CARGA!D:D,tabla!C46)</f>
        <v>0</v>
      </c>
      <c r="I46" s="5">
        <f t="shared" si="8"/>
        <v>0</v>
      </c>
      <c r="J46" s="5">
        <f>-SUMIFS(CARGA!K:K,CARGA!B:B,tabla!A46,CARGA!D:D,tabla!C46,CARGA!C:C,MAESTRO!$B$4)+SUMIFS(CARGA!K:K,CARGA!B:B,tabla!A46,CARGA!D:D,tabla!C46,CARGA!C:C,MAESTRO!$B$5)</f>
        <v>0</v>
      </c>
      <c r="K46" s="5" t="e">
        <f>+VLOOKUP(C46,#REF!,3,FALSE)</f>
        <v>#REF!</v>
      </c>
      <c r="L46" s="5" t="e">
        <f t="shared" si="9"/>
        <v>#REF!</v>
      </c>
      <c r="M46" s="5" t="e">
        <f t="shared" si="10"/>
        <v>#REF!</v>
      </c>
      <c r="N46" s="5" t="str">
        <f t="shared" si="11"/>
        <v>NO</v>
      </c>
      <c r="O46" s="5" t="e">
        <f>+VLOOKUP(C46,[2]Fondos!$F:$J,5,FALSE)</f>
        <v>#N/A</v>
      </c>
      <c r="P46" s="13" t="e">
        <f>+VLOOKUP(C46,[2]Fondos!$F:$K,6,FALSE)</f>
        <v>#N/A</v>
      </c>
      <c r="Q46" s="13" t="e">
        <f t="shared" si="12"/>
        <v>#N/A</v>
      </c>
      <c r="R46" s="10" t="e">
        <f>+IF(Q46&gt;MAESTRO!$G$6,0,1)</f>
        <v>#N/A</v>
      </c>
      <c r="S46" t="e">
        <f>+IF(P46&lt;MAESTRO!$G$8,0,1)</f>
        <v>#N/A</v>
      </c>
      <c r="T46" s="10" t="e">
        <f t="shared" si="13"/>
        <v>#N/A</v>
      </c>
      <c r="U46" t="s">
        <v>130</v>
      </c>
    </row>
    <row r="47" spans="1:21" x14ac:dyDescent="0.3">
      <c r="A47" t="s">
        <v>12</v>
      </c>
      <c r="B47" t="s">
        <v>131</v>
      </c>
      <c r="C47" t="s">
        <v>133</v>
      </c>
      <c r="D47" t="s">
        <v>82</v>
      </c>
      <c r="E47" s="24">
        <f>+F47+G47</f>
        <v>0</v>
      </c>
      <c r="F47" s="22">
        <f>-SUMIFS(CARGA!I:I,CARGA!B:B,tabla!A47,CARGA!D:D,tabla!C47,CARGA!C:C,MAESTRO!$B$4)-SUMIFS(CARGA!I:I,CARGA!B:B,tabla!A47,CARGA!D:D,tabla!C47,CARGA!C:C,MAESTRO!$B$5)</f>
        <v>0</v>
      </c>
      <c r="G47" s="5">
        <f>+SUMIFS(CARGA!I:I,CARGA!B:B,tabla!A47,CARGA!D:D,tabla!C47)</f>
        <v>0</v>
      </c>
      <c r="H47" s="5">
        <f>+SUMIFS(CARGA!K:K,CARGA!B:B,tabla!A47,CARGA!D:D,tabla!C47)</f>
        <v>0</v>
      </c>
      <c r="I47" s="5">
        <f>+H47+J47</f>
        <v>0</v>
      </c>
      <c r="J47" s="5">
        <f>-SUMIFS(CARGA!K:K,CARGA!B:B,tabla!A47,CARGA!D:D,tabla!C47,CARGA!C:C,MAESTRO!$B$4)+SUMIFS(CARGA!K:K,CARGA!B:B,tabla!A47,CARGA!D:D,tabla!C47,CARGA!C:C,MAESTRO!$B$5)</f>
        <v>0</v>
      </c>
      <c r="K47" s="5" t="e">
        <f>+VLOOKUP(C47,#REF!,3,FALSE)</f>
        <v>#REF!</v>
      </c>
      <c r="L47" s="5" t="e">
        <f>+K47*I47</f>
        <v>#REF!</v>
      </c>
      <c r="M47" s="5" t="e">
        <f>+K47*J47</f>
        <v>#REF!</v>
      </c>
      <c r="N47" s="5" t="str">
        <f>+IF(G47+F47=0,"NO","SI")</f>
        <v>NO</v>
      </c>
      <c r="O47" s="5" t="e">
        <f>+VLOOKUP(C47,[2]Fondos!$F:$J,5,FALSE)</f>
        <v>#N/A</v>
      </c>
      <c r="P47" s="13" t="e">
        <f>+VLOOKUP(C47,[2]Fondos!$F:$K,6,FALSE)</f>
        <v>#N/A</v>
      </c>
      <c r="Q47" s="13" t="e">
        <f>+G47/O47</f>
        <v>#N/A</v>
      </c>
      <c r="R47" s="10" t="e">
        <f>+IF(Q47&gt;MAESTRO!$G$6,0,1)</f>
        <v>#N/A</v>
      </c>
      <c r="S47" t="e">
        <f>+IF(P47&lt;MAESTRO!$G$8,0,1)</f>
        <v>#N/A</v>
      </c>
      <c r="T47" s="10" t="e">
        <f>+R47+S47</f>
        <v>#N/A</v>
      </c>
      <c r="U47" t="s">
        <v>97</v>
      </c>
    </row>
    <row r="48" spans="1:21" x14ac:dyDescent="0.3">
      <c r="A48" t="s">
        <v>12</v>
      </c>
      <c r="B48" t="s">
        <v>23</v>
      </c>
      <c r="C48" t="s">
        <v>43</v>
      </c>
      <c r="D48" t="s">
        <v>81</v>
      </c>
      <c r="E48" s="24">
        <f t="shared" si="7"/>
        <v>0</v>
      </c>
      <c r="F48" s="22">
        <f>-SUMIFS(CARGA!I:I,CARGA!B:B,tabla!A48,CARGA!D:D,tabla!C48,CARGA!C:C,MAESTRO!$B$4)-SUMIFS(CARGA!I:I,CARGA!B:B,tabla!A48,CARGA!D:D,tabla!C48,CARGA!C:C,MAESTRO!$B$5)</f>
        <v>0</v>
      </c>
      <c r="G48" s="5">
        <f>+SUMIFS(CARGA!I:I,CARGA!B:B,tabla!A48,CARGA!D:D,tabla!C48)</f>
        <v>0</v>
      </c>
      <c r="H48" s="5">
        <f>+SUMIFS(CARGA!K:K,CARGA!B:B,tabla!A48,CARGA!D:D,tabla!C48)</f>
        <v>0</v>
      </c>
      <c r="I48" s="5">
        <f t="shared" si="8"/>
        <v>0</v>
      </c>
      <c r="J48" s="5">
        <f>-SUMIFS(CARGA!K:K,CARGA!B:B,tabla!A48,CARGA!D:D,tabla!C48,CARGA!C:C,MAESTRO!$B$4)+SUMIFS(CARGA!K:K,CARGA!B:B,tabla!A48,CARGA!D:D,tabla!C48,CARGA!C:C,MAESTRO!$B$5)</f>
        <v>0</v>
      </c>
      <c r="K48" s="5" t="e">
        <f>+VLOOKUP(C48,#REF!,3,FALSE)</f>
        <v>#REF!</v>
      </c>
      <c r="L48" s="5" t="e">
        <f t="shared" si="9"/>
        <v>#REF!</v>
      </c>
      <c r="M48" s="5" t="e">
        <f t="shared" si="10"/>
        <v>#REF!</v>
      </c>
      <c r="N48" s="5" t="str">
        <f t="shared" si="11"/>
        <v>NO</v>
      </c>
      <c r="O48" s="5">
        <f>+VLOOKUP(C48,[2]Fondos!$F:$J,5,FALSE)</f>
        <v>3553303148</v>
      </c>
      <c r="P48" s="13">
        <f>+VLOOKUP(C48,[2]Fondos!$F:$K,6,FALSE)</f>
        <v>0.2092009</v>
      </c>
      <c r="Q48" s="13">
        <f t="shared" si="12"/>
        <v>0</v>
      </c>
      <c r="R48" s="10">
        <f>+IF(Q48&gt;MAESTRO!$G$6,0,1)</f>
        <v>1</v>
      </c>
      <c r="S48">
        <f>+IF(P48&lt;MAESTRO!$G$8,0,1)</f>
        <v>1</v>
      </c>
      <c r="T48" s="10">
        <f t="shared" si="13"/>
        <v>2</v>
      </c>
      <c r="U48" t="str">
        <f>+IF(R48+S48=2,MAESTRO!$G$2,IF(R48+S48=0,MAESTRO!$G$5,IF(R48=0,MAESTRO!$G$3,IF(S48=0,MAESTRO!$G$4,))))</f>
        <v>cumple politica</v>
      </c>
    </row>
    <row r="49" spans="1:21" x14ac:dyDescent="0.3">
      <c r="A49" t="s">
        <v>12</v>
      </c>
      <c r="B49" t="s">
        <v>23</v>
      </c>
      <c r="C49" t="s">
        <v>38</v>
      </c>
      <c r="D49" t="s">
        <v>81</v>
      </c>
      <c r="E49" s="24">
        <f t="shared" si="7"/>
        <v>0</v>
      </c>
      <c r="F49" s="22">
        <f>-SUMIFS(CARGA!I:I,CARGA!B:B,tabla!A49,CARGA!D:D,tabla!C49,CARGA!C:C,MAESTRO!$B$4)-SUMIFS(CARGA!I:I,CARGA!B:B,tabla!A49,CARGA!D:D,tabla!C49,CARGA!C:C,MAESTRO!$B$5)</f>
        <v>0</v>
      </c>
      <c r="G49" s="5">
        <f>+SUMIFS(CARGA!I:I,CARGA!B:B,tabla!A49,CARGA!D:D,tabla!C49)</f>
        <v>0</v>
      </c>
      <c r="H49" s="5">
        <f>+SUMIFS(CARGA!K:K,CARGA!B:B,tabla!A49,CARGA!D:D,tabla!C49)</f>
        <v>0</v>
      </c>
      <c r="I49" s="5">
        <f t="shared" si="8"/>
        <v>0</v>
      </c>
      <c r="J49" s="5">
        <f>-SUMIFS(CARGA!K:K,CARGA!B:B,tabla!A49,CARGA!D:D,tabla!C49,CARGA!C:C,MAESTRO!$B$4)+SUMIFS(CARGA!K:K,CARGA!B:B,tabla!A49,CARGA!D:D,tabla!C49,CARGA!C:C,MAESTRO!$B$5)</f>
        <v>0</v>
      </c>
      <c r="K49" s="5" t="e">
        <f>+VLOOKUP(C49,#REF!,3,FALSE)</f>
        <v>#REF!</v>
      </c>
      <c r="L49" s="5" t="e">
        <f t="shared" si="9"/>
        <v>#REF!</v>
      </c>
      <c r="M49" s="5" t="e">
        <f t="shared" si="10"/>
        <v>#REF!</v>
      </c>
      <c r="N49" s="5" t="str">
        <f t="shared" si="11"/>
        <v>NO</v>
      </c>
      <c r="O49" s="5">
        <f>+VLOOKUP(C49,[2]Fondos!$F:$J,5,FALSE)</f>
        <v>4553606100</v>
      </c>
      <c r="P49" s="13">
        <f>+VLOOKUP(C49,[2]Fondos!$F:$K,6,FALSE)</f>
        <v>0.23939009999999999</v>
      </c>
      <c r="Q49" s="13">
        <f t="shared" si="12"/>
        <v>0</v>
      </c>
      <c r="R49" s="10">
        <f>+IF(Q49&gt;MAESTRO!$G$6,0,1)</f>
        <v>1</v>
      </c>
      <c r="S49">
        <f>+IF(P49&lt;MAESTRO!$G$8,0,1)</f>
        <v>1</v>
      </c>
      <c r="T49" s="10">
        <f t="shared" si="13"/>
        <v>2</v>
      </c>
      <c r="U49" t="str">
        <f>+IF(R49+S49=2,MAESTRO!$G$2,IF(R49+S49=0,MAESTRO!$G$5,IF(R49=0,MAESTRO!$G$3,IF(S49=0,MAESTRO!$G$4,))))</f>
        <v>cumple politica</v>
      </c>
    </row>
    <row r="50" spans="1:21" x14ac:dyDescent="0.3">
      <c r="A50" t="s">
        <v>12</v>
      </c>
      <c r="B50" t="s">
        <v>23</v>
      </c>
      <c r="C50" t="s">
        <v>57</v>
      </c>
      <c r="D50" t="s">
        <v>82</v>
      </c>
      <c r="E50" s="24">
        <f t="shared" si="7"/>
        <v>0</v>
      </c>
      <c r="F50" s="22">
        <f>-SUMIFS(CARGA!I:I,CARGA!B:B,tabla!A50,CARGA!D:D,tabla!C50,CARGA!C:C,MAESTRO!$B$4)-SUMIFS(CARGA!I:I,CARGA!B:B,tabla!A50,CARGA!D:D,tabla!C50,CARGA!C:C,MAESTRO!$B$5)</f>
        <v>0</v>
      </c>
      <c r="G50" s="5">
        <f>+SUMIFS(CARGA!I:I,CARGA!B:B,tabla!A50,CARGA!D:D,tabla!C50)</f>
        <v>0</v>
      </c>
      <c r="H50" s="5">
        <f>+SUMIFS(CARGA!K:K,CARGA!B:B,tabla!A50,CARGA!D:D,tabla!C50)</f>
        <v>0</v>
      </c>
      <c r="I50" s="5">
        <f t="shared" si="8"/>
        <v>0</v>
      </c>
      <c r="J50" s="5">
        <f>-SUMIFS(CARGA!K:K,CARGA!B:B,tabla!A50,CARGA!D:D,tabla!C50,CARGA!C:C,MAESTRO!$B$4)+SUMIFS(CARGA!K:K,CARGA!B:B,tabla!A50,CARGA!D:D,tabla!C50,CARGA!C:C,MAESTRO!$B$5)</f>
        <v>0</v>
      </c>
      <c r="K50" s="5" t="e">
        <f>+VLOOKUP(C50,#REF!,3,FALSE)</f>
        <v>#REF!</v>
      </c>
      <c r="L50" s="5" t="e">
        <f t="shared" si="9"/>
        <v>#REF!</v>
      </c>
      <c r="M50" s="5" t="e">
        <f t="shared" si="10"/>
        <v>#REF!</v>
      </c>
      <c r="N50" s="5" t="str">
        <f t="shared" si="11"/>
        <v>NO</v>
      </c>
      <c r="O50" s="5">
        <f>+VLOOKUP(C50,[2]Fondos!$F:$J,5,FALSE)</f>
        <v>35515968834</v>
      </c>
      <c r="P50" s="13">
        <f>+VLOOKUP(C50,[2]Fondos!$F:$K,6,FALSE)</f>
        <v>0.26896760000000003</v>
      </c>
      <c r="Q50" s="13">
        <f t="shared" si="12"/>
        <v>0</v>
      </c>
      <c r="R50" s="10">
        <f>+IF(Q50&gt;MAESTRO!$G$6,0,1)</f>
        <v>1</v>
      </c>
      <c r="S50">
        <f>+IF(P50&lt;MAESTRO!$G$8,0,1)</f>
        <v>1</v>
      </c>
      <c r="T50" s="10">
        <f t="shared" si="13"/>
        <v>2</v>
      </c>
      <c r="U50" t="str">
        <f>+IF(R50+S50=2,MAESTRO!$G$2,IF(R50+S50=0,MAESTRO!$G$5,IF(R50=0,MAESTRO!$G$3,IF(S50=0,MAESTRO!$G$4,))))</f>
        <v>cumple politica</v>
      </c>
    </row>
    <row r="51" spans="1:21" x14ac:dyDescent="0.3">
      <c r="A51" t="s">
        <v>12</v>
      </c>
      <c r="B51" t="s">
        <v>140</v>
      </c>
      <c r="C51" t="s">
        <v>138</v>
      </c>
      <c r="D51" t="s">
        <v>82</v>
      </c>
      <c r="E51" s="24">
        <f>+F51+G51</f>
        <v>0</v>
      </c>
      <c r="F51" s="22">
        <f>-SUMIFS(CARGA!I:I,CARGA!B:B,tabla!A51,CARGA!D:D,tabla!C51,CARGA!C:C,MAESTRO!$B$4)-SUMIFS(CARGA!I:I,CARGA!B:B,tabla!A51,CARGA!D:D,tabla!C51,CARGA!C:C,MAESTRO!$B$5)</f>
        <v>0</v>
      </c>
      <c r="G51" s="5">
        <f>+SUMIFS(CARGA!I:I,CARGA!B:B,tabla!A51,CARGA!D:D,tabla!C51)</f>
        <v>0</v>
      </c>
      <c r="H51" s="5">
        <f>+SUMIFS(CARGA!K:K,CARGA!B:B,tabla!A51,CARGA!D:D,tabla!C51)</f>
        <v>0</v>
      </c>
      <c r="I51" s="5">
        <f>+H51+J51</f>
        <v>0</v>
      </c>
      <c r="J51" s="5">
        <f>-SUMIFS(CARGA!K:K,CARGA!B:B,tabla!A51,CARGA!D:D,tabla!C51,CARGA!C:C,MAESTRO!$B$4)+SUMIFS(CARGA!K:K,CARGA!B:B,tabla!A51,CARGA!D:D,tabla!C51,CARGA!C:C,MAESTRO!$B$5)</f>
        <v>0</v>
      </c>
      <c r="K51" s="5" t="e">
        <f>+VLOOKUP(C51,#REF!,3,FALSE)</f>
        <v>#REF!</v>
      </c>
      <c r="L51" s="5" t="e">
        <f>+K51*I51</f>
        <v>#REF!</v>
      </c>
      <c r="M51" s="5" t="e">
        <f>+K51*J51</f>
        <v>#REF!</v>
      </c>
      <c r="N51" s="5" t="str">
        <f>+IF(G51+F51=0,"NO","SI")</f>
        <v>NO</v>
      </c>
      <c r="O51" s="5" t="e">
        <f>+VLOOKUP(C51,[2]Fondos!$F:$J,5,FALSE)</f>
        <v>#N/A</v>
      </c>
      <c r="P51" s="13" t="e">
        <f>+VLOOKUP(C51,[2]Fondos!$F:$K,6,FALSE)</f>
        <v>#N/A</v>
      </c>
      <c r="Q51" s="13" t="e">
        <f>+G51/O51</f>
        <v>#N/A</v>
      </c>
      <c r="R51" s="10" t="e">
        <f>+IF(Q51&gt;MAESTRO!$G$6,0,1)</f>
        <v>#N/A</v>
      </c>
      <c r="S51" t="e">
        <f>+IF(P51&lt;MAESTRO!$G$8,0,1)</f>
        <v>#N/A</v>
      </c>
      <c r="T51" s="10" t="e">
        <f>+R51+S51</f>
        <v>#N/A</v>
      </c>
      <c r="U51" t="e">
        <f>+IF(R51+S51=2,MAESTRO!$G$2,IF(R51+S51=0,MAESTRO!$G$5,IF(R51=0,MAESTRO!$G$3,IF(S51=0,MAESTRO!$G$4,))))</f>
        <v>#N/A</v>
      </c>
    </row>
    <row r="52" spans="1:21" x14ac:dyDescent="0.3">
      <c r="A52" t="s">
        <v>12</v>
      </c>
      <c r="B52" t="s">
        <v>140</v>
      </c>
      <c r="C52" t="s">
        <v>139</v>
      </c>
      <c r="D52" t="s">
        <v>81</v>
      </c>
      <c r="E52" s="24">
        <f>+F52+G52</f>
        <v>0</v>
      </c>
      <c r="F52" s="22">
        <f>-SUMIFS(CARGA!I:I,CARGA!B:B,tabla!A52,CARGA!D:D,tabla!C52,CARGA!C:C,MAESTRO!$B$4)-SUMIFS(CARGA!I:I,CARGA!B:B,tabla!A52,CARGA!D:D,tabla!C52,CARGA!C:C,MAESTRO!$B$5)</f>
        <v>0</v>
      </c>
      <c r="G52" s="5">
        <f>+SUMIFS(CARGA!I:I,CARGA!B:B,tabla!A52,CARGA!D:D,tabla!C52)</f>
        <v>0</v>
      </c>
      <c r="H52" s="5">
        <f>+SUMIFS(CARGA!K:K,CARGA!B:B,tabla!A52,CARGA!D:D,tabla!C52)</f>
        <v>0</v>
      </c>
      <c r="I52" s="5">
        <f>+H52+J52</f>
        <v>0</v>
      </c>
      <c r="J52" s="5">
        <f>-SUMIFS(CARGA!K:K,CARGA!B:B,tabla!A52,CARGA!D:D,tabla!C52,CARGA!C:C,MAESTRO!$B$4)+SUMIFS(CARGA!K:K,CARGA!B:B,tabla!A52,CARGA!D:D,tabla!C52,CARGA!C:C,MAESTRO!$B$5)</f>
        <v>0</v>
      </c>
      <c r="K52" s="5" t="e">
        <f>+VLOOKUP(C52,#REF!,3,FALSE)</f>
        <v>#REF!</v>
      </c>
      <c r="L52" s="5" t="e">
        <f>+K52*I52</f>
        <v>#REF!</v>
      </c>
      <c r="M52" s="5" t="e">
        <f>+K52*J52</f>
        <v>#REF!</v>
      </c>
      <c r="N52" s="5" t="str">
        <f>+IF(G52+F52=0,"NO","SI")</f>
        <v>NO</v>
      </c>
      <c r="O52" s="5" t="e">
        <f>+VLOOKUP(C52,[2]Fondos!$F:$J,5,FALSE)</f>
        <v>#N/A</v>
      </c>
      <c r="P52" s="13" t="e">
        <f>+VLOOKUP(C52,[2]Fondos!$F:$K,6,FALSE)</f>
        <v>#N/A</v>
      </c>
      <c r="Q52" s="13" t="e">
        <f>+G52/O52</f>
        <v>#N/A</v>
      </c>
      <c r="R52" s="10" t="e">
        <f>+IF(Q52&gt;MAESTRO!$G$6,0,1)</f>
        <v>#N/A</v>
      </c>
      <c r="S52" t="e">
        <f>+IF(P52&lt;MAESTRO!$G$8,0,1)</f>
        <v>#N/A</v>
      </c>
      <c r="T52" s="10" t="e">
        <f>+R52+S52</f>
        <v>#N/A</v>
      </c>
      <c r="U52" t="e">
        <f>+IF(R52+S52=2,MAESTRO!$G$2,IF(R52+S52=0,MAESTRO!$G$5,IF(R52=0,MAESTRO!$G$3,IF(S52=0,MAESTRO!$G$4,))))</f>
        <v>#N/A</v>
      </c>
    </row>
    <row r="53" spans="1:21" x14ac:dyDescent="0.3">
      <c r="A53" t="s">
        <v>12</v>
      </c>
      <c r="B53" t="s">
        <v>22</v>
      </c>
      <c r="C53" t="s">
        <v>162</v>
      </c>
      <c r="D53" t="s">
        <v>81</v>
      </c>
      <c r="E53" s="24">
        <f>+F53+G53</f>
        <v>0</v>
      </c>
      <c r="F53" s="22">
        <f>-SUMIFS(CARGA!I:I,CARGA!B:B,tabla!A53,CARGA!D:D,tabla!C53,CARGA!C:C,MAESTRO!$B$4)-SUMIFS(CARGA!I:I,CARGA!B:B,tabla!A53,CARGA!D:D,tabla!C53,CARGA!C:C,MAESTRO!$B$5)</f>
        <v>0</v>
      </c>
      <c r="G53" s="5">
        <f>+SUMIFS(CARGA!I:I,CARGA!B:B,tabla!A53,CARGA!D:D,tabla!C53)</f>
        <v>0</v>
      </c>
      <c r="H53" s="5">
        <f>+SUMIFS(CARGA!K:K,CARGA!B:B,tabla!A53,CARGA!D:D,tabla!C53)</f>
        <v>0</v>
      </c>
      <c r="I53" s="5">
        <f>+H53+J53</f>
        <v>0</v>
      </c>
      <c r="J53" s="5">
        <f>-SUMIFS(CARGA!K:K,CARGA!B:B,tabla!A53,CARGA!D:D,tabla!C53,CARGA!C:C,MAESTRO!$B$4)+SUMIFS(CARGA!K:K,CARGA!B:B,tabla!A53,CARGA!D:D,tabla!C53,CARGA!C:C,MAESTRO!$B$5)</f>
        <v>0</v>
      </c>
      <c r="K53" s="5" t="e">
        <f>+VLOOKUP(C53,#REF!,3,FALSE)</f>
        <v>#REF!</v>
      </c>
      <c r="L53" s="5" t="e">
        <f>+K53*I53</f>
        <v>#REF!</v>
      </c>
      <c r="M53" s="5" t="e">
        <f>+K53*J53</f>
        <v>#REF!</v>
      </c>
      <c r="N53" s="5" t="str">
        <f>+IF(G53+F53=0,"NO","SI")</f>
        <v>NO</v>
      </c>
      <c r="O53" s="5" t="e">
        <f>+VLOOKUP(C53,[2]Fondos!$F:$J,5,FALSE)</f>
        <v>#N/A</v>
      </c>
      <c r="P53" s="13" t="e">
        <f>+VLOOKUP(C53,[2]Fondos!$F:$K,6,FALSE)</f>
        <v>#N/A</v>
      </c>
      <c r="Q53" s="13" t="e">
        <f>+G53/O53</f>
        <v>#N/A</v>
      </c>
      <c r="R53" s="10" t="e">
        <f>+IF(Q53&gt;MAESTRO!$G$6,0,1)</f>
        <v>#N/A</v>
      </c>
      <c r="S53" t="e">
        <f>+IF(P53&lt;MAESTRO!$G$8,0,1)</f>
        <v>#N/A</v>
      </c>
      <c r="T53" s="10" t="e">
        <f>+R53+S53</f>
        <v>#N/A</v>
      </c>
      <c r="U53" t="e">
        <f>+IF(R53+S53=2,MAESTRO!$G$2,IF(R53+S53=0,MAESTRO!$G$5,IF(R53=0,MAESTRO!$G$3,IF(S53=0,MAESTRO!$G$4,))))</f>
        <v>#N/A</v>
      </c>
    </row>
    <row r="54" spans="1:21" x14ac:dyDescent="0.3">
      <c r="A54" t="s">
        <v>12</v>
      </c>
      <c r="B54" t="s">
        <v>22</v>
      </c>
      <c r="C54" t="s">
        <v>163</v>
      </c>
      <c r="D54" t="s">
        <v>141</v>
      </c>
      <c r="E54" s="24">
        <f>+F54+G54</f>
        <v>0</v>
      </c>
      <c r="F54" s="22">
        <f>-SUMIFS(CARGA!I:I,CARGA!B:B,tabla!A54,CARGA!D:D,tabla!C54,CARGA!C:C,MAESTRO!$B$4)-SUMIFS(CARGA!I:I,CARGA!B:B,tabla!A54,CARGA!D:D,tabla!C54,CARGA!C:C,MAESTRO!$B$5)</f>
        <v>0</v>
      </c>
      <c r="G54" s="5">
        <f>+SUMIFS(CARGA!I:I,CARGA!B:B,tabla!A54,CARGA!D:D,tabla!C54)</f>
        <v>0</v>
      </c>
      <c r="H54" s="5">
        <f>+SUMIFS(CARGA!K:K,CARGA!B:B,tabla!A54,CARGA!D:D,tabla!C54)</f>
        <v>0</v>
      </c>
      <c r="I54" s="5">
        <f>+H54+J54</f>
        <v>0</v>
      </c>
      <c r="J54" s="5">
        <f>-SUMIFS(CARGA!K:K,CARGA!B:B,tabla!A54,CARGA!D:D,tabla!C54,CARGA!C:C,MAESTRO!$B$4)+SUMIFS(CARGA!K:K,CARGA!B:B,tabla!A54,CARGA!D:D,tabla!C54,CARGA!C:C,MAESTRO!$B$5)</f>
        <v>0</v>
      </c>
      <c r="K54" s="5" t="e">
        <f>+VLOOKUP(C54,#REF!,3,FALSE)</f>
        <v>#REF!</v>
      </c>
      <c r="L54" s="5" t="e">
        <f>+K54*I54</f>
        <v>#REF!</v>
      </c>
      <c r="M54" s="5" t="e">
        <f>+K54*J54</f>
        <v>#REF!</v>
      </c>
      <c r="N54" s="5" t="str">
        <f>+IF(G54+F54=0,"NO","SI")</f>
        <v>NO</v>
      </c>
      <c r="O54" s="5" t="e">
        <f>+VLOOKUP(C54,[2]Fondos!$F:$J,5,FALSE)</f>
        <v>#N/A</v>
      </c>
      <c r="P54" s="13" t="e">
        <f>+VLOOKUP(C54,[2]Fondos!$F:$K,6,FALSE)</f>
        <v>#N/A</v>
      </c>
      <c r="Q54" s="13" t="e">
        <f>+G54/O54</f>
        <v>#N/A</v>
      </c>
      <c r="R54" s="10" t="e">
        <f>+IF(Q54&gt;MAESTRO!$G$6,0,1)</f>
        <v>#N/A</v>
      </c>
      <c r="S54" t="e">
        <f>+IF(P54&lt;MAESTRO!$G$8,0,1)</f>
        <v>#N/A</v>
      </c>
      <c r="T54" s="10" t="e">
        <f>+R54+S54</f>
        <v>#N/A</v>
      </c>
      <c r="U54" t="e">
        <f>+IF(R54+S54=2,MAESTRO!$G$2,IF(R54+S54=0,MAESTRO!$G$5,IF(R54=0,MAESTRO!$G$3,IF(S54=0,MAESTRO!$G$4,))))</f>
        <v>#N/A</v>
      </c>
    </row>
    <row r="55" spans="1:21" x14ac:dyDescent="0.3">
      <c r="A55" t="s">
        <v>12</v>
      </c>
      <c r="B55" t="s">
        <v>134</v>
      </c>
      <c r="C55" t="s">
        <v>164</v>
      </c>
      <c r="D55" t="s">
        <v>141</v>
      </c>
      <c r="E55" s="24"/>
      <c r="F55" s="22"/>
      <c r="O55" s="5"/>
      <c r="R55" s="10"/>
      <c r="T55" s="10"/>
    </row>
    <row r="56" spans="1:21" x14ac:dyDescent="0.3">
      <c r="A56" t="s">
        <v>12</v>
      </c>
      <c r="B56" t="s">
        <v>134</v>
      </c>
      <c r="C56" t="s">
        <v>136</v>
      </c>
      <c r="D56" t="s">
        <v>81</v>
      </c>
      <c r="E56" s="24">
        <f>+F56+G56</f>
        <v>0</v>
      </c>
      <c r="F56" s="22">
        <f>-SUMIFS(CARGA!I:I,CARGA!B:B,tabla!A56,CARGA!D:D,tabla!C56,CARGA!C:C,MAESTRO!$B$4)-SUMIFS(CARGA!I:I,CARGA!B:B,tabla!A56,CARGA!D:D,tabla!C56,CARGA!C:C,MAESTRO!$B$5)</f>
        <v>0</v>
      </c>
      <c r="G56" s="5">
        <f>+SUMIFS(CARGA!I:I,CARGA!B:B,tabla!A56,CARGA!D:D,tabla!C56)</f>
        <v>0</v>
      </c>
      <c r="H56" s="5">
        <f>+SUMIFS(CARGA!K:K,CARGA!B:B,tabla!A56,CARGA!D:D,tabla!C56)</f>
        <v>0</v>
      </c>
      <c r="I56" s="5">
        <f>+H56+J56</f>
        <v>0</v>
      </c>
      <c r="J56" s="5">
        <f>-SUMIFS(CARGA!K:K,CARGA!B:B,tabla!A56,CARGA!D:D,tabla!C56,CARGA!C:C,MAESTRO!$B$4)+SUMIFS(CARGA!K:K,CARGA!B:B,tabla!A56,CARGA!D:D,tabla!C56,CARGA!C:C,MAESTRO!$B$5)</f>
        <v>0</v>
      </c>
      <c r="K56" s="5" t="e">
        <f>+VLOOKUP(C56,#REF!,3,FALSE)</f>
        <v>#REF!</v>
      </c>
      <c r="L56" s="5" t="e">
        <f>+K56*I56</f>
        <v>#REF!</v>
      </c>
      <c r="M56" s="5" t="e">
        <f>+K56*J56</f>
        <v>#REF!</v>
      </c>
      <c r="N56" s="5" t="str">
        <f>+IF(G56+F56=0,"NO","SI")</f>
        <v>NO</v>
      </c>
      <c r="O56" s="5" t="e">
        <f>+VLOOKUP(C56,[2]Fondos!$F:$J,5,FALSE)</f>
        <v>#N/A</v>
      </c>
      <c r="P56" s="13" t="e">
        <f>+VLOOKUP(C56,[2]Fondos!$F:$K,6,FALSE)</f>
        <v>#N/A</v>
      </c>
      <c r="Q56" s="13" t="e">
        <f>+G56/O56</f>
        <v>#N/A</v>
      </c>
      <c r="R56" s="10" t="e">
        <f>+IF(Q56&gt;MAESTRO!$G$6,0,1)</f>
        <v>#N/A</v>
      </c>
      <c r="S56" t="e">
        <f>+IF(P56&lt;MAESTRO!$G$8,0,1)</f>
        <v>#N/A</v>
      </c>
      <c r="T56" s="10" t="e">
        <f>+R56+S56</f>
        <v>#N/A</v>
      </c>
      <c r="U56" t="e">
        <f>+IF(R56+S56=2,MAESTRO!$G$2,IF(R56+S56=0,MAESTRO!$G$5,IF(R56=0,MAESTRO!$G$3,IF(S56=0,MAESTRO!$G$4,))))</f>
        <v>#N/A</v>
      </c>
    </row>
    <row r="57" spans="1:21" x14ac:dyDescent="0.3">
      <c r="A57" t="s">
        <v>12</v>
      </c>
      <c r="B57" t="s">
        <v>134</v>
      </c>
      <c r="C57" t="s">
        <v>135</v>
      </c>
      <c r="D57" t="s">
        <v>82</v>
      </c>
      <c r="E57" s="24">
        <f>+F57+G57</f>
        <v>0</v>
      </c>
      <c r="F57" s="22">
        <f>-SUMIFS(CARGA!I:I,CARGA!B:B,tabla!A57,CARGA!D:D,tabla!C57,CARGA!C:C,MAESTRO!$B$4)-SUMIFS(CARGA!I:I,CARGA!B:B,tabla!A57,CARGA!D:D,tabla!C57,CARGA!C:C,MAESTRO!$B$5)</f>
        <v>0</v>
      </c>
      <c r="G57" s="5">
        <f>+SUMIFS(CARGA!I:I,CARGA!B:B,tabla!A57,CARGA!D:D,tabla!C57)</f>
        <v>0</v>
      </c>
      <c r="H57" s="5">
        <f>+SUMIFS(CARGA!K:K,CARGA!B:B,tabla!A57,CARGA!D:D,tabla!C57)</f>
        <v>0</v>
      </c>
      <c r="I57" s="5">
        <f>+H57+J57</f>
        <v>0</v>
      </c>
      <c r="J57" s="5">
        <f>-SUMIFS(CARGA!K:K,CARGA!B:B,tabla!A57,CARGA!D:D,tabla!C57,CARGA!C:C,MAESTRO!$B$4)+SUMIFS(CARGA!K:K,CARGA!B:B,tabla!A57,CARGA!D:D,tabla!C57,CARGA!C:C,MAESTRO!$B$5)</f>
        <v>0</v>
      </c>
      <c r="K57" s="5" t="e">
        <f>+VLOOKUP(C57,#REF!,3,FALSE)</f>
        <v>#REF!</v>
      </c>
      <c r="L57" s="5" t="e">
        <f>+K57*I57</f>
        <v>#REF!</v>
      </c>
      <c r="M57" s="5" t="e">
        <f>+K57*J57</f>
        <v>#REF!</v>
      </c>
      <c r="N57" s="5" t="str">
        <f>+IF(G57+F57=0,"NO","SI")</f>
        <v>NO</v>
      </c>
      <c r="O57" s="5" t="e">
        <f>+VLOOKUP(C57,[2]Fondos!$F:$J,5,FALSE)</f>
        <v>#N/A</v>
      </c>
      <c r="P57" s="13" t="e">
        <f>+VLOOKUP(C57,[2]Fondos!$F:$K,6,FALSE)</f>
        <v>#N/A</v>
      </c>
      <c r="Q57" s="13" t="e">
        <f>+G57/O57</f>
        <v>#N/A</v>
      </c>
      <c r="R57" s="10" t="e">
        <f>+IF(Q57&gt;MAESTRO!$G$6,0,1)</f>
        <v>#N/A</v>
      </c>
      <c r="S57" t="e">
        <f>+IF(P57&lt;MAESTRO!$G$8,0,1)</f>
        <v>#N/A</v>
      </c>
      <c r="T57" s="10" t="e">
        <f>+R57+S57</f>
        <v>#N/A</v>
      </c>
      <c r="U57" t="e">
        <f>+IF(R57+S57=2,MAESTRO!$G$2,IF(R57+S57=0,MAESTRO!$G$5,IF(R57=0,MAESTRO!$G$3,IF(S57=0,MAESTRO!$G$4,))))</f>
        <v>#N/A</v>
      </c>
    </row>
    <row r="58" spans="1:21" s="11" customFormat="1" x14ac:dyDescent="0.3">
      <c r="F58" s="12"/>
      <c r="G58" s="12"/>
      <c r="H58" s="12"/>
      <c r="I58" s="12"/>
      <c r="J58" s="12"/>
      <c r="K58" s="5"/>
      <c r="L58" s="12"/>
      <c r="M58" s="12"/>
      <c r="N58" s="12"/>
      <c r="P58" s="15"/>
      <c r="Q58" s="15"/>
    </row>
    <row r="59" spans="1:21" x14ac:dyDescent="0.3">
      <c r="A59" t="s">
        <v>13</v>
      </c>
      <c r="B59" t="s">
        <v>31</v>
      </c>
      <c r="C59" s="7" t="s">
        <v>50</v>
      </c>
      <c r="D59" t="s">
        <v>81</v>
      </c>
      <c r="E59" s="24">
        <f t="shared" ref="E59:E103" si="14">+F59+G59</f>
        <v>0</v>
      </c>
      <c r="F59" s="22">
        <f>-SUMIFS(CARGA!I:I,CARGA!B:B,tabla!A59,CARGA!D:D,tabla!C59,CARGA!C:C,MAESTRO!$B$4)-SUMIFS(CARGA!I:I,CARGA!B:B,tabla!A59,CARGA!D:D,tabla!C59,CARGA!C:C,MAESTRO!$B$5)</f>
        <v>0</v>
      </c>
      <c r="G59" s="5">
        <f>+SUMIFS(CARGA!I:I,CARGA!B:B,tabla!A59,CARGA!D:D,tabla!C59)</f>
        <v>0</v>
      </c>
      <c r="H59" s="5">
        <f>+SUMIFS(CARGA!K:K,CARGA!B:B,tabla!A59,CARGA!D:D,tabla!C59)</f>
        <v>0</v>
      </c>
      <c r="I59" s="5">
        <f t="shared" si="3"/>
        <v>0</v>
      </c>
      <c r="J59" s="5">
        <f>-SUMIFS(CARGA!K:K,CARGA!B:B,tabla!A59,CARGA!D:D,tabla!C59,CARGA!C:C,MAESTRO!$B$4)+SUMIFS(CARGA!K:K,CARGA!B:B,tabla!A59,CARGA!D:D,tabla!C59,CARGA!C:C,MAESTRO!$B$5)</f>
        <v>0</v>
      </c>
      <c r="K59" s="5" t="e">
        <f>+VLOOKUP(C59,#REF!,3,FALSE)</f>
        <v>#REF!</v>
      </c>
      <c r="L59" s="5" t="e">
        <f t="shared" si="4"/>
        <v>#REF!</v>
      </c>
      <c r="M59" s="5" t="e">
        <f t="shared" si="5"/>
        <v>#REF!</v>
      </c>
      <c r="N59" s="5" t="str">
        <f t="shared" ref="N59:N103" si="15">+IF(G59+F59=0,"NO","SI")</f>
        <v>NO</v>
      </c>
      <c r="O59" s="5">
        <f>+VLOOKUP(C59,[2]Fondos!$F:$J,5,FALSE)</f>
        <v>1817778903</v>
      </c>
      <c r="P59" s="13">
        <f>+VLOOKUP(C59,[2]Fondos!$F:$K,6,FALSE)</f>
        <v>0.23246230000000001</v>
      </c>
      <c r="Q59" s="13">
        <f t="shared" ref="Q59:Q103" si="16">+G59/O59</f>
        <v>0</v>
      </c>
      <c r="R59" s="10">
        <f>+IF(Q59&gt;MAESTRO!$G$6,0,1)</f>
        <v>1</v>
      </c>
      <c r="S59">
        <f>+IF(P59&lt;MAESTRO!$G$8,0,1)</f>
        <v>1</v>
      </c>
      <c r="T59" s="10">
        <f>+R59+S59</f>
        <v>2</v>
      </c>
      <c r="U59" t="str">
        <f>+IF(R59+S59=2,MAESTRO!$G$2,IF(R59+S59=0,MAESTRO!$G$5,IF(R59=0,MAESTRO!$G$3,IF(S59=0,MAESTRO!$G$4,))))</f>
        <v>cumple politica</v>
      </c>
    </row>
    <row r="60" spans="1:21" x14ac:dyDescent="0.3">
      <c r="A60" t="s">
        <v>13</v>
      </c>
      <c r="B60" t="s">
        <v>31</v>
      </c>
      <c r="C60" s="7" t="s">
        <v>70</v>
      </c>
      <c r="D60" t="s">
        <v>82</v>
      </c>
      <c r="E60" s="24">
        <f t="shared" si="14"/>
        <v>0</v>
      </c>
      <c r="F60" s="22">
        <f>-SUMIFS(CARGA!I:I,CARGA!B:B,tabla!A60,CARGA!D:D,tabla!C60,CARGA!C:C,MAESTRO!$B$4)-SUMIFS(CARGA!I:I,CARGA!B:B,tabla!A60,CARGA!D:D,tabla!C60,CARGA!C:C,MAESTRO!$B$5)</f>
        <v>0</v>
      </c>
      <c r="G60" s="5">
        <f>+SUMIFS(CARGA!I:I,CARGA!B:B,tabla!A60,CARGA!D:D,tabla!C60)</f>
        <v>0</v>
      </c>
      <c r="H60" s="5">
        <f>+SUMIFS(CARGA!K:K,CARGA!B:B,tabla!A60,CARGA!D:D,tabla!C60)</f>
        <v>0</v>
      </c>
      <c r="I60" s="5">
        <f t="shared" si="3"/>
        <v>0</v>
      </c>
      <c r="J60" s="5">
        <f>-SUMIFS(CARGA!K:K,CARGA!B:B,tabla!A60,CARGA!D:D,tabla!C60,CARGA!C:C,MAESTRO!$B$4)+SUMIFS(CARGA!K:K,CARGA!B:B,tabla!A60,CARGA!D:D,tabla!C60,CARGA!C:C,MAESTRO!$B$5)</f>
        <v>0</v>
      </c>
      <c r="K60" s="5" t="e">
        <f>+VLOOKUP(C60,#REF!,3,FALSE)</f>
        <v>#REF!</v>
      </c>
      <c r="L60" s="5" t="e">
        <f t="shared" si="4"/>
        <v>#REF!</v>
      </c>
      <c r="M60" s="5" t="e">
        <f t="shared" si="5"/>
        <v>#REF!</v>
      </c>
      <c r="N60" s="5" t="str">
        <f t="shared" si="15"/>
        <v>NO</v>
      </c>
      <c r="O60" s="5">
        <f>+VLOOKUP(C60,[2]Fondos!$F:$J,5,FALSE)</f>
        <v>6506463370</v>
      </c>
      <c r="P60" s="13" t="e">
        <f>+VLOOKUP(C60,[2]Fondos!$F:$K,6,FALSE)</f>
        <v>#VALUE!</v>
      </c>
      <c r="Q60" s="13">
        <f t="shared" si="16"/>
        <v>0</v>
      </c>
      <c r="R60" s="10">
        <f>+IF(Q60&gt;MAESTRO!$G$6,0,1)</f>
        <v>1</v>
      </c>
      <c r="S60" t="e">
        <f>+IF(P60&lt;MAESTRO!$G$8,0,1)</f>
        <v>#VALUE!</v>
      </c>
      <c r="T60" s="10" t="e">
        <f t="shared" ref="T60:T103" si="17">+R60+S60</f>
        <v>#VALUE!</v>
      </c>
      <c r="U60" t="e">
        <f>+IF(R60+S60=2,MAESTRO!$G$2,IF(R60+S60=0,MAESTRO!$G$5,IF(R60=0,MAESTRO!$G$3,IF(S60=0,MAESTRO!$G$4,))))</f>
        <v>#VALUE!</v>
      </c>
    </row>
    <row r="61" spans="1:21" x14ac:dyDescent="0.3">
      <c r="A61" t="s">
        <v>13</v>
      </c>
      <c r="B61" t="s">
        <v>31</v>
      </c>
      <c r="C61" s="7" t="s">
        <v>69</v>
      </c>
      <c r="D61" t="s">
        <v>82</v>
      </c>
      <c r="E61" s="24">
        <f t="shared" si="14"/>
        <v>0</v>
      </c>
      <c r="F61" s="22">
        <f>-SUMIFS(CARGA!I:I,CARGA!B:B,tabla!A61,CARGA!D:D,tabla!C61,CARGA!C:C,MAESTRO!$B$4)-SUMIFS(CARGA!I:I,CARGA!B:B,tabla!A61,CARGA!D:D,tabla!C61,CARGA!C:C,MAESTRO!$B$5)</f>
        <v>0</v>
      </c>
      <c r="G61" s="5">
        <f>+SUMIFS(CARGA!I:I,CARGA!B:B,tabla!A61,CARGA!D:D,tabla!C61)</f>
        <v>0</v>
      </c>
      <c r="H61" s="5">
        <f>+SUMIFS(CARGA!K:K,CARGA!B:B,tabla!A61,CARGA!D:D,tabla!C61)</f>
        <v>0</v>
      </c>
      <c r="I61" s="5">
        <f t="shared" si="3"/>
        <v>0</v>
      </c>
      <c r="J61" s="5">
        <f>-SUMIFS(CARGA!K:K,CARGA!B:B,tabla!A61,CARGA!D:D,tabla!C61,CARGA!C:C,MAESTRO!$B$4)+SUMIFS(CARGA!K:K,CARGA!B:B,tabla!A61,CARGA!D:D,tabla!C61,CARGA!C:C,MAESTRO!$B$5)</f>
        <v>0</v>
      </c>
      <c r="K61" s="5" t="e">
        <f>+VLOOKUP(C61,#REF!,3,FALSE)</f>
        <v>#REF!</v>
      </c>
      <c r="L61" s="5" t="e">
        <f t="shared" si="4"/>
        <v>#REF!</v>
      </c>
      <c r="M61" s="5" t="e">
        <f t="shared" si="5"/>
        <v>#REF!</v>
      </c>
      <c r="N61" s="5" t="str">
        <f t="shared" si="15"/>
        <v>NO</v>
      </c>
      <c r="O61" s="5">
        <f>+VLOOKUP(C61,[2]Fondos!$F:$J,5,FALSE)</f>
        <v>39848036</v>
      </c>
      <c r="P61" s="13" t="e">
        <f>+VLOOKUP(C61,[2]Fondos!$F:$K,6,FALSE)</f>
        <v>#VALUE!</v>
      </c>
      <c r="Q61" s="13">
        <f t="shared" si="16"/>
        <v>0</v>
      </c>
      <c r="R61" s="10">
        <f>+IF(Q61&gt;MAESTRO!$G$6,0,1)</f>
        <v>1</v>
      </c>
      <c r="S61" t="e">
        <f>+IF(P61&lt;MAESTRO!$G$8,0,1)</f>
        <v>#VALUE!</v>
      </c>
      <c r="T61" s="10" t="e">
        <f t="shared" si="17"/>
        <v>#VALUE!</v>
      </c>
      <c r="U61" t="e">
        <f>+IF(R61+S61=2,MAESTRO!$G$2,IF(R61+S61=0,MAESTRO!$G$5,IF(R61=0,MAESTRO!$G$3,IF(S61=0,MAESTRO!$G$4,))))</f>
        <v>#VALUE!</v>
      </c>
    </row>
    <row r="62" spans="1:21" x14ac:dyDescent="0.3">
      <c r="A62" t="s">
        <v>13</v>
      </c>
      <c r="B62" t="s">
        <v>33</v>
      </c>
      <c r="C62" s="7" t="s">
        <v>52</v>
      </c>
      <c r="D62" t="s">
        <v>81</v>
      </c>
      <c r="E62" s="24">
        <f t="shared" si="14"/>
        <v>0</v>
      </c>
      <c r="F62" s="22">
        <f>-SUMIFS(CARGA!I:I,CARGA!B:B,tabla!A62,CARGA!D:D,tabla!C62,CARGA!C:C,MAESTRO!$B$4)-SUMIFS(CARGA!I:I,CARGA!B:B,tabla!A62,CARGA!D:D,tabla!C62,CARGA!C:C,MAESTRO!$B$5)</f>
        <v>0</v>
      </c>
      <c r="G62" s="5">
        <f>+SUMIFS(CARGA!I:I,CARGA!B:B,tabla!A62,CARGA!D:D,tabla!C62)</f>
        <v>0</v>
      </c>
      <c r="H62" s="5">
        <f>+SUMIFS(CARGA!K:K,CARGA!B:B,tabla!A62,CARGA!D:D,tabla!C62)</f>
        <v>0</v>
      </c>
      <c r="I62" s="5">
        <f t="shared" si="3"/>
        <v>0</v>
      </c>
      <c r="J62" s="5">
        <f>-SUMIFS(CARGA!K:K,CARGA!B:B,tabla!A62,CARGA!D:D,tabla!C62,CARGA!C:C,MAESTRO!$B$4)+SUMIFS(CARGA!K:K,CARGA!B:B,tabla!A62,CARGA!D:D,tabla!C62,CARGA!C:C,MAESTRO!$B$5)</f>
        <v>0</v>
      </c>
      <c r="K62" s="5" t="e">
        <f>+VLOOKUP(C62,#REF!,3,FALSE)</f>
        <v>#REF!</v>
      </c>
      <c r="L62" s="5" t="e">
        <f t="shared" si="4"/>
        <v>#REF!</v>
      </c>
      <c r="M62" s="5" t="e">
        <f t="shared" si="5"/>
        <v>#REF!</v>
      </c>
      <c r="N62" s="5" t="str">
        <f t="shared" si="15"/>
        <v>NO</v>
      </c>
      <c r="O62" s="5">
        <f>+VLOOKUP(C62,[2]Fondos!$F:$J,5,FALSE)</f>
        <v>3875956517</v>
      </c>
      <c r="P62" s="13">
        <f>+VLOOKUP(C62,[2]Fondos!$F:$K,6,FALSE)</f>
        <v>0.23267859999999999</v>
      </c>
      <c r="Q62" s="13">
        <f t="shared" si="16"/>
        <v>0</v>
      </c>
      <c r="R62" s="10">
        <f>+IF(Q62&gt;MAESTRO!$G$6,0,1)</f>
        <v>1</v>
      </c>
      <c r="S62">
        <f>+IF(P62&lt;MAESTRO!$G$8,0,1)</f>
        <v>1</v>
      </c>
      <c r="T62" s="10">
        <f t="shared" si="17"/>
        <v>2</v>
      </c>
      <c r="U62" t="str">
        <f>+IF(R62+S62=2,MAESTRO!$G$2,IF(R62+S62=0,MAESTRO!$G$5,IF(R62=0,MAESTRO!$G$3,IF(S62=0,MAESTRO!$G$4,))))</f>
        <v>cumple politica</v>
      </c>
    </row>
    <row r="63" spans="1:21" x14ac:dyDescent="0.3">
      <c r="A63" t="s">
        <v>13</v>
      </c>
      <c r="B63" t="s">
        <v>33</v>
      </c>
      <c r="C63" s="7" t="s">
        <v>74</v>
      </c>
      <c r="D63" t="s">
        <v>82</v>
      </c>
      <c r="E63" s="24">
        <f t="shared" si="14"/>
        <v>0</v>
      </c>
      <c r="F63" s="22">
        <f>-SUMIFS(CARGA!I:I,CARGA!B:B,tabla!A63,CARGA!D:D,tabla!C63,CARGA!C:C,MAESTRO!$B$4)-SUMIFS(CARGA!I:I,CARGA!B:B,tabla!A63,CARGA!D:D,tabla!C63,CARGA!C:C,MAESTRO!$B$5)</f>
        <v>0</v>
      </c>
      <c r="G63" s="5">
        <f>+SUMIFS(CARGA!I:I,CARGA!B:B,tabla!A63,CARGA!D:D,tabla!C63)</f>
        <v>0</v>
      </c>
      <c r="H63" s="5">
        <f>+SUMIFS(CARGA!K:K,CARGA!B:B,tabla!A63,CARGA!D:D,tabla!C63)</f>
        <v>0</v>
      </c>
      <c r="I63" s="5">
        <f t="shared" si="3"/>
        <v>0</v>
      </c>
      <c r="J63" s="5">
        <f>-SUMIFS(CARGA!K:K,CARGA!B:B,tabla!A63,CARGA!D:D,tabla!C63,CARGA!C:C,MAESTRO!$B$4)+SUMIFS(CARGA!K:K,CARGA!B:B,tabla!A63,CARGA!D:D,tabla!C63,CARGA!C:C,MAESTRO!$B$5)</f>
        <v>0</v>
      </c>
      <c r="K63" s="5" t="e">
        <f>+VLOOKUP(C63,#REF!,3,FALSE)</f>
        <v>#REF!</v>
      </c>
      <c r="L63" s="5" t="e">
        <f t="shared" si="4"/>
        <v>#REF!</v>
      </c>
      <c r="M63" s="5" t="e">
        <f t="shared" si="5"/>
        <v>#REF!</v>
      </c>
      <c r="N63" s="5" t="str">
        <f t="shared" si="15"/>
        <v>NO</v>
      </c>
      <c r="O63" s="5">
        <f>+VLOOKUP(C63,[2]Fondos!$F:$J,5,FALSE)</f>
        <v>8775783683</v>
      </c>
      <c r="P63" s="13">
        <f>+VLOOKUP(C63,[2]Fondos!$F:$K,6,FALSE)</f>
        <v>0.2640304</v>
      </c>
      <c r="Q63" s="13">
        <f t="shared" si="16"/>
        <v>0</v>
      </c>
      <c r="R63" s="10">
        <f>+IF(Q63&gt;MAESTRO!$G$6,0,1)</f>
        <v>1</v>
      </c>
      <c r="S63">
        <f>+IF(P63&lt;MAESTRO!$G$8,0,1)</f>
        <v>1</v>
      </c>
      <c r="T63" s="10">
        <f t="shared" si="17"/>
        <v>2</v>
      </c>
      <c r="U63" t="str">
        <f>+IF(R63+S63=2,MAESTRO!$G$2,IF(R63+S63=0,MAESTRO!$G$5,IF(R63=0,MAESTRO!$G$3,IF(S63=0,MAESTRO!$G$4,))))</f>
        <v>cumple politica</v>
      </c>
    </row>
    <row r="64" spans="1:21" x14ac:dyDescent="0.3">
      <c r="A64" t="s">
        <v>13</v>
      </c>
      <c r="B64" t="s">
        <v>27</v>
      </c>
      <c r="C64" t="s">
        <v>63</v>
      </c>
      <c r="D64" t="s">
        <v>82</v>
      </c>
      <c r="E64" s="24">
        <f t="shared" si="14"/>
        <v>0</v>
      </c>
      <c r="F64" s="22">
        <f>-SUMIFS(CARGA!I:I,CARGA!B:B,tabla!A64,CARGA!D:D,tabla!C64,CARGA!C:C,MAESTRO!$B$4)-SUMIFS(CARGA!I:I,CARGA!B:B,tabla!A64,CARGA!D:D,tabla!C64,CARGA!C:C,MAESTRO!$B$5)</f>
        <v>0</v>
      </c>
      <c r="G64" s="5">
        <f>+SUMIFS(CARGA!I:I,CARGA!B:B,tabla!A64,CARGA!D:D,tabla!C64)</f>
        <v>0</v>
      </c>
      <c r="H64" s="5">
        <f>+SUMIFS(CARGA!K:K,CARGA!B:B,tabla!A64,CARGA!D:D,tabla!C64)</f>
        <v>0</v>
      </c>
      <c r="I64" s="5">
        <f t="shared" si="3"/>
        <v>0</v>
      </c>
      <c r="J64" s="5">
        <f>-SUMIFS(CARGA!K:K,CARGA!B:B,tabla!A64,CARGA!D:D,tabla!C64,CARGA!C:C,MAESTRO!$B$4)+SUMIFS(CARGA!K:K,CARGA!B:B,tabla!A64,CARGA!D:D,tabla!C64,CARGA!C:C,MAESTRO!$B$5)</f>
        <v>0</v>
      </c>
      <c r="K64" s="5" t="e">
        <f>+VLOOKUP(C64,#REF!,3,FALSE)</f>
        <v>#REF!</v>
      </c>
      <c r="L64" s="5" t="e">
        <f t="shared" si="4"/>
        <v>#REF!</v>
      </c>
      <c r="M64" s="5" t="e">
        <f t="shared" si="5"/>
        <v>#REF!</v>
      </c>
      <c r="N64" s="5" t="str">
        <f t="shared" si="15"/>
        <v>NO</v>
      </c>
      <c r="O64" s="5">
        <f>+VLOOKUP(C64,[2]Fondos!$F:$J,5,FALSE)</f>
        <v>14114977659</v>
      </c>
      <c r="P64" s="13">
        <f>+VLOOKUP(C64,[2]Fondos!$F:$K,6,FALSE)</f>
        <v>0.26056640000000003</v>
      </c>
      <c r="Q64" s="13">
        <f t="shared" si="16"/>
        <v>0</v>
      </c>
      <c r="R64" s="10">
        <f>+IF(Q64&gt;MAESTRO!$G$6,0,1)</f>
        <v>1</v>
      </c>
      <c r="S64">
        <f>+IF(P64&lt;MAESTRO!$G$8,0,1)</f>
        <v>1</v>
      </c>
      <c r="T64" s="10">
        <f t="shared" si="17"/>
        <v>2</v>
      </c>
      <c r="U64" t="str">
        <f>+IF(R64+S64=2,MAESTRO!$G$2,IF(R64+S64=0,MAESTRO!$G$5,IF(R64=0,MAESTRO!$G$3,IF(S64=0,MAESTRO!$G$4,))))</f>
        <v>cumple politica</v>
      </c>
    </row>
    <row r="65" spans="1:21" x14ac:dyDescent="0.3">
      <c r="A65" t="s">
        <v>13</v>
      </c>
      <c r="B65" t="s">
        <v>27</v>
      </c>
      <c r="C65" t="s">
        <v>47</v>
      </c>
      <c r="D65" t="s">
        <v>81</v>
      </c>
      <c r="E65" s="24">
        <f t="shared" si="14"/>
        <v>0</v>
      </c>
      <c r="F65" s="22">
        <f>-SUMIFS(CARGA!I:I,CARGA!B:B,tabla!A65,CARGA!D:D,tabla!C65,CARGA!C:C,MAESTRO!$B$4)-SUMIFS(CARGA!I:I,CARGA!B:B,tabla!A65,CARGA!D:D,tabla!C65,CARGA!C:C,MAESTRO!$B$5)</f>
        <v>0</v>
      </c>
      <c r="G65" s="5">
        <f>+SUMIFS(CARGA!I:I,CARGA!B:B,tabla!A65,CARGA!D:D,tabla!C65)</f>
        <v>0</v>
      </c>
      <c r="H65" s="5">
        <f>+SUMIFS(CARGA!K:K,CARGA!B:B,tabla!A65,CARGA!D:D,tabla!C65)</f>
        <v>0</v>
      </c>
      <c r="I65" s="5">
        <f t="shared" si="3"/>
        <v>0</v>
      </c>
      <c r="J65" s="5">
        <f>-SUMIFS(CARGA!K:K,CARGA!B:B,tabla!A65,CARGA!D:D,tabla!C65,CARGA!C:C,MAESTRO!$B$4)+SUMIFS(CARGA!K:K,CARGA!B:B,tabla!A65,CARGA!D:D,tabla!C65,CARGA!C:C,MAESTRO!$B$5)</f>
        <v>0</v>
      </c>
      <c r="K65" s="5" t="e">
        <f>+VLOOKUP(C65,#REF!,3,FALSE)</f>
        <v>#REF!</v>
      </c>
      <c r="L65" s="5" t="e">
        <f t="shared" si="4"/>
        <v>#REF!</v>
      </c>
      <c r="M65" s="5" t="e">
        <f t="shared" si="5"/>
        <v>#REF!</v>
      </c>
      <c r="N65" s="5" t="str">
        <f t="shared" si="15"/>
        <v>NO</v>
      </c>
      <c r="O65" s="5">
        <f>+VLOOKUP(C65,[2]Fondos!$F:$J,5,FALSE)</f>
        <v>1977335292</v>
      </c>
      <c r="P65" s="13">
        <f>+VLOOKUP(C65,[2]Fondos!$F:$K,6,FALSE)</f>
        <v>0.19354769999999999</v>
      </c>
      <c r="Q65" s="13">
        <f t="shared" si="16"/>
        <v>0</v>
      </c>
      <c r="R65" s="10">
        <f>+IF(Q65&gt;MAESTRO!$G$6,0,1)</f>
        <v>1</v>
      </c>
      <c r="S65">
        <f>+IF(P65&lt;MAESTRO!$G$8,0,1)</f>
        <v>1</v>
      </c>
      <c r="T65" s="10">
        <f t="shared" si="17"/>
        <v>2</v>
      </c>
      <c r="U65" t="str">
        <f>+IF(R65+S65=2,MAESTRO!$G$2,IF(R65+S65=0,MAESTRO!$G$5,IF(R65=0,MAESTRO!$G$3,IF(S65=0,MAESTRO!$G$4,))))</f>
        <v>cumple politica</v>
      </c>
    </row>
    <row r="66" spans="1:21" x14ac:dyDescent="0.3">
      <c r="A66" t="s">
        <v>13</v>
      </c>
      <c r="B66" t="s">
        <v>27</v>
      </c>
      <c r="C66" t="s">
        <v>42</v>
      </c>
      <c r="D66" t="s">
        <v>81</v>
      </c>
      <c r="E66" s="24">
        <f t="shared" si="14"/>
        <v>0</v>
      </c>
      <c r="F66" s="22">
        <f>-SUMIFS(CARGA!I:I,CARGA!B:B,tabla!A66,CARGA!D:D,tabla!C66,CARGA!C:C,MAESTRO!$B$4)-SUMIFS(CARGA!I:I,CARGA!B:B,tabla!A66,CARGA!D:D,tabla!C66,CARGA!C:C,MAESTRO!$B$5)</f>
        <v>0</v>
      </c>
      <c r="G66" s="5">
        <f>+SUMIFS(CARGA!I:I,CARGA!B:B,tabla!A66,CARGA!D:D,tabla!C66)</f>
        <v>0</v>
      </c>
      <c r="H66" s="5">
        <f>+SUMIFS(CARGA!K:K,CARGA!B:B,tabla!A66,CARGA!D:D,tabla!C66)</f>
        <v>0</v>
      </c>
      <c r="I66" s="5">
        <f t="shared" si="3"/>
        <v>0</v>
      </c>
      <c r="J66" s="5">
        <f>-SUMIFS(CARGA!K:K,CARGA!B:B,tabla!A66,CARGA!D:D,tabla!C66,CARGA!C:C,MAESTRO!$B$4)+SUMIFS(CARGA!K:K,CARGA!B:B,tabla!A66,CARGA!D:D,tabla!C66,CARGA!C:C,MAESTRO!$B$5)</f>
        <v>0</v>
      </c>
      <c r="K66" s="5" t="e">
        <f>+VLOOKUP(C66,#REF!,3,FALSE)</f>
        <v>#REF!</v>
      </c>
      <c r="L66" s="5" t="e">
        <f t="shared" si="4"/>
        <v>#REF!</v>
      </c>
      <c r="M66" s="5" t="e">
        <f t="shared" si="5"/>
        <v>#REF!</v>
      </c>
      <c r="N66" s="5" t="str">
        <f t="shared" si="15"/>
        <v>NO</v>
      </c>
      <c r="O66" s="5">
        <f>+VLOOKUP(C66,[2]Fondos!$F:$J,5,FALSE)</f>
        <v>2171371244</v>
      </c>
      <c r="P66" s="13">
        <f>+VLOOKUP(C66,[2]Fondos!$F:$K,6,FALSE)</f>
        <v>0.2113614</v>
      </c>
      <c r="Q66" s="13">
        <f t="shared" si="16"/>
        <v>0</v>
      </c>
      <c r="R66" s="10">
        <f>+IF(Q66&gt;MAESTRO!$G$6,0,1)</f>
        <v>1</v>
      </c>
      <c r="S66">
        <f>+IF(P66&lt;MAESTRO!$G$8,0,1)</f>
        <v>1</v>
      </c>
      <c r="T66" s="10">
        <f t="shared" si="17"/>
        <v>2</v>
      </c>
      <c r="U66" t="str">
        <f>+IF(R66+S66=2,MAESTRO!$G$2,IF(R66+S66=0,MAESTRO!$G$5,IF(R66=0,MAESTRO!$G$3,IF(S66=0,MAESTRO!$G$4,))))</f>
        <v>cumple politica</v>
      </c>
    </row>
    <row r="67" spans="1:21" x14ac:dyDescent="0.3">
      <c r="A67" t="s">
        <v>13</v>
      </c>
      <c r="B67" t="s">
        <v>27</v>
      </c>
      <c r="C67" t="s">
        <v>78</v>
      </c>
      <c r="D67" t="s">
        <v>82</v>
      </c>
      <c r="E67" s="24">
        <f t="shared" si="14"/>
        <v>0</v>
      </c>
      <c r="F67" s="22">
        <f>-SUMIFS(CARGA!I:I,CARGA!B:B,tabla!A67,CARGA!D:D,tabla!C67,CARGA!C:C,MAESTRO!$B$4)-SUMIFS(CARGA!I:I,CARGA!B:B,tabla!A67,CARGA!D:D,tabla!C67,CARGA!C:C,MAESTRO!$B$5)</f>
        <v>0</v>
      </c>
      <c r="G67" s="5">
        <f>+SUMIFS(CARGA!I:I,CARGA!B:B,tabla!A67,CARGA!D:D,tabla!C67)</f>
        <v>0</v>
      </c>
      <c r="H67" s="5">
        <f>+SUMIFS(CARGA!K:K,CARGA!B:B,tabla!A67,CARGA!D:D,tabla!C67)</f>
        <v>0</v>
      </c>
      <c r="I67" s="5">
        <f t="shared" si="3"/>
        <v>0</v>
      </c>
      <c r="J67" s="5">
        <f>-SUMIFS(CARGA!K:K,CARGA!B:B,tabla!A67,CARGA!D:D,tabla!C67,CARGA!C:C,MAESTRO!$B$4)+SUMIFS(CARGA!K:K,CARGA!B:B,tabla!A67,CARGA!D:D,tabla!C67,CARGA!C:C,MAESTRO!$B$5)</f>
        <v>0</v>
      </c>
      <c r="K67" s="5" t="e">
        <f>+VLOOKUP(C67,#REF!,3,FALSE)</f>
        <v>#REF!</v>
      </c>
      <c r="L67" s="5" t="e">
        <f t="shared" si="4"/>
        <v>#REF!</v>
      </c>
      <c r="M67" s="5" t="e">
        <f t="shared" si="5"/>
        <v>#REF!</v>
      </c>
      <c r="N67" s="5" t="str">
        <f t="shared" si="15"/>
        <v>NO</v>
      </c>
      <c r="O67" s="5">
        <f>+VLOOKUP(C67,[2]Fondos!$F:$J,5,FALSE)</f>
        <v>234619684</v>
      </c>
      <c r="P67" s="13">
        <f>+VLOOKUP(C67,[2]Fondos!$F:$K,6,FALSE)</f>
        <v>0.26737729999999998</v>
      </c>
      <c r="Q67" s="13">
        <f t="shared" si="16"/>
        <v>0</v>
      </c>
      <c r="R67" s="10">
        <f>+IF(Q67&gt;MAESTRO!$G$6,0,1)</f>
        <v>1</v>
      </c>
      <c r="S67">
        <f>+IF(P67&lt;MAESTRO!$G$8,0,1)</f>
        <v>1</v>
      </c>
      <c r="T67" s="10">
        <f t="shared" si="17"/>
        <v>2</v>
      </c>
      <c r="U67" t="str">
        <f>+IF(R67+S67=2,MAESTRO!$G$2,IF(R67+S67=0,MAESTRO!$G$5,IF(R67=0,MAESTRO!$G$3,IF(S67=0,MAESTRO!$G$4,))))</f>
        <v>cumple politica</v>
      </c>
    </row>
    <row r="68" spans="1:21" x14ac:dyDescent="0.3">
      <c r="A68" t="s">
        <v>13</v>
      </c>
      <c r="B68" t="s">
        <v>109</v>
      </c>
      <c r="C68" t="s">
        <v>75</v>
      </c>
      <c r="D68" t="s">
        <v>82</v>
      </c>
      <c r="E68" s="24">
        <f t="shared" si="14"/>
        <v>0</v>
      </c>
      <c r="F68" s="22">
        <f>-SUMIFS(CARGA!I:I,CARGA!B:B,tabla!A68,CARGA!D:D,tabla!C68,CARGA!C:C,MAESTRO!$B$4)-SUMIFS(CARGA!I:I,CARGA!B:B,tabla!A68,CARGA!D:D,tabla!C68,CARGA!C:C,MAESTRO!$B$5)</f>
        <v>0</v>
      </c>
      <c r="G68" s="5">
        <f>+SUMIFS(CARGA!I:I,CARGA!B:B,tabla!A68,CARGA!D:D,tabla!C68)</f>
        <v>0</v>
      </c>
      <c r="H68" s="5">
        <f>+SUMIFS(CARGA!K:K,CARGA!B:B,tabla!A68,CARGA!D:D,tabla!C68)</f>
        <v>0</v>
      </c>
      <c r="I68" s="5">
        <f t="shared" si="3"/>
        <v>0</v>
      </c>
      <c r="J68" s="5">
        <f>-SUMIFS(CARGA!K:K,CARGA!B:B,tabla!A68,CARGA!D:D,tabla!C68,CARGA!C:C,MAESTRO!$B$4)+SUMIFS(CARGA!K:K,CARGA!B:B,tabla!A68,CARGA!D:D,tabla!C68,CARGA!C:C,MAESTRO!$B$5)</f>
        <v>0</v>
      </c>
      <c r="K68" s="5" t="e">
        <f>+VLOOKUP(C68,#REF!,3,FALSE)</f>
        <v>#REF!</v>
      </c>
      <c r="L68" s="5" t="e">
        <f t="shared" si="4"/>
        <v>#REF!</v>
      </c>
      <c r="M68" s="5" t="e">
        <f t="shared" si="5"/>
        <v>#REF!</v>
      </c>
      <c r="N68" s="5" t="str">
        <f t="shared" si="15"/>
        <v>NO</v>
      </c>
      <c r="O68" s="5">
        <f>+VLOOKUP(C68,[2]Fondos!$F:$J,5,FALSE)</f>
        <v>1696672499</v>
      </c>
      <c r="P68" s="13">
        <f>+VLOOKUP(C68,[2]Fondos!$F:$K,6,FALSE)</f>
        <v>0.24191749999999998</v>
      </c>
      <c r="Q68" s="13">
        <f t="shared" si="16"/>
        <v>0</v>
      </c>
      <c r="R68" s="10">
        <f>+IF(Q68&gt;MAESTRO!$G$6,0,1)</f>
        <v>1</v>
      </c>
      <c r="S68">
        <f>+IF(P68&lt;MAESTRO!$G$8,0,1)</f>
        <v>1</v>
      </c>
      <c r="T68" s="10">
        <f t="shared" si="17"/>
        <v>2</v>
      </c>
      <c r="U68" t="str">
        <f>+IF(R68+S68=2,MAESTRO!$G$2,IF(R68+S68=0,MAESTRO!$G$5,IF(R68=0,MAESTRO!$G$3,IF(S68=0,MAESTRO!$G$4,))))</f>
        <v>cumple politica</v>
      </c>
    </row>
    <row r="69" spans="1:21" x14ac:dyDescent="0.3">
      <c r="A69" t="s">
        <v>13</v>
      </c>
      <c r="B69" s="20" t="s">
        <v>35</v>
      </c>
      <c r="C69" s="20" t="s">
        <v>75</v>
      </c>
      <c r="D69" s="20" t="s">
        <v>83</v>
      </c>
      <c r="E69" s="24">
        <f t="shared" si="14"/>
        <v>0</v>
      </c>
      <c r="F69" s="22">
        <f>-SUMIFS(CARGA!I:I,CARGA!B:B,tabla!A69,CARGA!D:D,tabla!C69,CARGA!C:C,MAESTRO!$B$4)-SUMIFS(CARGA!I:I,CARGA!B:B,tabla!A69,CARGA!D:D,tabla!C69,CARGA!C:C,MAESTRO!$B$5)</f>
        <v>0</v>
      </c>
      <c r="G69" s="5">
        <f>+SUMIFS(CARGA!I:I,CARGA!B:B,tabla!A69,CARGA!D:D,tabla!C69)</f>
        <v>0</v>
      </c>
      <c r="H69" s="5">
        <f>+SUMIFS(CARGA!K:K,CARGA!B:B,tabla!A69,CARGA!D:D,tabla!C69)</f>
        <v>0</v>
      </c>
      <c r="I69" s="5">
        <f t="shared" si="3"/>
        <v>0</v>
      </c>
      <c r="J69" s="5">
        <f>-SUMIFS(CARGA!K:K,CARGA!B:B,tabla!A69,CARGA!D:D,tabla!C69,CARGA!C:C,MAESTRO!$B$4)+SUMIFS(CARGA!K:K,CARGA!B:B,tabla!A69,CARGA!D:D,tabla!C69,CARGA!C:C,MAESTRO!$B$5)</f>
        <v>0</v>
      </c>
      <c r="K69" s="5" t="e">
        <f>+VLOOKUP(C69,#REF!,3,FALSE)</f>
        <v>#REF!</v>
      </c>
      <c r="L69" s="5" t="e">
        <f t="shared" si="4"/>
        <v>#REF!</v>
      </c>
      <c r="M69" s="5" t="e">
        <f t="shared" si="5"/>
        <v>#REF!</v>
      </c>
      <c r="N69" s="5" t="str">
        <f t="shared" si="15"/>
        <v>NO</v>
      </c>
      <c r="O69" s="5">
        <f>+VLOOKUP(C69,[2]Fondos!$F:$J,5,FALSE)</f>
        <v>1696672499</v>
      </c>
      <c r="P69" s="13">
        <f>+VLOOKUP(C69,[2]Fondos!$F:$K,6,FALSE)</f>
        <v>0.24191749999999998</v>
      </c>
      <c r="Q69" s="13">
        <f t="shared" si="16"/>
        <v>0</v>
      </c>
      <c r="R69" s="10">
        <f>+IF(Q69&gt;MAESTRO!$G$6,0,1)</f>
        <v>1</v>
      </c>
      <c r="S69">
        <f>+IF(P69&lt;MAESTRO!$G$8,0,1)</f>
        <v>1</v>
      </c>
      <c r="T69" s="10">
        <f t="shared" si="17"/>
        <v>2</v>
      </c>
      <c r="U69" t="str">
        <f>+IF(R69+S69=2,MAESTRO!$G$2,IF(R69+S69=0,MAESTRO!$G$5,IF(R69=0,MAESTRO!$G$3,IF(S69=0,MAESTRO!$G$4,))))</f>
        <v>cumple politica</v>
      </c>
    </row>
    <row r="70" spans="1:21" x14ac:dyDescent="0.3">
      <c r="A70" t="s">
        <v>13</v>
      </c>
      <c r="B70" t="s">
        <v>109</v>
      </c>
      <c r="C70" t="s">
        <v>76</v>
      </c>
      <c r="D70" t="s">
        <v>82</v>
      </c>
      <c r="E70" s="24">
        <f t="shared" si="14"/>
        <v>0</v>
      </c>
      <c r="F70" s="22">
        <f>-SUMIFS(CARGA!I:I,CARGA!B:B,tabla!A70,CARGA!D:D,tabla!C70,CARGA!C:C,MAESTRO!$B$4)-SUMIFS(CARGA!I:I,CARGA!B:B,tabla!A70,CARGA!D:D,tabla!C70,CARGA!C:C,MAESTRO!$B$5)</f>
        <v>0</v>
      </c>
      <c r="G70" s="5">
        <f>+SUMIFS(CARGA!I:I,CARGA!B:B,tabla!A70,CARGA!D:D,tabla!C70)</f>
        <v>0</v>
      </c>
      <c r="H70" s="5">
        <f>+SUMIFS(CARGA!K:K,CARGA!B:B,tabla!A70,CARGA!D:D,tabla!C70)</f>
        <v>0</v>
      </c>
      <c r="I70" s="5">
        <f t="shared" si="3"/>
        <v>0</v>
      </c>
      <c r="J70" s="5">
        <f>-SUMIFS(CARGA!K:K,CARGA!B:B,tabla!A70,CARGA!D:D,tabla!C70,CARGA!C:C,MAESTRO!$B$4)+SUMIFS(CARGA!K:K,CARGA!B:B,tabla!A70,CARGA!D:D,tabla!C70,CARGA!C:C,MAESTRO!$B$5)</f>
        <v>0</v>
      </c>
      <c r="K70" s="5" t="e">
        <f>+VLOOKUP(C70,#REF!,3,FALSE)</f>
        <v>#REF!</v>
      </c>
      <c r="L70" s="5" t="e">
        <f t="shared" si="4"/>
        <v>#REF!</v>
      </c>
      <c r="M70" s="5" t="e">
        <f t="shared" si="5"/>
        <v>#REF!</v>
      </c>
      <c r="N70" s="5" t="str">
        <f t="shared" si="15"/>
        <v>NO</v>
      </c>
      <c r="O70" s="5">
        <f>+VLOOKUP(C70,[2]Fondos!$F:$J,5,FALSE)</f>
        <v>3357048174</v>
      </c>
      <c r="P70" s="13">
        <f>+VLOOKUP(C70,[2]Fondos!$F:$K,6,FALSE)</f>
        <v>0.25849470000000002</v>
      </c>
      <c r="Q70" s="13">
        <f t="shared" si="16"/>
        <v>0</v>
      </c>
      <c r="R70" s="10">
        <f>+IF(Q70&gt;MAESTRO!$G$6,0,1)</f>
        <v>1</v>
      </c>
      <c r="S70">
        <f>+IF(P70&lt;MAESTRO!$G$8,0,1)</f>
        <v>1</v>
      </c>
      <c r="T70" s="10">
        <f t="shared" si="17"/>
        <v>2</v>
      </c>
      <c r="U70" t="str">
        <f>+IF(R70+S70=2,MAESTRO!$G$2,IF(R70+S70=0,MAESTRO!$G$5,IF(R70=0,MAESTRO!$G$3,IF(S70=0,MAESTRO!$G$4,))))</f>
        <v>cumple politica</v>
      </c>
    </row>
    <row r="71" spans="1:21" x14ac:dyDescent="0.3">
      <c r="A71" t="s">
        <v>13</v>
      </c>
      <c r="B71" s="20" t="s">
        <v>35</v>
      </c>
      <c r="C71" s="20" t="s">
        <v>76</v>
      </c>
      <c r="D71" s="20" t="s">
        <v>83</v>
      </c>
      <c r="E71" s="24">
        <f t="shared" si="14"/>
        <v>0</v>
      </c>
      <c r="F71" s="22">
        <f>-SUMIFS(CARGA!I:I,CARGA!B:B,tabla!A71,CARGA!D:D,tabla!C71,CARGA!C:C,MAESTRO!$B$4)-SUMIFS(CARGA!I:I,CARGA!B:B,tabla!A71,CARGA!D:D,tabla!C71,CARGA!C:C,MAESTRO!$B$5)</f>
        <v>0</v>
      </c>
      <c r="G71" s="5">
        <f>+SUMIFS(CARGA!I:I,CARGA!B:B,tabla!A71,CARGA!D:D,tabla!C71)</f>
        <v>0</v>
      </c>
      <c r="H71" s="5">
        <f>+SUMIFS(CARGA!K:K,CARGA!B:B,tabla!A71,CARGA!D:D,tabla!C71)</f>
        <v>0</v>
      </c>
      <c r="I71" s="5">
        <f t="shared" si="3"/>
        <v>0</v>
      </c>
      <c r="J71" s="5">
        <f>-SUMIFS(CARGA!K:K,CARGA!B:B,tabla!A71,CARGA!D:D,tabla!C71,CARGA!C:C,MAESTRO!$B$4)+SUMIFS(CARGA!K:K,CARGA!B:B,tabla!A71,CARGA!D:D,tabla!C71,CARGA!C:C,MAESTRO!$B$5)</f>
        <v>0</v>
      </c>
      <c r="K71" s="5" t="e">
        <f>+VLOOKUP(C71,#REF!,3,FALSE)</f>
        <v>#REF!</v>
      </c>
      <c r="L71" s="5" t="e">
        <f t="shared" si="4"/>
        <v>#REF!</v>
      </c>
      <c r="M71" s="5" t="e">
        <f t="shared" si="5"/>
        <v>#REF!</v>
      </c>
      <c r="N71" s="5" t="str">
        <f t="shared" si="15"/>
        <v>NO</v>
      </c>
      <c r="O71" s="5">
        <f>+VLOOKUP(C71,[2]Fondos!$F:$J,5,FALSE)</f>
        <v>3357048174</v>
      </c>
      <c r="P71" s="13">
        <f>+VLOOKUP(C71,[2]Fondos!$F:$K,6,FALSE)</f>
        <v>0.25849470000000002</v>
      </c>
      <c r="Q71" s="13">
        <f t="shared" si="16"/>
        <v>0</v>
      </c>
      <c r="R71" s="10">
        <f>+IF(Q71&gt;MAESTRO!$G$6,0,1)</f>
        <v>1</v>
      </c>
      <c r="S71">
        <f>+IF(P71&lt;MAESTRO!$G$8,0,1)</f>
        <v>1</v>
      </c>
      <c r="T71" s="10">
        <f t="shared" si="17"/>
        <v>2</v>
      </c>
      <c r="U71" t="str">
        <f>+IF(R71+S71=2,MAESTRO!$G$2,IF(R71+S71=0,MAESTRO!$G$5,IF(R71=0,MAESTRO!$G$3,IF(S71=0,MAESTRO!$G$4,))))</f>
        <v>cumple politica</v>
      </c>
    </row>
    <row r="72" spans="1:21" x14ac:dyDescent="0.3">
      <c r="A72" t="s">
        <v>13</v>
      </c>
      <c r="B72" t="s">
        <v>25</v>
      </c>
      <c r="C72" t="s">
        <v>59</v>
      </c>
      <c r="D72" t="s">
        <v>82</v>
      </c>
      <c r="E72" s="24">
        <f t="shared" si="14"/>
        <v>0</v>
      </c>
      <c r="F72" s="22">
        <f>-SUMIFS(CARGA!I:I,CARGA!B:B,tabla!A72,CARGA!D:D,tabla!C72,CARGA!C:C,MAESTRO!$B$4)-SUMIFS(CARGA!I:I,CARGA!B:B,tabla!A72,CARGA!D:D,tabla!C72,CARGA!C:C,MAESTRO!$B$5)</f>
        <v>0</v>
      </c>
      <c r="G72" s="5">
        <f>+SUMIFS(CARGA!I:I,CARGA!B:B,tabla!A72,CARGA!D:D,tabla!C72)</f>
        <v>0</v>
      </c>
      <c r="H72" s="5">
        <f>+SUMIFS(CARGA!K:K,CARGA!B:B,tabla!A72,CARGA!D:D,tabla!C72)</f>
        <v>0</v>
      </c>
      <c r="I72" s="5">
        <f t="shared" si="3"/>
        <v>0</v>
      </c>
      <c r="J72" s="5">
        <f>-SUMIFS(CARGA!K:K,CARGA!B:B,tabla!A72,CARGA!D:D,tabla!C72,CARGA!C:C,MAESTRO!$B$4)+SUMIFS(CARGA!K:K,CARGA!B:B,tabla!A72,CARGA!D:D,tabla!C72,CARGA!C:C,MAESTRO!$B$5)</f>
        <v>0</v>
      </c>
      <c r="K72" s="5" t="e">
        <f>+VLOOKUP(C72,#REF!,3,FALSE)</f>
        <v>#REF!</v>
      </c>
      <c r="L72" s="5" t="e">
        <f t="shared" si="4"/>
        <v>#REF!</v>
      </c>
      <c r="M72" s="5" t="e">
        <f t="shared" si="5"/>
        <v>#REF!</v>
      </c>
      <c r="N72" s="5" t="str">
        <f t="shared" si="15"/>
        <v>NO</v>
      </c>
      <c r="O72" s="5">
        <f>+VLOOKUP(C72,[2]Fondos!$F:$J,5,FALSE)</f>
        <v>15268657582.66</v>
      </c>
      <c r="P72" s="13">
        <f>+VLOOKUP(C72,[2]Fondos!$F:$K,6,FALSE)</f>
        <v>0.26679839999999999</v>
      </c>
      <c r="Q72" s="13">
        <f t="shared" si="16"/>
        <v>0</v>
      </c>
      <c r="R72" s="10">
        <f>+IF(Q72&gt;MAESTRO!$G$6,0,1)</f>
        <v>1</v>
      </c>
      <c r="S72">
        <f>+IF(P72&lt;MAESTRO!$G$8,0,1)</f>
        <v>1</v>
      </c>
      <c r="T72" s="10">
        <f t="shared" si="17"/>
        <v>2</v>
      </c>
      <c r="U72" t="str">
        <f>+IF(R72+S72=2,MAESTRO!$G$2,IF(R72+S72=0,MAESTRO!$G$5,IF(R72=0,MAESTRO!$G$3,IF(S72=0,MAESTRO!$G$4,))))</f>
        <v>cumple politica</v>
      </c>
    </row>
    <row r="73" spans="1:21" x14ac:dyDescent="0.3">
      <c r="A73" t="s">
        <v>13</v>
      </c>
      <c r="B73" t="s">
        <v>25</v>
      </c>
      <c r="C73" t="s">
        <v>40</v>
      </c>
      <c r="D73" t="s">
        <v>81</v>
      </c>
      <c r="E73" s="24">
        <f t="shared" si="14"/>
        <v>0</v>
      </c>
      <c r="F73" s="22">
        <f>-SUMIFS(CARGA!I:I,CARGA!B:B,tabla!A73,CARGA!D:D,tabla!C73,CARGA!C:C,MAESTRO!$B$4)-SUMIFS(CARGA!I:I,CARGA!B:B,tabla!A73,CARGA!D:D,tabla!C73,CARGA!C:C,MAESTRO!$B$5)</f>
        <v>0</v>
      </c>
      <c r="G73" s="5">
        <f>+SUMIFS(CARGA!I:I,CARGA!B:B,tabla!A73,CARGA!D:D,tabla!C73)</f>
        <v>0</v>
      </c>
      <c r="H73" s="5">
        <f>+SUMIFS(CARGA!K:K,CARGA!B:B,tabla!A73,CARGA!D:D,tabla!C73)</f>
        <v>0</v>
      </c>
      <c r="I73" s="5">
        <f t="shared" si="3"/>
        <v>0</v>
      </c>
      <c r="J73" s="5">
        <f>-SUMIFS(CARGA!K:K,CARGA!B:B,tabla!A73,CARGA!D:D,tabla!C73,CARGA!C:C,MAESTRO!$B$4)+SUMIFS(CARGA!K:K,CARGA!B:B,tabla!A73,CARGA!D:D,tabla!C73,CARGA!C:C,MAESTRO!$B$5)</f>
        <v>0</v>
      </c>
      <c r="K73" s="5" t="e">
        <f>+VLOOKUP(C73,#REF!,3,FALSE)</f>
        <v>#REF!</v>
      </c>
      <c r="L73" s="5" t="e">
        <f t="shared" si="4"/>
        <v>#REF!</v>
      </c>
      <c r="M73" s="5" t="e">
        <f t="shared" si="5"/>
        <v>#REF!</v>
      </c>
      <c r="N73" s="5" t="str">
        <f t="shared" si="15"/>
        <v>NO</v>
      </c>
      <c r="O73" s="5">
        <f>+VLOOKUP(C73,[2]Fondos!$F:$J,5,FALSE)</f>
        <v>4231508416.6700001</v>
      </c>
      <c r="P73" s="13">
        <f>+VLOOKUP(C73,[2]Fondos!$F:$K,6,FALSE)</f>
        <v>0.21473639999999999</v>
      </c>
      <c r="Q73" s="13">
        <f t="shared" si="16"/>
        <v>0</v>
      </c>
      <c r="R73" s="10">
        <f>+IF(Q73&gt;MAESTRO!$G$6,0,1)</f>
        <v>1</v>
      </c>
      <c r="S73">
        <f>+IF(P73&lt;MAESTRO!$G$8,0,1)</f>
        <v>1</v>
      </c>
      <c r="T73" s="10">
        <f t="shared" si="17"/>
        <v>2</v>
      </c>
      <c r="U73" t="str">
        <f>+IF(R73+S73=2,MAESTRO!$G$2,IF(R73+S73=0,MAESTRO!$G$5,IF(R73=0,MAESTRO!$G$3,IF(S73=0,MAESTRO!$G$4,))))</f>
        <v>cumple politica</v>
      </c>
    </row>
    <row r="74" spans="1:21" x14ac:dyDescent="0.3">
      <c r="A74" t="s">
        <v>13</v>
      </c>
      <c r="B74" t="s">
        <v>25</v>
      </c>
      <c r="C74" t="s">
        <v>79</v>
      </c>
      <c r="D74" t="s">
        <v>82</v>
      </c>
      <c r="E74" s="24">
        <f t="shared" si="14"/>
        <v>0</v>
      </c>
      <c r="F74" s="22">
        <f>-SUMIFS(CARGA!I:I,CARGA!B:B,tabla!A74,CARGA!D:D,tabla!C74,CARGA!C:C,MAESTRO!$B$4)-SUMIFS(CARGA!I:I,CARGA!B:B,tabla!A74,CARGA!D:D,tabla!C74,CARGA!C:C,MAESTRO!$B$5)</f>
        <v>0</v>
      </c>
      <c r="G74" s="5">
        <f>+SUMIFS(CARGA!I:I,CARGA!B:B,tabla!A74,CARGA!D:D,tabla!C74)</f>
        <v>0</v>
      </c>
      <c r="H74" s="5">
        <f>+SUMIFS(CARGA!K:K,CARGA!B:B,tabla!A74,CARGA!D:D,tabla!C74)</f>
        <v>0</v>
      </c>
      <c r="I74" s="5">
        <f t="shared" si="3"/>
        <v>0</v>
      </c>
      <c r="J74" s="5">
        <f>-SUMIFS(CARGA!K:K,CARGA!B:B,tabla!A74,CARGA!D:D,tabla!C74,CARGA!C:C,MAESTRO!$B$4)+SUMIFS(CARGA!K:K,CARGA!B:B,tabla!A74,CARGA!D:D,tabla!C74,CARGA!C:C,MAESTRO!$B$5)</f>
        <v>0</v>
      </c>
      <c r="K74" s="5" t="e">
        <f>+VLOOKUP(C74,#REF!,3,FALSE)</f>
        <v>#REF!</v>
      </c>
      <c r="L74" s="5" t="e">
        <f t="shared" si="4"/>
        <v>#REF!</v>
      </c>
      <c r="M74" s="5" t="e">
        <f t="shared" si="5"/>
        <v>#REF!</v>
      </c>
      <c r="N74" s="5" t="str">
        <f t="shared" si="15"/>
        <v>NO</v>
      </c>
      <c r="O74" s="5">
        <f>+VLOOKUP(C74,[2]Fondos!$F:$J,5,FALSE)</f>
        <v>415179361.94999999</v>
      </c>
      <c r="P74" s="13">
        <f>+VLOOKUP(C74,[2]Fondos!$F:$K,6,FALSE)</f>
        <v>0.20571149999999999</v>
      </c>
      <c r="Q74" s="13">
        <f t="shared" si="16"/>
        <v>0</v>
      </c>
      <c r="R74" s="10">
        <f>+IF(Q74&gt;MAESTRO!$G$6,0,1)</f>
        <v>1</v>
      </c>
      <c r="S74">
        <f>+IF(P74&lt;MAESTRO!$G$8,0,1)</f>
        <v>1</v>
      </c>
      <c r="T74" s="10">
        <f t="shared" si="17"/>
        <v>2</v>
      </c>
      <c r="U74" t="str">
        <f>+IF(R74+S74=2,MAESTRO!$G$2,IF(R74+S74=0,MAESTRO!$G$5,IF(R74=0,MAESTRO!$G$3,IF(S74=0,MAESTRO!$G$4,))))</f>
        <v>cumple politica</v>
      </c>
    </row>
    <row r="75" spans="1:21" x14ac:dyDescent="0.3">
      <c r="A75" t="s">
        <v>13</v>
      </c>
      <c r="B75" t="s">
        <v>26</v>
      </c>
      <c r="C75" t="s">
        <v>61</v>
      </c>
      <c r="D75" t="s">
        <v>82</v>
      </c>
      <c r="E75" s="24">
        <f t="shared" si="14"/>
        <v>0</v>
      </c>
      <c r="F75" s="22">
        <f>-SUMIFS(CARGA!I:I,CARGA!B:B,tabla!A75,CARGA!D:D,tabla!C75,CARGA!C:C,MAESTRO!$B$4)-SUMIFS(CARGA!I:I,CARGA!B:B,tabla!A75,CARGA!D:D,tabla!C75,CARGA!C:C,MAESTRO!$B$5)</f>
        <v>0</v>
      </c>
      <c r="G75" s="5">
        <f>+SUMIFS(CARGA!I:I,CARGA!B:B,tabla!A75,CARGA!D:D,tabla!C75)</f>
        <v>0</v>
      </c>
      <c r="H75" s="5">
        <f>+SUMIFS(CARGA!K:K,CARGA!B:B,tabla!A75,CARGA!D:D,tabla!C75)</f>
        <v>0</v>
      </c>
      <c r="I75" s="5">
        <f t="shared" si="3"/>
        <v>0</v>
      </c>
      <c r="J75" s="5">
        <f>-SUMIFS(CARGA!K:K,CARGA!B:B,tabla!A75,CARGA!D:D,tabla!C75,CARGA!C:C,MAESTRO!$B$4)+SUMIFS(CARGA!K:K,CARGA!B:B,tabla!A75,CARGA!D:D,tabla!C75,CARGA!C:C,MAESTRO!$B$5)</f>
        <v>0</v>
      </c>
      <c r="K75" s="5" t="e">
        <f>+VLOOKUP(C75,#REF!,3,FALSE)</f>
        <v>#REF!</v>
      </c>
      <c r="L75" s="5" t="e">
        <f t="shared" si="4"/>
        <v>#REF!</v>
      </c>
      <c r="M75" s="5" t="e">
        <f t="shared" si="5"/>
        <v>#REF!</v>
      </c>
      <c r="N75" s="5" t="str">
        <f t="shared" si="15"/>
        <v>NO</v>
      </c>
      <c r="O75" s="5">
        <f>+VLOOKUP(C75,[2]Fondos!$F:$J,5,FALSE)</f>
        <v>25454891426</v>
      </c>
      <c r="P75" s="13">
        <f>+VLOOKUP(C75,[2]Fondos!$F:$K,6,FALSE)</f>
        <v>0.26389279999999998</v>
      </c>
      <c r="Q75" s="13">
        <f t="shared" si="16"/>
        <v>0</v>
      </c>
      <c r="R75" s="10">
        <f>+IF(Q75&gt;MAESTRO!$G$6,0,1)</f>
        <v>1</v>
      </c>
      <c r="S75">
        <f>+IF(P75&lt;MAESTRO!$G$8,0,1)</f>
        <v>1</v>
      </c>
      <c r="T75" s="10">
        <f t="shared" si="17"/>
        <v>2</v>
      </c>
      <c r="U75" t="str">
        <f>+IF(R75+S75=2,MAESTRO!$G$2,IF(R75+S75=0,MAESTRO!$G$5,IF(R75=0,MAESTRO!$G$3,IF(S75=0,MAESTRO!$G$4,))))</f>
        <v>cumple politica</v>
      </c>
    </row>
    <row r="76" spans="1:21" x14ac:dyDescent="0.3">
      <c r="A76" t="s">
        <v>13</v>
      </c>
      <c r="B76" t="s">
        <v>26</v>
      </c>
      <c r="C76" t="s">
        <v>58</v>
      </c>
      <c r="D76" t="s">
        <v>82</v>
      </c>
      <c r="E76" s="24">
        <f t="shared" si="14"/>
        <v>0</v>
      </c>
      <c r="F76" s="22">
        <f>-SUMIFS(CARGA!I:I,CARGA!B:B,tabla!A76,CARGA!D:D,tabla!C76,CARGA!C:C,MAESTRO!$B$4)-SUMIFS(CARGA!I:I,CARGA!B:B,tabla!A76,CARGA!D:D,tabla!C76,CARGA!C:C,MAESTRO!$B$5)</f>
        <v>0</v>
      </c>
      <c r="G76" s="5">
        <f>+SUMIFS(CARGA!I:I,CARGA!B:B,tabla!A76,CARGA!D:D,tabla!C76)</f>
        <v>0</v>
      </c>
      <c r="H76" s="5">
        <f>+SUMIFS(CARGA!K:K,CARGA!B:B,tabla!A76,CARGA!D:D,tabla!C76)</f>
        <v>0</v>
      </c>
      <c r="I76" s="5">
        <f t="shared" si="3"/>
        <v>0</v>
      </c>
      <c r="J76" s="5">
        <f>-SUMIFS(CARGA!K:K,CARGA!B:B,tabla!A76,CARGA!D:D,tabla!C76,CARGA!C:C,MAESTRO!$B$4)+SUMIFS(CARGA!K:K,CARGA!B:B,tabla!A76,CARGA!D:D,tabla!C76,CARGA!C:C,MAESTRO!$B$5)</f>
        <v>0</v>
      </c>
      <c r="K76" s="5" t="e">
        <f>+VLOOKUP(C76,#REF!,3,FALSE)</f>
        <v>#REF!</v>
      </c>
      <c r="L76" s="5" t="e">
        <f t="shared" si="4"/>
        <v>#REF!</v>
      </c>
      <c r="M76" s="5" t="e">
        <f t="shared" si="5"/>
        <v>#REF!</v>
      </c>
      <c r="N76" s="5" t="str">
        <f t="shared" si="15"/>
        <v>NO</v>
      </c>
      <c r="O76" s="5">
        <f>+VLOOKUP(C76,[2]Fondos!$F:$J,5,FALSE)</f>
        <v>25454891426</v>
      </c>
      <c r="P76" s="13">
        <f>+VLOOKUP(C76,[2]Fondos!$F:$K,6,FALSE)</f>
        <v>0.26686179999999998</v>
      </c>
      <c r="Q76" s="13">
        <f t="shared" si="16"/>
        <v>0</v>
      </c>
      <c r="R76" s="10">
        <f>+IF(Q76&gt;MAESTRO!$G$6,0,1)</f>
        <v>1</v>
      </c>
      <c r="S76">
        <f>+IF(P76&lt;MAESTRO!$G$8,0,1)</f>
        <v>1</v>
      </c>
      <c r="T76" s="10">
        <f t="shared" si="17"/>
        <v>2</v>
      </c>
      <c r="U76" t="str">
        <f>+IF(R76+S76=2,MAESTRO!$G$2,IF(R76+S76=0,MAESTRO!$G$5,IF(R76=0,MAESTRO!$G$3,IF(S76=0,MAESTRO!$G$4,))))</f>
        <v>cumple politica</v>
      </c>
    </row>
    <row r="77" spans="1:21" x14ac:dyDescent="0.3">
      <c r="A77" t="s">
        <v>13</v>
      </c>
      <c r="B77" t="s">
        <v>26</v>
      </c>
      <c r="C77" t="s">
        <v>56</v>
      </c>
      <c r="D77" t="s">
        <v>82</v>
      </c>
      <c r="E77" s="24">
        <f t="shared" si="14"/>
        <v>0</v>
      </c>
      <c r="F77" s="22">
        <f>-SUMIFS(CARGA!I:I,CARGA!B:B,tabla!A77,CARGA!D:D,tabla!C77,CARGA!C:C,MAESTRO!$B$4)-SUMIFS(CARGA!I:I,CARGA!B:B,tabla!A77,CARGA!D:D,tabla!C77,CARGA!C:C,MAESTRO!$B$5)</f>
        <v>0</v>
      </c>
      <c r="G77" s="5">
        <f>+SUMIFS(CARGA!I:I,CARGA!B:B,tabla!A77,CARGA!D:D,tabla!C77)</f>
        <v>0</v>
      </c>
      <c r="H77" s="5">
        <f>+SUMIFS(CARGA!K:K,CARGA!B:B,tabla!A77,CARGA!D:D,tabla!C77)</f>
        <v>0</v>
      </c>
      <c r="I77" s="5">
        <f t="shared" si="3"/>
        <v>0</v>
      </c>
      <c r="J77" s="5">
        <f>-SUMIFS(CARGA!K:K,CARGA!B:B,tabla!A77,CARGA!D:D,tabla!C77,CARGA!C:C,MAESTRO!$B$4)+SUMIFS(CARGA!K:K,CARGA!B:B,tabla!A77,CARGA!D:D,tabla!C77,CARGA!C:C,MAESTRO!$B$5)</f>
        <v>0</v>
      </c>
      <c r="K77" s="5" t="e">
        <f>+VLOOKUP(C77,#REF!,3,FALSE)</f>
        <v>#REF!</v>
      </c>
      <c r="L77" s="5" t="e">
        <f t="shared" si="4"/>
        <v>#REF!</v>
      </c>
      <c r="M77" s="5" t="e">
        <f t="shared" si="5"/>
        <v>#REF!</v>
      </c>
      <c r="N77" s="5" t="str">
        <f t="shared" si="15"/>
        <v>NO</v>
      </c>
      <c r="O77" s="5">
        <f>+VLOOKUP(C77,[2]Fondos!$F:$J,5,FALSE)</f>
        <v>25454891426</v>
      </c>
      <c r="P77" s="13">
        <f>+VLOOKUP(C77,[2]Fondos!$F:$K,6,FALSE)</f>
        <v>0.27078930000000001</v>
      </c>
      <c r="Q77" s="13">
        <f t="shared" si="16"/>
        <v>0</v>
      </c>
      <c r="R77" s="10">
        <f>+IF(Q77&gt;MAESTRO!$G$6,0,1)</f>
        <v>1</v>
      </c>
      <c r="S77">
        <f>+IF(P77&lt;MAESTRO!$G$8,0,1)</f>
        <v>1</v>
      </c>
      <c r="T77" s="10">
        <f t="shared" si="17"/>
        <v>2</v>
      </c>
      <c r="U77" t="str">
        <f>+IF(R77+S77=2,MAESTRO!$G$2,IF(R77+S77=0,MAESTRO!$G$5,IF(R77=0,MAESTRO!$G$3,IF(S77=0,MAESTRO!$G$4,))))</f>
        <v>cumple politica</v>
      </c>
    </row>
    <row r="78" spans="1:21" x14ac:dyDescent="0.3">
      <c r="A78" t="s">
        <v>13</v>
      </c>
      <c r="B78" t="s">
        <v>26</v>
      </c>
      <c r="C78" t="s">
        <v>65</v>
      </c>
      <c r="D78" t="s">
        <v>82</v>
      </c>
      <c r="E78" s="24">
        <f t="shared" si="14"/>
        <v>0</v>
      </c>
      <c r="F78" s="22">
        <f>-SUMIFS(CARGA!I:I,CARGA!B:B,tabla!A78,CARGA!D:D,tabla!C78,CARGA!C:C,MAESTRO!$B$4)-SUMIFS(CARGA!I:I,CARGA!B:B,tabla!A78,CARGA!D:D,tabla!C78,CARGA!C:C,MAESTRO!$B$5)</f>
        <v>0</v>
      </c>
      <c r="G78" s="5">
        <f>+SUMIFS(CARGA!I:I,CARGA!B:B,tabla!A78,CARGA!D:D,tabla!C78)</f>
        <v>0</v>
      </c>
      <c r="H78" s="5">
        <f>+SUMIFS(CARGA!K:K,CARGA!B:B,tabla!A78,CARGA!D:D,tabla!C78)</f>
        <v>0</v>
      </c>
      <c r="I78" s="5">
        <f t="shared" si="3"/>
        <v>0</v>
      </c>
      <c r="J78" s="5">
        <f>-SUMIFS(CARGA!K:K,CARGA!B:B,tabla!A78,CARGA!D:D,tabla!C78,CARGA!C:C,MAESTRO!$B$4)+SUMIFS(CARGA!K:K,CARGA!B:B,tabla!A78,CARGA!D:D,tabla!C78,CARGA!C:C,MAESTRO!$B$5)</f>
        <v>0</v>
      </c>
      <c r="K78" s="5" t="e">
        <f>+VLOOKUP(C78,#REF!,3,FALSE)</f>
        <v>#REF!</v>
      </c>
      <c r="L78" s="5" t="e">
        <f t="shared" si="4"/>
        <v>#REF!</v>
      </c>
      <c r="M78" s="5" t="e">
        <f t="shared" si="5"/>
        <v>#REF!</v>
      </c>
      <c r="N78" s="5" t="str">
        <f t="shared" si="15"/>
        <v>NO</v>
      </c>
      <c r="O78" s="5">
        <f>+VLOOKUP(C78,[2]Fondos!$F:$J,5,FALSE)</f>
        <v>26527515773</v>
      </c>
      <c r="P78" s="13">
        <f>+VLOOKUP(C78,[2]Fondos!$F:$K,6,FALSE)</f>
        <v>0.26544099999999998</v>
      </c>
      <c r="Q78" s="13">
        <f t="shared" si="16"/>
        <v>0</v>
      </c>
      <c r="R78" s="10">
        <f>+IF(Q78&gt;MAESTRO!$G$6,0,1)</f>
        <v>1</v>
      </c>
      <c r="S78">
        <f>+IF(P78&lt;MAESTRO!$G$8,0,1)</f>
        <v>1</v>
      </c>
      <c r="T78" s="10">
        <f t="shared" si="17"/>
        <v>2</v>
      </c>
      <c r="U78" t="str">
        <f>+IF(R78+S78=2,MAESTRO!$G$2,IF(R78+S78=0,MAESTRO!$G$5,IF(R78=0,MAESTRO!$G$3,IF(S78=0,MAESTRO!$G$4,))))</f>
        <v>cumple politica</v>
      </c>
    </row>
    <row r="79" spans="1:21" x14ac:dyDescent="0.3">
      <c r="A79" t="s">
        <v>13</v>
      </c>
      <c r="B79" t="s">
        <v>26</v>
      </c>
      <c r="C79" t="s">
        <v>45</v>
      </c>
      <c r="D79" t="s">
        <v>81</v>
      </c>
      <c r="E79" s="24">
        <f t="shared" si="14"/>
        <v>0</v>
      </c>
      <c r="F79" s="22">
        <f>-SUMIFS(CARGA!I:I,CARGA!B:B,tabla!A79,CARGA!D:D,tabla!C79,CARGA!C:C,MAESTRO!$B$4)-SUMIFS(CARGA!I:I,CARGA!B:B,tabla!A79,CARGA!D:D,tabla!C79,CARGA!C:C,MAESTRO!$B$5)</f>
        <v>0</v>
      </c>
      <c r="G79" s="5">
        <f>+SUMIFS(CARGA!I:I,CARGA!B:B,tabla!A79,CARGA!D:D,tabla!C79)</f>
        <v>0</v>
      </c>
      <c r="H79" s="5">
        <f>+SUMIFS(CARGA!K:K,CARGA!B:B,tabla!A79,CARGA!D:D,tabla!C79)</f>
        <v>0</v>
      </c>
      <c r="I79" s="5">
        <f t="shared" ref="I79:I149" si="18">+H79+J79</f>
        <v>0</v>
      </c>
      <c r="J79" s="5">
        <f>-SUMIFS(CARGA!K:K,CARGA!B:B,tabla!A79,CARGA!D:D,tabla!C79,CARGA!C:C,MAESTRO!$B$4)+SUMIFS(CARGA!K:K,CARGA!B:B,tabla!A79,CARGA!D:D,tabla!C79,CARGA!C:C,MAESTRO!$B$5)</f>
        <v>0</v>
      </c>
      <c r="K79" s="5" t="e">
        <f>+VLOOKUP(C79,#REF!,3,FALSE)</f>
        <v>#REF!</v>
      </c>
      <c r="L79" s="5" t="e">
        <f t="shared" ref="L79:L149" si="19">+K79*I79</f>
        <v>#REF!</v>
      </c>
      <c r="M79" s="5" t="e">
        <f t="shared" ref="M79:M149" si="20">+K79*J79</f>
        <v>#REF!</v>
      </c>
      <c r="N79" s="5" t="str">
        <f t="shared" si="15"/>
        <v>NO</v>
      </c>
      <c r="O79" s="5">
        <f>+VLOOKUP(C79,[2]Fondos!$F:$J,5,FALSE)</f>
        <v>9536957677</v>
      </c>
      <c r="P79" s="13">
        <f>+VLOOKUP(C79,[2]Fondos!$F:$K,6,FALSE)</f>
        <v>0.20501570000000002</v>
      </c>
      <c r="Q79" s="13">
        <f t="shared" si="16"/>
        <v>0</v>
      </c>
      <c r="R79" s="10">
        <f>+IF(Q79&gt;MAESTRO!$G$6,0,1)</f>
        <v>1</v>
      </c>
      <c r="S79">
        <f>+IF(P79&lt;MAESTRO!$G$8,0,1)</f>
        <v>1</v>
      </c>
      <c r="T79" s="10">
        <f t="shared" si="17"/>
        <v>2</v>
      </c>
      <c r="U79" t="str">
        <f>+IF(R79+S79=2,MAESTRO!$G$2,IF(R79+S79=0,MAESTRO!$G$5,IF(R79=0,MAESTRO!$G$3,IF(S79=0,MAESTRO!$G$4,))))</f>
        <v>cumple politica</v>
      </c>
    </row>
    <row r="80" spans="1:21" x14ac:dyDescent="0.3">
      <c r="A80" t="s">
        <v>13</v>
      </c>
      <c r="B80" t="s">
        <v>26</v>
      </c>
      <c r="C80" t="s">
        <v>41</v>
      </c>
      <c r="D80" t="s">
        <v>81</v>
      </c>
      <c r="E80" s="24">
        <f t="shared" si="14"/>
        <v>0</v>
      </c>
      <c r="F80" s="22">
        <f>-SUMIFS(CARGA!I:I,CARGA!B:B,tabla!A80,CARGA!D:D,tabla!C80,CARGA!C:C,MAESTRO!$B$4)-SUMIFS(CARGA!I:I,CARGA!B:B,tabla!A80,CARGA!D:D,tabla!C80,CARGA!C:C,MAESTRO!$B$5)</f>
        <v>0</v>
      </c>
      <c r="G80" s="5">
        <f>+SUMIFS(CARGA!I:I,CARGA!B:B,tabla!A80,CARGA!D:D,tabla!C80)</f>
        <v>0</v>
      </c>
      <c r="H80" s="5">
        <f>+SUMIFS(CARGA!K:K,CARGA!B:B,tabla!A80,CARGA!D:D,tabla!C80)</f>
        <v>0</v>
      </c>
      <c r="I80" s="5">
        <f t="shared" si="18"/>
        <v>0</v>
      </c>
      <c r="J80" s="5">
        <f>-SUMIFS(CARGA!K:K,CARGA!B:B,tabla!A80,CARGA!D:D,tabla!C80,CARGA!C:C,MAESTRO!$B$4)+SUMIFS(CARGA!K:K,CARGA!B:B,tabla!A80,CARGA!D:D,tabla!C80,CARGA!C:C,MAESTRO!$B$5)</f>
        <v>0</v>
      </c>
      <c r="K80" s="5" t="e">
        <f>+VLOOKUP(C80,#REF!,3,FALSE)</f>
        <v>#REF!</v>
      </c>
      <c r="L80" s="5" t="e">
        <f t="shared" si="19"/>
        <v>#REF!</v>
      </c>
      <c r="M80" s="5" t="e">
        <f t="shared" si="20"/>
        <v>#REF!</v>
      </c>
      <c r="N80" s="5" t="str">
        <f t="shared" si="15"/>
        <v>NO</v>
      </c>
      <c r="O80" s="5">
        <f>+VLOOKUP(C80,[2]Fondos!$F:$J,5,FALSE)</f>
        <v>9536957677</v>
      </c>
      <c r="P80" s="13">
        <f>+VLOOKUP(C80,[2]Fondos!$F:$K,6,FALSE)</f>
        <v>0.2143747</v>
      </c>
      <c r="Q80" s="13">
        <f t="shared" si="16"/>
        <v>0</v>
      </c>
      <c r="R80" s="10">
        <f>+IF(Q80&gt;MAESTRO!$G$6,0,1)</f>
        <v>1</v>
      </c>
      <c r="S80">
        <f>+IF(P80&lt;MAESTRO!$G$8,0,1)</f>
        <v>1</v>
      </c>
      <c r="T80" s="10">
        <f t="shared" si="17"/>
        <v>2</v>
      </c>
      <c r="U80" t="str">
        <f>+IF(R80+S80=2,MAESTRO!$G$2,IF(R80+S80=0,MAESTRO!$G$5,IF(R80=0,MAESTRO!$G$3,IF(S80=0,MAESTRO!$G$4,))))</f>
        <v>cumple politica</v>
      </c>
    </row>
    <row r="81" spans="1:21" x14ac:dyDescent="0.3">
      <c r="A81" t="s">
        <v>13</v>
      </c>
      <c r="B81" t="s">
        <v>36</v>
      </c>
      <c r="C81" t="s">
        <v>73</v>
      </c>
      <c r="D81" t="s">
        <v>82</v>
      </c>
      <c r="E81" s="24">
        <f t="shared" si="14"/>
        <v>0</v>
      </c>
      <c r="F81" s="22">
        <f>-SUMIFS(CARGA!I:I,CARGA!B:B,tabla!A81,CARGA!D:D,tabla!C81,CARGA!C:C,MAESTRO!$B$4)-SUMIFS(CARGA!I:I,CARGA!B:B,tabla!A81,CARGA!D:D,tabla!C81,CARGA!C:C,MAESTRO!$B$5)</f>
        <v>0</v>
      </c>
      <c r="G81" s="5">
        <f>+SUMIFS(CARGA!I:I,CARGA!B:B,tabla!A81,CARGA!D:D,tabla!C81)</f>
        <v>0</v>
      </c>
      <c r="H81" s="5">
        <f>+SUMIFS(CARGA!K:K,CARGA!B:B,tabla!A81,CARGA!D:D,tabla!C81)</f>
        <v>0</v>
      </c>
      <c r="I81" s="5">
        <f t="shared" si="18"/>
        <v>0</v>
      </c>
      <c r="J81" s="5">
        <f>-SUMIFS(CARGA!K:K,CARGA!B:B,tabla!A81,CARGA!D:D,tabla!C81,CARGA!C:C,MAESTRO!$B$4)+SUMIFS(CARGA!K:K,CARGA!B:B,tabla!A81,CARGA!D:D,tabla!C81,CARGA!C:C,MAESTRO!$B$5)</f>
        <v>0</v>
      </c>
      <c r="K81" s="5" t="e">
        <f>+VLOOKUP(C81,#REF!,3,FALSE)</f>
        <v>#REF!</v>
      </c>
      <c r="L81" s="5" t="e">
        <f t="shared" si="19"/>
        <v>#REF!</v>
      </c>
      <c r="M81" s="5" t="e">
        <f t="shared" si="20"/>
        <v>#REF!</v>
      </c>
      <c r="N81" s="5" t="str">
        <f t="shared" si="15"/>
        <v>NO</v>
      </c>
      <c r="O81" s="5">
        <f>+VLOOKUP(C81,[2]Fondos!$F:$J,5,FALSE)</f>
        <v>5558283453.2200003</v>
      </c>
      <c r="P81" s="13">
        <f>+VLOOKUP(C81,[2]Fondos!$F:$K,6,FALSE)</f>
        <v>0.26949119999999999</v>
      </c>
      <c r="Q81" s="13">
        <f t="shared" si="16"/>
        <v>0</v>
      </c>
      <c r="R81" s="10">
        <f>+IF(Q81&gt;MAESTRO!$G$6,0,1)</f>
        <v>1</v>
      </c>
      <c r="S81">
        <f>+IF(P81&lt;MAESTRO!$G$8,0,1)</f>
        <v>1</v>
      </c>
      <c r="T81" s="10">
        <f t="shared" si="17"/>
        <v>2</v>
      </c>
      <c r="U81" t="str">
        <f>+IF(R81+S81=2,MAESTRO!$G$2,IF(R81+S81=0,MAESTRO!$G$5,IF(R81=0,MAESTRO!$G$3,IF(S81=0,MAESTRO!$G$4,))))</f>
        <v>cumple politica</v>
      </c>
    </row>
    <row r="82" spans="1:21" x14ac:dyDescent="0.3">
      <c r="A82" t="s">
        <v>13</v>
      </c>
      <c r="B82" t="s">
        <v>36</v>
      </c>
      <c r="C82" t="s">
        <v>72</v>
      </c>
      <c r="D82" t="s">
        <v>81</v>
      </c>
      <c r="E82" s="24">
        <f t="shared" si="14"/>
        <v>0</v>
      </c>
      <c r="F82" s="22">
        <f>-SUMIFS(CARGA!I:I,CARGA!B:B,tabla!A82,CARGA!D:D,tabla!C82,CARGA!C:C,MAESTRO!$B$4)-SUMIFS(CARGA!I:I,CARGA!B:B,tabla!A82,CARGA!D:D,tabla!C82,CARGA!C:C,MAESTRO!$B$5)</f>
        <v>0</v>
      </c>
      <c r="G82" s="5">
        <f>+SUMIFS(CARGA!I:I,CARGA!B:B,tabla!A82,CARGA!D:D,tabla!C82)</f>
        <v>0</v>
      </c>
      <c r="H82" s="5">
        <f>+SUMIFS(CARGA!K:K,CARGA!B:B,tabla!A82,CARGA!D:D,tabla!C82)</f>
        <v>0</v>
      </c>
      <c r="I82" s="5">
        <f t="shared" si="18"/>
        <v>0</v>
      </c>
      <c r="J82" s="5">
        <f>-SUMIFS(CARGA!K:K,CARGA!B:B,tabla!A82,CARGA!D:D,tabla!C82,CARGA!C:C,MAESTRO!$B$4)+SUMIFS(CARGA!K:K,CARGA!B:B,tabla!A82,CARGA!D:D,tabla!C82,CARGA!C:C,MAESTRO!$B$5)</f>
        <v>0</v>
      </c>
      <c r="K82" s="5" t="e">
        <f>+VLOOKUP(C82,#REF!,3,FALSE)</f>
        <v>#REF!</v>
      </c>
      <c r="L82" s="5" t="e">
        <f t="shared" si="19"/>
        <v>#REF!</v>
      </c>
      <c r="M82" s="5" t="e">
        <f t="shared" si="20"/>
        <v>#REF!</v>
      </c>
      <c r="N82" s="5" t="str">
        <f t="shared" si="15"/>
        <v>NO</v>
      </c>
      <c r="O82" s="5">
        <f>+VLOOKUP(C82,[2]Fondos!$F:$J,5,FALSE)</f>
        <v>4289905534.3099999</v>
      </c>
      <c r="P82" s="13">
        <f>+VLOOKUP(C82,[2]Fondos!$F:$K,6,FALSE)</f>
        <v>0.2090719</v>
      </c>
      <c r="Q82" s="13">
        <f t="shared" si="16"/>
        <v>0</v>
      </c>
      <c r="R82" s="10">
        <f>+IF(Q82&gt;MAESTRO!$G$6,0,1)</f>
        <v>1</v>
      </c>
      <c r="S82">
        <f>+IF(P82&lt;MAESTRO!$G$8,0,1)</f>
        <v>1</v>
      </c>
      <c r="T82" s="10">
        <f t="shared" si="17"/>
        <v>2</v>
      </c>
      <c r="U82" t="str">
        <f>+IF(R82+S82=2,MAESTRO!$G$2,IF(R82+S82=0,MAESTRO!$G$5,IF(R82=0,MAESTRO!$G$3,IF(S82=0,MAESTRO!$G$4,))))</f>
        <v>cumple politica</v>
      </c>
    </row>
    <row r="83" spans="1:21" x14ac:dyDescent="0.3">
      <c r="A83" t="s">
        <v>13</v>
      </c>
      <c r="B83" t="s">
        <v>28</v>
      </c>
      <c r="C83" t="s">
        <v>46</v>
      </c>
      <c r="D83" t="s">
        <v>81</v>
      </c>
      <c r="E83" s="24">
        <f t="shared" si="14"/>
        <v>0</v>
      </c>
      <c r="F83" s="22">
        <f>-SUMIFS(CARGA!I:I,CARGA!B:B,tabla!A83,CARGA!D:D,tabla!C83,CARGA!C:C,MAESTRO!$B$4)-SUMIFS(CARGA!I:I,CARGA!B:B,tabla!A83,CARGA!D:D,tabla!C83,CARGA!C:C,MAESTRO!$B$5)</f>
        <v>0</v>
      </c>
      <c r="G83" s="5">
        <f>+SUMIFS(CARGA!I:I,CARGA!B:B,tabla!A83,CARGA!D:D,tabla!C83)</f>
        <v>0</v>
      </c>
      <c r="H83" s="5">
        <f>+SUMIFS(CARGA!K:K,CARGA!B:B,tabla!A83,CARGA!D:D,tabla!C83)</f>
        <v>0</v>
      </c>
      <c r="I83" s="5">
        <f t="shared" si="18"/>
        <v>0</v>
      </c>
      <c r="J83" s="5">
        <f>-SUMIFS(CARGA!K:K,CARGA!B:B,tabla!A83,CARGA!D:D,tabla!C83,CARGA!C:C,MAESTRO!$B$4)+SUMIFS(CARGA!K:K,CARGA!B:B,tabla!A83,CARGA!D:D,tabla!C83,CARGA!C:C,MAESTRO!$B$5)</f>
        <v>0</v>
      </c>
      <c r="K83" s="5" t="e">
        <f>+VLOOKUP(C83,#REF!,3,FALSE)</f>
        <v>#REF!</v>
      </c>
      <c r="L83" s="5" t="e">
        <f t="shared" si="19"/>
        <v>#REF!</v>
      </c>
      <c r="M83" s="5" t="e">
        <f t="shared" si="20"/>
        <v>#REF!</v>
      </c>
      <c r="N83" s="5" t="str">
        <f t="shared" si="15"/>
        <v>NO</v>
      </c>
      <c r="O83" s="5">
        <f>+VLOOKUP(C83,[2]Fondos!$F:$J,5,FALSE)</f>
        <v>2107469999.9999998</v>
      </c>
      <c r="P83" s="13">
        <f>+VLOOKUP(C83,[2]Fondos!$F:$K,6,FALSE)</f>
        <v>0.20305720000000002</v>
      </c>
      <c r="Q83" s="13">
        <f t="shared" si="16"/>
        <v>0</v>
      </c>
      <c r="R83" s="10">
        <f>+IF(Q83&gt;MAESTRO!$G$6,0,1)</f>
        <v>1</v>
      </c>
      <c r="S83">
        <f>+IF(P83&lt;MAESTRO!$G$8,0,1)</f>
        <v>1</v>
      </c>
      <c r="T83" s="10">
        <f t="shared" si="17"/>
        <v>2</v>
      </c>
      <c r="U83" t="str">
        <f>+IF(R83+S83=2,MAESTRO!$G$2,IF(R83+S83=0,MAESTRO!$G$5,IF(R83=0,MAESTRO!$G$3,IF(S83=0,MAESTRO!$G$4,))))</f>
        <v>cumple politica</v>
      </c>
    </row>
    <row r="84" spans="1:21" x14ac:dyDescent="0.3">
      <c r="A84" t="s">
        <v>13</v>
      </c>
      <c r="B84" t="s">
        <v>28</v>
      </c>
      <c r="C84" t="s">
        <v>44</v>
      </c>
      <c r="D84" t="s">
        <v>81</v>
      </c>
      <c r="E84" s="24">
        <f t="shared" si="14"/>
        <v>0</v>
      </c>
      <c r="F84" s="22">
        <f>-SUMIFS(CARGA!I:I,CARGA!B:B,tabla!A84,CARGA!D:D,tabla!C84,CARGA!C:C,MAESTRO!$B$4)-SUMIFS(CARGA!I:I,CARGA!B:B,tabla!A84,CARGA!D:D,tabla!C84,CARGA!C:C,MAESTRO!$B$5)</f>
        <v>0</v>
      </c>
      <c r="G84" s="5">
        <f>+SUMIFS(CARGA!I:I,CARGA!B:B,tabla!A84,CARGA!D:D,tabla!C84)</f>
        <v>0</v>
      </c>
      <c r="H84" s="5">
        <f>+SUMIFS(CARGA!K:K,CARGA!B:B,tabla!A84,CARGA!D:D,tabla!C84)</f>
        <v>0</v>
      </c>
      <c r="I84" s="5">
        <f t="shared" si="18"/>
        <v>0</v>
      </c>
      <c r="J84" s="5">
        <f>-SUMIFS(CARGA!K:K,CARGA!B:B,tabla!A84,CARGA!D:D,tabla!C84,CARGA!C:C,MAESTRO!$B$4)+SUMIFS(CARGA!K:K,CARGA!B:B,tabla!A84,CARGA!D:D,tabla!C84,CARGA!C:C,MAESTRO!$B$5)</f>
        <v>0</v>
      </c>
      <c r="K84" s="5" t="e">
        <f>+VLOOKUP(C84,#REF!,3,FALSE)</f>
        <v>#REF!</v>
      </c>
      <c r="L84" s="5" t="e">
        <f t="shared" si="19"/>
        <v>#REF!</v>
      </c>
      <c r="M84" s="5" t="e">
        <f t="shared" si="20"/>
        <v>#REF!</v>
      </c>
      <c r="N84" s="5" t="str">
        <f t="shared" si="15"/>
        <v>NO</v>
      </c>
      <c r="O84" s="5">
        <f>+VLOOKUP(C84,[2]Fondos!$F:$J,5,FALSE)</f>
        <v>2107469999.9999998</v>
      </c>
      <c r="P84" s="13">
        <f>+VLOOKUP(C84,[2]Fondos!$F:$K,6,FALSE)</f>
        <v>0.20835799999999999</v>
      </c>
      <c r="Q84" s="13">
        <f t="shared" si="16"/>
        <v>0</v>
      </c>
      <c r="R84" s="10">
        <f>+IF(Q84&gt;MAESTRO!$G$6,0,1)</f>
        <v>1</v>
      </c>
      <c r="S84">
        <f>+IF(P84&lt;MAESTRO!$G$8,0,1)</f>
        <v>1</v>
      </c>
      <c r="T84" s="10">
        <f t="shared" si="17"/>
        <v>2</v>
      </c>
      <c r="U84" t="str">
        <f>+IF(R84+S84=2,MAESTRO!$G$2,IF(R84+S84=0,MAESTRO!$G$5,IF(R84=0,MAESTRO!$G$3,IF(S84=0,MAESTRO!$G$4,))))</f>
        <v>cumple politica</v>
      </c>
    </row>
    <row r="85" spans="1:21" x14ac:dyDescent="0.3">
      <c r="A85" t="s">
        <v>13</v>
      </c>
      <c r="B85" t="s">
        <v>28</v>
      </c>
      <c r="C85" t="s">
        <v>64</v>
      </c>
      <c r="D85" t="s">
        <v>82</v>
      </c>
      <c r="E85" s="24">
        <f t="shared" si="14"/>
        <v>0</v>
      </c>
      <c r="F85" s="22">
        <f>-SUMIFS(CARGA!I:I,CARGA!B:B,tabla!A85,CARGA!D:D,tabla!C85,CARGA!C:C,MAESTRO!$B$4)-SUMIFS(CARGA!I:I,CARGA!B:B,tabla!A85,CARGA!D:D,tabla!C85,CARGA!C:C,MAESTRO!$B$5)</f>
        <v>0</v>
      </c>
      <c r="G85" s="5">
        <f>+SUMIFS(CARGA!I:I,CARGA!B:B,tabla!A85,CARGA!D:D,tabla!C85)</f>
        <v>0</v>
      </c>
      <c r="H85" s="5">
        <f>+SUMIFS(CARGA!K:K,CARGA!B:B,tabla!A85,CARGA!D:D,tabla!C85)</f>
        <v>0</v>
      </c>
      <c r="I85" s="5">
        <f t="shared" si="18"/>
        <v>0</v>
      </c>
      <c r="J85" s="5">
        <f>-SUMIFS(CARGA!K:K,CARGA!B:B,tabla!A85,CARGA!D:D,tabla!C85,CARGA!C:C,MAESTRO!$B$4)+SUMIFS(CARGA!K:K,CARGA!B:B,tabla!A85,CARGA!D:D,tabla!C85,CARGA!C:C,MAESTRO!$B$5)</f>
        <v>0</v>
      </c>
      <c r="K85" s="5" t="e">
        <f>+VLOOKUP(C85,#REF!,3,FALSE)</f>
        <v>#REF!</v>
      </c>
      <c r="L85" s="5" t="e">
        <f t="shared" si="19"/>
        <v>#REF!</v>
      </c>
      <c r="M85" s="5" t="e">
        <f t="shared" si="20"/>
        <v>#REF!</v>
      </c>
      <c r="N85" s="5" t="str">
        <f t="shared" si="15"/>
        <v>NO</v>
      </c>
      <c r="O85" s="5">
        <f>+VLOOKUP(C85,[2]Fondos!$F:$J,5,FALSE)</f>
        <v>8673260000</v>
      </c>
      <c r="P85" s="13">
        <f>+VLOOKUP(C85,[2]Fondos!$F:$K,6,FALSE)</f>
        <v>0.25678699999999999</v>
      </c>
      <c r="Q85" s="13">
        <f t="shared" si="16"/>
        <v>0</v>
      </c>
      <c r="R85" s="10">
        <f>+IF(Q85&gt;MAESTRO!$G$6,0,1)</f>
        <v>1</v>
      </c>
      <c r="S85">
        <f>+IF(P85&lt;MAESTRO!$G$8,0,1)</f>
        <v>1</v>
      </c>
      <c r="T85" s="10">
        <f t="shared" si="17"/>
        <v>2</v>
      </c>
      <c r="U85" t="str">
        <f>+IF(R85+S85=2,MAESTRO!$G$2,IF(R85+S85=0,MAESTRO!$G$5,IF(R85=0,MAESTRO!$G$3,IF(S85=0,MAESTRO!$G$4,))))</f>
        <v>cumple politica</v>
      </c>
    </row>
    <row r="86" spans="1:21" x14ac:dyDescent="0.3">
      <c r="A86" t="s">
        <v>13</v>
      </c>
      <c r="B86" t="s">
        <v>28</v>
      </c>
      <c r="C86" t="s">
        <v>60</v>
      </c>
      <c r="D86" t="s">
        <v>82</v>
      </c>
      <c r="E86" s="24">
        <f t="shared" si="14"/>
        <v>0</v>
      </c>
      <c r="F86" s="22">
        <f>-SUMIFS(CARGA!I:I,CARGA!B:B,tabla!A86,CARGA!D:D,tabla!C86,CARGA!C:C,MAESTRO!$B$4)-SUMIFS(CARGA!I:I,CARGA!B:B,tabla!A86,CARGA!D:D,tabla!C86,CARGA!C:C,MAESTRO!$B$5)</f>
        <v>0</v>
      </c>
      <c r="G86" s="5">
        <f>+SUMIFS(CARGA!I:I,CARGA!B:B,tabla!A86,CARGA!D:D,tabla!C86)</f>
        <v>0</v>
      </c>
      <c r="H86" s="5">
        <f>+SUMIFS(CARGA!K:K,CARGA!B:B,tabla!A86,CARGA!D:D,tabla!C86)</f>
        <v>0</v>
      </c>
      <c r="I86" s="5">
        <f t="shared" si="18"/>
        <v>0</v>
      </c>
      <c r="J86" s="5">
        <f>-SUMIFS(CARGA!K:K,CARGA!B:B,tabla!A86,CARGA!D:D,tabla!C86,CARGA!C:C,MAESTRO!$B$4)+SUMIFS(CARGA!K:K,CARGA!B:B,tabla!A86,CARGA!D:D,tabla!C86,CARGA!C:C,MAESTRO!$B$5)</f>
        <v>0</v>
      </c>
      <c r="K86" s="5" t="e">
        <f>+VLOOKUP(C86,#REF!,3,FALSE)</f>
        <v>#REF!</v>
      </c>
      <c r="L86" s="5" t="e">
        <f t="shared" si="19"/>
        <v>#REF!</v>
      </c>
      <c r="M86" s="5" t="e">
        <f t="shared" si="20"/>
        <v>#REF!</v>
      </c>
      <c r="N86" s="5" t="str">
        <f t="shared" si="15"/>
        <v>NO</v>
      </c>
      <c r="O86" s="5">
        <f>+VLOOKUP(C86,[2]Fondos!$F:$J,5,FALSE)</f>
        <v>8673260000</v>
      </c>
      <c r="P86" s="13">
        <f>+VLOOKUP(C86,[2]Fondos!$F:$K,6,FALSE)</f>
        <v>0.26727390000000001</v>
      </c>
      <c r="Q86" s="13">
        <f t="shared" si="16"/>
        <v>0</v>
      </c>
      <c r="R86" s="10">
        <f>+IF(Q86&gt;MAESTRO!$G$6,0,1)</f>
        <v>1</v>
      </c>
      <c r="S86">
        <f>+IF(P86&lt;MAESTRO!$G$8,0,1)</f>
        <v>1</v>
      </c>
      <c r="T86" s="10">
        <f t="shared" si="17"/>
        <v>2</v>
      </c>
      <c r="U86" t="str">
        <f>+IF(R86+S86=2,MAESTRO!$G$2,IF(R86+S86=0,MAESTRO!$G$5,IF(R86=0,MAESTRO!$G$3,IF(S86=0,MAESTRO!$G$4,))))</f>
        <v>cumple politica</v>
      </c>
    </row>
    <row r="87" spans="1:21" x14ac:dyDescent="0.3">
      <c r="A87" t="s">
        <v>13</v>
      </c>
      <c r="B87" t="s">
        <v>22</v>
      </c>
      <c r="C87" t="s">
        <v>37</v>
      </c>
      <c r="D87" t="s">
        <v>81</v>
      </c>
      <c r="E87" s="24">
        <f t="shared" si="14"/>
        <v>0</v>
      </c>
      <c r="F87" s="22">
        <f>-SUMIFS(CARGA!I:I,CARGA!B:B,tabla!A87,CARGA!D:D,tabla!C87,CARGA!C:C,MAESTRO!$B$4)-SUMIFS(CARGA!I:I,CARGA!B:B,tabla!A87,CARGA!D:D,tabla!C87,CARGA!C:C,MAESTRO!$B$5)</f>
        <v>0</v>
      </c>
      <c r="G87" s="5">
        <f>+SUMIFS(CARGA!I:I,CARGA!B:B,tabla!A87,CARGA!D:D,tabla!C87)</f>
        <v>0</v>
      </c>
      <c r="H87" s="5">
        <f>+SUMIFS(CARGA!K:K,CARGA!B:B,tabla!A87,CARGA!D:D,tabla!C87)</f>
        <v>0</v>
      </c>
      <c r="I87" s="5">
        <f t="shared" si="18"/>
        <v>0</v>
      </c>
      <c r="J87" s="5">
        <f>-SUMIFS(CARGA!K:K,CARGA!B:B,tabla!A87,CARGA!D:D,tabla!C87,CARGA!C:C,MAESTRO!$B$4)+SUMIFS(CARGA!K:K,CARGA!B:B,tabla!A87,CARGA!D:D,tabla!C87,CARGA!C:C,MAESTRO!$B$5)</f>
        <v>0</v>
      </c>
      <c r="K87" s="5" t="e">
        <f>+VLOOKUP(C87,#REF!,3,FALSE)</f>
        <v>#REF!</v>
      </c>
      <c r="L87" s="5" t="e">
        <f t="shared" si="19"/>
        <v>#REF!</v>
      </c>
      <c r="M87" s="5" t="e">
        <f t="shared" si="20"/>
        <v>#REF!</v>
      </c>
      <c r="N87" s="5" t="str">
        <f t="shared" si="15"/>
        <v>NO</v>
      </c>
      <c r="O87" s="5">
        <f>+VLOOKUP(C87,[2]Fondos!$F:$J,5,FALSE)</f>
        <v>652691913</v>
      </c>
      <c r="P87" s="13">
        <f>+VLOOKUP(C87,[2]Fondos!$F:$K,6,FALSE)</f>
        <v>0.25056249999999997</v>
      </c>
      <c r="Q87" s="13">
        <f t="shared" si="16"/>
        <v>0</v>
      </c>
      <c r="R87" s="10">
        <f>+IF(Q87&gt;MAESTRO!$G$6,0,1)</f>
        <v>1</v>
      </c>
      <c r="S87">
        <f>+IF(P87&lt;MAESTRO!$G$8,0,1)</f>
        <v>1</v>
      </c>
      <c r="T87" s="10">
        <f t="shared" si="17"/>
        <v>2</v>
      </c>
      <c r="U87" t="str">
        <f>+IF(R87+S87=2,MAESTRO!$G$2,IF(R87+S87=0,MAESTRO!$G$5,IF(R87=0,MAESTRO!$G$3,IF(S87=0,MAESTRO!$G$4,))))</f>
        <v>cumple politica</v>
      </c>
    </row>
    <row r="88" spans="1:21" x14ac:dyDescent="0.3">
      <c r="A88" t="s">
        <v>13</v>
      </c>
      <c r="B88" t="s">
        <v>22</v>
      </c>
      <c r="C88" t="s">
        <v>54</v>
      </c>
      <c r="D88" t="s">
        <v>82</v>
      </c>
      <c r="E88" s="24">
        <f t="shared" si="14"/>
        <v>0</v>
      </c>
      <c r="F88" s="22">
        <f>-SUMIFS(CARGA!I:I,CARGA!B:B,tabla!A88,CARGA!D:D,tabla!C88,CARGA!C:C,MAESTRO!$B$4)-SUMIFS(CARGA!I:I,CARGA!B:B,tabla!A88,CARGA!D:D,tabla!C88,CARGA!C:C,MAESTRO!$B$5)</f>
        <v>0</v>
      </c>
      <c r="G88" s="5">
        <f>+SUMIFS(CARGA!I:I,CARGA!B:B,tabla!A88,CARGA!D:D,tabla!C88)</f>
        <v>0</v>
      </c>
      <c r="H88" s="5">
        <f>+SUMIFS(CARGA!K:K,CARGA!B:B,tabla!A88,CARGA!D:D,tabla!C88)</f>
        <v>0</v>
      </c>
      <c r="I88" s="5">
        <f t="shared" si="18"/>
        <v>0</v>
      </c>
      <c r="J88" s="5">
        <f>-SUMIFS(CARGA!K:K,CARGA!B:B,tabla!A88,CARGA!D:D,tabla!C88,CARGA!C:C,MAESTRO!$B$4)+SUMIFS(CARGA!K:K,CARGA!B:B,tabla!A88,CARGA!D:D,tabla!C88,CARGA!C:C,MAESTRO!$B$5)</f>
        <v>0</v>
      </c>
      <c r="K88" s="5" t="e">
        <f>+VLOOKUP(C88,#REF!,3,FALSE)</f>
        <v>#REF!</v>
      </c>
      <c r="L88" s="5" t="e">
        <f t="shared" si="19"/>
        <v>#REF!</v>
      </c>
      <c r="M88" s="5" t="e">
        <f t="shared" si="20"/>
        <v>#REF!</v>
      </c>
      <c r="N88" s="5" t="str">
        <f t="shared" si="15"/>
        <v>NO</v>
      </c>
      <c r="O88" s="5">
        <f>+VLOOKUP(C88,[2]Fondos!$F:$J,5,FALSE)</f>
        <v>2006490136</v>
      </c>
      <c r="P88" s="13">
        <f>+VLOOKUP(C88,[2]Fondos!$F:$K,6,FALSE)</f>
        <v>0.27425260000000001</v>
      </c>
      <c r="Q88" s="13">
        <f t="shared" si="16"/>
        <v>0</v>
      </c>
      <c r="R88" s="10">
        <f>+IF(Q88&gt;MAESTRO!$G$6,0,1)</f>
        <v>1</v>
      </c>
      <c r="S88">
        <f>+IF(P88&lt;MAESTRO!$G$8,0,1)</f>
        <v>1</v>
      </c>
      <c r="T88" s="10">
        <f t="shared" si="17"/>
        <v>2</v>
      </c>
      <c r="U88" t="str">
        <f>+IF(R88+S88=2,MAESTRO!$G$2,IF(R88+S88=0,MAESTRO!$G$5,IF(R88=0,MAESTRO!$G$3,IF(S88=0,MAESTRO!$G$4,))))</f>
        <v>cumple politica</v>
      </c>
    </row>
    <row r="89" spans="1:21" x14ac:dyDescent="0.3">
      <c r="A89" t="s">
        <v>13</v>
      </c>
      <c r="B89" t="s">
        <v>34</v>
      </c>
      <c r="C89" t="s">
        <v>77</v>
      </c>
      <c r="D89" t="s">
        <v>82</v>
      </c>
      <c r="E89" s="24">
        <f t="shared" si="14"/>
        <v>0</v>
      </c>
      <c r="F89" s="22">
        <f>-SUMIFS(CARGA!I:I,CARGA!B:B,tabla!A89,CARGA!D:D,tabla!C89,CARGA!C:C,MAESTRO!$B$4)-SUMIFS(CARGA!I:I,CARGA!B:B,tabla!A89,CARGA!D:D,tabla!C89,CARGA!C:C,MAESTRO!$B$5)</f>
        <v>0</v>
      </c>
      <c r="G89" s="5">
        <f>+SUMIFS(CARGA!I:I,CARGA!B:B,tabla!A89,CARGA!D:D,tabla!C89)</f>
        <v>0</v>
      </c>
      <c r="H89" s="5">
        <f>+SUMIFS(CARGA!K:K,CARGA!B:B,tabla!A89,CARGA!D:D,tabla!C89)</f>
        <v>0</v>
      </c>
      <c r="I89" s="5">
        <f t="shared" si="18"/>
        <v>0</v>
      </c>
      <c r="J89" s="5">
        <f>-SUMIFS(CARGA!K:K,CARGA!B:B,tabla!A89,CARGA!D:D,tabla!C89,CARGA!C:C,MAESTRO!$B$4)+SUMIFS(CARGA!K:K,CARGA!B:B,tabla!A89,CARGA!D:D,tabla!C89,CARGA!C:C,MAESTRO!$B$5)</f>
        <v>0</v>
      </c>
      <c r="K89" s="5" t="e">
        <f>+VLOOKUP(C89,#REF!,3,FALSE)</f>
        <v>#REF!</v>
      </c>
      <c r="L89" s="5" t="e">
        <f t="shared" si="19"/>
        <v>#REF!</v>
      </c>
      <c r="M89" s="5" t="e">
        <f t="shared" si="20"/>
        <v>#REF!</v>
      </c>
      <c r="N89" s="5" t="str">
        <f t="shared" si="15"/>
        <v>NO</v>
      </c>
      <c r="O89" s="5">
        <f>+VLOOKUP(C89,[2]Fondos!$F:$J,5,FALSE)</f>
        <v>10383624192</v>
      </c>
      <c r="P89" s="13">
        <f>+VLOOKUP(C89,[2]Fondos!$F:$K,6,FALSE)</f>
        <v>0.27741320000000003</v>
      </c>
      <c r="Q89" s="13">
        <f t="shared" si="16"/>
        <v>0</v>
      </c>
      <c r="R89" s="10">
        <f>+IF(Q89&gt;MAESTRO!$G$6,0,1)</f>
        <v>1</v>
      </c>
      <c r="S89">
        <f>+IF(P89&lt;MAESTRO!$G$8,0,1)</f>
        <v>1</v>
      </c>
      <c r="T89" s="10">
        <f t="shared" si="17"/>
        <v>2</v>
      </c>
      <c r="U89" t="str">
        <f>+IF(R89+S89=2,MAESTRO!$G$2,IF(R89+S89=0,MAESTRO!$G$5,IF(R89=0,MAESTRO!$G$3,IF(S89=0,MAESTRO!$G$4,))))</f>
        <v>cumple politica</v>
      </c>
    </row>
    <row r="90" spans="1:21" x14ac:dyDescent="0.3">
      <c r="A90" t="s">
        <v>13</v>
      </c>
      <c r="B90" t="s">
        <v>34</v>
      </c>
      <c r="C90" t="s">
        <v>53</v>
      </c>
      <c r="D90" t="s">
        <v>81</v>
      </c>
      <c r="E90" s="24">
        <f t="shared" si="14"/>
        <v>0</v>
      </c>
      <c r="F90" s="22">
        <f>-SUMIFS(CARGA!I:I,CARGA!B:B,tabla!A90,CARGA!D:D,tabla!C90,CARGA!C:C,MAESTRO!$B$4)-SUMIFS(CARGA!I:I,CARGA!B:B,tabla!A90,CARGA!D:D,tabla!C90,CARGA!C:C,MAESTRO!$B$5)</f>
        <v>0</v>
      </c>
      <c r="G90" s="5">
        <f>+SUMIFS(CARGA!I:I,CARGA!B:B,tabla!A90,CARGA!D:D,tabla!C90)</f>
        <v>0</v>
      </c>
      <c r="H90" s="5">
        <f>+SUMIFS(CARGA!K:K,CARGA!B:B,tabla!A90,CARGA!D:D,tabla!C90)</f>
        <v>0</v>
      </c>
      <c r="I90" s="5">
        <f t="shared" si="18"/>
        <v>0</v>
      </c>
      <c r="J90" s="5">
        <f>-SUMIFS(CARGA!K:K,CARGA!B:B,tabla!A90,CARGA!D:D,tabla!C90,CARGA!C:C,MAESTRO!$B$4)+SUMIFS(CARGA!K:K,CARGA!B:B,tabla!A90,CARGA!D:D,tabla!C90,CARGA!C:C,MAESTRO!$B$5)</f>
        <v>0</v>
      </c>
      <c r="K90" s="5" t="e">
        <f>+VLOOKUP(C90,#REF!,3,FALSE)</f>
        <v>#REF!</v>
      </c>
      <c r="L90" s="5" t="e">
        <f t="shared" si="19"/>
        <v>#REF!</v>
      </c>
      <c r="M90" s="5" t="e">
        <f t="shared" si="20"/>
        <v>#REF!</v>
      </c>
      <c r="N90" s="5" t="str">
        <f t="shared" si="15"/>
        <v>NO</v>
      </c>
      <c r="O90" s="5">
        <f>+VLOOKUP(C90,[2]Fondos!$F:$J,5,FALSE)</f>
        <v>4530803420</v>
      </c>
      <c r="P90" s="13">
        <f>+VLOOKUP(C90,[2]Fondos!$F:$K,6,FALSE)</f>
        <v>0.2425168</v>
      </c>
      <c r="Q90" s="13">
        <f t="shared" si="16"/>
        <v>0</v>
      </c>
      <c r="R90" s="10">
        <f>+IF(Q90&gt;MAESTRO!$G$6,0,1)</f>
        <v>1</v>
      </c>
      <c r="S90">
        <f>+IF(P90&lt;MAESTRO!$G$8,0,1)</f>
        <v>1</v>
      </c>
      <c r="T90" s="10">
        <f t="shared" si="17"/>
        <v>2</v>
      </c>
      <c r="U90" t="str">
        <f>+IF(R90+S90=2,MAESTRO!$G$2,IF(R90+S90=0,MAESTRO!$G$5,IF(R90=0,MAESTRO!$G$3,IF(S90=0,MAESTRO!$G$4,))))</f>
        <v>cumple politica</v>
      </c>
    </row>
    <row r="91" spans="1:21" x14ac:dyDescent="0.3">
      <c r="A91" t="s">
        <v>13</v>
      </c>
      <c r="B91" t="s">
        <v>129</v>
      </c>
      <c r="C91" t="s">
        <v>128</v>
      </c>
      <c r="D91" t="s">
        <v>81</v>
      </c>
      <c r="E91" s="24">
        <f t="shared" si="14"/>
        <v>0</v>
      </c>
      <c r="F91" s="22">
        <f>-SUMIFS(CARGA!I:I,CARGA!B:B,tabla!A91,CARGA!D:D,tabla!C91,CARGA!C:C,MAESTRO!$B$4)-SUMIFS(CARGA!I:I,CARGA!B:B,tabla!A91,CARGA!D:D,tabla!C91,CARGA!C:C,MAESTRO!$B$5)</f>
        <v>0</v>
      </c>
      <c r="G91" s="5">
        <f>+SUMIFS(CARGA!I:I,CARGA!B:B,tabla!A91,CARGA!D:D,tabla!C91)</f>
        <v>0</v>
      </c>
      <c r="H91" s="5">
        <f>+SUMIFS(CARGA!K:K,CARGA!B:B,tabla!A91,CARGA!D:D,tabla!C91)</f>
        <v>0</v>
      </c>
      <c r="I91" s="5">
        <f t="shared" si="18"/>
        <v>0</v>
      </c>
      <c r="J91" s="5">
        <f>-SUMIFS(CARGA!K:K,CARGA!B:B,tabla!A91,CARGA!D:D,tabla!C91,CARGA!C:C,MAESTRO!$B$4)+SUMIFS(CARGA!K:K,CARGA!B:B,tabla!A91,CARGA!D:D,tabla!C91,CARGA!C:C,MAESTRO!$B$5)</f>
        <v>0</v>
      </c>
      <c r="K91" s="5" t="e">
        <f>+VLOOKUP(C91,#REF!,3,FALSE)</f>
        <v>#REF!</v>
      </c>
      <c r="L91" s="5" t="e">
        <f t="shared" si="19"/>
        <v>#REF!</v>
      </c>
      <c r="M91" s="5" t="e">
        <f t="shared" si="20"/>
        <v>#REF!</v>
      </c>
      <c r="N91" s="5" t="str">
        <f t="shared" si="15"/>
        <v>NO</v>
      </c>
      <c r="O91" s="5" t="e">
        <f>+VLOOKUP(C91,[2]Fondos!$F:$J,5,FALSE)</f>
        <v>#N/A</v>
      </c>
      <c r="P91" s="13" t="e">
        <f>+VLOOKUP(C91,[2]Fondos!$F:$K,6,FALSE)</f>
        <v>#N/A</v>
      </c>
      <c r="Q91" s="13" t="e">
        <f t="shared" si="16"/>
        <v>#N/A</v>
      </c>
      <c r="R91" s="10" t="e">
        <f>+IF(Q91&gt;MAESTRO!$G$6,0,1)</f>
        <v>#N/A</v>
      </c>
      <c r="S91" t="e">
        <f>+IF(P91&lt;MAESTRO!$G$8,0,1)</f>
        <v>#N/A</v>
      </c>
      <c r="T91" s="10" t="e">
        <f t="shared" si="17"/>
        <v>#N/A</v>
      </c>
      <c r="U91" t="e">
        <f>+IF(R91+S91=2,MAESTRO!$G$2,IF(R91+S91=0,MAESTRO!$G$5,IF(R91=0,MAESTRO!$G$3,IF(S91=0,MAESTRO!$G$4,))))</f>
        <v>#N/A</v>
      </c>
    </row>
    <row r="92" spans="1:21" x14ac:dyDescent="0.3">
      <c r="A92" t="s">
        <v>13</v>
      </c>
      <c r="B92" t="s">
        <v>30</v>
      </c>
      <c r="C92" t="s">
        <v>49</v>
      </c>
      <c r="D92" t="s">
        <v>81</v>
      </c>
      <c r="E92" s="24">
        <f t="shared" si="14"/>
        <v>0</v>
      </c>
      <c r="F92" s="22">
        <f>-SUMIFS(CARGA!I:I,CARGA!B:B,tabla!A92,CARGA!D:D,tabla!C92,CARGA!C:C,MAESTRO!$B$4)-SUMIFS(CARGA!I:I,CARGA!B:B,tabla!A92,CARGA!D:D,tabla!C92,CARGA!C:C,MAESTRO!$B$5)</f>
        <v>0</v>
      </c>
      <c r="G92" s="5">
        <f>+SUMIFS(CARGA!I:I,CARGA!B:B,tabla!A92,CARGA!D:D,tabla!C92)</f>
        <v>0</v>
      </c>
      <c r="H92" s="5">
        <f>+SUMIFS(CARGA!K:K,CARGA!B:B,tabla!A92,CARGA!D:D,tabla!C92)</f>
        <v>0</v>
      </c>
      <c r="I92" s="5">
        <f t="shared" si="18"/>
        <v>0</v>
      </c>
      <c r="J92" s="5">
        <f>-SUMIFS(CARGA!K:K,CARGA!B:B,tabla!A92,CARGA!D:D,tabla!C92,CARGA!C:C,MAESTRO!$B$4)+SUMIFS(CARGA!K:K,CARGA!B:B,tabla!A92,CARGA!D:D,tabla!C92,CARGA!C:C,MAESTRO!$B$5)</f>
        <v>0</v>
      </c>
      <c r="K92" s="5" t="e">
        <f>+VLOOKUP(C92,#REF!,3,FALSE)</f>
        <v>#REF!</v>
      </c>
      <c r="L92" s="5" t="e">
        <f t="shared" si="19"/>
        <v>#REF!</v>
      </c>
      <c r="M92" s="5" t="e">
        <f t="shared" si="20"/>
        <v>#REF!</v>
      </c>
      <c r="N92" s="5" t="str">
        <f t="shared" si="15"/>
        <v>NO</v>
      </c>
      <c r="O92" s="5">
        <f>+VLOOKUP(C92,[2]Fondos!$F:$J,5,FALSE)</f>
        <v>9591427.7400000002</v>
      </c>
      <c r="P92" s="13">
        <f>+VLOOKUP(C92,[2]Fondos!$F:$K,6,FALSE)</f>
        <v>0.1408799</v>
      </c>
      <c r="Q92" s="13">
        <f t="shared" si="16"/>
        <v>0</v>
      </c>
      <c r="R92" s="10">
        <f>+IF(Q92&gt;MAESTRO!$G$6,0,1)</f>
        <v>1</v>
      </c>
      <c r="S92">
        <f>+IF(P92&lt;MAESTRO!$G$8,0,1)</f>
        <v>1</v>
      </c>
      <c r="T92" s="10">
        <f t="shared" si="17"/>
        <v>2</v>
      </c>
      <c r="U92" t="str">
        <f>+IF(R92+S92=2,MAESTRO!$G$2,IF(R92+S92=0,MAESTRO!$G$5,IF(R92=0,MAESTRO!$G$3,IF(S92=0,MAESTRO!$G$4,))))</f>
        <v>cumple politica</v>
      </c>
    </row>
    <row r="93" spans="1:21" x14ac:dyDescent="0.3">
      <c r="A93" t="s">
        <v>13</v>
      </c>
      <c r="B93" t="s">
        <v>30</v>
      </c>
      <c r="C93" t="s">
        <v>68</v>
      </c>
      <c r="D93" t="s">
        <v>82</v>
      </c>
      <c r="E93" s="24">
        <f t="shared" si="14"/>
        <v>0</v>
      </c>
      <c r="F93" s="22">
        <f>-SUMIFS(CARGA!I:I,CARGA!B:B,tabla!A93,CARGA!D:D,tabla!C93,CARGA!C:C,MAESTRO!$B$4)-SUMIFS(CARGA!I:I,CARGA!B:B,tabla!A93,CARGA!D:D,tabla!C93,CARGA!C:C,MAESTRO!$B$5)</f>
        <v>0</v>
      </c>
      <c r="G93" s="5">
        <f>+SUMIFS(CARGA!I:I,CARGA!B:B,tabla!A93,CARGA!D:D,tabla!C93)</f>
        <v>0</v>
      </c>
      <c r="H93" s="5">
        <f>+SUMIFS(CARGA!K:K,CARGA!B:B,tabla!A93,CARGA!D:D,tabla!C93)</f>
        <v>0</v>
      </c>
      <c r="I93" s="5">
        <f t="shared" si="18"/>
        <v>0</v>
      </c>
      <c r="J93" s="5">
        <f>-SUMIFS(CARGA!K:K,CARGA!B:B,tabla!A93,CARGA!D:D,tabla!C93,CARGA!C:C,MAESTRO!$B$4)+SUMIFS(CARGA!K:K,CARGA!B:B,tabla!A93,CARGA!D:D,tabla!C93,CARGA!C:C,MAESTRO!$B$5)</f>
        <v>0</v>
      </c>
      <c r="K93" s="5" t="e">
        <f>+VLOOKUP(C93,#REF!,3,FALSE)</f>
        <v>#REF!</v>
      </c>
      <c r="L93" s="5" t="e">
        <f t="shared" si="19"/>
        <v>#REF!</v>
      </c>
      <c r="M93" s="5" t="e">
        <f t="shared" si="20"/>
        <v>#REF!</v>
      </c>
      <c r="N93" s="5" t="str">
        <f t="shared" si="15"/>
        <v>NO</v>
      </c>
      <c r="O93" s="5">
        <f>+VLOOKUP(C93,[2]Fondos!$F:$J,5,FALSE)</f>
        <v>5034893543.9799995</v>
      </c>
      <c r="P93" s="13">
        <f>+VLOOKUP(C93,[2]Fondos!$F:$K,6,FALSE)</f>
        <v>0.27295020000000003</v>
      </c>
      <c r="Q93" s="13">
        <f t="shared" si="16"/>
        <v>0</v>
      </c>
      <c r="R93" s="10">
        <f>+IF(Q93&gt;MAESTRO!$G$6,0,1)</f>
        <v>1</v>
      </c>
      <c r="S93">
        <f>+IF(P93&lt;MAESTRO!$G$8,0,1)</f>
        <v>1</v>
      </c>
      <c r="T93" s="10">
        <f t="shared" si="17"/>
        <v>2</v>
      </c>
      <c r="U93" t="str">
        <f>+IF(R93+S93=2,MAESTRO!$G$2,IF(R93+S93=0,MAESTRO!$G$5,IF(R93=0,MAESTRO!$G$3,IF(S93=0,MAESTRO!$G$4,))))</f>
        <v>cumple politica</v>
      </c>
    </row>
    <row r="94" spans="1:21" x14ac:dyDescent="0.3">
      <c r="A94" t="s">
        <v>13</v>
      </c>
      <c r="B94" t="s">
        <v>30</v>
      </c>
      <c r="C94" t="s">
        <v>67</v>
      </c>
      <c r="D94" t="s">
        <v>82</v>
      </c>
      <c r="E94" s="24">
        <f t="shared" si="14"/>
        <v>0</v>
      </c>
      <c r="F94" s="22">
        <f>-SUMIFS(CARGA!I:I,CARGA!B:B,tabla!A94,CARGA!D:D,tabla!C94,CARGA!C:C,MAESTRO!$B$4)-SUMIFS(CARGA!I:I,CARGA!B:B,tabla!A94,CARGA!D:D,tabla!C94,CARGA!C:C,MAESTRO!$B$5)</f>
        <v>0</v>
      </c>
      <c r="G94" s="5">
        <f>+SUMIFS(CARGA!I:I,CARGA!B:B,tabla!A94,CARGA!D:D,tabla!C94)</f>
        <v>0</v>
      </c>
      <c r="H94" s="5">
        <f>+SUMIFS(CARGA!K:K,CARGA!B:B,tabla!A94,CARGA!D:D,tabla!C94)</f>
        <v>0</v>
      </c>
      <c r="I94" s="5">
        <f t="shared" si="18"/>
        <v>0</v>
      </c>
      <c r="J94" s="5">
        <f>-SUMIFS(CARGA!K:K,CARGA!B:B,tabla!A94,CARGA!D:D,tabla!C94,CARGA!C:C,MAESTRO!$B$4)+SUMIFS(CARGA!K:K,CARGA!B:B,tabla!A94,CARGA!D:D,tabla!C94,CARGA!C:C,MAESTRO!$B$5)</f>
        <v>0</v>
      </c>
      <c r="K94" s="5" t="e">
        <f>+VLOOKUP(C94,#REF!,3,FALSE)</f>
        <v>#REF!</v>
      </c>
      <c r="L94" s="5" t="e">
        <f t="shared" si="19"/>
        <v>#REF!</v>
      </c>
      <c r="M94" s="5" t="e">
        <f t="shared" si="20"/>
        <v>#REF!</v>
      </c>
      <c r="N94" s="5" t="str">
        <f t="shared" si="15"/>
        <v>NO</v>
      </c>
      <c r="O94" s="5">
        <f>+VLOOKUP(C94,[2]Fondos!$F:$J,5,FALSE)</f>
        <v>11465050695.200001</v>
      </c>
      <c r="P94" s="13">
        <f>+VLOOKUP(C94,[2]Fondos!$F:$K,6,FALSE)</f>
        <v>0.2357329</v>
      </c>
      <c r="Q94" s="13">
        <f t="shared" si="16"/>
        <v>0</v>
      </c>
      <c r="R94" s="10">
        <f>+IF(Q94&gt;MAESTRO!$G$6,0,1)</f>
        <v>1</v>
      </c>
      <c r="S94">
        <f>+IF(P94&lt;MAESTRO!$G$8,0,1)</f>
        <v>1</v>
      </c>
      <c r="T94" s="10">
        <f t="shared" si="17"/>
        <v>2</v>
      </c>
      <c r="U94" t="str">
        <f>+IF(R94+S94=2,MAESTRO!$G$2,IF(R94+S94=0,MAESTRO!$G$5,IF(R94=0,MAESTRO!$G$3,IF(S94=0,MAESTRO!$G$4,))))</f>
        <v>cumple politica</v>
      </c>
    </row>
    <row r="95" spans="1:21" x14ac:dyDescent="0.3">
      <c r="A95" t="s">
        <v>13</v>
      </c>
      <c r="B95" t="s">
        <v>29</v>
      </c>
      <c r="C95" t="s">
        <v>48</v>
      </c>
      <c r="D95" t="s">
        <v>81</v>
      </c>
      <c r="E95" s="24">
        <f t="shared" si="14"/>
        <v>0</v>
      </c>
      <c r="F95" s="22">
        <f>-SUMIFS(CARGA!I:I,CARGA!B:B,tabla!A95,CARGA!D:D,tabla!C95,CARGA!C:C,MAESTRO!$B$4)-SUMIFS(CARGA!I:I,CARGA!B:B,tabla!A95,CARGA!D:D,tabla!C95,CARGA!C:C,MAESTRO!$B$5)</f>
        <v>0</v>
      </c>
      <c r="G95" s="5">
        <f>+SUMIFS(CARGA!I:I,CARGA!B:B,tabla!A95,CARGA!D:D,tabla!C95)</f>
        <v>0</v>
      </c>
      <c r="H95" s="5">
        <f>+SUMIFS(CARGA!K:K,CARGA!B:B,tabla!A95,CARGA!D:D,tabla!C95)</f>
        <v>0</v>
      </c>
      <c r="I95" s="5">
        <f t="shared" si="18"/>
        <v>0</v>
      </c>
      <c r="J95" s="5">
        <f>-SUMIFS(CARGA!K:K,CARGA!B:B,tabla!A95,CARGA!D:D,tabla!C95,CARGA!C:C,MAESTRO!$B$4)+SUMIFS(CARGA!K:K,CARGA!B:B,tabla!A95,CARGA!D:D,tabla!C95,CARGA!C:C,MAESTRO!$B$5)</f>
        <v>0</v>
      </c>
      <c r="K95" s="5" t="e">
        <f>+VLOOKUP(C95,#REF!,3,FALSE)</f>
        <v>#REF!</v>
      </c>
      <c r="L95" s="5" t="e">
        <f t="shared" si="19"/>
        <v>#REF!</v>
      </c>
      <c r="M95" s="5" t="e">
        <f t="shared" si="20"/>
        <v>#REF!</v>
      </c>
      <c r="N95" s="5" t="str">
        <f t="shared" si="15"/>
        <v>NO</v>
      </c>
      <c r="O95" s="5">
        <f>+VLOOKUP(C95,[2]Fondos!$F:$J,5,FALSE)</f>
        <v>1752057008.8599999</v>
      </c>
      <c r="P95" s="13">
        <f>+VLOOKUP(C95,[2]Fondos!$F:$K,6,FALSE)</f>
        <v>0.21970210000000001</v>
      </c>
      <c r="Q95" s="13">
        <f t="shared" si="16"/>
        <v>0</v>
      </c>
      <c r="R95" s="10">
        <f>+IF(Q95&gt;MAESTRO!$G$6,0,1)</f>
        <v>1</v>
      </c>
      <c r="S95">
        <f>+IF(P95&lt;MAESTRO!$G$8,0,1)</f>
        <v>1</v>
      </c>
      <c r="T95" s="10">
        <f t="shared" si="17"/>
        <v>2</v>
      </c>
      <c r="U95" t="str">
        <f>+IF(R95+S95=2,MAESTRO!$G$2,IF(R95+S95=0,MAESTRO!$G$5,IF(R95=0,MAESTRO!$G$3,IF(S95=0,MAESTRO!$G$4,))))</f>
        <v>cumple politica</v>
      </c>
    </row>
    <row r="96" spans="1:21" x14ac:dyDescent="0.3">
      <c r="A96" t="s">
        <v>13</v>
      </c>
      <c r="B96" t="s">
        <v>29</v>
      </c>
      <c r="C96" t="s">
        <v>66</v>
      </c>
      <c r="D96" t="s">
        <v>82</v>
      </c>
      <c r="E96" s="24">
        <f t="shared" si="14"/>
        <v>0</v>
      </c>
      <c r="F96" s="22">
        <f>-SUMIFS(CARGA!I:I,CARGA!B:B,tabla!A96,CARGA!D:D,tabla!C96,CARGA!C:C,MAESTRO!$B$4)-SUMIFS(CARGA!I:I,CARGA!B:B,tabla!A96,CARGA!D:D,tabla!C96,CARGA!C:C,MAESTRO!$B$5)</f>
        <v>0</v>
      </c>
      <c r="G96" s="5">
        <f>+SUMIFS(CARGA!I:I,CARGA!B:B,tabla!A96,CARGA!D:D,tabla!C96)</f>
        <v>0</v>
      </c>
      <c r="H96" s="5">
        <f>+SUMIFS(CARGA!K:K,CARGA!B:B,tabla!A96,CARGA!D:D,tabla!C96)</f>
        <v>0</v>
      </c>
      <c r="I96" s="5">
        <f t="shared" si="18"/>
        <v>0</v>
      </c>
      <c r="J96" s="5">
        <f>-SUMIFS(CARGA!K:K,CARGA!B:B,tabla!A96,CARGA!D:D,tabla!C96,CARGA!C:C,MAESTRO!$B$4)+SUMIFS(CARGA!K:K,CARGA!B:B,tabla!A96,CARGA!D:D,tabla!C96,CARGA!C:C,MAESTRO!$B$5)</f>
        <v>0</v>
      </c>
      <c r="K96" s="5" t="e">
        <f>+VLOOKUP(C96,#REF!,3,FALSE)</f>
        <v>#REF!</v>
      </c>
      <c r="L96" s="5" t="e">
        <f t="shared" si="19"/>
        <v>#REF!</v>
      </c>
      <c r="M96" s="5" t="e">
        <f t="shared" si="20"/>
        <v>#REF!</v>
      </c>
      <c r="N96" s="5" t="str">
        <f t="shared" si="15"/>
        <v>NO</v>
      </c>
      <c r="O96" s="5">
        <f>+VLOOKUP(C96,[2]Fondos!$F:$J,5,FALSE)</f>
        <v>15968105687.34</v>
      </c>
      <c r="P96" s="13">
        <f>+VLOOKUP(C96,[2]Fondos!$F:$K,6,FALSE)</f>
        <v>0.27123580000000003</v>
      </c>
      <c r="Q96" s="13">
        <f t="shared" si="16"/>
        <v>0</v>
      </c>
      <c r="R96" s="10">
        <f>+IF(Q96&gt;MAESTRO!$G$6,0,1)</f>
        <v>1</v>
      </c>
      <c r="S96">
        <f>+IF(P96&lt;MAESTRO!$G$8,0,1)</f>
        <v>1</v>
      </c>
      <c r="T96" s="10">
        <f t="shared" si="17"/>
        <v>2</v>
      </c>
      <c r="U96" t="str">
        <f>+IF(R96+S96=2,MAESTRO!$G$2,IF(R96+S96=0,MAESTRO!$G$5,IF(R96=0,MAESTRO!$G$3,IF(S96=0,MAESTRO!$G$4,))))</f>
        <v>cumple politica</v>
      </c>
    </row>
    <row r="97" spans="1:21" x14ac:dyDescent="0.3">
      <c r="A97" t="s">
        <v>13</v>
      </c>
      <c r="B97" t="s">
        <v>29</v>
      </c>
      <c r="C97" t="s">
        <v>110</v>
      </c>
      <c r="D97" t="s">
        <v>83</v>
      </c>
      <c r="E97" s="24">
        <f t="shared" si="14"/>
        <v>0</v>
      </c>
      <c r="F97" s="22">
        <f>-SUMIFS(CARGA!I:I,CARGA!B:B,tabla!A97,CARGA!D:D,tabla!C97,CARGA!C:C,MAESTRO!$B$4)-SUMIFS(CARGA!I:I,CARGA!B:B,tabla!A97,CARGA!D:D,tabla!C97,CARGA!C:C,MAESTRO!$B$5)</f>
        <v>0</v>
      </c>
      <c r="G97" s="5">
        <f>+SUMIFS(CARGA!I:I,CARGA!B:B,tabla!A97,CARGA!D:D,tabla!C97)</f>
        <v>0</v>
      </c>
      <c r="H97" s="5">
        <f>+SUMIFS(CARGA!K:K,CARGA!B:B,tabla!A97,CARGA!D:D,tabla!C97)</f>
        <v>0</v>
      </c>
      <c r="I97" s="5">
        <f t="shared" si="18"/>
        <v>0</v>
      </c>
      <c r="J97" s="5">
        <f>-SUMIFS(CARGA!K:K,CARGA!B:B,tabla!A97,CARGA!D:D,tabla!C97,CARGA!C:C,MAESTRO!$B$4)+SUMIFS(CARGA!K:K,CARGA!B:B,tabla!A97,CARGA!D:D,tabla!C97,CARGA!C:C,MAESTRO!$B$5)</f>
        <v>0</v>
      </c>
      <c r="K97" s="5" t="e">
        <f>+VLOOKUP(C97,#REF!,3,FALSE)</f>
        <v>#REF!</v>
      </c>
      <c r="L97" s="5" t="e">
        <f t="shared" si="19"/>
        <v>#REF!</v>
      </c>
      <c r="M97" s="5" t="e">
        <f t="shared" si="20"/>
        <v>#REF!</v>
      </c>
      <c r="N97" s="5" t="str">
        <f t="shared" si="15"/>
        <v>NO</v>
      </c>
      <c r="O97" s="5" t="e">
        <f>+VLOOKUP(C97,[2]Fondos!$F:$J,5,FALSE)</f>
        <v>#N/A</v>
      </c>
      <c r="P97" s="13" t="e">
        <f>+VLOOKUP(C97,[2]Fondos!$F:$K,6,FALSE)</f>
        <v>#N/A</v>
      </c>
      <c r="Q97" s="13" t="e">
        <f t="shared" si="16"/>
        <v>#N/A</v>
      </c>
      <c r="R97" s="10" t="e">
        <f>+IF(Q97&gt;MAESTRO!$G$6,0,1)</f>
        <v>#N/A</v>
      </c>
      <c r="S97" t="e">
        <f>+IF(P97&lt;MAESTRO!$G$8,0,1)</f>
        <v>#N/A</v>
      </c>
      <c r="T97" s="10" t="e">
        <f t="shared" si="17"/>
        <v>#N/A</v>
      </c>
      <c r="U97" t="e">
        <f>+IF(R97+S97=2,MAESTRO!$G$2,IF(R97+S97=0,MAESTRO!$G$5,IF(R97=0,MAESTRO!$G$3,IF(S97=0,MAESTRO!$G$4,))))</f>
        <v>#N/A</v>
      </c>
    </row>
    <row r="98" spans="1:21" x14ac:dyDescent="0.3">
      <c r="A98" t="s">
        <v>13</v>
      </c>
      <c r="B98" t="s">
        <v>24</v>
      </c>
      <c r="C98" t="s">
        <v>39</v>
      </c>
      <c r="D98" t="s">
        <v>81</v>
      </c>
      <c r="E98" s="24">
        <f t="shared" si="14"/>
        <v>0</v>
      </c>
      <c r="F98" s="22">
        <f>-SUMIFS(CARGA!I:I,CARGA!B:B,tabla!A98,CARGA!D:D,tabla!C98,CARGA!C:C,MAESTRO!$B$4)-SUMIFS(CARGA!I:I,CARGA!B:B,tabla!A98,CARGA!D:D,tabla!C98,CARGA!C:C,MAESTRO!$B$5)</f>
        <v>0</v>
      </c>
      <c r="G98" s="5">
        <f>+SUMIFS(CARGA!I:I,CARGA!B:B,tabla!A98,CARGA!D:D,tabla!C98)</f>
        <v>0</v>
      </c>
      <c r="H98" s="5">
        <f>+SUMIFS(CARGA!K:K,CARGA!B:B,tabla!A98,CARGA!D:D,tabla!C98)</f>
        <v>0</v>
      </c>
      <c r="I98" s="5">
        <f t="shared" si="18"/>
        <v>0</v>
      </c>
      <c r="J98" s="5">
        <f>-SUMIFS(CARGA!K:K,CARGA!B:B,tabla!A98,CARGA!D:D,tabla!C98,CARGA!C:C,MAESTRO!$B$4)+SUMIFS(CARGA!K:K,CARGA!B:B,tabla!A98,CARGA!D:D,tabla!C98,CARGA!C:C,MAESTRO!$B$5)</f>
        <v>0</v>
      </c>
      <c r="K98" s="5" t="e">
        <f>+VLOOKUP(C98,#REF!,3,FALSE)</f>
        <v>#REF!</v>
      </c>
      <c r="L98" s="5" t="e">
        <f t="shared" si="19"/>
        <v>#REF!</v>
      </c>
      <c r="M98" s="5" t="e">
        <f t="shared" si="20"/>
        <v>#REF!</v>
      </c>
      <c r="N98" s="5" t="str">
        <f t="shared" si="15"/>
        <v>NO</v>
      </c>
      <c r="O98" s="5">
        <f>+VLOOKUP(C98,[2]Fondos!$F:$J,5,FALSE)</f>
        <v>2294506221</v>
      </c>
      <c r="P98" s="13">
        <f>+VLOOKUP(C98,[2]Fondos!$F:$K,6,FALSE)</f>
        <v>0.21526589999999998</v>
      </c>
      <c r="Q98" s="13">
        <f t="shared" si="16"/>
        <v>0</v>
      </c>
      <c r="R98" s="10">
        <f>+IF(Q98&gt;MAESTRO!$G$6,0,1)</f>
        <v>1</v>
      </c>
      <c r="S98">
        <f>+IF(P98&lt;MAESTRO!$G$8,0,1)</f>
        <v>1</v>
      </c>
      <c r="T98" s="10">
        <f t="shared" si="17"/>
        <v>2</v>
      </c>
      <c r="U98" t="str">
        <f>+IF(R98+S98=2,MAESTRO!$G$2,IF(R98+S98=0,MAESTRO!$G$5,IF(R98=0,MAESTRO!$G$3,IF(S98=0,MAESTRO!$G$4,))))</f>
        <v>cumple politica</v>
      </c>
    </row>
    <row r="99" spans="1:21" x14ac:dyDescent="0.3">
      <c r="A99" t="s">
        <v>13</v>
      </c>
      <c r="B99" t="s">
        <v>24</v>
      </c>
      <c r="C99" t="s">
        <v>80</v>
      </c>
      <c r="D99" t="s">
        <v>82</v>
      </c>
      <c r="E99" s="24">
        <f t="shared" si="14"/>
        <v>0</v>
      </c>
      <c r="F99" s="22">
        <f>-SUMIFS(CARGA!I:I,CARGA!B:B,tabla!A99,CARGA!D:D,tabla!C99,CARGA!C:C,MAESTRO!$B$4)-SUMIFS(CARGA!I:I,CARGA!B:B,tabla!A99,CARGA!D:D,tabla!C99,CARGA!C:C,MAESTRO!$B$5)</f>
        <v>0</v>
      </c>
      <c r="G99" s="5">
        <f>+SUMIFS(CARGA!I:I,CARGA!B:B,tabla!A99,CARGA!D:D,tabla!C99)</f>
        <v>0</v>
      </c>
      <c r="H99" s="5">
        <f>+SUMIFS(CARGA!K:K,CARGA!B:B,tabla!A99,CARGA!D:D,tabla!C99)</f>
        <v>0</v>
      </c>
      <c r="I99" s="5">
        <f t="shared" si="18"/>
        <v>0</v>
      </c>
      <c r="J99" s="5">
        <f>-SUMIFS(CARGA!K:K,CARGA!B:B,tabla!A99,CARGA!D:D,tabla!C99,CARGA!C:C,MAESTRO!$B$4)+SUMIFS(CARGA!K:K,CARGA!B:B,tabla!A99,CARGA!D:D,tabla!C99,CARGA!C:C,MAESTRO!$B$5)</f>
        <v>0</v>
      </c>
      <c r="K99" s="5" t="e">
        <f>+VLOOKUP(C99,#REF!,3,FALSE)</f>
        <v>#REF!</v>
      </c>
      <c r="L99" s="5" t="e">
        <f t="shared" si="19"/>
        <v>#REF!</v>
      </c>
      <c r="M99" s="5" t="e">
        <f t="shared" si="20"/>
        <v>#REF!</v>
      </c>
      <c r="N99" s="5" t="str">
        <f t="shared" si="15"/>
        <v>NO</v>
      </c>
      <c r="O99" s="5">
        <f>+VLOOKUP(C99,[2]Fondos!$F:$J,5,FALSE)</f>
        <v>8324714840</v>
      </c>
      <c r="P99" s="13">
        <f>+VLOOKUP(C99,[2]Fondos!$F:$K,6,FALSE)</f>
        <v>0.27053379999999999</v>
      </c>
      <c r="Q99" s="13">
        <f t="shared" si="16"/>
        <v>0</v>
      </c>
      <c r="R99" s="10">
        <f>+IF(Q99&gt;MAESTRO!$G$6,0,1)</f>
        <v>1</v>
      </c>
      <c r="S99">
        <f>+IF(P99&lt;MAESTRO!$G$8,0,1)</f>
        <v>1</v>
      </c>
      <c r="T99" s="10">
        <f t="shared" si="17"/>
        <v>2</v>
      </c>
      <c r="U99" t="str">
        <f>+IF(R99+S99=2,MAESTRO!$G$2,IF(R99+S99=0,MAESTRO!$G$5,IF(R99=0,MAESTRO!$G$3,IF(S99=0,MAESTRO!$G$4,))))</f>
        <v>cumple politica</v>
      </c>
    </row>
    <row r="100" spans="1:21" x14ac:dyDescent="0.3">
      <c r="A100" t="s">
        <v>13</v>
      </c>
      <c r="B100" t="s">
        <v>24</v>
      </c>
      <c r="C100" t="s">
        <v>62</v>
      </c>
      <c r="D100" t="s">
        <v>82</v>
      </c>
      <c r="E100" s="24">
        <f t="shared" si="14"/>
        <v>0</v>
      </c>
      <c r="F100" s="22">
        <f>-SUMIFS(CARGA!I:I,CARGA!B:B,tabla!A100,CARGA!D:D,tabla!C100,CARGA!C:C,MAESTRO!$B$4)-SUMIFS(CARGA!I:I,CARGA!B:B,tabla!A100,CARGA!D:D,tabla!C100,CARGA!C:C,MAESTRO!$B$5)</f>
        <v>0</v>
      </c>
      <c r="G100" s="5">
        <f>+SUMIFS(CARGA!I:I,CARGA!B:B,tabla!A100,CARGA!D:D,tabla!C100)</f>
        <v>0</v>
      </c>
      <c r="H100" s="5">
        <f>+SUMIFS(CARGA!K:K,CARGA!B:B,tabla!A100,CARGA!D:D,tabla!C100)</f>
        <v>0</v>
      </c>
      <c r="I100" s="5">
        <f t="shared" si="18"/>
        <v>0</v>
      </c>
      <c r="J100" s="5">
        <f>-SUMIFS(CARGA!K:K,CARGA!B:B,tabla!A100,CARGA!D:D,tabla!C100,CARGA!C:C,MAESTRO!$B$4)+SUMIFS(CARGA!K:K,CARGA!B:B,tabla!A100,CARGA!D:D,tabla!C100,CARGA!C:C,MAESTRO!$B$5)</f>
        <v>0</v>
      </c>
      <c r="K100" s="5" t="e">
        <f>+VLOOKUP(C100,#REF!,3,FALSE)</f>
        <v>#REF!</v>
      </c>
      <c r="L100" s="5" t="e">
        <f t="shared" si="19"/>
        <v>#REF!</v>
      </c>
      <c r="M100" s="5" t="e">
        <f t="shared" si="20"/>
        <v>#REF!</v>
      </c>
      <c r="N100" s="5" t="str">
        <f t="shared" si="15"/>
        <v>NO</v>
      </c>
      <c r="O100" s="5">
        <f>+VLOOKUP(C100,[2]Fondos!$F:$J,5,FALSE)</f>
        <v>2635564025</v>
      </c>
      <c r="P100" s="13">
        <f>+VLOOKUP(C100,[2]Fondos!$F:$K,6,FALSE)</f>
        <v>0.26226080000000002</v>
      </c>
      <c r="Q100" s="13">
        <f t="shared" si="16"/>
        <v>0</v>
      </c>
      <c r="R100" s="10">
        <f>+IF(Q100&gt;MAESTRO!$G$6,0,1)</f>
        <v>1</v>
      </c>
      <c r="S100">
        <f>+IF(P100&lt;MAESTRO!$G$8,0,1)</f>
        <v>1</v>
      </c>
      <c r="T100" s="10">
        <f t="shared" si="17"/>
        <v>2</v>
      </c>
      <c r="U100" t="str">
        <f>+IF(R100+S100=2,MAESTRO!$G$2,IF(R100+S100=0,MAESTRO!$G$5,IF(R100=0,MAESTRO!$G$3,IF(S100=0,MAESTRO!$G$4,))))</f>
        <v>cumple politica</v>
      </c>
    </row>
    <row r="101" spans="1:21" x14ac:dyDescent="0.3">
      <c r="A101" t="s">
        <v>13</v>
      </c>
      <c r="B101" t="s">
        <v>32</v>
      </c>
      <c r="C101" t="s">
        <v>71</v>
      </c>
      <c r="D101" t="s">
        <v>82</v>
      </c>
      <c r="E101" s="24">
        <f t="shared" si="14"/>
        <v>0</v>
      </c>
      <c r="F101" s="22">
        <f>-SUMIFS(CARGA!I:I,CARGA!B:B,tabla!A101,CARGA!D:D,tabla!C101,CARGA!C:C,MAESTRO!$B$4)-SUMIFS(CARGA!I:I,CARGA!B:B,tabla!A101,CARGA!D:D,tabla!C101,CARGA!C:C,MAESTRO!$B$5)</f>
        <v>0</v>
      </c>
      <c r="G101" s="5">
        <f>+SUMIFS(CARGA!I:I,CARGA!B:B,tabla!A101,CARGA!D:D,tabla!C101)</f>
        <v>0</v>
      </c>
      <c r="H101" s="5">
        <f>+SUMIFS(CARGA!K:K,CARGA!B:B,tabla!A101,CARGA!D:D,tabla!C101)</f>
        <v>0</v>
      </c>
      <c r="I101" s="5">
        <f t="shared" si="18"/>
        <v>0</v>
      </c>
      <c r="J101" s="5">
        <f>-SUMIFS(CARGA!K:K,CARGA!B:B,tabla!A101,CARGA!D:D,tabla!C101,CARGA!C:C,MAESTRO!$B$4)+SUMIFS(CARGA!K:K,CARGA!B:B,tabla!A101,CARGA!D:D,tabla!C101,CARGA!C:C,MAESTRO!$B$5)</f>
        <v>0</v>
      </c>
      <c r="K101" s="5" t="e">
        <f>+VLOOKUP(C101,#REF!,3,FALSE)</f>
        <v>#REF!</v>
      </c>
      <c r="L101" s="5" t="e">
        <f t="shared" si="19"/>
        <v>#REF!</v>
      </c>
      <c r="M101" s="5" t="e">
        <f t="shared" si="20"/>
        <v>#REF!</v>
      </c>
      <c r="N101" s="5" t="str">
        <f t="shared" si="15"/>
        <v>NO</v>
      </c>
      <c r="O101" s="5">
        <f>+VLOOKUP(C101,[2]Fondos!$F:$J,5,FALSE)</f>
        <v>240000000</v>
      </c>
      <c r="P101" s="13">
        <f>+VLOOKUP(C101,[2]Fondos!$F:$K,6,FALSE)</f>
        <v>0.27596609999999999</v>
      </c>
      <c r="Q101" s="13">
        <f t="shared" si="16"/>
        <v>0</v>
      </c>
      <c r="R101" s="10">
        <f>+IF(Q101&gt;MAESTRO!$G$6,0,1)</f>
        <v>1</v>
      </c>
      <c r="S101">
        <f>+IF(P101&lt;MAESTRO!$G$8,0,1)</f>
        <v>1</v>
      </c>
      <c r="T101" s="10">
        <f t="shared" si="17"/>
        <v>2</v>
      </c>
      <c r="U101" t="str">
        <f>+IF(R101+S101=2,MAESTRO!$G$2,IF(R101+S101=0,MAESTRO!$G$5,IF(R101=0,MAESTRO!$G$3,IF(S101=0,MAESTRO!$G$4,))))</f>
        <v>cumple politica</v>
      </c>
    </row>
    <row r="102" spans="1:21" x14ac:dyDescent="0.3">
      <c r="A102" t="s">
        <v>13</v>
      </c>
      <c r="B102" t="s">
        <v>131</v>
      </c>
      <c r="C102" t="s">
        <v>51</v>
      </c>
      <c r="D102" t="s">
        <v>81</v>
      </c>
      <c r="E102" s="24">
        <f t="shared" si="14"/>
        <v>0</v>
      </c>
      <c r="F102" s="22">
        <f>-SUMIFS(CARGA!I:I,CARGA!B:B,tabla!A102,CARGA!D:D,tabla!C102,CARGA!C:C,MAESTRO!$B$4)-SUMIFS(CARGA!I:I,CARGA!B:B,tabla!A102,CARGA!D:D,tabla!C102,CARGA!C:C,MAESTRO!$B$5)</f>
        <v>0</v>
      </c>
      <c r="G102" s="5">
        <f>+SUMIFS(CARGA!I:I,CARGA!B:B,tabla!A102,CARGA!D:D,tabla!C102)</f>
        <v>0</v>
      </c>
      <c r="H102" s="5">
        <f>+SUMIFS(CARGA!K:K,CARGA!B:B,tabla!A102,CARGA!D:D,tabla!C102)</f>
        <v>0</v>
      </c>
      <c r="I102" s="5">
        <f t="shared" si="18"/>
        <v>0</v>
      </c>
      <c r="J102" s="5">
        <f>-SUMIFS(CARGA!K:K,CARGA!B:B,tabla!A102,CARGA!D:D,tabla!C102,CARGA!C:C,MAESTRO!$B$4)+SUMIFS(CARGA!K:K,CARGA!B:B,tabla!A102,CARGA!D:D,tabla!C102,CARGA!C:C,MAESTRO!$B$5)</f>
        <v>0</v>
      </c>
      <c r="K102" s="5" t="e">
        <f>+VLOOKUP(C102,#REF!,3,FALSE)</f>
        <v>#REF!</v>
      </c>
      <c r="L102" s="5" t="e">
        <f t="shared" si="19"/>
        <v>#REF!</v>
      </c>
      <c r="M102" s="5" t="e">
        <f t="shared" si="20"/>
        <v>#REF!</v>
      </c>
      <c r="N102" s="5" t="str">
        <f t="shared" si="15"/>
        <v>NO</v>
      </c>
      <c r="O102" s="5">
        <f>+VLOOKUP(C102,[2]Fondos!$F:$J,5,FALSE)</f>
        <v>360000000</v>
      </c>
      <c r="P102" s="13">
        <f>+VLOOKUP(C102,[2]Fondos!$F:$K,6,FALSE)</f>
        <v>0.19705159999999999</v>
      </c>
      <c r="Q102" s="13">
        <f t="shared" si="16"/>
        <v>0</v>
      </c>
      <c r="R102" s="10">
        <f>+IF(Q102&gt;MAESTRO!$G$6,0,1)</f>
        <v>1</v>
      </c>
      <c r="S102">
        <f>+IF(P102&lt;MAESTRO!$G$8,0,1)</f>
        <v>1</v>
      </c>
      <c r="T102" s="10">
        <f t="shared" si="17"/>
        <v>2</v>
      </c>
      <c r="U102" t="str">
        <f>+IF(R102+S102=2,MAESTRO!$G$2,IF(R102+S102=0,MAESTRO!$G$5,IF(R102=0,MAESTRO!$G$3,IF(S102=0,MAESTRO!$G$4,))))</f>
        <v>cumple politica</v>
      </c>
    </row>
    <row r="103" spans="1:21" x14ac:dyDescent="0.3">
      <c r="A103" t="s">
        <v>13</v>
      </c>
      <c r="B103" t="s">
        <v>131</v>
      </c>
      <c r="C103" t="s">
        <v>130</v>
      </c>
      <c r="D103" t="s">
        <v>81</v>
      </c>
      <c r="E103" s="24">
        <f t="shared" si="14"/>
        <v>0</v>
      </c>
      <c r="F103" s="22">
        <f>-SUMIFS(CARGA!I:I,CARGA!B:B,tabla!A103,CARGA!D:D,tabla!C103,CARGA!C:C,MAESTRO!$B$4)-SUMIFS(CARGA!I:I,CARGA!B:B,tabla!A103,CARGA!D:D,tabla!C103,CARGA!C:C,MAESTRO!$B$5)</f>
        <v>0</v>
      </c>
      <c r="G103" s="5">
        <f>+SUMIFS(CARGA!I:I,CARGA!B:B,tabla!A103,CARGA!D:D,tabla!C103)</f>
        <v>0</v>
      </c>
      <c r="H103" s="5">
        <f>+SUMIFS(CARGA!K:K,CARGA!B:B,tabla!A103,CARGA!D:D,tabla!C103)</f>
        <v>0</v>
      </c>
      <c r="I103" s="5">
        <f t="shared" si="18"/>
        <v>0</v>
      </c>
      <c r="J103" s="5">
        <f>-SUMIFS(CARGA!K:K,CARGA!B:B,tabla!A103,CARGA!D:D,tabla!C103,CARGA!C:C,MAESTRO!$B$4)+SUMIFS(CARGA!K:K,CARGA!B:B,tabla!A103,CARGA!D:D,tabla!C103,CARGA!C:C,MAESTRO!$B$5)</f>
        <v>0</v>
      </c>
      <c r="K103" s="5" t="e">
        <f>+VLOOKUP(C103,#REF!,3,FALSE)</f>
        <v>#REF!</v>
      </c>
      <c r="L103" s="5" t="e">
        <f t="shared" si="19"/>
        <v>#REF!</v>
      </c>
      <c r="M103" s="5" t="e">
        <f t="shared" si="20"/>
        <v>#REF!</v>
      </c>
      <c r="N103" s="5" t="str">
        <f t="shared" si="15"/>
        <v>NO</v>
      </c>
      <c r="O103" s="5" t="e">
        <f>+VLOOKUP(C103,[2]Fondos!$F:$J,5,FALSE)</f>
        <v>#N/A</v>
      </c>
      <c r="P103" s="13" t="e">
        <f>+VLOOKUP(C103,[2]Fondos!$F:$K,6,FALSE)</f>
        <v>#N/A</v>
      </c>
      <c r="Q103" s="13" t="e">
        <f t="shared" si="16"/>
        <v>#N/A</v>
      </c>
      <c r="R103" s="10" t="e">
        <f>+IF(Q103&gt;MAESTRO!$G$6,0,1)</f>
        <v>#N/A</v>
      </c>
      <c r="S103" t="e">
        <f>+IF(P103&lt;MAESTRO!$G$8,0,1)</f>
        <v>#N/A</v>
      </c>
      <c r="T103" s="10" t="e">
        <f t="shared" si="17"/>
        <v>#N/A</v>
      </c>
      <c r="U103" t="e">
        <f>+IF(R103+S103=2,MAESTRO!$G$2,IF(R103+S103=0,MAESTRO!$G$5,IF(R103=0,MAESTRO!$G$3,IF(S103=0,MAESTRO!$G$4,))))</f>
        <v>#N/A</v>
      </c>
    </row>
    <row r="104" spans="1:21" x14ac:dyDescent="0.3">
      <c r="A104" t="s">
        <v>13</v>
      </c>
      <c r="B104" t="s">
        <v>131</v>
      </c>
      <c r="C104" t="s">
        <v>133</v>
      </c>
      <c r="D104" t="s">
        <v>82</v>
      </c>
      <c r="E104" s="24">
        <f t="shared" ref="E104:E111" si="21">+F104+G104</f>
        <v>0</v>
      </c>
      <c r="F104" s="22">
        <f>-SUMIFS(CARGA!I:I,CARGA!B:B,tabla!A104,CARGA!D:D,tabla!C104,CARGA!C:C,MAESTRO!$B$4)-SUMIFS(CARGA!I:I,CARGA!B:B,tabla!A104,CARGA!D:D,tabla!C104,CARGA!C:C,MAESTRO!$B$5)</f>
        <v>0</v>
      </c>
      <c r="G104" s="5">
        <f>+SUMIFS(CARGA!I:I,CARGA!B:B,tabla!A104,CARGA!D:D,tabla!C104)</f>
        <v>0</v>
      </c>
      <c r="H104" s="5">
        <f>+SUMIFS(CARGA!K:K,CARGA!B:B,tabla!A104,CARGA!D:D,tabla!C104)</f>
        <v>0</v>
      </c>
      <c r="I104" s="5">
        <f t="shared" ref="I104:I111" si="22">+H104+J104</f>
        <v>0</v>
      </c>
      <c r="J104" s="5">
        <f>-SUMIFS(CARGA!K:K,CARGA!B:B,tabla!A104,CARGA!D:D,tabla!C104,CARGA!C:C,MAESTRO!$B$4)+SUMIFS(CARGA!K:K,CARGA!B:B,tabla!A104,CARGA!D:D,tabla!C104,CARGA!C:C,MAESTRO!$B$5)</f>
        <v>0</v>
      </c>
      <c r="K104" s="5" t="e">
        <f>+VLOOKUP(C104,#REF!,3,FALSE)</f>
        <v>#REF!</v>
      </c>
      <c r="L104" s="5" t="e">
        <f t="shared" ref="L104:L111" si="23">+K104*I104</f>
        <v>#REF!</v>
      </c>
      <c r="M104" s="5" t="e">
        <f t="shared" ref="M104:M111" si="24">+K104*J104</f>
        <v>#REF!</v>
      </c>
      <c r="N104" s="5" t="str">
        <f t="shared" ref="N104:N111" si="25">+IF(G104+F104=0,"NO","SI")</f>
        <v>NO</v>
      </c>
      <c r="O104" s="5" t="e">
        <f>+VLOOKUP(C104,[2]Fondos!$F:$J,5,FALSE)</f>
        <v>#N/A</v>
      </c>
      <c r="P104" s="13" t="e">
        <f>+VLOOKUP(C104,[2]Fondos!$F:$K,6,FALSE)</f>
        <v>#N/A</v>
      </c>
      <c r="Q104" s="13" t="e">
        <f t="shared" ref="Q104:Q111" si="26">+G104/O104</f>
        <v>#N/A</v>
      </c>
      <c r="R104" s="10" t="e">
        <f>+IF(Q104&gt;MAESTRO!$G$6,0,1)</f>
        <v>#N/A</v>
      </c>
      <c r="S104" t="e">
        <f>+IF(P104&lt;MAESTRO!$G$8,0,1)</f>
        <v>#N/A</v>
      </c>
      <c r="T104" s="10" t="e">
        <f t="shared" ref="T104:T111" si="27">+R104+S104</f>
        <v>#N/A</v>
      </c>
      <c r="U104" t="e">
        <f>+IF(R104+S104=2,MAESTRO!$G$2,IF(R104+S104=0,MAESTRO!$G$5,IF(R104=0,MAESTRO!$G$3,IF(S104=0,MAESTRO!$G$4,))))</f>
        <v>#N/A</v>
      </c>
    </row>
    <row r="105" spans="1:21" x14ac:dyDescent="0.3">
      <c r="A105" t="s">
        <v>13</v>
      </c>
      <c r="B105" t="s">
        <v>23</v>
      </c>
      <c r="C105" t="s">
        <v>43</v>
      </c>
      <c r="D105" t="s">
        <v>81</v>
      </c>
      <c r="E105" s="24">
        <f t="shared" si="21"/>
        <v>0</v>
      </c>
      <c r="F105" s="22">
        <f>-SUMIFS(CARGA!I:I,CARGA!B:B,tabla!A105,CARGA!D:D,tabla!C105,CARGA!C:C,MAESTRO!$B$4)-SUMIFS(CARGA!I:I,CARGA!B:B,tabla!A105,CARGA!D:D,tabla!C105,CARGA!C:C,MAESTRO!$B$5)</f>
        <v>0</v>
      </c>
      <c r="G105" s="5">
        <f>+SUMIFS(CARGA!I:I,CARGA!B:B,tabla!A105,CARGA!D:D,tabla!C105)</f>
        <v>0</v>
      </c>
      <c r="H105" s="5">
        <f>+SUMIFS(CARGA!K:K,CARGA!B:B,tabla!A105,CARGA!D:D,tabla!C105)</f>
        <v>0</v>
      </c>
      <c r="I105" s="5">
        <f t="shared" si="22"/>
        <v>0</v>
      </c>
      <c r="J105" s="5">
        <f>-SUMIFS(CARGA!K:K,CARGA!B:B,tabla!A105,CARGA!D:D,tabla!C105,CARGA!C:C,MAESTRO!$B$4)+SUMIFS(CARGA!K:K,CARGA!B:B,tabla!A105,CARGA!D:D,tabla!C105,CARGA!C:C,MAESTRO!$B$5)</f>
        <v>0</v>
      </c>
      <c r="K105" s="5" t="e">
        <f>+VLOOKUP(C105,#REF!,3,FALSE)</f>
        <v>#REF!</v>
      </c>
      <c r="L105" s="5" t="e">
        <f t="shared" si="23"/>
        <v>#REF!</v>
      </c>
      <c r="M105" s="5" t="e">
        <f t="shared" si="24"/>
        <v>#REF!</v>
      </c>
      <c r="N105" s="5" t="str">
        <f t="shared" si="25"/>
        <v>NO</v>
      </c>
      <c r="O105" s="5">
        <f>+VLOOKUP(C105,[2]Fondos!$F:$J,5,FALSE)</f>
        <v>3553303148</v>
      </c>
      <c r="P105" s="13">
        <f>+VLOOKUP(C105,[2]Fondos!$F:$K,6,FALSE)</f>
        <v>0.2092009</v>
      </c>
      <c r="Q105" s="13">
        <f t="shared" si="26"/>
        <v>0</v>
      </c>
      <c r="R105" s="10">
        <f>+IF(Q105&gt;MAESTRO!$G$6,0,1)</f>
        <v>1</v>
      </c>
      <c r="S105">
        <f>+IF(P105&lt;MAESTRO!$G$8,0,1)</f>
        <v>1</v>
      </c>
      <c r="T105" s="10">
        <f t="shared" si="27"/>
        <v>2</v>
      </c>
      <c r="U105" t="str">
        <f>+IF(R105+S105=2,MAESTRO!$G$2,IF(R105+S105=0,MAESTRO!$G$5,IF(R105=0,MAESTRO!$G$3,IF(S105=0,MAESTRO!$G$4,))))</f>
        <v>cumple politica</v>
      </c>
    </row>
    <row r="106" spans="1:21" x14ac:dyDescent="0.3">
      <c r="A106" t="s">
        <v>13</v>
      </c>
      <c r="B106" t="s">
        <v>23</v>
      </c>
      <c r="C106" t="s">
        <v>38</v>
      </c>
      <c r="D106" t="s">
        <v>81</v>
      </c>
      <c r="E106" s="24">
        <f t="shared" si="21"/>
        <v>0</v>
      </c>
      <c r="F106" s="22">
        <f>-SUMIFS(CARGA!I:I,CARGA!B:B,tabla!A106,CARGA!D:D,tabla!C106,CARGA!C:C,MAESTRO!$B$4)-SUMIFS(CARGA!I:I,CARGA!B:B,tabla!A106,CARGA!D:D,tabla!C106,CARGA!C:C,MAESTRO!$B$5)</f>
        <v>0</v>
      </c>
      <c r="G106" s="5">
        <f>+SUMIFS(CARGA!I:I,CARGA!B:B,tabla!A106,CARGA!D:D,tabla!C106)</f>
        <v>0</v>
      </c>
      <c r="H106" s="5">
        <f>+SUMIFS(CARGA!K:K,CARGA!B:B,tabla!A106,CARGA!D:D,tabla!C106)</f>
        <v>0</v>
      </c>
      <c r="I106" s="5">
        <f t="shared" si="22"/>
        <v>0</v>
      </c>
      <c r="J106" s="5">
        <f>-SUMIFS(CARGA!K:K,CARGA!B:B,tabla!A106,CARGA!D:D,tabla!C106,CARGA!C:C,MAESTRO!$B$4)+SUMIFS(CARGA!K:K,CARGA!B:B,tabla!A106,CARGA!D:D,tabla!C106,CARGA!C:C,MAESTRO!$B$5)</f>
        <v>0</v>
      </c>
      <c r="K106" s="5" t="e">
        <f>+VLOOKUP(C106,#REF!,3,FALSE)</f>
        <v>#REF!</v>
      </c>
      <c r="L106" s="5" t="e">
        <f t="shared" si="23"/>
        <v>#REF!</v>
      </c>
      <c r="M106" s="5" t="e">
        <f t="shared" si="24"/>
        <v>#REF!</v>
      </c>
      <c r="N106" s="5" t="str">
        <f t="shared" si="25"/>
        <v>NO</v>
      </c>
      <c r="O106" s="5">
        <f>+VLOOKUP(C106,[2]Fondos!$F:$J,5,FALSE)</f>
        <v>4553606100</v>
      </c>
      <c r="P106" s="13">
        <f>+VLOOKUP(C106,[2]Fondos!$F:$K,6,FALSE)</f>
        <v>0.23939009999999999</v>
      </c>
      <c r="Q106" s="13">
        <f t="shared" si="26"/>
        <v>0</v>
      </c>
      <c r="R106" s="10">
        <f>+IF(Q106&gt;MAESTRO!$G$6,0,1)</f>
        <v>1</v>
      </c>
      <c r="S106">
        <f>+IF(P106&lt;MAESTRO!$G$8,0,1)</f>
        <v>1</v>
      </c>
      <c r="T106" s="10">
        <f t="shared" si="27"/>
        <v>2</v>
      </c>
      <c r="U106" t="str">
        <f>+IF(R106+S106=2,MAESTRO!$G$2,IF(R106+S106=0,MAESTRO!$G$5,IF(R106=0,MAESTRO!$G$3,IF(S106=0,MAESTRO!$G$4,))))</f>
        <v>cumple politica</v>
      </c>
    </row>
    <row r="107" spans="1:21" x14ac:dyDescent="0.3">
      <c r="A107" t="s">
        <v>13</v>
      </c>
      <c r="B107" t="s">
        <v>23</v>
      </c>
      <c r="C107" t="s">
        <v>57</v>
      </c>
      <c r="D107" t="s">
        <v>82</v>
      </c>
      <c r="E107" s="24">
        <f t="shared" si="21"/>
        <v>0</v>
      </c>
      <c r="F107" s="22">
        <f>-SUMIFS(CARGA!I:I,CARGA!B:B,tabla!A107,CARGA!D:D,tabla!C107,CARGA!C:C,MAESTRO!$B$4)-SUMIFS(CARGA!I:I,CARGA!B:B,tabla!A107,CARGA!D:D,tabla!C107,CARGA!C:C,MAESTRO!$B$5)</f>
        <v>0</v>
      </c>
      <c r="G107" s="5">
        <f>+SUMIFS(CARGA!I:I,CARGA!B:B,tabla!A107,CARGA!D:D,tabla!C107)</f>
        <v>0</v>
      </c>
      <c r="H107" s="5">
        <f>+SUMIFS(CARGA!K:K,CARGA!B:B,tabla!A107,CARGA!D:D,tabla!C107)</f>
        <v>0</v>
      </c>
      <c r="I107" s="5">
        <f t="shared" si="22"/>
        <v>0</v>
      </c>
      <c r="J107" s="5">
        <f>-SUMIFS(CARGA!K:K,CARGA!B:B,tabla!A107,CARGA!D:D,tabla!C107,CARGA!C:C,MAESTRO!$B$4)+SUMIFS(CARGA!K:K,CARGA!B:B,tabla!A107,CARGA!D:D,tabla!C107,CARGA!C:C,MAESTRO!$B$5)</f>
        <v>0</v>
      </c>
      <c r="K107" s="5" t="e">
        <f>+VLOOKUP(C107,#REF!,3,FALSE)</f>
        <v>#REF!</v>
      </c>
      <c r="L107" s="5" t="e">
        <f t="shared" si="23"/>
        <v>#REF!</v>
      </c>
      <c r="M107" s="5" t="e">
        <f t="shared" si="24"/>
        <v>#REF!</v>
      </c>
      <c r="N107" s="5" t="str">
        <f t="shared" si="25"/>
        <v>NO</v>
      </c>
      <c r="O107" s="5">
        <f>+VLOOKUP(C107,[2]Fondos!$F:$J,5,FALSE)</f>
        <v>35515968834</v>
      </c>
      <c r="P107" s="13">
        <f>+VLOOKUP(C107,[2]Fondos!$F:$K,6,FALSE)</f>
        <v>0.26896760000000003</v>
      </c>
      <c r="Q107" s="13">
        <f t="shared" si="26"/>
        <v>0</v>
      </c>
      <c r="R107" s="10">
        <f>+IF(Q107&gt;MAESTRO!$G$6,0,1)</f>
        <v>1</v>
      </c>
      <c r="S107">
        <f>+IF(P107&lt;MAESTRO!$G$8,0,1)</f>
        <v>1</v>
      </c>
      <c r="T107" s="10">
        <f t="shared" si="27"/>
        <v>2</v>
      </c>
      <c r="U107" t="str">
        <f>+IF(R107+S107=2,MAESTRO!$G$2,IF(R107+S107=0,MAESTRO!$G$5,IF(R107=0,MAESTRO!$G$3,IF(S107=0,MAESTRO!$G$4,))))</f>
        <v>cumple politica</v>
      </c>
    </row>
    <row r="108" spans="1:21" x14ac:dyDescent="0.3">
      <c r="A108" t="s">
        <v>13</v>
      </c>
      <c r="B108" t="s">
        <v>140</v>
      </c>
      <c r="C108" t="s">
        <v>138</v>
      </c>
      <c r="D108" t="s">
        <v>82</v>
      </c>
      <c r="E108" s="24">
        <f t="shared" si="21"/>
        <v>0</v>
      </c>
      <c r="F108" s="22">
        <f>-SUMIFS(CARGA!I:I,CARGA!B:B,tabla!A108,CARGA!D:D,tabla!C108,CARGA!C:C,MAESTRO!$B$4)-SUMIFS(CARGA!I:I,CARGA!B:B,tabla!A108,CARGA!D:D,tabla!C108,CARGA!C:C,MAESTRO!$B$5)</f>
        <v>0</v>
      </c>
      <c r="G108" s="5">
        <f>+SUMIFS(CARGA!I:I,CARGA!B:B,tabla!A108,CARGA!D:D,tabla!C108)</f>
        <v>0</v>
      </c>
      <c r="H108" s="5">
        <f>+SUMIFS(CARGA!K:K,CARGA!B:B,tabla!A108,CARGA!D:D,tabla!C108)</f>
        <v>0</v>
      </c>
      <c r="I108" s="5">
        <f t="shared" si="22"/>
        <v>0</v>
      </c>
      <c r="J108" s="5">
        <f>-SUMIFS(CARGA!K:K,CARGA!B:B,tabla!A108,CARGA!D:D,tabla!C108,CARGA!C:C,MAESTRO!$B$4)+SUMIFS(CARGA!K:K,CARGA!B:B,tabla!A108,CARGA!D:D,tabla!C108,CARGA!C:C,MAESTRO!$B$5)</f>
        <v>0</v>
      </c>
      <c r="K108" s="5" t="e">
        <f>+VLOOKUP(C108,#REF!,3,FALSE)</f>
        <v>#REF!</v>
      </c>
      <c r="L108" s="5" t="e">
        <f t="shared" si="23"/>
        <v>#REF!</v>
      </c>
      <c r="M108" s="5" t="e">
        <f t="shared" si="24"/>
        <v>#REF!</v>
      </c>
      <c r="N108" s="5" t="str">
        <f t="shared" si="25"/>
        <v>NO</v>
      </c>
      <c r="O108" s="5" t="e">
        <f>+VLOOKUP(C108,[2]Fondos!$F:$J,5,FALSE)</f>
        <v>#N/A</v>
      </c>
      <c r="P108" s="13" t="e">
        <f>+VLOOKUP(C108,[2]Fondos!$F:$K,6,FALSE)</f>
        <v>#N/A</v>
      </c>
      <c r="Q108" s="13" t="e">
        <f t="shared" si="26"/>
        <v>#N/A</v>
      </c>
      <c r="R108" s="10" t="e">
        <f>+IF(Q108&gt;MAESTRO!$G$6,0,1)</f>
        <v>#N/A</v>
      </c>
      <c r="S108" t="e">
        <f>+IF(P108&lt;MAESTRO!$G$8,0,1)</f>
        <v>#N/A</v>
      </c>
      <c r="T108" s="10" t="e">
        <f t="shared" si="27"/>
        <v>#N/A</v>
      </c>
      <c r="U108" t="e">
        <f>+IF(R108+S108=2,MAESTRO!$G$2,IF(R108+S108=0,MAESTRO!$G$5,IF(R108=0,MAESTRO!$G$3,IF(S108=0,MAESTRO!$G$4,))))</f>
        <v>#N/A</v>
      </c>
    </row>
    <row r="109" spans="1:21" x14ac:dyDescent="0.3">
      <c r="A109" t="s">
        <v>13</v>
      </c>
      <c r="B109" t="s">
        <v>140</v>
      </c>
      <c r="C109" t="s">
        <v>139</v>
      </c>
      <c r="D109" t="s">
        <v>81</v>
      </c>
      <c r="E109" s="24">
        <f t="shared" si="21"/>
        <v>0</v>
      </c>
      <c r="F109" s="22">
        <f>-SUMIFS(CARGA!I:I,CARGA!B:B,tabla!A109,CARGA!D:D,tabla!C109,CARGA!C:C,MAESTRO!$B$4)-SUMIFS(CARGA!I:I,CARGA!B:B,tabla!A109,CARGA!D:D,tabla!C109,CARGA!C:C,MAESTRO!$B$5)</f>
        <v>0</v>
      </c>
      <c r="G109" s="5">
        <f>+SUMIFS(CARGA!I:I,CARGA!B:B,tabla!A109,CARGA!D:D,tabla!C109)</f>
        <v>0</v>
      </c>
      <c r="H109" s="5">
        <f>+SUMIFS(CARGA!K:K,CARGA!B:B,tabla!A109,CARGA!D:D,tabla!C109)</f>
        <v>0</v>
      </c>
      <c r="I109" s="5">
        <f t="shared" si="22"/>
        <v>0</v>
      </c>
      <c r="J109" s="5">
        <f>-SUMIFS(CARGA!K:K,CARGA!B:B,tabla!A109,CARGA!D:D,tabla!C109,CARGA!C:C,MAESTRO!$B$4)+SUMIFS(CARGA!K:K,CARGA!B:B,tabla!A109,CARGA!D:D,tabla!C109,CARGA!C:C,MAESTRO!$B$5)</f>
        <v>0</v>
      </c>
      <c r="K109" s="5" t="e">
        <f>+VLOOKUP(C109,#REF!,3,FALSE)</f>
        <v>#REF!</v>
      </c>
      <c r="L109" s="5" t="e">
        <f t="shared" si="23"/>
        <v>#REF!</v>
      </c>
      <c r="M109" s="5" t="e">
        <f t="shared" si="24"/>
        <v>#REF!</v>
      </c>
      <c r="N109" s="5" t="str">
        <f t="shared" si="25"/>
        <v>NO</v>
      </c>
      <c r="O109" s="5" t="e">
        <f>+VLOOKUP(C109,[2]Fondos!$F:$J,5,FALSE)</f>
        <v>#N/A</v>
      </c>
      <c r="P109" s="13" t="e">
        <f>+VLOOKUP(C109,[2]Fondos!$F:$K,6,FALSE)</f>
        <v>#N/A</v>
      </c>
      <c r="Q109" s="13" t="e">
        <f t="shared" si="26"/>
        <v>#N/A</v>
      </c>
      <c r="R109" s="10" t="e">
        <f>+IF(Q109&gt;MAESTRO!$G$6,0,1)</f>
        <v>#N/A</v>
      </c>
      <c r="S109" t="e">
        <f>+IF(P109&lt;MAESTRO!$G$8,0,1)</f>
        <v>#N/A</v>
      </c>
      <c r="T109" s="10" t="e">
        <f t="shared" si="27"/>
        <v>#N/A</v>
      </c>
      <c r="U109" t="e">
        <f>+IF(R109+S109=2,MAESTRO!$G$2,IF(R109+S109=0,MAESTRO!$G$5,IF(R109=0,MAESTRO!$G$3,IF(S109=0,MAESTRO!$G$4,))))</f>
        <v>#N/A</v>
      </c>
    </row>
    <row r="110" spans="1:21" x14ac:dyDescent="0.3">
      <c r="A110" t="s">
        <v>13</v>
      </c>
      <c r="B110" t="s">
        <v>134</v>
      </c>
      <c r="C110" t="s">
        <v>136</v>
      </c>
      <c r="D110" t="s">
        <v>81</v>
      </c>
      <c r="E110" s="24">
        <f t="shared" si="21"/>
        <v>0</v>
      </c>
      <c r="F110" s="22">
        <f>-SUMIFS(CARGA!I:I,CARGA!B:B,tabla!A110,CARGA!D:D,tabla!C110,CARGA!C:C,MAESTRO!$B$4)-SUMIFS(CARGA!I:I,CARGA!B:B,tabla!A110,CARGA!D:D,tabla!C110,CARGA!C:C,MAESTRO!$B$5)</f>
        <v>0</v>
      </c>
      <c r="G110" s="5">
        <f>+SUMIFS(CARGA!I:I,CARGA!B:B,tabla!A110,CARGA!D:D,tabla!C110)</f>
        <v>0</v>
      </c>
      <c r="H110" s="5">
        <f>+SUMIFS(CARGA!K:K,CARGA!B:B,tabla!A110,CARGA!D:D,tabla!C110)</f>
        <v>0</v>
      </c>
      <c r="I110" s="5">
        <f t="shared" si="22"/>
        <v>0</v>
      </c>
      <c r="J110" s="5">
        <f>-SUMIFS(CARGA!K:K,CARGA!B:B,tabla!A110,CARGA!D:D,tabla!C110,CARGA!C:C,MAESTRO!$B$4)+SUMIFS(CARGA!K:K,CARGA!B:B,tabla!A110,CARGA!D:D,tabla!C110,CARGA!C:C,MAESTRO!$B$5)</f>
        <v>0</v>
      </c>
      <c r="K110" s="5" t="e">
        <f>+VLOOKUP(C110,#REF!,3,FALSE)</f>
        <v>#REF!</v>
      </c>
      <c r="L110" s="5" t="e">
        <f t="shared" si="23"/>
        <v>#REF!</v>
      </c>
      <c r="M110" s="5" t="e">
        <f t="shared" si="24"/>
        <v>#REF!</v>
      </c>
      <c r="N110" s="5" t="str">
        <f t="shared" si="25"/>
        <v>NO</v>
      </c>
      <c r="O110" s="5" t="e">
        <f>+VLOOKUP(C110,[2]Fondos!$F:$J,5,FALSE)</f>
        <v>#N/A</v>
      </c>
      <c r="P110" s="13" t="e">
        <f>+VLOOKUP(C110,[2]Fondos!$F:$K,6,FALSE)</f>
        <v>#N/A</v>
      </c>
      <c r="Q110" s="13" t="e">
        <f t="shared" si="26"/>
        <v>#N/A</v>
      </c>
      <c r="R110" s="10" t="e">
        <f>+IF(Q110&gt;MAESTRO!$G$6,0,1)</f>
        <v>#N/A</v>
      </c>
      <c r="S110" t="e">
        <f>+IF(P110&lt;MAESTRO!$G$8,0,1)</f>
        <v>#N/A</v>
      </c>
      <c r="T110" s="10" t="e">
        <f t="shared" si="27"/>
        <v>#N/A</v>
      </c>
      <c r="U110" t="e">
        <f>+IF(R110+S110=2,MAESTRO!$G$2,IF(R110+S110=0,MAESTRO!$G$5,IF(R110=0,MAESTRO!$G$3,IF(S110=0,MAESTRO!$G$4,))))</f>
        <v>#N/A</v>
      </c>
    </row>
    <row r="111" spans="1:21" x14ac:dyDescent="0.3">
      <c r="A111" t="s">
        <v>13</v>
      </c>
      <c r="B111" t="s">
        <v>134</v>
      </c>
      <c r="C111" t="s">
        <v>135</v>
      </c>
      <c r="D111" t="s">
        <v>82</v>
      </c>
      <c r="E111" s="24">
        <f t="shared" si="21"/>
        <v>0</v>
      </c>
      <c r="F111" s="22">
        <f>-SUMIFS(CARGA!I:I,CARGA!B:B,tabla!A111,CARGA!D:D,tabla!C111,CARGA!C:C,MAESTRO!$B$4)-SUMIFS(CARGA!I:I,CARGA!B:B,tabla!A111,CARGA!D:D,tabla!C111,CARGA!C:C,MAESTRO!$B$5)</f>
        <v>0</v>
      </c>
      <c r="G111" s="5">
        <f>+SUMIFS(CARGA!I:I,CARGA!B:B,tabla!A111,CARGA!D:D,tabla!C111)</f>
        <v>0</v>
      </c>
      <c r="H111" s="5">
        <f>+SUMIFS(CARGA!K:K,CARGA!B:B,tabla!A111,CARGA!D:D,tabla!C111)</f>
        <v>0</v>
      </c>
      <c r="I111" s="5">
        <f t="shared" si="22"/>
        <v>0</v>
      </c>
      <c r="J111" s="5">
        <f>-SUMIFS(CARGA!K:K,CARGA!B:B,tabla!A111,CARGA!D:D,tabla!C111,CARGA!C:C,MAESTRO!$B$4)+SUMIFS(CARGA!K:K,CARGA!B:B,tabla!A111,CARGA!D:D,tabla!C111,CARGA!C:C,MAESTRO!$B$5)</f>
        <v>0</v>
      </c>
      <c r="K111" s="5" t="e">
        <f>+VLOOKUP(C111,#REF!,3,FALSE)</f>
        <v>#REF!</v>
      </c>
      <c r="L111" s="5" t="e">
        <f t="shared" si="23"/>
        <v>#REF!</v>
      </c>
      <c r="M111" s="5" t="e">
        <f t="shared" si="24"/>
        <v>#REF!</v>
      </c>
      <c r="N111" s="5" t="str">
        <f t="shared" si="25"/>
        <v>NO</v>
      </c>
      <c r="O111" s="5" t="e">
        <f>+VLOOKUP(C111,[2]Fondos!$F:$J,5,FALSE)</f>
        <v>#N/A</v>
      </c>
      <c r="P111" s="13" t="e">
        <f>+VLOOKUP(C111,[2]Fondos!$F:$K,6,FALSE)</f>
        <v>#N/A</v>
      </c>
      <c r="Q111" s="13" t="e">
        <f t="shared" si="26"/>
        <v>#N/A</v>
      </c>
      <c r="R111" s="10" t="e">
        <f>+IF(Q111&gt;MAESTRO!$G$6,0,1)</f>
        <v>#N/A</v>
      </c>
      <c r="S111" t="e">
        <f>+IF(P111&lt;MAESTRO!$G$8,0,1)</f>
        <v>#N/A</v>
      </c>
      <c r="T111" s="10" t="e">
        <f t="shared" si="27"/>
        <v>#N/A</v>
      </c>
      <c r="U111" t="e">
        <f>+IF(R111+S111=2,MAESTRO!$G$2,IF(R111+S111=0,MAESTRO!$G$5,IF(R111=0,MAESTRO!$G$3,IF(S111=0,MAESTRO!$G$4,))))</f>
        <v>#N/A</v>
      </c>
    </row>
    <row r="112" spans="1:21" s="11" customFormat="1" x14ac:dyDescent="0.3">
      <c r="F112" s="12"/>
      <c r="G112" s="12"/>
      <c r="H112" s="12"/>
      <c r="I112" s="12"/>
      <c r="J112" s="12"/>
      <c r="K112" s="5"/>
      <c r="L112" s="12"/>
      <c r="M112" s="12"/>
      <c r="N112" s="12"/>
      <c r="P112" s="15"/>
      <c r="Q112" s="15"/>
    </row>
    <row r="113" spans="1:21" x14ac:dyDescent="0.3">
      <c r="A113" t="s">
        <v>14</v>
      </c>
      <c r="B113" t="s">
        <v>31</v>
      </c>
      <c r="C113" s="7" t="s">
        <v>50</v>
      </c>
      <c r="D113" t="s">
        <v>81</v>
      </c>
      <c r="E113" s="24">
        <f t="shared" ref="E113:E157" si="28">+F113+G113</f>
        <v>0</v>
      </c>
      <c r="F113" s="22">
        <f>-SUMIFS(CARGA!I:I,CARGA!B:B,tabla!A113,CARGA!D:D,tabla!C113,CARGA!C:C,MAESTRO!$B$4)-SUMIFS(CARGA!I:I,CARGA!B:B,tabla!A113,CARGA!D:D,tabla!C113,CARGA!C:C,MAESTRO!$B$5)</f>
        <v>0</v>
      </c>
      <c r="G113" s="5">
        <f>+SUMIFS(CARGA!I:I,CARGA!B:B,tabla!A113,CARGA!D:D,tabla!C113)</f>
        <v>0</v>
      </c>
      <c r="H113" s="5">
        <f>+SUMIFS(CARGA!K:K,CARGA!B:B,tabla!A113,CARGA!D:D,tabla!C113)</f>
        <v>0</v>
      </c>
      <c r="I113" s="5">
        <f t="shared" si="18"/>
        <v>0</v>
      </c>
      <c r="J113" s="5">
        <f>-SUMIFS(CARGA!K:K,CARGA!B:B,tabla!A113,CARGA!D:D,tabla!C113,CARGA!C:C,MAESTRO!$B$4)+SUMIFS(CARGA!K:K,CARGA!B:B,tabla!A113,CARGA!D:D,tabla!C113,CARGA!C:C,MAESTRO!$B$5)</f>
        <v>0</v>
      </c>
      <c r="K113" s="5" t="e">
        <f>+VLOOKUP(C113,#REF!,3,FALSE)</f>
        <v>#REF!</v>
      </c>
      <c r="L113" s="5" t="e">
        <f t="shared" si="19"/>
        <v>#REF!</v>
      </c>
      <c r="M113" s="5" t="e">
        <f t="shared" si="20"/>
        <v>#REF!</v>
      </c>
      <c r="N113" s="5" t="str">
        <f t="shared" ref="N113:N157" si="29">+IF(G113+F113=0,"NO","SI")</f>
        <v>NO</v>
      </c>
      <c r="O113" s="5">
        <f>+VLOOKUP(C113,[2]Fondos!$F:$J,5,FALSE)</f>
        <v>1817778903</v>
      </c>
      <c r="P113" s="13">
        <f>+VLOOKUP(C113,[2]Fondos!$F:$K,6,FALSE)</f>
        <v>0.23246230000000001</v>
      </c>
      <c r="Q113" s="13">
        <f t="shared" ref="Q113:Q157" si="30">+G113/O113</f>
        <v>0</v>
      </c>
      <c r="R113" s="10">
        <f>+IF(Q113&gt;MAESTRO!$G$6,0,1)</f>
        <v>1</v>
      </c>
      <c r="S113">
        <f>+IF(P113&lt;MAESTRO!$G$8,0,1)</f>
        <v>1</v>
      </c>
      <c r="T113" s="10">
        <f>+R113+S113</f>
        <v>2</v>
      </c>
      <c r="U113" t="str">
        <f>+IF(R113+S113=2,MAESTRO!$G$2,IF(R113+S113=0,MAESTRO!$G$5,IF(R113=0,MAESTRO!$G$3,IF(S113=0,MAESTRO!$G$4,))))</f>
        <v>cumple politica</v>
      </c>
    </row>
    <row r="114" spans="1:21" x14ac:dyDescent="0.3">
      <c r="A114" t="s">
        <v>14</v>
      </c>
      <c r="B114" t="s">
        <v>31</v>
      </c>
      <c r="C114" s="7" t="s">
        <v>70</v>
      </c>
      <c r="D114" t="s">
        <v>82</v>
      </c>
      <c r="E114" s="24">
        <f t="shared" si="28"/>
        <v>0</v>
      </c>
      <c r="F114" s="22">
        <f>-SUMIFS(CARGA!I:I,CARGA!B:B,tabla!A114,CARGA!D:D,tabla!C114,CARGA!C:C,MAESTRO!$B$4)-SUMIFS(CARGA!I:I,CARGA!B:B,tabla!A114,CARGA!D:D,tabla!C114,CARGA!C:C,MAESTRO!$B$5)</f>
        <v>0</v>
      </c>
      <c r="G114" s="5">
        <f>+SUMIFS(CARGA!I:I,CARGA!B:B,tabla!A114,CARGA!D:D,tabla!C114)</f>
        <v>0</v>
      </c>
      <c r="H114" s="5">
        <f>+SUMIFS(CARGA!K:K,CARGA!B:B,tabla!A114,CARGA!D:D,tabla!C114)</f>
        <v>0</v>
      </c>
      <c r="I114" s="5">
        <f t="shared" si="18"/>
        <v>0</v>
      </c>
      <c r="J114" s="5">
        <f>-SUMIFS(CARGA!K:K,CARGA!B:B,tabla!A114,CARGA!D:D,tabla!C114,CARGA!C:C,MAESTRO!$B$4)+SUMIFS(CARGA!K:K,CARGA!B:B,tabla!A114,CARGA!D:D,tabla!C114,CARGA!C:C,MAESTRO!$B$5)</f>
        <v>0</v>
      </c>
      <c r="K114" s="5" t="e">
        <f>+VLOOKUP(C114,#REF!,3,FALSE)</f>
        <v>#REF!</v>
      </c>
      <c r="L114" s="5" t="e">
        <f t="shared" si="19"/>
        <v>#REF!</v>
      </c>
      <c r="M114" s="5" t="e">
        <f t="shared" si="20"/>
        <v>#REF!</v>
      </c>
      <c r="N114" s="5" t="str">
        <f t="shared" si="29"/>
        <v>NO</v>
      </c>
      <c r="O114" s="5">
        <f>+VLOOKUP(C114,[2]Fondos!$F:$J,5,FALSE)</f>
        <v>6506463370</v>
      </c>
      <c r="P114" s="13" t="e">
        <f>+VLOOKUP(C114,[2]Fondos!$F:$K,6,FALSE)</f>
        <v>#VALUE!</v>
      </c>
      <c r="Q114" s="13">
        <f t="shared" si="30"/>
        <v>0</v>
      </c>
      <c r="R114" s="10">
        <f>+IF(Q114&gt;MAESTRO!$G$6,0,1)</f>
        <v>1</v>
      </c>
      <c r="S114" t="e">
        <f>+IF(P114&lt;MAESTRO!$G$8,0,1)</f>
        <v>#VALUE!</v>
      </c>
      <c r="T114" s="10" t="e">
        <f t="shared" ref="T114:T157" si="31">+R114+S114</f>
        <v>#VALUE!</v>
      </c>
      <c r="U114" t="e">
        <f>+IF(R114+S114=2,MAESTRO!$G$2,IF(R114+S114=0,MAESTRO!$G$5,IF(R114=0,MAESTRO!$G$3,IF(S114=0,MAESTRO!$G$4,))))</f>
        <v>#VALUE!</v>
      </c>
    </row>
    <row r="115" spans="1:21" x14ac:dyDescent="0.3">
      <c r="A115" t="s">
        <v>14</v>
      </c>
      <c r="B115" t="s">
        <v>31</v>
      </c>
      <c r="C115" s="7" t="s">
        <v>69</v>
      </c>
      <c r="D115" t="s">
        <v>82</v>
      </c>
      <c r="E115" s="24">
        <f t="shared" si="28"/>
        <v>0</v>
      </c>
      <c r="F115" s="22">
        <f>-SUMIFS(CARGA!I:I,CARGA!B:B,tabla!A115,CARGA!D:D,tabla!C115,CARGA!C:C,MAESTRO!$B$4)-SUMIFS(CARGA!I:I,CARGA!B:B,tabla!A115,CARGA!D:D,tabla!C115,CARGA!C:C,MAESTRO!$B$5)</f>
        <v>0</v>
      </c>
      <c r="G115" s="5">
        <f>+SUMIFS(CARGA!I:I,CARGA!B:B,tabla!A115,CARGA!D:D,tabla!C115)</f>
        <v>0</v>
      </c>
      <c r="H115" s="5">
        <f>+SUMIFS(CARGA!K:K,CARGA!B:B,tabla!A115,CARGA!D:D,tabla!C115)</f>
        <v>0</v>
      </c>
      <c r="I115" s="5">
        <f t="shared" si="18"/>
        <v>0</v>
      </c>
      <c r="J115" s="5">
        <f>-SUMIFS(CARGA!K:K,CARGA!B:B,tabla!A115,CARGA!D:D,tabla!C115,CARGA!C:C,MAESTRO!$B$4)+SUMIFS(CARGA!K:K,CARGA!B:B,tabla!A115,CARGA!D:D,tabla!C115,CARGA!C:C,MAESTRO!$B$5)</f>
        <v>0</v>
      </c>
      <c r="K115" s="5" t="e">
        <f>+VLOOKUP(C115,#REF!,3,FALSE)</f>
        <v>#REF!</v>
      </c>
      <c r="L115" s="5" t="e">
        <f t="shared" si="19"/>
        <v>#REF!</v>
      </c>
      <c r="M115" s="5" t="e">
        <f t="shared" si="20"/>
        <v>#REF!</v>
      </c>
      <c r="N115" s="5" t="str">
        <f t="shared" si="29"/>
        <v>NO</v>
      </c>
      <c r="O115" s="5">
        <f>+VLOOKUP(C115,[2]Fondos!$F:$J,5,FALSE)</f>
        <v>39848036</v>
      </c>
      <c r="P115" s="13" t="e">
        <f>+VLOOKUP(C115,[2]Fondos!$F:$K,6,FALSE)</f>
        <v>#VALUE!</v>
      </c>
      <c r="Q115" s="13">
        <f t="shared" si="30"/>
        <v>0</v>
      </c>
      <c r="R115" s="10">
        <f>+IF(Q115&gt;MAESTRO!$G$6,0,1)</f>
        <v>1</v>
      </c>
      <c r="S115" t="e">
        <f>+IF(P115&lt;MAESTRO!$G$8,0,1)</f>
        <v>#VALUE!</v>
      </c>
      <c r="T115" s="10" t="e">
        <f t="shared" si="31"/>
        <v>#VALUE!</v>
      </c>
      <c r="U115" t="e">
        <f>+IF(R115+S115=2,MAESTRO!$G$2,IF(R115+S115=0,MAESTRO!$G$5,IF(R115=0,MAESTRO!$G$3,IF(S115=0,MAESTRO!$G$4,))))</f>
        <v>#VALUE!</v>
      </c>
    </row>
    <row r="116" spans="1:21" x14ac:dyDescent="0.3">
      <c r="A116" t="s">
        <v>14</v>
      </c>
      <c r="B116" t="s">
        <v>33</v>
      </c>
      <c r="C116" s="7" t="s">
        <v>52</v>
      </c>
      <c r="D116" t="s">
        <v>81</v>
      </c>
      <c r="E116" s="24">
        <f t="shared" si="28"/>
        <v>0</v>
      </c>
      <c r="F116" s="22">
        <f>-SUMIFS(CARGA!I:I,CARGA!B:B,tabla!A116,CARGA!D:D,tabla!C116,CARGA!C:C,MAESTRO!$B$4)-SUMIFS(CARGA!I:I,CARGA!B:B,tabla!A116,CARGA!D:D,tabla!C116,CARGA!C:C,MAESTRO!$B$5)</f>
        <v>0</v>
      </c>
      <c r="G116" s="5">
        <f>+SUMIFS(CARGA!I:I,CARGA!B:B,tabla!A116,CARGA!D:D,tabla!C116)</f>
        <v>0</v>
      </c>
      <c r="H116" s="5">
        <f>+SUMIFS(CARGA!K:K,CARGA!B:B,tabla!A116,CARGA!D:D,tabla!C116)</f>
        <v>0</v>
      </c>
      <c r="I116" s="5">
        <f t="shared" si="18"/>
        <v>0</v>
      </c>
      <c r="J116" s="5">
        <f>-SUMIFS(CARGA!K:K,CARGA!B:B,tabla!A116,CARGA!D:D,tabla!C116,CARGA!C:C,MAESTRO!$B$4)+SUMIFS(CARGA!K:K,CARGA!B:B,tabla!A116,CARGA!D:D,tabla!C116,CARGA!C:C,MAESTRO!$B$5)</f>
        <v>0</v>
      </c>
      <c r="K116" s="5" t="e">
        <f>+VLOOKUP(C116,#REF!,3,FALSE)</f>
        <v>#REF!</v>
      </c>
      <c r="L116" s="5" t="e">
        <f t="shared" si="19"/>
        <v>#REF!</v>
      </c>
      <c r="M116" s="5" t="e">
        <f t="shared" si="20"/>
        <v>#REF!</v>
      </c>
      <c r="N116" s="5" t="str">
        <f t="shared" si="29"/>
        <v>NO</v>
      </c>
      <c r="O116" s="5">
        <f>+VLOOKUP(C116,[2]Fondos!$F:$J,5,FALSE)</f>
        <v>3875956517</v>
      </c>
      <c r="P116" s="13">
        <f>+VLOOKUP(C116,[2]Fondos!$F:$K,6,FALSE)</f>
        <v>0.23267859999999999</v>
      </c>
      <c r="Q116" s="13">
        <f t="shared" si="30"/>
        <v>0</v>
      </c>
      <c r="R116" s="10">
        <f>+IF(Q116&gt;MAESTRO!$G$6,0,1)</f>
        <v>1</v>
      </c>
      <c r="S116">
        <f>+IF(P116&lt;MAESTRO!$G$8,0,1)</f>
        <v>1</v>
      </c>
      <c r="T116" s="10">
        <f t="shared" si="31"/>
        <v>2</v>
      </c>
      <c r="U116" t="str">
        <f>+IF(R116+S116=2,MAESTRO!$G$2,IF(R116+S116=0,MAESTRO!$G$5,IF(R116=0,MAESTRO!$G$3,IF(S116=0,MAESTRO!$G$4,))))</f>
        <v>cumple politica</v>
      </c>
    </row>
    <row r="117" spans="1:21" x14ac:dyDescent="0.3">
      <c r="A117" t="s">
        <v>14</v>
      </c>
      <c r="B117" t="s">
        <v>33</v>
      </c>
      <c r="C117" s="7" t="s">
        <v>74</v>
      </c>
      <c r="D117" t="s">
        <v>82</v>
      </c>
      <c r="E117" s="24">
        <f t="shared" si="28"/>
        <v>0</v>
      </c>
      <c r="F117" s="22">
        <f>-SUMIFS(CARGA!I:I,CARGA!B:B,tabla!A117,CARGA!D:D,tabla!C117,CARGA!C:C,MAESTRO!$B$4)-SUMIFS(CARGA!I:I,CARGA!B:B,tabla!A117,CARGA!D:D,tabla!C117,CARGA!C:C,MAESTRO!$B$5)</f>
        <v>0</v>
      </c>
      <c r="G117" s="5">
        <f>+SUMIFS(CARGA!I:I,CARGA!B:B,tabla!A117,CARGA!D:D,tabla!C117)</f>
        <v>0</v>
      </c>
      <c r="H117" s="5">
        <f>+SUMIFS(CARGA!K:K,CARGA!B:B,tabla!A117,CARGA!D:D,tabla!C117)</f>
        <v>0</v>
      </c>
      <c r="I117" s="5">
        <f t="shared" si="18"/>
        <v>0</v>
      </c>
      <c r="J117" s="5">
        <f>-SUMIFS(CARGA!K:K,CARGA!B:B,tabla!A117,CARGA!D:D,tabla!C117,CARGA!C:C,MAESTRO!$B$4)+SUMIFS(CARGA!K:K,CARGA!B:B,tabla!A117,CARGA!D:D,tabla!C117,CARGA!C:C,MAESTRO!$B$5)</f>
        <v>0</v>
      </c>
      <c r="K117" s="5" t="e">
        <f>+VLOOKUP(C117,#REF!,3,FALSE)</f>
        <v>#REF!</v>
      </c>
      <c r="L117" s="5" t="e">
        <f t="shared" si="19"/>
        <v>#REF!</v>
      </c>
      <c r="M117" s="5" t="e">
        <f t="shared" si="20"/>
        <v>#REF!</v>
      </c>
      <c r="N117" s="5" t="str">
        <f t="shared" si="29"/>
        <v>NO</v>
      </c>
      <c r="O117" s="5">
        <f>+VLOOKUP(C117,[2]Fondos!$F:$J,5,FALSE)</f>
        <v>8775783683</v>
      </c>
      <c r="P117" s="13">
        <f>+VLOOKUP(C117,[2]Fondos!$F:$K,6,FALSE)</f>
        <v>0.2640304</v>
      </c>
      <c r="Q117" s="13">
        <f t="shared" si="30"/>
        <v>0</v>
      </c>
      <c r="R117" s="10">
        <f>+IF(Q117&gt;MAESTRO!$G$6,0,1)</f>
        <v>1</v>
      </c>
      <c r="S117">
        <f>+IF(P117&lt;MAESTRO!$G$8,0,1)</f>
        <v>1</v>
      </c>
      <c r="T117" s="10">
        <f t="shared" si="31"/>
        <v>2</v>
      </c>
      <c r="U117" t="str">
        <f>+IF(R117+S117=2,MAESTRO!$G$2,IF(R117+S117=0,MAESTRO!$G$5,IF(R117=0,MAESTRO!$G$3,IF(S117=0,MAESTRO!$G$4,))))</f>
        <v>cumple politica</v>
      </c>
    </row>
    <row r="118" spans="1:21" x14ac:dyDescent="0.3">
      <c r="A118" t="s">
        <v>14</v>
      </c>
      <c r="B118" t="s">
        <v>27</v>
      </c>
      <c r="C118" t="s">
        <v>63</v>
      </c>
      <c r="D118" t="s">
        <v>82</v>
      </c>
      <c r="E118" s="24">
        <f t="shared" si="28"/>
        <v>0</v>
      </c>
      <c r="F118" s="22">
        <f>-SUMIFS(CARGA!I:I,CARGA!B:B,tabla!A118,CARGA!D:D,tabla!C118,CARGA!C:C,MAESTRO!$B$4)-SUMIFS(CARGA!I:I,CARGA!B:B,tabla!A118,CARGA!D:D,tabla!C118,CARGA!C:C,MAESTRO!$B$5)</f>
        <v>0</v>
      </c>
      <c r="G118" s="5">
        <f>+SUMIFS(CARGA!I:I,CARGA!B:B,tabla!A118,CARGA!D:D,tabla!C118)</f>
        <v>0</v>
      </c>
      <c r="H118" s="5">
        <f>+SUMIFS(CARGA!K:K,CARGA!B:B,tabla!A118,CARGA!D:D,tabla!C118)</f>
        <v>0</v>
      </c>
      <c r="I118" s="5">
        <f t="shared" si="18"/>
        <v>0</v>
      </c>
      <c r="J118" s="5">
        <f>-SUMIFS(CARGA!K:K,CARGA!B:B,tabla!A118,CARGA!D:D,tabla!C118,CARGA!C:C,MAESTRO!$B$4)+SUMIFS(CARGA!K:K,CARGA!B:B,tabla!A118,CARGA!D:D,tabla!C118,CARGA!C:C,MAESTRO!$B$5)</f>
        <v>0</v>
      </c>
      <c r="K118" s="5" t="e">
        <f>+VLOOKUP(C118,#REF!,3,FALSE)</f>
        <v>#REF!</v>
      </c>
      <c r="L118" s="5" t="e">
        <f t="shared" si="19"/>
        <v>#REF!</v>
      </c>
      <c r="M118" s="5" t="e">
        <f t="shared" si="20"/>
        <v>#REF!</v>
      </c>
      <c r="N118" s="5" t="str">
        <f t="shared" si="29"/>
        <v>NO</v>
      </c>
      <c r="O118" s="5">
        <f>+VLOOKUP(C118,[2]Fondos!$F:$J,5,FALSE)</f>
        <v>14114977659</v>
      </c>
      <c r="P118" s="13">
        <f>+VLOOKUP(C118,[2]Fondos!$F:$K,6,FALSE)</f>
        <v>0.26056640000000003</v>
      </c>
      <c r="Q118" s="13">
        <f t="shared" si="30"/>
        <v>0</v>
      </c>
      <c r="R118" s="10">
        <f>+IF(Q118&gt;MAESTRO!$G$6,0,1)</f>
        <v>1</v>
      </c>
      <c r="S118">
        <f>+IF(P118&lt;MAESTRO!$G$8,0,1)</f>
        <v>1</v>
      </c>
      <c r="T118" s="10">
        <f t="shared" si="31"/>
        <v>2</v>
      </c>
      <c r="U118" t="str">
        <f>+IF(R118+S118=2,MAESTRO!$G$2,IF(R118+S118=0,MAESTRO!$G$5,IF(R118=0,MAESTRO!$G$3,IF(S118=0,MAESTRO!$G$4,))))</f>
        <v>cumple politica</v>
      </c>
    </row>
    <row r="119" spans="1:21" x14ac:dyDescent="0.3">
      <c r="A119" t="s">
        <v>14</v>
      </c>
      <c r="B119" t="s">
        <v>27</v>
      </c>
      <c r="C119" t="s">
        <v>47</v>
      </c>
      <c r="D119" t="s">
        <v>81</v>
      </c>
      <c r="E119" s="24">
        <f t="shared" si="28"/>
        <v>0</v>
      </c>
      <c r="F119" s="22">
        <f>-SUMIFS(CARGA!I:I,CARGA!B:B,tabla!A119,CARGA!D:D,tabla!C119,CARGA!C:C,MAESTRO!$B$4)-SUMIFS(CARGA!I:I,CARGA!B:B,tabla!A119,CARGA!D:D,tabla!C119,CARGA!C:C,MAESTRO!$B$5)</f>
        <v>0</v>
      </c>
      <c r="G119" s="5">
        <f>+SUMIFS(CARGA!I:I,CARGA!B:B,tabla!A119,CARGA!D:D,tabla!C119)</f>
        <v>0</v>
      </c>
      <c r="H119" s="5">
        <f>+SUMIFS(CARGA!K:K,CARGA!B:B,tabla!A119,CARGA!D:D,tabla!C119)</f>
        <v>0</v>
      </c>
      <c r="I119" s="5">
        <f t="shared" si="18"/>
        <v>0</v>
      </c>
      <c r="J119" s="5">
        <f>-SUMIFS(CARGA!K:K,CARGA!B:B,tabla!A119,CARGA!D:D,tabla!C119,CARGA!C:C,MAESTRO!$B$4)+SUMIFS(CARGA!K:K,CARGA!B:B,tabla!A119,CARGA!D:D,tabla!C119,CARGA!C:C,MAESTRO!$B$5)</f>
        <v>0</v>
      </c>
      <c r="K119" s="5" t="e">
        <f>+VLOOKUP(C119,#REF!,3,FALSE)</f>
        <v>#REF!</v>
      </c>
      <c r="L119" s="5" t="e">
        <f t="shared" si="19"/>
        <v>#REF!</v>
      </c>
      <c r="M119" s="5" t="e">
        <f t="shared" si="20"/>
        <v>#REF!</v>
      </c>
      <c r="N119" s="5" t="str">
        <f t="shared" si="29"/>
        <v>NO</v>
      </c>
      <c r="O119" s="5">
        <f>+VLOOKUP(C119,[2]Fondos!$F:$J,5,FALSE)</f>
        <v>1977335292</v>
      </c>
      <c r="P119" s="13">
        <f>+VLOOKUP(C119,[2]Fondos!$F:$K,6,FALSE)</f>
        <v>0.19354769999999999</v>
      </c>
      <c r="Q119" s="13">
        <f t="shared" si="30"/>
        <v>0</v>
      </c>
      <c r="R119" s="10">
        <f>+IF(Q119&gt;MAESTRO!$G$6,0,1)</f>
        <v>1</v>
      </c>
      <c r="S119">
        <f>+IF(P119&lt;MAESTRO!$G$8,0,1)</f>
        <v>1</v>
      </c>
      <c r="T119" s="10">
        <f t="shared" si="31"/>
        <v>2</v>
      </c>
      <c r="U119" t="str">
        <f>+IF(R119+S119=2,MAESTRO!$G$2,IF(R119+S119=0,MAESTRO!$G$5,IF(R119=0,MAESTRO!$G$3,IF(S119=0,MAESTRO!$G$4,))))</f>
        <v>cumple politica</v>
      </c>
    </row>
    <row r="120" spans="1:21" x14ac:dyDescent="0.3">
      <c r="A120" t="s">
        <v>14</v>
      </c>
      <c r="B120" t="s">
        <v>27</v>
      </c>
      <c r="C120" t="s">
        <v>42</v>
      </c>
      <c r="D120" t="s">
        <v>81</v>
      </c>
      <c r="E120" s="24">
        <f t="shared" si="28"/>
        <v>0</v>
      </c>
      <c r="F120" s="22">
        <f>-SUMIFS(CARGA!I:I,CARGA!B:B,tabla!A120,CARGA!D:D,tabla!C120,CARGA!C:C,MAESTRO!$B$4)-SUMIFS(CARGA!I:I,CARGA!B:B,tabla!A120,CARGA!D:D,tabla!C120,CARGA!C:C,MAESTRO!$B$5)</f>
        <v>0</v>
      </c>
      <c r="G120" s="5">
        <f>+SUMIFS(CARGA!I:I,CARGA!B:B,tabla!A120,CARGA!D:D,tabla!C120)</f>
        <v>0</v>
      </c>
      <c r="H120" s="5">
        <f>+SUMIFS(CARGA!K:K,CARGA!B:B,tabla!A120,CARGA!D:D,tabla!C120)</f>
        <v>0</v>
      </c>
      <c r="I120" s="5">
        <f t="shared" si="18"/>
        <v>0</v>
      </c>
      <c r="J120" s="5">
        <f>-SUMIFS(CARGA!K:K,CARGA!B:B,tabla!A120,CARGA!D:D,tabla!C120,CARGA!C:C,MAESTRO!$B$4)+SUMIFS(CARGA!K:K,CARGA!B:B,tabla!A120,CARGA!D:D,tabla!C120,CARGA!C:C,MAESTRO!$B$5)</f>
        <v>0</v>
      </c>
      <c r="K120" s="5" t="e">
        <f>+VLOOKUP(C120,#REF!,3,FALSE)</f>
        <v>#REF!</v>
      </c>
      <c r="L120" s="5" t="e">
        <f t="shared" si="19"/>
        <v>#REF!</v>
      </c>
      <c r="M120" s="5" t="e">
        <f t="shared" si="20"/>
        <v>#REF!</v>
      </c>
      <c r="N120" s="5" t="str">
        <f t="shared" si="29"/>
        <v>NO</v>
      </c>
      <c r="O120" s="5">
        <f>+VLOOKUP(C120,[2]Fondos!$F:$J,5,FALSE)</f>
        <v>2171371244</v>
      </c>
      <c r="P120" s="13">
        <f>+VLOOKUP(C120,[2]Fondos!$F:$K,6,FALSE)</f>
        <v>0.2113614</v>
      </c>
      <c r="Q120" s="13">
        <f t="shared" si="30"/>
        <v>0</v>
      </c>
      <c r="R120" s="10">
        <f>+IF(Q120&gt;MAESTRO!$G$6,0,1)</f>
        <v>1</v>
      </c>
      <c r="S120">
        <f>+IF(P120&lt;MAESTRO!$G$8,0,1)</f>
        <v>1</v>
      </c>
      <c r="T120" s="10">
        <f t="shared" si="31"/>
        <v>2</v>
      </c>
      <c r="U120" t="str">
        <f>+IF(R120+S120=2,MAESTRO!$G$2,IF(R120+S120=0,MAESTRO!$G$5,IF(R120=0,MAESTRO!$G$3,IF(S120=0,MAESTRO!$G$4,))))</f>
        <v>cumple politica</v>
      </c>
    </row>
    <row r="121" spans="1:21" x14ac:dyDescent="0.3">
      <c r="A121" t="s">
        <v>14</v>
      </c>
      <c r="B121" t="s">
        <v>27</v>
      </c>
      <c r="C121" t="s">
        <v>78</v>
      </c>
      <c r="D121" t="s">
        <v>82</v>
      </c>
      <c r="E121" s="24">
        <f t="shared" si="28"/>
        <v>0</v>
      </c>
      <c r="F121" s="22">
        <f>-SUMIFS(CARGA!I:I,CARGA!B:B,tabla!A121,CARGA!D:D,tabla!C121,CARGA!C:C,MAESTRO!$B$4)-SUMIFS(CARGA!I:I,CARGA!B:B,tabla!A121,CARGA!D:D,tabla!C121,CARGA!C:C,MAESTRO!$B$5)</f>
        <v>0</v>
      </c>
      <c r="G121" s="5">
        <f>+SUMIFS(CARGA!I:I,CARGA!B:B,tabla!A121,CARGA!D:D,tabla!C121)</f>
        <v>0</v>
      </c>
      <c r="H121" s="5">
        <f>+SUMIFS(CARGA!K:K,CARGA!B:B,tabla!A121,CARGA!D:D,tabla!C121)</f>
        <v>0</v>
      </c>
      <c r="I121" s="5">
        <f t="shared" si="18"/>
        <v>0</v>
      </c>
      <c r="J121" s="5">
        <f>-SUMIFS(CARGA!K:K,CARGA!B:B,tabla!A121,CARGA!D:D,tabla!C121,CARGA!C:C,MAESTRO!$B$4)+SUMIFS(CARGA!K:K,CARGA!B:B,tabla!A121,CARGA!D:D,tabla!C121,CARGA!C:C,MAESTRO!$B$5)</f>
        <v>0</v>
      </c>
      <c r="K121" s="5" t="e">
        <f>+VLOOKUP(C121,#REF!,3,FALSE)</f>
        <v>#REF!</v>
      </c>
      <c r="L121" s="5" t="e">
        <f t="shared" si="19"/>
        <v>#REF!</v>
      </c>
      <c r="M121" s="5" t="e">
        <f t="shared" si="20"/>
        <v>#REF!</v>
      </c>
      <c r="N121" s="5" t="str">
        <f t="shared" si="29"/>
        <v>NO</v>
      </c>
      <c r="O121" s="5">
        <f>+VLOOKUP(C121,[2]Fondos!$F:$J,5,FALSE)</f>
        <v>234619684</v>
      </c>
      <c r="P121" s="13">
        <f>+VLOOKUP(C121,[2]Fondos!$F:$K,6,FALSE)</f>
        <v>0.26737729999999998</v>
      </c>
      <c r="Q121" s="13">
        <f t="shared" si="30"/>
        <v>0</v>
      </c>
      <c r="R121" s="10">
        <f>+IF(Q121&gt;MAESTRO!$G$6,0,1)</f>
        <v>1</v>
      </c>
      <c r="S121">
        <f>+IF(P121&lt;MAESTRO!$G$8,0,1)</f>
        <v>1</v>
      </c>
      <c r="T121" s="10">
        <f t="shared" si="31"/>
        <v>2</v>
      </c>
      <c r="U121" t="str">
        <f>+IF(R121+S121=2,MAESTRO!$G$2,IF(R121+S121=0,MAESTRO!$G$5,IF(R121=0,MAESTRO!$G$3,IF(S121=0,MAESTRO!$G$4,))))</f>
        <v>cumple politica</v>
      </c>
    </row>
    <row r="122" spans="1:21" x14ac:dyDescent="0.3">
      <c r="A122" t="s">
        <v>14</v>
      </c>
      <c r="B122" t="s">
        <v>109</v>
      </c>
      <c r="C122" t="s">
        <v>75</v>
      </c>
      <c r="D122" t="s">
        <v>82</v>
      </c>
      <c r="E122" s="24">
        <f t="shared" si="28"/>
        <v>0</v>
      </c>
      <c r="F122" s="22">
        <f>-SUMIFS(CARGA!I:I,CARGA!B:B,tabla!A122,CARGA!D:D,tabla!C122,CARGA!C:C,MAESTRO!$B$4)-SUMIFS(CARGA!I:I,CARGA!B:B,tabla!A122,CARGA!D:D,tabla!C122,CARGA!C:C,MAESTRO!$B$5)</f>
        <v>0</v>
      </c>
      <c r="G122" s="5">
        <f>+SUMIFS(CARGA!I:I,CARGA!B:B,tabla!A122,CARGA!D:D,tabla!C122)</f>
        <v>0</v>
      </c>
      <c r="H122" s="5">
        <f>+SUMIFS(CARGA!K:K,CARGA!B:B,tabla!A122,CARGA!D:D,tabla!C122)</f>
        <v>0</v>
      </c>
      <c r="I122" s="5">
        <f t="shared" si="18"/>
        <v>0</v>
      </c>
      <c r="J122" s="5">
        <f>-SUMIFS(CARGA!K:K,CARGA!B:B,tabla!A122,CARGA!D:D,tabla!C122,CARGA!C:C,MAESTRO!$B$4)+SUMIFS(CARGA!K:K,CARGA!B:B,tabla!A122,CARGA!D:D,tabla!C122,CARGA!C:C,MAESTRO!$B$5)</f>
        <v>0</v>
      </c>
      <c r="K122" s="5" t="e">
        <f>+VLOOKUP(C122,#REF!,3,FALSE)</f>
        <v>#REF!</v>
      </c>
      <c r="L122" s="5" t="e">
        <f t="shared" si="19"/>
        <v>#REF!</v>
      </c>
      <c r="M122" s="5" t="e">
        <f t="shared" si="20"/>
        <v>#REF!</v>
      </c>
      <c r="N122" s="5" t="str">
        <f t="shared" si="29"/>
        <v>NO</v>
      </c>
      <c r="O122" s="5">
        <f>+VLOOKUP(C122,[2]Fondos!$F:$J,5,FALSE)</f>
        <v>1696672499</v>
      </c>
      <c r="P122" s="13">
        <f>+VLOOKUP(C122,[2]Fondos!$F:$K,6,FALSE)</f>
        <v>0.24191749999999998</v>
      </c>
      <c r="Q122" s="13">
        <f t="shared" si="30"/>
        <v>0</v>
      </c>
      <c r="R122" s="10">
        <f>+IF(Q122&gt;MAESTRO!$G$6,0,1)</f>
        <v>1</v>
      </c>
      <c r="S122">
        <f>+IF(P122&lt;MAESTRO!$G$8,0,1)</f>
        <v>1</v>
      </c>
      <c r="T122" s="10">
        <f t="shared" si="31"/>
        <v>2</v>
      </c>
      <c r="U122" t="str">
        <f>+IF(R122+S122=2,MAESTRO!$G$2,IF(R122+S122=0,MAESTRO!$G$5,IF(R122=0,MAESTRO!$G$3,IF(S122=0,MAESTRO!$G$4,))))</f>
        <v>cumple politica</v>
      </c>
    </row>
    <row r="123" spans="1:21" x14ac:dyDescent="0.3">
      <c r="A123" t="s">
        <v>14</v>
      </c>
      <c r="B123" s="20" t="s">
        <v>35</v>
      </c>
      <c r="C123" s="20" t="s">
        <v>75</v>
      </c>
      <c r="D123" s="20" t="s">
        <v>83</v>
      </c>
      <c r="E123" s="24">
        <f t="shared" si="28"/>
        <v>0</v>
      </c>
      <c r="F123" s="22">
        <f>-SUMIFS(CARGA!I:I,CARGA!B:B,tabla!A123,CARGA!D:D,tabla!C123,CARGA!C:C,MAESTRO!$B$4)-SUMIFS(CARGA!I:I,CARGA!B:B,tabla!A123,CARGA!D:D,tabla!C123,CARGA!C:C,MAESTRO!$B$5)</f>
        <v>0</v>
      </c>
      <c r="G123" s="5">
        <f>+SUMIFS(CARGA!I:I,CARGA!B:B,tabla!A123,CARGA!D:D,tabla!C123)</f>
        <v>0</v>
      </c>
      <c r="H123" s="5">
        <f>+SUMIFS(CARGA!K:K,CARGA!B:B,tabla!A123,CARGA!D:D,tabla!C123)</f>
        <v>0</v>
      </c>
      <c r="I123" s="5">
        <f t="shared" si="18"/>
        <v>0</v>
      </c>
      <c r="J123" s="5">
        <f>-SUMIFS(CARGA!K:K,CARGA!B:B,tabla!A123,CARGA!D:D,tabla!C123,CARGA!C:C,MAESTRO!$B$4)+SUMIFS(CARGA!K:K,CARGA!B:B,tabla!A123,CARGA!D:D,tabla!C123,CARGA!C:C,MAESTRO!$B$5)</f>
        <v>0</v>
      </c>
      <c r="K123" s="5" t="e">
        <f>+VLOOKUP(C123,#REF!,3,FALSE)</f>
        <v>#REF!</v>
      </c>
      <c r="L123" s="5" t="e">
        <f t="shared" si="19"/>
        <v>#REF!</v>
      </c>
      <c r="M123" s="5" t="e">
        <f t="shared" si="20"/>
        <v>#REF!</v>
      </c>
      <c r="N123" s="5" t="str">
        <f t="shared" si="29"/>
        <v>NO</v>
      </c>
      <c r="O123" s="5">
        <f>+VLOOKUP(C123,[2]Fondos!$F:$J,5,FALSE)</f>
        <v>1696672499</v>
      </c>
      <c r="P123" s="13">
        <f>+VLOOKUP(C123,[2]Fondos!$F:$K,6,FALSE)</f>
        <v>0.24191749999999998</v>
      </c>
      <c r="Q123" s="13">
        <f t="shared" si="30"/>
        <v>0</v>
      </c>
      <c r="R123" s="10">
        <f>+IF(Q123&gt;MAESTRO!$G$6,0,1)</f>
        <v>1</v>
      </c>
      <c r="S123">
        <f>+IF(P123&lt;MAESTRO!$G$8,0,1)</f>
        <v>1</v>
      </c>
      <c r="T123" s="10">
        <f t="shared" si="31"/>
        <v>2</v>
      </c>
      <c r="U123" t="str">
        <f>+IF(R123+S123=2,MAESTRO!$G$2,IF(R123+S123=0,MAESTRO!$G$5,IF(R123=0,MAESTRO!$G$3,IF(S123=0,MAESTRO!$G$4,))))</f>
        <v>cumple politica</v>
      </c>
    </row>
    <row r="124" spans="1:21" x14ac:dyDescent="0.3">
      <c r="A124" t="s">
        <v>14</v>
      </c>
      <c r="B124" t="s">
        <v>109</v>
      </c>
      <c r="C124" t="s">
        <v>76</v>
      </c>
      <c r="D124" t="s">
        <v>82</v>
      </c>
      <c r="E124" s="24">
        <f t="shared" si="28"/>
        <v>0</v>
      </c>
      <c r="F124" s="22">
        <f>-SUMIFS(CARGA!I:I,CARGA!B:B,tabla!A124,CARGA!D:D,tabla!C124,CARGA!C:C,MAESTRO!$B$4)-SUMIFS(CARGA!I:I,CARGA!B:B,tabla!A124,CARGA!D:D,tabla!C124,CARGA!C:C,MAESTRO!$B$5)</f>
        <v>0</v>
      </c>
      <c r="G124" s="5">
        <f>+SUMIFS(CARGA!I:I,CARGA!B:B,tabla!A124,CARGA!D:D,tabla!C124)</f>
        <v>0</v>
      </c>
      <c r="H124" s="5">
        <f>+SUMIFS(CARGA!K:K,CARGA!B:B,tabla!A124,CARGA!D:D,tabla!C124)</f>
        <v>0</v>
      </c>
      <c r="I124" s="5">
        <f t="shared" si="18"/>
        <v>0</v>
      </c>
      <c r="J124" s="5">
        <f>-SUMIFS(CARGA!K:K,CARGA!B:B,tabla!A124,CARGA!D:D,tabla!C124,CARGA!C:C,MAESTRO!$B$4)+SUMIFS(CARGA!K:K,CARGA!B:B,tabla!A124,CARGA!D:D,tabla!C124,CARGA!C:C,MAESTRO!$B$5)</f>
        <v>0</v>
      </c>
      <c r="K124" s="5" t="e">
        <f>+VLOOKUP(C124,#REF!,3,FALSE)</f>
        <v>#REF!</v>
      </c>
      <c r="L124" s="5" t="e">
        <f t="shared" si="19"/>
        <v>#REF!</v>
      </c>
      <c r="M124" s="5" t="e">
        <f t="shared" si="20"/>
        <v>#REF!</v>
      </c>
      <c r="N124" s="5" t="str">
        <f t="shared" si="29"/>
        <v>NO</v>
      </c>
      <c r="O124" s="5">
        <f>+VLOOKUP(C124,[2]Fondos!$F:$J,5,FALSE)</f>
        <v>3357048174</v>
      </c>
      <c r="P124" s="13">
        <f>+VLOOKUP(C124,[2]Fondos!$F:$K,6,FALSE)</f>
        <v>0.25849470000000002</v>
      </c>
      <c r="Q124" s="13">
        <f t="shared" si="30"/>
        <v>0</v>
      </c>
      <c r="R124" s="10">
        <f>+IF(Q124&gt;MAESTRO!$G$6,0,1)</f>
        <v>1</v>
      </c>
      <c r="S124">
        <f>+IF(P124&lt;MAESTRO!$G$8,0,1)</f>
        <v>1</v>
      </c>
      <c r="T124" s="10">
        <f t="shared" si="31"/>
        <v>2</v>
      </c>
      <c r="U124" t="str">
        <f>+IF(R124+S124=2,MAESTRO!$G$2,IF(R124+S124=0,MAESTRO!$G$5,IF(R124=0,MAESTRO!$G$3,IF(S124=0,MAESTRO!$G$4,))))</f>
        <v>cumple politica</v>
      </c>
    </row>
    <row r="125" spans="1:21" x14ac:dyDescent="0.3">
      <c r="A125" t="s">
        <v>14</v>
      </c>
      <c r="B125" s="20" t="s">
        <v>35</v>
      </c>
      <c r="C125" s="20" t="s">
        <v>76</v>
      </c>
      <c r="D125" s="20" t="s">
        <v>83</v>
      </c>
      <c r="E125" s="24">
        <f t="shared" si="28"/>
        <v>0</v>
      </c>
      <c r="F125" s="22">
        <f>-SUMIFS(CARGA!I:I,CARGA!B:B,tabla!A125,CARGA!D:D,tabla!C125,CARGA!C:C,MAESTRO!$B$4)-SUMIFS(CARGA!I:I,CARGA!B:B,tabla!A125,CARGA!D:D,tabla!C125,CARGA!C:C,MAESTRO!$B$5)</f>
        <v>0</v>
      </c>
      <c r="G125" s="5">
        <f>+SUMIFS(CARGA!I:I,CARGA!B:B,tabla!A125,CARGA!D:D,tabla!C125)</f>
        <v>0</v>
      </c>
      <c r="H125" s="5">
        <f>+SUMIFS(CARGA!K:K,CARGA!B:B,tabla!A125,CARGA!D:D,tabla!C125)</f>
        <v>0</v>
      </c>
      <c r="I125" s="5">
        <f t="shared" si="18"/>
        <v>0</v>
      </c>
      <c r="J125" s="5">
        <f>-SUMIFS(CARGA!K:K,CARGA!B:B,tabla!A125,CARGA!D:D,tabla!C125,CARGA!C:C,MAESTRO!$B$4)+SUMIFS(CARGA!K:K,CARGA!B:B,tabla!A125,CARGA!D:D,tabla!C125,CARGA!C:C,MAESTRO!$B$5)</f>
        <v>0</v>
      </c>
      <c r="K125" s="5" t="e">
        <f>+VLOOKUP(C125,#REF!,3,FALSE)</f>
        <v>#REF!</v>
      </c>
      <c r="L125" s="5" t="e">
        <f t="shared" si="19"/>
        <v>#REF!</v>
      </c>
      <c r="M125" s="5" t="e">
        <f t="shared" si="20"/>
        <v>#REF!</v>
      </c>
      <c r="N125" s="5" t="str">
        <f t="shared" si="29"/>
        <v>NO</v>
      </c>
      <c r="O125" s="5">
        <f>+VLOOKUP(C125,[2]Fondos!$F:$J,5,FALSE)</f>
        <v>3357048174</v>
      </c>
      <c r="P125" s="13">
        <f>+VLOOKUP(C125,[2]Fondos!$F:$K,6,FALSE)</f>
        <v>0.25849470000000002</v>
      </c>
      <c r="Q125" s="13">
        <f t="shared" si="30"/>
        <v>0</v>
      </c>
      <c r="R125" s="10">
        <f>+IF(Q125&gt;MAESTRO!$G$6,0,1)</f>
        <v>1</v>
      </c>
      <c r="S125">
        <f>+IF(P125&lt;MAESTRO!$G$8,0,1)</f>
        <v>1</v>
      </c>
      <c r="T125" s="10">
        <f t="shared" si="31"/>
        <v>2</v>
      </c>
      <c r="U125" t="str">
        <f>+IF(R125+S125=2,MAESTRO!$G$2,IF(R125+S125=0,MAESTRO!$G$5,IF(R125=0,MAESTRO!$G$3,IF(S125=0,MAESTRO!$G$4,))))</f>
        <v>cumple politica</v>
      </c>
    </row>
    <row r="126" spans="1:21" x14ac:dyDescent="0.3">
      <c r="A126" t="s">
        <v>14</v>
      </c>
      <c r="B126" t="s">
        <v>25</v>
      </c>
      <c r="C126" t="s">
        <v>59</v>
      </c>
      <c r="D126" t="s">
        <v>82</v>
      </c>
      <c r="E126" s="24">
        <f t="shared" si="28"/>
        <v>0</v>
      </c>
      <c r="F126" s="22">
        <f>-SUMIFS(CARGA!I:I,CARGA!B:B,tabla!A126,CARGA!D:D,tabla!C126,CARGA!C:C,MAESTRO!$B$4)-SUMIFS(CARGA!I:I,CARGA!B:B,tabla!A126,CARGA!D:D,tabla!C126,CARGA!C:C,MAESTRO!$B$5)</f>
        <v>0</v>
      </c>
      <c r="G126" s="5">
        <f>+SUMIFS(CARGA!I:I,CARGA!B:B,tabla!A126,CARGA!D:D,tabla!C126)</f>
        <v>0</v>
      </c>
      <c r="H126" s="5">
        <f>+SUMIFS(CARGA!K:K,CARGA!B:B,tabla!A126,CARGA!D:D,tabla!C126)</f>
        <v>0</v>
      </c>
      <c r="I126" s="5">
        <f t="shared" si="18"/>
        <v>0</v>
      </c>
      <c r="J126" s="5">
        <f>-SUMIFS(CARGA!K:K,CARGA!B:B,tabla!A126,CARGA!D:D,tabla!C126,CARGA!C:C,MAESTRO!$B$4)+SUMIFS(CARGA!K:K,CARGA!B:B,tabla!A126,CARGA!D:D,tabla!C126,CARGA!C:C,MAESTRO!$B$5)</f>
        <v>0</v>
      </c>
      <c r="K126" s="5" t="e">
        <f>+VLOOKUP(C126,#REF!,3,FALSE)</f>
        <v>#REF!</v>
      </c>
      <c r="L126" s="5" t="e">
        <f t="shared" si="19"/>
        <v>#REF!</v>
      </c>
      <c r="M126" s="5" t="e">
        <f t="shared" si="20"/>
        <v>#REF!</v>
      </c>
      <c r="N126" s="5" t="str">
        <f t="shared" si="29"/>
        <v>NO</v>
      </c>
      <c r="O126" s="5">
        <f>+VLOOKUP(C126,[2]Fondos!$F:$J,5,FALSE)</f>
        <v>15268657582.66</v>
      </c>
      <c r="P126" s="13">
        <f>+VLOOKUP(C126,[2]Fondos!$F:$K,6,FALSE)</f>
        <v>0.26679839999999999</v>
      </c>
      <c r="Q126" s="13">
        <f t="shared" si="30"/>
        <v>0</v>
      </c>
      <c r="R126" s="10">
        <f>+IF(Q126&gt;MAESTRO!$G$6,0,1)</f>
        <v>1</v>
      </c>
      <c r="S126">
        <f>+IF(P126&lt;MAESTRO!$G$8,0,1)</f>
        <v>1</v>
      </c>
      <c r="T126" s="10">
        <f t="shared" si="31"/>
        <v>2</v>
      </c>
      <c r="U126" t="str">
        <f>+IF(R126+S126=2,MAESTRO!$G$2,IF(R126+S126=0,MAESTRO!$G$5,IF(R126=0,MAESTRO!$G$3,IF(S126=0,MAESTRO!$G$4,))))</f>
        <v>cumple politica</v>
      </c>
    </row>
    <row r="127" spans="1:21" x14ac:dyDescent="0.3">
      <c r="A127" t="s">
        <v>14</v>
      </c>
      <c r="B127" t="s">
        <v>25</v>
      </c>
      <c r="C127" t="s">
        <v>40</v>
      </c>
      <c r="D127" t="s">
        <v>81</v>
      </c>
      <c r="E127" s="24">
        <f t="shared" si="28"/>
        <v>0</v>
      </c>
      <c r="F127" s="22">
        <f>-SUMIFS(CARGA!I:I,CARGA!B:B,tabla!A127,CARGA!D:D,tabla!C127,CARGA!C:C,MAESTRO!$B$4)-SUMIFS(CARGA!I:I,CARGA!B:B,tabla!A127,CARGA!D:D,tabla!C127,CARGA!C:C,MAESTRO!$B$5)</f>
        <v>0</v>
      </c>
      <c r="G127" s="5">
        <f>+SUMIFS(CARGA!I:I,CARGA!B:B,tabla!A127,CARGA!D:D,tabla!C127)</f>
        <v>0</v>
      </c>
      <c r="H127" s="5">
        <f>+SUMIFS(CARGA!K:K,CARGA!B:B,tabla!A127,CARGA!D:D,tabla!C127)</f>
        <v>0</v>
      </c>
      <c r="I127" s="5">
        <f t="shared" si="18"/>
        <v>0</v>
      </c>
      <c r="J127" s="5">
        <f>-SUMIFS(CARGA!K:K,CARGA!B:B,tabla!A127,CARGA!D:D,tabla!C127,CARGA!C:C,MAESTRO!$B$4)+SUMIFS(CARGA!K:K,CARGA!B:B,tabla!A127,CARGA!D:D,tabla!C127,CARGA!C:C,MAESTRO!$B$5)</f>
        <v>0</v>
      </c>
      <c r="K127" s="5" t="e">
        <f>+VLOOKUP(C127,#REF!,3,FALSE)</f>
        <v>#REF!</v>
      </c>
      <c r="L127" s="5" t="e">
        <f t="shared" si="19"/>
        <v>#REF!</v>
      </c>
      <c r="M127" s="5" t="e">
        <f t="shared" si="20"/>
        <v>#REF!</v>
      </c>
      <c r="N127" s="5" t="str">
        <f t="shared" si="29"/>
        <v>NO</v>
      </c>
      <c r="O127" s="5">
        <f>+VLOOKUP(C127,[2]Fondos!$F:$J,5,FALSE)</f>
        <v>4231508416.6700001</v>
      </c>
      <c r="P127" s="13">
        <f>+VLOOKUP(C127,[2]Fondos!$F:$K,6,FALSE)</f>
        <v>0.21473639999999999</v>
      </c>
      <c r="Q127" s="13">
        <f t="shared" si="30"/>
        <v>0</v>
      </c>
      <c r="R127" s="10">
        <f>+IF(Q127&gt;MAESTRO!$G$6,0,1)</f>
        <v>1</v>
      </c>
      <c r="S127">
        <f>+IF(P127&lt;MAESTRO!$G$8,0,1)</f>
        <v>1</v>
      </c>
      <c r="T127" s="10">
        <f t="shared" si="31"/>
        <v>2</v>
      </c>
      <c r="U127" t="str">
        <f>+IF(R127+S127=2,MAESTRO!$G$2,IF(R127+S127=0,MAESTRO!$G$5,IF(R127=0,MAESTRO!$G$3,IF(S127=0,MAESTRO!$G$4,))))</f>
        <v>cumple politica</v>
      </c>
    </row>
    <row r="128" spans="1:21" x14ac:dyDescent="0.3">
      <c r="A128" t="s">
        <v>14</v>
      </c>
      <c r="B128" t="s">
        <v>25</v>
      </c>
      <c r="C128" t="s">
        <v>79</v>
      </c>
      <c r="D128" t="s">
        <v>82</v>
      </c>
      <c r="E128" s="24">
        <f t="shared" si="28"/>
        <v>0</v>
      </c>
      <c r="F128" s="22">
        <f>-SUMIFS(CARGA!I:I,CARGA!B:B,tabla!A128,CARGA!D:D,tabla!C128,CARGA!C:C,MAESTRO!$B$4)-SUMIFS(CARGA!I:I,CARGA!B:B,tabla!A128,CARGA!D:D,tabla!C128,CARGA!C:C,MAESTRO!$B$5)</f>
        <v>0</v>
      </c>
      <c r="G128" s="5">
        <f>+SUMIFS(CARGA!I:I,CARGA!B:B,tabla!A128,CARGA!D:D,tabla!C128)</f>
        <v>0</v>
      </c>
      <c r="H128" s="5">
        <f>+SUMIFS(CARGA!K:K,CARGA!B:B,tabla!A128,CARGA!D:D,tabla!C128)</f>
        <v>0</v>
      </c>
      <c r="I128" s="5">
        <f t="shared" si="18"/>
        <v>0</v>
      </c>
      <c r="J128" s="5">
        <f>-SUMIFS(CARGA!K:K,CARGA!B:B,tabla!A128,CARGA!D:D,tabla!C128,CARGA!C:C,MAESTRO!$B$4)+SUMIFS(CARGA!K:K,CARGA!B:B,tabla!A128,CARGA!D:D,tabla!C128,CARGA!C:C,MAESTRO!$B$5)</f>
        <v>0</v>
      </c>
      <c r="K128" s="5" t="e">
        <f>+VLOOKUP(C128,#REF!,3,FALSE)</f>
        <v>#REF!</v>
      </c>
      <c r="L128" s="5" t="e">
        <f t="shared" si="19"/>
        <v>#REF!</v>
      </c>
      <c r="M128" s="5" t="e">
        <f t="shared" si="20"/>
        <v>#REF!</v>
      </c>
      <c r="N128" s="5" t="str">
        <f t="shared" si="29"/>
        <v>NO</v>
      </c>
      <c r="O128" s="5">
        <f>+VLOOKUP(C128,[2]Fondos!$F:$J,5,FALSE)</f>
        <v>415179361.94999999</v>
      </c>
      <c r="P128" s="13">
        <f>+VLOOKUP(C128,[2]Fondos!$F:$K,6,FALSE)</f>
        <v>0.20571149999999999</v>
      </c>
      <c r="Q128" s="13">
        <f t="shared" si="30"/>
        <v>0</v>
      </c>
      <c r="R128" s="10">
        <f>+IF(Q128&gt;MAESTRO!$G$6,0,1)</f>
        <v>1</v>
      </c>
      <c r="S128">
        <f>+IF(P128&lt;MAESTRO!$G$8,0,1)</f>
        <v>1</v>
      </c>
      <c r="T128" s="10">
        <f t="shared" si="31"/>
        <v>2</v>
      </c>
      <c r="U128" t="str">
        <f>+IF(R128+S128=2,MAESTRO!$G$2,IF(R128+S128=0,MAESTRO!$G$5,IF(R128=0,MAESTRO!$G$3,IF(S128=0,MAESTRO!$G$4,))))</f>
        <v>cumple politica</v>
      </c>
    </row>
    <row r="129" spans="1:21" x14ac:dyDescent="0.3">
      <c r="A129" t="s">
        <v>14</v>
      </c>
      <c r="B129" t="s">
        <v>26</v>
      </c>
      <c r="C129" t="s">
        <v>61</v>
      </c>
      <c r="D129" t="s">
        <v>82</v>
      </c>
      <c r="E129" s="24">
        <f t="shared" si="28"/>
        <v>0</v>
      </c>
      <c r="F129" s="22">
        <f>-SUMIFS(CARGA!I:I,CARGA!B:B,tabla!A129,CARGA!D:D,tabla!C129,CARGA!C:C,MAESTRO!$B$4)-SUMIFS(CARGA!I:I,CARGA!B:B,tabla!A129,CARGA!D:D,tabla!C129,CARGA!C:C,MAESTRO!$B$5)</f>
        <v>0</v>
      </c>
      <c r="G129" s="5">
        <f>+SUMIFS(CARGA!I:I,CARGA!B:B,tabla!A129,CARGA!D:D,tabla!C129)</f>
        <v>0</v>
      </c>
      <c r="H129" s="5">
        <f>+SUMIFS(CARGA!K:K,CARGA!B:B,tabla!A129,CARGA!D:D,tabla!C129)</f>
        <v>0</v>
      </c>
      <c r="I129" s="5">
        <f t="shared" si="18"/>
        <v>0</v>
      </c>
      <c r="J129" s="5">
        <f>-SUMIFS(CARGA!K:K,CARGA!B:B,tabla!A129,CARGA!D:D,tabla!C129,CARGA!C:C,MAESTRO!$B$4)+SUMIFS(CARGA!K:K,CARGA!B:B,tabla!A129,CARGA!D:D,tabla!C129,CARGA!C:C,MAESTRO!$B$5)</f>
        <v>0</v>
      </c>
      <c r="K129" s="5" t="e">
        <f>+VLOOKUP(C129,#REF!,3,FALSE)</f>
        <v>#REF!</v>
      </c>
      <c r="L129" s="5" t="e">
        <f t="shared" si="19"/>
        <v>#REF!</v>
      </c>
      <c r="M129" s="5" t="e">
        <f t="shared" si="20"/>
        <v>#REF!</v>
      </c>
      <c r="N129" s="5" t="str">
        <f t="shared" si="29"/>
        <v>NO</v>
      </c>
      <c r="O129" s="5">
        <f>+VLOOKUP(C129,[2]Fondos!$F:$J,5,FALSE)</f>
        <v>25454891426</v>
      </c>
      <c r="P129" s="13">
        <f>+VLOOKUP(C129,[2]Fondos!$F:$K,6,FALSE)</f>
        <v>0.26389279999999998</v>
      </c>
      <c r="Q129" s="13">
        <f t="shared" si="30"/>
        <v>0</v>
      </c>
      <c r="R129" s="10">
        <f>+IF(Q129&gt;MAESTRO!$G$6,0,1)</f>
        <v>1</v>
      </c>
      <c r="S129">
        <f>+IF(P129&lt;MAESTRO!$G$8,0,1)</f>
        <v>1</v>
      </c>
      <c r="T129" s="10">
        <f t="shared" si="31"/>
        <v>2</v>
      </c>
      <c r="U129" t="str">
        <f>+IF(R129+S129=2,MAESTRO!$G$2,IF(R129+S129=0,MAESTRO!$G$5,IF(R129=0,MAESTRO!$G$3,IF(S129=0,MAESTRO!$G$4,))))</f>
        <v>cumple politica</v>
      </c>
    </row>
    <row r="130" spans="1:21" x14ac:dyDescent="0.3">
      <c r="A130" t="s">
        <v>14</v>
      </c>
      <c r="B130" t="s">
        <v>26</v>
      </c>
      <c r="C130" t="s">
        <v>58</v>
      </c>
      <c r="D130" t="s">
        <v>82</v>
      </c>
      <c r="E130" s="24">
        <f t="shared" si="28"/>
        <v>0</v>
      </c>
      <c r="F130" s="22">
        <f>-SUMIFS(CARGA!I:I,CARGA!B:B,tabla!A130,CARGA!D:D,tabla!C130,CARGA!C:C,MAESTRO!$B$4)-SUMIFS(CARGA!I:I,CARGA!B:B,tabla!A130,CARGA!D:D,tabla!C130,CARGA!C:C,MAESTRO!$B$5)</f>
        <v>0</v>
      </c>
      <c r="G130" s="5">
        <f>+SUMIFS(CARGA!I:I,CARGA!B:B,tabla!A130,CARGA!D:D,tabla!C130)</f>
        <v>0</v>
      </c>
      <c r="H130" s="5">
        <f>+SUMIFS(CARGA!K:K,CARGA!B:B,tabla!A130,CARGA!D:D,tabla!C130)</f>
        <v>0</v>
      </c>
      <c r="I130" s="5">
        <f t="shared" si="18"/>
        <v>0</v>
      </c>
      <c r="J130" s="5">
        <f>-SUMIFS(CARGA!K:K,CARGA!B:B,tabla!A130,CARGA!D:D,tabla!C130,CARGA!C:C,MAESTRO!$B$4)+SUMIFS(CARGA!K:K,CARGA!B:B,tabla!A130,CARGA!D:D,tabla!C130,CARGA!C:C,MAESTRO!$B$5)</f>
        <v>0</v>
      </c>
      <c r="K130" s="5" t="e">
        <f>+VLOOKUP(C130,#REF!,3,FALSE)</f>
        <v>#REF!</v>
      </c>
      <c r="L130" s="5" t="e">
        <f t="shared" si="19"/>
        <v>#REF!</v>
      </c>
      <c r="M130" s="5" t="e">
        <f t="shared" si="20"/>
        <v>#REF!</v>
      </c>
      <c r="N130" s="5" t="str">
        <f t="shared" si="29"/>
        <v>NO</v>
      </c>
      <c r="O130" s="5">
        <f>+VLOOKUP(C130,[2]Fondos!$F:$J,5,FALSE)</f>
        <v>25454891426</v>
      </c>
      <c r="P130" s="13">
        <f>+VLOOKUP(C130,[2]Fondos!$F:$K,6,FALSE)</f>
        <v>0.26686179999999998</v>
      </c>
      <c r="Q130" s="13">
        <f t="shared" si="30"/>
        <v>0</v>
      </c>
      <c r="R130" s="10">
        <f>+IF(Q130&gt;MAESTRO!$G$6,0,1)</f>
        <v>1</v>
      </c>
      <c r="S130">
        <f>+IF(P130&lt;MAESTRO!$G$8,0,1)</f>
        <v>1</v>
      </c>
      <c r="T130" s="10">
        <f t="shared" si="31"/>
        <v>2</v>
      </c>
      <c r="U130" t="str">
        <f>+IF(R130+S130=2,MAESTRO!$G$2,IF(R130+S130=0,MAESTRO!$G$5,IF(R130=0,MAESTRO!$G$3,IF(S130=0,MAESTRO!$G$4,))))</f>
        <v>cumple politica</v>
      </c>
    </row>
    <row r="131" spans="1:21" x14ac:dyDescent="0.3">
      <c r="A131" t="s">
        <v>14</v>
      </c>
      <c r="B131" t="s">
        <v>26</v>
      </c>
      <c r="C131" t="s">
        <v>56</v>
      </c>
      <c r="D131" t="s">
        <v>82</v>
      </c>
      <c r="E131" s="24">
        <f t="shared" si="28"/>
        <v>0</v>
      </c>
      <c r="F131" s="22">
        <f>-SUMIFS(CARGA!I:I,CARGA!B:B,tabla!A131,CARGA!D:D,tabla!C131,CARGA!C:C,MAESTRO!$B$4)-SUMIFS(CARGA!I:I,CARGA!B:B,tabla!A131,CARGA!D:D,tabla!C131,CARGA!C:C,MAESTRO!$B$5)</f>
        <v>0</v>
      </c>
      <c r="G131" s="5">
        <f>+SUMIFS(CARGA!I:I,CARGA!B:B,tabla!A131,CARGA!D:D,tabla!C131)</f>
        <v>0</v>
      </c>
      <c r="H131" s="5">
        <f>+SUMIFS(CARGA!K:K,CARGA!B:B,tabla!A131,CARGA!D:D,tabla!C131)</f>
        <v>0</v>
      </c>
      <c r="I131" s="5">
        <f t="shared" si="18"/>
        <v>0</v>
      </c>
      <c r="J131" s="5">
        <f>-SUMIFS(CARGA!K:K,CARGA!B:B,tabla!A131,CARGA!D:D,tabla!C131,CARGA!C:C,MAESTRO!$B$4)+SUMIFS(CARGA!K:K,CARGA!B:B,tabla!A131,CARGA!D:D,tabla!C131,CARGA!C:C,MAESTRO!$B$5)</f>
        <v>0</v>
      </c>
      <c r="K131" s="5" t="e">
        <f>+VLOOKUP(C131,#REF!,3,FALSE)</f>
        <v>#REF!</v>
      </c>
      <c r="L131" s="5" t="e">
        <f t="shared" si="19"/>
        <v>#REF!</v>
      </c>
      <c r="M131" s="5" t="e">
        <f t="shared" si="20"/>
        <v>#REF!</v>
      </c>
      <c r="N131" s="5" t="str">
        <f t="shared" si="29"/>
        <v>NO</v>
      </c>
      <c r="O131" s="5">
        <f>+VLOOKUP(C131,[2]Fondos!$F:$J,5,FALSE)</f>
        <v>25454891426</v>
      </c>
      <c r="P131" s="13">
        <f>+VLOOKUP(C131,[2]Fondos!$F:$K,6,FALSE)</f>
        <v>0.27078930000000001</v>
      </c>
      <c r="Q131" s="13">
        <f t="shared" si="30"/>
        <v>0</v>
      </c>
      <c r="R131" s="10">
        <f>+IF(Q131&gt;MAESTRO!$G$6,0,1)</f>
        <v>1</v>
      </c>
      <c r="S131">
        <f>+IF(P131&lt;MAESTRO!$G$8,0,1)</f>
        <v>1</v>
      </c>
      <c r="T131" s="10">
        <f t="shared" si="31"/>
        <v>2</v>
      </c>
      <c r="U131" t="str">
        <f>+IF(R131+S131=2,MAESTRO!$G$2,IF(R131+S131=0,MAESTRO!$G$5,IF(R131=0,MAESTRO!$G$3,IF(S131=0,MAESTRO!$G$4,))))</f>
        <v>cumple politica</v>
      </c>
    </row>
    <row r="132" spans="1:21" x14ac:dyDescent="0.3">
      <c r="A132" t="s">
        <v>14</v>
      </c>
      <c r="B132" t="s">
        <v>26</v>
      </c>
      <c r="C132" t="s">
        <v>65</v>
      </c>
      <c r="D132" t="s">
        <v>82</v>
      </c>
      <c r="E132" s="24">
        <f t="shared" si="28"/>
        <v>0</v>
      </c>
      <c r="F132" s="22">
        <f>-SUMIFS(CARGA!I:I,CARGA!B:B,tabla!A132,CARGA!D:D,tabla!C132,CARGA!C:C,MAESTRO!$B$4)-SUMIFS(CARGA!I:I,CARGA!B:B,tabla!A132,CARGA!D:D,tabla!C132,CARGA!C:C,MAESTRO!$B$5)</f>
        <v>0</v>
      </c>
      <c r="G132" s="5">
        <f>+SUMIFS(CARGA!I:I,CARGA!B:B,tabla!A132,CARGA!D:D,tabla!C132)</f>
        <v>0</v>
      </c>
      <c r="H132" s="5">
        <f>+SUMIFS(CARGA!K:K,CARGA!B:B,tabla!A132,CARGA!D:D,tabla!C132)</f>
        <v>0</v>
      </c>
      <c r="I132" s="5">
        <f t="shared" si="18"/>
        <v>0</v>
      </c>
      <c r="J132" s="5">
        <f>-SUMIFS(CARGA!K:K,CARGA!B:B,tabla!A132,CARGA!D:D,tabla!C132,CARGA!C:C,MAESTRO!$B$4)+SUMIFS(CARGA!K:K,CARGA!B:B,tabla!A132,CARGA!D:D,tabla!C132,CARGA!C:C,MAESTRO!$B$5)</f>
        <v>0</v>
      </c>
      <c r="K132" s="5" t="e">
        <f>+VLOOKUP(C132,#REF!,3,FALSE)</f>
        <v>#REF!</v>
      </c>
      <c r="L132" s="5" t="e">
        <f t="shared" si="19"/>
        <v>#REF!</v>
      </c>
      <c r="M132" s="5" t="e">
        <f t="shared" si="20"/>
        <v>#REF!</v>
      </c>
      <c r="N132" s="5" t="str">
        <f t="shared" si="29"/>
        <v>NO</v>
      </c>
      <c r="O132" s="5">
        <f>+VLOOKUP(C132,[2]Fondos!$F:$J,5,FALSE)</f>
        <v>26527515773</v>
      </c>
      <c r="P132" s="13">
        <f>+VLOOKUP(C132,[2]Fondos!$F:$K,6,FALSE)</f>
        <v>0.26544099999999998</v>
      </c>
      <c r="Q132" s="13">
        <f t="shared" si="30"/>
        <v>0</v>
      </c>
      <c r="R132" s="10">
        <f>+IF(Q132&gt;MAESTRO!$G$6,0,1)</f>
        <v>1</v>
      </c>
      <c r="S132">
        <f>+IF(P132&lt;MAESTRO!$G$8,0,1)</f>
        <v>1</v>
      </c>
      <c r="T132" s="10">
        <f t="shared" si="31"/>
        <v>2</v>
      </c>
      <c r="U132" t="str">
        <f>+IF(R132+S132=2,MAESTRO!$G$2,IF(R132+S132=0,MAESTRO!$G$5,IF(R132=0,MAESTRO!$G$3,IF(S132=0,MAESTRO!$G$4,))))</f>
        <v>cumple politica</v>
      </c>
    </row>
    <row r="133" spans="1:21" x14ac:dyDescent="0.3">
      <c r="A133" t="s">
        <v>14</v>
      </c>
      <c r="B133" t="s">
        <v>26</v>
      </c>
      <c r="C133" t="s">
        <v>45</v>
      </c>
      <c r="D133" t="s">
        <v>81</v>
      </c>
      <c r="E133" s="24">
        <f t="shared" si="28"/>
        <v>0</v>
      </c>
      <c r="F133" s="22">
        <f>-SUMIFS(CARGA!I:I,CARGA!B:B,tabla!A133,CARGA!D:D,tabla!C133,CARGA!C:C,MAESTRO!$B$4)-SUMIFS(CARGA!I:I,CARGA!B:B,tabla!A133,CARGA!D:D,tabla!C133,CARGA!C:C,MAESTRO!$B$5)</f>
        <v>0</v>
      </c>
      <c r="G133" s="5">
        <f>+SUMIFS(CARGA!I:I,CARGA!B:B,tabla!A133,CARGA!D:D,tabla!C133)</f>
        <v>0</v>
      </c>
      <c r="H133" s="5">
        <f>+SUMIFS(CARGA!K:K,CARGA!B:B,tabla!A133,CARGA!D:D,tabla!C133)</f>
        <v>0</v>
      </c>
      <c r="I133" s="5">
        <f t="shared" si="18"/>
        <v>0</v>
      </c>
      <c r="J133" s="5">
        <f>-SUMIFS(CARGA!K:K,CARGA!B:B,tabla!A133,CARGA!D:D,tabla!C133,CARGA!C:C,MAESTRO!$B$4)+SUMIFS(CARGA!K:K,CARGA!B:B,tabla!A133,CARGA!D:D,tabla!C133,CARGA!C:C,MAESTRO!$B$5)</f>
        <v>0</v>
      </c>
      <c r="K133" s="5" t="e">
        <f>+VLOOKUP(C133,#REF!,3,FALSE)</f>
        <v>#REF!</v>
      </c>
      <c r="L133" s="5" t="e">
        <f t="shared" si="19"/>
        <v>#REF!</v>
      </c>
      <c r="M133" s="5" t="e">
        <f t="shared" si="20"/>
        <v>#REF!</v>
      </c>
      <c r="N133" s="5" t="str">
        <f t="shared" si="29"/>
        <v>NO</v>
      </c>
      <c r="O133" s="5">
        <f>+VLOOKUP(C133,[2]Fondos!$F:$J,5,FALSE)</f>
        <v>9536957677</v>
      </c>
      <c r="P133" s="13">
        <f>+VLOOKUP(C133,[2]Fondos!$F:$K,6,FALSE)</f>
        <v>0.20501570000000002</v>
      </c>
      <c r="Q133" s="13">
        <f t="shared" si="30"/>
        <v>0</v>
      </c>
      <c r="R133" s="10">
        <f>+IF(Q133&gt;MAESTRO!$G$6,0,1)</f>
        <v>1</v>
      </c>
      <c r="S133">
        <f>+IF(P133&lt;MAESTRO!$G$8,0,1)</f>
        <v>1</v>
      </c>
      <c r="T133" s="10">
        <f t="shared" si="31"/>
        <v>2</v>
      </c>
      <c r="U133" t="str">
        <f>+IF(R133+S133=2,MAESTRO!$G$2,IF(R133+S133=0,MAESTRO!$G$5,IF(R133=0,MAESTRO!$G$3,IF(S133=0,MAESTRO!$G$4,))))</f>
        <v>cumple politica</v>
      </c>
    </row>
    <row r="134" spans="1:21" x14ac:dyDescent="0.3">
      <c r="A134" t="s">
        <v>14</v>
      </c>
      <c r="B134" t="s">
        <v>26</v>
      </c>
      <c r="C134" t="s">
        <v>41</v>
      </c>
      <c r="D134" t="s">
        <v>81</v>
      </c>
      <c r="E134" s="24">
        <f t="shared" si="28"/>
        <v>0</v>
      </c>
      <c r="F134" s="22">
        <f>-SUMIFS(CARGA!I:I,CARGA!B:B,tabla!A134,CARGA!D:D,tabla!C134,CARGA!C:C,MAESTRO!$B$4)-SUMIFS(CARGA!I:I,CARGA!B:B,tabla!A134,CARGA!D:D,tabla!C134,CARGA!C:C,MAESTRO!$B$5)</f>
        <v>0</v>
      </c>
      <c r="G134" s="5">
        <f>+SUMIFS(CARGA!I:I,CARGA!B:B,tabla!A134,CARGA!D:D,tabla!C134)</f>
        <v>0</v>
      </c>
      <c r="H134" s="5">
        <f>+SUMIFS(CARGA!K:K,CARGA!B:B,tabla!A134,CARGA!D:D,tabla!C134)</f>
        <v>0</v>
      </c>
      <c r="I134" s="5">
        <f t="shared" si="18"/>
        <v>0</v>
      </c>
      <c r="J134" s="5">
        <f>-SUMIFS(CARGA!K:K,CARGA!B:B,tabla!A134,CARGA!D:D,tabla!C134,CARGA!C:C,MAESTRO!$B$4)+SUMIFS(CARGA!K:K,CARGA!B:B,tabla!A134,CARGA!D:D,tabla!C134,CARGA!C:C,MAESTRO!$B$5)</f>
        <v>0</v>
      </c>
      <c r="K134" s="5" t="e">
        <f>+VLOOKUP(C134,#REF!,3,FALSE)</f>
        <v>#REF!</v>
      </c>
      <c r="L134" s="5" t="e">
        <f t="shared" si="19"/>
        <v>#REF!</v>
      </c>
      <c r="M134" s="5" t="e">
        <f t="shared" si="20"/>
        <v>#REF!</v>
      </c>
      <c r="N134" s="5" t="str">
        <f t="shared" si="29"/>
        <v>NO</v>
      </c>
      <c r="O134" s="5">
        <f>+VLOOKUP(C134,[2]Fondos!$F:$J,5,FALSE)</f>
        <v>9536957677</v>
      </c>
      <c r="P134" s="13">
        <f>+VLOOKUP(C134,[2]Fondos!$F:$K,6,FALSE)</f>
        <v>0.2143747</v>
      </c>
      <c r="Q134" s="13">
        <f t="shared" si="30"/>
        <v>0</v>
      </c>
      <c r="R134" s="10">
        <f>+IF(Q134&gt;MAESTRO!$G$6,0,1)</f>
        <v>1</v>
      </c>
      <c r="S134">
        <f>+IF(P134&lt;MAESTRO!$G$8,0,1)</f>
        <v>1</v>
      </c>
      <c r="T134" s="10">
        <f t="shared" si="31"/>
        <v>2</v>
      </c>
      <c r="U134" t="str">
        <f>+IF(R134+S134=2,MAESTRO!$G$2,IF(R134+S134=0,MAESTRO!$G$5,IF(R134=0,MAESTRO!$G$3,IF(S134=0,MAESTRO!$G$4,))))</f>
        <v>cumple politica</v>
      </c>
    </row>
    <row r="135" spans="1:21" x14ac:dyDescent="0.3">
      <c r="A135" t="s">
        <v>14</v>
      </c>
      <c r="B135" t="s">
        <v>36</v>
      </c>
      <c r="C135" t="s">
        <v>73</v>
      </c>
      <c r="D135" t="s">
        <v>82</v>
      </c>
      <c r="E135" s="24">
        <f t="shared" si="28"/>
        <v>0</v>
      </c>
      <c r="F135" s="22">
        <f>-SUMIFS(CARGA!I:I,CARGA!B:B,tabla!A135,CARGA!D:D,tabla!C135,CARGA!C:C,MAESTRO!$B$4)-SUMIFS(CARGA!I:I,CARGA!B:B,tabla!A135,CARGA!D:D,tabla!C135,CARGA!C:C,MAESTRO!$B$5)</f>
        <v>0</v>
      </c>
      <c r="G135" s="5">
        <f>+SUMIFS(CARGA!I:I,CARGA!B:B,tabla!A135,CARGA!D:D,tabla!C135)</f>
        <v>0</v>
      </c>
      <c r="H135" s="5">
        <f>+SUMIFS(CARGA!K:K,CARGA!B:B,tabla!A135,CARGA!D:D,tabla!C135)</f>
        <v>0</v>
      </c>
      <c r="I135" s="5">
        <f t="shared" si="18"/>
        <v>0</v>
      </c>
      <c r="J135" s="5">
        <f>-SUMIFS(CARGA!K:K,CARGA!B:B,tabla!A135,CARGA!D:D,tabla!C135,CARGA!C:C,MAESTRO!$B$4)+SUMIFS(CARGA!K:K,CARGA!B:B,tabla!A135,CARGA!D:D,tabla!C135,CARGA!C:C,MAESTRO!$B$5)</f>
        <v>0</v>
      </c>
      <c r="K135" s="5" t="e">
        <f>+VLOOKUP(C135,#REF!,3,FALSE)</f>
        <v>#REF!</v>
      </c>
      <c r="L135" s="5" t="e">
        <f t="shared" si="19"/>
        <v>#REF!</v>
      </c>
      <c r="M135" s="5" t="e">
        <f t="shared" si="20"/>
        <v>#REF!</v>
      </c>
      <c r="N135" s="5" t="str">
        <f t="shared" si="29"/>
        <v>NO</v>
      </c>
      <c r="O135" s="5">
        <f>+VLOOKUP(C135,[2]Fondos!$F:$J,5,FALSE)</f>
        <v>5558283453.2200003</v>
      </c>
      <c r="P135" s="13">
        <f>+VLOOKUP(C135,[2]Fondos!$F:$K,6,FALSE)</f>
        <v>0.26949119999999999</v>
      </c>
      <c r="Q135" s="13">
        <f t="shared" si="30"/>
        <v>0</v>
      </c>
      <c r="R135" s="10">
        <f>+IF(Q135&gt;MAESTRO!$G$6,0,1)</f>
        <v>1</v>
      </c>
      <c r="S135">
        <f>+IF(P135&lt;MAESTRO!$G$8,0,1)</f>
        <v>1</v>
      </c>
      <c r="T135" s="10">
        <f t="shared" si="31"/>
        <v>2</v>
      </c>
      <c r="U135" t="str">
        <f>+IF(R135+S135=2,MAESTRO!$G$2,IF(R135+S135=0,MAESTRO!$G$5,IF(R135=0,MAESTRO!$G$3,IF(S135=0,MAESTRO!$G$4,))))</f>
        <v>cumple politica</v>
      </c>
    </row>
    <row r="136" spans="1:21" x14ac:dyDescent="0.3">
      <c r="A136" t="s">
        <v>14</v>
      </c>
      <c r="B136" t="s">
        <v>36</v>
      </c>
      <c r="C136" t="s">
        <v>72</v>
      </c>
      <c r="D136" t="s">
        <v>81</v>
      </c>
      <c r="E136" s="24">
        <f t="shared" si="28"/>
        <v>0</v>
      </c>
      <c r="F136" s="22">
        <f>-SUMIFS(CARGA!I:I,CARGA!B:B,tabla!A136,CARGA!D:D,tabla!C136,CARGA!C:C,MAESTRO!$B$4)-SUMIFS(CARGA!I:I,CARGA!B:B,tabla!A136,CARGA!D:D,tabla!C136,CARGA!C:C,MAESTRO!$B$5)</f>
        <v>0</v>
      </c>
      <c r="G136" s="5">
        <f>+SUMIFS(CARGA!I:I,CARGA!B:B,tabla!A136,CARGA!D:D,tabla!C136)</f>
        <v>0</v>
      </c>
      <c r="H136" s="5">
        <f>+SUMIFS(CARGA!K:K,CARGA!B:B,tabla!A136,CARGA!D:D,tabla!C136)</f>
        <v>0</v>
      </c>
      <c r="I136" s="5">
        <f t="shared" si="18"/>
        <v>0</v>
      </c>
      <c r="J136" s="5">
        <f>-SUMIFS(CARGA!K:K,CARGA!B:B,tabla!A136,CARGA!D:D,tabla!C136,CARGA!C:C,MAESTRO!$B$4)+SUMIFS(CARGA!K:K,CARGA!B:B,tabla!A136,CARGA!D:D,tabla!C136,CARGA!C:C,MAESTRO!$B$5)</f>
        <v>0</v>
      </c>
      <c r="K136" s="5" t="e">
        <f>+VLOOKUP(C136,#REF!,3,FALSE)</f>
        <v>#REF!</v>
      </c>
      <c r="L136" s="5" t="e">
        <f t="shared" si="19"/>
        <v>#REF!</v>
      </c>
      <c r="M136" s="5" t="e">
        <f t="shared" si="20"/>
        <v>#REF!</v>
      </c>
      <c r="N136" s="5" t="str">
        <f t="shared" si="29"/>
        <v>NO</v>
      </c>
      <c r="O136" s="5">
        <f>+VLOOKUP(C136,[2]Fondos!$F:$J,5,FALSE)</f>
        <v>4289905534.3099999</v>
      </c>
      <c r="P136" s="13">
        <f>+VLOOKUP(C136,[2]Fondos!$F:$K,6,FALSE)</f>
        <v>0.2090719</v>
      </c>
      <c r="Q136" s="13">
        <f t="shared" si="30"/>
        <v>0</v>
      </c>
      <c r="R136" s="10">
        <f>+IF(Q136&gt;MAESTRO!$G$6,0,1)</f>
        <v>1</v>
      </c>
      <c r="S136">
        <f>+IF(P136&lt;MAESTRO!$G$8,0,1)</f>
        <v>1</v>
      </c>
      <c r="T136" s="10">
        <f t="shared" si="31"/>
        <v>2</v>
      </c>
      <c r="U136" t="str">
        <f>+IF(R136+S136=2,MAESTRO!$G$2,IF(R136+S136=0,MAESTRO!$G$5,IF(R136=0,MAESTRO!$G$3,IF(S136=0,MAESTRO!$G$4,))))</f>
        <v>cumple politica</v>
      </c>
    </row>
    <row r="137" spans="1:21" x14ac:dyDescent="0.3">
      <c r="A137" t="s">
        <v>14</v>
      </c>
      <c r="B137" t="s">
        <v>28</v>
      </c>
      <c r="C137" t="s">
        <v>46</v>
      </c>
      <c r="D137" t="s">
        <v>81</v>
      </c>
      <c r="E137" s="24">
        <f t="shared" si="28"/>
        <v>0</v>
      </c>
      <c r="F137" s="22">
        <f>-SUMIFS(CARGA!I:I,CARGA!B:B,tabla!A137,CARGA!D:D,tabla!C137,CARGA!C:C,MAESTRO!$B$4)-SUMIFS(CARGA!I:I,CARGA!B:B,tabla!A137,CARGA!D:D,tabla!C137,CARGA!C:C,MAESTRO!$B$5)</f>
        <v>0</v>
      </c>
      <c r="G137" s="5">
        <f>+SUMIFS(CARGA!I:I,CARGA!B:B,tabla!A137,CARGA!D:D,tabla!C137)</f>
        <v>0</v>
      </c>
      <c r="H137" s="5">
        <f>+SUMIFS(CARGA!K:K,CARGA!B:B,tabla!A137,CARGA!D:D,tabla!C137)</f>
        <v>0</v>
      </c>
      <c r="I137" s="5">
        <f t="shared" si="18"/>
        <v>0</v>
      </c>
      <c r="J137" s="5">
        <f>-SUMIFS(CARGA!K:K,CARGA!B:B,tabla!A137,CARGA!D:D,tabla!C137,CARGA!C:C,MAESTRO!$B$4)+SUMIFS(CARGA!K:K,CARGA!B:B,tabla!A137,CARGA!D:D,tabla!C137,CARGA!C:C,MAESTRO!$B$5)</f>
        <v>0</v>
      </c>
      <c r="K137" s="5" t="e">
        <f>+VLOOKUP(C137,#REF!,3,FALSE)</f>
        <v>#REF!</v>
      </c>
      <c r="L137" s="5" t="e">
        <f t="shared" si="19"/>
        <v>#REF!</v>
      </c>
      <c r="M137" s="5" t="e">
        <f t="shared" si="20"/>
        <v>#REF!</v>
      </c>
      <c r="N137" s="5" t="str">
        <f t="shared" si="29"/>
        <v>NO</v>
      </c>
      <c r="O137" s="5">
        <f>+VLOOKUP(C137,[2]Fondos!$F:$J,5,FALSE)</f>
        <v>2107469999.9999998</v>
      </c>
      <c r="P137" s="13">
        <f>+VLOOKUP(C137,[2]Fondos!$F:$K,6,FALSE)</f>
        <v>0.20305720000000002</v>
      </c>
      <c r="Q137" s="13">
        <f t="shared" si="30"/>
        <v>0</v>
      </c>
      <c r="R137" s="10">
        <f>+IF(Q137&gt;MAESTRO!$G$6,0,1)</f>
        <v>1</v>
      </c>
      <c r="S137">
        <f>+IF(P137&lt;MAESTRO!$G$8,0,1)</f>
        <v>1</v>
      </c>
      <c r="T137" s="10">
        <f t="shared" si="31"/>
        <v>2</v>
      </c>
      <c r="U137" t="str">
        <f>+IF(R137+S137=2,MAESTRO!$G$2,IF(R137+S137=0,MAESTRO!$G$5,IF(R137=0,MAESTRO!$G$3,IF(S137=0,MAESTRO!$G$4,))))</f>
        <v>cumple politica</v>
      </c>
    </row>
    <row r="138" spans="1:21" x14ac:dyDescent="0.3">
      <c r="A138" t="s">
        <v>14</v>
      </c>
      <c r="B138" t="s">
        <v>28</v>
      </c>
      <c r="C138" t="s">
        <v>44</v>
      </c>
      <c r="D138" t="s">
        <v>81</v>
      </c>
      <c r="E138" s="24">
        <f t="shared" si="28"/>
        <v>0</v>
      </c>
      <c r="F138" s="22">
        <f>-SUMIFS(CARGA!I:I,CARGA!B:B,tabla!A138,CARGA!D:D,tabla!C138,CARGA!C:C,MAESTRO!$B$4)-SUMIFS(CARGA!I:I,CARGA!B:B,tabla!A138,CARGA!D:D,tabla!C138,CARGA!C:C,MAESTRO!$B$5)</f>
        <v>0</v>
      </c>
      <c r="G138" s="5">
        <f>+SUMIFS(CARGA!I:I,CARGA!B:B,tabla!A138,CARGA!D:D,tabla!C138)</f>
        <v>0</v>
      </c>
      <c r="H138" s="5">
        <f>+SUMIFS(CARGA!K:K,CARGA!B:B,tabla!A138,CARGA!D:D,tabla!C138)</f>
        <v>0</v>
      </c>
      <c r="I138" s="5">
        <f t="shared" si="18"/>
        <v>0</v>
      </c>
      <c r="J138" s="5">
        <f>-SUMIFS(CARGA!K:K,CARGA!B:B,tabla!A138,CARGA!D:D,tabla!C138,CARGA!C:C,MAESTRO!$B$4)+SUMIFS(CARGA!K:K,CARGA!B:B,tabla!A138,CARGA!D:D,tabla!C138,CARGA!C:C,MAESTRO!$B$5)</f>
        <v>0</v>
      </c>
      <c r="K138" s="5" t="e">
        <f>+VLOOKUP(C138,#REF!,3,FALSE)</f>
        <v>#REF!</v>
      </c>
      <c r="L138" s="5" t="e">
        <f t="shared" si="19"/>
        <v>#REF!</v>
      </c>
      <c r="M138" s="5" t="e">
        <f t="shared" si="20"/>
        <v>#REF!</v>
      </c>
      <c r="N138" s="5" t="str">
        <f t="shared" si="29"/>
        <v>NO</v>
      </c>
      <c r="O138" s="5">
        <f>+VLOOKUP(C138,[2]Fondos!$F:$J,5,FALSE)</f>
        <v>2107469999.9999998</v>
      </c>
      <c r="P138" s="13">
        <f>+VLOOKUP(C138,[2]Fondos!$F:$K,6,FALSE)</f>
        <v>0.20835799999999999</v>
      </c>
      <c r="Q138" s="13">
        <f t="shared" si="30"/>
        <v>0</v>
      </c>
      <c r="R138" s="10">
        <f>+IF(Q138&gt;MAESTRO!$G$6,0,1)</f>
        <v>1</v>
      </c>
      <c r="S138">
        <f>+IF(P138&lt;MAESTRO!$G$8,0,1)</f>
        <v>1</v>
      </c>
      <c r="T138" s="10">
        <f t="shared" si="31"/>
        <v>2</v>
      </c>
      <c r="U138" t="str">
        <f>+IF(R138+S138=2,MAESTRO!$G$2,IF(R138+S138=0,MAESTRO!$G$5,IF(R138=0,MAESTRO!$G$3,IF(S138=0,MAESTRO!$G$4,))))</f>
        <v>cumple politica</v>
      </c>
    </row>
    <row r="139" spans="1:21" x14ac:dyDescent="0.3">
      <c r="A139" t="s">
        <v>14</v>
      </c>
      <c r="B139" t="s">
        <v>28</v>
      </c>
      <c r="C139" t="s">
        <v>64</v>
      </c>
      <c r="D139" t="s">
        <v>82</v>
      </c>
      <c r="E139" s="24">
        <f t="shared" si="28"/>
        <v>0</v>
      </c>
      <c r="F139" s="22">
        <f>-SUMIFS(CARGA!I:I,CARGA!B:B,tabla!A139,CARGA!D:D,tabla!C139,CARGA!C:C,MAESTRO!$B$4)-SUMIFS(CARGA!I:I,CARGA!B:B,tabla!A139,CARGA!D:D,tabla!C139,CARGA!C:C,MAESTRO!$B$5)</f>
        <v>0</v>
      </c>
      <c r="G139" s="5">
        <f>+SUMIFS(CARGA!I:I,CARGA!B:B,tabla!A139,CARGA!D:D,tabla!C139)</f>
        <v>0</v>
      </c>
      <c r="H139" s="5">
        <f>+SUMIFS(CARGA!K:K,CARGA!B:B,tabla!A139,CARGA!D:D,tabla!C139)</f>
        <v>0</v>
      </c>
      <c r="I139" s="5">
        <f t="shared" si="18"/>
        <v>0</v>
      </c>
      <c r="J139" s="5">
        <f>-SUMIFS(CARGA!K:K,CARGA!B:B,tabla!A139,CARGA!D:D,tabla!C139,CARGA!C:C,MAESTRO!$B$4)+SUMIFS(CARGA!K:K,CARGA!B:B,tabla!A139,CARGA!D:D,tabla!C139,CARGA!C:C,MAESTRO!$B$5)</f>
        <v>0</v>
      </c>
      <c r="K139" s="5" t="e">
        <f>+VLOOKUP(C139,#REF!,3,FALSE)</f>
        <v>#REF!</v>
      </c>
      <c r="L139" s="5" t="e">
        <f t="shared" si="19"/>
        <v>#REF!</v>
      </c>
      <c r="M139" s="5" t="e">
        <f t="shared" si="20"/>
        <v>#REF!</v>
      </c>
      <c r="N139" s="5" t="str">
        <f t="shared" si="29"/>
        <v>NO</v>
      </c>
      <c r="O139" s="5">
        <f>+VLOOKUP(C139,[2]Fondos!$F:$J,5,FALSE)</f>
        <v>8673260000</v>
      </c>
      <c r="P139" s="13">
        <f>+VLOOKUP(C139,[2]Fondos!$F:$K,6,FALSE)</f>
        <v>0.25678699999999999</v>
      </c>
      <c r="Q139" s="13">
        <f t="shared" si="30"/>
        <v>0</v>
      </c>
      <c r="R139" s="10">
        <f>+IF(Q139&gt;MAESTRO!$G$6,0,1)</f>
        <v>1</v>
      </c>
      <c r="S139">
        <f>+IF(P139&lt;MAESTRO!$G$8,0,1)</f>
        <v>1</v>
      </c>
      <c r="T139" s="10">
        <f t="shared" si="31"/>
        <v>2</v>
      </c>
      <c r="U139" t="str">
        <f>+IF(R139+S139=2,MAESTRO!$G$2,IF(R139+S139=0,MAESTRO!$G$5,IF(R139=0,MAESTRO!$G$3,IF(S139=0,MAESTRO!$G$4,))))</f>
        <v>cumple politica</v>
      </c>
    </row>
    <row r="140" spans="1:21" x14ac:dyDescent="0.3">
      <c r="A140" t="s">
        <v>14</v>
      </c>
      <c r="B140" t="s">
        <v>28</v>
      </c>
      <c r="C140" t="s">
        <v>60</v>
      </c>
      <c r="D140" t="s">
        <v>82</v>
      </c>
      <c r="E140" s="24">
        <f t="shared" si="28"/>
        <v>0</v>
      </c>
      <c r="F140" s="22">
        <f>-SUMIFS(CARGA!I:I,CARGA!B:B,tabla!A140,CARGA!D:D,tabla!C140,CARGA!C:C,MAESTRO!$B$4)-SUMIFS(CARGA!I:I,CARGA!B:B,tabla!A140,CARGA!D:D,tabla!C140,CARGA!C:C,MAESTRO!$B$5)</f>
        <v>0</v>
      </c>
      <c r="G140" s="5">
        <f>+SUMIFS(CARGA!I:I,CARGA!B:B,tabla!A140,CARGA!D:D,tabla!C140)</f>
        <v>0</v>
      </c>
      <c r="H140" s="5">
        <f>+SUMIFS(CARGA!K:K,CARGA!B:B,tabla!A140,CARGA!D:D,tabla!C140)</f>
        <v>0</v>
      </c>
      <c r="I140" s="5">
        <f t="shared" si="18"/>
        <v>0</v>
      </c>
      <c r="J140" s="5">
        <f>-SUMIFS(CARGA!K:K,CARGA!B:B,tabla!A140,CARGA!D:D,tabla!C140,CARGA!C:C,MAESTRO!$B$4)+SUMIFS(CARGA!K:K,CARGA!B:B,tabla!A140,CARGA!D:D,tabla!C140,CARGA!C:C,MAESTRO!$B$5)</f>
        <v>0</v>
      </c>
      <c r="K140" s="5" t="e">
        <f>+VLOOKUP(C140,#REF!,3,FALSE)</f>
        <v>#REF!</v>
      </c>
      <c r="L140" s="5" t="e">
        <f t="shared" si="19"/>
        <v>#REF!</v>
      </c>
      <c r="M140" s="5" t="e">
        <f t="shared" si="20"/>
        <v>#REF!</v>
      </c>
      <c r="N140" s="5" t="str">
        <f t="shared" si="29"/>
        <v>NO</v>
      </c>
      <c r="O140" s="5">
        <f>+VLOOKUP(C140,[2]Fondos!$F:$J,5,FALSE)</f>
        <v>8673260000</v>
      </c>
      <c r="P140" s="13">
        <f>+VLOOKUP(C140,[2]Fondos!$F:$K,6,FALSE)</f>
        <v>0.26727390000000001</v>
      </c>
      <c r="Q140" s="13">
        <f t="shared" si="30"/>
        <v>0</v>
      </c>
      <c r="R140" s="10">
        <f>+IF(Q140&gt;MAESTRO!$G$6,0,1)</f>
        <v>1</v>
      </c>
      <c r="S140">
        <f>+IF(P140&lt;MAESTRO!$G$8,0,1)</f>
        <v>1</v>
      </c>
      <c r="T140" s="10">
        <f t="shared" si="31"/>
        <v>2</v>
      </c>
      <c r="U140" t="str">
        <f>+IF(R140+S140=2,MAESTRO!$G$2,IF(R140+S140=0,MAESTRO!$G$5,IF(R140=0,MAESTRO!$G$3,IF(S140=0,MAESTRO!$G$4,))))</f>
        <v>cumple politica</v>
      </c>
    </row>
    <row r="141" spans="1:21" x14ac:dyDescent="0.3">
      <c r="A141" t="s">
        <v>14</v>
      </c>
      <c r="B141" t="s">
        <v>22</v>
      </c>
      <c r="C141" t="s">
        <v>37</v>
      </c>
      <c r="D141" t="s">
        <v>81</v>
      </c>
      <c r="E141" s="24">
        <f t="shared" si="28"/>
        <v>0</v>
      </c>
      <c r="F141" s="22">
        <f>-SUMIFS(CARGA!I:I,CARGA!B:B,tabla!A141,CARGA!D:D,tabla!C141,CARGA!C:C,MAESTRO!$B$4)-SUMIFS(CARGA!I:I,CARGA!B:B,tabla!A141,CARGA!D:D,tabla!C141,CARGA!C:C,MAESTRO!$B$5)</f>
        <v>0</v>
      </c>
      <c r="G141" s="5">
        <f>+SUMIFS(CARGA!I:I,CARGA!B:B,tabla!A141,CARGA!D:D,tabla!C141)</f>
        <v>0</v>
      </c>
      <c r="H141" s="5">
        <f>+SUMIFS(CARGA!K:K,CARGA!B:B,tabla!A141,CARGA!D:D,tabla!C141)</f>
        <v>0</v>
      </c>
      <c r="I141" s="5">
        <f t="shared" si="18"/>
        <v>0</v>
      </c>
      <c r="J141" s="5">
        <f>-SUMIFS(CARGA!K:K,CARGA!B:B,tabla!A141,CARGA!D:D,tabla!C141,CARGA!C:C,MAESTRO!$B$4)+SUMIFS(CARGA!K:K,CARGA!B:B,tabla!A141,CARGA!D:D,tabla!C141,CARGA!C:C,MAESTRO!$B$5)</f>
        <v>0</v>
      </c>
      <c r="K141" s="5" t="e">
        <f>+VLOOKUP(C141,#REF!,3,FALSE)</f>
        <v>#REF!</v>
      </c>
      <c r="L141" s="5" t="e">
        <f t="shared" si="19"/>
        <v>#REF!</v>
      </c>
      <c r="M141" s="5" t="e">
        <f t="shared" si="20"/>
        <v>#REF!</v>
      </c>
      <c r="N141" s="5" t="str">
        <f t="shared" si="29"/>
        <v>NO</v>
      </c>
      <c r="O141" s="5">
        <f>+VLOOKUP(C141,[2]Fondos!$F:$J,5,FALSE)</f>
        <v>652691913</v>
      </c>
      <c r="P141" s="13">
        <f>+VLOOKUP(C141,[2]Fondos!$F:$K,6,FALSE)</f>
        <v>0.25056249999999997</v>
      </c>
      <c r="Q141" s="13">
        <f t="shared" si="30"/>
        <v>0</v>
      </c>
      <c r="R141" s="10">
        <f>+IF(Q141&gt;MAESTRO!$G$6,0,1)</f>
        <v>1</v>
      </c>
      <c r="S141">
        <f>+IF(P141&lt;MAESTRO!$G$8,0,1)</f>
        <v>1</v>
      </c>
      <c r="T141" s="10">
        <f t="shared" si="31"/>
        <v>2</v>
      </c>
      <c r="U141" t="str">
        <f>+IF(R141+S141=2,MAESTRO!$G$2,IF(R141+S141=0,MAESTRO!$G$5,IF(R141=0,MAESTRO!$G$3,IF(S141=0,MAESTRO!$G$4,))))</f>
        <v>cumple politica</v>
      </c>
    </row>
    <row r="142" spans="1:21" x14ac:dyDescent="0.3">
      <c r="A142" t="s">
        <v>14</v>
      </c>
      <c r="B142" t="s">
        <v>22</v>
      </c>
      <c r="C142" t="s">
        <v>54</v>
      </c>
      <c r="D142" t="s">
        <v>82</v>
      </c>
      <c r="E142" s="24">
        <f t="shared" si="28"/>
        <v>0</v>
      </c>
      <c r="F142" s="22">
        <f>-SUMIFS(CARGA!I:I,CARGA!B:B,tabla!A142,CARGA!D:D,tabla!C142,CARGA!C:C,MAESTRO!$B$4)-SUMIFS(CARGA!I:I,CARGA!B:B,tabla!A142,CARGA!D:D,tabla!C142,CARGA!C:C,MAESTRO!$B$5)</f>
        <v>0</v>
      </c>
      <c r="G142" s="5">
        <f>+SUMIFS(CARGA!I:I,CARGA!B:B,tabla!A142,CARGA!D:D,tabla!C142)</f>
        <v>0</v>
      </c>
      <c r="H142" s="5">
        <f>+SUMIFS(CARGA!K:K,CARGA!B:B,tabla!A142,CARGA!D:D,tabla!C142)</f>
        <v>0</v>
      </c>
      <c r="I142" s="5">
        <f t="shared" si="18"/>
        <v>0</v>
      </c>
      <c r="J142" s="5">
        <f>-SUMIFS(CARGA!K:K,CARGA!B:B,tabla!A142,CARGA!D:D,tabla!C142,CARGA!C:C,MAESTRO!$B$4)+SUMIFS(CARGA!K:K,CARGA!B:B,tabla!A142,CARGA!D:D,tabla!C142,CARGA!C:C,MAESTRO!$B$5)</f>
        <v>0</v>
      </c>
      <c r="K142" s="5" t="e">
        <f>+VLOOKUP(C142,#REF!,3,FALSE)</f>
        <v>#REF!</v>
      </c>
      <c r="L142" s="5" t="e">
        <f t="shared" si="19"/>
        <v>#REF!</v>
      </c>
      <c r="M142" s="5" t="e">
        <f t="shared" si="20"/>
        <v>#REF!</v>
      </c>
      <c r="N142" s="5" t="str">
        <f t="shared" si="29"/>
        <v>NO</v>
      </c>
      <c r="O142" s="5">
        <f>+VLOOKUP(C142,[2]Fondos!$F:$J,5,FALSE)</f>
        <v>2006490136</v>
      </c>
      <c r="P142" s="13">
        <f>+VLOOKUP(C142,[2]Fondos!$F:$K,6,FALSE)</f>
        <v>0.27425260000000001</v>
      </c>
      <c r="Q142" s="13">
        <f t="shared" si="30"/>
        <v>0</v>
      </c>
      <c r="R142" s="10">
        <f>+IF(Q142&gt;MAESTRO!$G$6,0,1)</f>
        <v>1</v>
      </c>
      <c r="S142">
        <f>+IF(P142&lt;MAESTRO!$G$8,0,1)</f>
        <v>1</v>
      </c>
      <c r="T142" s="10">
        <f t="shared" si="31"/>
        <v>2</v>
      </c>
      <c r="U142" t="str">
        <f>+IF(R142+S142=2,MAESTRO!$G$2,IF(R142+S142=0,MAESTRO!$G$5,IF(R142=0,MAESTRO!$G$3,IF(S142=0,MAESTRO!$G$4,))))</f>
        <v>cumple politica</v>
      </c>
    </row>
    <row r="143" spans="1:21" x14ac:dyDescent="0.3">
      <c r="A143" t="s">
        <v>14</v>
      </c>
      <c r="B143" t="s">
        <v>34</v>
      </c>
      <c r="C143" t="s">
        <v>77</v>
      </c>
      <c r="D143" t="s">
        <v>82</v>
      </c>
      <c r="E143" s="24">
        <f t="shared" si="28"/>
        <v>0</v>
      </c>
      <c r="F143" s="22">
        <f>-SUMIFS(CARGA!I:I,CARGA!B:B,tabla!A143,CARGA!D:D,tabla!C143,CARGA!C:C,MAESTRO!$B$4)-SUMIFS(CARGA!I:I,CARGA!B:B,tabla!A143,CARGA!D:D,tabla!C143,CARGA!C:C,MAESTRO!$B$5)</f>
        <v>0</v>
      </c>
      <c r="G143" s="5">
        <f>+SUMIFS(CARGA!I:I,CARGA!B:B,tabla!A143,CARGA!D:D,tabla!C143)</f>
        <v>0</v>
      </c>
      <c r="H143" s="5">
        <f>+SUMIFS(CARGA!K:K,CARGA!B:B,tabla!A143,CARGA!D:D,tabla!C143)</f>
        <v>0</v>
      </c>
      <c r="I143" s="5">
        <f t="shared" si="18"/>
        <v>0</v>
      </c>
      <c r="J143" s="5">
        <f>-SUMIFS(CARGA!K:K,CARGA!B:B,tabla!A143,CARGA!D:D,tabla!C143,CARGA!C:C,MAESTRO!$B$4)+SUMIFS(CARGA!K:K,CARGA!B:B,tabla!A143,CARGA!D:D,tabla!C143,CARGA!C:C,MAESTRO!$B$5)</f>
        <v>0</v>
      </c>
      <c r="K143" s="5" t="e">
        <f>+VLOOKUP(C143,#REF!,3,FALSE)</f>
        <v>#REF!</v>
      </c>
      <c r="L143" s="5" t="e">
        <f t="shared" si="19"/>
        <v>#REF!</v>
      </c>
      <c r="M143" s="5" t="e">
        <f t="shared" si="20"/>
        <v>#REF!</v>
      </c>
      <c r="N143" s="5" t="str">
        <f t="shared" si="29"/>
        <v>NO</v>
      </c>
      <c r="O143" s="5">
        <f>+VLOOKUP(C143,[2]Fondos!$F:$J,5,FALSE)</f>
        <v>10383624192</v>
      </c>
      <c r="P143" s="13">
        <f>+VLOOKUP(C143,[2]Fondos!$F:$K,6,FALSE)</f>
        <v>0.27741320000000003</v>
      </c>
      <c r="Q143" s="13">
        <f t="shared" si="30"/>
        <v>0</v>
      </c>
      <c r="R143" s="10">
        <f>+IF(Q143&gt;MAESTRO!$G$6,0,1)</f>
        <v>1</v>
      </c>
      <c r="S143">
        <f>+IF(P143&lt;MAESTRO!$G$8,0,1)</f>
        <v>1</v>
      </c>
      <c r="T143" s="10">
        <f t="shared" si="31"/>
        <v>2</v>
      </c>
      <c r="U143" t="str">
        <f>+IF(R143+S143=2,MAESTRO!$G$2,IF(R143+S143=0,MAESTRO!$G$5,IF(R143=0,MAESTRO!$G$3,IF(S143=0,MAESTRO!$G$4,))))</f>
        <v>cumple politica</v>
      </c>
    </row>
    <row r="144" spans="1:21" x14ac:dyDescent="0.3">
      <c r="A144" t="s">
        <v>14</v>
      </c>
      <c r="B144" t="s">
        <v>34</v>
      </c>
      <c r="C144" t="s">
        <v>53</v>
      </c>
      <c r="D144" t="s">
        <v>81</v>
      </c>
      <c r="E144" s="24">
        <f t="shared" si="28"/>
        <v>0</v>
      </c>
      <c r="F144" s="22">
        <f>-SUMIFS(CARGA!I:I,CARGA!B:B,tabla!A144,CARGA!D:D,tabla!C144,CARGA!C:C,MAESTRO!$B$4)-SUMIFS(CARGA!I:I,CARGA!B:B,tabla!A144,CARGA!D:D,tabla!C144,CARGA!C:C,MAESTRO!$B$5)</f>
        <v>0</v>
      </c>
      <c r="G144" s="5">
        <f>+SUMIFS(CARGA!I:I,CARGA!B:B,tabla!A144,CARGA!D:D,tabla!C144)</f>
        <v>0</v>
      </c>
      <c r="H144" s="5">
        <f>+SUMIFS(CARGA!K:K,CARGA!B:B,tabla!A144,CARGA!D:D,tabla!C144)</f>
        <v>0</v>
      </c>
      <c r="I144" s="5">
        <f t="shared" si="18"/>
        <v>0</v>
      </c>
      <c r="J144" s="5">
        <f>-SUMIFS(CARGA!K:K,CARGA!B:B,tabla!A144,CARGA!D:D,tabla!C144,CARGA!C:C,MAESTRO!$B$4)+SUMIFS(CARGA!K:K,CARGA!B:B,tabla!A144,CARGA!D:D,tabla!C144,CARGA!C:C,MAESTRO!$B$5)</f>
        <v>0</v>
      </c>
      <c r="K144" s="5" t="e">
        <f>+VLOOKUP(C144,#REF!,3,FALSE)</f>
        <v>#REF!</v>
      </c>
      <c r="L144" s="5" t="e">
        <f t="shared" si="19"/>
        <v>#REF!</v>
      </c>
      <c r="M144" s="5" t="e">
        <f t="shared" si="20"/>
        <v>#REF!</v>
      </c>
      <c r="N144" s="5" t="str">
        <f t="shared" si="29"/>
        <v>NO</v>
      </c>
      <c r="O144" s="5">
        <f>+VLOOKUP(C144,[2]Fondos!$F:$J,5,FALSE)</f>
        <v>4530803420</v>
      </c>
      <c r="P144" s="13">
        <f>+VLOOKUP(C144,[2]Fondos!$F:$K,6,FALSE)</f>
        <v>0.2425168</v>
      </c>
      <c r="Q144" s="13">
        <f t="shared" si="30"/>
        <v>0</v>
      </c>
      <c r="R144" s="10">
        <f>+IF(Q144&gt;MAESTRO!$G$6,0,1)</f>
        <v>1</v>
      </c>
      <c r="S144">
        <f>+IF(P144&lt;MAESTRO!$G$8,0,1)</f>
        <v>1</v>
      </c>
      <c r="T144" s="10">
        <f t="shared" si="31"/>
        <v>2</v>
      </c>
      <c r="U144" t="str">
        <f>+IF(R144+S144=2,MAESTRO!$G$2,IF(R144+S144=0,MAESTRO!$G$5,IF(R144=0,MAESTRO!$G$3,IF(S144=0,MAESTRO!$G$4,))))</f>
        <v>cumple politica</v>
      </c>
    </row>
    <row r="145" spans="1:21" x14ac:dyDescent="0.3">
      <c r="A145" t="s">
        <v>14</v>
      </c>
      <c r="B145" t="s">
        <v>129</v>
      </c>
      <c r="C145" t="s">
        <v>128</v>
      </c>
      <c r="D145" t="s">
        <v>81</v>
      </c>
      <c r="E145" s="24">
        <f t="shared" si="28"/>
        <v>0</v>
      </c>
      <c r="F145" s="22">
        <f>-SUMIFS(CARGA!I:I,CARGA!B:B,tabla!A145,CARGA!D:D,tabla!C145,CARGA!C:C,MAESTRO!$B$4)-SUMIFS(CARGA!I:I,CARGA!B:B,tabla!A145,CARGA!D:D,tabla!C145,CARGA!C:C,MAESTRO!$B$5)</f>
        <v>0</v>
      </c>
      <c r="G145" s="5">
        <f>+SUMIFS(CARGA!I:I,CARGA!B:B,tabla!A145,CARGA!D:D,tabla!C145)</f>
        <v>0</v>
      </c>
      <c r="H145" s="5">
        <f>+SUMIFS(CARGA!K:K,CARGA!B:B,tabla!A145,CARGA!D:D,tabla!C145)</f>
        <v>0</v>
      </c>
      <c r="I145" s="5">
        <f t="shared" si="18"/>
        <v>0</v>
      </c>
      <c r="J145" s="5">
        <f>-SUMIFS(CARGA!K:K,CARGA!B:B,tabla!A145,CARGA!D:D,tabla!C145,CARGA!C:C,MAESTRO!$B$4)+SUMIFS(CARGA!K:K,CARGA!B:B,tabla!A145,CARGA!D:D,tabla!C145,CARGA!C:C,MAESTRO!$B$5)</f>
        <v>0</v>
      </c>
      <c r="K145" s="5" t="e">
        <f>+VLOOKUP(C145,#REF!,3,FALSE)</f>
        <v>#REF!</v>
      </c>
      <c r="L145" s="5" t="e">
        <f t="shared" si="19"/>
        <v>#REF!</v>
      </c>
      <c r="M145" s="5" t="e">
        <f t="shared" si="20"/>
        <v>#REF!</v>
      </c>
      <c r="N145" s="5" t="str">
        <f t="shared" si="29"/>
        <v>NO</v>
      </c>
      <c r="O145" s="5" t="e">
        <f>+VLOOKUP(C145,[2]Fondos!$F:$J,5,FALSE)</f>
        <v>#N/A</v>
      </c>
      <c r="P145" s="13" t="e">
        <f>+VLOOKUP(C145,[2]Fondos!$F:$K,6,FALSE)</f>
        <v>#N/A</v>
      </c>
      <c r="Q145" s="13" t="e">
        <f t="shared" si="30"/>
        <v>#N/A</v>
      </c>
      <c r="R145" s="10" t="e">
        <f>+IF(Q145&gt;MAESTRO!$G$6,0,1)</f>
        <v>#N/A</v>
      </c>
      <c r="S145" t="e">
        <f>+IF(P145&lt;MAESTRO!$G$8,0,1)</f>
        <v>#N/A</v>
      </c>
      <c r="T145" s="10" t="e">
        <f t="shared" si="31"/>
        <v>#N/A</v>
      </c>
      <c r="U145" t="e">
        <f>+IF(R145+S145=2,MAESTRO!$G$2,IF(R145+S145=0,MAESTRO!$G$5,IF(R145=0,MAESTRO!$G$3,IF(S145=0,MAESTRO!$G$4,))))</f>
        <v>#N/A</v>
      </c>
    </row>
    <row r="146" spans="1:21" x14ac:dyDescent="0.3">
      <c r="A146" t="s">
        <v>14</v>
      </c>
      <c r="B146" t="s">
        <v>30</v>
      </c>
      <c r="C146" t="s">
        <v>49</v>
      </c>
      <c r="D146" t="s">
        <v>81</v>
      </c>
      <c r="E146" s="24">
        <f t="shared" si="28"/>
        <v>0</v>
      </c>
      <c r="F146" s="22">
        <f>-SUMIFS(CARGA!I:I,CARGA!B:B,tabla!A146,CARGA!D:D,tabla!C146,CARGA!C:C,MAESTRO!$B$4)-SUMIFS(CARGA!I:I,CARGA!B:B,tabla!A146,CARGA!D:D,tabla!C146,CARGA!C:C,MAESTRO!$B$5)</f>
        <v>0</v>
      </c>
      <c r="G146" s="5">
        <f>+SUMIFS(CARGA!I:I,CARGA!B:B,tabla!A146,CARGA!D:D,tabla!C146)</f>
        <v>0</v>
      </c>
      <c r="H146" s="5">
        <f>+SUMIFS(CARGA!K:K,CARGA!B:B,tabla!A146,CARGA!D:D,tabla!C146)</f>
        <v>0</v>
      </c>
      <c r="I146" s="5">
        <f t="shared" si="18"/>
        <v>0</v>
      </c>
      <c r="J146" s="5">
        <f>-SUMIFS(CARGA!K:K,CARGA!B:B,tabla!A146,CARGA!D:D,tabla!C146,CARGA!C:C,MAESTRO!$B$4)+SUMIFS(CARGA!K:K,CARGA!B:B,tabla!A146,CARGA!D:D,tabla!C146,CARGA!C:C,MAESTRO!$B$5)</f>
        <v>0</v>
      </c>
      <c r="K146" s="5" t="e">
        <f>+VLOOKUP(C146,#REF!,3,FALSE)</f>
        <v>#REF!</v>
      </c>
      <c r="L146" s="5" t="e">
        <f t="shared" si="19"/>
        <v>#REF!</v>
      </c>
      <c r="M146" s="5" t="e">
        <f t="shared" si="20"/>
        <v>#REF!</v>
      </c>
      <c r="N146" s="5" t="str">
        <f t="shared" si="29"/>
        <v>NO</v>
      </c>
      <c r="O146" s="5">
        <f>+VLOOKUP(C146,[2]Fondos!$F:$J,5,FALSE)</f>
        <v>9591427.7400000002</v>
      </c>
      <c r="P146" s="13">
        <f>+VLOOKUP(C146,[2]Fondos!$F:$K,6,FALSE)</f>
        <v>0.1408799</v>
      </c>
      <c r="Q146" s="13">
        <f t="shared" si="30"/>
        <v>0</v>
      </c>
      <c r="R146" s="10">
        <f>+IF(Q146&gt;MAESTRO!$G$6,0,1)</f>
        <v>1</v>
      </c>
      <c r="S146">
        <f>+IF(P146&lt;MAESTRO!$G$8,0,1)</f>
        <v>1</v>
      </c>
      <c r="T146" s="10">
        <f t="shared" si="31"/>
        <v>2</v>
      </c>
      <c r="U146" t="str">
        <f>+IF(R146+S146=2,MAESTRO!$G$2,IF(R146+S146=0,MAESTRO!$G$5,IF(R146=0,MAESTRO!$G$3,IF(S146=0,MAESTRO!$G$4,))))</f>
        <v>cumple politica</v>
      </c>
    </row>
    <row r="147" spans="1:21" x14ac:dyDescent="0.3">
      <c r="A147" t="s">
        <v>14</v>
      </c>
      <c r="B147" t="s">
        <v>30</v>
      </c>
      <c r="C147" t="s">
        <v>68</v>
      </c>
      <c r="D147" t="s">
        <v>82</v>
      </c>
      <c r="E147" s="24">
        <f t="shared" si="28"/>
        <v>0</v>
      </c>
      <c r="F147" s="22">
        <f>-SUMIFS(CARGA!I:I,CARGA!B:B,tabla!A147,CARGA!D:D,tabla!C147,CARGA!C:C,MAESTRO!$B$4)-SUMIFS(CARGA!I:I,CARGA!B:B,tabla!A147,CARGA!D:D,tabla!C147,CARGA!C:C,MAESTRO!$B$5)</f>
        <v>0</v>
      </c>
      <c r="G147" s="5">
        <f>+SUMIFS(CARGA!I:I,CARGA!B:B,tabla!A147,CARGA!D:D,tabla!C147)</f>
        <v>0</v>
      </c>
      <c r="H147" s="5">
        <f>+SUMIFS(CARGA!K:K,CARGA!B:B,tabla!A147,CARGA!D:D,tabla!C147)</f>
        <v>0</v>
      </c>
      <c r="I147" s="5">
        <f t="shared" si="18"/>
        <v>0</v>
      </c>
      <c r="J147" s="5">
        <f>-SUMIFS(CARGA!K:K,CARGA!B:B,tabla!A147,CARGA!D:D,tabla!C147,CARGA!C:C,MAESTRO!$B$4)+SUMIFS(CARGA!K:K,CARGA!B:B,tabla!A147,CARGA!D:D,tabla!C147,CARGA!C:C,MAESTRO!$B$5)</f>
        <v>0</v>
      </c>
      <c r="K147" s="5" t="e">
        <f>+VLOOKUP(C147,#REF!,3,FALSE)</f>
        <v>#REF!</v>
      </c>
      <c r="L147" s="5" t="e">
        <f t="shared" si="19"/>
        <v>#REF!</v>
      </c>
      <c r="M147" s="5" t="e">
        <f t="shared" si="20"/>
        <v>#REF!</v>
      </c>
      <c r="N147" s="5" t="str">
        <f t="shared" si="29"/>
        <v>NO</v>
      </c>
      <c r="O147" s="5">
        <f>+VLOOKUP(C147,[2]Fondos!$F:$J,5,FALSE)</f>
        <v>5034893543.9799995</v>
      </c>
      <c r="P147" s="13">
        <f>+VLOOKUP(C147,[2]Fondos!$F:$K,6,FALSE)</f>
        <v>0.27295020000000003</v>
      </c>
      <c r="Q147" s="13">
        <f t="shared" si="30"/>
        <v>0</v>
      </c>
      <c r="R147" s="10">
        <f>+IF(Q147&gt;MAESTRO!$G$6,0,1)</f>
        <v>1</v>
      </c>
      <c r="S147">
        <f>+IF(P147&lt;MAESTRO!$G$8,0,1)</f>
        <v>1</v>
      </c>
      <c r="T147" s="10">
        <f t="shared" si="31"/>
        <v>2</v>
      </c>
      <c r="U147" t="str">
        <f>+IF(R147+S147=2,MAESTRO!$G$2,IF(R147+S147=0,MAESTRO!$G$5,IF(R147=0,MAESTRO!$G$3,IF(S147=0,MAESTRO!$G$4,))))</f>
        <v>cumple politica</v>
      </c>
    </row>
    <row r="148" spans="1:21" x14ac:dyDescent="0.3">
      <c r="A148" t="s">
        <v>14</v>
      </c>
      <c r="B148" t="s">
        <v>30</v>
      </c>
      <c r="C148" t="s">
        <v>67</v>
      </c>
      <c r="D148" t="s">
        <v>82</v>
      </c>
      <c r="E148" s="24">
        <f t="shared" si="28"/>
        <v>0</v>
      </c>
      <c r="F148" s="22">
        <f>-SUMIFS(CARGA!I:I,CARGA!B:B,tabla!A148,CARGA!D:D,tabla!C148,CARGA!C:C,MAESTRO!$B$4)-SUMIFS(CARGA!I:I,CARGA!B:B,tabla!A148,CARGA!D:D,tabla!C148,CARGA!C:C,MAESTRO!$B$5)</f>
        <v>0</v>
      </c>
      <c r="G148" s="5">
        <f>+SUMIFS(CARGA!I:I,CARGA!B:B,tabla!A148,CARGA!D:D,tabla!C148)</f>
        <v>0</v>
      </c>
      <c r="H148" s="5">
        <f>+SUMIFS(CARGA!K:K,CARGA!B:B,tabla!A148,CARGA!D:D,tabla!C148)</f>
        <v>0</v>
      </c>
      <c r="I148" s="5">
        <f t="shared" si="18"/>
        <v>0</v>
      </c>
      <c r="J148" s="5">
        <f>-SUMIFS(CARGA!K:K,CARGA!B:B,tabla!A148,CARGA!D:D,tabla!C148,CARGA!C:C,MAESTRO!$B$4)+SUMIFS(CARGA!K:K,CARGA!B:B,tabla!A148,CARGA!D:D,tabla!C148,CARGA!C:C,MAESTRO!$B$5)</f>
        <v>0</v>
      </c>
      <c r="K148" s="5" t="e">
        <f>+VLOOKUP(C148,#REF!,3,FALSE)</f>
        <v>#REF!</v>
      </c>
      <c r="L148" s="5" t="e">
        <f t="shared" si="19"/>
        <v>#REF!</v>
      </c>
      <c r="M148" s="5" t="e">
        <f t="shared" si="20"/>
        <v>#REF!</v>
      </c>
      <c r="N148" s="5" t="str">
        <f t="shared" si="29"/>
        <v>NO</v>
      </c>
      <c r="O148" s="5">
        <f>+VLOOKUP(C148,[2]Fondos!$F:$J,5,FALSE)</f>
        <v>11465050695.200001</v>
      </c>
      <c r="P148" s="13">
        <f>+VLOOKUP(C148,[2]Fondos!$F:$K,6,FALSE)</f>
        <v>0.2357329</v>
      </c>
      <c r="Q148" s="13">
        <f t="shared" si="30"/>
        <v>0</v>
      </c>
      <c r="R148" s="10">
        <f>+IF(Q148&gt;MAESTRO!$G$6,0,1)</f>
        <v>1</v>
      </c>
      <c r="S148">
        <f>+IF(P148&lt;MAESTRO!$G$8,0,1)</f>
        <v>1</v>
      </c>
      <c r="T148" s="10">
        <f t="shared" si="31"/>
        <v>2</v>
      </c>
      <c r="U148" t="str">
        <f>+IF(R148+S148=2,MAESTRO!$G$2,IF(R148+S148=0,MAESTRO!$G$5,IF(R148=0,MAESTRO!$G$3,IF(S148=0,MAESTRO!$G$4,))))</f>
        <v>cumple politica</v>
      </c>
    </row>
    <row r="149" spans="1:21" x14ac:dyDescent="0.3">
      <c r="A149" t="s">
        <v>14</v>
      </c>
      <c r="B149" t="s">
        <v>29</v>
      </c>
      <c r="C149" t="s">
        <v>48</v>
      </c>
      <c r="D149" t="s">
        <v>81</v>
      </c>
      <c r="E149" s="24">
        <f t="shared" si="28"/>
        <v>0</v>
      </c>
      <c r="F149" s="22">
        <f>-SUMIFS(CARGA!I:I,CARGA!B:B,tabla!A149,CARGA!D:D,tabla!C149,CARGA!C:C,MAESTRO!$B$4)-SUMIFS(CARGA!I:I,CARGA!B:B,tabla!A149,CARGA!D:D,tabla!C149,CARGA!C:C,MAESTRO!$B$5)</f>
        <v>0</v>
      </c>
      <c r="G149" s="5">
        <f>+SUMIFS(CARGA!I:I,CARGA!B:B,tabla!A149,CARGA!D:D,tabla!C149)</f>
        <v>0</v>
      </c>
      <c r="H149" s="5">
        <f>+SUMIFS(CARGA!K:K,CARGA!B:B,tabla!A149,CARGA!D:D,tabla!C149)</f>
        <v>0</v>
      </c>
      <c r="I149" s="5">
        <f t="shared" si="18"/>
        <v>0</v>
      </c>
      <c r="J149" s="5">
        <f>-SUMIFS(CARGA!K:K,CARGA!B:B,tabla!A149,CARGA!D:D,tabla!C149,CARGA!C:C,MAESTRO!$B$4)+SUMIFS(CARGA!K:K,CARGA!B:B,tabla!A149,CARGA!D:D,tabla!C149,CARGA!C:C,MAESTRO!$B$5)</f>
        <v>0</v>
      </c>
      <c r="K149" s="5" t="e">
        <f>+VLOOKUP(C149,#REF!,3,FALSE)</f>
        <v>#REF!</v>
      </c>
      <c r="L149" s="5" t="e">
        <f t="shared" si="19"/>
        <v>#REF!</v>
      </c>
      <c r="M149" s="5" t="e">
        <f t="shared" si="20"/>
        <v>#REF!</v>
      </c>
      <c r="N149" s="5" t="str">
        <f t="shared" si="29"/>
        <v>NO</v>
      </c>
      <c r="O149" s="5">
        <f>+VLOOKUP(C149,[2]Fondos!$F:$J,5,FALSE)</f>
        <v>1752057008.8599999</v>
      </c>
      <c r="P149" s="13">
        <f>+VLOOKUP(C149,[2]Fondos!$F:$K,6,FALSE)</f>
        <v>0.21970210000000001</v>
      </c>
      <c r="Q149" s="13">
        <f t="shared" si="30"/>
        <v>0</v>
      </c>
      <c r="R149" s="10">
        <f>+IF(Q149&gt;MAESTRO!$G$6,0,1)</f>
        <v>1</v>
      </c>
      <c r="S149">
        <f>+IF(P149&lt;MAESTRO!$G$8,0,1)</f>
        <v>1</v>
      </c>
      <c r="T149" s="10">
        <f t="shared" si="31"/>
        <v>2</v>
      </c>
      <c r="U149" t="str">
        <f>+IF(R149+S149=2,MAESTRO!$G$2,IF(R149+S149=0,MAESTRO!$G$5,IF(R149=0,MAESTRO!$G$3,IF(S149=0,MAESTRO!$G$4,))))</f>
        <v>cumple politica</v>
      </c>
    </row>
    <row r="150" spans="1:21" x14ac:dyDescent="0.3">
      <c r="A150" t="s">
        <v>14</v>
      </c>
      <c r="B150" t="s">
        <v>29</v>
      </c>
      <c r="C150" t="s">
        <v>66</v>
      </c>
      <c r="D150" t="s">
        <v>82</v>
      </c>
      <c r="E150" s="24">
        <f t="shared" si="28"/>
        <v>0</v>
      </c>
      <c r="F150" s="22">
        <f>-SUMIFS(CARGA!I:I,CARGA!B:B,tabla!A150,CARGA!D:D,tabla!C150,CARGA!C:C,MAESTRO!$B$4)-SUMIFS(CARGA!I:I,CARGA!B:B,tabla!A150,CARGA!D:D,tabla!C150,CARGA!C:C,MAESTRO!$B$5)</f>
        <v>0</v>
      </c>
      <c r="G150" s="5">
        <f>+SUMIFS(CARGA!I:I,CARGA!B:B,tabla!A150,CARGA!D:D,tabla!C150)</f>
        <v>0</v>
      </c>
      <c r="H150" s="5">
        <f>+SUMIFS(CARGA!K:K,CARGA!B:B,tabla!A150,CARGA!D:D,tabla!C150)</f>
        <v>0</v>
      </c>
      <c r="I150" s="5">
        <f t="shared" ref="I150:I162" si="32">+H150+J150</f>
        <v>0</v>
      </c>
      <c r="J150" s="5">
        <f>-SUMIFS(CARGA!K:K,CARGA!B:B,tabla!A150,CARGA!D:D,tabla!C150,CARGA!C:C,MAESTRO!$B$4)+SUMIFS(CARGA!K:K,CARGA!B:B,tabla!A150,CARGA!D:D,tabla!C150,CARGA!C:C,MAESTRO!$B$5)</f>
        <v>0</v>
      </c>
      <c r="K150" s="5" t="e">
        <f>+VLOOKUP(C150,#REF!,3,FALSE)</f>
        <v>#REF!</v>
      </c>
      <c r="L150" s="5" t="e">
        <f t="shared" ref="L150:L162" si="33">+K150*I150</f>
        <v>#REF!</v>
      </c>
      <c r="M150" s="5" t="e">
        <f t="shared" ref="M150:M162" si="34">+K150*J150</f>
        <v>#REF!</v>
      </c>
      <c r="N150" s="5" t="str">
        <f t="shared" si="29"/>
        <v>NO</v>
      </c>
      <c r="O150" s="5">
        <f>+VLOOKUP(C150,[2]Fondos!$F:$J,5,FALSE)</f>
        <v>15968105687.34</v>
      </c>
      <c r="P150" s="13">
        <f>+VLOOKUP(C150,[2]Fondos!$F:$K,6,FALSE)</f>
        <v>0.27123580000000003</v>
      </c>
      <c r="Q150" s="13">
        <f t="shared" si="30"/>
        <v>0</v>
      </c>
      <c r="R150" s="10">
        <f>+IF(Q150&gt;MAESTRO!$G$6,0,1)</f>
        <v>1</v>
      </c>
      <c r="S150">
        <f>+IF(P150&lt;MAESTRO!$G$8,0,1)</f>
        <v>1</v>
      </c>
      <c r="T150" s="10">
        <f t="shared" si="31"/>
        <v>2</v>
      </c>
      <c r="U150" t="str">
        <f>+IF(R150+S150=2,MAESTRO!$G$2,IF(R150+S150=0,MAESTRO!$G$5,IF(R150=0,MAESTRO!$G$3,IF(S150=0,MAESTRO!$G$4,))))</f>
        <v>cumple politica</v>
      </c>
    </row>
    <row r="151" spans="1:21" x14ac:dyDescent="0.3">
      <c r="A151" t="s">
        <v>14</v>
      </c>
      <c r="B151" t="s">
        <v>29</v>
      </c>
      <c r="C151" t="s">
        <v>110</v>
      </c>
      <c r="D151" t="s">
        <v>83</v>
      </c>
      <c r="E151" s="24">
        <f t="shared" si="28"/>
        <v>0</v>
      </c>
      <c r="F151" s="22">
        <f>-SUMIFS(CARGA!I:I,CARGA!B:B,tabla!A151,CARGA!D:D,tabla!C151,CARGA!C:C,MAESTRO!$B$4)-SUMIFS(CARGA!I:I,CARGA!B:B,tabla!A151,CARGA!D:D,tabla!C151,CARGA!C:C,MAESTRO!$B$5)</f>
        <v>0</v>
      </c>
      <c r="G151" s="5">
        <f>+SUMIFS(CARGA!I:I,CARGA!B:B,tabla!A151,CARGA!D:D,tabla!C151)</f>
        <v>0</v>
      </c>
      <c r="H151" s="5">
        <f>+SUMIFS(CARGA!K:K,CARGA!B:B,tabla!A151,CARGA!D:D,tabla!C151)</f>
        <v>0</v>
      </c>
      <c r="I151" s="5">
        <f t="shared" si="32"/>
        <v>0</v>
      </c>
      <c r="J151" s="5">
        <f>-SUMIFS(CARGA!K:K,CARGA!B:B,tabla!A151,CARGA!D:D,tabla!C151,CARGA!C:C,MAESTRO!$B$4)+SUMIFS(CARGA!K:K,CARGA!B:B,tabla!A151,CARGA!D:D,tabla!C151,CARGA!C:C,MAESTRO!$B$5)</f>
        <v>0</v>
      </c>
      <c r="K151" s="5" t="e">
        <f>+VLOOKUP(C151,#REF!,3,FALSE)</f>
        <v>#REF!</v>
      </c>
      <c r="L151" s="5" t="e">
        <f t="shared" si="33"/>
        <v>#REF!</v>
      </c>
      <c r="M151" s="5" t="e">
        <f t="shared" si="34"/>
        <v>#REF!</v>
      </c>
      <c r="N151" s="5" t="str">
        <f t="shared" si="29"/>
        <v>NO</v>
      </c>
      <c r="O151" s="5" t="e">
        <f>+VLOOKUP(C151,[2]Fondos!$F:$J,5,FALSE)</f>
        <v>#N/A</v>
      </c>
      <c r="P151" s="13" t="e">
        <f>+VLOOKUP(C151,[2]Fondos!$F:$K,6,FALSE)</f>
        <v>#N/A</v>
      </c>
      <c r="Q151" s="13" t="e">
        <f t="shared" si="30"/>
        <v>#N/A</v>
      </c>
      <c r="R151" s="10" t="e">
        <f>+IF(Q151&gt;MAESTRO!$G$6,0,1)</f>
        <v>#N/A</v>
      </c>
      <c r="S151" t="e">
        <f>+IF(P151&lt;MAESTRO!$G$8,0,1)</f>
        <v>#N/A</v>
      </c>
      <c r="T151" s="10" t="e">
        <f t="shared" si="31"/>
        <v>#N/A</v>
      </c>
      <c r="U151" t="e">
        <f>+IF(R151+S151=2,MAESTRO!$G$2,IF(R151+S151=0,MAESTRO!$G$5,IF(R151=0,MAESTRO!$G$3,IF(S151=0,MAESTRO!$G$4,))))</f>
        <v>#N/A</v>
      </c>
    </row>
    <row r="152" spans="1:21" x14ac:dyDescent="0.3">
      <c r="A152" t="s">
        <v>14</v>
      </c>
      <c r="B152" t="s">
        <v>24</v>
      </c>
      <c r="C152" t="s">
        <v>39</v>
      </c>
      <c r="D152" t="s">
        <v>81</v>
      </c>
      <c r="E152" s="24">
        <f t="shared" si="28"/>
        <v>0</v>
      </c>
      <c r="F152" s="22">
        <f>-SUMIFS(CARGA!I:I,CARGA!B:B,tabla!A152,CARGA!D:D,tabla!C152,CARGA!C:C,MAESTRO!$B$4)-SUMIFS(CARGA!I:I,CARGA!B:B,tabla!A152,CARGA!D:D,tabla!C152,CARGA!C:C,MAESTRO!$B$5)</f>
        <v>0</v>
      </c>
      <c r="G152" s="5">
        <f>+SUMIFS(CARGA!I:I,CARGA!B:B,tabla!A152,CARGA!D:D,tabla!C152)</f>
        <v>0</v>
      </c>
      <c r="H152" s="5">
        <f>+SUMIFS(CARGA!K:K,CARGA!B:B,tabla!A152,CARGA!D:D,tabla!C152)</f>
        <v>0</v>
      </c>
      <c r="I152" s="5">
        <f t="shared" si="32"/>
        <v>0</v>
      </c>
      <c r="J152" s="5">
        <f>-SUMIFS(CARGA!K:K,CARGA!B:B,tabla!A152,CARGA!D:D,tabla!C152,CARGA!C:C,MAESTRO!$B$4)+SUMIFS(CARGA!K:K,CARGA!B:B,tabla!A152,CARGA!D:D,tabla!C152,CARGA!C:C,MAESTRO!$B$5)</f>
        <v>0</v>
      </c>
      <c r="K152" s="5" t="e">
        <f>+VLOOKUP(C152,#REF!,3,FALSE)</f>
        <v>#REF!</v>
      </c>
      <c r="L152" s="5" t="e">
        <f t="shared" si="33"/>
        <v>#REF!</v>
      </c>
      <c r="M152" s="5" t="e">
        <f t="shared" si="34"/>
        <v>#REF!</v>
      </c>
      <c r="N152" s="5" t="str">
        <f t="shared" si="29"/>
        <v>NO</v>
      </c>
      <c r="O152" s="5">
        <f>+VLOOKUP(C152,[2]Fondos!$F:$J,5,FALSE)</f>
        <v>2294506221</v>
      </c>
      <c r="P152" s="13">
        <f>+VLOOKUP(C152,[2]Fondos!$F:$K,6,FALSE)</f>
        <v>0.21526589999999998</v>
      </c>
      <c r="Q152" s="13">
        <f t="shared" si="30"/>
        <v>0</v>
      </c>
      <c r="R152" s="10">
        <f>+IF(Q152&gt;MAESTRO!$G$6,0,1)</f>
        <v>1</v>
      </c>
      <c r="S152">
        <f>+IF(P152&lt;MAESTRO!$G$8,0,1)</f>
        <v>1</v>
      </c>
      <c r="T152" s="10">
        <f t="shared" si="31"/>
        <v>2</v>
      </c>
      <c r="U152" t="str">
        <f>+IF(R152+S152=2,MAESTRO!$G$2,IF(R152+S152=0,MAESTRO!$G$5,IF(R152=0,MAESTRO!$G$3,IF(S152=0,MAESTRO!$G$4,))))</f>
        <v>cumple politica</v>
      </c>
    </row>
    <row r="153" spans="1:21" x14ac:dyDescent="0.3">
      <c r="A153" t="s">
        <v>14</v>
      </c>
      <c r="B153" t="s">
        <v>24</v>
      </c>
      <c r="C153" t="s">
        <v>80</v>
      </c>
      <c r="D153" t="s">
        <v>82</v>
      </c>
      <c r="E153" s="24">
        <f t="shared" si="28"/>
        <v>0</v>
      </c>
      <c r="F153" s="22">
        <f>-SUMIFS(CARGA!I:I,CARGA!B:B,tabla!A153,CARGA!D:D,tabla!C153,CARGA!C:C,MAESTRO!$B$4)-SUMIFS(CARGA!I:I,CARGA!B:B,tabla!A153,CARGA!D:D,tabla!C153,CARGA!C:C,MAESTRO!$B$5)</f>
        <v>0</v>
      </c>
      <c r="G153" s="5">
        <f>+SUMIFS(CARGA!I:I,CARGA!B:B,tabla!A153,CARGA!D:D,tabla!C153)</f>
        <v>0</v>
      </c>
      <c r="H153" s="5">
        <f>+SUMIFS(CARGA!K:K,CARGA!B:B,tabla!A153,CARGA!D:D,tabla!C153)</f>
        <v>0</v>
      </c>
      <c r="I153" s="5">
        <f t="shared" si="32"/>
        <v>0</v>
      </c>
      <c r="J153" s="5">
        <f>-SUMIFS(CARGA!K:K,CARGA!B:B,tabla!A153,CARGA!D:D,tabla!C153,CARGA!C:C,MAESTRO!$B$4)+SUMIFS(CARGA!K:K,CARGA!B:B,tabla!A153,CARGA!D:D,tabla!C153,CARGA!C:C,MAESTRO!$B$5)</f>
        <v>0</v>
      </c>
      <c r="K153" s="5" t="e">
        <f>+VLOOKUP(C153,#REF!,3,FALSE)</f>
        <v>#REF!</v>
      </c>
      <c r="L153" s="5" t="e">
        <f t="shared" si="33"/>
        <v>#REF!</v>
      </c>
      <c r="M153" s="5" t="e">
        <f t="shared" si="34"/>
        <v>#REF!</v>
      </c>
      <c r="N153" s="5" t="str">
        <f t="shared" si="29"/>
        <v>NO</v>
      </c>
      <c r="O153" s="5">
        <f>+VLOOKUP(C153,[2]Fondos!$F:$J,5,FALSE)</f>
        <v>8324714840</v>
      </c>
      <c r="P153" s="13">
        <f>+VLOOKUP(C153,[2]Fondos!$F:$K,6,FALSE)</f>
        <v>0.27053379999999999</v>
      </c>
      <c r="Q153" s="13">
        <f t="shared" si="30"/>
        <v>0</v>
      </c>
      <c r="R153" s="10">
        <f>+IF(Q153&gt;MAESTRO!$G$6,0,1)</f>
        <v>1</v>
      </c>
      <c r="S153">
        <f>+IF(P153&lt;MAESTRO!$G$8,0,1)</f>
        <v>1</v>
      </c>
      <c r="T153" s="10">
        <f t="shared" si="31"/>
        <v>2</v>
      </c>
      <c r="U153" t="str">
        <f>+IF(R153+S153=2,MAESTRO!$G$2,IF(R153+S153=0,MAESTRO!$G$5,IF(R153=0,MAESTRO!$G$3,IF(S153=0,MAESTRO!$G$4,))))</f>
        <v>cumple politica</v>
      </c>
    </row>
    <row r="154" spans="1:21" x14ac:dyDescent="0.3">
      <c r="A154" t="s">
        <v>14</v>
      </c>
      <c r="B154" t="s">
        <v>24</v>
      </c>
      <c r="C154" t="s">
        <v>62</v>
      </c>
      <c r="D154" t="s">
        <v>82</v>
      </c>
      <c r="E154" s="24">
        <f t="shared" si="28"/>
        <v>0</v>
      </c>
      <c r="F154" s="22">
        <f>-SUMIFS(CARGA!I:I,CARGA!B:B,tabla!A154,CARGA!D:D,tabla!C154,CARGA!C:C,MAESTRO!$B$4)-SUMIFS(CARGA!I:I,CARGA!B:B,tabla!A154,CARGA!D:D,tabla!C154,CARGA!C:C,MAESTRO!$B$5)</f>
        <v>0</v>
      </c>
      <c r="G154" s="5">
        <f>+SUMIFS(CARGA!I:I,CARGA!B:B,tabla!A154,CARGA!D:D,tabla!C154)</f>
        <v>0</v>
      </c>
      <c r="H154" s="5">
        <f>+SUMIFS(CARGA!K:K,CARGA!B:B,tabla!A154,CARGA!D:D,tabla!C154)</f>
        <v>0</v>
      </c>
      <c r="I154" s="5">
        <f t="shared" si="32"/>
        <v>0</v>
      </c>
      <c r="J154" s="5">
        <f>-SUMIFS(CARGA!K:K,CARGA!B:B,tabla!A154,CARGA!D:D,tabla!C154,CARGA!C:C,MAESTRO!$B$4)+SUMIFS(CARGA!K:K,CARGA!B:B,tabla!A154,CARGA!D:D,tabla!C154,CARGA!C:C,MAESTRO!$B$5)</f>
        <v>0</v>
      </c>
      <c r="K154" s="5" t="e">
        <f>+VLOOKUP(C154,#REF!,3,FALSE)</f>
        <v>#REF!</v>
      </c>
      <c r="L154" s="5" t="e">
        <f t="shared" si="33"/>
        <v>#REF!</v>
      </c>
      <c r="M154" s="5" t="e">
        <f t="shared" si="34"/>
        <v>#REF!</v>
      </c>
      <c r="N154" s="5" t="str">
        <f t="shared" si="29"/>
        <v>NO</v>
      </c>
      <c r="O154" s="5">
        <f>+VLOOKUP(C154,[2]Fondos!$F:$J,5,FALSE)</f>
        <v>2635564025</v>
      </c>
      <c r="P154" s="13">
        <f>+VLOOKUP(C154,[2]Fondos!$F:$K,6,FALSE)</f>
        <v>0.26226080000000002</v>
      </c>
      <c r="Q154" s="13">
        <f t="shared" si="30"/>
        <v>0</v>
      </c>
      <c r="R154" s="10">
        <f>+IF(Q154&gt;MAESTRO!$G$6,0,1)</f>
        <v>1</v>
      </c>
      <c r="S154">
        <f>+IF(P154&lt;MAESTRO!$G$8,0,1)</f>
        <v>1</v>
      </c>
      <c r="T154" s="10">
        <f t="shared" si="31"/>
        <v>2</v>
      </c>
      <c r="U154" t="str">
        <f>+IF(R154+S154=2,MAESTRO!$G$2,IF(R154+S154=0,MAESTRO!$G$5,IF(R154=0,MAESTRO!$G$3,IF(S154=0,MAESTRO!$G$4,))))</f>
        <v>cumple politica</v>
      </c>
    </row>
    <row r="155" spans="1:21" x14ac:dyDescent="0.3">
      <c r="A155" t="s">
        <v>14</v>
      </c>
      <c r="B155" t="s">
        <v>32</v>
      </c>
      <c r="C155" t="s">
        <v>71</v>
      </c>
      <c r="D155" t="s">
        <v>82</v>
      </c>
      <c r="E155" s="24">
        <f t="shared" si="28"/>
        <v>0</v>
      </c>
      <c r="F155" s="22">
        <f>-SUMIFS(CARGA!I:I,CARGA!B:B,tabla!A155,CARGA!D:D,tabla!C155,CARGA!C:C,MAESTRO!$B$4)-SUMIFS(CARGA!I:I,CARGA!B:B,tabla!A155,CARGA!D:D,tabla!C155,CARGA!C:C,MAESTRO!$B$5)</f>
        <v>0</v>
      </c>
      <c r="G155" s="5">
        <f>+SUMIFS(CARGA!I:I,CARGA!B:B,tabla!A155,CARGA!D:D,tabla!C155)</f>
        <v>0</v>
      </c>
      <c r="H155" s="5">
        <f>+SUMIFS(CARGA!K:K,CARGA!B:B,tabla!A155,CARGA!D:D,tabla!C155)</f>
        <v>0</v>
      </c>
      <c r="I155" s="5">
        <f t="shared" si="32"/>
        <v>0</v>
      </c>
      <c r="J155" s="5">
        <f>-SUMIFS(CARGA!K:K,CARGA!B:B,tabla!A155,CARGA!D:D,tabla!C155,CARGA!C:C,MAESTRO!$B$4)+SUMIFS(CARGA!K:K,CARGA!B:B,tabla!A155,CARGA!D:D,tabla!C155,CARGA!C:C,MAESTRO!$B$5)</f>
        <v>0</v>
      </c>
      <c r="K155" s="5" t="e">
        <f>+VLOOKUP(C155,#REF!,3,FALSE)</f>
        <v>#REF!</v>
      </c>
      <c r="L155" s="5" t="e">
        <f t="shared" si="33"/>
        <v>#REF!</v>
      </c>
      <c r="M155" s="5" t="e">
        <f t="shared" si="34"/>
        <v>#REF!</v>
      </c>
      <c r="N155" s="5" t="str">
        <f t="shared" si="29"/>
        <v>NO</v>
      </c>
      <c r="O155" s="5">
        <f>+VLOOKUP(C155,[2]Fondos!$F:$J,5,FALSE)</f>
        <v>240000000</v>
      </c>
      <c r="P155" s="13">
        <f>+VLOOKUP(C155,[2]Fondos!$F:$K,6,FALSE)</f>
        <v>0.27596609999999999</v>
      </c>
      <c r="Q155" s="13">
        <f t="shared" si="30"/>
        <v>0</v>
      </c>
      <c r="R155" s="10">
        <f>+IF(Q155&gt;MAESTRO!$G$6,0,1)</f>
        <v>1</v>
      </c>
      <c r="S155">
        <f>+IF(P155&lt;MAESTRO!$G$8,0,1)</f>
        <v>1</v>
      </c>
      <c r="T155" s="10">
        <f t="shared" si="31"/>
        <v>2</v>
      </c>
      <c r="U155" t="str">
        <f>+IF(R155+S155=2,MAESTRO!$G$2,IF(R155+S155=0,MAESTRO!$G$5,IF(R155=0,MAESTRO!$G$3,IF(S155=0,MAESTRO!$G$4,))))</f>
        <v>cumple politica</v>
      </c>
    </row>
    <row r="156" spans="1:21" x14ac:dyDescent="0.3">
      <c r="A156" t="s">
        <v>14</v>
      </c>
      <c r="B156" t="s">
        <v>131</v>
      </c>
      <c r="C156" t="s">
        <v>51</v>
      </c>
      <c r="D156" t="s">
        <v>81</v>
      </c>
      <c r="E156" s="24">
        <f t="shared" si="28"/>
        <v>0</v>
      </c>
      <c r="F156" s="22">
        <f>-SUMIFS(CARGA!I:I,CARGA!B:B,tabla!A156,CARGA!D:D,tabla!C156,CARGA!C:C,MAESTRO!$B$4)-SUMIFS(CARGA!I:I,CARGA!B:B,tabla!A156,CARGA!D:D,tabla!C156,CARGA!C:C,MAESTRO!$B$5)</f>
        <v>0</v>
      </c>
      <c r="G156" s="5">
        <f>+SUMIFS(CARGA!I:I,CARGA!B:B,tabla!A156,CARGA!D:D,tabla!C156)</f>
        <v>0</v>
      </c>
      <c r="H156" s="5">
        <f>+SUMIFS(CARGA!K:K,CARGA!B:B,tabla!A156,CARGA!D:D,tabla!C156)</f>
        <v>0</v>
      </c>
      <c r="I156" s="5">
        <f t="shared" si="32"/>
        <v>0</v>
      </c>
      <c r="J156" s="5">
        <f>-SUMIFS(CARGA!K:K,CARGA!B:B,tabla!A156,CARGA!D:D,tabla!C156,CARGA!C:C,MAESTRO!$B$4)+SUMIFS(CARGA!K:K,CARGA!B:B,tabla!A156,CARGA!D:D,tabla!C156,CARGA!C:C,MAESTRO!$B$5)</f>
        <v>0</v>
      </c>
      <c r="K156" s="5" t="e">
        <f>+VLOOKUP(C156,#REF!,3,FALSE)</f>
        <v>#REF!</v>
      </c>
      <c r="L156" s="5" t="e">
        <f t="shared" si="33"/>
        <v>#REF!</v>
      </c>
      <c r="M156" s="5" t="e">
        <f t="shared" si="34"/>
        <v>#REF!</v>
      </c>
      <c r="N156" s="5" t="str">
        <f t="shared" si="29"/>
        <v>NO</v>
      </c>
      <c r="O156" s="5">
        <f>+VLOOKUP(C156,[2]Fondos!$F:$J,5,FALSE)</f>
        <v>360000000</v>
      </c>
      <c r="P156" s="13">
        <f>+VLOOKUP(C156,[2]Fondos!$F:$K,6,FALSE)</f>
        <v>0.19705159999999999</v>
      </c>
      <c r="Q156" s="13">
        <f t="shared" si="30"/>
        <v>0</v>
      </c>
      <c r="R156" s="10">
        <f>+IF(Q156&gt;MAESTRO!$G$6,0,1)</f>
        <v>1</v>
      </c>
      <c r="S156">
        <f>+IF(P156&lt;MAESTRO!$G$8,0,1)</f>
        <v>1</v>
      </c>
      <c r="T156" s="10">
        <f t="shared" si="31"/>
        <v>2</v>
      </c>
      <c r="U156" t="str">
        <f>+IF(R156+S156=2,MAESTRO!$G$2,IF(R156+S156=0,MAESTRO!$G$5,IF(R156=0,MAESTRO!$G$3,IF(S156=0,MAESTRO!$G$4,))))</f>
        <v>cumple politica</v>
      </c>
    </row>
    <row r="157" spans="1:21" x14ac:dyDescent="0.3">
      <c r="A157" t="s">
        <v>14</v>
      </c>
      <c r="B157" t="s">
        <v>131</v>
      </c>
      <c r="C157" t="s">
        <v>130</v>
      </c>
      <c r="D157" t="s">
        <v>81</v>
      </c>
      <c r="E157" s="24">
        <f t="shared" si="28"/>
        <v>0</v>
      </c>
      <c r="F157" s="22">
        <f>-SUMIFS(CARGA!I:I,CARGA!B:B,tabla!A157,CARGA!D:D,tabla!C157,CARGA!C:C,MAESTRO!$B$4)-SUMIFS(CARGA!I:I,CARGA!B:B,tabla!A157,CARGA!D:D,tabla!C157,CARGA!C:C,MAESTRO!$B$5)</f>
        <v>0</v>
      </c>
      <c r="G157" s="5">
        <f>+SUMIFS(CARGA!I:I,CARGA!B:B,tabla!A157,CARGA!D:D,tabla!C157)</f>
        <v>0</v>
      </c>
      <c r="H157" s="5">
        <f>+SUMIFS(CARGA!K:K,CARGA!B:B,tabla!A157,CARGA!D:D,tabla!C157)</f>
        <v>0</v>
      </c>
      <c r="I157" s="5">
        <f t="shared" si="32"/>
        <v>0</v>
      </c>
      <c r="J157" s="5">
        <f>-SUMIFS(CARGA!K:K,CARGA!B:B,tabla!A157,CARGA!D:D,tabla!C157,CARGA!C:C,MAESTRO!$B$4)+SUMIFS(CARGA!K:K,CARGA!B:B,tabla!A157,CARGA!D:D,tabla!C157,CARGA!C:C,MAESTRO!$B$5)</f>
        <v>0</v>
      </c>
      <c r="K157" s="5" t="e">
        <f>+VLOOKUP(C157,#REF!,3,FALSE)</f>
        <v>#REF!</v>
      </c>
      <c r="L157" s="5" t="e">
        <f t="shared" si="33"/>
        <v>#REF!</v>
      </c>
      <c r="M157" s="5" t="e">
        <f t="shared" si="34"/>
        <v>#REF!</v>
      </c>
      <c r="N157" s="5" t="str">
        <f t="shared" si="29"/>
        <v>NO</v>
      </c>
      <c r="O157" s="5" t="e">
        <f>+VLOOKUP(C157,[2]Fondos!$F:$J,5,FALSE)</f>
        <v>#N/A</v>
      </c>
      <c r="P157" s="13" t="e">
        <f>+VLOOKUP(C157,[2]Fondos!$F:$K,6,FALSE)</f>
        <v>#N/A</v>
      </c>
      <c r="Q157" s="13" t="e">
        <f t="shared" si="30"/>
        <v>#N/A</v>
      </c>
      <c r="R157" s="10" t="e">
        <f>+IF(Q157&gt;MAESTRO!$G$6,0,1)</f>
        <v>#N/A</v>
      </c>
      <c r="S157" t="e">
        <f>+IF(P157&lt;MAESTRO!$G$8,0,1)</f>
        <v>#N/A</v>
      </c>
      <c r="T157" s="10" t="e">
        <f t="shared" si="31"/>
        <v>#N/A</v>
      </c>
      <c r="U157" t="e">
        <f>+IF(R157+S157=2,MAESTRO!$G$2,IF(R157+S157=0,MAESTRO!$G$5,IF(R157=0,MAESTRO!$G$3,IF(S157=0,MAESTRO!$G$4,))))</f>
        <v>#N/A</v>
      </c>
    </row>
    <row r="158" spans="1:21" x14ac:dyDescent="0.3">
      <c r="A158" t="s">
        <v>14</v>
      </c>
      <c r="B158" t="s">
        <v>131</v>
      </c>
      <c r="C158" t="s">
        <v>133</v>
      </c>
      <c r="D158" t="s">
        <v>82</v>
      </c>
      <c r="E158" s="24">
        <f t="shared" ref="E158:E165" si="35">+F158+G158</f>
        <v>0</v>
      </c>
      <c r="F158" s="22">
        <f>-SUMIFS(CARGA!I:I,CARGA!B:B,tabla!A158,CARGA!D:D,tabla!C158,CARGA!C:C,MAESTRO!$B$4)-SUMIFS(CARGA!I:I,CARGA!B:B,tabla!A158,CARGA!D:D,tabla!C158,CARGA!C:C,MAESTRO!$B$5)</f>
        <v>0</v>
      </c>
      <c r="G158" s="5">
        <f>+SUMIFS(CARGA!I:I,CARGA!B:B,tabla!A158,CARGA!D:D,tabla!C158)</f>
        <v>0</v>
      </c>
      <c r="H158" s="5">
        <f>+SUMIFS(CARGA!K:K,CARGA!B:B,tabla!A158,CARGA!D:D,tabla!C158)</f>
        <v>0</v>
      </c>
      <c r="I158" s="5">
        <f t="shared" si="32"/>
        <v>0</v>
      </c>
      <c r="J158" s="5">
        <f>-SUMIFS(CARGA!K:K,CARGA!B:B,tabla!A158,CARGA!D:D,tabla!C158,CARGA!C:C,MAESTRO!$B$4)+SUMIFS(CARGA!K:K,CARGA!B:B,tabla!A158,CARGA!D:D,tabla!C158,CARGA!C:C,MAESTRO!$B$5)</f>
        <v>0</v>
      </c>
      <c r="K158" s="5" t="e">
        <f>+VLOOKUP(C158,#REF!,3,FALSE)</f>
        <v>#REF!</v>
      </c>
      <c r="L158" s="5" t="e">
        <f t="shared" si="33"/>
        <v>#REF!</v>
      </c>
      <c r="M158" s="5" t="e">
        <f t="shared" si="34"/>
        <v>#REF!</v>
      </c>
      <c r="N158" s="5" t="str">
        <f t="shared" ref="N158:N165" si="36">+IF(G158+F158=0,"NO","SI")</f>
        <v>NO</v>
      </c>
      <c r="O158" s="5" t="e">
        <f>+VLOOKUP(C158,[2]Fondos!$F:$J,5,FALSE)</f>
        <v>#N/A</v>
      </c>
      <c r="P158" s="13" t="e">
        <f>+VLOOKUP(C158,[2]Fondos!$F:$K,6,FALSE)</f>
        <v>#N/A</v>
      </c>
      <c r="Q158" s="13" t="e">
        <f t="shared" ref="Q158:Q165" si="37">+G158/O158</f>
        <v>#N/A</v>
      </c>
      <c r="R158" s="10" t="e">
        <f>+IF(Q158&gt;MAESTRO!$G$6,0,1)</f>
        <v>#N/A</v>
      </c>
      <c r="S158" t="e">
        <f>+IF(P158&lt;MAESTRO!$G$8,0,1)</f>
        <v>#N/A</v>
      </c>
      <c r="T158" s="10" t="e">
        <f t="shared" ref="T158:T165" si="38">+R158+S158</f>
        <v>#N/A</v>
      </c>
      <c r="U158" t="e">
        <f>+IF(R158+S158=2,MAESTRO!$G$2,IF(R158+S158=0,MAESTRO!$G$5,IF(R158=0,MAESTRO!$G$3,IF(S158=0,MAESTRO!$G$4,))))</f>
        <v>#N/A</v>
      </c>
    </row>
    <row r="159" spans="1:21" x14ac:dyDescent="0.3">
      <c r="A159" t="s">
        <v>14</v>
      </c>
      <c r="B159" t="s">
        <v>23</v>
      </c>
      <c r="C159" t="s">
        <v>43</v>
      </c>
      <c r="D159" t="s">
        <v>81</v>
      </c>
      <c r="E159" s="24">
        <f t="shared" si="35"/>
        <v>0</v>
      </c>
      <c r="F159" s="22">
        <f>-SUMIFS(CARGA!I:I,CARGA!B:B,tabla!A159,CARGA!D:D,tabla!C159,CARGA!C:C,MAESTRO!$B$4)-SUMIFS(CARGA!I:I,CARGA!B:B,tabla!A159,CARGA!D:D,tabla!C159,CARGA!C:C,MAESTRO!$B$5)</f>
        <v>0</v>
      </c>
      <c r="G159" s="5">
        <f>+SUMIFS(CARGA!I:I,CARGA!B:B,tabla!A159,CARGA!D:D,tabla!C159)</f>
        <v>0</v>
      </c>
      <c r="H159" s="5">
        <f>+SUMIFS(CARGA!K:K,CARGA!B:B,tabla!A159,CARGA!D:D,tabla!C159)</f>
        <v>0</v>
      </c>
      <c r="I159" s="5">
        <f t="shared" si="32"/>
        <v>0</v>
      </c>
      <c r="J159" s="5">
        <f>-SUMIFS(CARGA!K:K,CARGA!B:B,tabla!A159,CARGA!D:D,tabla!C159,CARGA!C:C,MAESTRO!$B$4)+SUMIFS(CARGA!K:K,CARGA!B:B,tabla!A159,CARGA!D:D,tabla!C159,CARGA!C:C,MAESTRO!$B$5)</f>
        <v>0</v>
      </c>
      <c r="K159" s="5" t="e">
        <f>+VLOOKUP(C159,#REF!,3,FALSE)</f>
        <v>#REF!</v>
      </c>
      <c r="L159" s="5" t="e">
        <f t="shared" si="33"/>
        <v>#REF!</v>
      </c>
      <c r="M159" s="5" t="e">
        <f t="shared" si="34"/>
        <v>#REF!</v>
      </c>
      <c r="N159" s="5" t="str">
        <f t="shared" si="36"/>
        <v>NO</v>
      </c>
      <c r="O159" s="5">
        <f>+VLOOKUP(C159,[2]Fondos!$F:$J,5,FALSE)</f>
        <v>3553303148</v>
      </c>
      <c r="P159" s="13">
        <f>+VLOOKUP(C159,[2]Fondos!$F:$K,6,FALSE)</f>
        <v>0.2092009</v>
      </c>
      <c r="Q159" s="13">
        <f t="shared" si="37"/>
        <v>0</v>
      </c>
      <c r="R159" s="10">
        <f>+IF(Q159&gt;MAESTRO!$G$6,0,1)</f>
        <v>1</v>
      </c>
      <c r="S159">
        <f>+IF(P159&lt;MAESTRO!$G$8,0,1)</f>
        <v>1</v>
      </c>
      <c r="T159" s="10">
        <f t="shared" si="38"/>
        <v>2</v>
      </c>
      <c r="U159" t="str">
        <f>+IF(R159+S159=2,MAESTRO!$G$2,IF(R159+S159=0,MAESTRO!$G$5,IF(R159=0,MAESTRO!$G$3,IF(S159=0,MAESTRO!$G$4,))))</f>
        <v>cumple politica</v>
      </c>
    </row>
    <row r="160" spans="1:21" x14ac:dyDescent="0.3">
      <c r="A160" t="s">
        <v>14</v>
      </c>
      <c r="B160" t="s">
        <v>23</v>
      </c>
      <c r="C160" t="s">
        <v>38</v>
      </c>
      <c r="D160" t="s">
        <v>81</v>
      </c>
      <c r="E160" s="24">
        <f t="shared" si="35"/>
        <v>0</v>
      </c>
      <c r="F160" s="22">
        <f>-SUMIFS(CARGA!I:I,CARGA!B:B,tabla!A160,CARGA!D:D,tabla!C160,CARGA!C:C,MAESTRO!$B$4)-SUMIFS(CARGA!I:I,CARGA!B:B,tabla!A160,CARGA!D:D,tabla!C160,CARGA!C:C,MAESTRO!$B$5)</f>
        <v>0</v>
      </c>
      <c r="G160" s="5">
        <f>+SUMIFS(CARGA!I:I,CARGA!B:B,tabla!A160,CARGA!D:D,tabla!C160)</f>
        <v>0</v>
      </c>
      <c r="H160" s="5">
        <f>+SUMIFS(CARGA!K:K,CARGA!B:B,tabla!A160,CARGA!D:D,tabla!C160)</f>
        <v>0</v>
      </c>
      <c r="I160" s="5">
        <f t="shared" si="32"/>
        <v>0</v>
      </c>
      <c r="J160" s="5">
        <f>-SUMIFS(CARGA!K:K,CARGA!B:B,tabla!A160,CARGA!D:D,tabla!C160,CARGA!C:C,MAESTRO!$B$4)+SUMIFS(CARGA!K:K,CARGA!B:B,tabla!A160,CARGA!D:D,tabla!C160,CARGA!C:C,MAESTRO!$B$5)</f>
        <v>0</v>
      </c>
      <c r="K160" s="5" t="e">
        <f>+VLOOKUP(C160,#REF!,3,FALSE)</f>
        <v>#REF!</v>
      </c>
      <c r="L160" s="5" t="e">
        <f t="shared" si="33"/>
        <v>#REF!</v>
      </c>
      <c r="M160" s="5" t="e">
        <f t="shared" si="34"/>
        <v>#REF!</v>
      </c>
      <c r="N160" s="5" t="str">
        <f t="shared" si="36"/>
        <v>NO</v>
      </c>
      <c r="O160" s="5">
        <f>+VLOOKUP(C160,[2]Fondos!$F:$J,5,FALSE)</f>
        <v>4553606100</v>
      </c>
      <c r="P160" s="13">
        <f>+VLOOKUP(C160,[2]Fondos!$F:$K,6,FALSE)</f>
        <v>0.23939009999999999</v>
      </c>
      <c r="Q160" s="13">
        <f t="shared" si="37"/>
        <v>0</v>
      </c>
      <c r="R160" s="10">
        <f>+IF(Q160&gt;MAESTRO!$G$6,0,1)</f>
        <v>1</v>
      </c>
      <c r="S160">
        <f>+IF(P160&lt;MAESTRO!$G$8,0,1)</f>
        <v>1</v>
      </c>
      <c r="T160" s="10">
        <f t="shared" si="38"/>
        <v>2</v>
      </c>
      <c r="U160" t="str">
        <f>+IF(R160+S160=2,MAESTRO!$G$2,IF(R160+S160=0,MAESTRO!$G$5,IF(R160=0,MAESTRO!$G$3,IF(S160=0,MAESTRO!$G$4,))))</f>
        <v>cumple politica</v>
      </c>
    </row>
    <row r="161" spans="1:21" x14ac:dyDescent="0.3">
      <c r="A161" t="s">
        <v>14</v>
      </c>
      <c r="B161" t="s">
        <v>23</v>
      </c>
      <c r="C161" t="s">
        <v>57</v>
      </c>
      <c r="D161" t="s">
        <v>82</v>
      </c>
      <c r="E161" s="24">
        <f t="shared" si="35"/>
        <v>0</v>
      </c>
      <c r="F161" s="22">
        <f>-SUMIFS(CARGA!I:I,CARGA!B:B,tabla!A161,CARGA!D:D,tabla!C161,CARGA!C:C,MAESTRO!$B$4)-SUMIFS(CARGA!I:I,CARGA!B:B,tabla!A161,CARGA!D:D,tabla!C161,CARGA!C:C,MAESTRO!$B$5)</f>
        <v>0</v>
      </c>
      <c r="G161" s="5">
        <f>+SUMIFS(CARGA!I:I,CARGA!B:B,tabla!A161,CARGA!D:D,tabla!C161)</f>
        <v>0</v>
      </c>
      <c r="H161" s="5">
        <f>+SUMIFS(CARGA!K:K,CARGA!B:B,tabla!A161,CARGA!D:D,tabla!C161)</f>
        <v>0</v>
      </c>
      <c r="I161" s="5">
        <f t="shared" si="32"/>
        <v>0</v>
      </c>
      <c r="J161" s="5">
        <f>-SUMIFS(CARGA!K:K,CARGA!B:B,tabla!A161,CARGA!D:D,tabla!C161,CARGA!C:C,MAESTRO!$B$4)+SUMIFS(CARGA!K:K,CARGA!B:B,tabla!A161,CARGA!D:D,tabla!C161,CARGA!C:C,MAESTRO!$B$5)</f>
        <v>0</v>
      </c>
      <c r="K161" s="5" t="e">
        <f>+VLOOKUP(C161,#REF!,3,FALSE)</f>
        <v>#REF!</v>
      </c>
      <c r="L161" s="5" t="e">
        <f t="shared" si="33"/>
        <v>#REF!</v>
      </c>
      <c r="M161" s="5" t="e">
        <f t="shared" si="34"/>
        <v>#REF!</v>
      </c>
      <c r="N161" s="5" t="str">
        <f t="shared" si="36"/>
        <v>NO</v>
      </c>
      <c r="O161" s="5">
        <f>+VLOOKUP(C161,[2]Fondos!$F:$J,5,FALSE)</f>
        <v>35515968834</v>
      </c>
      <c r="P161" s="13">
        <f>+VLOOKUP(C161,[2]Fondos!$F:$K,6,FALSE)</f>
        <v>0.26896760000000003</v>
      </c>
      <c r="Q161" s="13">
        <f t="shared" si="37"/>
        <v>0</v>
      </c>
      <c r="R161" s="10">
        <f>+IF(Q161&gt;MAESTRO!$G$6,0,1)</f>
        <v>1</v>
      </c>
      <c r="S161">
        <f>+IF(P161&lt;MAESTRO!$G$8,0,1)</f>
        <v>1</v>
      </c>
      <c r="T161" s="10">
        <f t="shared" si="38"/>
        <v>2</v>
      </c>
      <c r="U161" t="str">
        <f>+IF(R161+S161=2,MAESTRO!$G$2,IF(R161+S161=0,MAESTRO!$G$5,IF(R161=0,MAESTRO!$G$3,IF(S161=0,MAESTRO!$G$4,))))</f>
        <v>cumple politica</v>
      </c>
    </row>
    <row r="162" spans="1:21" x14ac:dyDescent="0.3">
      <c r="A162" t="s">
        <v>14</v>
      </c>
      <c r="B162" t="s">
        <v>140</v>
      </c>
      <c r="C162" t="s">
        <v>138</v>
      </c>
      <c r="D162" t="s">
        <v>82</v>
      </c>
      <c r="E162" s="24">
        <f t="shared" si="35"/>
        <v>0</v>
      </c>
      <c r="F162" s="22">
        <f>-SUMIFS(CARGA!I:I,CARGA!B:B,tabla!A162,CARGA!D:D,tabla!C162,CARGA!C:C,MAESTRO!$B$4)-SUMIFS(CARGA!I:I,CARGA!B:B,tabla!A162,CARGA!D:D,tabla!C162,CARGA!C:C,MAESTRO!$B$5)</f>
        <v>0</v>
      </c>
      <c r="G162" s="5">
        <f>+SUMIFS(CARGA!I:I,CARGA!B:B,tabla!A162,CARGA!D:D,tabla!C162)</f>
        <v>0</v>
      </c>
      <c r="H162" s="5">
        <f>+SUMIFS(CARGA!K:K,CARGA!B:B,tabla!A162,CARGA!D:D,tabla!C162)</f>
        <v>0</v>
      </c>
      <c r="I162" s="5">
        <f t="shared" si="32"/>
        <v>0</v>
      </c>
      <c r="J162" s="5">
        <f>-SUMIFS(CARGA!K:K,CARGA!B:B,tabla!A162,CARGA!D:D,tabla!C162,CARGA!C:C,MAESTRO!$B$4)+SUMIFS(CARGA!K:K,CARGA!B:B,tabla!A162,CARGA!D:D,tabla!C162,CARGA!C:C,MAESTRO!$B$5)</f>
        <v>0</v>
      </c>
      <c r="K162" s="5" t="e">
        <f>+VLOOKUP(C162,#REF!,3,FALSE)</f>
        <v>#REF!</v>
      </c>
      <c r="L162" s="5" t="e">
        <f t="shared" si="33"/>
        <v>#REF!</v>
      </c>
      <c r="M162" s="5" t="e">
        <f t="shared" si="34"/>
        <v>#REF!</v>
      </c>
      <c r="N162" s="5" t="str">
        <f t="shared" si="36"/>
        <v>NO</v>
      </c>
      <c r="O162" s="5" t="e">
        <f>+VLOOKUP(C162,[2]Fondos!$F:$J,5,FALSE)</f>
        <v>#N/A</v>
      </c>
      <c r="P162" s="13" t="e">
        <f>+VLOOKUP(C162,[2]Fondos!$F:$K,6,FALSE)</f>
        <v>#N/A</v>
      </c>
      <c r="Q162" s="13" t="e">
        <f t="shared" si="37"/>
        <v>#N/A</v>
      </c>
      <c r="R162" s="10" t="e">
        <f>+IF(Q162&gt;MAESTRO!$G$6,0,1)</f>
        <v>#N/A</v>
      </c>
      <c r="S162" t="e">
        <f>+IF(P162&lt;MAESTRO!$G$8,0,1)</f>
        <v>#N/A</v>
      </c>
      <c r="T162" s="10" t="e">
        <f t="shared" si="38"/>
        <v>#N/A</v>
      </c>
      <c r="U162" t="e">
        <f>+IF(R162+S162=2,MAESTRO!$G$2,IF(R162+S162=0,MAESTRO!$G$5,IF(R162=0,MAESTRO!$G$3,IF(S162=0,MAESTRO!$G$4,))))</f>
        <v>#N/A</v>
      </c>
    </row>
    <row r="163" spans="1:21" x14ac:dyDescent="0.3">
      <c r="A163" t="s">
        <v>14</v>
      </c>
      <c r="B163" t="s">
        <v>140</v>
      </c>
      <c r="C163" t="s">
        <v>139</v>
      </c>
      <c r="D163" t="s">
        <v>81</v>
      </c>
      <c r="E163" s="24">
        <f t="shared" si="35"/>
        <v>0</v>
      </c>
      <c r="F163" s="22">
        <f>-SUMIFS(CARGA!I:I,CARGA!B:B,tabla!A163,CARGA!D:D,tabla!C163,CARGA!C:C,MAESTRO!$B$4)-SUMIFS(CARGA!I:I,CARGA!B:B,tabla!A163,CARGA!D:D,tabla!C163,CARGA!C:C,MAESTRO!$B$5)</f>
        <v>0</v>
      </c>
      <c r="G163" s="5">
        <f>+SUMIFS(CARGA!I:I,CARGA!B:B,tabla!A163,CARGA!D:D,tabla!C163)</f>
        <v>0</v>
      </c>
      <c r="H163" s="5">
        <f>+SUMIFS(CARGA!K:K,CARGA!B:B,tabla!A163,CARGA!D:D,tabla!C163)</f>
        <v>0</v>
      </c>
      <c r="I163" s="5">
        <f>+H163+J163</f>
        <v>0</v>
      </c>
      <c r="J163" s="5">
        <f>-SUMIFS(CARGA!K:K,CARGA!B:B,tabla!A163,CARGA!D:D,tabla!C163,CARGA!C:C,MAESTRO!$B$4)+SUMIFS(CARGA!K:K,CARGA!B:B,tabla!A163,CARGA!D:D,tabla!C163,CARGA!C:C,MAESTRO!$B$5)</f>
        <v>0</v>
      </c>
      <c r="K163" s="5" t="e">
        <f>+VLOOKUP(C163,#REF!,3,FALSE)</f>
        <v>#REF!</v>
      </c>
      <c r="L163" s="5" t="e">
        <f>+K163*I163</f>
        <v>#REF!</v>
      </c>
      <c r="M163" s="5" t="e">
        <f>+K163*J163</f>
        <v>#REF!</v>
      </c>
      <c r="N163" s="5" t="str">
        <f t="shared" si="36"/>
        <v>NO</v>
      </c>
      <c r="O163" s="5" t="e">
        <f>+VLOOKUP(C163,[2]Fondos!$F:$J,5,FALSE)</f>
        <v>#N/A</v>
      </c>
      <c r="P163" s="13" t="e">
        <f>+VLOOKUP(C163,[2]Fondos!$F:$K,6,FALSE)</f>
        <v>#N/A</v>
      </c>
      <c r="Q163" s="13" t="e">
        <f t="shared" si="37"/>
        <v>#N/A</v>
      </c>
      <c r="R163" s="10" t="e">
        <f>+IF(Q163&gt;MAESTRO!$G$6,0,1)</f>
        <v>#N/A</v>
      </c>
      <c r="S163" t="e">
        <f>+IF(P163&lt;MAESTRO!$G$8,0,1)</f>
        <v>#N/A</v>
      </c>
      <c r="T163" s="10" t="e">
        <f t="shared" si="38"/>
        <v>#N/A</v>
      </c>
      <c r="U163" t="e">
        <f>+IF(R163+S163=2,MAESTRO!$G$2,IF(R163+S163=0,MAESTRO!$G$5,IF(R163=0,MAESTRO!$G$3,IF(S163=0,MAESTRO!$G$4,))))</f>
        <v>#N/A</v>
      </c>
    </row>
    <row r="164" spans="1:21" x14ac:dyDescent="0.3">
      <c r="A164" t="s">
        <v>14</v>
      </c>
      <c r="B164" t="s">
        <v>134</v>
      </c>
      <c r="C164" t="s">
        <v>136</v>
      </c>
      <c r="D164" t="s">
        <v>81</v>
      </c>
      <c r="E164" s="24">
        <f t="shared" si="35"/>
        <v>0</v>
      </c>
      <c r="F164" s="22">
        <f>-SUMIFS(CARGA!I:I,CARGA!B:B,tabla!A164,CARGA!D:D,tabla!C164,CARGA!C:C,MAESTRO!$B$4)-SUMIFS(CARGA!I:I,CARGA!B:B,tabla!A164,CARGA!D:D,tabla!C164,CARGA!C:C,MAESTRO!$B$5)</f>
        <v>0</v>
      </c>
      <c r="G164" s="5">
        <f>+SUMIFS(CARGA!I:I,CARGA!B:B,tabla!A164,CARGA!D:D,tabla!C164)</f>
        <v>0</v>
      </c>
      <c r="H164" s="5">
        <f>+SUMIFS(CARGA!K:K,CARGA!B:B,tabla!A164,CARGA!D:D,tabla!C164)</f>
        <v>0</v>
      </c>
      <c r="I164" s="5">
        <f>+H164+J164</f>
        <v>0</v>
      </c>
      <c r="J164" s="5">
        <f>-SUMIFS(CARGA!K:K,CARGA!B:B,tabla!A164,CARGA!D:D,tabla!C164,CARGA!C:C,MAESTRO!$B$4)+SUMIFS(CARGA!K:K,CARGA!B:B,tabla!A164,CARGA!D:D,tabla!C164,CARGA!C:C,MAESTRO!$B$5)</f>
        <v>0</v>
      </c>
      <c r="K164" s="5" t="e">
        <f>+VLOOKUP(C164,#REF!,3,FALSE)</f>
        <v>#REF!</v>
      </c>
      <c r="L164" s="5" t="e">
        <f>+K164*I164</f>
        <v>#REF!</v>
      </c>
      <c r="M164" s="5" t="e">
        <f>+K164*J164</f>
        <v>#REF!</v>
      </c>
      <c r="N164" s="5" t="str">
        <f t="shared" si="36"/>
        <v>NO</v>
      </c>
      <c r="O164" s="5" t="e">
        <f>+VLOOKUP(C164,[2]Fondos!$F:$J,5,FALSE)</f>
        <v>#N/A</v>
      </c>
      <c r="P164" s="13" t="e">
        <f>+VLOOKUP(C164,[2]Fondos!$F:$K,6,FALSE)</f>
        <v>#N/A</v>
      </c>
      <c r="Q164" s="13" t="e">
        <f t="shared" si="37"/>
        <v>#N/A</v>
      </c>
      <c r="R164" s="10" t="e">
        <f>+IF(Q164&gt;MAESTRO!$G$6,0,1)</f>
        <v>#N/A</v>
      </c>
      <c r="S164" t="e">
        <f>+IF(P164&lt;MAESTRO!$G$8,0,1)</f>
        <v>#N/A</v>
      </c>
      <c r="T164" s="10" t="e">
        <f t="shared" si="38"/>
        <v>#N/A</v>
      </c>
      <c r="U164" t="e">
        <f>+IF(R164+S164=2,MAESTRO!$G$2,IF(R164+S164=0,MAESTRO!$G$5,IF(R164=0,MAESTRO!$G$3,IF(S164=0,MAESTRO!$G$4,))))</f>
        <v>#N/A</v>
      </c>
    </row>
    <row r="165" spans="1:21" x14ac:dyDescent="0.3">
      <c r="A165" t="s">
        <v>14</v>
      </c>
      <c r="B165" t="s">
        <v>134</v>
      </c>
      <c r="C165" t="s">
        <v>135</v>
      </c>
      <c r="D165" t="s">
        <v>82</v>
      </c>
      <c r="E165" s="24">
        <f t="shared" si="35"/>
        <v>0</v>
      </c>
      <c r="F165" s="22">
        <f>-SUMIFS(CARGA!I:I,CARGA!B:B,tabla!A165,CARGA!D:D,tabla!C165,CARGA!C:C,MAESTRO!$B$4)-SUMIFS(CARGA!I:I,CARGA!B:B,tabla!A165,CARGA!D:D,tabla!C165,CARGA!C:C,MAESTRO!$B$5)</f>
        <v>0</v>
      </c>
      <c r="G165" s="5">
        <f>+SUMIFS(CARGA!I:I,CARGA!B:B,tabla!A165,CARGA!D:D,tabla!C165)</f>
        <v>0</v>
      </c>
      <c r="H165" s="5">
        <f>+SUMIFS(CARGA!K:K,CARGA!B:B,tabla!A165,CARGA!D:D,tabla!C165)</f>
        <v>0</v>
      </c>
      <c r="I165" s="5">
        <f>+H165+J165</f>
        <v>0</v>
      </c>
      <c r="J165" s="5">
        <f>-SUMIFS(CARGA!K:K,CARGA!B:B,tabla!A165,CARGA!D:D,tabla!C165,CARGA!C:C,MAESTRO!$B$4)+SUMIFS(CARGA!K:K,CARGA!B:B,tabla!A165,CARGA!D:D,tabla!C165,CARGA!C:C,MAESTRO!$B$5)</f>
        <v>0</v>
      </c>
      <c r="K165" s="5" t="e">
        <f>+VLOOKUP(C165,#REF!,3,FALSE)</f>
        <v>#REF!</v>
      </c>
      <c r="L165" s="5" t="e">
        <f>+K165*I165</f>
        <v>#REF!</v>
      </c>
      <c r="M165" s="5" t="e">
        <f>+K165*J165</f>
        <v>#REF!</v>
      </c>
      <c r="N165" s="5" t="str">
        <f t="shared" si="36"/>
        <v>NO</v>
      </c>
      <c r="O165" s="5" t="e">
        <f>+VLOOKUP(C165,[2]Fondos!$F:$J,5,FALSE)</f>
        <v>#N/A</v>
      </c>
      <c r="P165" s="13" t="e">
        <f>+VLOOKUP(C165,[2]Fondos!$F:$K,6,FALSE)</f>
        <v>#N/A</v>
      </c>
      <c r="Q165" s="13" t="e">
        <f t="shared" si="37"/>
        <v>#N/A</v>
      </c>
      <c r="R165" s="10" t="e">
        <f>+IF(Q165&gt;MAESTRO!$G$6,0,1)</f>
        <v>#N/A</v>
      </c>
      <c r="S165" t="e">
        <f>+IF(P165&lt;MAESTRO!$G$8,0,1)</f>
        <v>#N/A</v>
      </c>
      <c r="T165" s="10" t="e">
        <f t="shared" si="38"/>
        <v>#N/A</v>
      </c>
      <c r="U165" t="e">
        <f>+IF(R165+S165=2,MAESTRO!$G$2,IF(R165+S165=0,MAESTRO!$G$5,IF(R165=0,MAESTRO!$G$3,IF(S165=0,MAESTRO!$G$4,))))</f>
        <v>#N/A</v>
      </c>
    </row>
    <row r="166" spans="1:21" s="11" customFormat="1" x14ac:dyDescent="0.3">
      <c r="F166" s="12"/>
      <c r="G166" s="12"/>
      <c r="H166" s="12"/>
      <c r="I166" s="12"/>
      <c r="J166" s="12"/>
      <c r="K166" s="5"/>
      <c r="L166" s="12"/>
      <c r="M166" s="12"/>
      <c r="N166" s="12"/>
      <c r="P166" s="15"/>
      <c r="Q166" s="15"/>
    </row>
    <row r="167" spans="1:21" s="11" customFormat="1" x14ac:dyDescent="0.3">
      <c r="A167" s="11" t="s">
        <v>119</v>
      </c>
      <c r="B167" t="s">
        <v>31</v>
      </c>
      <c r="C167" s="7" t="s">
        <v>50</v>
      </c>
      <c r="D167" t="s">
        <v>81</v>
      </c>
      <c r="E167" s="24">
        <f t="shared" ref="E167:E211" si="39">+F167+G167</f>
        <v>0</v>
      </c>
      <c r="F167" s="22">
        <f>-SUMIFS(CARGA!I:I,CARGA!B:B,tabla!A167,CARGA!D:D,tabla!C167,CARGA!C:C,MAESTRO!$B$4)-SUMIFS(CARGA!I:I,CARGA!B:B,tabla!A167,CARGA!D:D,tabla!C167,CARGA!C:C,MAESTRO!$B$5)</f>
        <v>0</v>
      </c>
      <c r="G167" s="5">
        <f>+SUMIFS(CARGA!I:I,CARGA!B:B,tabla!A167,CARGA!D:D,tabla!C167)</f>
        <v>0</v>
      </c>
      <c r="H167" s="5">
        <f>+SUMIFS(CARGA!K:K,CARGA!B:B,tabla!A167,CARGA!D:D,tabla!C167)</f>
        <v>0</v>
      </c>
      <c r="I167" s="5">
        <f t="shared" ref="I167:I211" si="40">+H167+J167</f>
        <v>0</v>
      </c>
      <c r="J167" s="5">
        <f>-SUMIFS(CARGA!K:K,CARGA!B:B,tabla!A167,CARGA!D:D,tabla!C167,CARGA!C:C,MAESTRO!$B$4)+SUMIFS(CARGA!K:K,CARGA!B:B,tabla!A167,CARGA!D:D,tabla!C167,CARGA!C:C,MAESTRO!$B$5)</f>
        <v>0</v>
      </c>
      <c r="K167" s="5" t="e">
        <f>+VLOOKUP(C167,#REF!,3,FALSE)</f>
        <v>#REF!</v>
      </c>
      <c r="L167" s="5" t="e">
        <f t="shared" ref="L167:L211" si="41">+K167*I167</f>
        <v>#REF!</v>
      </c>
      <c r="M167" s="5" t="e">
        <f t="shared" ref="M167:M211" si="42">+K167*J167</f>
        <v>#REF!</v>
      </c>
      <c r="N167" s="5" t="str">
        <f t="shared" ref="N167:N211" si="43">+IF(G167+F167=0,"NO","SI")</f>
        <v>NO</v>
      </c>
      <c r="O167" s="5">
        <f>+VLOOKUP(C167,[2]Fondos!$F:$J,5,FALSE)</f>
        <v>1817778903</v>
      </c>
      <c r="P167" s="13">
        <f>+VLOOKUP(C167,[2]Fondos!$F:$K,6,FALSE)</f>
        <v>0.23246230000000001</v>
      </c>
      <c r="Q167" s="13">
        <f t="shared" ref="Q167:Q211" si="44">+G167/O167</f>
        <v>0</v>
      </c>
      <c r="R167" s="10">
        <f>+IF(Q167&gt;MAESTRO!$G$6,0,1)</f>
        <v>1</v>
      </c>
      <c r="S167">
        <f>+IF(P167&lt;MAESTRO!$G$8,0,1)</f>
        <v>1</v>
      </c>
      <c r="T167" s="10">
        <f>+R167+S167</f>
        <v>2</v>
      </c>
      <c r="U167" t="str">
        <f>+IF(R167+S167=2,MAESTRO!$G$2,IF(R167+S167=0,MAESTRO!$G$5,IF(R167=0,MAESTRO!$G$3,IF(S167=0,MAESTRO!$G$4,))))</f>
        <v>cumple politica</v>
      </c>
    </row>
    <row r="168" spans="1:21" s="11" customFormat="1" x14ac:dyDescent="0.3">
      <c r="A168" s="11" t="s">
        <v>119</v>
      </c>
      <c r="B168" t="s">
        <v>31</v>
      </c>
      <c r="C168" s="7" t="s">
        <v>70</v>
      </c>
      <c r="D168" t="s">
        <v>82</v>
      </c>
      <c r="E168" s="24">
        <f t="shared" si="39"/>
        <v>0</v>
      </c>
      <c r="F168" s="22">
        <f>-SUMIFS(CARGA!I:I,CARGA!B:B,tabla!A168,CARGA!D:D,tabla!C168,CARGA!C:C,MAESTRO!$B$4)-SUMIFS(CARGA!I:I,CARGA!B:B,tabla!A168,CARGA!D:D,tabla!C168,CARGA!C:C,MAESTRO!$B$5)</f>
        <v>0</v>
      </c>
      <c r="G168" s="5">
        <f>+SUMIFS(CARGA!I:I,CARGA!B:B,tabla!A168,CARGA!D:D,tabla!C168)</f>
        <v>0</v>
      </c>
      <c r="H168" s="5">
        <f>+SUMIFS(CARGA!K:K,CARGA!B:B,tabla!A168,CARGA!D:D,tabla!C168)</f>
        <v>0</v>
      </c>
      <c r="I168" s="5">
        <f t="shared" si="40"/>
        <v>0</v>
      </c>
      <c r="J168" s="5">
        <f>-SUMIFS(CARGA!K:K,CARGA!B:B,tabla!A168,CARGA!D:D,tabla!C168,CARGA!C:C,MAESTRO!$B$4)+SUMIFS(CARGA!K:K,CARGA!B:B,tabla!A168,CARGA!D:D,tabla!C168,CARGA!C:C,MAESTRO!$B$5)</f>
        <v>0</v>
      </c>
      <c r="K168" s="5" t="e">
        <f>+VLOOKUP(C168,#REF!,3,FALSE)</f>
        <v>#REF!</v>
      </c>
      <c r="L168" s="5" t="e">
        <f t="shared" si="41"/>
        <v>#REF!</v>
      </c>
      <c r="M168" s="5" t="e">
        <f t="shared" si="42"/>
        <v>#REF!</v>
      </c>
      <c r="N168" s="5" t="str">
        <f t="shared" si="43"/>
        <v>NO</v>
      </c>
      <c r="O168" s="5">
        <f>+VLOOKUP(C168,[2]Fondos!$F:$J,5,FALSE)</f>
        <v>6506463370</v>
      </c>
      <c r="P168" s="13" t="e">
        <f>+VLOOKUP(C168,[2]Fondos!$F:$K,6,FALSE)</f>
        <v>#VALUE!</v>
      </c>
      <c r="Q168" s="13">
        <f t="shared" si="44"/>
        <v>0</v>
      </c>
      <c r="R168" s="10">
        <f>+IF(Q168&gt;MAESTRO!$G$6,0,1)</f>
        <v>1</v>
      </c>
      <c r="S168" t="e">
        <f>+IF(P168&lt;MAESTRO!$G$8,0,1)</f>
        <v>#VALUE!</v>
      </c>
      <c r="T168" s="10" t="e">
        <f t="shared" ref="T168:T211" si="45">+R168+S168</f>
        <v>#VALUE!</v>
      </c>
      <c r="U168" t="e">
        <f>+IF(R168+S168=2,MAESTRO!$G$2,IF(R168+S168=0,MAESTRO!$G$5,IF(R168=0,MAESTRO!$G$3,IF(S168=0,MAESTRO!$G$4,))))</f>
        <v>#VALUE!</v>
      </c>
    </row>
    <row r="169" spans="1:21" s="11" customFormat="1" x14ac:dyDescent="0.3">
      <c r="A169" s="11" t="s">
        <v>119</v>
      </c>
      <c r="B169" t="s">
        <v>31</v>
      </c>
      <c r="C169" s="7" t="s">
        <v>69</v>
      </c>
      <c r="D169" t="s">
        <v>82</v>
      </c>
      <c r="E169" s="24">
        <f t="shared" si="39"/>
        <v>0</v>
      </c>
      <c r="F169" s="22">
        <f>-SUMIFS(CARGA!I:I,CARGA!B:B,tabla!A169,CARGA!D:D,tabla!C169,CARGA!C:C,MAESTRO!$B$4)-SUMIFS(CARGA!I:I,CARGA!B:B,tabla!A169,CARGA!D:D,tabla!C169,CARGA!C:C,MAESTRO!$B$5)</f>
        <v>0</v>
      </c>
      <c r="G169" s="5">
        <f>+SUMIFS(CARGA!I:I,CARGA!B:B,tabla!A169,CARGA!D:D,tabla!C169)</f>
        <v>0</v>
      </c>
      <c r="H169" s="5">
        <f>+SUMIFS(CARGA!K:K,CARGA!B:B,tabla!A169,CARGA!D:D,tabla!C169)</f>
        <v>0</v>
      </c>
      <c r="I169" s="5">
        <f t="shared" si="40"/>
        <v>0</v>
      </c>
      <c r="J169" s="5">
        <f>-SUMIFS(CARGA!K:K,CARGA!B:B,tabla!A169,CARGA!D:D,tabla!C169,CARGA!C:C,MAESTRO!$B$4)+SUMIFS(CARGA!K:K,CARGA!B:B,tabla!A169,CARGA!D:D,tabla!C169,CARGA!C:C,MAESTRO!$B$5)</f>
        <v>0</v>
      </c>
      <c r="K169" s="5" t="e">
        <f>+VLOOKUP(C169,#REF!,3,FALSE)</f>
        <v>#REF!</v>
      </c>
      <c r="L169" s="5" t="e">
        <f t="shared" si="41"/>
        <v>#REF!</v>
      </c>
      <c r="M169" s="5" t="e">
        <f t="shared" si="42"/>
        <v>#REF!</v>
      </c>
      <c r="N169" s="5" t="str">
        <f t="shared" si="43"/>
        <v>NO</v>
      </c>
      <c r="O169" s="5">
        <f>+VLOOKUP(C169,[2]Fondos!$F:$J,5,FALSE)</f>
        <v>39848036</v>
      </c>
      <c r="P169" s="13" t="e">
        <f>+VLOOKUP(C169,[2]Fondos!$F:$K,6,FALSE)</f>
        <v>#VALUE!</v>
      </c>
      <c r="Q169" s="13">
        <f t="shared" si="44"/>
        <v>0</v>
      </c>
      <c r="R169" s="10">
        <f>+IF(Q169&gt;MAESTRO!$G$6,0,1)</f>
        <v>1</v>
      </c>
      <c r="S169" t="e">
        <f>+IF(P169&lt;MAESTRO!$G$8,0,1)</f>
        <v>#VALUE!</v>
      </c>
      <c r="T169" s="10" t="e">
        <f t="shared" si="45"/>
        <v>#VALUE!</v>
      </c>
      <c r="U169" t="e">
        <f>+IF(R169+S169=2,MAESTRO!$G$2,IF(R169+S169=0,MAESTRO!$G$5,IF(R169=0,MAESTRO!$G$3,IF(S169=0,MAESTRO!$G$4,))))</f>
        <v>#VALUE!</v>
      </c>
    </row>
    <row r="170" spans="1:21" s="11" customFormat="1" x14ac:dyDescent="0.3">
      <c r="A170" s="11" t="s">
        <v>119</v>
      </c>
      <c r="B170" t="s">
        <v>33</v>
      </c>
      <c r="C170" s="7" t="s">
        <v>52</v>
      </c>
      <c r="D170" t="s">
        <v>81</v>
      </c>
      <c r="E170" s="24">
        <f t="shared" si="39"/>
        <v>0</v>
      </c>
      <c r="F170" s="22">
        <f>-SUMIFS(CARGA!I:I,CARGA!B:B,tabla!A170,CARGA!D:D,tabla!C170,CARGA!C:C,MAESTRO!$B$4)-SUMIFS(CARGA!I:I,CARGA!B:B,tabla!A170,CARGA!D:D,tabla!C170,CARGA!C:C,MAESTRO!$B$5)</f>
        <v>0</v>
      </c>
      <c r="G170" s="5">
        <f>+SUMIFS(CARGA!I:I,CARGA!B:B,tabla!A170,CARGA!D:D,tabla!C170)</f>
        <v>0</v>
      </c>
      <c r="H170" s="5">
        <f>+SUMIFS(CARGA!K:K,CARGA!B:B,tabla!A170,CARGA!D:D,tabla!C170)</f>
        <v>0</v>
      </c>
      <c r="I170" s="5">
        <f t="shared" si="40"/>
        <v>0</v>
      </c>
      <c r="J170" s="5">
        <f>-SUMIFS(CARGA!K:K,CARGA!B:B,tabla!A170,CARGA!D:D,tabla!C170,CARGA!C:C,MAESTRO!$B$4)+SUMIFS(CARGA!K:K,CARGA!B:B,tabla!A170,CARGA!D:D,tabla!C170,CARGA!C:C,MAESTRO!$B$5)</f>
        <v>0</v>
      </c>
      <c r="K170" s="5" t="e">
        <f>+VLOOKUP(C170,#REF!,3,FALSE)</f>
        <v>#REF!</v>
      </c>
      <c r="L170" s="5" t="e">
        <f t="shared" si="41"/>
        <v>#REF!</v>
      </c>
      <c r="M170" s="5" t="e">
        <f t="shared" si="42"/>
        <v>#REF!</v>
      </c>
      <c r="N170" s="5" t="str">
        <f t="shared" si="43"/>
        <v>NO</v>
      </c>
      <c r="O170" s="5">
        <f>+VLOOKUP(C170,[2]Fondos!$F:$J,5,FALSE)</f>
        <v>3875956517</v>
      </c>
      <c r="P170" s="13">
        <f>+VLOOKUP(C170,[2]Fondos!$F:$K,6,FALSE)</f>
        <v>0.23267859999999999</v>
      </c>
      <c r="Q170" s="13">
        <f t="shared" si="44"/>
        <v>0</v>
      </c>
      <c r="R170" s="10">
        <f>+IF(Q170&gt;MAESTRO!$G$6,0,1)</f>
        <v>1</v>
      </c>
      <c r="S170">
        <f>+IF(P170&lt;MAESTRO!$G$8,0,1)</f>
        <v>1</v>
      </c>
      <c r="T170" s="10">
        <f t="shared" si="45"/>
        <v>2</v>
      </c>
      <c r="U170" t="str">
        <f>+IF(R170+S170=2,MAESTRO!$G$2,IF(R170+S170=0,MAESTRO!$G$5,IF(R170=0,MAESTRO!$G$3,IF(S170=0,MAESTRO!$G$4,))))</f>
        <v>cumple politica</v>
      </c>
    </row>
    <row r="171" spans="1:21" s="11" customFormat="1" x14ac:dyDescent="0.3">
      <c r="A171" s="11" t="s">
        <v>119</v>
      </c>
      <c r="B171" t="s">
        <v>33</v>
      </c>
      <c r="C171" s="7" t="s">
        <v>74</v>
      </c>
      <c r="D171" t="s">
        <v>82</v>
      </c>
      <c r="E171" s="24">
        <f t="shared" si="39"/>
        <v>0</v>
      </c>
      <c r="F171" s="22">
        <f>-SUMIFS(CARGA!I:I,CARGA!B:B,tabla!A171,CARGA!D:D,tabla!C171,CARGA!C:C,MAESTRO!$B$4)-SUMIFS(CARGA!I:I,CARGA!B:B,tabla!A171,CARGA!D:D,tabla!C171,CARGA!C:C,MAESTRO!$B$5)</f>
        <v>0</v>
      </c>
      <c r="G171" s="5">
        <f>+SUMIFS(CARGA!I:I,CARGA!B:B,tabla!A171,CARGA!D:D,tabla!C171)</f>
        <v>0</v>
      </c>
      <c r="H171" s="5">
        <f>+SUMIFS(CARGA!K:K,CARGA!B:B,tabla!A171,CARGA!D:D,tabla!C171)</f>
        <v>0</v>
      </c>
      <c r="I171" s="5">
        <f t="shared" si="40"/>
        <v>0</v>
      </c>
      <c r="J171" s="5">
        <f>-SUMIFS(CARGA!K:K,CARGA!B:B,tabla!A171,CARGA!D:D,tabla!C171,CARGA!C:C,MAESTRO!$B$4)+SUMIFS(CARGA!K:K,CARGA!B:B,tabla!A171,CARGA!D:D,tabla!C171,CARGA!C:C,MAESTRO!$B$5)</f>
        <v>0</v>
      </c>
      <c r="K171" s="5" t="e">
        <f>+VLOOKUP(C171,#REF!,3,FALSE)</f>
        <v>#REF!</v>
      </c>
      <c r="L171" s="5" t="e">
        <f t="shared" si="41"/>
        <v>#REF!</v>
      </c>
      <c r="M171" s="5" t="e">
        <f t="shared" si="42"/>
        <v>#REF!</v>
      </c>
      <c r="N171" s="5" t="str">
        <f t="shared" si="43"/>
        <v>NO</v>
      </c>
      <c r="O171" s="5">
        <f>+VLOOKUP(C171,[2]Fondos!$F:$J,5,FALSE)</f>
        <v>8775783683</v>
      </c>
      <c r="P171" s="13">
        <f>+VLOOKUP(C171,[2]Fondos!$F:$K,6,FALSE)</f>
        <v>0.2640304</v>
      </c>
      <c r="Q171" s="13">
        <f t="shared" si="44"/>
        <v>0</v>
      </c>
      <c r="R171" s="10">
        <f>+IF(Q171&gt;MAESTRO!$G$6,0,1)</f>
        <v>1</v>
      </c>
      <c r="S171">
        <f>+IF(P171&lt;MAESTRO!$G$8,0,1)</f>
        <v>1</v>
      </c>
      <c r="T171" s="10">
        <f t="shared" si="45"/>
        <v>2</v>
      </c>
      <c r="U171" t="str">
        <f>+IF(R171+S171=2,MAESTRO!$G$2,IF(R171+S171=0,MAESTRO!$G$5,IF(R171=0,MAESTRO!$G$3,IF(S171=0,MAESTRO!$G$4,))))</f>
        <v>cumple politica</v>
      </c>
    </row>
    <row r="172" spans="1:21" s="11" customFormat="1" x14ac:dyDescent="0.3">
      <c r="A172" s="11" t="s">
        <v>119</v>
      </c>
      <c r="B172" t="s">
        <v>27</v>
      </c>
      <c r="C172" t="s">
        <v>63</v>
      </c>
      <c r="D172" t="s">
        <v>82</v>
      </c>
      <c r="E172" s="24">
        <f t="shared" si="39"/>
        <v>0</v>
      </c>
      <c r="F172" s="22">
        <f>-SUMIFS(CARGA!I:I,CARGA!B:B,tabla!A172,CARGA!D:D,tabla!C172,CARGA!C:C,MAESTRO!$B$4)-SUMIFS(CARGA!I:I,CARGA!B:B,tabla!A172,CARGA!D:D,tabla!C172,CARGA!C:C,MAESTRO!$B$5)</f>
        <v>0</v>
      </c>
      <c r="G172" s="5">
        <f>+SUMIFS(CARGA!I:I,CARGA!B:B,tabla!A172,CARGA!D:D,tabla!C172)</f>
        <v>0</v>
      </c>
      <c r="H172" s="5">
        <f>+SUMIFS(CARGA!K:K,CARGA!B:B,tabla!A172,CARGA!D:D,tabla!C172)</f>
        <v>0</v>
      </c>
      <c r="I172" s="5">
        <f t="shared" si="40"/>
        <v>0</v>
      </c>
      <c r="J172" s="5">
        <f>-SUMIFS(CARGA!K:K,CARGA!B:B,tabla!A172,CARGA!D:D,tabla!C172,CARGA!C:C,MAESTRO!$B$4)+SUMIFS(CARGA!K:K,CARGA!B:B,tabla!A172,CARGA!D:D,tabla!C172,CARGA!C:C,MAESTRO!$B$5)</f>
        <v>0</v>
      </c>
      <c r="K172" s="5" t="e">
        <f>+VLOOKUP(C172,#REF!,3,FALSE)</f>
        <v>#REF!</v>
      </c>
      <c r="L172" s="5" t="e">
        <f t="shared" si="41"/>
        <v>#REF!</v>
      </c>
      <c r="M172" s="5" t="e">
        <f t="shared" si="42"/>
        <v>#REF!</v>
      </c>
      <c r="N172" s="5" t="str">
        <f t="shared" si="43"/>
        <v>NO</v>
      </c>
      <c r="O172" s="5">
        <f>+VLOOKUP(C172,[2]Fondos!$F:$J,5,FALSE)</f>
        <v>14114977659</v>
      </c>
      <c r="P172" s="13">
        <f>+VLOOKUP(C172,[2]Fondos!$F:$K,6,FALSE)</f>
        <v>0.26056640000000003</v>
      </c>
      <c r="Q172" s="13">
        <f t="shared" si="44"/>
        <v>0</v>
      </c>
      <c r="R172" s="10">
        <f>+IF(Q172&gt;MAESTRO!$G$6,0,1)</f>
        <v>1</v>
      </c>
      <c r="S172">
        <f>+IF(P172&lt;MAESTRO!$G$8,0,1)</f>
        <v>1</v>
      </c>
      <c r="T172" s="10">
        <f t="shared" si="45"/>
        <v>2</v>
      </c>
      <c r="U172" t="str">
        <f>+IF(R172+S172=2,MAESTRO!$G$2,IF(R172+S172=0,MAESTRO!$G$5,IF(R172=0,MAESTRO!$G$3,IF(S172=0,MAESTRO!$G$4,))))</f>
        <v>cumple politica</v>
      </c>
    </row>
    <row r="173" spans="1:21" s="11" customFormat="1" x14ac:dyDescent="0.3">
      <c r="A173" s="11" t="s">
        <v>119</v>
      </c>
      <c r="B173" t="s">
        <v>27</v>
      </c>
      <c r="C173" t="s">
        <v>47</v>
      </c>
      <c r="D173" t="s">
        <v>81</v>
      </c>
      <c r="E173" s="24">
        <f t="shared" si="39"/>
        <v>0</v>
      </c>
      <c r="F173" s="22">
        <f>-SUMIFS(CARGA!I:I,CARGA!B:B,tabla!A173,CARGA!D:D,tabla!C173,CARGA!C:C,MAESTRO!$B$4)-SUMIFS(CARGA!I:I,CARGA!B:B,tabla!A173,CARGA!D:D,tabla!C173,CARGA!C:C,MAESTRO!$B$5)</f>
        <v>0</v>
      </c>
      <c r="G173" s="5">
        <f>+SUMIFS(CARGA!I:I,CARGA!B:B,tabla!A173,CARGA!D:D,tabla!C173)</f>
        <v>0</v>
      </c>
      <c r="H173" s="5">
        <f>+SUMIFS(CARGA!K:K,CARGA!B:B,tabla!A173,CARGA!D:D,tabla!C173)</f>
        <v>0</v>
      </c>
      <c r="I173" s="5">
        <f t="shared" si="40"/>
        <v>0</v>
      </c>
      <c r="J173" s="5">
        <f>-SUMIFS(CARGA!K:K,CARGA!B:B,tabla!A173,CARGA!D:D,tabla!C173,CARGA!C:C,MAESTRO!$B$4)+SUMIFS(CARGA!K:K,CARGA!B:B,tabla!A173,CARGA!D:D,tabla!C173,CARGA!C:C,MAESTRO!$B$5)</f>
        <v>0</v>
      </c>
      <c r="K173" s="5" t="e">
        <f>+VLOOKUP(C173,#REF!,3,FALSE)</f>
        <v>#REF!</v>
      </c>
      <c r="L173" s="5" t="e">
        <f t="shared" si="41"/>
        <v>#REF!</v>
      </c>
      <c r="M173" s="5" t="e">
        <f t="shared" si="42"/>
        <v>#REF!</v>
      </c>
      <c r="N173" s="5" t="str">
        <f t="shared" si="43"/>
        <v>NO</v>
      </c>
      <c r="O173" s="5">
        <f>+VLOOKUP(C173,[2]Fondos!$F:$J,5,FALSE)</f>
        <v>1977335292</v>
      </c>
      <c r="P173" s="13">
        <f>+VLOOKUP(C173,[2]Fondos!$F:$K,6,FALSE)</f>
        <v>0.19354769999999999</v>
      </c>
      <c r="Q173" s="13">
        <f t="shared" si="44"/>
        <v>0</v>
      </c>
      <c r="R173" s="10">
        <f>+IF(Q173&gt;MAESTRO!$G$6,0,1)</f>
        <v>1</v>
      </c>
      <c r="S173">
        <f>+IF(P173&lt;MAESTRO!$G$8,0,1)</f>
        <v>1</v>
      </c>
      <c r="T173" s="10">
        <f t="shared" si="45"/>
        <v>2</v>
      </c>
      <c r="U173" t="str">
        <f>+IF(R173+S173=2,MAESTRO!$G$2,IF(R173+S173=0,MAESTRO!$G$5,IF(R173=0,MAESTRO!$G$3,IF(S173=0,MAESTRO!$G$4,))))</f>
        <v>cumple politica</v>
      </c>
    </row>
    <row r="174" spans="1:21" s="11" customFormat="1" x14ac:dyDescent="0.3">
      <c r="A174" s="11" t="s">
        <v>119</v>
      </c>
      <c r="B174" t="s">
        <v>27</v>
      </c>
      <c r="C174" t="s">
        <v>42</v>
      </c>
      <c r="D174" t="s">
        <v>81</v>
      </c>
      <c r="E174" s="24">
        <f t="shared" si="39"/>
        <v>0</v>
      </c>
      <c r="F174" s="22">
        <f>-SUMIFS(CARGA!I:I,CARGA!B:B,tabla!A174,CARGA!D:D,tabla!C174,CARGA!C:C,MAESTRO!$B$4)-SUMIFS(CARGA!I:I,CARGA!B:B,tabla!A174,CARGA!D:D,tabla!C174,CARGA!C:C,MAESTRO!$B$5)</f>
        <v>0</v>
      </c>
      <c r="G174" s="5">
        <f>+SUMIFS(CARGA!I:I,CARGA!B:B,tabla!A174,CARGA!D:D,tabla!C174)</f>
        <v>0</v>
      </c>
      <c r="H174" s="5">
        <f>+SUMIFS(CARGA!K:K,CARGA!B:B,tabla!A174,CARGA!D:D,tabla!C174)</f>
        <v>0</v>
      </c>
      <c r="I174" s="5">
        <f t="shared" si="40"/>
        <v>0</v>
      </c>
      <c r="J174" s="5">
        <f>-SUMIFS(CARGA!K:K,CARGA!B:B,tabla!A174,CARGA!D:D,tabla!C174,CARGA!C:C,MAESTRO!$B$4)+SUMIFS(CARGA!K:K,CARGA!B:B,tabla!A174,CARGA!D:D,tabla!C174,CARGA!C:C,MAESTRO!$B$5)</f>
        <v>0</v>
      </c>
      <c r="K174" s="5" t="e">
        <f>+VLOOKUP(C174,#REF!,3,FALSE)</f>
        <v>#REF!</v>
      </c>
      <c r="L174" s="5" t="e">
        <f t="shared" si="41"/>
        <v>#REF!</v>
      </c>
      <c r="M174" s="5" t="e">
        <f t="shared" si="42"/>
        <v>#REF!</v>
      </c>
      <c r="N174" s="5" t="str">
        <f t="shared" si="43"/>
        <v>NO</v>
      </c>
      <c r="O174" s="5">
        <f>+VLOOKUP(C174,[2]Fondos!$F:$J,5,FALSE)</f>
        <v>2171371244</v>
      </c>
      <c r="P174" s="13">
        <f>+VLOOKUP(C174,[2]Fondos!$F:$K,6,FALSE)</f>
        <v>0.2113614</v>
      </c>
      <c r="Q174" s="13">
        <f t="shared" si="44"/>
        <v>0</v>
      </c>
      <c r="R174" s="10">
        <f>+IF(Q174&gt;MAESTRO!$G$6,0,1)</f>
        <v>1</v>
      </c>
      <c r="S174">
        <f>+IF(P174&lt;MAESTRO!$G$8,0,1)</f>
        <v>1</v>
      </c>
      <c r="T174" s="10">
        <f t="shared" si="45"/>
        <v>2</v>
      </c>
      <c r="U174" t="str">
        <f>+IF(R174+S174=2,MAESTRO!$G$2,IF(R174+S174=0,MAESTRO!$G$5,IF(R174=0,MAESTRO!$G$3,IF(S174=0,MAESTRO!$G$4,))))</f>
        <v>cumple politica</v>
      </c>
    </row>
    <row r="175" spans="1:21" s="11" customFormat="1" x14ac:dyDescent="0.3">
      <c r="A175" s="11" t="s">
        <v>119</v>
      </c>
      <c r="B175" t="s">
        <v>27</v>
      </c>
      <c r="C175" t="s">
        <v>78</v>
      </c>
      <c r="D175" t="s">
        <v>82</v>
      </c>
      <c r="E175" s="24">
        <f t="shared" si="39"/>
        <v>0</v>
      </c>
      <c r="F175" s="22">
        <f>-SUMIFS(CARGA!I:I,CARGA!B:B,tabla!A175,CARGA!D:D,tabla!C175,CARGA!C:C,MAESTRO!$B$4)-SUMIFS(CARGA!I:I,CARGA!B:B,tabla!A175,CARGA!D:D,tabla!C175,CARGA!C:C,MAESTRO!$B$5)</f>
        <v>0</v>
      </c>
      <c r="G175" s="5">
        <f>+SUMIFS(CARGA!I:I,CARGA!B:B,tabla!A175,CARGA!D:D,tabla!C175)</f>
        <v>0</v>
      </c>
      <c r="H175" s="5">
        <f>+SUMIFS(CARGA!K:K,CARGA!B:B,tabla!A175,CARGA!D:D,tabla!C175)</f>
        <v>0</v>
      </c>
      <c r="I175" s="5">
        <f t="shared" si="40"/>
        <v>0</v>
      </c>
      <c r="J175" s="5">
        <f>-SUMIFS(CARGA!K:K,CARGA!B:B,tabla!A175,CARGA!D:D,tabla!C175,CARGA!C:C,MAESTRO!$B$4)+SUMIFS(CARGA!K:K,CARGA!B:B,tabla!A175,CARGA!D:D,tabla!C175,CARGA!C:C,MAESTRO!$B$5)</f>
        <v>0</v>
      </c>
      <c r="K175" s="5" t="e">
        <f>+VLOOKUP(C175,#REF!,3,FALSE)</f>
        <v>#REF!</v>
      </c>
      <c r="L175" s="5" t="e">
        <f t="shared" si="41"/>
        <v>#REF!</v>
      </c>
      <c r="M175" s="5" t="e">
        <f t="shared" si="42"/>
        <v>#REF!</v>
      </c>
      <c r="N175" s="5" t="str">
        <f t="shared" si="43"/>
        <v>NO</v>
      </c>
      <c r="O175" s="5">
        <f>+VLOOKUP(C175,[2]Fondos!$F:$J,5,FALSE)</f>
        <v>234619684</v>
      </c>
      <c r="P175" s="13">
        <f>+VLOOKUP(C175,[2]Fondos!$F:$K,6,FALSE)</f>
        <v>0.26737729999999998</v>
      </c>
      <c r="Q175" s="13">
        <f t="shared" si="44"/>
        <v>0</v>
      </c>
      <c r="R175" s="10">
        <f>+IF(Q175&gt;MAESTRO!$G$6,0,1)</f>
        <v>1</v>
      </c>
      <c r="S175">
        <f>+IF(P175&lt;MAESTRO!$G$8,0,1)</f>
        <v>1</v>
      </c>
      <c r="T175" s="10">
        <f t="shared" si="45"/>
        <v>2</v>
      </c>
      <c r="U175" t="str">
        <f>+IF(R175+S175=2,MAESTRO!$G$2,IF(R175+S175=0,MAESTRO!$G$5,IF(R175=0,MAESTRO!$G$3,IF(S175=0,MAESTRO!$G$4,))))</f>
        <v>cumple politica</v>
      </c>
    </row>
    <row r="176" spans="1:21" s="11" customFormat="1" x14ac:dyDescent="0.3">
      <c r="A176" s="11" t="s">
        <v>119</v>
      </c>
      <c r="B176" t="s">
        <v>109</v>
      </c>
      <c r="C176" t="s">
        <v>75</v>
      </c>
      <c r="D176" t="s">
        <v>82</v>
      </c>
      <c r="E176" s="24">
        <f t="shared" si="39"/>
        <v>0</v>
      </c>
      <c r="F176" s="22">
        <f>-SUMIFS(CARGA!I:I,CARGA!B:B,tabla!A176,CARGA!D:D,tabla!C176,CARGA!C:C,MAESTRO!$B$4)-SUMIFS(CARGA!I:I,CARGA!B:B,tabla!A176,CARGA!D:D,tabla!C176,CARGA!C:C,MAESTRO!$B$5)</f>
        <v>0</v>
      </c>
      <c r="G176" s="5">
        <f>+SUMIFS(CARGA!I:I,CARGA!B:B,tabla!A176,CARGA!D:D,tabla!C176)</f>
        <v>0</v>
      </c>
      <c r="H176" s="5">
        <f>+SUMIFS(CARGA!K:K,CARGA!B:B,tabla!A176,CARGA!D:D,tabla!C176)</f>
        <v>0</v>
      </c>
      <c r="I176" s="5">
        <f t="shared" si="40"/>
        <v>0</v>
      </c>
      <c r="J176" s="5">
        <f>-SUMIFS(CARGA!K:K,CARGA!B:B,tabla!A176,CARGA!D:D,tabla!C176,CARGA!C:C,MAESTRO!$B$4)+SUMIFS(CARGA!K:K,CARGA!B:B,tabla!A176,CARGA!D:D,tabla!C176,CARGA!C:C,MAESTRO!$B$5)</f>
        <v>0</v>
      </c>
      <c r="K176" s="5" t="e">
        <f>+VLOOKUP(C176,#REF!,3,FALSE)</f>
        <v>#REF!</v>
      </c>
      <c r="L176" s="5" t="e">
        <f t="shared" si="41"/>
        <v>#REF!</v>
      </c>
      <c r="M176" s="5" t="e">
        <f t="shared" si="42"/>
        <v>#REF!</v>
      </c>
      <c r="N176" s="5" t="str">
        <f t="shared" si="43"/>
        <v>NO</v>
      </c>
      <c r="O176" s="5">
        <f>+VLOOKUP(C176,[2]Fondos!$F:$J,5,FALSE)</f>
        <v>1696672499</v>
      </c>
      <c r="P176" s="13">
        <f>+VLOOKUP(C176,[2]Fondos!$F:$K,6,FALSE)</f>
        <v>0.24191749999999998</v>
      </c>
      <c r="Q176" s="13">
        <f t="shared" si="44"/>
        <v>0</v>
      </c>
      <c r="R176" s="10">
        <f>+IF(Q176&gt;MAESTRO!$G$6,0,1)</f>
        <v>1</v>
      </c>
      <c r="S176">
        <f>+IF(P176&lt;MAESTRO!$G$8,0,1)</f>
        <v>1</v>
      </c>
      <c r="T176" s="10">
        <f t="shared" si="45"/>
        <v>2</v>
      </c>
      <c r="U176" t="str">
        <f>+IF(R176+S176=2,MAESTRO!$G$2,IF(R176+S176=0,MAESTRO!$G$5,IF(R176=0,MAESTRO!$G$3,IF(S176=0,MAESTRO!$G$4,))))</f>
        <v>cumple politica</v>
      </c>
    </row>
    <row r="177" spans="1:21" s="11" customFormat="1" x14ac:dyDescent="0.3">
      <c r="A177" s="11" t="s">
        <v>119</v>
      </c>
      <c r="B177" s="20" t="s">
        <v>35</v>
      </c>
      <c r="C177" s="20" t="s">
        <v>75</v>
      </c>
      <c r="D177" s="20" t="s">
        <v>83</v>
      </c>
      <c r="E177" s="24">
        <f t="shared" si="39"/>
        <v>0</v>
      </c>
      <c r="F177" s="22">
        <f>-SUMIFS(CARGA!I:I,CARGA!B:B,tabla!A177,CARGA!D:D,tabla!C177,CARGA!C:C,MAESTRO!$B$4)-SUMIFS(CARGA!I:I,CARGA!B:B,tabla!A177,CARGA!D:D,tabla!C177,CARGA!C:C,MAESTRO!$B$5)</f>
        <v>0</v>
      </c>
      <c r="G177" s="5">
        <f>+SUMIFS(CARGA!I:I,CARGA!B:B,tabla!A177,CARGA!D:D,tabla!C177)</f>
        <v>0</v>
      </c>
      <c r="H177" s="5">
        <f>+SUMIFS(CARGA!K:K,CARGA!B:B,tabla!A177,CARGA!D:D,tabla!C177)</f>
        <v>0</v>
      </c>
      <c r="I177" s="5">
        <f t="shared" si="40"/>
        <v>0</v>
      </c>
      <c r="J177" s="5">
        <f>-SUMIFS(CARGA!K:K,CARGA!B:B,tabla!A177,CARGA!D:D,tabla!C177,CARGA!C:C,MAESTRO!$B$4)+SUMIFS(CARGA!K:K,CARGA!B:B,tabla!A177,CARGA!D:D,tabla!C177,CARGA!C:C,MAESTRO!$B$5)</f>
        <v>0</v>
      </c>
      <c r="K177" s="5" t="e">
        <f>+VLOOKUP(C177,#REF!,3,FALSE)</f>
        <v>#REF!</v>
      </c>
      <c r="L177" s="5" t="e">
        <f t="shared" si="41"/>
        <v>#REF!</v>
      </c>
      <c r="M177" s="5" t="e">
        <f t="shared" si="42"/>
        <v>#REF!</v>
      </c>
      <c r="N177" s="5" t="str">
        <f t="shared" si="43"/>
        <v>NO</v>
      </c>
      <c r="O177" s="5">
        <f>+VLOOKUP(C177,[2]Fondos!$F:$J,5,FALSE)</f>
        <v>1696672499</v>
      </c>
      <c r="P177" s="13">
        <f>+VLOOKUP(C177,[2]Fondos!$F:$K,6,FALSE)</f>
        <v>0.24191749999999998</v>
      </c>
      <c r="Q177" s="13">
        <f t="shared" si="44"/>
        <v>0</v>
      </c>
      <c r="R177" s="10">
        <f>+IF(Q177&gt;MAESTRO!$G$6,0,1)</f>
        <v>1</v>
      </c>
      <c r="S177">
        <f>+IF(P177&lt;MAESTRO!$G$8,0,1)</f>
        <v>1</v>
      </c>
      <c r="T177" s="10">
        <f t="shared" si="45"/>
        <v>2</v>
      </c>
      <c r="U177" t="str">
        <f>+IF(R177+S177=2,MAESTRO!$G$2,IF(R177+S177=0,MAESTRO!$G$5,IF(R177=0,MAESTRO!$G$3,IF(S177=0,MAESTRO!$G$4,))))</f>
        <v>cumple politica</v>
      </c>
    </row>
    <row r="178" spans="1:21" s="11" customFormat="1" x14ac:dyDescent="0.3">
      <c r="A178" s="11" t="s">
        <v>119</v>
      </c>
      <c r="B178" t="s">
        <v>109</v>
      </c>
      <c r="C178" t="s">
        <v>76</v>
      </c>
      <c r="D178" t="s">
        <v>82</v>
      </c>
      <c r="E178" s="24">
        <f t="shared" si="39"/>
        <v>0</v>
      </c>
      <c r="F178" s="22">
        <f>-SUMIFS(CARGA!I:I,CARGA!B:B,tabla!A178,CARGA!D:D,tabla!C178,CARGA!C:C,MAESTRO!$B$4)-SUMIFS(CARGA!I:I,CARGA!B:B,tabla!A178,CARGA!D:D,tabla!C178,CARGA!C:C,MAESTRO!$B$5)</f>
        <v>0</v>
      </c>
      <c r="G178" s="5">
        <f>+SUMIFS(CARGA!I:I,CARGA!B:B,tabla!A178,CARGA!D:D,tabla!C178)</f>
        <v>0</v>
      </c>
      <c r="H178" s="5">
        <f>+SUMIFS(CARGA!K:K,CARGA!B:B,tabla!A178,CARGA!D:D,tabla!C178)</f>
        <v>0</v>
      </c>
      <c r="I178" s="5">
        <f t="shared" si="40"/>
        <v>0</v>
      </c>
      <c r="J178" s="5">
        <f>-SUMIFS(CARGA!K:K,CARGA!B:B,tabla!A178,CARGA!D:D,tabla!C178,CARGA!C:C,MAESTRO!$B$4)+SUMIFS(CARGA!K:K,CARGA!B:B,tabla!A178,CARGA!D:D,tabla!C178,CARGA!C:C,MAESTRO!$B$5)</f>
        <v>0</v>
      </c>
      <c r="K178" s="5" t="e">
        <f>+VLOOKUP(C178,#REF!,3,FALSE)</f>
        <v>#REF!</v>
      </c>
      <c r="L178" s="5" t="e">
        <f t="shared" si="41"/>
        <v>#REF!</v>
      </c>
      <c r="M178" s="5" t="e">
        <f t="shared" si="42"/>
        <v>#REF!</v>
      </c>
      <c r="N178" s="5" t="str">
        <f t="shared" si="43"/>
        <v>NO</v>
      </c>
      <c r="O178" s="5">
        <f>+VLOOKUP(C178,[2]Fondos!$F:$J,5,FALSE)</f>
        <v>3357048174</v>
      </c>
      <c r="P178" s="13">
        <f>+VLOOKUP(C178,[2]Fondos!$F:$K,6,FALSE)</f>
        <v>0.25849470000000002</v>
      </c>
      <c r="Q178" s="13">
        <f t="shared" si="44"/>
        <v>0</v>
      </c>
      <c r="R178" s="10">
        <f>+IF(Q178&gt;MAESTRO!$G$6,0,1)</f>
        <v>1</v>
      </c>
      <c r="S178">
        <f>+IF(P178&lt;MAESTRO!$G$8,0,1)</f>
        <v>1</v>
      </c>
      <c r="T178" s="10">
        <f t="shared" si="45"/>
        <v>2</v>
      </c>
      <c r="U178" t="str">
        <f>+IF(R178+S178=2,MAESTRO!$G$2,IF(R178+S178=0,MAESTRO!$G$5,IF(R178=0,MAESTRO!$G$3,IF(S178=0,MAESTRO!$G$4,))))</f>
        <v>cumple politica</v>
      </c>
    </row>
    <row r="179" spans="1:21" s="11" customFormat="1" x14ac:dyDescent="0.3">
      <c r="A179" s="11" t="s">
        <v>119</v>
      </c>
      <c r="B179" s="20" t="s">
        <v>35</v>
      </c>
      <c r="C179" s="20" t="s">
        <v>76</v>
      </c>
      <c r="D179" s="20" t="s">
        <v>83</v>
      </c>
      <c r="E179" s="24">
        <f t="shared" si="39"/>
        <v>0</v>
      </c>
      <c r="F179" s="22">
        <f>-SUMIFS(CARGA!I:I,CARGA!B:B,tabla!A179,CARGA!D:D,tabla!C179,CARGA!C:C,MAESTRO!$B$4)-SUMIFS(CARGA!I:I,CARGA!B:B,tabla!A179,CARGA!D:D,tabla!C179,CARGA!C:C,MAESTRO!$B$5)</f>
        <v>0</v>
      </c>
      <c r="G179" s="5">
        <f>+SUMIFS(CARGA!I:I,CARGA!B:B,tabla!A179,CARGA!D:D,tabla!C179)</f>
        <v>0</v>
      </c>
      <c r="H179" s="5">
        <f>+SUMIFS(CARGA!K:K,CARGA!B:B,tabla!A179,CARGA!D:D,tabla!C179)</f>
        <v>0</v>
      </c>
      <c r="I179" s="5">
        <f t="shared" si="40"/>
        <v>0</v>
      </c>
      <c r="J179" s="5">
        <f>-SUMIFS(CARGA!K:K,CARGA!B:B,tabla!A179,CARGA!D:D,tabla!C179,CARGA!C:C,MAESTRO!$B$4)+SUMIFS(CARGA!K:K,CARGA!B:B,tabla!A179,CARGA!D:D,tabla!C179,CARGA!C:C,MAESTRO!$B$5)</f>
        <v>0</v>
      </c>
      <c r="K179" s="5" t="e">
        <f>+VLOOKUP(C179,#REF!,3,FALSE)</f>
        <v>#REF!</v>
      </c>
      <c r="L179" s="5" t="e">
        <f t="shared" si="41"/>
        <v>#REF!</v>
      </c>
      <c r="M179" s="5" t="e">
        <f t="shared" si="42"/>
        <v>#REF!</v>
      </c>
      <c r="N179" s="5" t="str">
        <f t="shared" si="43"/>
        <v>NO</v>
      </c>
      <c r="O179" s="5">
        <f>+VLOOKUP(C179,[2]Fondos!$F:$J,5,FALSE)</f>
        <v>3357048174</v>
      </c>
      <c r="P179" s="13">
        <f>+VLOOKUP(C179,[2]Fondos!$F:$K,6,FALSE)</f>
        <v>0.25849470000000002</v>
      </c>
      <c r="Q179" s="13">
        <f t="shared" si="44"/>
        <v>0</v>
      </c>
      <c r="R179" s="10">
        <f>+IF(Q179&gt;MAESTRO!$G$6,0,1)</f>
        <v>1</v>
      </c>
      <c r="S179">
        <f>+IF(P179&lt;MAESTRO!$G$8,0,1)</f>
        <v>1</v>
      </c>
      <c r="T179" s="10">
        <f t="shared" si="45"/>
        <v>2</v>
      </c>
      <c r="U179" t="str">
        <f>+IF(R179+S179=2,MAESTRO!$G$2,IF(R179+S179=0,MAESTRO!$G$5,IF(R179=0,MAESTRO!$G$3,IF(S179=0,MAESTRO!$G$4,))))</f>
        <v>cumple politica</v>
      </c>
    </row>
    <row r="180" spans="1:21" s="11" customFormat="1" x14ac:dyDescent="0.3">
      <c r="A180" s="11" t="s">
        <v>119</v>
      </c>
      <c r="B180" t="s">
        <v>25</v>
      </c>
      <c r="C180" t="s">
        <v>59</v>
      </c>
      <c r="D180" t="s">
        <v>82</v>
      </c>
      <c r="E180" s="24">
        <f t="shared" si="39"/>
        <v>0</v>
      </c>
      <c r="F180" s="22">
        <f>-SUMIFS(CARGA!I:I,CARGA!B:B,tabla!A180,CARGA!D:D,tabla!C180,CARGA!C:C,MAESTRO!$B$4)-SUMIFS(CARGA!I:I,CARGA!B:B,tabla!A180,CARGA!D:D,tabla!C180,CARGA!C:C,MAESTRO!$B$5)</f>
        <v>0</v>
      </c>
      <c r="G180" s="5">
        <f>+SUMIFS(CARGA!I:I,CARGA!B:B,tabla!A180,CARGA!D:D,tabla!C180)</f>
        <v>0</v>
      </c>
      <c r="H180" s="5">
        <f>+SUMIFS(CARGA!K:K,CARGA!B:B,tabla!A180,CARGA!D:D,tabla!C180)</f>
        <v>0</v>
      </c>
      <c r="I180" s="5">
        <f t="shared" si="40"/>
        <v>0</v>
      </c>
      <c r="J180" s="5">
        <f>-SUMIFS(CARGA!K:K,CARGA!B:B,tabla!A180,CARGA!D:D,tabla!C180,CARGA!C:C,MAESTRO!$B$4)+SUMIFS(CARGA!K:K,CARGA!B:B,tabla!A180,CARGA!D:D,tabla!C180,CARGA!C:C,MAESTRO!$B$5)</f>
        <v>0</v>
      </c>
      <c r="K180" s="5" t="e">
        <f>+VLOOKUP(C180,#REF!,3,FALSE)</f>
        <v>#REF!</v>
      </c>
      <c r="L180" s="5" t="e">
        <f t="shared" si="41"/>
        <v>#REF!</v>
      </c>
      <c r="M180" s="5" t="e">
        <f t="shared" si="42"/>
        <v>#REF!</v>
      </c>
      <c r="N180" s="5" t="str">
        <f t="shared" si="43"/>
        <v>NO</v>
      </c>
      <c r="O180" s="5">
        <f>+VLOOKUP(C180,[2]Fondos!$F:$J,5,FALSE)</f>
        <v>15268657582.66</v>
      </c>
      <c r="P180" s="13">
        <f>+VLOOKUP(C180,[2]Fondos!$F:$K,6,FALSE)</f>
        <v>0.26679839999999999</v>
      </c>
      <c r="Q180" s="13">
        <f t="shared" si="44"/>
        <v>0</v>
      </c>
      <c r="R180" s="10">
        <f>+IF(Q180&gt;MAESTRO!$G$6,0,1)</f>
        <v>1</v>
      </c>
      <c r="S180">
        <f>+IF(P180&lt;MAESTRO!$G$8,0,1)</f>
        <v>1</v>
      </c>
      <c r="T180" s="10">
        <f t="shared" si="45"/>
        <v>2</v>
      </c>
      <c r="U180" t="str">
        <f>+IF(R180+S180=2,MAESTRO!$G$2,IF(R180+S180=0,MAESTRO!$G$5,IF(R180=0,MAESTRO!$G$3,IF(S180=0,MAESTRO!$G$4,))))</f>
        <v>cumple politica</v>
      </c>
    </row>
    <row r="181" spans="1:21" s="11" customFormat="1" x14ac:dyDescent="0.3">
      <c r="A181" s="11" t="s">
        <v>119</v>
      </c>
      <c r="B181" t="s">
        <v>25</v>
      </c>
      <c r="C181" t="s">
        <v>40</v>
      </c>
      <c r="D181" t="s">
        <v>81</v>
      </c>
      <c r="E181" s="24">
        <f t="shared" si="39"/>
        <v>0</v>
      </c>
      <c r="F181" s="22">
        <f>-SUMIFS(CARGA!I:I,CARGA!B:B,tabla!A181,CARGA!D:D,tabla!C181,CARGA!C:C,MAESTRO!$B$4)-SUMIFS(CARGA!I:I,CARGA!B:B,tabla!A181,CARGA!D:D,tabla!C181,CARGA!C:C,MAESTRO!$B$5)</f>
        <v>0</v>
      </c>
      <c r="G181" s="5">
        <f>+SUMIFS(CARGA!I:I,CARGA!B:B,tabla!A181,CARGA!D:D,tabla!C181)</f>
        <v>0</v>
      </c>
      <c r="H181" s="5">
        <f>+SUMIFS(CARGA!K:K,CARGA!B:B,tabla!A181,CARGA!D:D,tabla!C181)</f>
        <v>0</v>
      </c>
      <c r="I181" s="5">
        <f t="shared" si="40"/>
        <v>0</v>
      </c>
      <c r="J181" s="5">
        <f>-SUMIFS(CARGA!K:K,CARGA!B:B,tabla!A181,CARGA!D:D,tabla!C181,CARGA!C:C,MAESTRO!$B$4)+SUMIFS(CARGA!K:K,CARGA!B:B,tabla!A181,CARGA!D:D,tabla!C181,CARGA!C:C,MAESTRO!$B$5)</f>
        <v>0</v>
      </c>
      <c r="K181" s="5" t="e">
        <f>+VLOOKUP(C181,#REF!,3,FALSE)</f>
        <v>#REF!</v>
      </c>
      <c r="L181" s="5" t="e">
        <f t="shared" si="41"/>
        <v>#REF!</v>
      </c>
      <c r="M181" s="5" t="e">
        <f t="shared" si="42"/>
        <v>#REF!</v>
      </c>
      <c r="N181" s="5" t="str">
        <f t="shared" si="43"/>
        <v>NO</v>
      </c>
      <c r="O181" s="5">
        <f>+VLOOKUP(C181,[2]Fondos!$F:$J,5,FALSE)</f>
        <v>4231508416.6700001</v>
      </c>
      <c r="P181" s="13">
        <f>+VLOOKUP(C181,[2]Fondos!$F:$K,6,FALSE)</f>
        <v>0.21473639999999999</v>
      </c>
      <c r="Q181" s="13">
        <f t="shared" si="44"/>
        <v>0</v>
      </c>
      <c r="R181" s="10">
        <f>+IF(Q181&gt;MAESTRO!$G$6,0,1)</f>
        <v>1</v>
      </c>
      <c r="S181">
        <f>+IF(P181&lt;MAESTRO!$G$8,0,1)</f>
        <v>1</v>
      </c>
      <c r="T181" s="10">
        <f t="shared" si="45"/>
        <v>2</v>
      </c>
      <c r="U181" t="str">
        <f>+IF(R181+S181=2,MAESTRO!$G$2,IF(R181+S181=0,MAESTRO!$G$5,IF(R181=0,MAESTRO!$G$3,IF(S181=0,MAESTRO!$G$4,))))</f>
        <v>cumple politica</v>
      </c>
    </row>
    <row r="182" spans="1:21" s="11" customFormat="1" x14ac:dyDescent="0.3">
      <c r="A182" s="11" t="s">
        <v>119</v>
      </c>
      <c r="B182" t="s">
        <v>25</v>
      </c>
      <c r="C182" t="s">
        <v>79</v>
      </c>
      <c r="D182" t="s">
        <v>82</v>
      </c>
      <c r="E182" s="24">
        <f t="shared" si="39"/>
        <v>0</v>
      </c>
      <c r="F182" s="22">
        <f>-SUMIFS(CARGA!I:I,CARGA!B:B,tabla!A182,CARGA!D:D,tabla!C182,CARGA!C:C,MAESTRO!$B$4)-SUMIFS(CARGA!I:I,CARGA!B:B,tabla!A182,CARGA!D:D,tabla!C182,CARGA!C:C,MAESTRO!$B$5)</f>
        <v>0</v>
      </c>
      <c r="G182" s="5">
        <f>+SUMIFS(CARGA!I:I,CARGA!B:B,tabla!A182,CARGA!D:D,tabla!C182)</f>
        <v>0</v>
      </c>
      <c r="H182" s="5">
        <f>+SUMIFS(CARGA!K:K,CARGA!B:B,tabla!A182,CARGA!D:D,tabla!C182)</f>
        <v>0</v>
      </c>
      <c r="I182" s="5">
        <f t="shared" si="40"/>
        <v>0</v>
      </c>
      <c r="J182" s="5">
        <f>-SUMIFS(CARGA!K:K,CARGA!B:B,tabla!A182,CARGA!D:D,tabla!C182,CARGA!C:C,MAESTRO!$B$4)+SUMIFS(CARGA!K:K,CARGA!B:B,tabla!A182,CARGA!D:D,tabla!C182,CARGA!C:C,MAESTRO!$B$5)</f>
        <v>0</v>
      </c>
      <c r="K182" s="5" t="e">
        <f>+VLOOKUP(C182,#REF!,3,FALSE)</f>
        <v>#REF!</v>
      </c>
      <c r="L182" s="5" t="e">
        <f t="shared" si="41"/>
        <v>#REF!</v>
      </c>
      <c r="M182" s="5" t="e">
        <f t="shared" si="42"/>
        <v>#REF!</v>
      </c>
      <c r="N182" s="5" t="str">
        <f t="shared" si="43"/>
        <v>NO</v>
      </c>
      <c r="O182" s="5">
        <f>+VLOOKUP(C182,[2]Fondos!$F:$J,5,FALSE)</f>
        <v>415179361.94999999</v>
      </c>
      <c r="P182" s="13">
        <f>+VLOOKUP(C182,[2]Fondos!$F:$K,6,FALSE)</f>
        <v>0.20571149999999999</v>
      </c>
      <c r="Q182" s="13">
        <f t="shared" si="44"/>
        <v>0</v>
      </c>
      <c r="R182" s="10">
        <f>+IF(Q182&gt;MAESTRO!$G$6,0,1)</f>
        <v>1</v>
      </c>
      <c r="S182">
        <f>+IF(P182&lt;MAESTRO!$G$8,0,1)</f>
        <v>1</v>
      </c>
      <c r="T182" s="10">
        <f t="shared" si="45"/>
        <v>2</v>
      </c>
      <c r="U182" t="str">
        <f>+IF(R182+S182=2,MAESTRO!$G$2,IF(R182+S182=0,MAESTRO!$G$5,IF(R182=0,MAESTRO!$G$3,IF(S182=0,MAESTRO!$G$4,))))</f>
        <v>cumple politica</v>
      </c>
    </row>
    <row r="183" spans="1:21" s="11" customFormat="1" x14ac:dyDescent="0.3">
      <c r="A183" s="11" t="s">
        <v>119</v>
      </c>
      <c r="B183" t="s">
        <v>26</v>
      </c>
      <c r="C183" t="s">
        <v>61</v>
      </c>
      <c r="D183" t="s">
        <v>82</v>
      </c>
      <c r="E183" s="24">
        <f t="shared" si="39"/>
        <v>0</v>
      </c>
      <c r="F183" s="22">
        <f>-SUMIFS(CARGA!I:I,CARGA!B:B,tabla!A183,CARGA!D:D,tabla!C183,CARGA!C:C,MAESTRO!$B$4)-SUMIFS(CARGA!I:I,CARGA!B:B,tabla!A183,CARGA!D:D,tabla!C183,CARGA!C:C,MAESTRO!$B$5)</f>
        <v>0</v>
      </c>
      <c r="G183" s="5">
        <f>+SUMIFS(CARGA!I:I,CARGA!B:B,tabla!A183,CARGA!D:D,tabla!C183)</f>
        <v>0</v>
      </c>
      <c r="H183" s="5">
        <f>+SUMIFS(CARGA!K:K,CARGA!B:B,tabla!A183,CARGA!D:D,tabla!C183)</f>
        <v>0</v>
      </c>
      <c r="I183" s="5">
        <f t="shared" si="40"/>
        <v>0</v>
      </c>
      <c r="J183" s="5">
        <f>-SUMIFS(CARGA!K:K,CARGA!B:B,tabla!A183,CARGA!D:D,tabla!C183,CARGA!C:C,MAESTRO!$B$4)+SUMIFS(CARGA!K:K,CARGA!B:B,tabla!A183,CARGA!D:D,tabla!C183,CARGA!C:C,MAESTRO!$B$5)</f>
        <v>0</v>
      </c>
      <c r="K183" s="5" t="e">
        <f>+VLOOKUP(C183,#REF!,3,FALSE)</f>
        <v>#REF!</v>
      </c>
      <c r="L183" s="5" t="e">
        <f t="shared" si="41"/>
        <v>#REF!</v>
      </c>
      <c r="M183" s="5" t="e">
        <f t="shared" si="42"/>
        <v>#REF!</v>
      </c>
      <c r="N183" s="5" t="str">
        <f t="shared" si="43"/>
        <v>NO</v>
      </c>
      <c r="O183" s="5">
        <f>+VLOOKUP(C183,[2]Fondos!$F:$J,5,FALSE)</f>
        <v>25454891426</v>
      </c>
      <c r="P183" s="13">
        <f>+VLOOKUP(C183,[2]Fondos!$F:$K,6,FALSE)</f>
        <v>0.26389279999999998</v>
      </c>
      <c r="Q183" s="13">
        <f t="shared" si="44"/>
        <v>0</v>
      </c>
      <c r="R183" s="10">
        <f>+IF(Q183&gt;MAESTRO!$G$6,0,1)</f>
        <v>1</v>
      </c>
      <c r="S183">
        <f>+IF(P183&lt;MAESTRO!$G$8,0,1)</f>
        <v>1</v>
      </c>
      <c r="T183" s="10">
        <f t="shared" si="45"/>
        <v>2</v>
      </c>
      <c r="U183" t="str">
        <f>+IF(R183+S183=2,MAESTRO!$G$2,IF(R183+S183=0,MAESTRO!$G$5,IF(R183=0,MAESTRO!$G$3,IF(S183=0,MAESTRO!$G$4,))))</f>
        <v>cumple politica</v>
      </c>
    </row>
    <row r="184" spans="1:21" s="11" customFormat="1" x14ac:dyDescent="0.3">
      <c r="A184" s="11" t="s">
        <v>119</v>
      </c>
      <c r="B184" t="s">
        <v>26</v>
      </c>
      <c r="C184" t="s">
        <v>58</v>
      </c>
      <c r="D184" t="s">
        <v>82</v>
      </c>
      <c r="E184" s="24">
        <f t="shared" si="39"/>
        <v>0</v>
      </c>
      <c r="F184" s="22">
        <f>-SUMIFS(CARGA!I:I,CARGA!B:B,tabla!A184,CARGA!D:D,tabla!C184,CARGA!C:C,MAESTRO!$B$4)-SUMIFS(CARGA!I:I,CARGA!B:B,tabla!A184,CARGA!D:D,tabla!C184,CARGA!C:C,MAESTRO!$B$5)</f>
        <v>0</v>
      </c>
      <c r="G184" s="5">
        <f>+SUMIFS(CARGA!I:I,CARGA!B:B,tabla!A184,CARGA!D:D,tabla!C184)</f>
        <v>0</v>
      </c>
      <c r="H184" s="5">
        <f>+SUMIFS(CARGA!K:K,CARGA!B:B,tabla!A184,CARGA!D:D,tabla!C184)</f>
        <v>0</v>
      </c>
      <c r="I184" s="5">
        <f t="shared" si="40"/>
        <v>0</v>
      </c>
      <c r="J184" s="5">
        <f>-SUMIFS(CARGA!K:K,CARGA!B:B,tabla!A184,CARGA!D:D,tabla!C184,CARGA!C:C,MAESTRO!$B$4)+SUMIFS(CARGA!K:K,CARGA!B:B,tabla!A184,CARGA!D:D,tabla!C184,CARGA!C:C,MAESTRO!$B$5)</f>
        <v>0</v>
      </c>
      <c r="K184" s="5" t="e">
        <f>+VLOOKUP(C184,#REF!,3,FALSE)</f>
        <v>#REF!</v>
      </c>
      <c r="L184" s="5" t="e">
        <f t="shared" si="41"/>
        <v>#REF!</v>
      </c>
      <c r="M184" s="5" t="e">
        <f t="shared" si="42"/>
        <v>#REF!</v>
      </c>
      <c r="N184" s="5" t="str">
        <f t="shared" si="43"/>
        <v>NO</v>
      </c>
      <c r="O184" s="5">
        <f>+VLOOKUP(C184,[2]Fondos!$F:$J,5,FALSE)</f>
        <v>25454891426</v>
      </c>
      <c r="P184" s="13">
        <f>+VLOOKUP(C184,[2]Fondos!$F:$K,6,FALSE)</f>
        <v>0.26686179999999998</v>
      </c>
      <c r="Q184" s="13">
        <f t="shared" si="44"/>
        <v>0</v>
      </c>
      <c r="R184" s="10">
        <f>+IF(Q184&gt;MAESTRO!$G$6,0,1)</f>
        <v>1</v>
      </c>
      <c r="S184">
        <f>+IF(P184&lt;MAESTRO!$G$8,0,1)</f>
        <v>1</v>
      </c>
      <c r="T184" s="10">
        <f t="shared" si="45"/>
        <v>2</v>
      </c>
      <c r="U184" t="str">
        <f>+IF(R184+S184=2,MAESTRO!$G$2,IF(R184+S184=0,MAESTRO!$G$5,IF(R184=0,MAESTRO!$G$3,IF(S184=0,MAESTRO!$G$4,))))</f>
        <v>cumple politica</v>
      </c>
    </row>
    <row r="185" spans="1:21" s="11" customFormat="1" x14ac:dyDescent="0.3">
      <c r="A185" s="11" t="s">
        <v>119</v>
      </c>
      <c r="B185" t="s">
        <v>26</v>
      </c>
      <c r="C185" t="s">
        <v>56</v>
      </c>
      <c r="D185" t="s">
        <v>82</v>
      </c>
      <c r="E185" s="24">
        <f t="shared" si="39"/>
        <v>0</v>
      </c>
      <c r="F185" s="22">
        <f>-SUMIFS(CARGA!I:I,CARGA!B:B,tabla!A185,CARGA!D:D,tabla!C185,CARGA!C:C,MAESTRO!$B$4)-SUMIFS(CARGA!I:I,CARGA!B:B,tabla!A185,CARGA!D:D,tabla!C185,CARGA!C:C,MAESTRO!$B$5)</f>
        <v>0</v>
      </c>
      <c r="G185" s="5">
        <f>+SUMIFS(CARGA!I:I,CARGA!B:B,tabla!A185,CARGA!D:D,tabla!C185)</f>
        <v>0</v>
      </c>
      <c r="H185" s="5">
        <f>+SUMIFS(CARGA!K:K,CARGA!B:B,tabla!A185,CARGA!D:D,tabla!C185)</f>
        <v>0</v>
      </c>
      <c r="I185" s="5">
        <f t="shared" si="40"/>
        <v>0</v>
      </c>
      <c r="J185" s="5">
        <f>-SUMIFS(CARGA!K:K,CARGA!B:B,tabla!A185,CARGA!D:D,tabla!C185,CARGA!C:C,MAESTRO!$B$4)+SUMIFS(CARGA!K:K,CARGA!B:B,tabla!A185,CARGA!D:D,tabla!C185,CARGA!C:C,MAESTRO!$B$5)</f>
        <v>0</v>
      </c>
      <c r="K185" s="5" t="e">
        <f>+VLOOKUP(C185,#REF!,3,FALSE)</f>
        <v>#REF!</v>
      </c>
      <c r="L185" s="5" t="e">
        <f t="shared" si="41"/>
        <v>#REF!</v>
      </c>
      <c r="M185" s="5" t="e">
        <f t="shared" si="42"/>
        <v>#REF!</v>
      </c>
      <c r="N185" s="5" t="str">
        <f t="shared" si="43"/>
        <v>NO</v>
      </c>
      <c r="O185" s="5">
        <f>+VLOOKUP(C185,[2]Fondos!$F:$J,5,FALSE)</f>
        <v>25454891426</v>
      </c>
      <c r="P185" s="13">
        <f>+VLOOKUP(C185,[2]Fondos!$F:$K,6,FALSE)</f>
        <v>0.27078930000000001</v>
      </c>
      <c r="Q185" s="13">
        <f t="shared" si="44"/>
        <v>0</v>
      </c>
      <c r="R185" s="10">
        <f>+IF(Q185&gt;MAESTRO!$G$6,0,1)</f>
        <v>1</v>
      </c>
      <c r="S185">
        <f>+IF(P185&lt;MAESTRO!$G$8,0,1)</f>
        <v>1</v>
      </c>
      <c r="T185" s="10">
        <f t="shared" si="45"/>
        <v>2</v>
      </c>
      <c r="U185" t="str">
        <f>+IF(R185+S185=2,MAESTRO!$G$2,IF(R185+S185=0,MAESTRO!$G$5,IF(R185=0,MAESTRO!$G$3,IF(S185=0,MAESTRO!$G$4,))))</f>
        <v>cumple politica</v>
      </c>
    </row>
    <row r="186" spans="1:21" s="11" customFormat="1" x14ac:dyDescent="0.3">
      <c r="A186" s="11" t="s">
        <v>119</v>
      </c>
      <c r="B186" t="s">
        <v>26</v>
      </c>
      <c r="C186" t="s">
        <v>65</v>
      </c>
      <c r="D186" t="s">
        <v>82</v>
      </c>
      <c r="E186" s="24">
        <f t="shared" si="39"/>
        <v>0</v>
      </c>
      <c r="F186" s="22">
        <f>-SUMIFS(CARGA!I:I,CARGA!B:B,tabla!A186,CARGA!D:D,tabla!C186,CARGA!C:C,MAESTRO!$B$4)-SUMIFS(CARGA!I:I,CARGA!B:B,tabla!A186,CARGA!D:D,tabla!C186,CARGA!C:C,MAESTRO!$B$5)</f>
        <v>0</v>
      </c>
      <c r="G186" s="5">
        <f>+SUMIFS(CARGA!I:I,CARGA!B:B,tabla!A186,CARGA!D:D,tabla!C186)</f>
        <v>0</v>
      </c>
      <c r="H186" s="5">
        <f>+SUMIFS(CARGA!K:K,CARGA!B:B,tabla!A186,CARGA!D:D,tabla!C186)</f>
        <v>0</v>
      </c>
      <c r="I186" s="5">
        <f t="shared" si="40"/>
        <v>0</v>
      </c>
      <c r="J186" s="5">
        <f>-SUMIFS(CARGA!K:K,CARGA!B:B,tabla!A186,CARGA!D:D,tabla!C186,CARGA!C:C,MAESTRO!$B$4)+SUMIFS(CARGA!K:K,CARGA!B:B,tabla!A186,CARGA!D:D,tabla!C186,CARGA!C:C,MAESTRO!$B$5)</f>
        <v>0</v>
      </c>
      <c r="K186" s="5" t="e">
        <f>+VLOOKUP(C186,#REF!,3,FALSE)</f>
        <v>#REF!</v>
      </c>
      <c r="L186" s="5" t="e">
        <f t="shared" si="41"/>
        <v>#REF!</v>
      </c>
      <c r="M186" s="5" t="e">
        <f t="shared" si="42"/>
        <v>#REF!</v>
      </c>
      <c r="N186" s="5" t="str">
        <f t="shared" si="43"/>
        <v>NO</v>
      </c>
      <c r="O186" s="5">
        <f>+VLOOKUP(C186,[2]Fondos!$F:$J,5,FALSE)</f>
        <v>26527515773</v>
      </c>
      <c r="P186" s="13">
        <f>+VLOOKUP(C186,[2]Fondos!$F:$K,6,FALSE)</f>
        <v>0.26544099999999998</v>
      </c>
      <c r="Q186" s="13">
        <f t="shared" si="44"/>
        <v>0</v>
      </c>
      <c r="R186" s="10">
        <f>+IF(Q186&gt;MAESTRO!$G$6,0,1)</f>
        <v>1</v>
      </c>
      <c r="S186">
        <f>+IF(P186&lt;MAESTRO!$G$8,0,1)</f>
        <v>1</v>
      </c>
      <c r="T186" s="10">
        <f t="shared" si="45"/>
        <v>2</v>
      </c>
      <c r="U186" t="str">
        <f>+IF(R186+S186=2,MAESTRO!$G$2,IF(R186+S186=0,MAESTRO!$G$5,IF(R186=0,MAESTRO!$G$3,IF(S186=0,MAESTRO!$G$4,))))</f>
        <v>cumple politica</v>
      </c>
    </row>
    <row r="187" spans="1:21" s="11" customFormat="1" x14ac:dyDescent="0.3">
      <c r="A187" s="11" t="s">
        <v>119</v>
      </c>
      <c r="B187" t="s">
        <v>26</v>
      </c>
      <c r="C187" t="s">
        <v>45</v>
      </c>
      <c r="D187" t="s">
        <v>81</v>
      </c>
      <c r="E187" s="24">
        <f t="shared" si="39"/>
        <v>0</v>
      </c>
      <c r="F187" s="22">
        <f>-SUMIFS(CARGA!I:I,CARGA!B:B,tabla!A187,CARGA!D:D,tabla!C187,CARGA!C:C,MAESTRO!$B$4)-SUMIFS(CARGA!I:I,CARGA!B:B,tabla!A187,CARGA!D:D,tabla!C187,CARGA!C:C,MAESTRO!$B$5)</f>
        <v>0</v>
      </c>
      <c r="G187" s="5">
        <f>+SUMIFS(CARGA!I:I,CARGA!B:B,tabla!A187,CARGA!D:D,tabla!C187)</f>
        <v>0</v>
      </c>
      <c r="H187" s="5">
        <f>+SUMIFS(CARGA!K:K,CARGA!B:B,tabla!A187,CARGA!D:D,tabla!C187)</f>
        <v>0</v>
      </c>
      <c r="I187" s="5">
        <f t="shared" si="40"/>
        <v>0</v>
      </c>
      <c r="J187" s="5">
        <f>-SUMIFS(CARGA!K:K,CARGA!B:B,tabla!A187,CARGA!D:D,tabla!C187,CARGA!C:C,MAESTRO!$B$4)+SUMIFS(CARGA!K:K,CARGA!B:B,tabla!A187,CARGA!D:D,tabla!C187,CARGA!C:C,MAESTRO!$B$5)</f>
        <v>0</v>
      </c>
      <c r="K187" s="5" t="e">
        <f>+VLOOKUP(C187,#REF!,3,FALSE)</f>
        <v>#REF!</v>
      </c>
      <c r="L187" s="5" t="e">
        <f t="shared" si="41"/>
        <v>#REF!</v>
      </c>
      <c r="M187" s="5" t="e">
        <f t="shared" si="42"/>
        <v>#REF!</v>
      </c>
      <c r="N187" s="5" t="str">
        <f t="shared" si="43"/>
        <v>NO</v>
      </c>
      <c r="O187" s="5">
        <f>+VLOOKUP(C187,[2]Fondos!$F:$J,5,FALSE)</f>
        <v>9536957677</v>
      </c>
      <c r="P187" s="13">
        <f>+VLOOKUP(C187,[2]Fondos!$F:$K,6,FALSE)</f>
        <v>0.20501570000000002</v>
      </c>
      <c r="Q187" s="13">
        <f t="shared" si="44"/>
        <v>0</v>
      </c>
      <c r="R187" s="10">
        <f>+IF(Q187&gt;MAESTRO!$G$6,0,1)</f>
        <v>1</v>
      </c>
      <c r="S187">
        <f>+IF(P187&lt;MAESTRO!$G$8,0,1)</f>
        <v>1</v>
      </c>
      <c r="T187" s="10">
        <f t="shared" si="45"/>
        <v>2</v>
      </c>
      <c r="U187" t="str">
        <f>+IF(R187+S187=2,MAESTRO!$G$2,IF(R187+S187=0,MAESTRO!$G$5,IF(R187=0,MAESTRO!$G$3,IF(S187=0,MAESTRO!$G$4,))))</f>
        <v>cumple politica</v>
      </c>
    </row>
    <row r="188" spans="1:21" s="11" customFormat="1" x14ac:dyDescent="0.3">
      <c r="A188" s="11" t="s">
        <v>119</v>
      </c>
      <c r="B188" t="s">
        <v>26</v>
      </c>
      <c r="C188" t="s">
        <v>41</v>
      </c>
      <c r="D188" t="s">
        <v>81</v>
      </c>
      <c r="E188" s="24">
        <f t="shared" si="39"/>
        <v>0</v>
      </c>
      <c r="F188" s="22">
        <f>-SUMIFS(CARGA!I:I,CARGA!B:B,tabla!A188,CARGA!D:D,tabla!C188,CARGA!C:C,MAESTRO!$B$4)-SUMIFS(CARGA!I:I,CARGA!B:B,tabla!A188,CARGA!D:D,tabla!C188,CARGA!C:C,MAESTRO!$B$5)</f>
        <v>0</v>
      </c>
      <c r="G188" s="5">
        <f>+SUMIFS(CARGA!I:I,CARGA!B:B,tabla!A188,CARGA!D:D,tabla!C188)</f>
        <v>0</v>
      </c>
      <c r="H188" s="5">
        <f>+SUMIFS(CARGA!K:K,CARGA!B:B,tabla!A188,CARGA!D:D,tabla!C188)</f>
        <v>0</v>
      </c>
      <c r="I188" s="5">
        <f t="shared" si="40"/>
        <v>0</v>
      </c>
      <c r="J188" s="5">
        <f>-SUMIFS(CARGA!K:K,CARGA!B:B,tabla!A188,CARGA!D:D,tabla!C188,CARGA!C:C,MAESTRO!$B$4)+SUMIFS(CARGA!K:K,CARGA!B:B,tabla!A188,CARGA!D:D,tabla!C188,CARGA!C:C,MAESTRO!$B$5)</f>
        <v>0</v>
      </c>
      <c r="K188" s="5" t="e">
        <f>+VLOOKUP(C188,#REF!,3,FALSE)</f>
        <v>#REF!</v>
      </c>
      <c r="L188" s="5" t="e">
        <f t="shared" si="41"/>
        <v>#REF!</v>
      </c>
      <c r="M188" s="5" t="e">
        <f t="shared" si="42"/>
        <v>#REF!</v>
      </c>
      <c r="N188" s="5" t="str">
        <f t="shared" si="43"/>
        <v>NO</v>
      </c>
      <c r="O188" s="5">
        <f>+VLOOKUP(C188,[2]Fondos!$F:$J,5,FALSE)</f>
        <v>9536957677</v>
      </c>
      <c r="P188" s="13">
        <f>+VLOOKUP(C188,[2]Fondos!$F:$K,6,FALSE)</f>
        <v>0.2143747</v>
      </c>
      <c r="Q188" s="13">
        <f t="shared" si="44"/>
        <v>0</v>
      </c>
      <c r="R188" s="10">
        <f>+IF(Q188&gt;MAESTRO!$G$6,0,1)</f>
        <v>1</v>
      </c>
      <c r="S188">
        <f>+IF(P188&lt;MAESTRO!$G$8,0,1)</f>
        <v>1</v>
      </c>
      <c r="T188" s="10">
        <f t="shared" si="45"/>
        <v>2</v>
      </c>
      <c r="U188" t="str">
        <f>+IF(R188+S188=2,MAESTRO!$G$2,IF(R188+S188=0,MAESTRO!$G$5,IF(R188=0,MAESTRO!$G$3,IF(S188=0,MAESTRO!$G$4,))))</f>
        <v>cumple politica</v>
      </c>
    </row>
    <row r="189" spans="1:21" s="11" customFormat="1" x14ac:dyDescent="0.3">
      <c r="A189" s="11" t="s">
        <v>119</v>
      </c>
      <c r="B189" t="s">
        <v>36</v>
      </c>
      <c r="C189" t="s">
        <v>73</v>
      </c>
      <c r="D189" t="s">
        <v>82</v>
      </c>
      <c r="E189" s="24">
        <f t="shared" si="39"/>
        <v>0</v>
      </c>
      <c r="F189" s="22">
        <f>-SUMIFS(CARGA!I:I,CARGA!B:B,tabla!A189,CARGA!D:D,tabla!C189,CARGA!C:C,MAESTRO!$B$4)-SUMIFS(CARGA!I:I,CARGA!B:B,tabla!A189,CARGA!D:D,tabla!C189,CARGA!C:C,MAESTRO!$B$5)</f>
        <v>0</v>
      </c>
      <c r="G189" s="5">
        <f>+SUMIFS(CARGA!I:I,CARGA!B:B,tabla!A189,CARGA!D:D,tabla!C189)</f>
        <v>0</v>
      </c>
      <c r="H189" s="5">
        <f>+SUMIFS(CARGA!K:K,CARGA!B:B,tabla!A189,CARGA!D:D,tabla!C189)</f>
        <v>0</v>
      </c>
      <c r="I189" s="5">
        <f t="shared" si="40"/>
        <v>0</v>
      </c>
      <c r="J189" s="5">
        <f>-SUMIFS(CARGA!K:K,CARGA!B:B,tabla!A189,CARGA!D:D,tabla!C189,CARGA!C:C,MAESTRO!$B$4)+SUMIFS(CARGA!K:K,CARGA!B:B,tabla!A189,CARGA!D:D,tabla!C189,CARGA!C:C,MAESTRO!$B$5)</f>
        <v>0</v>
      </c>
      <c r="K189" s="5" t="e">
        <f>+VLOOKUP(C189,#REF!,3,FALSE)</f>
        <v>#REF!</v>
      </c>
      <c r="L189" s="5" t="e">
        <f t="shared" si="41"/>
        <v>#REF!</v>
      </c>
      <c r="M189" s="5" t="e">
        <f t="shared" si="42"/>
        <v>#REF!</v>
      </c>
      <c r="N189" s="5" t="str">
        <f t="shared" si="43"/>
        <v>NO</v>
      </c>
      <c r="O189" s="5">
        <f>+VLOOKUP(C189,[2]Fondos!$F:$J,5,FALSE)</f>
        <v>5558283453.2200003</v>
      </c>
      <c r="P189" s="13">
        <f>+VLOOKUP(C189,[2]Fondos!$F:$K,6,FALSE)</f>
        <v>0.26949119999999999</v>
      </c>
      <c r="Q189" s="13">
        <f t="shared" si="44"/>
        <v>0</v>
      </c>
      <c r="R189" s="10">
        <f>+IF(Q189&gt;MAESTRO!$G$6,0,1)</f>
        <v>1</v>
      </c>
      <c r="S189">
        <f>+IF(P189&lt;MAESTRO!$G$8,0,1)</f>
        <v>1</v>
      </c>
      <c r="T189" s="10">
        <f t="shared" si="45"/>
        <v>2</v>
      </c>
      <c r="U189" t="str">
        <f>+IF(R189+S189=2,MAESTRO!$G$2,IF(R189+S189=0,MAESTRO!$G$5,IF(R189=0,MAESTRO!$G$3,IF(S189=0,MAESTRO!$G$4,))))</f>
        <v>cumple politica</v>
      </c>
    </row>
    <row r="190" spans="1:21" s="11" customFormat="1" x14ac:dyDescent="0.3">
      <c r="A190" s="11" t="s">
        <v>119</v>
      </c>
      <c r="B190" t="s">
        <v>36</v>
      </c>
      <c r="C190" t="s">
        <v>72</v>
      </c>
      <c r="D190" t="s">
        <v>81</v>
      </c>
      <c r="E190" s="24">
        <f t="shared" si="39"/>
        <v>0</v>
      </c>
      <c r="F190" s="22">
        <f>-SUMIFS(CARGA!I:I,CARGA!B:B,tabla!A190,CARGA!D:D,tabla!C190,CARGA!C:C,MAESTRO!$B$4)-SUMIFS(CARGA!I:I,CARGA!B:B,tabla!A190,CARGA!D:D,tabla!C190,CARGA!C:C,MAESTRO!$B$5)</f>
        <v>0</v>
      </c>
      <c r="G190" s="5">
        <f>+SUMIFS(CARGA!I:I,CARGA!B:B,tabla!A190,CARGA!D:D,tabla!C190)</f>
        <v>0</v>
      </c>
      <c r="H190" s="5">
        <f>+SUMIFS(CARGA!K:K,CARGA!B:B,tabla!A190,CARGA!D:D,tabla!C190)</f>
        <v>0</v>
      </c>
      <c r="I190" s="5">
        <f t="shared" si="40"/>
        <v>0</v>
      </c>
      <c r="J190" s="5">
        <f>-SUMIFS(CARGA!K:K,CARGA!B:B,tabla!A190,CARGA!D:D,tabla!C190,CARGA!C:C,MAESTRO!$B$4)+SUMIFS(CARGA!K:K,CARGA!B:B,tabla!A190,CARGA!D:D,tabla!C190,CARGA!C:C,MAESTRO!$B$5)</f>
        <v>0</v>
      </c>
      <c r="K190" s="5" t="e">
        <f>+VLOOKUP(C190,#REF!,3,FALSE)</f>
        <v>#REF!</v>
      </c>
      <c r="L190" s="5" t="e">
        <f t="shared" si="41"/>
        <v>#REF!</v>
      </c>
      <c r="M190" s="5" t="e">
        <f t="shared" si="42"/>
        <v>#REF!</v>
      </c>
      <c r="N190" s="5" t="str">
        <f t="shared" si="43"/>
        <v>NO</v>
      </c>
      <c r="O190" s="5">
        <f>+VLOOKUP(C190,[2]Fondos!$F:$J,5,FALSE)</f>
        <v>4289905534.3099999</v>
      </c>
      <c r="P190" s="13">
        <f>+VLOOKUP(C190,[2]Fondos!$F:$K,6,FALSE)</f>
        <v>0.2090719</v>
      </c>
      <c r="Q190" s="13">
        <f t="shared" si="44"/>
        <v>0</v>
      </c>
      <c r="R190" s="10">
        <f>+IF(Q190&gt;MAESTRO!$G$6,0,1)</f>
        <v>1</v>
      </c>
      <c r="S190">
        <f>+IF(P190&lt;MAESTRO!$G$8,0,1)</f>
        <v>1</v>
      </c>
      <c r="T190" s="10">
        <f t="shared" si="45"/>
        <v>2</v>
      </c>
      <c r="U190" t="str">
        <f>+IF(R190+S190=2,MAESTRO!$G$2,IF(R190+S190=0,MAESTRO!$G$5,IF(R190=0,MAESTRO!$G$3,IF(S190=0,MAESTRO!$G$4,))))</f>
        <v>cumple politica</v>
      </c>
    </row>
    <row r="191" spans="1:21" s="11" customFormat="1" x14ac:dyDescent="0.3">
      <c r="A191" s="11" t="s">
        <v>119</v>
      </c>
      <c r="B191" t="s">
        <v>28</v>
      </c>
      <c r="C191" t="s">
        <v>46</v>
      </c>
      <c r="D191" t="s">
        <v>81</v>
      </c>
      <c r="E191" s="24">
        <f t="shared" si="39"/>
        <v>0</v>
      </c>
      <c r="F191" s="22">
        <f>-SUMIFS(CARGA!I:I,CARGA!B:B,tabla!A191,CARGA!D:D,tabla!C191,CARGA!C:C,MAESTRO!$B$4)-SUMIFS(CARGA!I:I,CARGA!B:B,tabla!A191,CARGA!D:D,tabla!C191,CARGA!C:C,MAESTRO!$B$5)</f>
        <v>0</v>
      </c>
      <c r="G191" s="5">
        <f>+SUMIFS(CARGA!I:I,CARGA!B:B,tabla!A191,CARGA!D:D,tabla!C191)</f>
        <v>0</v>
      </c>
      <c r="H191" s="5">
        <f>+SUMIFS(CARGA!K:K,CARGA!B:B,tabla!A191,CARGA!D:D,tabla!C191)</f>
        <v>0</v>
      </c>
      <c r="I191" s="5">
        <f t="shared" si="40"/>
        <v>0</v>
      </c>
      <c r="J191" s="5">
        <f>-SUMIFS(CARGA!K:K,CARGA!B:B,tabla!A191,CARGA!D:D,tabla!C191,CARGA!C:C,MAESTRO!$B$4)+SUMIFS(CARGA!K:K,CARGA!B:B,tabla!A191,CARGA!D:D,tabla!C191,CARGA!C:C,MAESTRO!$B$5)</f>
        <v>0</v>
      </c>
      <c r="K191" s="5" t="e">
        <f>+VLOOKUP(C191,#REF!,3,FALSE)</f>
        <v>#REF!</v>
      </c>
      <c r="L191" s="5" t="e">
        <f t="shared" si="41"/>
        <v>#REF!</v>
      </c>
      <c r="M191" s="5" t="e">
        <f t="shared" si="42"/>
        <v>#REF!</v>
      </c>
      <c r="N191" s="5" t="str">
        <f t="shared" si="43"/>
        <v>NO</v>
      </c>
      <c r="O191" s="5">
        <f>+VLOOKUP(C191,[2]Fondos!$F:$J,5,FALSE)</f>
        <v>2107469999.9999998</v>
      </c>
      <c r="P191" s="13">
        <f>+VLOOKUP(C191,[2]Fondos!$F:$K,6,FALSE)</f>
        <v>0.20305720000000002</v>
      </c>
      <c r="Q191" s="13">
        <f t="shared" si="44"/>
        <v>0</v>
      </c>
      <c r="R191" s="10">
        <f>+IF(Q191&gt;MAESTRO!$G$6,0,1)</f>
        <v>1</v>
      </c>
      <c r="S191">
        <f>+IF(P191&lt;MAESTRO!$G$8,0,1)</f>
        <v>1</v>
      </c>
      <c r="T191" s="10">
        <f t="shared" si="45"/>
        <v>2</v>
      </c>
      <c r="U191" t="str">
        <f>+IF(R191+S191=2,MAESTRO!$G$2,IF(R191+S191=0,MAESTRO!$G$5,IF(R191=0,MAESTRO!$G$3,IF(S191=0,MAESTRO!$G$4,))))</f>
        <v>cumple politica</v>
      </c>
    </row>
    <row r="192" spans="1:21" s="11" customFormat="1" x14ac:dyDescent="0.3">
      <c r="A192" s="11" t="s">
        <v>119</v>
      </c>
      <c r="B192" t="s">
        <v>28</v>
      </c>
      <c r="C192" t="s">
        <v>44</v>
      </c>
      <c r="D192" t="s">
        <v>81</v>
      </c>
      <c r="E192" s="24">
        <f t="shared" si="39"/>
        <v>0</v>
      </c>
      <c r="F192" s="22">
        <f>-SUMIFS(CARGA!I:I,CARGA!B:B,tabla!A192,CARGA!D:D,tabla!C192,CARGA!C:C,MAESTRO!$B$4)-SUMIFS(CARGA!I:I,CARGA!B:B,tabla!A192,CARGA!D:D,tabla!C192,CARGA!C:C,MAESTRO!$B$5)</f>
        <v>0</v>
      </c>
      <c r="G192" s="5">
        <f>+SUMIFS(CARGA!I:I,CARGA!B:B,tabla!A192,CARGA!D:D,tabla!C192)</f>
        <v>0</v>
      </c>
      <c r="H192" s="5">
        <f>+SUMIFS(CARGA!K:K,CARGA!B:B,tabla!A192,CARGA!D:D,tabla!C192)</f>
        <v>0</v>
      </c>
      <c r="I192" s="5">
        <f t="shared" si="40"/>
        <v>0</v>
      </c>
      <c r="J192" s="5">
        <f>-SUMIFS(CARGA!K:K,CARGA!B:B,tabla!A192,CARGA!D:D,tabla!C192,CARGA!C:C,MAESTRO!$B$4)+SUMIFS(CARGA!K:K,CARGA!B:B,tabla!A192,CARGA!D:D,tabla!C192,CARGA!C:C,MAESTRO!$B$5)</f>
        <v>0</v>
      </c>
      <c r="K192" s="5" t="e">
        <f>+VLOOKUP(C192,#REF!,3,FALSE)</f>
        <v>#REF!</v>
      </c>
      <c r="L192" s="5" t="e">
        <f t="shared" si="41"/>
        <v>#REF!</v>
      </c>
      <c r="M192" s="5" t="e">
        <f t="shared" si="42"/>
        <v>#REF!</v>
      </c>
      <c r="N192" s="5" t="str">
        <f t="shared" si="43"/>
        <v>NO</v>
      </c>
      <c r="O192" s="5">
        <f>+VLOOKUP(C192,[2]Fondos!$F:$J,5,FALSE)</f>
        <v>2107469999.9999998</v>
      </c>
      <c r="P192" s="13">
        <f>+VLOOKUP(C192,[2]Fondos!$F:$K,6,FALSE)</f>
        <v>0.20835799999999999</v>
      </c>
      <c r="Q192" s="13">
        <f t="shared" si="44"/>
        <v>0</v>
      </c>
      <c r="R192" s="10">
        <f>+IF(Q192&gt;MAESTRO!$G$6,0,1)</f>
        <v>1</v>
      </c>
      <c r="S192">
        <f>+IF(P192&lt;MAESTRO!$G$8,0,1)</f>
        <v>1</v>
      </c>
      <c r="T192" s="10">
        <f t="shared" si="45"/>
        <v>2</v>
      </c>
      <c r="U192" t="str">
        <f>+IF(R192+S192=2,MAESTRO!$G$2,IF(R192+S192=0,MAESTRO!$G$5,IF(R192=0,MAESTRO!$G$3,IF(S192=0,MAESTRO!$G$4,))))</f>
        <v>cumple politica</v>
      </c>
    </row>
    <row r="193" spans="1:21" s="11" customFormat="1" x14ac:dyDescent="0.3">
      <c r="A193" s="11" t="s">
        <v>119</v>
      </c>
      <c r="B193" t="s">
        <v>28</v>
      </c>
      <c r="C193" t="s">
        <v>64</v>
      </c>
      <c r="D193" t="s">
        <v>82</v>
      </c>
      <c r="E193" s="24">
        <f t="shared" si="39"/>
        <v>0</v>
      </c>
      <c r="F193" s="22">
        <f>-SUMIFS(CARGA!I:I,CARGA!B:B,tabla!A193,CARGA!D:D,tabla!C193,CARGA!C:C,MAESTRO!$B$4)-SUMIFS(CARGA!I:I,CARGA!B:B,tabla!A193,CARGA!D:D,tabla!C193,CARGA!C:C,MAESTRO!$B$5)</f>
        <v>0</v>
      </c>
      <c r="G193" s="5">
        <f>+SUMIFS(CARGA!I:I,CARGA!B:B,tabla!A193,CARGA!D:D,tabla!C193)</f>
        <v>0</v>
      </c>
      <c r="H193" s="5">
        <f>+SUMIFS(CARGA!K:K,CARGA!B:B,tabla!A193,CARGA!D:D,tabla!C193)</f>
        <v>0</v>
      </c>
      <c r="I193" s="5">
        <f t="shared" si="40"/>
        <v>0</v>
      </c>
      <c r="J193" s="5">
        <f>-SUMIFS(CARGA!K:K,CARGA!B:B,tabla!A193,CARGA!D:D,tabla!C193,CARGA!C:C,MAESTRO!$B$4)+SUMIFS(CARGA!K:K,CARGA!B:B,tabla!A193,CARGA!D:D,tabla!C193,CARGA!C:C,MAESTRO!$B$5)</f>
        <v>0</v>
      </c>
      <c r="K193" s="5" t="e">
        <f>+VLOOKUP(C193,#REF!,3,FALSE)</f>
        <v>#REF!</v>
      </c>
      <c r="L193" s="5" t="e">
        <f t="shared" si="41"/>
        <v>#REF!</v>
      </c>
      <c r="M193" s="5" t="e">
        <f t="shared" si="42"/>
        <v>#REF!</v>
      </c>
      <c r="N193" s="5" t="str">
        <f t="shared" si="43"/>
        <v>NO</v>
      </c>
      <c r="O193" s="5">
        <f>+VLOOKUP(C193,[2]Fondos!$F:$J,5,FALSE)</f>
        <v>8673260000</v>
      </c>
      <c r="P193" s="13">
        <f>+VLOOKUP(C193,[2]Fondos!$F:$K,6,FALSE)</f>
        <v>0.25678699999999999</v>
      </c>
      <c r="Q193" s="13">
        <f t="shared" si="44"/>
        <v>0</v>
      </c>
      <c r="R193" s="10">
        <f>+IF(Q193&gt;MAESTRO!$G$6,0,1)</f>
        <v>1</v>
      </c>
      <c r="S193">
        <f>+IF(P193&lt;MAESTRO!$G$8,0,1)</f>
        <v>1</v>
      </c>
      <c r="T193" s="10">
        <f t="shared" si="45"/>
        <v>2</v>
      </c>
      <c r="U193" t="str">
        <f>+IF(R193+S193=2,MAESTRO!$G$2,IF(R193+S193=0,MAESTRO!$G$5,IF(R193=0,MAESTRO!$G$3,IF(S193=0,MAESTRO!$G$4,))))</f>
        <v>cumple politica</v>
      </c>
    </row>
    <row r="194" spans="1:21" s="11" customFormat="1" x14ac:dyDescent="0.3">
      <c r="A194" s="11" t="s">
        <v>119</v>
      </c>
      <c r="B194" t="s">
        <v>28</v>
      </c>
      <c r="C194" t="s">
        <v>60</v>
      </c>
      <c r="D194" t="s">
        <v>82</v>
      </c>
      <c r="E194" s="24">
        <f t="shared" si="39"/>
        <v>0</v>
      </c>
      <c r="F194" s="22">
        <f>-SUMIFS(CARGA!I:I,CARGA!B:B,tabla!A194,CARGA!D:D,tabla!C194,CARGA!C:C,MAESTRO!$B$4)-SUMIFS(CARGA!I:I,CARGA!B:B,tabla!A194,CARGA!D:D,tabla!C194,CARGA!C:C,MAESTRO!$B$5)</f>
        <v>0</v>
      </c>
      <c r="G194" s="5">
        <f>+SUMIFS(CARGA!I:I,CARGA!B:B,tabla!A194,CARGA!D:D,tabla!C194)</f>
        <v>0</v>
      </c>
      <c r="H194" s="5">
        <f>+SUMIFS(CARGA!K:K,CARGA!B:B,tabla!A194,CARGA!D:D,tabla!C194)</f>
        <v>0</v>
      </c>
      <c r="I194" s="5">
        <f t="shared" si="40"/>
        <v>0</v>
      </c>
      <c r="J194" s="5">
        <f>-SUMIFS(CARGA!K:K,CARGA!B:B,tabla!A194,CARGA!D:D,tabla!C194,CARGA!C:C,MAESTRO!$B$4)+SUMIFS(CARGA!K:K,CARGA!B:B,tabla!A194,CARGA!D:D,tabla!C194,CARGA!C:C,MAESTRO!$B$5)</f>
        <v>0</v>
      </c>
      <c r="K194" s="5" t="e">
        <f>+VLOOKUP(C194,#REF!,3,FALSE)</f>
        <v>#REF!</v>
      </c>
      <c r="L194" s="5" t="e">
        <f t="shared" si="41"/>
        <v>#REF!</v>
      </c>
      <c r="M194" s="5" t="e">
        <f t="shared" si="42"/>
        <v>#REF!</v>
      </c>
      <c r="N194" s="5" t="str">
        <f t="shared" si="43"/>
        <v>NO</v>
      </c>
      <c r="O194" s="5">
        <f>+VLOOKUP(C194,[2]Fondos!$F:$J,5,FALSE)</f>
        <v>8673260000</v>
      </c>
      <c r="P194" s="13">
        <f>+VLOOKUP(C194,[2]Fondos!$F:$K,6,FALSE)</f>
        <v>0.26727390000000001</v>
      </c>
      <c r="Q194" s="13">
        <f t="shared" si="44"/>
        <v>0</v>
      </c>
      <c r="R194" s="10">
        <f>+IF(Q194&gt;MAESTRO!$G$6,0,1)</f>
        <v>1</v>
      </c>
      <c r="S194">
        <f>+IF(P194&lt;MAESTRO!$G$8,0,1)</f>
        <v>1</v>
      </c>
      <c r="T194" s="10">
        <f t="shared" si="45"/>
        <v>2</v>
      </c>
      <c r="U194" t="str">
        <f>+IF(R194+S194=2,MAESTRO!$G$2,IF(R194+S194=0,MAESTRO!$G$5,IF(R194=0,MAESTRO!$G$3,IF(S194=0,MAESTRO!$G$4,))))</f>
        <v>cumple politica</v>
      </c>
    </row>
    <row r="195" spans="1:21" s="11" customFormat="1" x14ac:dyDescent="0.3">
      <c r="A195" s="11" t="s">
        <v>119</v>
      </c>
      <c r="B195" t="s">
        <v>22</v>
      </c>
      <c r="C195" t="s">
        <v>37</v>
      </c>
      <c r="D195" t="s">
        <v>81</v>
      </c>
      <c r="E195" s="24">
        <f t="shared" si="39"/>
        <v>0</v>
      </c>
      <c r="F195" s="22">
        <f>-SUMIFS(CARGA!I:I,CARGA!B:B,tabla!A195,CARGA!D:D,tabla!C195,CARGA!C:C,MAESTRO!$B$4)-SUMIFS(CARGA!I:I,CARGA!B:B,tabla!A195,CARGA!D:D,tabla!C195,CARGA!C:C,MAESTRO!$B$5)</f>
        <v>0</v>
      </c>
      <c r="G195" s="5">
        <f>+SUMIFS(CARGA!I:I,CARGA!B:B,tabla!A195,CARGA!D:D,tabla!C195)</f>
        <v>0</v>
      </c>
      <c r="H195" s="5">
        <f>+SUMIFS(CARGA!K:K,CARGA!B:B,tabla!A195,CARGA!D:D,tabla!C195)</f>
        <v>0</v>
      </c>
      <c r="I195" s="5">
        <f t="shared" si="40"/>
        <v>0</v>
      </c>
      <c r="J195" s="5">
        <f>-SUMIFS(CARGA!K:K,CARGA!B:B,tabla!A195,CARGA!D:D,tabla!C195,CARGA!C:C,MAESTRO!$B$4)+SUMIFS(CARGA!K:K,CARGA!B:B,tabla!A195,CARGA!D:D,tabla!C195,CARGA!C:C,MAESTRO!$B$5)</f>
        <v>0</v>
      </c>
      <c r="K195" s="5" t="e">
        <f>+VLOOKUP(C195,#REF!,3,FALSE)</f>
        <v>#REF!</v>
      </c>
      <c r="L195" s="5" t="e">
        <f t="shared" si="41"/>
        <v>#REF!</v>
      </c>
      <c r="M195" s="5" t="e">
        <f t="shared" si="42"/>
        <v>#REF!</v>
      </c>
      <c r="N195" s="5" t="str">
        <f t="shared" si="43"/>
        <v>NO</v>
      </c>
      <c r="O195" s="5">
        <f>+VLOOKUP(C195,[2]Fondos!$F:$J,5,FALSE)</f>
        <v>652691913</v>
      </c>
      <c r="P195" s="13">
        <f>+VLOOKUP(C195,[2]Fondos!$F:$K,6,FALSE)</f>
        <v>0.25056249999999997</v>
      </c>
      <c r="Q195" s="13">
        <f t="shared" si="44"/>
        <v>0</v>
      </c>
      <c r="R195" s="10">
        <f>+IF(Q195&gt;MAESTRO!$G$6,0,1)</f>
        <v>1</v>
      </c>
      <c r="S195">
        <f>+IF(P195&lt;MAESTRO!$G$8,0,1)</f>
        <v>1</v>
      </c>
      <c r="T195" s="10">
        <f t="shared" si="45"/>
        <v>2</v>
      </c>
      <c r="U195" t="str">
        <f>+IF(R195+S195=2,MAESTRO!$G$2,IF(R195+S195=0,MAESTRO!$G$5,IF(R195=0,MAESTRO!$G$3,IF(S195=0,MAESTRO!$G$4,))))</f>
        <v>cumple politica</v>
      </c>
    </row>
    <row r="196" spans="1:21" s="11" customFormat="1" x14ac:dyDescent="0.3">
      <c r="A196" s="11" t="s">
        <v>119</v>
      </c>
      <c r="B196" t="s">
        <v>22</v>
      </c>
      <c r="C196" t="s">
        <v>54</v>
      </c>
      <c r="D196" t="s">
        <v>82</v>
      </c>
      <c r="E196" s="24">
        <f t="shared" si="39"/>
        <v>0</v>
      </c>
      <c r="F196" s="22">
        <f>-SUMIFS(CARGA!I:I,CARGA!B:B,tabla!A196,CARGA!D:D,tabla!C196,CARGA!C:C,MAESTRO!$B$4)-SUMIFS(CARGA!I:I,CARGA!B:B,tabla!A196,CARGA!D:D,tabla!C196,CARGA!C:C,MAESTRO!$B$5)</f>
        <v>0</v>
      </c>
      <c r="G196" s="5">
        <f>+SUMIFS(CARGA!I:I,CARGA!B:B,tabla!A196,CARGA!D:D,tabla!C196)</f>
        <v>0</v>
      </c>
      <c r="H196" s="5">
        <f>+SUMIFS(CARGA!K:K,CARGA!B:B,tabla!A196,CARGA!D:D,tabla!C196)</f>
        <v>0</v>
      </c>
      <c r="I196" s="5">
        <f t="shared" si="40"/>
        <v>0</v>
      </c>
      <c r="J196" s="5">
        <f>-SUMIFS(CARGA!K:K,CARGA!B:B,tabla!A196,CARGA!D:D,tabla!C196,CARGA!C:C,MAESTRO!$B$4)+SUMIFS(CARGA!K:K,CARGA!B:B,tabla!A196,CARGA!D:D,tabla!C196,CARGA!C:C,MAESTRO!$B$5)</f>
        <v>0</v>
      </c>
      <c r="K196" s="5" t="e">
        <f>+VLOOKUP(C196,#REF!,3,FALSE)</f>
        <v>#REF!</v>
      </c>
      <c r="L196" s="5" t="e">
        <f t="shared" si="41"/>
        <v>#REF!</v>
      </c>
      <c r="M196" s="5" t="e">
        <f t="shared" si="42"/>
        <v>#REF!</v>
      </c>
      <c r="N196" s="5" t="str">
        <f t="shared" si="43"/>
        <v>NO</v>
      </c>
      <c r="O196" s="5">
        <f>+VLOOKUP(C196,[2]Fondos!$F:$J,5,FALSE)</f>
        <v>2006490136</v>
      </c>
      <c r="P196" s="13">
        <f>+VLOOKUP(C196,[2]Fondos!$F:$K,6,FALSE)</f>
        <v>0.27425260000000001</v>
      </c>
      <c r="Q196" s="13">
        <f t="shared" si="44"/>
        <v>0</v>
      </c>
      <c r="R196" s="10">
        <f>+IF(Q196&gt;MAESTRO!$G$6,0,1)</f>
        <v>1</v>
      </c>
      <c r="S196">
        <f>+IF(P196&lt;MAESTRO!$G$8,0,1)</f>
        <v>1</v>
      </c>
      <c r="T196" s="10">
        <f t="shared" si="45"/>
        <v>2</v>
      </c>
      <c r="U196" t="str">
        <f>+IF(R196+S196=2,MAESTRO!$G$2,IF(R196+S196=0,MAESTRO!$G$5,IF(R196=0,MAESTRO!$G$3,IF(S196=0,MAESTRO!$G$4,))))</f>
        <v>cumple politica</v>
      </c>
    </row>
    <row r="197" spans="1:21" s="11" customFormat="1" x14ac:dyDescent="0.3">
      <c r="A197" s="11" t="s">
        <v>119</v>
      </c>
      <c r="B197" t="s">
        <v>34</v>
      </c>
      <c r="C197" t="s">
        <v>77</v>
      </c>
      <c r="D197" t="s">
        <v>82</v>
      </c>
      <c r="E197" s="24">
        <f t="shared" si="39"/>
        <v>0</v>
      </c>
      <c r="F197" s="22">
        <f>-SUMIFS(CARGA!I:I,CARGA!B:B,tabla!A197,CARGA!D:D,tabla!C197,CARGA!C:C,MAESTRO!$B$4)-SUMIFS(CARGA!I:I,CARGA!B:B,tabla!A197,CARGA!D:D,tabla!C197,CARGA!C:C,MAESTRO!$B$5)</f>
        <v>0</v>
      </c>
      <c r="G197" s="5">
        <f>+SUMIFS(CARGA!I:I,CARGA!B:B,tabla!A197,CARGA!D:D,tabla!C197)</f>
        <v>0</v>
      </c>
      <c r="H197" s="5">
        <f>+SUMIFS(CARGA!K:K,CARGA!B:B,tabla!A197,CARGA!D:D,tabla!C197)</f>
        <v>0</v>
      </c>
      <c r="I197" s="5">
        <f t="shared" si="40"/>
        <v>0</v>
      </c>
      <c r="J197" s="5">
        <f>-SUMIFS(CARGA!K:K,CARGA!B:B,tabla!A197,CARGA!D:D,tabla!C197,CARGA!C:C,MAESTRO!$B$4)+SUMIFS(CARGA!K:K,CARGA!B:B,tabla!A197,CARGA!D:D,tabla!C197,CARGA!C:C,MAESTRO!$B$5)</f>
        <v>0</v>
      </c>
      <c r="K197" s="5" t="e">
        <f>+VLOOKUP(C197,#REF!,3,FALSE)</f>
        <v>#REF!</v>
      </c>
      <c r="L197" s="5" t="e">
        <f t="shared" si="41"/>
        <v>#REF!</v>
      </c>
      <c r="M197" s="5" t="e">
        <f t="shared" si="42"/>
        <v>#REF!</v>
      </c>
      <c r="N197" s="5" t="str">
        <f t="shared" si="43"/>
        <v>NO</v>
      </c>
      <c r="O197" s="5">
        <f>+VLOOKUP(C197,[2]Fondos!$F:$J,5,FALSE)</f>
        <v>10383624192</v>
      </c>
      <c r="P197" s="13">
        <f>+VLOOKUP(C197,[2]Fondos!$F:$K,6,FALSE)</f>
        <v>0.27741320000000003</v>
      </c>
      <c r="Q197" s="13">
        <f t="shared" si="44"/>
        <v>0</v>
      </c>
      <c r="R197" s="10">
        <f>+IF(Q197&gt;MAESTRO!$G$6,0,1)</f>
        <v>1</v>
      </c>
      <c r="S197">
        <f>+IF(P197&lt;MAESTRO!$G$8,0,1)</f>
        <v>1</v>
      </c>
      <c r="T197" s="10">
        <f t="shared" si="45"/>
        <v>2</v>
      </c>
      <c r="U197" t="str">
        <f>+IF(R197+S197=2,MAESTRO!$G$2,IF(R197+S197=0,MAESTRO!$G$5,IF(R197=0,MAESTRO!$G$3,IF(S197=0,MAESTRO!$G$4,))))</f>
        <v>cumple politica</v>
      </c>
    </row>
    <row r="198" spans="1:21" s="11" customFormat="1" x14ac:dyDescent="0.3">
      <c r="A198" s="11" t="s">
        <v>119</v>
      </c>
      <c r="B198" t="s">
        <v>34</v>
      </c>
      <c r="C198" t="s">
        <v>53</v>
      </c>
      <c r="D198" t="s">
        <v>81</v>
      </c>
      <c r="E198" s="24">
        <f t="shared" si="39"/>
        <v>0</v>
      </c>
      <c r="F198" s="22">
        <f>-SUMIFS(CARGA!I:I,CARGA!B:B,tabla!A198,CARGA!D:D,tabla!C198,CARGA!C:C,MAESTRO!$B$4)-SUMIFS(CARGA!I:I,CARGA!B:B,tabla!A198,CARGA!D:D,tabla!C198,CARGA!C:C,MAESTRO!$B$5)</f>
        <v>0</v>
      </c>
      <c r="G198" s="5">
        <f>+SUMIFS(CARGA!I:I,CARGA!B:B,tabla!A198,CARGA!D:D,tabla!C198)</f>
        <v>0</v>
      </c>
      <c r="H198" s="5">
        <f>+SUMIFS(CARGA!K:K,CARGA!B:B,tabla!A198,CARGA!D:D,tabla!C198)</f>
        <v>0</v>
      </c>
      <c r="I198" s="5">
        <f t="shared" si="40"/>
        <v>0</v>
      </c>
      <c r="J198" s="5">
        <f>-SUMIFS(CARGA!K:K,CARGA!B:B,tabla!A198,CARGA!D:D,tabla!C198,CARGA!C:C,MAESTRO!$B$4)+SUMIFS(CARGA!K:K,CARGA!B:B,tabla!A198,CARGA!D:D,tabla!C198,CARGA!C:C,MAESTRO!$B$5)</f>
        <v>0</v>
      </c>
      <c r="K198" s="5" t="e">
        <f>+VLOOKUP(C198,#REF!,3,FALSE)</f>
        <v>#REF!</v>
      </c>
      <c r="L198" s="5" t="e">
        <f t="shared" si="41"/>
        <v>#REF!</v>
      </c>
      <c r="M198" s="5" t="e">
        <f t="shared" si="42"/>
        <v>#REF!</v>
      </c>
      <c r="N198" s="5" t="str">
        <f t="shared" si="43"/>
        <v>NO</v>
      </c>
      <c r="O198" s="5">
        <f>+VLOOKUP(C198,[2]Fondos!$F:$J,5,FALSE)</f>
        <v>4530803420</v>
      </c>
      <c r="P198" s="13">
        <f>+VLOOKUP(C198,[2]Fondos!$F:$K,6,FALSE)</f>
        <v>0.2425168</v>
      </c>
      <c r="Q198" s="13">
        <f t="shared" si="44"/>
        <v>0</v>
      </c>
      <c r="R198" s="10">
        <f>+IF(Q198&gt;MAESTRO!$G$6,0,1)</f>
        <v>1</v>
      </c>
      <c r="S198">
        <f>+IF(P198&lt;MAESTRO!$G$8,0,1)</f>
        <v>1</v>
      </c>
      <c r="T198" s="10">
        <f t="shared" si="45"/>
        <v>2</v>
      </c>
      <c r="U198" t="str">
        <f>+IF(R198+S198=2,MAESTRO!$G$2,IF(R198+S198=0,MAESTRO!$G$5,IF(R198=0,MAESTRO!$G$3,IF(S198=0,MAESTRO!$G$4,))))</f>
        <v>cumple politica</v>
      </c>
    </row>
    <row r="199" spans="1:21" s="11" customFormat="1" x14ac:dyDescent="0.3">
      <c r="A199" s="11" t="s">
        <v>119</v>
      </c>
      <c r="B199" t="s">
        <v>129</v>
      </c>
      <c r="C199" t="s">
        <v>128</v>
      </c>
      <c r="D199" t="s">
        <v>81</v>
      </c>
      <c r="E199" s="24">
        <f t="shared" si="39"/>
        <v>0</v>
      </c>
      <c r="F199" s="22">
        <f>-SUMIFS(CARGA!I:I,CARGA!B:B,tabla!A199,CARGA!D:D,tabla!C199,CARGA!C:C,MAESTRO!$B$4)-SUMIFS(CARGA!I:I,CARGA!B:B,tabla!A199,CARGA!D:D,tabla!C199,CARGA!C:C,MAESTRO!$B$5)</f>
        <v>0</v>
      </c>
      <c r="G199" s="5">
        <f>+SUMIFS(CARGA!I:I,CARGA!B:B,tabla!A199,CARGA!D:D,tabla!C199)</f>
        <v>0</v>
      </c>
      <c r="H199" s="5">
        <f>+SUMIFS(CARGA!K:K,CARGA!B:B,tabla!A199,CARGA!D:D,tabla!C199)</f>
        <v>0</v>
      </c>
      <c r="I199" s="5">
        <f t="shared" si="40"/>
        <v>0</v>
      </c>
      <c r="J199" s="5">
        <f>-SUMIFS(CARGA!K:K,CARGA!B:B,tabla!A199,CARGA!D:D,tabla!C199,CARGA!C:C,MAESTRO!$B$4)+SUMIFS(CARGA!K:K,CARGA!B:B,tabla!A199,CARGA!D:D,tabla!C199,CARGA!C:C,MAESTRO!$B$5)</f>
        <v>0</v>
      </c>
      <c r="K199" s="5" t="e">
        <f>+VLOOKUP(C199,#REF!,3,FALSE)</f>
        <v>#REF!</v>
      </c>
      <c r="L199" s="5" t="e">
        <f t="shared" si="41"/>
        <v>#REF!</v>
      </c>
      <c r="M199" s="5" t="e">
        <f t="shared" si="42"/>
        <v>#REF!</v>
      </c>
      <c r="N199" s="5" t="str">
        <f t="shared" si="43"/>
        <v>NO</v>
      </c>
      <c r="O199" s="5" t="e">
        <f>+VLOOKUP(C199,[2]Fondos!$F:$J,5,FALSE)</f>
        <v>#N/A</v>
      </c>
      <c r="P199" s="13" t="e">
        <f>+VLOOKUP(C199,[2]Fondos!$F:$K,6,FALSE)</f>
        <v>#N/A</v>
      </c>
      <c r="Q199" s="13" t="e">
        <f t="shared" si="44"/>
        <v>#N/A</v>
      </c>
      <c r="R199" s="10" t="e">
        <f>+IF(Q199&gt;MAESTRO!$G$6,0,1)</f>
        <v>#N/A</v>
      </c>
      <c r="S199" t="e">
        <f>+IF(P199&lt;MAESTRO!$G$8,0,1)</f>
        <v>#N/A</v>
      </c>
      <c r="T199" s="10" t="e">
        <f t="shared" si="45"/>
        <v>#N/A</v>
      </c>
      <c r="U199" t="e">
        <f>+IF(R199+S199=2,MAESTRO!$G$2,IF(R199+S199=0,MAESTRO!$G$5,IF(R199=0,MAESTRO!$G$3,IF(S199=0,MAESTRO!$G$4,))))</f>
        <v>#N/A</v>
      </c>
    </row>
    <row r="200" spans="1:21" s="11" customFormat="1" x14ac:dyDescent="0.3">
      <c r="A200" s="11" t="s">
        <v>119</v>
      </c>
      <c r="B200" t="s">
        <v>30</v>
      </c>
      <c r="C200" t="s">
        <v>49</v>
      </c>
      <c r="D200" t="s">
        <v>81</v>
      </c>
      <c r="E200" s="24">
        <f t="shared" si="39"/>
        <v>0</v>
      </c>
      <c r="F200" s="22">
        <f>-SUMIFS(CARGA!I:I,CARGA!B:B,tabla!A200,CARGA!D:D,tabla!C200,CARGA!C:C,MAESTRO!$B$4)-SUMIFS(CARGA!I:I,CARGA!B:B,tabla!A200,CARGA!D:D,tabla!C200,CARGA!C:C,MAESTRO!$B$5)</f>
        <v>0</v>
      </c>
      <c r="G200" s="5">
        <f>+SUMIFS(CARGA!I:I,CARGA!B:B,tabla!A200,CARGA!D:D,tabla!C200)</f>
        <v>0</v>
      </c>
      <c r="H200" s="5">
        <f>+SUMIFS(CARGA!K:K,CARGA!B:B,tabla!A200,CARGA!D:D,tabla!C200)</f>
        <v>0</v>
      </c>
      <c r="I200" s="5">
        <f t="shared" si="40"/>
        <v>0</v>
      </c>
      <c r="J200" s="5">
        <f>-SUMIFS(CARGA!K:K,CARGA!B:B,tabla!A200,CARGA!D:D,tabla!C200,CARGA!C:C,MAESTRO!$B$4)+SUMIFS(CARGA!K:K,CARGA!B:B,tabla!A200,CARGA!D:D,tabla!C200,CARGA!C:C,MAESTRO!$B$5)</f>
        <v>0</v>
      </c>
      <c r="K200" s="5" t="e">
        <f>+VLOOKUP(C200,#REF!,3,FALSE)</f>
        <v>#REF!</v>
      </c>
      <c r="L200" s="5" t="e">
        <f t="shared" si="41"/>
        <v>#REF!</v>
      </c>
      <c r="M200" s="5" t="e">
        <f t="shared" si="42"/>
        <v>#REF!</v>
      </c>
      <c r="N200" s="5" t="str">
        <f t="shared" si="43"/>
        <v>NO</v>
      </c>
      <c r="O200" s="5">
        <f>+VLOOKUP(C200,[2]Fondos!$F:$J,5,FALSE)</f>
        <v>9591427.7400000002</v>
      </c>
      <c r="P200" s="13">
        <f>+VLOOKUP(C200,[2]Fondos!$F:$K,6,FALSE)</f>
        <v>0.1408799</v>
      </c>
      <c r="Q200" s="13">
        <f t="shared" si="44"/>
        <v>0</v>
      </c>
      <c r="R200" s="10">
        <f>+IF(Q200&gt;MAESTRO!$G$6,0,1)</f>
        <v>1</v>
      </c>
      <c r="S200">
        <f>+IF(P200&lt;MAESTRO!$G$8,0,1)</f>
        <v>1</v>
      </c>
      <c r="T200" s="10">
        <f t="shared" si="45"/>
        <v>2</v>
      </c>
      <c r="U200" t="str">
        <f>+IF(R200+S200=2,MAESTRO!$G$2,IF(R200+S200=0,MAESTRO!$G$5,IF(R200=0,MAESTRO!$G$3,IF(S200=0,MAESTRO!$G$4,))))</f>
        <v>cumple politica</v>
      </c>
    </row>
    <row r="201" spans="1:21" s="11" customFormat="1" x14ac:dyDescent="0.3">
      <c r="A201" s="11" t="s">
        <v>119</v>
      </c>
      <c r="B201" t="s">
        <v>30</v>
      </c>
      <c r="C201" t="s">
        <v>68</v>
      </c>
      <c r="D201" t="s">
        <v>82</v>
      </c>
      <c r="E201" s="24">
        <f t="shared" si="39"/>
        <v>0</v>
      </c>
      <c r="F201" s="22">
        <f>-SUMIFS(CARGA!I:I,CARGA!B:B,tabla!A201,CARGA!D:D,tabla!C201,CARGA!C:C,MAESTRO!$B$4)-SUMIFS(CARGA!I:I,CARGA!B:B,tabla!A201,CARGA!D:D,tabla!C201,CARGA!C:C,MAESTRO!$B$5)</f>
        <v>0</v>
      </c>
      <c r="G201" s="5">
        <f>+SUMIFS(CARGA!I:I,CARGA!B:B,tabla!A201,CARGA!D:D,tabla!C201)</f>
        <v>0</v>
      </c>
      <c r="H201" s="5">
        <f>+SUMIFS(CARGA!K:K,CARGA!B:B,tabla!A201,CARGA!D:D,tabla!C201)</f>
        <v>0</v>
      </c>
      <c r="I201" s="5">
        <f t="shared" si="40"/>
        <v>0</v>
      </c>
      <c r="J201" s="5">
        <f>-SUMIFS(CARGA!K:K,CARGA!B:B,tabla!A201,CARGA!D:D,tabla!C201,CARGA!C:C,MAESTRO!$B$4)+SUMIFS(CARGA!K:K,CARGA!B:B,tabla!A201,CARGA!D:D,tabla!C201,CARGA!C:C,MAESTRO!$B$5)</f>
        <v>0</v>
      </c>
      <c r="K201" s="5" t="e">
        <f>+VLOOKUP(C201,#REF!,3,FALSE)</f>
        <v>#REF!</v>
      </c>
      <c r="L201" s="5" t="e">
        <f t="shared" si="41"/>
        <v>#REF!</v>
      </c>
      <c r="M201" s="5" t="e">
        <f t="shared" si="42"/>
        <v>#REF!</v>
      </c>
      <c r="N201" s="5" t="str">
        <f t="shared" si="43"/>
        <v>NO</v>
      </c>
      <c r="O201" s="5">
        <f>+VLOOKUP(C201,[2]Fondos!$F:$J,5,FALSE)</f>
        <v>5034893543.9799995</v>
      </c>
      <c r="P201" s="13">
        <f>+VLOOKUP(C201,[2]Fondos!$F:$K,6,FALSE)</f>
        <v>0.27295020000000003</v>
      </c>
      <c r="Q201" s="13">
        <f t="shared" si="44"/>
        <v>0</v>
      </c>
      <c r="R201" s="10">
        <f>+IF(Q201&gt;MAESTRO!$G$6,0,1)</f>
        <v>1</v>
      </c>
      <c r="S201">
        <f>+IF(P201&lt;MAESTRO!$G$8,0,1)</f>
        <v>1</v>
      </c>
      <c r="T201" s="10">
        <f t="shared" si="45"/>
        <v>2</v>
      </c>
      <c r="U201" t="str">
        <f>+IF(R201+S201=2,MAESTRO!$G$2,IF(R201+S201=0,MAESTRO!$G$5,IF(R201=0,MAESTRO!$G$3,IF(S201=0,MAESTRO!$G$4,))))</f>
        <v>cumple politica</v>
      </c>
    </row>
    <row r="202" spans="1:21" s="11" customFormat="1" x14ac:dyDescent="0.3">
      <c r="A202" s="11" t="s">
        <v>119</v>
      </c>
      <c r="B202" t="s">
        <v>30</v>
      </c>
      <c r="C202" t="s">
        <v>67</v>
      </c>
      <c r="D202" t="s">
        <v>82</v>
      </c>
      <c r="E202" s="24">
        <f t="shared" si="39"/>
        <v>0</v>
      </c>
      <c r="F202" s="22">
        <f>-SUMIFS(CARGA!I:I,CARGA!B:B,tabla!A202,CARGA!D:D,tabla!C202,CARGA!C:C,MAESTRO!$B$4)-SUMIFS(CARGA!I:I,CARGA!B:B,tabla!A202,CARGA!D:D,tabla!C202,CARGA!C:C,MAESTRO!$B$5)</f>
        <v>0</v>
      </c>
      <c r="G202" s="5">
        <f>+SUMIFS(CARGA!I:I,CARGA!B:B,tabla!A202,CARGA!D:D,tabla!C202)</f>
        <v>0</v>
      </c>
      <c r="H202" s="5">
        <f>+SUMIFS(CARGA!K:K,CARGA!B:B,tabla!A202,CARGA!D:D,tabla!C202)</f>
        <v>0</v>
      </c>
      <c r="I202" s="5">
        <f t="shared" si="40"/>
        <v>0</v>
      </c>
      <c r="J202" s="5">
        <f>-SUMIFS(CARGA!K:K,CARGA!B:B,tabla!A202,CARGA!D:D,tabla!C202,CARGA!C:C,MAESTRO!$B$4)+SUMIFS(CARGA!K:K,CARGA!B:B,tabla!A202,CARGA!D:D,tabla!C202,CARGA!C:C,MAESTRO!$B$5)</f>
        <v>0</v>
      </c>
      <c r="K202" s="5" t="e">
        <f>+VLOOKUP(C202,#REF!,3,FALSE)</f>
        <v>#REF!</v>
      </c>
      <c r="L202" s="5" t="e">
        <f t="shared" si="41"/>
        <v>#REF!</v>
      </c>
      <c r="M202" s="5" t="e">
        <f t="shared" si="42"/>
        <v>#REF!</v>
      </c>
      <c r="N202" s="5" t="str">
        <f t="shared" si="43"/>
        <v>NO</v>
      </c>
      <c r="O202" s="5">
        <f>+VLOOKUP(C202,[2]Fondos!$F:$J,5,FALSE)</f>
        <v>11465050695.200001</v>
      </c>
      <c r="P202" s="13">
        <f>+VLOOKUP(C202,[2]Fondos!$F:$K,6,FALSE)</f>
        <v>0.2357329</v>
      </c>
      <c r="Q202" s="13">
        <f t="shared" si="44"/>
        <v>0</v>
      </c>
      <c r="R202" s="10">
        <f>+IF(Q202&gt;MAESTRO!$G$6,0,1)</f>
        <v>1</v>
      </c>
      <c r="S202">
        <f>+IF(P202&lt;MAESTRO!$G$8,0,1)</f>
        <v>1</v>
      </c>
      <c r="T202" s="10">
        <f t="shared" si="45"/>
        <v>2</v>
      </c>
      <c r="U202" t="str">
        <f>+IF(R202+S202=2,MAESTRO!$G$2,IF(R202+S202=0,MAESTRO!$G$5,IF(R202=0,MAESTRO!$G$3,IF(S202=0,MAESTRO!$G$4,))))</f>
        <v>cumple politica</v>
      </c>
    </row>
    <row r="203" spans="1:21" s="11" customFormat="1" x14ac:dyDescent="0.3">
      <c r="A203" s="11" t="s">
        <v>119</v>
      </c>
      <c r="B203" t="s">
        <v>29</v>
      </c>
      <c r="C203" t="s">
        <v>48</v>
      </c>
      <c r="D203" t="s">
        <v>81</v>
      </c>
      <c r="E203" s="24">
        <f t="shared" si="39"/>
        <v>0</v>
      </c>
      <c r="F203" s="22">
        <f>-SUMIFS(CARGA!I:I,CARGA!B:B,tabla!A203,CARGA!D:D,tabla!C203,CARGA!C:C,MAESTRO!$B$4)-SUMIFS(CARGA!I:I,CARGA!B:B,tabla!A203,CARGA!D:D,tabla!C203,CARGA!C:C,MAESTRO!$B$5)</f>
        <v>0</v>
      </c>
      <c r="G203" s="5">
        <f>+SUMIFS(CARGA!I:I,CARGA!B:B,tabla!A203,CARGA!D:D,tabla!C203)</f>
        <v>0</v>
      </c>
      <c r="H203" s="5">
        <f>+SUMIFS(CARGA!K:K,CARGA!B:B,tabla!A203,CARGA!D:D,tabla!C203)</f>
        <v>0</v>
      </c>
      <c r="I203" s="5">
        <f t="shared" si="40"/>
        <v>0</v>
      </c>
      <c r="J203" s="5">
        <f>-SUMIFS(CARGA!K:K,CARGA!B:B,tabla!A203,CARGA!D:D,tabla!C203,CARGA!C:C,MAESTRO!$B$4)+SUMIFS(CARGA!K:K,CARGA!B:B,tabla!A203,CARGA!D:D,tabla!C203,CARGA!C:C,MAESTRO!$B$5)</f>
        <v>0</v>
      </c>
      <c r="K203" s="5" t="e">
        <f>+VLOOKUP(C203,#REF!,3,FALSE)</f>
        <v>#REF!</v>
      </c>
      <c r="L203" s="5" t="e">
        <f t="shared" si="41"/>
        <v>#REF!</v>
      </c>
      <c r="M203" s="5" t="e">
        <f t="shared" si="42"/>
        <v>#REF!</v>
      </c>
      <c r="N203" s="5" t="str">
        <f t="shared" si="43"/>
        <v>NO</v>
      </c>
      <c r="O203" s="5">
        <f>+VLOOKUP(C203,[2]Fondos!$F:$J,5,FALSE)</f>
        <v>1752057008.8599999</v>
      </c>
      <c r="P203" s="13">
        <f>+VLOOKUP(C203,[2]Fondos!$F:$K,6,FALSE)</f>
        <v>0.21970210000000001</v>
      </c>
      <c r="Q203" s="13">
        <f t="shared" si="44"/>
        <v>0</v>
      </c>
      <c r="R203" s="10">
        <f>+IF(Q203&gt;MAESTRO!$G$6,0,1)</f>
        <v>1</v>
      </c>
      <c r="S203">
        <f>+IF(P203&lt;MAESTRO!$G$8,0,1)</f>
        <v>1</v>
      </c>
      <c r="T203" s="10">
        <f t="shared" si="45"/>
        <v>2</v>
      </c>
      <c r="U203" t="str">
        <f>+IF(R203+S203=2,MAESTRO!$G$2,IF(R203+S203=0,MAESTRO!$G$5,IF(R203=0,MAESTRO!$G$3,IF(S203=0,MAESTRO!$G$4,))))</f>
        <v>cumple politica</v>
      </c>
    </row>
    <row r="204" spans="1:21" s="11" customFormat="1" x14ac:dyDescent="0.3">
      <c r="A204" s="11" t="s">
        <v>119</v>
      </c>
      <c r="B204" t="s">
        <v>29</v>
      </c>
      <c r="C204" t="s">
        <v>66</v>
      </c>
      <c r="D204" t="s">
        <v>82</v>
      </c>
      <c r="E204" s="24">
        <f t="shared" si="39"/>
        <v>0</v>
      </c>
      <c r="F204" s="22">
        <f>-SUMIFS(CARGA!I:I,CARGA!B:B,tabla!A204,CARGA!D:D,tabla!C204,CARGA!C:C,MAESTRO!$B$4)-SUMIFS(CARGA!I:I,CARGA!B:B,tabla!A204,CARGA!D:D,tabla!C204,CARGA!C:C,MAESTRO!$B$5)</f>
        <v>0</v>
      </c>
      <c r="G204" s="5">
        <f>+SUMIFS(CARGA!I:I,CARGA!B:B,tabla!A204,CARGA!D:D,tabla!C204)</f>
        <v>0</v>
      </c>
      <c r="H204" s="5">
        <f>+SUMIFS(CARGA!K:K,CARGA!B:B,tabla!A204,CARGA!D:D,tabla!C204)</f>
        <v>0</v>
      </c>
      <c r="I204" s="5">
        <f t="shared" si="40"/>
        <v>0</v>
      </c>
      <c r="J204" s="5">
        <f>-SUMIFS(CARGA!K:K,CARGA!B:B,tabla!A204,CARGA!D:D,tabla!C204,CARGA!C:C,MAESTRO!$B$4)+SUMIFS(CARGA!K:K,CARGA!B:B,tabla!A204,CARGA!D:D,tabla!C204,CARGA!C:C,MAESTRO!$B$5)</f>
        <v>0</v>
      </c>
      <c r="K204" s="5" t="e">
        <f>+VLOOKUP(C204,#REF!,3,FALSE)</f>
        <v>#REF!</v>
      </c>
      <c r="L204" s="5" t="e">
        <f t="shared" si="41"/>
        <v>#REF!</v>
      </c>
      <c r="M204" s="5" t="e">
        <f t="shared" si="42"/>
        <v>#REF!</v>
      </c>
      <c r="N204" s="5" t="str">
        <f t="shared" si="43"/>
        <v>NO</v>
      </c>
      <c r="O204" s="5">
        <f>+VLOOKUP(C204,[2]Fondos!$F:$J,5,FALSE)</f>
        <v>15968105687.34</v>
      </c>
      <c r="P204" s="13">
        <f>+VLOOKUP(C204,[2]Fondos!$F:$K,6,FALSE)</f>
        <v>0.27123580000000003</v>
      </c>
      <c r="Q204" s="13">
        <f t="shared" si="44"/>
        <v>0</v>
      </c>
      <c r="R204" s="10">
        <f>+IF(Q204&gt;MAESTRO!$G$6,0,1)</f>
        <v>1</v>
      </c>
      <c r="S204">
        <f>+IF(P204&lt;MAESTRO!$G$8,0,1)</f>
        <v>1</v>
      </c>
      <c r="T204" s="10">
        <f t="shared" si="45"/>
        <v>2</v>
      </c>
      <c r="U204" t="str">
        <f>+IF(R204+S204=2,MAESTRO!$G$2,IF(R204+S204=0,MAESTRO!$G$5,IF(R204=0,MAESTRO!$G$3,IF(S204=0,MAESTRO!$G$4,))))</f>
        <v>cumple politica</v>
      </c>
    </row>
    <row r="205" spans="1:21" s="11" customFormat="1" x14ac:dyDescent="0.3">
      <c r="A205" s="11" t="s">
        <v>119</v>
      </c>
      <c r="B205" t="s">
        <v>29</v>
      </c>
      <c r="C205" t="s">
        <v>110</v>
      </c>
      <c r="D205" t="s">
        <v>83</v>
      </c>
      <c r="E205" s="24">
        <f t="shared" si="39"/>
        <v>0</v>
      </c>
      <c r="F205" s="22">
        <f>-SUMIFS(CARGA!I:I,CARGA!B:B,tabla!A205,CARGA!D:D,tabla!C205,CARGA!C:C,MAESTRO!$B$4)-SUMIFS(CARGA!I:I,CARGA!B:B,tabla!A205,CARGA!D:D,tabla!C205,CARGA!C:C,MAESTRO!$B$5)</f>
        <v>0</v>
      </c>
      <c r="G205" s="5">
        <f>+SUMIFS(CARGA!I:I,CARGA!B:B,tabla!A205,CARGA!D:D,tabla!C205)</f>
        <v>0</v>
      </c>
      <c r="H205" s="5">
        <f>+SUMIFS(CARGA!K:K,CARGA!B:B,tabla!A205,CARGA!D:D,tabla!C205)</f>
        <v>0</v>
      </c>
      <c r="I205" s="5">
        <f t="shared" si="40"/>
        <v>0</v>
      </c>
      <c r="J205" s="5">
        <f>-SUMIFS(CARGA!K:K,CARGA!B:B,tabla!A205,CARGA!D:D,tabla!C205,CARGA!C:C,MAESTRO!$B$4)+SUMIFS(CARGA!K:K,CARGA!B:B,tabla!A205,CARGA!D:D,tabla!C205,CARGA!C:C,MAESTRO!$B$5)</f>
        <v>0</v>
      </c>
      <c r="K205" s="5" t="e">
        <f>+VLOOKUP(C205,#REF!,3,FALSE)</f>
        <v>#REF!</v>
      </c>
      <c r="L205" s="5" t="e">
        <f t="shared" si="41"/>
        <v>#REF!</v>
      </c>
      <c r="M205" s="5" t="e">
        <f t="shared" si="42"/>
        <v>#REF!</v>
      </c>
      <c r="N205" s="5" t="str">
        <f t="shared" si="43"/>
        <v>NO</v>
      </c>
      <c r="O205" s="5" t="e">
        <f>+VLOOKUP(C205,[2]Fondos!$F:$J,5,FALSE)</f>
        <v>#N/A</v>
      </c>
      <c r="P205" s="13" t="e">
        <f>+VLOOKUP(C205,[2]Fondos!$F:$K,6,FALSE)</f>
        <v>#N/A</v>
      </c>
      <c r="Q205" s="13" t="e">
        <f t="shared" si="44"/>
        <v>#N/A</v>
      </c>
      <c r="R205" s="10" t="e">
        <f>+IF(Q205&gt;MAESTRO!$G$6,0,1)</f>
        <v>#N/A</v>
      </c>
      <c r="S205" t="e">
        <f>+IF(P205&lt;MAESTRO!$G$8,0,1)</f>
        <v>#N/A</v>
      </c>
      <c r="T205" s="10" t="e">
        <f t="shared" si="45"/>
        <v>#N/A</v>
      </c>
      <c r="U205" t="e">
        <f>+IF(R205+S205=2,MAESTRO!$G$2,IF(R205+S205=0,MAESTRO!$G$5,IF(R205=0,MAESTRO!$G$3,IF(S205=0,MAESTRO!$G$4,))))</f>
        <v>#N/A</v>
      </c>
    </row>
    <row r="206" spans="1:21" s="11" customFormat="1" x14ac:dyDescent="0.3">
      <c r="A206" s="11" t="s">
        <v>119</v>
      </c>
      <c r="B206" t="s">
        <v>24</v>
      </c>
      <c r="C206" t="s">
        <v>39</v>
      </c>
      <c r="D206" t="s">
        <v>81</v>
      </c>
      <c r="E206" s="24">
        <f t="shared" si="39"/>
        <v>0</v>
      </c>
      <c r="F206" s="22">
        <f>-SUMIFS(CARGA!I:I,CARGA!B:B,tabla!A206,CARGA!D:D,tabla!C206,CARGA!C:C,MAESTRO!$B$4)-SUMIFS(CARGA!I:I,CARGA!B:B,tabla!A206,CARGA!D:D,tabla!C206,CARGA!C:C,MAESTRO!$B$5)</f>
        <v>0</v>
      </c>
      <c r="G206" s="5">
        <f>+SUMIFS(CARGA!I:I,CARGA!B:B,tabla!A206,CARGA!D:D,tabla!C206)</f>
        <v>0</v>
      </c>
      <c r="H206" s="5">
        <f>+SUMIFS(CARGA!K:K,CARGA!B:B,tabla!A206,CARGA!D:D,tabla!C206)</f>
        <v>0</v>
      </c>
      <c r="I206" s="5">
        <f t="shared" si="40"/>
        <v>0</v>
      </c>
      <c r="J206" s="5">
        <f>-SUMIFS(CARGA!K:K,CARGA!B:B,tabla!A206,CARGA!D:D,tabla!C206,CARGA!C:C,MAESTRO!$B$4)+SUMIFS(CARGA!K:K,CARGA!B:B,tabla!A206,CARGA!D:D,tabla!C206,CARGA!C:C,MAESTRO!$B$5)</f>
        <v>0</v>
      </c>
      <c r="K206" s="5" t="e">
        <f>+VLOOKUP(C206,#REF!,3,FALSE)</f>
        <v>#REF!</v>
      </c>
      <c r="L206" s="5" t="e">
        <f t="shared" si="41"/>
        <v>#REF!</v>
      </c>
      <c r="M206" s="5" t="e">
        <f t="shared" si="42"/>
        <v>#REF!</v>
      </c>
      <c r="N206" s="5" t="str">
        <f t="shared" si="43"/>
        <v>NO</v>
      </c>
      <c r="O206" s="5">
        <f>+VLOOKUP(C206,[2]Fondos!$F:$J,5,FALSE)</f>
        <v>2294506221</v>
      </c>
      <c r="P206" s="13">
        <f>+VLOOKUP(C206,[2]Fondos!$F:$K,6,FALSE)</f>
        <v>0.21526589999999998</v>
      </c>
      <c r="Q206" s="13">
        <f t="shared" si="44"/>
        <v>0</v>
      </c>
      <c r="R206" s="10">
        <f>+IF(Q206&gt;MAESTRO!$G$6,0,1)</f>
        <v>1</v>
      </c>
      <c r="S206">
        <f>+IF(P206&lt;MAESTRO!$G$8,0,1)</f>
        <v>1</v>
      </c>
      <c r="T206" s="10">
        <f t="shared" si="45"/>
        <v>2</v>
      </c>
      <c r="U206" t="str">
        <f>+IF(R206+S206=2,MAESTRO!$G$2,IF(R206+S206=0,MAESTRO!$G$5,IF(R206=0,MAESTRO!$G$3,IF(S206=0,MAESTRO!$G$4,))))</f>
        <v>cumple politica</v>
      </c>
    </row>
    <row r="207" spans="1:21" s="11" customFormat="1" x14ac:dyDescent="0.3">
      <c r="A207" s="11" t="s">
        <v>119</v>
      </c>
      <c r="B207" t="s">
        <v>24</v>
      </c>
      <c r="C207" t="s">
        <v>80</v>
      </c>
      <c r="D207" t="s">
        <v>82</v>
      </c>
      <c r="E207" s="24">
        <f t="shared" si="39"/>
        <v>0</v>
      </c>
      <c r="F207" s="22">
        <f>-SUMIFS(CARGA!I:I,CARGA!B:B,tabla!A207,CARGA!D:D,tabla!C207,CARGA!C:C,MAESTRO!$B$4)-SUMIFS(CARGA!I:I,CARGA!B:B,tabla!A207,CARGA!D:D,tabla!C207,CARGA!C:C,MAESTRO!$B$5)</f>
        <v>0</v>
      </c>
      <c r="G207" s="5">
        <f>+SUMIFS(CARGA!I:I,CARGA!B:B,tabla!A207,CARGA!D:D,tabla!C207)</f>
        <v>0</v>
      </c>
      <c r="H207" s="5">
        <f>+SUMIFS(CARGA!K:K,CARGA!B:B,tabla!A207,CARGA!D:D,tabla!C207)</f>
        <v>0</v>
      </c>
      <c r="I207" s="5">
        <f t="shared" si="40"/>
        <v>0</v>
      </c>
      <c r="J207" s="5">
        <f>-SUMIFS(CARGA!K:K,CARGA!B:B,tabla!A207,CARGA!D:D,tabla!C207,CARGA!C:C,MAESTRO!$B$4)+SUMIFS(CARGA!K:K,CARGA!B:B,tabla!A207,CARGA!D:D,tabla!C207,CARGA!C:C,MAESTRO!$B$5)</f>
        <v>0</v>
      </c>
      <c r="K207" s="5" t="e">
        <f>+VLOOKUP(C207,#REF!,3,FALSE)</f>
        <v>#REF!</v>
      </c>
      <c r="L207" s="5" t="e">
        <f t="shared" si="41"/>
        <v>#REF!</v>
      </c>
      <c r="M207" s="5" t="e">
        <f t="shared" si="42"/>
        <v>#REF!</v>
      </c>
      <c r="N207" s="5" t="str">
        <f t="shared" si="43"/>
        <v>NO</v>
      </c>
      <c r="O207" s="5">
        <f>+VLOOKUP(C207,[2]Fondos!$F:$J,5,FALSE)</f>
        <v>8324714840</v>
      </c>
      <c r="P207" s="13">
        <f>+VLOOKUP(C207,[2]Fondos!$F:$K,6,FALSE)</f>
        <v>0.27053379999999999</v>
      </c>
      <c r="Q207" s="13">
        <f t="shared" si="44"/>
        <v>0</v>
      </c>
      <c r="R207" s="10">
        <f>+IF(Q207&gt;MAESTRO!$G$6,0,1)</f>
        <v>1</v>
      </c>
      <c r="S207">
        <f>+IF(P207&lt;MAESTRO!$G$8,0,1)</f>
        <v>1</v>
      </c>
      <c r="T207" s="10">
        <f t="shared" si="45"/>
        <v>2</v>
      </c>
      <c r="U207" t="str">
        <f>+IF(R207+S207=2,MAESTRO!$G$2,IF(R207+S207=0,MAESTRO!$G$5,IF(R207=0,MAESTRO!$G$3,IF(S207=0,MAESTRO!$G$4,))))</f>
        <v>cumple politica</v>
      </c>
    </row>
    <row r="208" spans="1:21" s="11" customFormat="1" x14ac:dyDescent="0.3">
      <c r="A208" s="11" t="s">
        <v>119</v>
      </c>
      <c r="B208" t="s">
        <v>24</v>
      </c>
      <c r="C208" t="s">
        <v>62</v>
      </c>
      <c r="D208" t="s">
        <v>82</v>
      </c>
      <c r="E208" s="24">
        <f t="shared" si="39"/>
        <v>0</v>
      </c>
      <c r="F208" s="22">
        <f>-SUMIFS(CARGA!I:I,CARGA!B:B,tabla!A208,CARGA!D:D,tabla!C208,CARGA!C:C,MAESTRO!$B$4)-SUMIFS(CARGA!I:I,CARGA!B:B,tabla!A208,CARGA!D:D,tabla!C208,CARGA!C:C,MAESTRO!$B$5)</f>
        <v>0</v>
      </c>
      <c r="G208" s="5">
        <f>+SUMIFS(CARGA!I:I,CARGA!B:B,tabla!A208,CARGA!D:D,tabla!C208)</f>
        <v>0</v>
      </c>
      <c r="H208" s="5">
        <f>+SUMIFS(CARGA!K:K,CARGA!B:B,tabla!A208,CARGA!D:D,tabla!C208)</f>
        <v>0</v>
      </c>
      <c r="I208" s="5">
        <f t="shared" si="40"/>
        <v>0</v>
      </c>
      <c r="J208" s="5">
        <f>-SUMIFS(CARGA!K:K,CARGA!B:B,tabla!A208,CARGA!D:D,tabla!C208,CARGA!C:C,MAESTRO!$B$4)+SUMIFS(CARGA!K:K,CARGA!B:B,tabla!A208,CARGA!D:D,tabla!C208,CARGA!C:C,MAESTRO!$B$5)</f>
        <v>0</v>
      </c>
      <c r="K208" s="5" t="e">
        <f>+VLOOKUP(C208,#REF!,3,FALSE)</f>
        <v>#REF!</v>
      </c>
      <c r="L208" s="5" t="e">
        <f t="shared" si="41"/>
        <v>#REF!</v>
      </c>
      <c r="M208" s="5" t="e">
        <f t="shared" si="42"/>
        <v>#REF!</v>
      </c>
      <c r="N208" s="5" t="str">
        <f t="shared" si="43"/>
        <v>NO</v>
      </c>
      <c r="O208" s="5">
        <f>+VLOOKUP(C208,[2]Fondos!$F:$J,5,FALSE)</f>
        <v>2635564025</v>
      </c>
      <c r="P208" s="13">
        <f>+VLOOKUP(C208,[2]Fondos!$F:$K,6,FALSE)</f>
        <v>0.26226080000000002</v>
      </c>
      <c r="Q208" s="13">
        <f t="shared" si="44"/>
        <v>0</v>
      </c>
      <c r="R208" s="10">
        <f>+IF(Q208&gt;MAESTRO!$G$6,0,1)</f>
        <v>1</v>
      </c>
      <c r="S208">
        <f>+IF(P208&lt;MAESTRO!$G$8,0,1)</f>
        <v>1</v>
      </c>
      <c r="T208" s="10">
        <f t="shared" si="45"/>
        <v>2</v>
      </c>
      <c r="U208" t="str">
        <f>+IF(R208+S208=2,MAESTRO!$G$2,IF(R208+S208=0,MAESTRO!$G$5,IF(R208=0,MAESTRO!$G$3,IF(S208=0,MAESTRO!$G$4,))))</f>
        <v>cumple politica</v>
      </c>
    </row>
    <row r="209" spans="1:21" s="11" customFormat="1" x14ac:dyDescent="0.3">
      <c r="A209" s="11" t="s">
        <v>119</v>
      </c>
      <c r="B209" t="s">
        <v>32</v>
      </c>
      <c r="C209" t="s">
        <v>71</v>
      </c>
      <c r="D209" t="s">
        <v>82</v>
      </c>
      <c r="E209" s="24">
        <f t="shared" si="39"/>
        <v>0</v>
      </c>
      <c r="F209" s="22">
        <f>-SUMIFS(CARGA!I:I,CARGA!B:B,tabla!A209,CARGA!D:D,tabla!C209,CARGA!C:C,MAESTRO!$B$4)-SUMIFS(CARGA!I:I,CARGA!B:B,tabla!A209,CARGA!D:D,tabla!C209,CARGA!C:C,MAESTRO!$B$5)</f>
        <v>0</v>
      </c>
      <c r="G209" s="5">
        <f>+SUMIFS(CARGA!I:I,CARGA!B:B,tabla!A209,CARGA!D:D,tabla!C209)</f>
        <v>0</v>
      </c>
      <c r="H209" s="5">
        <f>+SUMIFS(CARGA!K:K,CARGA!B:B,tabla!A209,CARGA!D:D,tabla!C209)</f>
        <v>0</v>
      </c>
      <c r="I209" s="5">
        <f t="shared" si="40"/>
        <v>0</v>
      </c>
      <c r="J209" s="5">
        <f>-SUMIFS(CARGA!K:K,CARGA!B:B,tabla!A209,CARGA!D:D,tabla!C209,CARGA!C:C,MAESTRO!$B$4)+SUMIFS(CARGA!K:K,CARGA!B:B,tabla!A209,CARGA!D:D,tabla!C209,CARGA!C:C,MAESTRO!$B$5)</f>
        <v>0</v>
      </c>
      <c r="K209" s="5" t="e">
        <f>+VLOOKUP(C209,#REF!,3,FALSE)</f>
        <v>#REF!</v>
      </c>
      <c r="L209" s="5" t="e">
        <f t="shared" si="41"/>
        <v>#REF!</v>
      </c>
      <c r="M209" s="5" t="e">
        <f t="shared" si="42"/>
        <v>#REF!</v>
      </c>
      <c r="N209" s="5" t="str">
        <f t="shared" si="43"/>
        <v>NO</v>
      </c>
      <c r="O209" s="5">
        <f>+VLOOKUP(C209,[2]Fondos!$F:$J,5,FALSE)</f>
        <v>240000000</v>
      </c>
      <c r="P209" s="13">
        <f>+VLOOKUP(C209,[2]Fondos!$F:$K,6,FALSE)</f>
        <v>0.27596609999999999</v>
      </c>
      <c r="Q209" s="13">
        <f t="shared" si="44"/>
        <v>0</v>
      </c>
      <c r="R209" s="10">
        <f>+IF(Q209&gt;MAESTRO!$G$6,0,1)</f>
        <v>1</v>
      </c>
      <c r="S209">
        <f>+IF(P209&lt;MAESTRO!$G$8,0,1)</f>
        <v>1</v>
      </c>
      <c r="T209" s="10">
        <f t="shared" si="45"/>
        <v>2</v>
      </c>
      <c r="U209" t="str">
        <f>+IF(R209+S209=2,MAESTRO!$G$2,IF(R209+S209=0,MAESTRO!$G$5,IF(R209=0,MAESTRO!$G$3,IF(S209=0,MAESTRO!$G$4,))))</f>
        <v>cumple politica</v>
      </c>
    </row>
    <row r="210" spans="1:21" s="11" customFormat="1" x14ac:dyDescent="0.3">
      <c r="A210" s="11" t="s">
        <v>119</v>
      </c>
      <c r="B210" t="s">
        <v>32</v>
      </c>
      <c r="C210" t="s">
        <v>51</v>
      </c>
      <c r="D210" t="s">
        <v>81</v>
      </c>
      <c r="E210" s="24">
        <f t="shared" si="39"/>
        <v>0</v>
      </c>
      <c r="F210" s="22">
        <f>-SUMIFS(CARGA!I:I,CARGA!B:B,tabla!A210,CARGA!D:D,tabla!C210,CARGA!C:C,MAESTRO!$B$4)-SUMIFS(CARGA!I:I,CARGA!B:B,tabla!A210,CARGA!D:D,tabla!C210,CARGA!C:C,MAESTRO!$B$5)</f>
        <v>0</v>
      </c>
      <c r="G210" s="5">
        <f>+SUMIFS(CARGA!I:I,CARGA!B:B,tabla!A210,CARGA!D:D,tabla!C210)</f>
        <v>0</v>
      </c>
      <c r="H210" s="5">
        <f>+SUMIFS(CARGA!K:K,CARGA!B:B,tabla!A210,CARGA!D:D,tabla!C210)</f>
        <v>0</v>
      </c>
      <c r="I210" s="5">
        <f t="shared" si="40"/>
        <v>0</v>
      </c>
      <c r="J210" s="5">
        <f>-SUMIFS(CARGA!K:K,CARGA!B:B,tabla!A210,CARGA!D:D,tabla!C210,CARGA!C:C,MAESTRO!$B$4)+SUMIFS(CARGA!K:K,CARGA!B:B,tabla!A210,CARGA!D:D,tabla!C210,CARGA!C:C,MAESTRO!$B$5)</f>
        <v>0</v>
      </c>
      <c r="K210" s="5" t="e">
        <f>+VLOOKUP(C210,#REF!,3,FALSE)</f>
        <v>#REF!</v>
      </c>
      <c r="L210" s="5" t="e">
        <f t="shared" si="41"/>
        <v>#REF!</v>
      </c>
      <c r="M210" s="5" t="e">
        <f t="shared" si="42"/>
        <v>#REF!</v>
      </c>
      <c r="N210" s="5" t="str">
        <f t="shared" si="43"/>
        <v>NO</v>
      </c>
      <c r="O210" s="5">
        <f>+VLOOKUP(C210,[2]Fondos!$F:$J,5,FALSE)</f>
        <v>360000000</v>
      </c>
      <c r="P210" s="13">
        <f>+VLOOKUP(C210,[2]Fondos!$F:$K,6,FALSE)</f>
        <v>0.19705159999999999</v>
      </c>
      <c r="Q210" s="13">
        <f t="shared" si="44"/>
        <v>0</v>
      </c>
      <c r="R210" s="10">
        <f>+IF(Q210&gt;MAESTRO!$G$6,0,1)</f>
        <v>1</v>
      </c>
      <c r="S210">
        <f>+IF(P210&lt;MAESTRO!$G$8,0,1)</f>
        <v>1</v>
      </c>
      <c r="T210" s="10">
        <f t="shared" si="45"/>
        <v>2</v>
      </c>
      <c r="U210" t="str">
        <f>+IF(R210+S210=2,MAESTRO!$G$2,IF(R210+S210=0,MAESTRO!$G$5,IF(R210=0,MAESTRO!$G$3,IF(S210=0,MAESTRO!$G$4,))))</f>
        <v>cumple politica</v>
      </c>
    </row>
    <row r="211" spans="1:21" s="11" customFormat="1" x14ac:dyDescent="0.3">
      <c r="A211" s="11" t="s">
        <v>119</v>
      </c>
      <c r="B211" t="s">
        <v>35</v>
      </c>
      <c r="C211" t="s">
        <v>55</v>
      </c>
      <c r="D211" t="s">
        <v>82</v>
      </c>
      <c r="E211" s="24">
        <f t="shared" si="39"/>
        <v>0</v>
      </c>
      <c r="F211" s="22">
        <f>-SUMIFS(CARGA!I:I,CARGA!B:B,tabla!A211,CARGA!D:D,tabla!C211,CARGA!C:C,MAESTRO!$B$4)-SUMIFS(CARGA!I:I,CARGA!B:B,tabla!A211,CARGA!D:D,tabla!C211,CARGA!C:C,MAESTRO!$B$5)</f>
        <v>0</v>
      </c>
      <c r="G211" s="5">
        <f>+SUMIFS(CARGA!I:I,CARGA!B:B,tabla!A211,CARGA!D:D,tabla!C211)</f>
        <v>0</v>
      </c>
      <c r="H211" s="5">
        <f>+SUMIFS(CARGA!K:K,CARGA!B:B,tabla!A211,CARGA!D:D,tabla!C211)</f>
        <v>0</v>
      </c>
      <c r="I211" s="5">
        <f t="shared" si="40"/>
        <v>0</v>
      </c>
      <c r="J211" s="5">
        <f>-SUMIFS(CARGA!K:K,CARGA!B:B,tabla!A211,CARGA!D:D,tabla!C211,CARGA!C:C,MAESTRO!$B$4)+SUMIFS(CARGA!K:K,CARGA!B:B,tabla!A211,CARGA!D:D,tabla!C211,CARGA!C:C,MAESTRO!$B$5)</f>
        <v>0</v>
      </c>
      <c r="K211" s="5" t="e">
        <f>+VLOOKUP(C211,#REF!,3,FALSE)</f>
        <v>#REF!</v>
      </c>
      <c r="L211" s="5" t="e">
        <f t="shared" si="41"/>
        <v>#REF!</v>
      </c>
      <c r="M211" s="5" t="e">
        <f t="shared" si="42"/>
        <v>#REF!</v>
      </c>
      <c r="N211" s="5" t="str">
        <f t="shared" si="43"/>
        <v>NO</v>
      </c>
      <c r="O211" s="5">
        <f>+VLOOKUP(C211,[2]Fondos!$F:$J,5,FALSE)</f>
        <v>601998365.54999995</v>
      </c>
      <c r="P211" s="13">
        <f>+VLOOKUP(C211,[2]Fondos!$F:$K,6,FALSE)</f>
        <v>0.27414070000000001</v>
      </c>
      <c r="Q211" s="13">
        <f t="shared" si="44"/>
        <v>0</v>
      </c>
      <c r="R211" s="10">
        <f>+IF(Q211&gt;MAESTRO!$G$6,0,1)</f>
        <v>1</v>
      </c>
      <c r="S211">
        <f>+IF(P211&lt;MAESTRO!$G$8,0,1)</f>
        <v>1</v>
      </c>
      <c r="T211" s="10">
        <f t="shared" si="45"/>
        <v>2</v>
      </c>
      <c r="U211" t="str">
        <f>+IF(R211+S211=2,MAESTRO!$G$2,IF(R211+S211=0,MAESTRO!$G$5,IF(R211=0,MAESTRO!$G$3,IF(S211=0,MAESTRO!$G$4,))))</f>
        <v>cumple politica</v>
      </c>
    </row>
    <row r="212" spans="1:21" s="11" customFormat="1" x14ac:dyDescent="0.3">
      <c r="A212" s="11" t="s">
        <v>119</v>
      </c>
      <c r="B212" t="s">
        <v>23</v>
      </c>
      <c r="C212" t="s">
        <v>43</v>
      </c>
      <c r="D212" t="s">
        <v>81</v>
      </c>
      <c r="E212" s="24">
        <f t="shared" ref="E212:E218" si="46">+F212+G212</f>
        <v>0</v>
      </c>
      <c r="F212" s="22">
        <f>-SUMIFS(CARGA!I:I,CARGA!B:B,tabla!A212,CARGA!D:D,tabla!C212,CARGA!C:C,MAESTRO!$B$4)-SUMIFS(CARGA!I:I,CARGA!B:B,tabla!A212,CARGA!D:D,tabla!C212,CARGA!C:C,MAESTRO!$B$5)</f>
        <v>0</v>
      </c>
      <c r="G212" s="5">
        <f>+SUMIFS(CARGA!I:I,CARGA!B:B,tabla!A212,CARGA!D:D,tabla!C212)</f>
        <v>0</v>
      </c>
      <c r="H212" s="5">
        <f>+SUMIFS(CARGA!K:K,CARGA!B:B,tabla!A212,CARGA!D:D,tabla!C212)</f>
        <v>0</v>
      </c>
      <c r="I212" s="5">
        <f t="shared" ref="I212:I218" si="47">+H212+J212</f>
        <v>0</v>
      </c>
      <c r="J212" s="5">
        <f>-SUMIFS(CARGA!K:K,CARGA!B:B,tabla!A212,CARGA!D:D,tabla!C212,CARGA!C:C,MAESTRO!$B$4)+SUMIFS(CARGA!K:K,CARGA!B:B,tabla!A212,CARGA!D:D,tabla!C212,CARGA!C:C,MAESTRO!$B$5)</f>
        <v>0</v>
      </c>
      <c r="K212" s="5" t="e">
        <f>+VLOOKUP(C212,#REF!,3,FALSE)</f>
        <v>#REF!</v>
      </c>
      <c r="L212" s="5" t="e">
        <f t="shared" ref="L212:L218" si="48">+K212*I212</f>
        <v>#REF!</v>
      </c>
      <c r="M212" s="5" t="e">
        <f t="shared" ref="M212:M218" si="49">+K212*J212</f>
        <v>#REF!</v>
      </c>
      <c r="N212" s="5" t="str">
        <f t="shared" ref="N212:N218" si="50">+IF(G212+F212=0,"NO","SI")</f>
        <v>NO</v>
      </c>
      <c r="O212" s="5">
        <f>+VLOOKUP(C212,[2]Fondos!$F:$J,5,FALSE)</f>
        <v>3553303148</v>
      </c>
      <c r="P212" s="13">
        <f>+VLOOKUP(C212,[2]Fondos!$F:$K,6,FALSE)</f>
        <v>0.2092009</v>
      </c>
      <c r="Q212" s="13">
        <f t="shared" ref="Q212:Q218" si="51">+G212/O212</f>
        <v>0</v>
      </c>
      <c r="R212" s="10">
        <f>+IF(Q212&gt;MAESTRO!$G$6,0,1)</f>
        <v>1</v>
      </c>
      <c r="S212">
        <f>+IF(P212&lt;MAESTRO!$G$8,0,1)</f>
        <v>1</v>
      </c>
      <c r="T212" s="10">
        <f t="shared" ref="T212:T218" si="52">+R212+S212</f>
        <v>2</v>
      </c>
      <c r="U212" t="str">
        <f>+IF(R212+S212=2,MAESTRO!$G$2,IF(R212+S212=0,MAESTRO!$G$5,IF(R212=0,MAESTRO!$G$3,IF(S212=0,MAESTRO!$G$4,))))</f>
        <v>cumple politica</v>
      </c>
    </row>
    <row r="213" spans="1:21" s="11" customFormat="1" x14ac:dyDescent="0.3">
      <c r="A213" s="11" t="s">
        <v>119</v>
      </c>
      <c r="B213" t="s">
        <v>23</v>
      </c>
      <c r="C213" t="s">
        <v>38</v>
      </c>
      <c r="D213" t="s">
        <v>81</v>
      </c>
      <c r="E213" s="24">
        <f t="shared" si="46"/>
        <v>0</v>
      </c>
      <c r="F213" s="22">
        <f>-SUMIFS(CARGA!I:I,CARGA!B:B,tabla!A213,CARGA!D:D,tabla!C213,CARGA!C:C,MAESTRO!$B$4)-SUMIFS(CARGA!I:I,CARGA!B:B,tabla!A213,CARGA!D:D,tabla!C213,CARGA!C:C,MAESTRO!$B$5)</f>
        <v>0</v>
      </c>
      <c r="G213" s="5">
        <f>+SUMIFS(CARGA!I:I,CARGA!B:B,tabla!A213,CARGA!D:D,tabla!C213)</f>
        <v>0</v>
      </c>
      <c r="H213" s="5">
        <f>+SUMIFS(CARGA!K:K,CARGA!B:B,tabla!A213,CARGA!D:D,tabla!C213)</f>
        <v>0</v>
      </c>
      <c r="I213" s="5">
        <f t="shared" si="47"/>
        <v>0</v>
      </c>
      <c r="J213" s="5">
        <f>-SUMIFS(CARGA!K:K,CARGA!B:B,tabla!A213,CARGA!D:D,tabla!C213,CARGA!C:C,MAESTRO!$B$4)+SUMIFS(CARGA!K:K,CARGA!B:B,tabla!A213,CARGA!D:D,tabla!C213,CARGA!C:C,MAESTRO!$B$5)</f>
        <v>0</v>
      </c>
      <c r="K213" s="5" t="e">
        <f>+VLOOKUP(C213,#REF!,3,FALSE)</f>
        <v>#REF!</v>
      </c>
      <c r="L213" s="5" t="e">
        <f t="shared" si="48"/>
        <v>#REF!</v>
      </c>
      <c r="M213" s="5" t="e">
        <f t="shared" si="49"/>
        <v>#REF!</v>
      </c>
      <c r="N213" s="5" t="str">
        <f t="shared" si="50"/>
        <v>NO</v>
      </c>
      <c r="O213" s="5">
        <f>+VLOOKUP(C213,[2]Fondos!$F:$J,5,FALSE)</f>
        <v>4553606100</v>
      </c>
      <c r="P213" s="13">
        <f>+VLOOKUP(C213,[2]Fondos!$F:$K,6,FALSE)</f>
        <v>0.23939009999999999</v>
      </c>
      <c r="Q213" s="13">
        <f t="shared" si="51"/>
        <v>0</v>
      </c>
      <c r="R213" s="10">
        <f>+IF(Q213&gt;MAESTRO!$G$6,0,1)</f>
        <v>1</v>
      </c>
      <c r="S213">
        <f>+IF(P213&lt;MAESTRO!$G$8,0,1)</f>
        <v>1</v>
      </c>
      <c r="T213" s="10">
        <f t="shared" si="52"/>
        <v>2</v>
      </c>
      <c r="U213" t="str">
        <f>+IF(R213+S213=2,MAESTRO!$G$2,IF(R213+S213=0,MAESTRO!$G$5,IF(R213=0,MAESTRO!$G$3,IF(S213=0,MAESTRO!$G$4,))))</f>
        <v>cumple politica</v>
      </c>
    </row>
    <row r="214" spans="1:21" s="11" customFormat="1" x14ac:dyDescent="0.3">
      <c r="A214" s="11" t="s">
        <v>119</v>
      </c>
      <c r="B214" t="s">
        <v>23</v>
      </c>
      <c r="C214" t="s">
        <v>57</v>
      </c>
      <c r="D214" t="s">
        <v>82</v>
      </c>
      <c r="E214" s="24">
        <f t="shared" si="46"/>
        <v>0</v>
      </c>
      <c r="F214" s="22">
        <f>-SUMIFS(CARGA!I:I,CARGA!B:B,tabla!A214,CARGA!D:D,tabla!C214,CARGA!C:C,MAESTRO!$B$4)-SUMIFS(CARGA!I:I,CARGA!B:B,tabla!A214,CARGA!D:D,tabla!C214,CARGA!C:C,MAESTRO!$B$5)</f>
        <v>0</v>
      </c>
      <c r="G214" s="5">
        <f>+SUMIFS(CARGA!I:I,CARGA!B:B,tabla!A214,CARGA!D:D,tabla!C214)</f>
        <v>0</v>
      </c>
      <c r="H214" s="5">
        <f>+SUMIFS(CARGA!K:K,CARGA!B:B,tabla!A214,CARGA!D:D,tabla!C214)</f>
        <v>0</v>
      </c>
      <c r="I214" s="5">
        <f t="shared" si="47"/>
        <v>0</v>
      </c>
      <c r="J214" s="5">
        <f>-SUMIFS(CARGA!K:K,CARGA!B:B,tabla!A214,CARGA!D:D,tabla!C214,CARGA!C:C,MAESTRO!$B$4)+SUMIFS(CARGA!K:K,CARGA!B:B,tabla!A214,CARGA!D:D,tabla!C214,CARGA!C:C,MAESTRO!$B$5)</f>
        <v>0</v>
      </c>
      <c r="K214" s="5" t="e">
        <f>+VLOOKUP(C214,#REF!,3,FALSE)</f>
        <v>#REF!</v>
      </c>
      <c r="L214" s="5" t="e">
        <f t="shared" si="48"/>
        <v>#REF!</v>
      </c>
      <c r="M214" s="5" t="e">
        <f t="shared" si="49"/>
        <v>#REF!</v>
      </c>
      <c r="N214" s="5" t="str">
        <f t="shared" si="50"/>
        <v>NO</v>
      </c>
      <c r="O214" s="5">
        <f>+VLOOKUP(C214,[2]Fondos!$F:$J,5,FALSE)</f>
        <v>35515968834</v>
      </c>
      <c r="P214" s="13">
        <f>+VLOOKUP(C214,[2]Fondos!$F:$K,6,FALSE)</f>
        <v>0.26896760000000003</v>
      </c>
      <c r="Q214" s="13">
        <f t="shared" si="51"/>
        <v>0</v>
      </c>
      <c r="R214" s="10">
        <f>+IF(Q214&gt;MAESTRO!$G$6,0,1)</f>
        <v>1</v>
      </c>
      <c r="S214">
        <f>+IF(P214&lt;MAESTRO!$G$8,0,1)</f>
        <v>1</v>
      </c>
      <c r="T214" s="10">
        <f t="shared" si="52"/>
        <v>2</v>
      </c>
      <c r="U214" t="str">
        <f>+IF(R214+S214=2,MAESTRO!$G$2,IF(R214+S214=0,MAESTRO!$G$5,IF(R214=0,MAESTRO!$G$3,IF(S214=0,MAESTRO!$G$4,))))</f>
        <v>cumple politica</v>
      </c>
    </row>
    <row r="215" spans="1:21" s="11" customFormat="1" x14ac:dyDescent="0.3">
      <c r="A215" s="11" t="s">
        <v>119</v>
      </c>
      <c r="B215" t="s">
        <v>140</v>
      </c>
      <c r="C215" t="s">
        <v>138</v>
      </c>
      <c r="D215" t="s">
        <v>82</v>
      </c>
      <c r="E215" s="24">
        <f t="shared" si="46"/>
        <v>0</v>
      </c>
      <c r="F215" s="22">
        <f>-SUMIFS(CARGA!I:I,CARGA!B:B,tabla!A215,CARGA!D:D,tabla!C215,CARGA!C:C,MAESTRO!$B$4)-SUMIFS(CARGA!I:I,CARGA!B:B,tabla!A215,CARGA!D:D,tabla!C215,CARGA!C:C,MAESTRO!$B$5)</f>
        <v>0</v>
      </c>
      <c r="G215" s="5">
        <f>+SUMIFS(CARGA!I:I,CARGA!B:B,tabla!A215,CARGA!D:D,tabla!C215)</f>
        <v>0</v>
      </c>
      <c r="H215" s="5">
        <f>+SUMIFS(CARGA!K:K,CARGA!B:B,tabla!A215,CARGA!D:D,tabla!C215)</f>
        <v>0</v>
      </c>
      <c r="I215" s="5">
        <f t="shared" si="47"/>
        <v>0</v>
      </c>
      <c r="J215" s="5">
        <f>-SUMIFS(CARGA!K:K,CARGA!B:B,tabla!A215,CARGA!D:D,tabla!C215,CARGA!C:C,MAESTRO!$B$4)+SUMIFS(CARGA!K:K,CARGA!B:B,tabla!A215,CARGA!D:D,tabla!C215,CARGA!C:C,MAESTRO!$B$5)</f>
        <v>0</v>
      </c>
      <c r="K215" s="5" t="e">
        <f>+VLOOKUP(C215,#REF!,3,FALSE)</f>
        <v>#REF!</v>
      </c>
      <c r="L215" s="5" t="e">
        <f t="shared" si="48"/>
        <v>#REF!</v>
      </c>
      <c r="M215" s="5" t="e">
        <f t="shared" si="49"/>
        <v>#REF!</v>
      </c>
      <c r="N215" s="5" t="str">
        <f t="shared" si="50"/>
        <v>NO</v>
      </c>
      <c r="O215" s="5" t="e">
        <f>+VLOOKUP(C215,[2]Fondos!$F:$J,5,FALSE)</f>
        <v>#N/A</v>
      </c>
      <c r="P215" s="13" t="e">
        <f>+VLOOKUP(C215,[2]Fondos!$F:$K,6,FALSE)</f>
        <v>#N/A</v>
      </c>
      <c r="Q215" s="13" t="e">
        <f t="shared" si="51"/>
        <v>#N/A</v>
      </c>
      <c r="R215" s="10" t="e">
        <f>+IF(Q215&gt;MAESTRO!$G$6,0,1)</f>
        <v>#N/A</v>
      </c>
      <c r="S215" t="e">
        <f>+IF(P215&lt;MAESTRO!$G$8,0,1)</f>
        <v>#N/A</v>
      </c>
      <c r="T215" s="10" t="e">
        <f t="shared" si="52"/>
        <v>#N/A</v>
      </c>
      <c r="U215" t="e">
        <f>+IF(R215+S215=2,MAESTRO!$G$2,IF(R215+S215=0,MAESTRO!$G$5,IF(R215=0,MAESTRO!$G$3,IF(S215=0,MAESTRO!$G$4,))))</f>
        <v>#N/A</v>
      </c>
    </row>
    <row r="216" spans="1:21" s="11" customFormat="1" x14ac:dyDescent="0.3">
      <c r="A216" s="11" t="s">
        <v>119</v>
      </c>
      <c r="B216" t="s">
        <v>140</v>
      </c>
      <c r="C216" t="s">
        <v>139</v>
      </c>
      <c r="D216" t="s">
        <v>81</v>
      </c>
      <c r="E216" s="24">
        <f t="shared" si="46"/>
        <v>0</v>
      </c>
      <c r="F216" s="22">
        <f>-SUMIFS(CARGA!I:I,CARGA!B:B,tabla!A216,CARGA!D:D,tabla!C216,CARGA!C:C,MAESTRO!$B$4)-SUMIFS(CARGA!I:I,CARGA!B:B,tabla!A216,CARGA!D:D,tabla!C216,CARGA!C:C,MAESTRO!$B$5)</f>
        <v>0</v>
      </c>
      <c r="G216" s="5">
        <f>+SUMIFS(CARGA!I:I,CARGA!B:B,tabla!A216,CARGA!D:D,tabla!C216)</f>
        <v>0</v>
      </c>
      <c r="H216" s="5">
        <f>+SUMIFS(CARGA!K:K,CARGA!B:B,tabla!A216,CARGA!D:D,tabla!C216)</f>
        <v>0</v>
      </c>
      <c r="I216" s="5">
        <f t="shared" si="47"/>
        <v>0</v>
      </c>
      <c r="J216" s="5">
        <f>-SUMIFS(CARGA!K:K,CARGA!B:B,tabla!A216,CARGA!D:D,tabla!C216,CARGA!C:C,MAESTRO!$B$4)+SUMIFS(CARGA!K:K,CARGA!B:B,tabla!A216,CARGA!D:D,tabla!C216,CARGA!C:C,MAESTRO!$B$5)</f>
        <v>0</v>
      </c>
      <c r="K216" s="5" t="e">
        <f>+VLOOKUP(C216,#REF!,3,FALSE)</f>
        <v>#REF!</v>
      </c>
      <c r="L216" s="5" t="e">
        <f t="shared" si="48"/>
        <v>#REF!</v>
      </c>
      <c r="M216" s="5" t="e">
        <f t="shared" si="49"/>
        <v>#REF!</v>
      </c>
      <c r="N216" s="5" t="str">
        <f t="shared" si="50"/>
        <v>NO</v>
      </c>
      <c r="O216" s="5" t="e">
        <f>+VLOOKUP(C216,[2]Fondos!$F:$J,5,FALSE)</f>
        <v>#N/A</v>
      </c>
      <c r="P216" s="13" t="e">
        <f>+VLOOKUP(C216,[2]Fondos!$F:$K,6,FALSE)</f>
        <v>#N/A</v>
      </c>
      <c r="Q216" s="13" t="e">
        <f t="shared" si="51"/>
        <v>#N/A</v>
      </c>
      <c r="R216" s="10" t="e">
        <f>+IF(Q216&gt;MAESTRO!$G$6,0,1)</f>
        <v>#N/A</v>
      </c>
      <c r="S216" t="e">
        <f>+IF(P216&lt;MAESTRO!$G$8,0,1)</f>
        <v>#N/A</v>
      </c>
      <c r="T216" s="10" t="e">
        <f t="shared" si="52"/>
        <v>#N/A</v>
      </c>
      <c r="U216" t="e">
        <f>+IF(R216+S216=2,MAESTRO!$G$2,IF(R216+S216=0,MAESTRO!$G$5,IF(R216=0,MAESTRO!$G$3,IF(S216=0,MAESTRO!$G$4,))))</f>
        <v>#N/A</v>
      </c>
    </row>
    <row r="217" spans="1:21" s="11" customFormat="1" x14ac:dyDescent="0.3">
      <c r="A217" s="11" t="s">
        <v>119</v>
      </c>
      <c r="B217" t="s">
        <v>134</v>
      </c>
      <c r="C217" t="s">
        <v>136</v>
      </c>
      <c r="D217" t="s">
        <v>81</v>
      </c>
      <c r="E217" s="24">
        <f t="shared" si="46"/>
        <v>0</v>
      </c>
      <c r="F217" s="22">
        <f>-SUMIFS(CARGA!I:I,CARGA!B:B,tabla!A217,CARGA!D:D,tabla!C217,CARGA!C:C,MAESTRO!$B$4)-SUMIFS(CARGA!I:I,CARGA!B:B,tabla!A217,CARGA!D:D,tabla!C217,CARGA!C:C,MAESTRO!$B$5)</f>
        <v>0</v>
      </c>
      <c r="G217" s="5">
        <f>+SUMIFS(CARGA!I:I,CARGA!B:B,tabla!A217,CARGA!D:D,tabla!C217)</f>
        <v>0</v>
      </c>
      <c r="H217" s="5">
        <f>+SUMIFS(CARGA!K:K,CARGA!B:B,tabla!A217,CARGA!D:D,tabla!C217)</f>
        <v>0</v>
      </c>
      <c r="I217" s="5">
        <f t="shared" si="47"/>
        <v>0</v>
      </c>
      <c r="J217" s="5">
        <f>-SUMIFS(CARGA!K:K,CARGA!B:B,tabla!A217,CARGA!D:D,tabla!C217,CARGA!C:C,MAESTRO!$B$4)+SUMIFS(CARGA!K:K,CARGA!B:B,tabla!A217,CARGA!D:D,tabla!C217,CARGA!C:C,MAESTRO!$B$5)</f>
        <v>0</v>
      </c>
      <c r="K217" s="5" t="e">
        <f>+VLOOKUP(C217,#REF!,3,FALSE)</f>
        <v>#REF!</v>
      </c>
      <c r="L217" s="5" t="e">
        <f t="shared" si="48"/>
        <v>#REF!</v>
      </c>
      <c r="M217" s="5" t="e">
        <f t="shared" si="49"/>
        <v>#REF!</v>
      </c>
      <c r="N217" s="5" t="str">
        <f t="shared" si="50"/>
        <v>NO</v>
      </c>
      <c r="O217" s="5" t="e">
        <f>+VLOOKUP(C217,[2]Fondos!$F:$J,5,FALSE)</f>
        <v>#N/A</v>
      </c>
      <c r="P217" s="13" t="e">
        <f>+VLOOKUP(C217,[2]Fondos!$F:$K,6,FALSE)</f>
        <v>#N/A</v>
      </c>
      <c r="Q217" s="13" t="e">
        <f t="shared" si="51"/>
        <v>#N/A</v>
      </c>
      <c r="R217" s="10" t="e">
        <f>+IF(Q217&gt;MAESTRO!$G$6,0,1)</f>
        <v>#N/A</v>
      </c>
      <c r="S217" t="e">
        <f>+IF(P217&lt;MAESTRO!$G$8,0,1)</f>
        <v>#N/A</v>
      </c>
      <c r="T217" s="10" t="e">
        <f t="shared" si="52"/>
        <v>#N/A</v>
      </c>
      <c r="U217" t="e">
        <f>+IF(R217+S217=2,MAESTRO!$G$2,IF(R217+S217=0,MAESTRO!$G$5,IF(R217=0,MAESTRO!$G$3,IF(S217=0,MAESTRO!$G$4,))))</f>
        <v>#N/A</v>
      </c>
    </row>
    <row r="218" spans="1:21" s="11" customFormat="1" x14ac:dyDescent="0.3">
      <c r="A218" s="11" t="s">
        <v>119</v>
      </c>
      <c r="B218" t="s">
        <v>134</v>
      </c>
      <c r="C218" t="s">
        <v>135</v>
      </c>
      <c r="D218" t="s">
        <v>82</v>
      </c>
      <c r="E218" s="24">
        <f t="shared" si="46"/>
        <v>0</v>
      </c>
      <c r="F218" s="22">
        <f>-SUMIFS(CARGA!I:I,CARGA!B:B,tabla!A218,CARGA!D:D,tabla!C218,CARGA!C:C,MAESTRO!$B$4)-SUMIFS(CARGA!I:I,CARGA!B:B,tabla!A218,CARGA!D:D,tabla!C218,CARGA!C:C,MAESTRO!$B$5)</f>
        <v>0</v>
      </c>
      <c r="G218" s="5">
        <f>+SUMIFS(CARGA!I:I,CARGA!B:B,tabla!A218,CARGA!D:D,tabla!C218)</f>
        <v>0</v>
      </c>
      <c r="H218" s="5">
        <f>+SUMIFS(CARGA!K:K,CARGA!B:B,tabla!A218,CARGA!D:D,tabla!C218)</f>
        <v>0</v>
      </c>
      <c r="I218" s="5">
        <f t="shared" si="47"/>
        <v>0</v>
      </c>
      <c r="J218" s="5">
        <f>-SUMIFS(CARGA!K:K,CARGA!B:B,tabla!A218,CARGA!D:D,tabla!C218,CARGA!C:C,MAESTRO!$B$4)+SUMIFS(CARGA!K:K,CARGA!B:B,tabla!A218,CARGA!D:D,tabla!C218,CARGA!C:C,MAESTRO!$B$5)</f>
        <v>0</v>
      </c>
      <c r="K218" s="5" t="e">
        <f>+VLOOKUP(C218,#REF!,3,FALSE)</f>
        <v>#REF!</v>
      </c>
      <c r="L218" s="5" t="e">
        <f t="shared" si="48"/>
        <v>#REF!</v>
      </c>
      <c r="M218" s="5" t="e">
        <f t="shared" si="49"/>
        <v>#REF!</v>
      </c>
      <c r="N218" s="5" t="str">
        <f t="shared" si="50"/>
        <v>NO</v>
      </c>
      <c r="O218" s="5" t="e">
        <f>+VLOOKUP(C218,[2]Fondos!$F:$J,5,FALSE)</f>
        <v>#N/A</v>
      </c>
      <c r="P218" s="13" t="e">
        <f>+VLOOKUP(C218,[2]Fondos!$F:$K,6,FALSE)</f>
        <v>#N/A</v>
      </c>
      <c r="Q218" s="13" t="e">
        <f t="shared" si="51"/>
        <v>#N/A</v>
      </c>
      <c r="R218" s="10" t="e">
        <f>+IF(Q218&gt;MAESTRO!$G$6,0,1)</f>
        <v>#N/A</v>
      </c>
      <c r="S218" t="e">
        <f>+IF(P218&lt;MAESTRO!$G$8,0,1)</f>
        <v>#N/A</v>
      </c>
      <c r="T218" s="10" t="e">
        <f t="shared" si="52"/>
        <v>#N/A</v>
      </c>
      <c r="U218" t="e">
        <f>+IF(R218+S218=2,MAESTRO!$G$2,IF(R218+S218=0,MAESTRO!$G$5,IF(R218=0,MAESTRO!$G$3,IF(S218=0,MAESTRO!$G$4,))))</f>
        <v>#N/A</v>
      </c>
    </row>
    <row r="219" spans="1:21" s="11" customFormat="1" x14ac:dyDescent="0.3">
      <c r="F219" s="12"/>
      <c r="G219" s="12"/>
      <c r="H219" s="12"/>
      <c r="I219" s="12"/>
      <c r="J219" s="12"/>
      <c r="K219" s="5"/>
      <c r="L219" s="12"/>
      <c r="M219" s="12"/>
      <c r="N219" s="12"/>
      <c r="P219" s="15"/>
      <c r="Q219" s="15"/>
    </row>
    <row r="220" spans="1:21" s="11" customFormat="1" x14ac:dyDescent="0.3">
      <c r="A220" s="11" t="s">
        <v>120</v>
      </c>
      <c r="B220" t="s">
        <v>31</v>
      </c>
      <c r="C220" s="7" t="s">
        <v>50</v>
      </c>
      <c r="D220" t="s">
        <v>81</v>
      </c>
      <c r="E220" s="24">
        <f t="shared" ref="E220:E264" si="53">+F220+G220</f>
        <v>0</v>
      </c>
      <c r="F220" s="22">
        <f>-SUMIFS(CARGA!I:I,CARGA!B:B,tabla!A220,CARGA!D:D,tabla!C220,CARGA!C:C,MAESTRO!$B$4)-SUMIFS(CARGA!I:I,CARGA!B:B,tabla!A220,CARGA!D:D,tabla!C220,CARGA!C:C,MAESTRO!$B$5)</f>
        <v>0</v>
      </c>
      <c r="G220" s="5">
        <f>+SUMIFS(CARGA!I:I,CARGA!B:B,tabla!A220,CARGA!D:D,tabla!C220)</f>
        <v>0</v>
      </c>
      <c r="H220" s="5">
        <f>+SUMIFS(CARGA!K:K,CARGA!B:B,tabla!A220,CARGA!D:D,tabla!C220)</f>
        <v>0</v>
      </c>
      <c r="I220" s="5">
        <f t="shared" ref="I220:I264" si="54">+H220+J220</f>
        <v>0</v>
      </c>
      <c r="J220" s="5">
        <f>-SUMIFS(CARGA!K:K,CARGA!B:B,tabla!A220,CARGA!D:D,tabla!C220,CARGA!C:C,MAESTRO!$B$4)+SUMIFS(CARGA!K:K,CARGA!B:B,tabla!A220,CARGA!D:D,tabla!C220,CARGA!C:C,MAESTRO!$B$5)</f>
        <v>0</v>
      </c>
      <c r="K220" s="5" t="e">
        <f>+VLOOKUP(C220,#REF!,3,FALSE)</f>
        <v>#REF!</v>
      </c>
      <c r="L220" s="5" t="e">
        <f t="shared" ref="L220:L264" si="55">+K220*I220</f>
        <v>#REF!</v>
      </c>
      <c r="M220" s="5" t="e">
        <f t="shared" ref="M220:M264" si="56">+K220*J220</f>
        <v>#REF!</v>
      </c>
      <c r="N220" s="5" t="str">
        <f t="shared" ref="N220:N264" si="57">+IF(G220+F220=0,"NO","SI")</f>
        <v>NO</v>
      </c>
      <c r="O220" s="5">
        <f>+VLOOKUP(C220,[2]Fondos!$F:$J,5,FALSE)</f>
        <v>1817778903</v>
      </c>
      <c r="P220" s="13">
        <f>+VLOOKUP(C220,[2]Fondos!$F:$K,6,FALSE)</f>
        <v>0.23246230000000001</v>
      </c>
      <c r="Q220" s="13">
        <f t="shared" ref="Q220:Q264" si="58">+G220/O220</f>
        <v>0</v>
      </c>
      <c r="R220" s="10">
        <f>+IF(Q220&gt;MAESTRO!$G$6,0,1)</f>
        <v>1</v>
      </c>
      <c r="S220">
        <f>+IF(P220&lt;MAESTRO!$G$8,0,1)</f>
        <v>1</v>
      </c>
      <c r="T220" s="10">
        <f>+R220+S220</f>
        <v>2</v>
      </c>
      <c r="U220" t="str">
        <f>+IF(R220+S220=2,MAESTRO!$G$2,IF(R220+S220=0,MAESTRO!$G$5,IF(R220=0,MAESTRO!$G$3,IF(S220=0,MAESTRO!$G$4,))))</f>
        <v>cumple politica</v>
      </c>
    </row>
    <row r="221" spans="1:21" s="11" customFormat="1" x14ac:dyDescent="0.3">
      <c r="A221" s="11" t="s">
        <v>120</v>
      </c>
      <c r="B221" t="s">
        <v>31</v>
      </c>
      <c r="C221" s="7" t="s">
        <v>70</v>
      </c>
      <c r="D221" t="s">
        <v>82</v>
      </c>
      <c r="E221" s="24">
        <f t="shared" si="53"/>
        <v>0</v>
      </c>
      <c r="F221" s="22">
        <f>-SUMIFS(CARGA!I:I,CARGA!B:B,tabla!A221,CARGA!D:D,tabla!C221,CARGA!C:C,MAESTRO!$B$4)-SUMIFS(CARGA!I:I,CARGA!B:B,tabla!A221,CARGA!D:D,tabla!C221,CARGA!C:C,MAESTRO!$B$5)</f>
        <v>0</v>
      </c>
      <c r="G221" s="5">
        <f>+SUMIFS(CARGA!I:I,CARGA!B:B,tabla!A221,CARGA!D:D,tabla!C221)</f>
        <v>0</v>
      </c>
      <c r="H221" s="5">
        <f>+SUMIFS(CARGA!K:K,CARGA!B:B,tabla!A221,CARGA!D:D,tabla!C221)</f>
        <v>0</v>
      </c>
      <c r="I221" s="5">
        <f t="shared" si="54"/>
        <v>0</v>
      </c>
      <c r="J221" s="5">
        <f>-SUMIFS(CARGA!K:K,CARGA!B:B,tabla!A221,CARGA!D:D,tabla!C221,CARGA!C:C,MAESTRO!$B$4)+SUMIFS(CARGA!K:K,CARGA!B:B,tabla!A221,CARGA!D:D,tabla!C221,CARGA!C:C,MAESTRO!$B$5)</f>
        <v>0</v>
      </c>
      <c r="K221" s="5" t="e">
        <f>+VLOOKUP(C221,#REF!,3,FALSE)</f>
        <v>#REF!</v>
      </c>
      <c r="L221" s="5" t="e">
        <f t="shared" si="55"/>
        <v>#REF!</v>
      </c>
      <c r="M221" s="5" t="e">
        <f t="shared" si="56"/>
        <v>#REF!</v>
      </c>
      <c r="N221" s="5" t="str">
        <f t="shared" si="57"/>
        <v>NO</v>
      </c>
      <c r="O221" s="5">
        <f>+VLOOKUP(C221,[2]Fondos!$F:$J,5,FALSE)</f>
        <v>6506463370</v>
      </c>
      <c r="P221" s="13" t="e">
        <f>+VLOOKUP(C221,[2]Fondos!$F:$K,6,FALSE)</f>
        <v>#VALUE!</v>
      </c>
      <c r="Q221" s="13">
        <f t="shared" si="58"/>
        <v>0</v>
      </c>
      <c r="R221" s="10">
        <f>+IF(Q221&gt;MAESTRO!$G$6,0,1)</f>
        <v>1</v>
      </c>
      <c r="S221" t="e">
        <f>+IF(P221&lt;MAESTRO!$G$8,0,1)</f>
        <v>#VALUE!</v>
      </c>
      <c r="T221" s="10" t="e">
        <f t="shared" ref="T221:T264" si="59">+R221+S221</f>
        <v>#VALUE!</v>
      </c>
      <c r="U221" t="e">
        <f>+IF(R221+S221=2,MAESTRO!$G$2,IF(R221+S221=0,MAESTRO!$G$5,IF(R221=0,MAESTRO!$G$3,IF(S221=0,MAESTRO!$G$4,))))</f>
        <v>#VALUE!</v>
      </c>
    </row>
    <row r="222" spans="1:21" s="11" customFormat="1" x14ac:dyDescent="0.3">
      <c r="A222" s="11" t="s">
        <v>120</v>
      </c>
      <c r="B222" t="s">
        <v>31</v>
      </c>
      <c r="C222" s="7" t="s">
        <v>69</v>
      </c>
      <c r="D222" t="s">
        <v>82</v>
      </c>
      <c r="E222" s="24">
        <f t="shared" si="53"/>
        <v>0</v>
      </c>
      <c r="F222" s="22">
        <f>-SUMIFS(CARGA!I:I,CARGA!B:B,tabla!A222,CARGA!D:D,tabla!C222,CARGA!C:C,MAESTRO!$B$4)-SUMIFS(CARGA!I:I,CARGA!B:B,tabla!A222,CARGA!D:D,tabla!C222,CARGA!C:C,MAESTRO!$B$5)</f>
        <v>0</v>
      </c>
      <c r="G222" s="5">
        <f>+SUMIFS(CARGA!I:I,CARGA!B:B,tabla!A222,CARGA!D:D,tabla!C222)</f>
        <v>0</v>
      </c>
      <c r="H222" s="5">
        <f>+SUMIFS(CARGA!K:K,CARGA!B:B,tabla!A222,CARGA!D:D,tabla!C222)</f>
        <v>0</v>
      </c>
      <c r="I222" s="5">
        <f t="shared" si="54"/>
        <v>0</v>
      </c>
      <c r="J222" s="5">
        <f>-SUMIFS(CARGA!K:K,CARGA!B:B,tabla!A222,CARGA!D:D,tabla!C222,CARGA!C:C,MAESTRO!$B$4)+SUMIFS(CARGA!K:K,CARGA!B:B,tabla!A222,CARGA!D:D,tabla!C222,CARGA!C:C,MAESTRO!$B$5)</f>
        <v>0</v>
      </c>
      <c r="K222" s="5" t="e">
        <f>+VLOOKUP(C222,#REF!,3,FALSE)</f>
        <v>#REF!</v>
      </c>
      <c r="L222" s="5" t="e">
        <f t="shared" si="55"/>
        <v>#REF!</v>
      </c>
      <c r="M222" s="5" t="e">
        <f t="shared" si="56"/>
        <v>#REF!</v>
      </c>
      <c r="N222" s="5" t="str">
        <f t="shared" si="57"/>
        <v>NO</v>
      </c>
      <c r="O222" s="5">
        <f>+VLOOKUP(C222,[2]Fondos!$F:$J,5,FALSE)</f>
        <v>39848036</v>
      </c>
      <c r="P222" s="13" t="e">
        <f>+VLOOKUP(C222,[2]Fondos!$F:$K,6,FALSE)</f>
        <v>#VALUE!</v>
      </c>
      <c r="Q222" s="13">
        <f t="shared" si="58"/>
        <v>0</v>
      </c>
      <c r="R222" s="10">
        <f>+IF(Q222&gt;MAESTRO!$G$6,0,1)</f>
        <v>1</v>
      </c>
      <c r="S222" t="e">
        <f>+IF(P222&lt;MAESTRO!$G$8,0,1)</f>
        <v>#VALUE!</v>
      </c>
      <c r="T222" s="10" t="e">
        <f t="shared" si="59"/>
        <v>#VALUE!</v>
      </c>
      <c r="U222" t="e">
        <f>+IF(R222+S222=2,MAESTRO!$G$2,IF(R222+S222=0,MAESTRO!$G$5,IF(R222=0,MAESTRO!$G$3,IF(S222=0,MAESTRO!$G$4,))))</f>
        <v>#VALUE!</v>
      </c>
    </row>
    <row r="223" spans="1:21" s="11" customFormat="1" x14ac:dyDescent="0.3">
      <c r="A223" s="11" t="s">
        <v>120</v>
      </c>
      <c r="B223" t="s">
        <v>33</v>
      </c>
      <c r="C223" s="7" t="s">
        <v>52</v>
      </c>
      <c r="D223" t="s">
        <v>81</v>
      </c>
      <c r="E223" s="24">
        <f t="shared" si="53"/>
        <v>0</v>
      </c>
      <c r="F223" s="22">
        <f>-SUMIFS(CARGA!I:I,CARGA!B:B,tabla!A223,CARGA!D:D,tabla!C223,CARGA!C:C,MAESTRO!$B$4)-SUMIFS(CARGA!I:I,CARGA!B:B,tabla!A223,CARGA!D:D,tabla!C223,CARGA!C:C,MAESTRO!$B$5)</f>
        <v>0</v>
      </c>
      <c r="G223" s="5">
        <f>+SUMIFS(CARGA!I:I,CARGA!B:B,tabla!A223,CARGA!D:D,tabla!C223)</f>
        <v>0</v>
      </c>
      <c r="H223" s="5">
        <f>+SUMIFS(CARGA!K:K,CARGA!B:B,tabla!A223,CARGA!D:D,tabla!C223)</f>
        <v>0</v>
      </c>
      <c r="I223" s="5">
        <f t="shared" si="54"/>
        <v>0</v>
      </c>
      <c r="J223" s="5">
        <f>-SUMIFS(CARGA!K:K,CARGA!B:B,tabla!A223,CARGA!D:D,tabla!C223,CARGA!C:C,MAESTRO!$B$4)+SUMIFS(CARGA!K:K,CARGA!B:B,tabla!A223,CARGA!D:D,tabla!C223,CARGA!C:C,MAESTRO!$B$5)</f>
        <v>0</v>
      </c>
      <c r="K223" s="5" t="e">
        <f>+VLOOKUP(C223,#REF!,3,FALSE)</f>
        <v>#REF!</v>
      </c>
      <c r="L223" s="5" t="e">
        <f t="shared" si="55"/>
        <v>#REF!</v>
      </c>
      <c r="M223" s="5" t="e">
        <f t="shared" si="56"/>
        <v>#REF!</v>
      </c>
      <c r="N223" s="5" t="str">
        <f t="shared" si="57"/>
        <v>NO</v>
      </c>
      <c r="O223" s="5">
        <f>+VLOOKUP(C223,[2]Fondos!$F:$J,5,FALSE)</f>
        <v>3875956517</v>
      </c>
      <c r="P223" s="13">
        <f>+VLOOKUP(C223,[2]Fondos!$F:$K,6,FALSE)</f>
        <v>0.23267859999999999</v>
      </c>
      <c r="Q223" s="13">
        <f t="shared" si="58"/>
        <v>0</v>
      </c>
      <c r="R223" s="10">
        <f>+IF(Q223&gt;MAESTRO!$G$6,0,1)</f>
        <v>1</v>
      </c>
      <c r="S223">
        <f>+IF(P223&lt;MAESTRO!$G$8,0,1)</f>
        <v>1</v>
      </c>
      <c r="T223" s="10">
        <f t="shared" si="59"/>
        <v>2</v>
      </c>
      <c r="U223" t="str">
        <f>+IF(R223+S223=2,MAESTRO!$G$2,IF(R223+S223=0,MAESTRO!$G$5,IF(R223=0,MAESTRO!$G$3,IF(S223=0,MAESTRO!$G$4,))))</f>
        <v>cumple politica</v>
      </c>
    </row>
    <row r="224" spans="1:21" s="11" customFormat="1" x14ac:dyDescent="0.3">
      <c r="A224" s="11" t="s">
        <v>120</v>
      </c>
      <c r="B224" t="s">
        <v>33</v>
      </c>
      <c r="C224" s="7" t="s">
        <v>74</v>
      </c>
      <c r="D224" t="s">
        <v>82</v>
      </c>
      <c r="E224" s="24">
        <f t="shared" si="53"/>
        <v>0</v>
      </c>
      <c r="F224" s="22">
        <f>-SUMIFS(CARGA!I:I,CARGA!B:B,tabla!A224,CARGA!D:D,tabla!C224,CARGA!C:C,MAESTRO!$B$4)-SUMIFS(CARGA!I:I,CARGA!B:B,tabla!A224,CARGA!D:D,tabla!C224,CARGA!C:C,MAESTRO!$B$5)</f>
        <v>0</v>
      </c>
      <c r="G224" s="5">
        <f>+SUMIFS(CARGA!I:I,CARGA!B:B,tabla!A224,CARGA!D:D,tabla!C224)</f>
        <v>0</v>
      </c>
      <c r="H224" s="5">
        <f>+SUMIFS(CARGA!K:K,CARGA!B:B,tabla!A224,CARGA!D:D,tabla!C224)</f>
        <v>0</v>
      </c>
      <c r="I224" s="5">
        <f t="shared" si="54"/>
        <v>0</v>
      </c>
      <c r="J224" s="5">
        <f>-SUMIFS(CARGA!K:K,CARGA!B:B,tabla!A224,CARGA!D:D,tabla!C224,CARGA!C:C,MAESTRO!$B$4)+SUMIFS(CARGA!K:K,CARGA!B:B,tabla!A224,CARGA!D:D,tabla!C224,CARGA!C:C,MAESTRO!$B$5)</f>
        <v>0</v>
      </c>
      <c r="K224" s="5" t="e">
        <f>+VLOOKUP(C224,#REF!,3,FALSE)</f>
        <v>#REF!</v>
      </c>
      <c r="L224" s="5" t="e">
        <f t="shared" si="55"/>
        <v>#REF!</v>
      </c>
      <c r="M224" s="5" t="e">
        <f t="shared" si="56"/>
        <v>#REF!</v>
      </c>
      <c r="N224" s="5" t="str">
        <f t="shared" si="57"/>
        <v>NO</v>
      </c>
      <c r="O224" s="5">
        <f>+VLOOKUP(C224,[2]Fondos!$F:$J,5,FALSE)</f>
        <v>8775783683</v>
      </c>
      <c r="P224" s="13">
        <f>+VLOOKUP(C224,[2]Fondos!$F:$K,6,FALSE)</f>
        <v>0.2640304</v>
      </c>
      <c r="Q224" s="13">
        <f t="shared" si="58"/>
        <v>0</v>
      </c>
      <c r="R224" s="10">
        <f>+IF(Q224&gt;MAESTRO!$G$6,0,1)</f>
        <v>1</v>
      </c>
      <c r="S224">
        <f>+IF(P224&lt;MAESTRO!$G$8,0,1)</f>
        <v>1</v>
      </c>
      <c r="T224" s="10">
        <f t="shared" si="59"/>
        <v>2</v>
      </c>
      <c r="U224" t="str">
        <f>+IF(R224+S224=2,MAESTRO!$G$2,IF(R224+S224=0,MAESTRO!$G$5,IF(R224=0,MAESTRO!$G$3,IF(S224=0,MAESTRO!$G$4,))))</f>
        <v>cumple politica</v>
      </c>
    </row>
    <row r="225" spans="1:21" s="11" customFormat="1" x14ac:dyDescent="0.3">
      <c r="A225" s="11" t="s">
        <v>120</v>
      </c>
      <c r="B225" t="s">
        <v>27</v>
      </c>
      <c r="C225" t="s">
        <v>63</v>
      </c>
      <c r="D225" t="s">
        <v>82</v>
      </c>
      <c r="E225" s="24">
        <f t="shared" si="53"/>
        <v>0</v>
      </c>
      <c r="F225" s="22">
        <f>-SUMIFS(CARGA!I:I,CARGA!B:B,tabla!A225,CARGA!D:D,tabla!C225,CARGA!C:C,MAESTRO!$B$4)-SUMIFS(CARGA!I:I,CARGA!B:B,tabla!A225,CARGA!D:D,tabla!C225,CARGA!C:C,MAESTRO!$B$5)</f>
        <v>0</v>
      </c>
      <c r="G225" s="5">
        <f>+SUMIFS(CARGA!I:I,CARGA!B:B,tabla!A225,CARGA!D:D,tabla!C225)</f>
        <v>0</v>
      </c>
      <c r="H225" s="5">
        <f>+SUMIFS(CARGA!K:K,CARGA!B:B,tabla!A225,CARGA!D:D,tabla!C225)</f>
        <v>0</v>
      </c>
      <c r="I225" s="5">
        <f t="shared" si="54"/>
        <v>0</v>
      </c>
      <c r="J225" s="5">
        <f>-SUMIFS(CARGA!K:K,CARGA!B:B,tabla!A225,CARGA!D:D,tabla!C225,CARGA!C:C,MAESTRO!$B$4)+SUMIFS(CARGA!K:K,CARGA!B:B,tabla!A225,CARGA!D:D,tabla!C225,CARGA!C:C,MAESTRO!$B$5)</f>
        <v>0</v>
      </c>
      <c r="K225" s="5" t="e">
        <f>+VLOOKUP(C225,#REF!,3,FALSE)</f>
        <v>#REF!</v>
      </c>
      <c r="L225" s="5" t="e">
        <f t="shared" si="55"/>
        <v>#REF!</v>
      </c>
      <c r="M225" s="5" t="e">
        <f t="shared" si="56"/>
        <v>#REF!</v>
      </c>
      <c r="N225" s="5" t="str">
        <f t="shared" si="57"/>
        <v>NO</v>
      </c>
      <c r="O225" s="5">
        <f>+VLOOKUP(C225,[2]Fondos!$F:$J,5,FALSE)</f>
        <v>14114977659</v>
      </c>
      <c r="P225" s="13">
        <f>+VLOOKUP(C225,[2]Fondos!$F:$K,6,FALSE)</f>
        <v>0.26056640000000003</v>
      </c>
      <c r="Q225" s="13">
        <f t="shared" si="58"/>
        <v>0</v>
      </c>
      <c r="R225" s="10">
        <f>+IF(Q225&gt;MAESTRO!$G$6,0,1)</f>
        <v>1</v>
      </c>
      <c r="S225">
        <f>+IF(P225&lt;MAESTRO!$G$8,0,1)</f>
        <v>1</v>
      </c>
      <c r="T225" s="10">
        <f t="shared" si="59"/>
        <v>2</v>
      </c>
      <c r="U225" t="str">
        <f>+IF(R225+S225=2,MAESTRO!$G$2,IF(R225+S225=0,MAESTRO!$G$5,IF(R225=0,MAESTRO!$G$3,IF(S225=0,MAESTRO!$G$4,))))</f>
        <v>cumple politica</v>
      </c>
    </row>
    <row r="226" spans="1:21" s="11" customFormat="1" x14ac:dyDescent="0.3">
      <c r="A226" s="11" t="s">
        <v>120</v>
      </c>
      <c r="B226" t="s">
        <v>27</v>
      </c>
      <c r="C226" t="s">
        <v>47</v>
      </c>
      <c r="D226" t="s">
        <v>81</v>
      </c>
      <c r="E226" s="24">
        <f t="shared" si="53"/>
        <v>0</v>
      </c>
      <c r="F226" s="22">
        <f>-SUMIFS(CARGA!I:I,CARGA!B:B,tabla!A226,CARGA!D:D,tabla!C226,CARGA!C:C,MAESTRO!$B$4)-SUMIFS(CARGA!I:I,CARGA!B:B,tabla!A226,CARGA!D:D,tabla!C226,CARGA!C:C,MAESTRO!$B$5)</f>
        <v>0</v>
      </c>
      <c r="G226" s="5">
        <f>+SUMIFS(CARGA!I:I,CARGA!B:B,tabla!A226,CARGA!D:D,tabla!C226)</f>
        <v>0</v>
      </c>
      <c r="H226" s="5">
        <f>+SUMIFS(CARGA!K:K,CARGA!B:B,tabla!A226,CARGA!D:D,tabla!C226)</f>
        <v>0</v>
      </c>
      <c r="I226" s="5">
        <f t="shared" si="54"/>
        <v>0</v>
      </c>
      <c r="J226" s="5">
        <f>-SUMIFS(CARGA!K:K,CARGA!B:B,tabla!A226,CARGA!D:D,tabla!C226,CARGA!C:C,MAESTRO!$B$4)+SUMIFS(CARGA!K:K,CARGA!B:B,tabla!A226,CARGA!D:D,tabla!C226,CARGA!C:C,MAESTRO!$B$5)</f>
        <v>0</v>
      </c>
      <c r="K226" s="5" t="e">
        <f>+VLOOKUP(C226,#REF!,3,FALSE)</f>
        <v>#REF!</v>
      </c>
      <c r="L226" s="5" t="e">
        <f t="shared" si="55"/>
        <v>#REF!</v>
      </c>
      <c r="M226" s="5" t="e">
        <f t="shared" si="56"/>
        <v>#REF!</v>
      </c>
      <c r="N226" s="5" t="str">
        <f t="shared" si="57"/>
        <v>NO</v>
      </c>
      <c r="O226" s="5">
        <f>+VLOOKUP(C226,[2]Fondos!$F:$J,5,FALSE)</f>
        <v>1977335292</v>
      </c>
      <c r="P226" s="13">
        <f>+VLOOKUP(C226,[2]Fondos!$F:$K,6,FALSE)</f>
        <v>0.19354769999999999</v>
      </c>
      <c r="Q226" s="13">
        <f t="shared" si="58"/>
        <v>0</v>
      </c>
      <c r="R226" s="10">
        <f>+IF(Q226&gt;MAESTRO!$G$6,0,1)</f>
        <v>1</v>
      </c>
      <c r="S226">
        <f>+IF(P226&lt;MAESTRO!$G$8,0,1)</f>
        <v>1</v>
      </c>
      <c r="T226" s="10">
        <f t="shared" si="59"/>
        <v>2</v>
      </c>
      <c r="U226" t="str">
        <f>+IF(R226+S226=2,MAESTRO!$G$2,IF(R226+S226=0,MAESTRO!$G$5,IF(R226=0,MAESTRO!$G$3,IF(S226=0,MAESTRO!$G$4,))))</f>
        <v>cumple politica</v>
      </c>
    </row>
    <row r="227" spans="1:21" s="11" customFormat="1" x14ac:dyDescent="0.3">
      <c r="A227" s="11" t="s">
        <v>120</v>
      </c>
      <c r="B227" t="s">
        <v>27</v>
      </c>
      <c r="C227" t="s">
        <v>42</v>
      </c>
      <c r="D227" t="s">
        <v>81</v>
      </c>
      <c r="E227" s="24">
        <f t="shared" si="53"/>
        <v>0</v>
      </c>
      <c r="F227" s="22">
        <f>-SUMIFS(CARGA!I:I,CARGA!B:B,tabla!A227,CARGA!D:D,tabla!C227,CARGA!C:C,MAESTRO!$B$4)-SUMIFS(CARGA!I:I,CARGA!B:B,tabla!A227,CARGA!D:D,tabla!C227,CARGA!C:C,MAESTRO!$B$5)</f>
        <v>0</v>
      </c>
      <c r="G227" s="5">
        <f>+SUMIFS(CARGA!I:I,CARGA!B:B,tabla!A227,CARGA!D:D,tabla!C227)</f>
        <v>0</v>
      </c>
      <c r="H227" s="5">
        <f>+SUMIFS(CARGA!K:K,CARGA!B:B,tabla!A227,CARGA!D:D,tabla!C227)</f>
        <v>0</v>
      </c>
      <c r="I227" s="5">
        <f t="shared" si="54"/>
        <v>0</v>
      </c>
      <c r="J227" s="5">
        <f>-SUMIFS(CARGA!K:K,CARGA!B:B,tabla!A227,CARGA!D:D,tabla!C227,CARGA!C:C,MAESTRO!$B$4)+SUMIFS(CARGA!K:K,CARGA!B:B,tabla!A227,CARGA!D:D,tabla!C227,CARGA!C:C,MAESTRO!$B$5)</f>
        <v>0</v>
      </c>
      <c r="K227" s="5" t="e">
        <f>+VLOOKUP(C227,#REF!,3,FALSE)</f>
        <v>#REF!</v>
      </c>
      <c r="L227" s="5" t="e">
        <f t="shared" si="55"/>
        <v>#REF!</v>
      </c>
      <c r="M227" s="5" t="e">
        <f t="shared" si="56"/>
        <v>#REF!</v>
      </c>
      <c r="N227" s="5" t="str">
        <f t="shared" si="57"/>
        <v>NO</v>
      </c>
      <c r="O227" s="5">
        <f>+VLOOKUP(C227,[2]Fondos!$F:$J,5,FALSE)</f>
        <v>2171371244</v>
      </c>
      <c r="P227" s="13">
        <f>+VLOOKUP(C227,[2]Fondos!$F:$K,6,FALSE)</f>
        <v>0.2113614</v>
      </c>
      <c r="Q227" s="13">
        <f t="shared" si="58"/>
        <v>0</v>
      </c>
      <c r="R227" s="10">
        <f>+IF(Q227&gt;MAESTRO!$G$6,0,1)</f>
        <v>1</v>
      </c>
      <c r="S227">
        <f>+IF(P227&lt;MAESTRO!$G$8,0,1)</f>
        <v>1</v>
      </c>
      <c r="T227" s="10">
        <f t="shared" si="59"/>
        <v>2</v>
      </c>
      <c r="U227" t="str">
        <f>+IF(R227+S227=2,MAESTRO!$G$2,IF(R227+S227=0,MAESTRO!$G$5,IF(R227=0,MAESTRO!$G$3,IF(S227=0,MAESTRO!$G$4,))))</f>
        <v>cumple politica</v>
      </c>
    </row>
    <row r="228" spans="1:21" s="11" customFormat="1" x14ac:dyDescent="0.3">
      <c r="A228" s="11" t="s">
        <v>120</v>
      </c>
      <c r="B228" t="s">
        <v>27</v>
      </c>
      <c r="C228" t="s">
        <v>78</v>
      </c>
      <c r="D228" t="s">
        <v>82</v>
      </c>
      <c r="E228" s="24">
        <f t="shared" si="53"/>
        <v>0</v>
      </c>
      <c r="F228" s="22">
        <f>-SUMIFS(CARGA!I:I,CARGA!B:B,tabla!A228,CARGA!D:D,tabla!C228,CARGA!C:C,MAESTRO!$B$4)-SUMIFS(CARGA!I:I,CARGA!B:B,tabla!A228,CARGA!D:D,tabla!C228,CARGA!C:C,MAESTRO!$B$5)</f>
        <v>0</v>
      </c>
      <c r="G228" s="5">
        <f>+SUMIFS(CARGA!I:I,CARGA!B:B,tabla!A228,CARGA!D:D,tabla!C228)</f>
        <v>0</v>
      </c>
      <c r="H228" s="5">
        <f>+SUMIFS(CARGA!K:K,CARGA!B:B,tabla!A228,CARGA!D:D,tabla!C228)</f>
        <v>0</v>
      </c>
      <c r="I228" s="5">
        <f t="shared" si="54"/>
        <v>0</v>
      </c>
      <c r="J228" s="5">
        <f>-SUMIFS(CARGA!K:K,CARGA!B:B,tabla!A228,CARGA!D:D,tabla!C228,CARGA!C:C,MAESTRO!$B$4)+SUMIFS(CARGA!K:K,CARGA!B:B,tabla!A228,CARGA!D:D,tabla!C228,CARGA!C:C,MAESTRO!$B$5)</f>
        <v>0</v>
      </c>
      <c r="K228" s="5" t="e">
        <f>+VLOOKUP(C228,#REF!,3,FALSE)</f>
        <v>#REF!</v>
      </c>
      <c r="L228" s="5" t="e">
        <f t="shared" si="55"/>
        <v>#REF!</v>
      </c>
      <c r="M228" s="5" t="e">
        <f t="shared" si="56"/>
        <v>#REF!</v>
      </c>
      <c r="N228" s="5" t="str">
        <f t="shared" si="57"/>
        <v>NO</v>
      </c>
      <c r="O228" s="5">
        <f>+VLOOKUP(C228,[2]Fondos!$F:$J,5,FALSE)</f>
        <v>234619684</v>
      </c>
      <c r="P228" s="13">
        <f>+VLOOKUP(C228,[2]Fondos!$F:$K,6,FALSE)</f>
        <v>0.26737729999999998</v>
      </c>
      <c r="Q228" s="13">
        <f t="shared" si="58"/>
        <v>0</v>
      </c>
      <c r="R228" s="10">
        <f>+IF(Q228&gt;MAESTRO!$G$6,0,1)</f>
        <v>1</v>
      </c>
      <c r="S228">
        <f>+IF(P228&lt;MAESTRO!$G$8,0,1)</f>
        <v>1</v>
      </c>
      <c r="T228" s="10">
        <f t="shared" si="59"/>
        <v>2</v>
      </c>
      <c r="U228" t="str">
        <f>+IF(R228+S228=2,MAESTRO!$G$2,IF(R228+S228=0,MAESTRO!$G$5,IF(R228=0,MAESTRO!$G$3,IF(S228=0,MAESTRO!$G$4,))))</f>
        <v>cumple politica</v>
      </c>
    </row>
    <row r="229" spans="1:21" s="11" customFormat="1" x14ac:dyDescent="0.3">
      <c r="A229" s="11" t="s">
        <v>120</v>
      </c>
      <c r="B229" t="s">
        <v>109</v>
      </c>
      <c r="C229" t="s">
        <v>75</v>
      </c>
      <c r="D229" t="s">
        <v>82</v>
      </c>
      <c r="E229" s="24">
        <f t="shared" si="53"/>
        <v>0</v>
      </c>
      <c r="F229" s="22">
        <f>-SUMIFS(CARGA!I:I,CARGA!B:B,tabla!A229,CARGA!D:D,tabla!C229,CARGA!C:C,MAESTRO!$B$4)-SUMIFS(CARGA!I:I,CARGA!B:B,tabla!A229,CARGA!D:D,tabla!C229,CARGA!C:C,MAESTRO!$B$5)</f>
        <v>0</v>
      </c>
      <c r="G229" s="5">
        <f>+SUMIFS(CARGA!I:I,CARGA!B:B,tabla!A229,CARGA!D:D,tabla!C229)</f>
        <v>0</v>
      </c>
      <c r="H229" s="5">
        <f>+SUMIFS(CARGA!K:K,CARGA!B:B,tabla!A229,CARGA!D:D,tabla!C229)</f>
        <v>0</v>
      </c>
      <c r="I229" s="5">
        <f t="shared" si="54"/>
        <v>0</v>
      </c>
      <c r="J229" s="5">
        <f>-SUMIFS(CARGA!K:K,CARGA!B:B,tabla!A229,CARGA!D:D,tabla!C229,CARGA!C:C,MAESTRO!$B$4)+SUMIFS(CARGA!K:K,CARGA!B:B,tabla!A229,CARGA!D:D,tabla!C229,CARGA!C:C,MAESTRO!$B$5)</f>
        <v>0</v>
      </c>
      <c r="K229" s="5" t="e">
        <f>+VLOOKUP(C229,#REF!,3,FALSE)</f>
        <v>#REF!</v>
      </c>
      <c r="L229" s="5" t="e">
        <f t="shared" si="55"/>
        <v>#REF!</v>
      </c>
      <c r="M229" s="5" t="e">
        <f t="shared" si="56"/>
        <v>#REF!</v>
      </c>
      <c r="N229" s="5" t="str">
        <f t="shared" si="57"/>
        <v>NO</v>
      </c>
      <c r="O229" s="5">
        <f>+VLOOKUP(C229,[2]Fondos!$F:$J,5,FALSE)</f>
        <v>1696672499</v>
      </c>
      <c r="P229" s="13">
        <f>+VLOOKUP(C229,[2]Fondos!$F:$K,6,FALSE)</f>
        <v>0.24191749999999998</v>
      </c>
      <c r="Q229" s="13">
        <f t="shared" si="58"/>
        <v>0</v>
      </c>
      <c r="R229" s="10">
        <f>+IF(Q229&gt;MAESTRO!$G$6,0,1)</f>
        <v>1</v>
      </c>
      <c r="S229">
        <f>+IF(P229&lt;MAESTRO!$G$8,0,1)</f>
        <v>1</v>
      </c>
      <c r="T229" s="10">
        <f t="shared" si="59"/>
        <v>2</v>
      </c>
      <c r="U229" t="str">
        <f>+IF(R229+S229=2,MAESTRO!$G$2,IF(R229+S229=0,MAESTRO!$G$5,IF(R229=0,MAESTRO!$G$3,IF(S229=0,MAESTRO!$G$4,))))</f>
        <v>cumple politica</v>
      </c>
    </row>
    <row r="230" spans="1:21" s="11" customFormat="1" x14ac:dyDescent="0.3">
      <c r="A230" s="11" t="s">
        <v>120</v>
      </c>
      <c r="B230" s="20" t="s">
        <v>35</v>
      </c>
      <c r="C230" s="20" t="s">
        <v>75</v>
      </c>
      <c r="D230" s="20" t="s">
        <v>83</v>
      </c>
      <c r="E230" s="24">
        <f t="shared" si="53"/>
        <v>0</v>
      </c>
      <c r="F230" s="22">
        <f>-SUMIFS(CARGA!I:I,CARGA!B:B,tabla!A230,CARGA!D:D,tabla!C230,CARGA!C:C,MAESTRO!$B$4)-SUMIFS(CARGA!I:I,CARGA!B:B,tabla!A230,CARGA!D:D,tabla!C230,CARGA!C:C,MAESTRO!$B$5)</f>
        <v>0</v>
      </c>
      <c r="G230" s="5">
        <f>+SUMIFS(CARGA!I:I,CARGA!B:B,tabla!A230,CARGA!D:D,tabla!C230)</f>
        <v>0</v>
      </c>
      <c r="H230" s="5">
        <f>+SUMIFS(CARGA!K:K,CARGA!B:B,tabla!A230,CARGA!D:D,tabla!C230)</f>
        <v>0</v>
      </c>
      <c r="I230" s="5">
        <f t="shared" si="54"/>
        <v>0</v>
      </c>
      <c r="J230" s="5">
        <f>-SUMIFS(CARGA!K:K,CARGA!B:B,tabla!A230,CARGA!D:D,tabla!C230,CARGA!C:C,MAESTRO!$B$4)+SUMIFS(CARGA!K:K,CARGA!B:B,tabla!A230,CARGA!D:D,tabla!C230,CARGA!C:C,MAESTRO!$B$5)</f>
        <v>0</v>
      </c>
      <c r="K230" s="5" t="e">
        <f>+VLOOKUP(C230,#REF!,3,FALSE)</f>
        <v>#REF!</v>
      </c>
      <c r="L230" s="5" t="e">
        <f t="shared" si="55"/>
        <v>#REF!</v>
      </c>
      <c r="M230" s="5" t="e">
        <f t="shared" si="56"/>
        <v>#REF!</v>
      </c>
      <c r="N230" s="5" t="str">
        <f t="shared" si="57"/>
        <v>NO</v>
      </c>
      <c r="O230" s="5">
        <f>+VLOOKUP(C230,[2]Fondos!$F:$J,5,FALSE)</f>
        <v>1696672499</v>
      </c>
      <c r="P230" s="13">
        <f>+VLOOKUP(C230,[2]Fondos!$F:$K,6,FALSE)</f>
        <v>0.24191749999999998</v>
      </c>
      <c r="Q230" s="13">
        <f t="shared" si="58"/>
        <v>0</v>
      </c>
      <c r="R230" s="10">
        <f>+IF(Q230&gt;MAESTRO!$G$6,0,1)</f>
        <v>1</v>
      </c>
      <c r="S230">
        <f>+IF(P230&lt;MAESTRO!$G$8,0,1)</f>
        <v>1</v>
      </c>
      <c r="T230" s="10">
        <f t="shared" si="59"/>
        <v>2</v>
      </c>
      <c r="U230" t="str">
        <f>+IF(R230+S230=2,MAESTRO!$G$2,IF(R230+S230=0,MAESTRO!$G$5,IF(R230=0,MAESTRO!$G$3,IF(S230=0,MAESTRO!$G$4,))))</f>
        <v>cumple politica</v>
      </c>
    </row>
    <row r="231" spans="1:21" s="11" customFormat="1" x14ac:dyDescent="0.3">
      <c r="A231" s="11" t="s">
        <v>120</v>
      </c>
      <c r="B231" t="s">
        <v>109</v>
      </c>
      <c r="C231" t="s">
        <v>76</v>
      </c>
      <c r="D231" t="s">
        <v>82</v>
      </c>
      <c r="E231" s="24">
        <f t="shared" si="53"/>
        <v>0</v>
      </c>
      <c r="F231" s="22">
        <f>-SUMIFS(CARGA!I:I,CARGA!B:B,tabla!A231,CARGA!D:D,tabla!C231,CARGA!C:C,MAESTRO!$B$4)-SUMIFS(CARGA!I:I,CARGA!B:B,tabla!A231,CARGA!D:D,tabla!C231,CARGA!C:C,MAESTRO!$B$5)</f>
        <v>0</v>
      </c>
      <c r="G231" s="5">
        <f>+SUMIFS(CARGA!I:I,CARGA!B:B,tabla!A231,CARGA!D:D,tabla!C231)</f>
        <v>0</v>
      </c>
      <c r="H231" s="5">
        <f>+SUMIFS(CARGA!K:K,CARGA!B:B,tabla!A231,CARGA!D:D,tabla!C231)</f>
        <v>0</v>
      </c>
      <c r="I231" s="5">
        <f t="shared" si="54"/>
        <v>0</v>
      </c>
      <c r="J231" s="5">
        <f>-SUMIFS(CARGA!K:K,CARGA!B:B,tabla!A231,CARGA!D:D,tabla!C231,CARGA!C:C,MAESTRO!$B$4)+SUMIFS(CARGA!K:K,CARGA!B:B,tabla!A231,CARGA!D:D,tabla!C231,CARGA!C:C,MAESTRO!$B$5)</f>
        <v>0</v>
      </c>
      <c r="K231" s="5" t="e">
        <f>+VLOOKUP(C231,#REF!,3,FALSE)</f>
        <v>#REF!</v>
      </c>
      <c r="L231" s="5" t="e">
        <f t="shared" si="55"/>
        <v>#REF!</v>
      </c>
      <c r="M231" s="5" t="e">
        <f t="shared" si="56"/>
        <v>#REF!</v>
      </c>
      <c r="N231" s="5" t="str">
        <f t="shared" si="57"/>
        <v>NO</v>
      </c>
      <c r="O231" s="5">
        <f>+VLOOKUP(C231,[2]Fondos!$F:$J,5,FALSE)</f>
        <v>3357048174</v>
      </c>
      <c r="P231" s="13">
        <f>+VLOOKUP(C231,[2]Fondos!$F:$K,6,FALSE)</f>
        <v>0.25849470000000002</v>
      </c>
      <c r="Q231" s="13">
        <f t="shared" si="58"/>
        <v>0</v>
      </c>
      <c r="R231" s="10">
        <f>+IF(Q231&gt;MAESTRO!$G$6,0,1)</f>
        <v>1</v>
      </c>
      <c r="S231">
        <f>+IF(P231&lt;MAESTRO!$G$8,0,1)</f>
        <v>1</v>
      </c>
      <c r="T231" s="10">
        <f t="shared" si="59"/>
        <v>2</v>
      </c>
      <c r="U231" t="str">
        <f>+IF(R231+S231=2,MAESTRO!$G$2,IF(R231+S231=0,MAESTRO!$G$5,IF(R231=0,MAESTRO!$G$3,IF(S231=0,MAESTRO!$G$4,))))</f>
        <v>cumple politica</v>
      </c>
    </row>
    <row r="232" spans="1:21" s="11" customFormat="1" x14ac:dyDescent="0.3">
      <c r="A232" s="11" t="s">
        <v>120</v>
      </c>
      <c r="B232" s="20" t="s">
        <v>35</v>
      </c>
      <c r="C232" s="20" t="s">
        <v>76</v>
      </c>
      <c r="D232" s="20" t="s">
        <v>83</v>
      </c>
      <c r="E232" s="24">
        <f t="shared" si="53"/>
        <v>0</v>
      </c>
      <c r="F232" s="22">
        <f>-SUMIFS(CARGA!I:I,CARGA!B:B,tabla!A232,CARGA!D:D,tabla!C232,CARGA!C:C,MAESTRO!$B$4)-SUMIFS(CARGA!I:I,CARGA!B:B,tabla!A232,CARGA!D:D,tabla!C232,CARGA!C:C,MAESTRO!$B$5)</f>
        <v>0</v>
      </c>
      <c r="G232" s="5">
        <f>+SUMIFS(CARGA!I:I,CARGA!B:B,tabla!A232,CARGA!D:D,tabla!C232)</f>
        <v>0</v>
      </c>
      <c r="H232" s="5">
        <f>+SUMIFS(CARGA!K:K,CARGA!B:B,tabla!A232,CARGA!D:D,tabla!C232)</f>
        <v>0</v>
      </c>
      <c r="I232" s="5">
        <f t="shared" si="54"/>
        <v>0</v>
      </c>
      <c r="J232" s="5">
        <f>-SUMIFS(CARGA!K:K,CARGA!B:B,tabla!A232,CARGA!D:D,tabla!C232,CARGA!C:C,MAESTRO!$B$4)+SUMIFS(CARGA!K:K,CARGA!B:B,tabla!A232,CARGA!D:D,tabla!C232,CARGA!C:C,MAESTRO!$B$5)</f>
        <v>0</v>
      </c>
      <c r="K232" s="5" t="e">
        <f>+VLOOKUP(C232,#REF!,3,FALSE)</f>
        <v>#REF!</v>
      </c>
      <c r="L232" s="5" t="e">
        <f t="shared" si="55"/>
        <v>#REF!</v>
      </c>
      <c r="M232" s="5" t="e">
        <f t="shared" si="56"/>
        <v>#REF!</v>
      </c>
      <c r="N232" s="5" t="str">
        <f t="shared" si="57"/>
        <v>NO</v>
      </c>
      <c r="O232" s="5">
        <f>+VLOOKUP(C232,[2]Fondos!$F:$J,5,FALSE)</f>
        <v>3357048174</v>
      </c>
      <c r="P232" s="13">
        <f>+VLOOKUP(C232,[2]Fondos!$F:$K,6,FALSE)</f>
        <v>0.25849470000000002</v>
      </c>
      <c r="Q232" s="13">
        <f t="shared" si="58"/>
        <v>0</v>
      </c>
      <c r="R232" s="10">
        <f>+IF(Q232&gt;MAESTRO!$G$6,0,1)</f>
        <v>1</v>
      </c>
      <c r="S232">
        <f>+IF(P232&lt;MAESTRO!$G$8,0,1)</f>
        <v>1</v>
      </c>
      <c r="T232" s="10">
        <f t="shared" si="59"/>
        <v>2</v>
      </c>
      <c r="U232" t="str">
        <f>+IF(R232+S232=2,MAESTRO!$G$2,IF(R232+S232=0,MAESTRO!$G$5,IF(R232=0,MAESTRO!$G$3,IF(S232=0,MAESTRO!$G$4,))))</f>
        <v>cumple politica</v>
      </c>
    </row>
    <row r="233" spans="1:21" s="11" customFormat="1" x14ac:dyDescent="0.3">
      <c r="A233" s="11" t="s">
        <v>120</v>
      </c>
      <c r="B233" t="s">
        <v>25</v>
      </c>
      <c r="C233" t="s">
        <v>59</v>
      </c>
      <c r="D233" t="s">
        <v>82</v>
      </c>
      <c r="E233" s="24">
        <f t="shared" si="53"/>
        <v>0</v>
      </c>
      <c r="F233" s="22">
        <f>-SUMIFS(CARGA!I:I,CARGA!B:B,tabla!A233,CARGA!D:D,tabla!C233,CARGA!C:C,MAESTRO!$B$4)-SUMIFS(CARGA!I:I,CARGA!B:B,tabla!A233,CARGA!D:D,tabla!C233,CARGA!C:C,MAESTRO!$B$5)</f>
        <v>0</v>
      </c>
      <c r="G233" s="5">
        <f>+SUMIFS(CARGA!I:I,CARGA!B:B,tabla!A233,CARGA!D:D,tabla!C233)</f>
        <v>0</v>
      </c>
      <c r="H233" s="5">
        <f>+SUMIFS(CARGA!K:K,CARGA!B:B,tabla!A233,CARGA!D:D,tabla!C233)</f>
        <v>0</v>
      </c>
      <c r="I233" s="5">
        <f t="shared" si="54"/>
        <v>0</v>
      </c>
      <c r="J233" s="5">
        <f>-SUMIFS(CARGA!K:K,CARGA!B:B,tabla!A233,CARGA!D:D,tabla!C233,CARGA!C:C,MAESTRO!$B$4)+SUMIFS(CARGA!K:K,CARGA!B:B,tabla!A233,CARGA!D:D,tabla!C233,CARGA!C:C,MAESTRO!$B$5)</f>
        <v>0</v>
      </c>
      <c r="K233" s="5" t="e">
        <f>+VLOOKUP(C233,#REF!,3,FALSE)</f>
        <v>#REF!</v>
      </c>
      <c r="L233" s="5" t="e">
        <f t="shared" si="55"/>
        <v>#REF!</v>
      </c>
      <c r="M233" s="5" t="e">
        <f t="shared" si="56"/>
        <v>#REF!</v>
      </c>
      <c r="N233" s="5" t="str">
        <f t="shared" si="57"/>
        <v>NO</v>
      </c>
      <c r="O233" s="5">
        <f>+VLOOKUP(C233,[2]Fondos!$F:$J,5,FALSE)</f>
        <v>15268657582.66</v>
      </c>
      <c r="P233" s="13">
        <f>+VLOOKUP(C233,[2]Fondos!$F:$K,6,FALSE)</f>
        <v>0.26679839999999999</v>
      </c>
      <c r="Q233" s="13">
        <f t="shared" si="58"/>
        <v>0</v>
      </c>
      <c r="R233" s="10">
        <f>+IF(Q233&gt;MAESTRO!$G$6,0,1)</f>
        <v>1</v>
      </c>
      <c r="S233">
        <f>+IF(P233&lt;MAESTRO!$G$8,0,1)</f>
        <v>1</v>
      </c>
      <c r="T233" s="10">
        <f t="shared" si="59"/>
        <v>2</v>
      </c>
      <c r="U233" t="str">
        <f>+IF(R233+S233=2,MAESTRO!$G$2,IF(R233+S233=0,MAESTRO!$G$5,IF(R233=0,MAESTRO!$G$3,IF(S233=0,MAESTRO!$G$4,))))</f>
        <v>cumple politica</v>
      </c>
    </row>
    <row r="234" spans="1:21" s="11" customFormat="1" x14ac:dyDescent="0.3">
      <c r="A234" s="11" t="s">
        <v>120</v>
      </c>
      <c r="B234" t="s">
        <v>25</v>
      </c>
      <c r="C234" t="s">
        <v>40</v>
      </c>
      <c r="D234" t="s">
        <v>81</v>
      </c>
      <c r="E234" s="24">
        <f t="shared" si="53"/>
        <v>0</v>
      </c>
      <c r="F234" s="22">
        <f>-SUMIFS(CARGA!I:I,CARGA!B:B,tabla!A234,CARGA!D:D,tabla!C234,CARGA!C:C,MAESTRO!$B$4)-SUMIFS(CARGA!I:I,CARGA!B:B,tabla!A234,CARGA!D:D,tabla!C234,CARGA!C:C,MAESTRO!$B$5)</f>
        <v>0</v>
      </c>
      <c r="G234" s="5">
        <f>+SUMIFS(CARGA!I:I,CARGA!B:B,tabla!A234,CARGA!D:D,tabla!C234)</f>
        <v>0</v>
      </c>
      <c r="H234" s="5">
        <f>+SUMIFS(CARGA!K:K,CARGA!B:B,tabla!A234,CARGA!D:D,tabla!C234)</f>
        <v>0</v>
      </c>
      <c r="I234" s="5">
        <f t="shared" si="54"/>
        <v>0</v>
      </c>
      <c r="J234" s="5">
        <f>-SUMIFS(CARGA!K:K,CARGA!B:B,tabla!A234,CARGA!D:D,tabla!C234,CARGA!C:C,MAESTRO!$B$4)+SUMIFS(CARGA!K:K,CARGA!B:B,tabla!A234,CARGA!D:D,tabla!C234,CARGA!C:C,MAESTRO!$B$5)</f>
        <v>0</v>
      </c>
      <c r="K234" s="5" t="e">
        <f>+VLOOKUP(C234,#REF!,3,FALSE)</f>
        <v>#REF!</v>
      </c>
      <c r="L234" s="5" t="e">
        <f t="shared" si="55"/>
        <v>#REF!</v>
      </c>
      <c r="M234" s="5" t="e">
        <f t="shared" si="56"/>
        <v>#REF!</v>
      </c>
      <c r="N234" s="5" t="str">
        <f t="shared" si="57"/>
        <v>NO</v>
      </c>
      <c r="O234" s="5">
        <f>+VLOOKUP(C234,[2]Fondos!$F:$J,5,FALSE)</f>
        <v>4231508416.6700001</v>
      </c>
      <c r="P234" s="13">
        <f>+VLOOKUP(C234,[2]Fondos!$F:$K,6,FALSE)</f>
        <v>0.21473639999999999</v>
      </c>
      <c r="Q234" s="13">
        <f t="shared" si="58"/>
        <v>0</v>
      </c>
      <c r="R234" s="10">
        <f>+IF(Q234&gt;MAESTRO!$G$6,0,1)</f>
        <v>1</v>
      </c>
      <c r="S234">
        <f>+IF(P234&lt;MAESTRO!$G$8,0,1)</f>
        <v>1</v>
      </c>
      <c r="T234" s="10">
        <f t="shared" si="59"/>
        <v>2</v>
      </c>
      <c r="U234" t="str">
        <f>+IF(R234+S234=2,MAESTRO!$G$2,IF(R234+S234=0,MAESTRO!$G$5,IF(R234=0,MAESTRO!$G$3,IF(S234=0,MAESTRO!$G$4,))))</f>
        <v>cumple politica</v>
      </c>
    </row>
    <row r="235" spans="1:21" s="11" customFormat="1" x14ac:dyDescent="0.3">
      <c r="A235" s="11" t="s">
        <v>120</v>
      </c>
      <c r="B235" t="s">
        <v>25</v>
      </c>
      <c r="C235" t="s">
        <v>79</v>
      </c>
      <c r="D235" t="s">
        <v>82</v>
      </c>
      <c r="E235" s="24">
        <f t="shared" si="53"/>
        <v>0</v>
      </c>
      <c r="F235" s="22">
        <f>-SUMIFS(CARGA!I:I,CARGA!B:B,tabla!A235,CARGA!D:D,tabla!C235,CARGA!C:C,MAESTRO!$B$4)-SUMIFS(CARGA!I:I,CARGA!B:B,tabla!A235,CARGA!D:D,tabla!C235,CARGA!C:C,MAESTRO!$B$5)</f>
        <v>0</v>
      </c>
      <c r="G235" s="5">
        <f>+SUMIFS(CARGA!I:I,CARGA!B:B,tabla!A235,CARGA!D:D,tabla!C235)</f>
        <v>0</v>
      </c>
      <c r="H235" s="5">
        <f>+SUMIFS(CARGA!K:K,CARGA!B:B,tabla!A235,CARGA!D:D,tabla!C235)</f>
        <v>0</v>
      </c>
      <c r="I235" s="5">
        <f t="shared" si="54"/>
        <v>0</v>
      </c>
      <c r="J235" s="5">
        <f>-SUMIFS(CARGA!K:K,CARGA!B:B,tabla!A235,CARGA!D:D,tabla!C235,CARGA!C:C,MAESTRO!$B$4)+SUMIFS(CARGA!K:K,CARGA!B:B,tabla!A235,CARGA!D:D,tabla!C235,CARGA!C:C,MAESTRO!$B$5)</f>
        <v>0</v>
      </c>
      <c r="K235" s="5" t="e">
        <f>+VLOOKUP(C235,#REF!,3,FALSE)</f>
        <v>#REF!</v>
      </c>
      <c r="L235" s="5" t="e">
        <f t="shared" si="55"/>
        <v>#REF!</v>
      </c>
      <c r="M235" s="5" t="e">
        <f t="shared" si="56"/>
        <v>#REF!</v>
      </c>
      <c r="N235" s="5" t="str">
        <f t="shared" si="57"/>
        <v>NO</v>
      </c>
      <c r="O235" s="5">
        <f>+VLOOKUP(C235,[2]Fondos!$F:$J,5,FALSE)</f>
        <v>415179361.94999999</v>
      </c>
      <c r="P235" s="13">
        <f>+VLOOKUP(C235,[2]Fondos!$F:$K,6,FALSE)</f>
        <v>0.20571149999999999</v>
      </c>
      <c r="Q235" s="13">
        <f t="shared" si="58"/>
        <v>0</v>
      </c>
      <c r="R235" s="10">
        <f>+IF(Q235&gt;MAESTRO!$G$6,0,1)</f>
        <v>1</v>
      </c>
      <c r="S235">
        <f>+IF(P235&lt;MAESTRO!$G$8,0,1)</f>
        <v>1</v>
      </c>
      <c r="T235" s="10">
        <f t="shared" si="59"/>
        <v>2</v>
      </c>
      <c r="U235" t="str">
        <f>+IF(R235+S235=2,MAESTRO!$G$2,IF(R235+S235=0,MAESTRO!$G$5,IF(R235=0,MAESTRO!$G$3,IF(S235=0,MAESTRO!$G$4,))))</f>
        <v>cumple politica</v>
      </c>
    </row>
    <row r="236" spans="1:21" s="11" customFormat="1" x14ac:dyDescent="0.3">
      <c r="A236" s="11" t="s">
        <v>120</v>
      </c>
      <c r="B236" t="s">
        <v>26</v>
      </c>
      <c r="C236" t="s">
        <v>61</v>
      </c>
      <c r="D236" t="s">
        <v>82</v>
      </c>
      <c r="E236" s="24">
        <f t="shared" si="53"/>
        <v>0</v>
      </c>
      <c r="F236" s="22">
        <f>-SUMIFS(CARGA!I:I,CARGA!B:B,tabla!A236,CARGA!D:D,tabla!C236,CARGA!C:C,MAESTRO!$B$4)-SUMIFS(CARGA!I:I,CARGA!B:B,tabla!A236,CARGA!D:D,tabla!C236,CARGA!C:C,MAESTRO!$B$5)</f>
        <v>0</v>
      </c>
      <c r="G236" s="5">
        <f>+SUMIFS(CARGA!I:I,CARGA!B:B,tabla!A236,CARGA!D:D,tabla!C236)</f>
        <v>0</v>
      </c>
      <c r="H236" s="5">
        <f>+SUMIFS(CARGA!K:K,CARGA!B:B,tabla!A236,CARGA!D:D,tabla!C236)</f>
        <v>0</v>
      </c>
      <c r="I236" s="5">
        <f t="shared" si="54"/>
        <v>0</v>
      </c>
      <c r="J236" s="5">
        <f>-SUMIFS(CARGA!K:K,CARGA!B:B,tabla!A236,CARGA!D:D,tabla!C236,CARGA!C:C,MAESTRO!$B$4)+SUMIFS(CARGA!K:K,CARGA!B:B,tabla!A236,CARGA!D:D,tabla!C236,CARGA!C:C,MAESTRO!$B$5)</f>
        <v>0</v>
      </c>
      <c r="K236" s="5" t="e">
        <f>+VLOOKUP(C236,#REF!,3,FALSE)</f>
        <v>#REF!</v>
      </c>
      <c r="L236" s="5" t="e">
        <f t="shared" si="55"/>
        <v>#REF!</v>
      </c>
      <c r="M236" s="5" t="e">
        <f t="shared" si="56"/>
        <v>#REF!</v>
      </c>
      <c r="N236" s="5" t="str">
        <f t="shared" si="57"/>
        <v>NO</v>
      </c>
      <c r="O236" s="5">
        <f>+VLOOKUP(C236,[2]Fondos!$F:$J,5,FALSE)</f>
        <v>25454891426</v>
      </c>
      <c r="P236" s="13">
        <f>+VLOOKUP(C236,[2]Fondos!$F:$K,6,FALSE)</f>
        <v>0.26389279999999998</v>
      </c>
      <c r="Q236" s="13">
        <f t="shared" si="58"/>
        <v>0</v>
      </c>
      <c r="R236" s="10">
        <f>+IF(Q236&gt;MAESTRO!$G$6,0,1)</f>
        <v>1</v>
      </c>
      <c r="S236">
        <f>+IF(P236&lt;MAESTRO!$G$8,0,1)</f>
        <v>1</v>
      </c>
      <c r="T236" s="10">
        <f t="shared" si="59"/>
        <v>2</v>
      </c>
      <c r="U236" t="str">
        <f>+IF(R236+S236=2,MAESTRO!$G$2,IF(R236+S236=0,MAESTRO!$G$5,IF(R236=0,MAESTRO!$G$3,IF(S236=0,MAESTRO!$G$4,))))</f>
        <v>cumple politica</v>
      </c>
    </row>
    <row r="237" spans="1:21" s="11" customFormat="1" x14ac:dyDescent="0.3">
      <c r="A237" s="11" t="s">
        <v>120</v>
      </c>
      <c r="B237" t="s">
        <v>26</v>
      </c>
      <c r="C237" t="s">
        <v>58</v>
      </c>
      <c r="D237" t="s">
        <v>82</v>
      </c>
      <c r="E237" s="24">
        <f t="shared" si="53"/>
        <v>0</v>
      </c>
      <c r="F237" s="22">
        <f>-SUMIFS(CARGA!I:I,CARGA!B:B,tabla!A237,CARGA!D:D,tabla!C237,CARGA!C:C,MAESTRO!$B$4)-SUMIFS(CARGA!I:I,CARGA!B:B,tabla!A237,CARGA!D:D,tabla!C237,CARGA!C:C,MAESTRO!$B$5)</f>
        <v>0</v>
      </c>
      <c r="G237" s="5">
        <f>+SUMIFS(CARGA!I:I,CARGA!B:B,tabla!A237,CARGA!D:D,tabla!C237)</f>
        <v>0</v>
      </c>
      <c r="H237" s="5">
        <f>+SUMIFS(CARGA!K:K,CARGA!B:B,tabla!A237,CARGA!D:D,tabla!C237)</f>
        <v>0</v>
      </c>
      <c r="I237" s="5">
        <f t="shared" si="54"/>
        <v>0</v>
      </c>
      <c r="J237" s="5">
        <f>-SUMIFS(CARGA!K:K,CARGA!B:B,tabla!A237,CARGA!D:D,tabla!C237,CARGA!C:C,MAESTRO!$B$4)+SUMIFS(CARGA!K:K,CARGA!B:B,tabla!A237,CARGA!D:D,tabla!C237,CARGA!C:C,MAESTRO!$B$5)</f>
        <v>0</v>
      </c>
      <c r="K237" s="5" t="e">
        <f>+VLOOKUP(C237,#REF!,3,FALSE)</f>
        <v>#REF!</v>
      </c>
      <c r="L237" s="5" t="e">
        <f t="shared" si="55"/>
        <v>#REF!</v>
      </c>
      <c r="M237" s="5" t="e">
        <f t="shared" si="56"/>
        <v>#REF!</v>
      </c>
      <c r="N237" s="5" t="str">
        <f t="shared" si="57"/>
        <v>NO</v>
      </c>
      <c r="O237" s="5">
        <f>+VLOOKUP(C237,[2]Fondos!$F:$J,5,FALSE)</f>
        <v>25454891426</v>
      </c>
      <c r="P237" s="13">
        <f>+VLOOKUP(C237,[2]Fondos!$F:$K,6,FALSE)</f>
        <v>0.26686179999999998</v>
      </c>
      <c r="Q237" s="13">
        <f t="shared" si="58"/>
        <v>0</v>
      </c>
      <c r="R237" s="10">
        <f>+IF(Q237&gt;MAESTRO!$G$6,0,1)</f>
        <v>1</v>
      </c>
      <c r="S237">
        <f>+IF(P237&lt;MAESTRO!$G$8,0,1)</f>
        <v>1</v>
      </c>
      <c r="T237" s="10">
        <f t="shared" si="59"/>
        <v>2</v>
      </c>
      <c r="U237" t="str">
        <f>+IF(R237+S237=2,MAESTRO!$G$2,IF(R237+S237=0,MAESTRO!$G$5,IF(R237=0,MAESTRO!$G$3,IF(S237=0,MAESTRO!$G$4,))))</f>
        <v>cumple politica</v>
      </c>
    </row>
    <row r="238" spans="1:21" s="11" customFormat="1" x14ac:dyDescent="0.3">
      <c r="A238" s="11" t="s">
        <v>120</v>
      </c>
      <c r="B238" t="s">
        <v>26</v>
      </c>
      <c r="C238" t="s">
        <v>56</v>
      </c>
      <c r="D238" t="s">
        <v>82</v>
      </c>
      <c r="E238" s="24">
        <f t="shared" si="53"/>
        <v>0</v>
      </c>
      <c r="F238" s="22">
        <f>-SUMIFS(CARGA!I:I,CARGA!B:B,tabla!A238,CARGA!D:D,tabla!C238,CARGA!C:C,MAESTRO!$B$4)-SUMIFS(CARGA!I:I,CARGA!B:B,tabla!A238,CARGA!D:D,tabla!C238,CARGA!C:C,MAESTRO!$B$5)</f>
        <v>0</v>
      </c>
      <c r="G238" s="5">
        <f>+SUMIFS(CARGA!I:I,CARGA!B:B,tabla!A238,CARGA!D:D,tabla!C238)</f>
        <v>0</v>
      </c>
      <c r="H238" s="5">
        <f>+SUMIFS(CARGA!K:K,CARGA!B:B,tabla!A238,CARGA!D:D,tabla!C238)</f>
        <v>0</v>
      </c>
      <c r="I238" s="5">
        <f t="shared" si="54"/>
        <v>0</v>
      </c>
      <c r="J238" s="5">
        <f>-SUMIFS(CARGA!K:K,CARGA!B:B,tabla!A238,CARGA!D:D,tabla!C238,CARGA!C:C,MAESTRO!$B$4)+SUMIFS(CARGA!K:K,CARGA!B:B,tabla!A238,CARGA!D:D,tabla!C238,CARGA!C:C,MAESTRO!$B$5)</f>
        <v>0</v>
      </c>
      <c r="K238" s="5" t="e">
        <f>+VLOOKUP(C238,#REF!,3,FALSE)</f>
        <v>#REF!</v>
      </c>
      <c r="L238" s="5" t="e">
        <f t="shared" si="55"/>
        <v>#REF!</v>
      </c>
      <c r="M238" s="5" t="e">
        <f t="shared" si="56"/>
        <v>#REF!</v>
      </c>
      <c r="N238" s="5" t="str">
        <f t="shared" si="57"/>
        <v>NO</v>
      </c>
      <c r="O238" s="5">
        <f>+VLOOKUP(C238,[2]Fondos!$F:$J,5,FALSE)</f>
        <v>25454891426</v>
      </c>
      <c r="P238" s="13">
        <f>+VLOOKUP(C238,[2]Fondos!$F:$K,6,FALSE)</f>
        <v>0.27078930000000001</v>
      </c>
      <c r="Q238" s="13">
        <f t="shared" si="58"/>
        <v>0</v>
      </c>
      <c r="R238" s="10">
        <f>+IF(Q238&gt;MAESTRO!$G$6,0,1)</f>
        <v>1</v>
      </c>
      <c r="S238">
        <f>+IF(P238&lt;MAESTRO!$G$8,0,1)</f>
        <v>1</v>
      </c>
      <c r="T238" s="10">
        <f t="shared" si="59"/>
        <v>2</v>
      </c>
      <c r="U238" t="str">
        <f>+IF(R238+S238=2,MAESTRO!$G$2,IF(R238+S238=0,MAESTRO!$G$5,IF(R238=0,MAESTRO!$G$3,IF(S238=0,MAESTRO!$G$4,))))</f>
        <v>cumple politica</v>
      </c>
    </row>
    <row r="239" spans="1:21" s="11" customFormat="1" x14ac:dyDescent="0.3">
      <c r="A239" s="11" t="s">
        <v>120</v>
      </c>
      <c r="B239" t="s">
        <v>26</v>
      </c>
      <c r="C239" t="s">
        <v>65</v>
      </c>
      <c r="D239" t="s">
        <v>82</v>
      </c>
      <c r="E239" s="24">
        <f t="shared" si="53"/>
        <v>0</v>
      </c>
      <c r="F239" s="22">
        <f>-SUMIFS(CARGA!I:I,CARGA!B:B,tabla!A239,CARGA!D:D,tabla!C239,CARGA!C:C,MAESTRO!$B$4)-SUMIFS(CARGA!I:I,CARGA!B:B,tabla!A239,CARGA!D:D,tabla!C239,CARGA!C:C,MAESTRO!$B$5)</f>
        <v>0</v>
      </c>
      <c r="G239" s="5">
        <f>+SUMIFS(CARGA!I:I,CARGA!B:B,tabla!A239,CARGA!D:D,tabla!C239)</f>
        <v>0</v>
      </c>
      <c r="H239" s="5">
        <f>+SUMIFS(CARGA!K:K,CARGA!B:B,tabla!A239,CARGA!D:D,tabla!C239)</f>
        <v>0</v>
      </c>
      <c r="I239" s="5">
        <f t="shared" si="54"/>
        <v>0</v>
      </c>
      <c r="J239" s="5">
        <f>-SUMIFS(CARGA!K:K,CARGA!B:B,tabla!A239,CARGA!D:D,tabla!C239,CARGA!C:C,MAESTRO!$B$4)+SUMIFS(CARGA!K:K,CARGA!B:B,tabla!A239,CARGA!D:D,tabla!C239,CARGA!C:C,MAESTRO!$B$5)</f>
        <v>0</v>
      </c>
      <c r="K239" s="5" t="e">
        <f>+VLOOKUP(C239,#REF!,3,FALSE)</f>
        <v>#REF!</v>
      </c>
      <c r="L239" s="5" t="e">
        <f t="shared" si="55"/>
        <v>#REF!</v>
      </c>
      <c r="M239" s="5" t="e">
        <f t="shared" si="56"/>
        <v>#REF!</v>
      </c>
      <c r="N239" s="5" t="str">
        <f t="shared" si="57"/>
        <v>NO</v>
      </c>
      <c r="O239" s="5">
        <f>+VLOOKUP(C239,[2]Fondos!$F:$J,5,FALSE)</f>
        <v>26527515773</v>
      </c>
      <c r="P239" s="13">
        <f>+VLOOKUP(C239,[2]Fondos!$F:$K,6,FALSE)</f>
        <v>0.26544099999999998</v>
      </c>
      <c r="Q239" s="13">
        <f t="shared" si="58"/>
        <v>0</v>
      </c>
      <c r="R239" s="10">
        <f>+IF(Q239&gt;MAESTRO!$G$6,0,1)</f>
        <v>1</v>
      </c>
      <c r="S239">
        <f>+IF(P239&lt;MAESTRO!$G$8,0,1)</f>
        <v>1</v>
      </c>
      <c r="T239" s="10">
        <f t="shared" si="59"/>
        <v>2</v>
      </c>
      <c r="U239" t="str">
        <f>+IF(R239+S239=2,MAESTRO!$G$2,IF(R239+S239=0,MAESTRO!$G$5,IF(R239=0,MAESTRO!$G$3,IF(S239=0,MAESTRO!$G$4,))))</f>
        <v>cumple politica</v>
      </c>
    </row>
    <row r="240" spans="1:21" s="11" customFormat="1" x14ac:dyDescent="0.3">
      <c r="A240" s="11" t="s">
        <v>120</v>
      </c>
      <c r="B240" t="s">
        <v>26</v>
      </c>
      <c r="C240" t="s">
        <v>45</v>
      </c>
      <c r="D240" t="s">
        <v>81</v>
      </c>
      <c r="E240" s="24">
        <f t="shared" si="53"/>
        <v>0</v>
      </c>
      <c r="F240" s="22">
        <f>-SUMIFS(CARGA!I:I,CARGA!B:B,tabla!A240,CARGA!D:D,tabla!C240,CARGA!C:C,MAESTRO!$B$4)-SUMIFS(CARGA!I:I,CARGA!B:B,tabla!A240,CARGA!D:D,tabla!C240,CARGA!C:C,MAESTRO!$B$5)</f>
        <v>0</v>
      </c>
      <c r="G240" s="5">
        <f>+SUMIFS(CARGA!I:I,CARGA!B:B,tabla!A240,CARGA!D:D,tabla!C240)</f>
        <v>0</v>
      </c>
      <c r="H240" s="5">
        <f>+SUMIFS(CARGA!K:K,CARGA!B:B,tabla!A240,CARGA!D:D,tabla!C240)</f>
        <v>0</v>
      </c>
      <c r="I240" s="5">
        <f t="shared" si="54"/>
        <v>0</v>
      </c>
      <c r="J240" s="5">
        <f>-SUMIFS(CARGA!K:K,CARGA!B:B,tabla!A240,CARGA!D:D,tabla!C240,CARGA!C:C,MAESTRO!$B$4)+SUMIFS(CARGA!K:K,CARGA!B:B,tabla!A240,CARGA!D:D,tabla!C240,CARGA!C:C,MAESTRO!$B$5)</f>
        <v>0</v>
      </c>
      <c r="K240" s="5" t="e">
        <f>+VLOOKUP(C240,#REF!,3,FALSE)</f>
        <v>#REF!</v>
      </c>
      <c r="L240" s="5" t="e">
        <f t="shared" si="55"/>
        <v>#REF!</v>
      </c>
      <c r="M240" s="5" t="e">
        <f t="shared" si="56"/>
        <v>#REF!</v>
      </c>
      <c r="N240" s="5" t="str">
        <f t="shared" si="57"/>
        <v>NO</v>
      </c>
      <c r="O240" s="5">
        <f>+VLOOKUP(C240,[2]Fondos!$F:$J,5,FALSE)</f>
        <v>9536957677</v>
      </c>
      <c r="P240" s="13">
        <f>+VLOOKUP(C240,[2]Fondos!$F:$K,6,FALSE)</f>
        <v>0.20501570000000002</v>
      </c>
      <c r="Q240" s="13">
        <f t="shared" si="58"/>
        <v>0</v>
      </c>
      <c r="R240" s="10">
        <f>+IF(Q240&gt;MAESTRO!$G$6,0,1)</f>
        <v>1</v>
      </c>
      <c r="S240">
        <f>+IF(P240&lt;MAESTRO!$G$8,0,1)</f>
        <v>1</v>
      </c>
      <c r="T240" s="10">
        <f t="shared" si="59"/>
        <v>2</v>
      </c>
      <c r="U240" t="str">
        <f>+IF(R240+S240=2,MAESTRO!$G$2,IF(R240+S240=0,MAESTRO!$G$5,IF(R240=0,MAESTRO!$G$3,IF(S240=0,MAESTRO!$G$4,))))</f>
        <v>cumple politica</v>
      </c>
    </row>
    <row r="241" spans="1:21" s="11" customFormat="1" x14ac:dyDescent="0.3">
      <c r="A241" s="11" t="s">
        <v>120</v>
      </c>
      <c r="B241" t="s">
        <v>26</v>
      </c>
      <c r="C241" t="s">
        <v>41</v>
      </c>
      <c r="D241" t="s">
        <v>81</v>
      </c>
      <c r="E241" s="24">
        <f t="shared" si="53"/>
        <v>0</v>
      </c>
      <c r="F241" s="22">
        <f>-SUMIFS(CARGA!I:I,CARGA!B:B,tabla!A241,CARGA!D:D,tabla!C241,CARGA!C:C,MAESTRO!$B$4)-SUMIFS(CARGA!I:I,CARGA!B:B,tabla!A241,CARGA!D:D,tabla!C241,CARGA!C:C,MAESTRO!$B$5)</f>
        <v>0</v>
      </c>
      <c r="G241" s="5">
        <f>+SUMIFS(CARGA!I:I,CARGA!B:B,tabla!A241,CARGA!D:D,tabla!C241)</f>
        <v>0</v>
      </c>
      <c r="H241" s="5">
        <f>+SUMIFS(CARGA!K:K,CARGA!B:B,tabla!A241,CARGA!D:D,tabla!C241)</f>
        <v>0</v>
      </c>
      <c r="I241" s="5">
        <f t="shared" si="54"/>
        <v>0</v>
      </c>
      <c r="J241" s="5">
        <f>-SUMIFS(CARGA!K:K,CARGA!B:B,tabla!A241,CARGA!D:D,tabla!C241,CARGA!C:C,MAESTRO!$B$4)+SUMIFS(CARGA!K:K,CARGA!B:B,tabla!A241,CARGA!D:D,tabla!C241,CARGA!C:C,MAESTRO!$B$5)</f>
        <v>0</v>
      </c>
      <c r="K241" s="5" t="e">
        <f>+VLOOKUP(C241,#REF!,3,FALSE)</f>
        <v>#REF!</v>
      </c>
      <c r="L241" s="5" t="e">
        <f t="shared" si="55"/>
        <v>#REF!</v>
      </c>
      <c r="M241" s="5" t="e">
        <f t="shared" si="56"/>
        <v>#REF!</v>
      </c>
      <c r="N241" s="5" t="str">
        <f t="shared" si="57"/>
        <v>NO</v>
      </c>
      <c r="O241" s="5">
        <f>+VLOOKUP(C241,[2]Fondos!$F:$J,5,FALSE)</f>
        <v>9536957677</v>
      </c>
      <c r="P241" s="13">
        <f>+VLOOKUP(C241,[2]Fondos!$F:$K,6,FALSE)</f>
        <v>0.2143747</v>
      </c>
      <c r="Q241" s="13">
        <f t="shared" si="58"/>
        <v>0</v>
      </c>
      <c r="R241" s="10">
        <f>+IF(Q241&gt;MAESTRO!$G$6,0,1)</f>
        <v>1</v>
      </c>
      <c r="S241">
        <f>+IF(P241&lt;MAESTRO!$G$8,0,1)</f>
        <v>1</v>
      </c>
      <c r="T241" s="10">
        <f t="shared" si="59"/>
        <v>2</v>
      </c>
      <c r="U241" t="str">
        <f>+IF(R241+S241=2,MAESTRO!$G$2,IF(R241+S241=0,MAESTRO!$G$5,IF(R241=0,MAESTRO!$G$3,IF(S241=0,MAESTRO!$G$4,))))</f>
        <v>cumple politica</v>
      </c>
    </row>
    <row r="242" spans="1:21" s="11" customFormat="1" x14ac:dyDescent="0.3">
      <c r="A242" s="11" t="s">
        <v>120</v>
      </c>
      <c r="B242" t="s">
        <v>36</v>
      </c>
      <c r="C242" t="s">
        <v>73</v>
      </c>
      <c r="D242" t="s">
        <v>82</v>
      </c>
      <c r="E242" s="24">
        <f t="shared" si="53"/>
        <v>0</v>
      </c>
      <c r="F242" s="22">
        <f>-SUMIFS(CARGA!I:I,CARGA!B:B,tabla!A242,CARGA!D:D,tabla!C242,CARGA!C:C,MAESTRO!$B$4)-SUMIFS(CARGA!I:I,CARGA!B:B,tabla!A242,CARGA!D:D,tabla!C242,CARGA!C:C,MAESTRO!$B$5)</f>
        <v>0</v>
      </c>
      <c r="G242" s="5">
        <f>+SUMIFS(CARGA!I:I,CARGA!B:B,tabla!A242,CARGA!D:D,tabla!C242)</f>
        <v>0</v>
      </c>
      <c r="H242" s="5">
        <f>+SUMIFS(CARGA!K:K,CARGA!B:B,tabla!A242,CARGA!D:D,tabla!C242)</f>
        <v>0</v>
      </c>
      <c r="I242" s="5">
        <f t="shared" si="54"/>
        <v>0</v>
      </c>
      <c r="J242" s="5">
        <f>-SUMIFS(CARGA!K:K,CARGA!B:B,tabla!A242,CARGA!D:D,tabla!C242,CARGA!C:C,MAESTRO!$B$4)+SUMIFS(CARGA!K:K,CARGA!B:B,tabla!A242,CARGA!D:D,tabla!C242,CARGA!C:C,MAESTRO!$B$5)</f>
        <v>0</v>
      </c>
      <c r="K242" s="5" t="e">
        <f>+VLOOKUP(C242,#REF!,3,FALSE)</f>
        <v>#REF!</v>
      </c>
      <c r="L242" s="5" t="e">
        <f t="shared" si="55"/>
        <v>#REF!</v>
      </c>
      <c r="M242" s="5" t="e">
        <f t="shared" si="56"/>
        <v>#REF!</v>
      </c>
      <c r="N242" s="5" t="str">
        <f t="shared" si="57"/>
        <v>NO</v>
      </c>
      <c r="O242" s="5">
        <f>+VLOOKUP(C242,[2]Fondos!$F:$J,5,FALSE)</f>
        <v>5558283453.2200003</v>
      </c>
      <c r="P242" s="13">
        <f>+VLOOKUP(C242,[2]Fondos!$F:$K,6,FALSE)</f>
        <v>0.26949119999999999</v>
      </c>
      <c r="Q242" s="13">
        <f t="shared" si="58"/>
        <v>0</v>
      </c>
      <c r="R242" s="10">
        <f>+IF(Q242&gt;MAESTRO!$G$6,0,1)</f>
        <v>1</v>
      </c>
      <c r="S242">
        <f>+IF(P242&lt;MAESTRO!$G$8,0,1)</f>
        <v>1</v>
      </c>
      <c r="T242" s="10">
        <f t="shared" si="59"/>
        <v>2</v>
      </c>
      <c r="U242" t="str">
        <f>+IF(R242+S242=2,MAESTRO!$G$2,IF(R242+S242=0,MAESTRO!$G$5,IF(R242=0,MAESTRO!$G$3,IF(S242=0,MAESTRO!$G$4,))))</f>
        <v>cumple politica</v>
      </c>
    </row>
    <row r="243" spans="1:21" s="11" customFormat="1" x14ac:dyDescent="0.3">
      <c r="A243" s="11" t="s">
        <v>120</v>
      </c>
      <c r="B243" t="s">
        <v>36</v>
      </c>
      <c r="C243" t="s">
        <v>72</v>
      </c>
      <c r="D243" t="s">
        <v>81</v>
      </c>
      <c r="E243" s="24">
        <f t="shared" si="53"/>
        <v>0</v>
      </c>
      <c r="F243" s="22">
        <f>-SUMIFS(CARGA!I:I,CARGA!B:B,tabla!A243,CARGA!D:D,tabla!C243,CARGA!C:C,MAESTRO!$B$4)-SUMIFS(CARGA!I:I,CARGA!B:B,tabla!A243,CARGA!D:D,tabla!C243,CARGA!C:C,MAESTRO!$B$5)</f>
        <v>0</v>
      </c>
      <c r="G243" s="5">
        <f>+SUMIFS(CARGA!I:I,CARGA!B:B,tabla!A243,CARGA!D:D,tabla!C243)</f>
        <v>0</v>
      </c>
      <c r="H243" s="5">
        <f>+SUMIFS(CARGA!K:K,CARGA!B:B,tabla!A243,CARGA!D:D,tabla!C243)</f>
        <v>0</v>
      </c>
      <c r="I243" s="5">
        <f t="shared" si="54"/>
        <v>0</v>
      </c>
      <c r="J243" s="5">
        <f>-SUMIFS(CARGA!K:K,CARGA!B:B,tabla!A243,CARGA!D:D,tabla!C243,CARGA!C:C,MAESTRO!$B$4)+SUMIFS(CARGA!K:K,CARGA!B:B,tabla!A243,CARGA!D:D,tabla!C243,CARGA!C:C,MAESTRO!$B$5)</f>
        <v>0</v>
      </c>
      <c r="K243" s="5" t="e">
        <f>+VLOOKUP(C243,#REF!,3,FALSE)</f>
        <v>#REF!</v>
      </c>
      <c r="L243" s="5" t="e">
        <f t="shared" si="55"/>
        <v>#REF!</v>
      </c>
      <c r="M243" s="5" t="e">
        <f t="shared" si="56"/>
        <v>#REF!</v>
      </c>
      <c r="N243" s="5" t="str">
        <f t="shared" si="57"/>
        <v>NO</v>
      </c>
      <c r="O243" s="5">
        <f>+VLOOKUP(C243,[2]Fondos!$F:$J,5,FALSE)</f>
        <v>4289905534.3099999</v>
      </c>
      <c r="P243" s="13">
        <f>+VLOOKUP(C243,[2]Fondos!$F:$K,6,FALSE)</f>
        <v>0.2090719</v>
      </c>
      <c r="Q243" s="13">
        <f t="shared" si="58"/>
        <v>0</v>
      </c>
      <c r="R243" s="10">
        <f>+IF(Q243&gt;MAESTRO!$G$6,0,1)</f>
        <v>1</v>
      </c>
      <c r="S243">
        <f>+IF(P243&lt;MAESTRO!$G$8,0,1)</f>
        <v>1</v>
      </c>
      <c r="T243" s="10">
        <f t="shared" si="59"/>
        <v>2</v>
      </c>
      <c r="U243" t="str">
        <f>+IF(R243+S243=2,MAESTRO!$G$2,IF(R243+S243=0,MAESTRO!$G$5,IF(R243=0,MAESTRO!$G$3,IF(S243=0,MAESTRO!$G$4,))))</f>
        <v>cumple politica</v>
      </c>
    </row>
    <row r="244" spans="1:21" s="11" customFormat="1" x14ac:dyDescent="0.3">
      <c r="A244" s="11" t="s">
        <v>120</v>
      </c>
      <c r="B244" t="s">
        <v>28</v>
      </c>
      <c r="C244" t="s">
        <v>46</v>
      </c>
      <c r="D244" t="s">
        <v>81</v>
      </c>
      <c r="E244" s="24">
        <f t="shared" si="53"/>
        <v>0</v>
      </c>
      <c r="F244" s="22">
        <f>-SUMIFS(CARGA!I:I,CARGA!B:B,tabla!A244,CARGA!D:D,tabla!C244,CARGA!C:C,MAESTRO!$B$4)-SUMIFS(CARGA!I:I,CARGA!B:B,tabla!A244,CARGA!D:D,tabla!C244,CARGA!C:C,MAESTRO!$B$5)</f>
        <v>0</v>
      </c>
      <c r="G244" s="5">
        <f>+SUMIFS(CARGA!I:I,CARGA!B:B,tabla!A244,CARGA!D:D,tabla!C244)</f>
        <v>0</v>
      </c>
      <c r="H244" s="5">
        <f>+SUMIFS(CARGA!K:K,CARGA!B:B,tabla!A244,CARGA!D:D,tabla!C244)</f>
        <v>0</v>
      </c>
      <c r="I244" s="5">
        <f t="shared" si="54"/>
        <v>0</v>
      </c>
      <c r="J244" s="5">
        <f>-SUMIFS(CARGA!K:K,CARGA!B:B,tabla!A244,CARGA!D:D,tabla!C244,CARGA!C:C,MAESTRO!$B$4)+SUMIFS(CARGA!K:K,CARGA!B:B,tabla!A244,CARGA!D:D,tabla!C244,CARGA!C:C,MAESTRO!$B$5)</f>
        <v>0</v>
      </c>
      <c r="K244" s="5" t="e">
        <f>+VLOOKUP(C244,#REF!,3,FALSE)</f>
        <v>#REF!</v>
      </c>
      <c r="L244" s="5" t="e">
        <f t="shared" si="55"/>
        <v>#REF!</v>
      </c>
      <c r="M244" s="5" t="e">
        <f t="shared" si="56"/>
        <v>#REF!</v>
      </c>
      <c r="N244" s="5" t="str">
        <f t="shared" si="57"/>
        <v>NO</v>
      </c>
      <c r="O244" s="5">
        <f>+VLOOKUP(C244,[2]Fondos!$F:$J,5,FALSE)</f>
        <v>2107469999.9999998</v>
      </c>
      <c r="P244" s="13">
        <f>+VLOOKUP(C244,[2]Fondos!$F:$K,6,FALSE)</f>
        <v>0.20305720000000002</v>
      </c>
      <c r="Q244" s="13">
        <f t="shared" si="58"/>
        <v>0</v>
      </c>
      <c r="R244" s="10">
        <f>+IF(Q244&gt;MAESTRO!$G$6,0,1)</f>
        <v>1</v>
      </c>
      <c r="S244">
        <f>+IF(P244&lt;MAESTRO!$G$8,0,1)</f>
        <v>1</v>
      </c>
      <c r="T244" s="10">
        <f t="shared" si="59"/>
        <v>2</v>
      </c>
      <c r="U244" t="str">
        <f>+IF(R244+S244=2,MAESTRO!$G$2,IF(R244+S244=0,MAESTRO!$G$5,IF(R244=0,MAESTRO!$G$3,IF(S244=0,MAESTRO!$G$4,))))</f>
        <v>cumple politica</v>
      </c>
    </row>
    <row r="245" spans="1:21" s="11" customFormat="1" x14ac:dyDescent="0.3">
      <c r="A245" s="11" t="s">
        <v>120</v>
      </c>
      <c r="B245" t="s">
        <v>28</v>
      </c>
      <c r="C245" t="s">
        <v>44</v>
      </c>
      <c r="D245" t="s">
        <v>81</v>
      </c>
      <c r="E245" s="24">
        <f t="shared" si="53"/>
        <v>0</v>
      </c>
      <c r="F245" s="22">
        <f>-SUMIFS(CARGA!I:I,CARGA!B:B,tabla!A245,CARGA!D:D,tabla!C245,CARGA!C:C,MAESTRO!$B$4)-SUMIFS(CARGA!I:I,CARGA!B:B,tabla!A245,CARGA!D:D,tabla!C245,CARGA!C:C,MAESTRO!$B$5)</f>
        <v>0</v>
      </c>
      <c r="G245" s="5">
        <f>+SUMIFS(CARGA!I:I,CARGA!B:B,tabla!A245,CARGA!D:D,tabla!C245)</f>
        <v>0</v>
      </c>
      <c r="H245" s="5">
        <f>+SUMIFS(CARGA!K:K,CARGA!B:B,tabla!A245,CARGA!D:D,tabla!C245)</f>
        <v>0</v>
      </c>
      <c r="I245" s="5">
        <f t="shared" si="54"/>
        <v>0</v>
      </c>
      <c r="J245" s="5">
        <f>-SUMIFS(CARGA!K:K,CARGA!B:B,tabla!A245,CARGA!D:D,tabla!C245,CARGA!C:C,MAESTRO!$B$4)+SUMIFS(CARGA!K:K,CARGA!B:B,tabla!A245,CARGA!D:D,tabla!C245,CARGA!C:C,MAESTRO!$B$5)</f>
        <v>0</v>
      </c>
      <c r="K245" s="5" t="e">
        <f>+VLOOKUP(C245,#REF!,3,FALSE)</f>
        <v>#REF!</v>
      </c>
      <c r="L245" s="5" t="e">
        <f t="shared" si="55"/>
        <v>#REF!</v>
      </c>
      <c r="M245" s="5" t="e">
        <f t="shared" si="56"/>
        <v>#REF!</v>
      </c>
      <c r="N245" s="5" t="str">
        <f t="shared" si="57"/>
        <v>NO</v>
      </c>
      <c r="O245" s="5">
        <f>+VLOOKUP(C245,[2]Fondos!$F:$J,5,FALSE)</f>
        <v>2107469999.9999998</v>
      </c>
      <c r="P245" s="13">
        <f>+VLOOKUP(C245,[2]Fondos!$F:$K,6,FALSE)</f>
        <v>0.20835799999999999</v>
      </c>
      <c r="Q245" s="13">
        <f t="shared" si="58"/>
        <v>0</v>
      </c>
      <c r="R245" s="10">
        <f>+IF(Q245&gt;MAESTRO!$G$6,0,1)</f>
        <v>1</v>
      </c>
      <c r="S245">
        <f>+IF(P245&lt;MAESTRO!$G$8,0,1)</f>
        <v>1</v>
      </c>
      <c r="T245" s="10">
        <f t="shared" si="59"/>
        <v>2</v>
      </c>
      <c r="U245" t="str">
        <f>+IF(R245+S245=2,MAESTRO!$G$2,IF(R245+S245=0,MAESTRO!$G$5,IF(R245=0,MAESTRO!$G$3,IF(S245=0,MAESTRO!$G$4,))))</f>
        <v>cumple politica</v>
      </c>
    </row>
    <row r="246" spans="1:21" s="11" customFormat="1" x14ac:dyDescent="0.3">
      <c r="A246" s="11" t="s">
        <v>120</v>
      </c>
      <c r="B246" t="s">
        <v>28</v>
      </c>
      <c r="C246" t="s">
        <v>64</v>
      </c>
      <c r="D246" t="s">
        <v>82</v>
      </c>
      <c r="E246" s="24">
        <f t="shared" si="53"/>
        <v>0</v>
      </c>
      <c r="F246" s="22">
        <f>-SUMIFS(CARGA!I:I,CARGA!B:B,tabla!A246,CARGA!D:D,tabla!C246,CARGA!C:C,MAESTRO!$B$4)-SUMIFS(CARGA!I:I,CARGA!B:B,tabla!A246,CARGA!D:D,tabla!C246,CARGA!C:C,MAESTRO!$B$5)</f>
        <v>0</v>
      </c>
      <c r="G246" s="5">
        <f>+SUMIFS(CARGA!I:I,CARGA!B:B,tabla!A246,CARGA!D:D,tabla!C246)</f>
        <v>0</v>
      </c>
      <c r="H246" s="5">
        <f>+SUMIFS(CARGA!K:K,CARGA!B:B,tabla!A246,CARGA!D:D,tabla!C246)</f>
        <v>0</v>
      </c>
      <c r="I246" s="5">
        <f t="shared" si="54"/>
        <v>0</v>
      </c>
      <c r="J246" s="5">
        <f>-SUMIFS(CARGA!K:K,CARGA!B:B,tabla!A246,CARGA!D:D,tabla!C246,CARGA!C:C,MAESTRO!$B$4)+SUMIFS(CARGA!K:K,CARGA!B:B,tabla!A246,CARGA!D:D,tabla!C246,CARGA!C:C,MAESTRO!$B$5)</f>
        <v>0</v>
      </c>
      <c r="K246" s="5" t="e">
        <f>+VLOOKUP(C246,#REF!,3,FALSE)</f>
        <v>#REF!</v>
      </c>
      <c r="L246" s="5" t="e">
        <f t="shared" si="55"/>
        <v>#REF!</v>
      </c>
      <c r="M246" s="5" t="e">
        <f t="shared" si="56"/>
        <v>#REF!</v>
      </c>
      <c r="N246" s="5" t="str">
        <f t="shared" si="57"/>
        <v>NO</v>
      </c>
      <c r="O246" s="5">
        <f>+VLOOKUP(C246,[2]Fondos!$F:$J,5,FALSE)</f>
        <v>8673260000</v>
      </c>
      <c r="P246" s="13">
        <f>+VLOOKUP(C246,[2]Fondos!$F:$K,6,FALSE)</f>
        <v>0.25678699999999999</v>
      </c>
      <c r="Q246" s="13">
        <f t="shared" si="58"/>
        <v>0</v>
      </c>
      <c r="R246" s="10">
        <f>+IF(Q246&gt;MAESTRO!$G$6,0,1)</f>
        <v>1</v>
      </c>
      <c r="S246">
        <f>+IF(P246&lt;MAESTRO!$G$8,0,1)</f>
        <v>1</v>
      </c>
      <c r="T246" s="10">
        <f t="shared" si="59"/>
        <v>2</v>
      </c>
      <c r="U246" t="str">
        <f>+IF(R246+S246=2,MAESTRO!$G$2,IF(R246+S246=0,MAESTRO!$G$5,IF(R246=0,MAESTRO!$G$3,IF(S246=0,MAESTRO!$G$4,))))</f>
        <v>cumple politica</v>
      </c>
    </row>
    <row r="247" spans="1:21" s="11" customFormat="1" x14ac:dyDescent="0.3">
      <c r="A247" s="11" t="s">
        <v>120</v>
      </c>
      <c r="B247" t="s">
        <v>28</v>
      </c>
      <c r="C247" t="s">
        <v>60</v>
      </c>
      <c r="D247" t="s">
        <v>82</v>
      </c>
      <c r="E247" s="24">
        <f t="shared" si="53"/>
        <v>0</v>
      </c>
      <c r="F247" s="22">
        <f>-SUMIFS(CARGA!I:I,CARGA!B:B,tabla!A247,CARGA!D:D,tabla!C247,CARGA!C:C,MAESTRO!$B$4)-SUMIFS(CARGA!I:I,CARGA!B:B,tabla!A247,CARGA!D:D,tabla!C247,CARGA!C:C,MAESTRO!$B$5)</f>
        <v>0</v>
      </c>
      <c r="G247" s="5">
        <f>+SUMIFS(CARGA!I:I,CARGA!B:B,tabla!A247,CARGA!D:D,tabla!C247)</f>
        <v>0</v>
      </c>
      <c r="H247" s="5">
        <f>+SUMIFS(CARGA!K:K,CARGA!B:B,tabla!A247,CARGA!D:D,tabla!C247)</f>
        <v>0</v>
      </c>
      <c r="I247" s="5">
        <f t="shared" si="54"/>
        <v>0</v>
      </c>
      <c r="J247" s="5">
        <f>-SUMIFS(CARGA!K:K,CARGA!B:B,tabla!A247,CARGA!D:D,tabla!C247,CARGA!C:C,MAESTRO!$B$4)+SUMIFS(CARGA!K:K,CARGA!B:B,tabla!A247,CARGA!D:D,tabla!C247,CARGA!C:C,MAESTRO!$B$5)</f>
        <v>0</v>
      </c>
      <c r="K247" s="5" t="e">
        <f>+VLOOKUP(C247,#REF!,3,FALSE)</f>
        <v>#REF!</v>
      </c>
      <c r="L247" s="5" t="e">
        <f t="shared" si="55"/>
        <v>#REF!</v>
      </c>
      <c r="M247" s="5" t="e">
        <f t="shared" si="56"/>
        <v>#REF!</v>
      </c>
      <c r="N247" s="5" t="str">
        <f t="shared" si="57"/>
        <v>NO</v>
      </c>
      <c r="O247" s="5">
        <f>+VLOOKUP(C247,[2]Fondos!$F:$J,5,FALSE)</f>
        <v>8673260000</v>
      </c>
      <c r="P247" s="13">
        <f>+VLOOKUP(C247,[2]Fondos!$F:$K,6,FALSE)</f>
        <v>0.26727390000000001</v>
      </c>
      <c r="Q247" s="13">
        <f t="shared" si="58"/>
        <v>0</v>
      </c>
      <c r="R247" s="10">
        <f>+IF(Q247&gt;MAESTRO!$G$6,0,1)</f>
        <v>1</v>
      </c>
      <c r="S247">
        <f>+IF(P247&lt;MAESTRO!$G$8,0,1)</f>
        <v>1</v>
      </c>
      <c r="T247" s="10">
        <f t="shared" si="59"/>
        <v>2</v>
      </c>
      <c r="U247" t="str">
        <f>+IF(R247+S247=2,MAESTRO!$G$2,IF(R247+S247=0,MAESTRO!$G$5,IF(R247=0,MAESTRO!$G$3,IF(S247=0,MAESTRO!$G$4,))))</f>
        <v>cumple politica</v>
      </c>
    </row>
    <row r="248" spans="1:21" s="11" customFormat="1" x14ac:dyDescent="0.3">
      <c r="A248" s="11" t="s">
        <v>120</v>
      </c>
      <c r="B248" t="s">
        <v>22</v>
      </c>
      <c r="C248" t="s">
        <v>37</v>
      </c>
      <c r="D248" t="s">
        <v>81</v>
      </c>
      <c r="E248" s="24">
        <f t="shared" si="53"/>
        <v>0</v>
      </c>
      <c r="F248" s="22">
        <f>-SUMIFS(CARGA!I:I,CARGA!B:B,tabla!A248,CARGA!D:D,tabla!C248,CARGA!C:C,MAESTRO!$B$4)-SUMIFS(CARGA!I:I,CARGA!B:B,tabla!A248,CARGA!D:D,tabla!C248,CARGA!C:C,MAESTRO!$B$5)</f>
        <v>0</v>
      </c>
      <c r="G248" s="5">
        <f>+SUMIFS(CARGA!I:I,CARGA!B:B,tabla!A248,CARGA!D:D,tabla!C248)</f>
        <v>0</v>
      </c>
      <c r="H248" s="5">
        <f>+SUMIFS(CARGA!K:K,CARGA!B:B,tabla!A248,CARGA!D:D,tabla!C248)</f>
        <v>0</v>
      </c>
      <c r="I248" s="5">
        <f t="shared" si="54"/>
        <v>0</v>
      </c>
      <c r="J248" s="5">
        <f>-SUMIFS(CARGA!K:K,CARGA!B:B,tabla!A248,CARGA!D:D,tabla!C248,CARGA!C:C,MAESTRO!$B$4)+SUMIFS(CARGA!K:K,CARGA!B:B,tabla!A248,CARGA!D:D,tabla!C248,CARGA!C:C,MAESTRO!$B$5)</f>
        <v>0</v>
      </c>
      <c r="K248" s="5" t="e">
        <f>+VLOOKUP(C248,#REF!,3,FALSE)</f>
        <v>#REF!</v>
      </c>
      <c r="L248" s="5" t="e">
        <f t="shared" si="55"/>
        <v>#REF!</v>
      </c>
      <c r="M248" s="5" t="e">
        <f t="shared" si="56"/>
        <v>#REF!</v>
      </c>
      <c r="N248" s="5" t="str">
        <f t="shared" si="57"/>
        <v>NO</v>
      </c>
      <c r="O248" s="5">
        <f>+VLOOKUP(C248,[2]Fondos!$F:$J,5,FALSE)</f>
        <v>652691913</v>
      </c>
      <c r="P248" s="13">
        <f>+VLOOKUP(C248,[2]Fondos!$F:$K,6,FALSE)</f>
        <v>0.25056249999999997</v>
      </c>
      <c r="Q248" s="13">
        <f t="shared" si="58"/>
        <v>0</v>
      </c>
      <c r="R248" s="10">
        <f>+IF(Q248&gt;MAESTRO!$G$6,0,1)</f>
        <v>1</v>
      </c>
      <c r="S248">
        <f>+IF(P248&lt;MAESTRO!$G$8,0,1)</f>
        <v>1</v>
      </c>
      <c r="T248" s="10">
        <f t="shared" si="59"/>
        <v>2</v>
      </c>
      <c r="U248" t="str">
        <f>+IF(R248+S248=2,MAESTRO!$G$2,IF(R248+S248=0,MAESTRO!$G$5,IF(R248=0,MAESTRO!$G$3,IF(S248=0,MAESTRO!$G$4,))))</f>
        <v>cumple politica</v>
      </c>
    </row>
    <row r="249" spans="1:21" s="11" customFormat="1" x14ac:dyDescent="0.3">
      <c r="A249" s="11" t="s">
        <v>120</v>
      </c>
      <c r="B249" t="s">
        <v>22</v>
      </c>
      <c r="C249" t="s">
        <v>54</v>
      </c>
      <c r="D249" t="s">
        <v>82</v>
      </c>
      <c r="E249" s="24">
        <f t="shared" si="53"/>
        <v>0</v>
      </c>
      <c r="F249" s="22">
        <f>-SUMIFS(CARGA!I:I,CARGA!B:B,tabla!A249,CARGA!D:D,tabla!C249,CARGA!C:C,MAESTRO!$B$4)-SUMIFS(CARGA!I:I,CARGA!B:B,tabla!A249,CARGA!D:D,tabla!C249,CARGA!C:C,MAESTRO!$B$5)</f>
        <v>0</v>
      </c>
      <c r="G249" s="5">
        <f>+SUMIFS(CARGA!I:I,CARGA!B:B,tabla!A249,CARGA!D:D,tabla!C249)</f>
        <v>0</v>
      </c>
      <c r="H249" s="5">
        <f>+SUMIFS(CARGA!K:K,CARGA!B:B,tabla!A249,CARGA!D:D,tabla!C249)</f>
        <v>0</v>
      </c>
      <c r="I249" s="5">
        <f t="shared" si="54"/>
        <v>0</v>
      </c>
      <c r="J249" s="5">
        <f>-SUMIFS(CARGA!K:K,CARGA!B:B,tabla!A249,CARGA!D:D,tabla!C249,CARGA!C:C,MAESTRO!$B$4)+SUMIFS(CARGA!K:K,CARGA!B:B,tabla!A249,CARGA!D:D,tabla!C249,CARGA!C:C,MAESTRO!$B$5)</f>
        <v>0</v>
      </c>
      <c r="K249" s="5" t="e">
        <f>+VLOOKUP(C249,#REF!,3,FALSE)</f>
        <v>#REF!</v>
      </c>
      <c r="L249" s="5" t="e">
        <f t="shared" si="55"/>
        <v>#REF!</v>
      </c>
      <c r="M249" s="5" t="e">
        <f t="shared" si="56"/>
        <v>#REF!</v>
      </c>
      <c r="N249" s="5" t="str">
        <f t="shared" si="57"/>
        <v>NO</v>
      </c>
      <c r="O249" s="5">
        <f>+VLOOKUP(C249,[2]Fondos!$F:$J,5,FALSE)</f>
        <v>2006490136</v>
      </c>
      <c r="P249" s="13">
        <f>+VLOOKUP(C249,[2]Fondos!$F:$K,6,FALSE)</f>
        <v>0.27425260000000001</v>
      </c>
      <c r="Q249" s="13">
        <f t="shared" si="58"/>
        <v>0</v>
      </c>
      <c r="R249" s="10">
        <f>+IF(Q249&gt;MAESTRO!$G$6,0,1)</f>
        <v>1</v>
      </c>
      <c r="S249">
        <f>+IF(P249&lt;MAESTRO!$G$8,0,1)</f>
        <v>1</v>
      </c>
      <c r="T249" s="10">
        <f t="shared" si="59"/>
        <v>2</v>
      </c>
      <c r="U249" t="str">
        <f>+IF(R249+S249=2,MAESTRO!$G$2,IF(R249+S249=0,MAESTRO!$G$5,IF(R249=0,MAESTRO!$G$3,IF(S249=0,MAESTRO!$G$4,))))</f>
        <v>cumple politica</v>
      </c>
    </row>
    <row r="250" spans="1:21" s="11" customFormat="1" x14ac:dyDescent="0.3">
      <c r="A250" s="11" t="s">
        <v>120</v>
      </c>
      <c r="B250" t="s">
        <v>34</v>
      </c>
      <c r="C250" t="s">
        <v>77</v>
      </c>
      <c r="D250" t="s">
        <v>82</v>
      </c>
      <c r="E250" s="24">
        <f t="shared" si="53"/>
        <v>0</v>
      </c>
      <c r="F250" s="22">
        <f>-SUMIFS(CARGA!I:I,CARGA!B:B,tabla!A250,CARGA!D:D,tabla!C250,CARGA!C:C,MAESTRO!$B$4)-SUMIFS(CARGA!I:I,CARGA!B:B,tabla!A250,CARGA!D:D,tabla!C250,CARGA!C:C,MAESTRO!$B$5)</f>
        <v>0</v>
      </c>
      <c r="G250" s="5">
        <f>+SUMIFS(CARGA!I:I,CARGA!B:B,tabla!A250,CARGA!D:D,tabla!C250)</f>
        <v>0</v>
      </c>
      <c r="H250" s="5">
        <f>+SUMIFS(CARGA!K:K,CARGA!B:B,tabla!A250,CARGA!D:D,tabla!C250)</f>
        <v>0</v>
      </c>
      <c r="I250" s="5">
        <f t="shared" si="54"/>
        <v>0</v>
      </c>
      <c r="J250" s="5">
        <f>-SUMIFS(CARGA!K:K,CARGA!B:B,tabla!A250,CARGA!D:D,tabla!C250,CARGA!C:C,MAESTRO!$B$4)+SUMIFS(CARGA!K:K,CARGA!B:B,tabla!A250,CARGA!D:D,tabla!C250,CARGA!C:C,MAESTRO!$B$5)</f>
        <v>0</v>
      </c>
      <c r="K250" s="5" t="e">
        <f>+VLOOKUP(C250,#REF!,3,FALSE)</f>
        <v>#REF!</v>
      </c>
      <c r="L250" s="5" t="e">
        <f t="shared" si="55"/>
        <v>#REF!</v>
      </c>
      <c r="M250" s="5" t="e">
        <f t="shared" si="56"/>
        <v>#REF!</v>
      </c>
      <c r="N250" s="5" t="str">
        <f t="shared" si="57"/>
        <v>NO</v>
      </c>
      <c r="O250" s="5">
        <f>+VLOOKUP(C250,[2]Fondos!$F:$J,5,FALSE)</f>
        <v>10383624192</v>
      </c>
      <c r="P250" s="13">
        <f>+VLOOKUP(C250,[2]Fondos!$F:$K,6,FALSE)</f>
        <v>0.27741320000000003</v>
      </c>
      <c r="Q250" s="13">
        <f t="shared" si="58"/>
        <v>0</v>
      </c>
      <c r="R250" s="10">
        <f>+IF(Q250&gt;MAESTRO!$G$6,0,1)</f>
        <v>1</v>
      </c>
      <c r="S250">
        <f>+IF(P250&lt;MAESTRO!$G$8,0,1)</f>
        <v>1</v>
      </c>
      <c r="T250" s="10">
        <f t="shared" si="59"/>
        <v>2</v>
      </c>
      <c r="U250" t="str">
        <f>+IF(R250+S250=2,MAESTRO!$G$2,IF(R250+S250=0,MAESTRO!$G$5,IF(R250=0,MAESTRO!$G$3,IF(S250=0,MAESTRO!$G$4,))))</f>
        <v>cumple politica</v>
      </c>
    </row>
    <row r="251" spans="1:21" s="11" customFormat="1" x14ac:dyDescent="0.3">
      <c r="A251" s="11" t="s">
        <v>120</v>
      </c>
      <c r="B251" t="s">
        <v>34</v>
      </c>
      <c r="C251" t="s">
        <v>53</v>
      </c>
      <c r="D251" t="s">
        <v>81</v>
      </c>
      <c r="E251" s="24">
        <f t="shared" si="53"/>
        <v>0</v>
      </c>
      <c r="F251" s="22">
        <f>-SUMIFS(CARGA!I:I,CARGA!B:B,tabla!A251,CARGA!D:D,tabla!C251,CARGA!C:C,MAESTRO!$B$4)-SUMIFS(CARGA!I:I,CARGA!B:B,tabla!A251,CARGA!D:D,tabla!C251,CARGA!C:C,MAESTRO!$B$5)</f>
        <v>0</v>
      </c>
      <c r="G251" s="5">
        <f>+SUMIFS(CARGA!I:I,CARGA!B:B,tabla!A251,CARGA!D:D,tabla!C251)</f>
        <v>0</v>
      </c>
      <c r="H251" s="5">
        <f>+SUMIFS(CARGA!K:K,CARGA!B:B,tabla!A251,CARGA!D:D,tabla!C251)</f>
        <v>0</v>
      </c>
      <c r="I251" s="5">
        <f t="shared" si="54"/>
        <v>0</v>
      </c>
      <c r="J251" s="5">
        <f>-SUMIFS(CARGA!K:K,CARGA!B:B,tabla!A251,CARGA!D:D,tabla!C251,CARGA!C:C,MAESTRO!$B$4)+SUMIFS(CARGA!K:K,CARGA!B:B,tabla!A251,CARGA!D:D,tabla!C251,CARGA!C:C,MAESTRO!$B$5)</f>
        <v>0</v>
      </c>
      <c r="K251" s="5" t="e">
        <f>+VLOOKUP(C251,#REF!,3,FALSE)</f>
        <v>#REF!</v>
      </c>
      <c r="L251" s="5" t="e">
        <f t="shared" si="55"/>
        <v>#REF!</v>
      </c>
      <c r="M251" s="5" t="e">
        <f t="shared" si="56"/>
        <v>#REF!</v>
      </c>
      <c r="N251" s="5" t="str">
        <f t="shared" si="57"/>
        <v>NO</v>
      </c>
      <c r="O251" s="5">
        <f>+VLOOKUP(C251,[2]Fondos!$F:$J,5,FALSE)</f>
        <v>4530803420</v>
      </c>
      <c r="P251" s="13">
        <f>+VLOOKUP(C251,[2]Fondos!$F:$K,6,FALSE)</f>
        <v>0.2425168</v>
      </c>
      <c r="Q251" s="13">
        <f t="shared" si="58"/>
        <v>0</v>
      </c>
      <c r="R251" s="10">
        <f>+IF(Q251&gt;MAESTRO!$G$6,0,1)</f>
        <v>1</v>
      </c>
      <c r="S251">
        <f>+IF(P251&lt;MAESTRO!$G$8,0,1)</f>
        <v>1</v>
      </c>
      <c r="T251" s="10">
        <f t="shared" si="59"/>
        <v>2</v>
      </c>
      <c r="U251" t="str">
        <f>+IF(R251+S251=2,MAESTRO!$G$2,IF(R251+S251=0,MAESTRO!$G$5,IF(R251=0,MAESTRO!$G$3,IF(S251=0,MAESTRO!$G$4,))))</f>
        <v>cumple politica</v>
      </c>
    </row>
    <row r="252" spans="1:21" s="11" customFormat="1" x14ac:dyDescent="0.3">
      <c r="A252" s="11" t="s">
        <v>120</v>
      </c>
      <c r="B252" t="s">
        <v>129</v>
      </c>
      <c r="C252" t="s">
        <v>128</v>
      </c>
      <c r="D252" t="s">
        <v>81</v>
      </c>
      <c r="E252" s="24">
        <f t="shared" si="53"/>
        <v>0</v>
      </c>
      <c r="F252" s="22">
        <f>-SUMIFS(CARGA!I:I,CARGA!B:B,tabla!A252,CARGA!D:D,tabla!C252,CARGA!C:C,MAESTRO!$B$4)-SUMIFS(CARGA!I:I,CARGA!B:B,tabla!A252,CARGA!D:D,tabla!C252,CARGA!C:C,MAESTRO!$B$5)</f>
        <v>0</v>
      </c>
      <c r="G252" s="5">
        <f>+SUMIFS(CARGA!I:I,CARGA!B:B,tabla!A252,CARGA!D:D,tabla!C252)</f>
        <v>0</v>
      </c>
      <c r="H252" s="5">
        <f>+SUMIFS(CARGA!K:K,CARGA!B:B,tabla!A252,CARGA!D:D,tabla!C252)</f>
        <v>0</v>
      </c>
      <c r="I252" s="5">
        <f t="shared" si="54"/>
        <v>0</v>
      </c>
      <c r="J252" s="5">
        <f>-SUMIFS(CARGA!K:K,CARGA!B:B,tabla!A252,CARGA!D:D,tabla!C252,CARGA!C:C,MAESTRO!$B$4)+SUMIFS(CARGA!K:K,CARGA!B:B,tabla!A252,CARGA!D:D,tabla!C252,CARGA!C:C,MAESTRO!$B$5)</f>
        <v>0</v>
      </c>
      <c r="K252" s="5" t="e">
        <f>+VLOOKUP(C252,#REF!,3,FALSE)</f>
        <v>#REF!</v>
      </c>
      <c r="L252" s="5" t="e">
        <f t="shared" si="55"/>
        <v>#REF!</v>
      </c>
      <c r="M252" s="5" t="e">
        <f t="shared" si="56"/>
        <v>#REF!</v>
      </c>
      <c r="N252" s="5" t="str">
        <f t="shared" si="57"/>
        <v>NO</v>
      </c>
      <c r="O252" s="5" t="e">
        <f>+VLOOKUP(C252,[2]Fondos!$F:$J,5,FALSE)</f>
        <v>#N/A</v>
      </c>
      <c r="P252" s="13" t="e">
        <f>+VLOOKUP(C252,[2]Fondos!$F:$K,6,FALSE)</f>
        <v>#N/A</v>
      </c>
      <c r="Q252" s="13" t="e">
        <f t="shared" si="58"/>
        <v>#N/A</v>
      </c>
      <c r="R252" s="10" t="e">
        <f>+IF(Q252&gt;MAESTRO!$G$6,0,1)</f>
        <v>#N/A</v>
      </c>
      <c r="S252" t="e">
        <f>+IF(P252&lt;MAESTRO!$G$8,0,1)</f>
        <v>#N/A</v>
      </c>
      <c r="T252" s="10" t="e">
        <f t="shared" si="59"/>
        <v>#N/A</v>
      </c>
      <c r="U252" t="e">
        <f>+IF(R252+S252=2,MAESTRO!$G$2,IF(R252+S252=0,MAESTRO!$G$5,IF(R252=0,MAESTRO!$G$3,IF(S252=0,MAESTRO!$G$4,))))</f>
        <v>#N/A</v>
      </c>
    </row>
    <row r="253" spans="1:21" s="11" customFormat="1" x14ac:dyDescent="0.3">
      <c r="A253" s="11" t="s">
        <v>120</v>
      </c>
      <c r="B253" t="s">
        <v>30</v>
      </c>
      <c r="C253" t="s">
        <v>49</v>
      </c>
      <c r="D253" t="s">
        <v>81</v>
      </c>
      <c r="E253" s="24">
        <f t="shared" si="53"/>
        <v>0</v>
      </c>
      <c r="F253" s="22">
        <f>-SUMIFS(CARGA!I:I,CARGA!B:B,tabla!A253,CARGA!D:D,tabla!C253,CARGA!C:C,MAESTRO!$B$4)-SUMIFS(CARGA!I:I,CARGA!B:B,tabla!A253,CARGA!D:D,tabla!C253,CARGA!C:C,MAESTRO!$B$5)</f>
        <v>0</v>
      </c>
      <c r="G253" s="5">
        <f>+SUMIFS(CARGA!I:I,CARGA!B:B,tabla!A253,CARGA!D:D,tabla!C253)</f>
        <v>0</v>
      </c>
      <c r="H253" s="5">
        <f>+SUMIFS(CARGA!K:K,CARGA!B:B,tabla!A253,CARGA!D:D,tabla!C253)</f>
        <v>0</v>
      </c>
      <c r="I253" s="5">
        <f t="shared" si="54"/>
        <v>0</v>
      </c>
      <c r="J253" s="5">
        <f>-SUMIFS(CARGA!K:K,CARGA!B:B,tabla!A253,CARGA!D:D,tabla!C253,CARGA!C:C,MAESTRO!$B$4)+SUMIFS(CARGA!K:K,CARGA!B:B,tabla!A253,CARGA!D:D,tabla!C253,CARGA!C:C,MAESTRO!$B$5)</f>
        <v>0</v>
      </c>
      <c r="K253" s="5" t="e">
        <f>+VLOOKUP(C253,#REF!,3,FALSE)</f>
        <v>#REF!</v>
      </c>
      <c r="L253" s="5" t="e">
        <f t="shared" si="55"/>
        <v>#REF!</v>
      </c>
      <c r="M253" s="5" t="e">
        <f t="shared" si="56"/>
        <v>#REF!</v>
      </c>
      <c r="N253" s="5" t="str">
        <f t="shared" si="57"/>
        <v>NO</v>
      </c>
      <c r="O253" s="5">
        <f>+VLOOKUP(C253,[2]Fondos!$F:$J,5,FALSE)</f>
        <v>9591427.7400000002</v>
      </c>
      <c r="P253" s="13">
        <f>+VLOOKUP(C253,[2]Fondos!$F:$K,6,FALSE)</f>
        <v>0.1408799</v>
      </c>
      <c r="Q253" s="13">
        <f t="shared" si="58"/>
        <v>0</v>
      </c>
      <c r="R253" s="10">
        <f>+IF(Q253&gt;MAESTRO!$G$6,0,1)</f>
        <v>1</v>
      </c>
      <c r="S253">
        <f>+IF(P253&lt;MAESTRO!$G$8,0,1)</f>
        <v>1</v>
      </c>
      <c r="T253" s="10">
        <f t="shared" si="59"/>
        <v>2</v>
      </c>
      <c r="U253" t="str">
        <f>+IF(R253+S253=2,MAESTRO!$G$2,IF(R253+S253=0,MAESTRO!$G$5,IF(R253=0,MAESTRO!$G$3,IF(S253=0,MAESTRO!$G$4,))))</f>
        <v>cumple politica</v>
      </c>
    </row>
    <row r="254" spans="1:21" s="11" customFormat="1" x14ac:dyDescent="0.3">
      <c r="A254" s="11" t="s">
        <v>120</v>
      </c>
      <c r="B254" t="s">
        <v>30</v>
      </c>
      <c r="C254" t="s">
        <v>68</v>
      </c>
      <c r="D254" t="s">
        <v>82</v>
      </c>
      <c r="E254" s="24">
        <f t="shared" si="53"/>
        <v>0</v>
      </c>
      <c r="F254" s="22">
        <f>-SUMIFS(CARGA!I:I,CARGA!B:B,tabla!A254,CARGA!D:D,tabla!C254,CARGA!C:C,MAESTRO!$B$4)-SUMIFS(CARGA!I:I,CARGA!B:B,tabla!A254,CARGA!D:D,tabla!C254,CARGA!C:C,MAESTRO!$B$5)</f>
        <v>0</v>
      </c>
      <c r="G254" s="5">
        <f>+SUMIFS(CARGA!I:I,CARGA!B:B,tabla!A254,CARGA!D:D,tabla!C254)</f>
        <v>0</v>
      </c>
      <c r="H254" s="5">
        <f>+SUMIFS(CARGA!K:K,CARGA!B:B,tabla!A254,CARGA!D:D,tabla!C254)</f>
        <v>0</v>
      </c>
      <c r="I254" s="5">
        <f t="shared" si="54"/>
        <v>0</v>
      </c>
      <c r="J254" s="5">
        <f>-SUMIFS(CARGA!K:K,CARGA!B:B,tabla!A254,CARGA!D:D,tabla!C254,CARGA!C:C,MAESTRO!$B$4)+SUMIFS(CARGA!K:K,CARGA!B:B,tabla!A254,CARGA!D:D,tabla!C254,CARGA!C:C,MAESTRO!$B$5)</f>
        <v>0</v>
      </c>
      <c r="K254" s="5" t="e">
        <f>+VLOOKUP(C254,#REF!,3,FALSE)</f>
        <v>#REF!</v>
      </c>
      <c r="L254" s="5" t="e">
        <f t="shared" si="55"/>
        <v>#REF!</v>
      </c>
      <c r="M254" s="5" t="e">
        <f t="shared" si="56"/>
        <v>#REF!</v>
      </c>
      <c r="N254" s="5" t="str">
        <f t="shared" si="57"/>
        <v>NO</v>
      </c>
      <c r="O254" s="5">
        <f>+VLOOKUP(C254,[2]Fondos!$F:$J,5,FALSE)</f>
        <v>5034893543.9799995</v>
      </c>
      <c r="P254" s="13">
        <f>+VLOOKUP(C254,[2]Fondos!$F:$K,6,FALSE)</f>
        <v>0.27295020000000003</v>
      </c>
      <c r="Q254" s="13">
        <f t="shared" si="58"/>
        <v>0</v>
      </c>
      <c r="R254" s="10">
        <f>+IF(Q254&gt;MAESTRO!$G$6,0,1)</f>
        <v>1</v>
      </c>
      <c r="S254">
        <f>+IF(P254&lt;MAESTRO!$G$8,0,1)</f>
        <v>1</v>
      </c>
      <c r="T254" s="10">
        <f t="shared" si="59"/>
        <v>2</v>
      </c>
      <c r="U254" t="str">
        <f>+IF(R254+S254=2,MAESTRO!$G$2,IF(R254+S254=0,MAESTRO!$G$5,IF(R254=0,MAESTRO!$G$3,IF(S254=0,MAESTRO!$G$4,))))</f>
        <v>cumple politica</v>
      </c>
    </row>
    <row r="255" spans="1:21" s="11" customFormat="1" x14ac:dyDescent="0.3">
      <c r="A255" s="11" t="s">
        <v>120</v>
      </c>
      <c r="B255" t="s">
        <v>30</v>
      </c>
      <c r="C255" t="s">
        <v>67</v>
      </c>
      <c r="D255" t="s">
        <v>82</v>
      </c>
      <c r="E255" s="24">
        <f t="shared" si="53"/>
        <v>0</v>
      </c>
      <c r="F255" s="22">
        <f>-SUMIFS(CARGA!I:I,CARGA!B:B,tabla!A255,CARGA!D:D,tabla!C255,CARGA!C:C,MAESTRO!$B$4)-SUMIFS(CARGA!I:I,CARGA!B:B,tabla!A255,CARGA!D:D,tabla!C255,CARGA!C:C,MAESTRO!$B$5)</f>
        <v>0</v>
      </c>
      <c r="G255" s="5">
        <f>+SUMIFS(CARGA!I:I,CARGA!B:B,tabla!A255,CARGA!D:D,tabla!C255)</f>
        <v>0</v>
      </c>
      <c r="H255" s="5">
        <f>+SUMIFS(CARGA!K:K,CARGA!B:B,tabla!A255,CARGA!D:D,tabla!C255)</f>
        <v>0</v>
      </c>
      <c r="I255" s="5">
        <f t="shared" si="54"/>
        <v>0</v>
      </c>
      <c r="J255" s="5">
        <f>-SUMIFS(CARGA!K:K,CARGA!B:B,tabla!A255,CARGA!D:D,tabla!C255,CARGA!C:C,MAESTRO!$B$4)+SUMIFS(CARGA!K:K,CARGA!B:B,tabla!A255,CARGA!D:D,tabla!C255,CARGA!C:C,MAESTRO!$B$5)</f>
        <v>0</v>
      </c>
      <c r="K255" s="5" t="e">
        <f>+VLOOKUP(C255,#REF!,3,FALSE)</f>
        <v>#REF!</v>
      </c>
      <c r="L255" s="5" t="e">
        <f t="shared" si="55"/>
        <v>#REF!</v>
      </c>
      <c r="M255" s="5" t="e">
        <f t="shared" si="56"/>
        <v>#REF!</v>
      </c>
      <c r="N255" s="5" t="str">
        <f t="shared" si="57"/>
        <v>NO</v>
      </c>
      <c r="O255" s="5">
        <f>+VLOOKUP(C255,[2]Fondos!$F:$J,5,FALSE)</f>
        <v>11465050695.200001</v>
      </c>
      <c r="P255" s="13">
        <f>+VLOOKUP(C255,[2]Fondos!$F:$K,6,FALSE)</f>
        <v>0.2357329</v>
      </c>
      <c r="Q255" s="13">
        <f t="shared" si="58"/>
        <v>0</v>
      </c>
      <c r="R255" s="10">
        <f>+IF(Q255&gt;MAESTRO!$G$6,0,1)</f>
        <v>1</v>
      </c>
      <c r="S255">
        <f>+IF(P255&lt;MAESTRO!$G$8,0,1)</f>
        <v>1</v>
      </c>
      <c r="T255" s="10">
        <f t="shared" si="59"/>
        <v>2</v>
      </c>
      <c r="U255" t="str">
        <f>+IF(R255+S255=2,MAESTRO!$G$2,IF(R255+S255=0,MAESTRO!$G$5,IF(R255=0,MAESTRO!$G$3,IF(S255=0,MAESTRO!$G$4,))))</f>
        <v>cumple politica</v>
      </c>
    </row>
    <row r="256" spans="1:21" s="11" customFormat="1" x14ac:dyDescent="0.3">
      <c r="A256" s="11" t="s">
        <v>120</v>
      </c>
      <c r="B256" t="s">
        <v>29</v>
      </c>
      <c r="C256" t="s">
        <v>48</v>
      </c>
      <c r="D256" t="s">
        <v>81</v>
      </c>
      <c r="E256" s="24">
        <f t="shared" si="53"/>
        <v>0</v>
      </c>
      <c r="F256" s="22">
        <f>-SUMIFS(CARGA!I:I,CARGA!B:B,tabla!A256,CARGA!D:D,tabla!C256,CARGA!C:C,MAESTRO!$B$4)-SUMIFS(CARGA!I:I,CARGA!B:B,tabla!A256,CARGA!D:D,tabla!C256,CARGA!C:C,MAESTRO!$B$5)</f>
        <v>0</v>
      </c>
      <c r="G256" s="5">
        <f>+SUMIFS(CARGA!I:I,CARGA!B:B,tabla!A256,CARGA!D:D,tabla!C256)</f>
        <v>0</v>
      </c>
      <c r="H256" s="5">
        <f>+SUMIFS(CARGA!K:K,CARGA!B:B,tabla!A256,CARGA!D:D,tabla!C256)</f>
        <v>0</v>
      </c>
      <c r="I256" s="5">
        <f t="shared" si="54"/>
        <v>0</v>
      </c>
      <c r="J256" s="5">
        <f>-SUMIFS(CARGA!K:K,CARGA!B:B,tabla!A256,CARGA!D:D,tabla!C256,CARGA!C:C,MAESTRO!$B$4)+SUMIFS(CARGA!K:K,CARGA!B:B,tabla!A256,CARGA!D:D,tabla!C256,CARGA!C:C,MAESTRO!$B$5)</f>
        <v>0</v>
      </c>
      <c r="K256" s="5" t="e">
        <f>+VLOOKUP(C256,#REF!,3,FALSE)</f>
        <v>#REF!</v>
      </c>
      <c r="L256" s="5" t="e">
        <f t="shared" si="55"/>
        <v>#REF!</v>
      </c>
      <c r="M256" s="5" t="e">
        <f t="shared" si="56"/>
        <v>#REF!</v>
      </c>
      <c r="N256" s="5" t="str">
        <f t="shared" si="57"/>
        <v>NO</v>
      </c>
      <c r="O256" s="5">
        <f>+VLOOKUP(C256,[2]Fondos!$F:$J,5,FALSE)</f>
        <v>1752057008.8599999</v>
      </c>
      <c r="P256" s="13">
        <f>+VLOOKUP(C256,[2]Fondos!$F:$K,6,FALSE)</f>
        <v>0.21970210000000001</v>
      </c>
      <c r="Q256" s="13">
        <f t="shared" si="58"/>
        <v>0</v>
      </c>
      <c r="R256" s="10">
        <f>+IF(Q256&gt;MAESTRO!$G$6,0,1)</f>
        <v>1</v>
      </c>
      <c r="S256">
        <f>+IF(P256&lt;MAESTRO!$G$8,0,1)</f>
        <v>1</v>
      </c>
      <c r="T256" s="10">
        <f t="shared" si="59"/>
        <v>2</v>
      </c>
      <c r="U256" t="str">
        <f>+IF(R256+S256=2,MAESTRO!$G$2,IF(R256+S256=0,MAESTRO!$G$5,IF(R256=0,MAESTRO!$G$3,IF(S256=0,MAESTRO!$G$4,))))</f>
        <v>cumple politica</v>
      </c>
    </row>
    <row r="257" spans="1:21" s="11" customFormat="1" x14ac:dyDescent="0.3">
      <c r="A257" s="11" t="s">
        <v>120</v>
      </c>
      <c r="B257" t="s">
        <v>29</v>
      </c>
      <c r="C257" t="s">
        <v>66</v>
      </c>
      <c r="D257" t="s">
        <v>82</v>
      </c>
      <c r="E257" s="24">
        <f t="shared" si="53"/>
        <v>0</v>
      </c>
      <c r="F257" s="22">
        <f>-SUMIFS(CARGA!I:I,CARGA!B:B,tabla!A257,CARGA!D:D,tabla!C257,CARGA!C:C,MAESTRO!$B$4)-SUMIFS(CARGA!I:I,CARGA!B:B,tabla!A257,CARGA!D:D,tabla!C257,CARGA!C:C,MAESTRO!$B$5)</f>
        <v>0</v>
      </c>
      <c r="G257" s="5">
        <f>+SUMIFS(CARGA!I:I,CARGA!B:B,tabla!A257,CARGA!D:D,tabla!C257)</f>
        <v>0</v>
      </c>
      <c r="H257" s="5">
        <f>+SUMIFS(CARGA!K:K,CARGA!B:B,tabla!A257,CARGA!D:D,tabla!C257)</f>
        <v>0</v>
      </c>
      <c r="I257" s="5">
        <f t="shared" si="54"/>
        <v>0</v>
      </c>
      <c r="J257" s="5">
        <f>-SUMIFS(CARGA!K:K,CARGA!B:B,tabla!A257,CARGA!D:D,tabla!C257,CARGA!C:C,MAESTRO!$B$4)+SUMIFS(CARGA!K:K,CARGA!B:B,tabla!A257,CARGA!D:D,tabla!C257,CARGA!C:C,MAESTRO!$B$5)</f>
        <v>0</v>
      </c>
      <c r="K257" s="5" t="e">
        <f>+VLOOKUP(C257,#REF!,3,FALSE)</f>
        <v>#REF!</v>
      </c>
      <c r="L257" s="5" t="e">
        <f t="shared" si="55"/>
        <v>#REF!</v>
      </c>
      <c r="M257" s="5" t="e">
        <f t="shared" si="56"/>
        <v>#REF!</v>
      </c>
      <c r="N257" s="5" t="str">
        <f t="shared" si="57"/>
        <v>NO</v>
      </c>
      <c r="O257" s="5">
        <f>+VLOOKUP(C257,[2]Fondos!$F:$J,5,FALSE)</f>
        <v>15968105687.34</v>
      </c>
      <c r="P257" s="13">
        <f>+VLOOKUP(C257,[2]Fondos!$F:$K,6,FALSE)</f>
        <v>0.27123580000000003</v>
      </c>
      <c r="Q257" s="13">
        <f t="shared" si="58"/>
        <v>0</v>
      </c>
      <c r="R257" s="10">
        <f>+IF(Q257&gt;MAESTRO!$G$6,0,1)</f>
        <v>1</v>
      </c>
      <c r="S257">
        <f>+IF(P257&lt;MAESTRO!$G$8,0,1)</f>
        <v>1</v>
      </c>
      <c r="T257" s="10">
        <f t="shared" si="59"/>
        <v>2</v>
      </c>
      <c r="U257" t="str">
        <f>+IF(R257+S257=2,MAESTRO!$G$2,IF(R257+S257=0,MAESTRO!$G$5,IF(R257=0,MAESTRO!$G$3,IF(S257=0,MAESTRO!$G$4,))))</f>
        <v>cumple politica</v>
      </c>
    </row>
    <row r="258" spans="1:21" s="11" customFormat="1" x14ac:dyDescent="0.3">
      <c r="A258" s="11" t="s">
        <v>120</v>
      </c>
      <c r="B258" t="s">
        <v>29</v>
      </c>
      <c r="C258" t="s">
        <v>110</v>
      </c>
      <c r="D258" t="s">
        <v>83</v>
      </c>
      <c r="E258" s="24">
        <f t="shared" si="53"/>
        <v>0</v>
      </c>
      <c r="F258" s="22">
        <f>-SUMIFS(CARGA!I:I,CARGA!B:B,tabla!A258,CARGA!D:D,tabla!C258,CARGA!C:C,MAESTRO!$B$4)-SUMIFS(CARGA!I:I,CARGA!B:B,tabla!A258,CARGA!D:D,tabla!C258,CARGA!C:C,MAESTRO!$B$5)</f>
        <v>0</v>
      </c>
      <c r="G258" s="5">
        <f>+SUMIFS(CARGA!I:I,CARGA!B:B,tabla!A258,CARGA!D:D,tabla!C258)</f>
        <v>0</v>
      </c>
      <c r="H258" s="5">
        <f>+SUMIFS(CARGA!K:K,CARGA!B:B,tabla!A258,CARGA!D:D,tabla!C258)</f>
        <v>0</v>
      </c>
      <c r="I258" s="5">
        <f t="shared" si="54"/>
        <v>0</v>
      </c>
      <c r="J258" s="5">
        <f>-SUMIFS(CARGA!K:K,CARGA!B:B,tabla!A258,CARGA!D:D,tabla!C258,CARGA!C:C,MAESTRO!$B$4)+SUMIFS(CARGA!K:K,CARGA!B:B,tabla!A258,CARGA!D:D,tabla!C258,CARGA!C:C,MAESTRO!$B$5)</f>
        <v>0</v>
      </c>
      <c r="K258" s="5" t="e">
        <f>+VLOOKUP(C258,#REF!,3,FALSE)</f>
        <v>#REF!</v>
      </c>
      <c r="L258" s="5" t="e">
        <f t="shared" si="55"/>
        <v>#REF!</v>
      </c>
      <c r="M258" s="5" t="e">
        <f t="shared" si="56"/>
        <v>#REF!</v>
      </c>
      <c r="N258" s="5" t="str">
        <f t="shared" si="57"/>
        <v>NO</v>
      </c>
      <c r="O258" s="5" t="e">
        <f>+VLOOKUP(C258,[2]Fondos!$F:$J,5,FALSE)</f>
        <v>#N/A</v>
      </c>
      <c r="P258" s="13" t="e">
        <f>+VLOOKUP(C258,[2]Fondos!$F:$K,6,FALSE)</f>
        <v>#N/A</v>
      </c>
      <c r="Q258" s="13" t="e">
        <f t="shared" si="58"/>
        <v>#N/A</v>
      </c>
      <c r="R258" s="10" t="e">
        <f>+IF(Q258&gt;MAESTRO!$G$6,0,1)</f>
        <v>#N/A</v>
      </c>
      <c r="S258" t="e">
        <f>+IF(P258&lt;MAESTRO!$G$8,0,1)</f>
        <v>#N/A</v>
      </c>
      <c r="T258" s="10" t="e">
        <f t="shared" si="59"/>
        <v>#N/A</v>
      </c>
      <c r="U258" t="e">
        <f>+IF(R258+S258=2,MAESTRO!$G$2,IF(R258+S258=0,MAESTRO!$G$5,IF(R258=0,MAESTRO!$G$3,IF(S258=0,MAESTRO!$G$4,))))</f>
        <v>#N/A</v>
      </c>
    </row>
    <row r="259" spans="1:21" s="11" customFormat="1" x14ac:dyDescent="0.3">
      <c r="A259" s="11" t="s">
        <v>120</v>
      </c>
      <c r="B259" t="s">
        <v>24</v>
      </c>
      <c r="C259" t="s">
        <v>39</v>
      </c>
      <c r="D259" t="s">
        <v>81</v>
      </c>
      <c r="E259" s="24">
        <f t="shared" si="53"/>
        <v>0</v>
      </c>
      <c r="F259" s="22">
        <f>-SUMIFS(CARGA!I:I,CARGA!B:B,tabla!A259,CARGA!D:D,tabla!C259,CARGA!C:C,MAESTRO!$B$4)-SUMIFS(CARGA!I:I,CARGA!B:B,tabla!A259,CARGA!D:D,tabla!C259,CARGA!C:C,MAESTRO!$B$5)</f>
        <v>0</v>
      </c>
      <c r="G259" s="5">
        <f>+SUMIFS(CARGA!I:I,CARGA!B:B,tabla!A259,CARGA!D:D,tabla!C259)</f>
        <v>0</v>
      </c>
      <c r="H259" s="5">
        <f>+SUMIFS(CARGA!K:K,CARGA!B:B,tabla!A259,CARGA!D:D,tabla!C259)</f>
        <v>0</v>
      </c>
      <c r="I259" s="5">
        <f t="shared" si="54"/>
        <v>0</v>
      </c>
      <c r="J259" s="5">
        <f>-SUMIFS(CARGA!K:K,CARGA!B:B,tabla!A259,CARGA!D:D,tabla!C259,CARGA!C:C,MAESTRO!$B$4)+SUMIFS(CARGA!K:K,CARGA!B:B,tabla!A259,CARGA!D:D,tabla!C259,CARGA!C:C,MAESTRO!$B$5)</f>
        <v>0</v>
      </c>
      <c r="K259" s="5" t="e">
        <f>+VLOOKUP(C259,#REF!,3,FALSE)</f>
        <v>#REF!</v>
      </c>
      <c r="L259" s="5" t="e">
        <f t="shared" si="55"/>
        <v>#REF!</v>
      </c>
      <c r="M259" s="5" t="e">
        <f t="shared" si="56"/>
        <v>#REF!</v>
      </c>
      <c r="N259" s="5" t="str">
        <f t="shared" si="57"/>
        <v>NO</v>
      </c>
      <c r="O259" s="5">
        <f>+VLOOKUP(C259,[2]Fondos!$F:$J,5,FALSE)</f>
        <v>2294506221</v>
      </c>
      <c r="P259" s="13">
        <f>+VLOOKUP(C259,[2]Fondos!$F:$K,6,FALSE)</f>
        <v>0.21526589999999998</v>
      </c>
      <c r="Q259" s="13">
        <f t="shared" si="58"/>
        <v>0</v>
      </c>
      <c r="R259" s="10">
        <f>+IF(Q259&gt;MAESTRO!$G$6,0,1)</f>
        <v>1</v>
      </c>
      <c r="S259">
        <f>+IF(P259&lt;MAESTRO!$G$8,0,1)</f>
        <v>1</v>
      </c>
      <c r="T259" s="10">
        <f t="shared" si="59"/>
        <v>2</v>
      </c>
      <c r="U259" t="str">
        <f>+IF(R259+S259=2,MAESTRO!$G$2,IF(R259+S259=0,MAESTRO!$G$5,IF(R259=0,MAESTRO!$G$3,IF(S259=0,MAESTRO!$G$4,))))</f>
        <v>cumple politica</v>
      </c>
    </row>
    <row r="260" spans="1:21" s="11" customFormat="1" x14ac:dyDescent="0.3">
      <c r="A260" s="11" t="s">
        <v>120</v>
      </c>
      <c r="B260" t="s">
        <v>24</v>
      </c>
      <c r="C260" t="s">
        <v>80</v>
      </c>
      <c r="D260" t="s">
        <v>82</v>
      </c>
      <c r="E260" s="24">
        <f t="shared" si="53"/>
        <v>0</v>
      </c>
      <c r="F260" s="22">
        <f>-SUMIFS(CARGA!I:I,CARGA!B:B,tabla!A260,CARGA!D:D,tabla!C260,CARGA!C:C,MAESTRO!$B$4)-SUMIFS(CARGA!I:I,CARGA!B:B,tabla!A260,CARGA!D:D,tabla!C260,CARGA!C:C,MAESTRO!$B$5)</f>
        <v>0</v>
      </c>
      <c r="G260" s="5">
        <f>+SUMIFS(CARGA!I:I,CARGA!B:B,tabla!A260,CARGA!D:D,tabla!C260)</f>
        <v>0</v>
      </c>
      <c r="H260" s="5">
        <f>+SUMIFS(CARGA!K:K,CARGA!B:B,tabla!A260,CARGA!D:D,tabla!C260)</f>
        <v>0</v>
      </c>
      <c r="I260" s="5">
        <f t="shared" si="54"/>
        <v>0</v>
      </c>
      <c r="J260" s="5">
        <f>-SUMIFS(CARGA!K:K,CARGA!B:B,tabla!A260,CARGA!D:D,tabla!C260,CARGA!C:C,MAESTRO!$B$4)+SUMIFS(CARGA!K:K,CARGA!B:B,tabla!A260,CARGA!D:D,tabla!C260,CARGA!C:C,MAESTRO!$B$5)</f>
        <v>0</v>
      </c>
      <c r="K260" s="5" t="e">
        <f>+VLOOKUP(C260,#REF!,3,FALSE)</f>
        <v>#REF!</v>
      </c>
      <c r="L260" s="5" t="e">
        <f t="shared" si="55"/>
        <v>#REF!</v>
      </c>
      <c r="M260" s="5" t="e">
        <f t="shared" si="56"/>
        <v>#REF!</v>
      </c>
      <c r="N260" s="5" t="str">
        <f t="shared" si="57"/>
        <v>NO</v>
      </c>
      <c r="O260" s="5">
        <f>+VLOOKUP(C260,[2]Fondos!$F:$J,5,FALSE)</f>
        <v>8324714840</v>
      </c>
      <c r="P260" s="13">
        <f>+VLOOKUP(C260,[2]Fondos!$F:$K,6,FALSE)</f>
        <v>0.27053379999999999</v>
      </c>
      <c r="Q260" s="13">
        <f t="shared" si="58"/>
        <v>0</v>
      </c>
      <c r="R260" s="10">
        <f>+IF(Q260&gt;MAESTRO!$G$6,0,1)</f>
        <v>1</v>
      </c>
      <c r="S260">
        <f>+IF(P260&lt;MAESTRO!$G$8,0,1)</f>
        <v>1</v>
      </c>
      <c r="T260" s="10">
        <f t="shared" si="59"/>
        <v>2</v>
      </c>
      <c r="U260" t="str">
        <f>+IF(R260+S260=2,MAESTRO!$G$2,IF(R260+S260=0,MAESTRO!$G$5,IF(R260=0,MAESTRO!$G$3,IF(S260=0,MAESTRO!$G$4,))))</f>
        <v>cumple politica</v>
      </c>
    </row>
    <row r="261" spans="1:21" s="11" customFormat="1" x14ac:dyDescent="0.3">
      <c r="A261" s="11" t="s">
        <v>120</v>
      </c>
      <c r="B261" t="s">
        <v>24</v>
      </c>
      <c r="C261" t="s">
        <v>62</v>
      </c>
      <c r="D261" t="s">
        <v>82</v>
      </c>
      <c r="E261" s="24">
        <f t="shared" si="53"/>
        <v>0</v>
      </c>
      <c r="F261" s="22">
        <f>-SUMIFS(CARGA!I:I,CARGA!B:B,tabla!A261,CARGA!D:D,tabla!C261,CARGA!C:C,MAESTRO!$B$4)-SUMIFS(CARGA!I:I,CARGA!B:B,tabla!A261,CARGA!D:D,tabla!C261,CARGA!C:C,MAESTRO!$B$5)</f>
        <v>0</v>
      </c>
      <c r="G261" s="5">
        <f>+SUMIFS(CARGA!I:I,CARGA!B:B,tabla!A261,CARGA!D:D,tabla!C261)</f>
        <v>0</v>
      </c>
      <c r="H261" s="5">
        <f>+SUMIFS(CARGA!K:K,CARGA!B:B,tabla!A261,CARGA!D:D,tabla!C261)</f>
        <v>0</v>
      </c>
      <c r="I261" s="5">
        <f t="shared" si="54"/>
        <v>0</v>
      </c>
      <c r="J261" s="5">
        <f>-SUMIFS(CARGA!K:K,CARGA!B:B,tabla!A261,CARGA!D:D,tabla!C261,CARGA!C:C,MAESTRO!$B$4)+SUMIFS(CARGA!K:K,CARGA!B:B,tabla!A261,CARGA!D:D,tabla!C261,CARGA!C:C,MAESTRO!$B$5)</f>
        <v>0</v>
      </c>
      <c r="K261" s="5" t="e">
        <f>+VLOOKUP(C261,#REF!,3,FALSE)</f>
        <v>#REF!</v>
      </c>
      <c r="L261" s="5" t="e">
        <f t="shared" si="55"/>
        <v>#REF!</v>
      </c>
      <c r="M261" s="5" t="e">
        <f t="shared" si="56"/>
        <v>#REF!</v>
      </c>
      <c r="N261" s="5" t="str">
        <f t="shared" si="57"/>
        <v>NO</v>
      </c>
      <c r="O261" s="5">
        <f>+VLOOKUP(C261,[2]Fondos!$F:$J,5,FALSE)</f>
        <v>2635564025</v>
      </c>
      <c r="P261" s="13">
        <f>+VLOOKUP(C261,[2]Fondos!$F:$K,6,FALSE)</f>
        <v>0.26226080000000002</v>
      </c>
      <c r="Q261" s="13">
        <f t="shared" si="58"/>
        <v>0</v>
      </c>
      <c r="R261" s="10">
        <f>+IF(Q261&gt;MAESTRO!$G$6,0,1)</f>
        <v>1</v>
      </c>
      <c r="S261">
        <f>+IF(P261&lt;MAESTRO!$G$8,0,1)</f>
        <v>1</v>
      </c>
      <c r="T261" s="10">
        <f t="shared" si="59"/>
        <v>2</v>
      </c>
      <c r="U261" t="str">
        <f>+IF(R261+S261=2,MAESTRO!$G$2,IF(R261+S261=0,MAESTRO!$G$5,IF(R261=0,MAESTRO!$G$3,IF(S261=0,MAESTRO!$G$4,))))</f>
        <v>cumple politica</v>
      </c>
    </row>
    <row r="262" spans="1:21" s="11" customFormat="1" x14ac:dyDescent="0.3">
      <c r="A262" s="11" t="s">
        <v>120</v>
      </c>
      <c r="B262" t="s">
        <v>32</v>
      </c>
      <c r="C262" t="s">
        <v>71</v>
      </c>
      <c r="D262" t="s">
        <v>82</v>
      </c>
      <c r="E262" s="24">
        <f t="shared" si="53"/>
        <v>0</v>
      </c>
      <c r="F262" s="22">
        <f>-SUMIFS(CARGA!I:I,CARGA!B:B,tabla!A262,CARGA!D:D,tabla!C262,CARGA!C:C,MAESTRO!$B$4)-SUMIFS(CARGA!I:I,CARGA!B:B,tabla!A262,CARGA!D:D,tabla!C262,CARGA!C:C,MAESTRO!$B$5)</f>
        <v>0</v>
      </c>
      <c r="G262" s="5">
        <f>+SUMIFS(CARGA!I:I,CARGA!B:B,tabla!A262,CARGA!D:D,tabla!C262)</f>
        <v>0</v>
      </c>
      <c r="H262" s="5">
        <f>+SUMIFS(CARGA!K:K,CARGA!B:B,tabla!A262,CARGA!D:D,tabla!C262)</f>
        <v>0</v>
      </c>
      <c r="I262" s="5">
        <f t="shared" si="54"/>
        <v>0</v>
      </c>
      <c r="J262" s="5">
        <f>-SUMIFS(CARGA!K:K,CARGA!B:B,tabla!A262,CARGA!D:D,tabla!C262,CARGA!C:C,MAESTRO!$B$4)+SUMIFS(CARGA!K:K,CARGA!B:B,tabla!A262,CARGA!D:D,tabla!C262,CARGA!C:C,MAESTRO!$B$5)</f>
        <v>0</v>
      </c>
      <c r="K262" s="5" t="e">
        <f>+VLOOKUP(C262,#REF!,3,FALSE)</f>
        <v>#REF!</v>
      </c>
      <c r="L262" s="5" t="e">
        <f t="shared" si="55"/>
        <v>#REF!</v>
      </c>
      <c r="M262" s="5" t="e">
        <f t="shared" si="56"/>
        <v>#REF!</v>
      </c>
      <c r="N262" s="5" t="str">
        <f t="shared" si="57"/>
        <v>NO</v>
      </c>
      <c r="O262" s="5">
        <f>+VLOOKUP(C262,[2]Fondos!$F:$J,5,FALSE)</f>
        <v>240000000</v>
      </c>
      <c r="P262" s="13">
        <f>+VLOOKUP(C262,[2]Fondos!$F:$K,6,FALSE)</f>
        <v>0.27596609999999999</v>
      </c>
      <c r="Q262" s="13">
        <f t="shared" si="58"/>
        <v>0</v>
      </c>
      <c r="R262" s="10">
        <f>+IF(Q262&gt;MAESTRO!$G$6,0,1)</f>
        <v>1</v>
      </c>
      <c r="S262">
        <f>+IF(P262&lt;MAESTRO!$G$8,0,1)</f>
        <v>1</v>
      </c>
      <c r="T262" s="10">
        <f t="shared" si="59"/>
        <v>2</v>
      </c>
      <c r="U262" t="str">
        <f>+IF(R262+S262=2,MAESTRO!$G$2,IF(R262+S262=0,MAESTRO!$G$5,IF(R262=0,MAESTRO!$G$3,IF(S262=0,MAESTRO!$G$4,))))</f>
        <v>cumple politica</v>
      </c>
    </row>
    <row r="263" spans="1:21" s="11" customFormat="1" x14ac:dyDescent="0.3">
      <c r="A263" s="11" t="s">
        <v>120</v>
      </c>
      <c r="B263" t="s">
        <v>32</v>
      </c>
      <c r="C263" t="s">
        <v>51</v>
      </c>
      <c r="D263" t="s">
        <v>81</v>
      </c>
      <c r="E263" s="24">
        <f t="shared" si="53"/>
        <v>0</v>
      </c>
      <c r="F263" s="22">
        <f>-SUMIFS(CARGA!I:I,CARGA!B:B,tabla!A263,CARGA!D:D,tabla!C263,CARGA!C:C,MAESTRO!$B$4)-SUMIFS(CARGA!I:I,CARGA!B:B,tabla!A263,CARGA!D:D,tabla!C263,CARGA!C:C,MAESTRO!$B$5)</f>
        <v>0</v>
      </c>
      <c r="G263" s="5">
        <f>+SUMIFS(CARGA!I:I,CARGA!B:B,tabla!A263,CARGA!D:D,tabla!C263)</f>
        <v>0</v>
      </c>
      <c r="H263" s="5">
        <f>+SUMIFS(CARGA!K:K,CARGA!B:B,tabla!A263,CARGA!D:D,tabla!C263)</f>
        <v>0</v>
      </c>
      <c r="I263" s="5">
        <f t="shared" si="54"/>
        <v>0</v>
      </c>
      <c r="J263" s="5">
        <f>-SUMIFS(CARGA!K:K,CARGA!B:B,tabla!A263,CARGA!D:D,tabla!C263,CARGA!C:C,MAESTRO!$B$4)+SUMIFS(CARGA!K:K,CARGA!B:B,tabla!A263,CARGA!D:D,tabla!C263,CARGA!C:C,MAESTRO!$B$5)</f>
        <v>0</v>
      </c>
      <c r="K263" s="5" t="e">
        <f>+VLOOKUP(C263,#REF!,3,FALSE)</f>
        <v>#REF!</v>
      </c>
      <c r="L263" s="5" t="e">
        <f t="shared" si="55"/>
        <v>#REF!</v>
      </c>
      <c r="M263" s="5" t="e">
        <f t="shared" si="56"/>
        <v>#REF!</v>
      </c>
      <c r="N263" s="5" t="str">
        <f t="shared" si="57"/>
        <v>NO</v>
      </c>
      <c r="O263" s="5">
        <f>+VLOOKUP(C263,[2]Fondos!$F:$J,5,FALSE)</f>
        <v>360000000</v>
      </c>
      <c r="P263" s="13">
        <f>+VLOOKUP(C263,[2]Fondos!$F:$K,6,FALSE)</f>
        <v>0.19705159999999999</v>
      </c>
      <c r="Q263" s="13">
        <f t="shared" si="58"/>
        <v>0</v>
      </c>
      <c r="R263" s="10">
        <f>+IF(Q263&gt;MAESTRO!$G$6,0,1)</f>
        <v>1</v>
      </c>
      <c r="S263">
        <f>+IF(P263&lt;MAESTRO!$G$8,0,1)</f>
        <v>1</v>
      </c>
      <c r="T263" s="10">
        <f t="shared" si="59"/>
        <v>2</v>
      </c>
      <c r="U263" t="str">
        <f>+IF(R263+S263=2,MAESTRO!$G$2,IF(R263+S263=0,MAESTRO!$G$5,IF(R263=0,MAESTRO!$G$3,IF(S263=0,MAESTRO!$G$4,))))</f>
        <v>cumple politica</v>
      </c>
    </row>
    <row r="264" spans="1:21" s="11" customFormat="1" x14ac:dyDescent="0.3">
      <c r="A264" s="11" t="s">
        <v>120</v>
      </c>
      <c r="B264" t="s">
        <v>35</v>
      </c>
      <c r="C264" t="s">
        <v>55</v>
      </c>
      <c r="D264" t="s">
        <v>82</v>
      </c>
      <c r="E264" s="24">
        <f t="shared" si="53"/>
        <v>0</v>
      </c>
      <c r="F264" s="22">
        <f>-SUMIFS(CARGA!I:I,CARGA!B:B,tabla!A264,CARGA!D:D,tabla!C264,CARGA!C:C,MAESTRO!$B$4)-SUMIFS(CARGA!I:I,CARGA!B:B,tabla!A264,CARGA!D:D,tabla!C264,CARGA!C:C,MAESTRO!$B$5)</f>
        <v>0</v>
      </c>
      <c r="G264" s="5">
        <f>+SUMIFS(CARGA!I:I,CARGA!B:B,tabla!A264,CARGA!D:D,tabla!C264)</f>
        <v>0</v>
      </c>
      <c r="H264" s="5">
        <f>+SUMIFS(CARGA!K:K,CARGA!B:B,tabla!A264,CARGA!D:D,tabla!C264)</f>
        <v>0</v>
      </c>
      <c r="I264" s="5">
        <f t="shared" si="54"/>
        <v>0</v>
      </c>
      <c r="J264" s="5">
        <f>-SUMIFS(CARGA!K:K,CARGA!B:B,tabla!A264,CARGA!D:D,tabla!C264,CARGA!C:C,MAESTRO!$B$4)+SUMIFS(CARGA!K:K,CARGA!B:B,tabla!A264,CARGA!D:D,tabla!C264,CARGA!C:C,MAESTRO!$B$5)</f>
        <v>0</v>
      </c>
      <c r="K264" s="5" t="e">
        <f>+VLOOKUP(C264,#REF!,3,FALSE)</f>
        <v>#REF!</v>
      </c>
      <c r="L264" s="5" t="e">
        <f t="shared" si="55"/>
        <v>#REF!</v>
      </c>
      <c r="M264" s="5" t="e">
        <f t="shared" si="56"/>
        <v>#REF!</v>
      </c>
      <c r="N264" s="5" t="str">
        <f t="shared" si="57"/>
        <v>NO</v>
      </c>
      <c r="O264" s="5">
        <f>+VLOOKUP(C264,[2]Fondos!$F:$J,5,FALSE)</f>
        <v>601998365.54999995</v>
      </c>
      <c r="P264" s="13">
        <f>+VLOOKUP(C264,[2]Fondos!$F:$K,6,FALSE)</f>
        <v>0.27414070000000001</v>
      </c>
      <c r="Q264" s="13">
        <f t="shared" si="58"/>
        <v>0</v>
      </c>
      <c r="R264" s="10">
        <f>+IF(Q264&gt;MAESTRO!$G$6,0,1)</f>
        <v>1</v>
      </c>
      <c r="S264">
        <f>+IF(P264&lt;MAESTRO!$G$8,0,1)</f>
        <v>1</v>
      </c>
      <c r="T264" s="10">
        <f t="shared" si="59"/>
        <v>2</v>
      </c>
      <c r="U264" t="str">
        <f>+IF(R264+S264=2,MAESTRO!$G$2,IF(R264+S264=0,MAESTRO!$G$5,IF(R264=0,MAESTRO!$G$3,IF(S264=0,MAESTRO!$G$4,))))</f>
        <v>cumple politica</v>
      </c>
    </row>
    <row r="265" spans="1:21" s="11" customFormat="1" x14ac:dyDescent="0.3">
      <c r="A265" s="11" t="s">
        <v>120</v>
      </c>
      <c r="B265" t="s">
        <v>23</v>
      </c>
      <c r="C265" t="s">
        <v>43</v>
      </c>
      <c r="D265" t="s">
        <v>81</v>
      </c>
      <c r="E265" s="24">
        <f t="shared" ref="E265:E271" si="60">+F265+G265</f>
        <v>0</v>
      </c>
      <c r="F265" s="22">
        <f>-SUMIFS(CARGA!I:I,CARGA!B:B,tabla!A265,CARGA!D:D,tabla!C265,CARGA!C:C,MAESTRO!$B$4)-SUMIFS(CARGA!I:I,CARGA!B:B,tabla!A265,CARGA!D:D,tabla!C265,CARGA!C:C,MAESTRO!$B$5)</f>
        <v>0</v>
      </c>
      <c r="G265" s="5">
        <f>+SUMIFS(CARGA!I:I,CARGA!B:B,tabla!A265,CARGA!D:D,tabla!C265)</f>
        <v>0</v>
      </c>
      <c r="H265" s="5">
        <f>+SUMIFS(CARGA!K:K,CARGA!B:B,tabla!A265,CARGA!D:D,tabla!C265)</f>
        <v>0</v>
      </c>
      <c r="I265" s="5">
        <f t="shared" ref="I265:I271" si="61">+H265+J265</f>
        <v>0</v>
      </c>
      <c r="J265" s="5">
        <f>-SUMIFS(CARGA!K:K,CARGA!B:B,tabla!A265,CARGA!D:D,tabla!C265,CARGA!C:C,MAESTRO!$B$4)+SUMIFS(CARGA!K:K,CARGA!B:B,tabla!A265,CARGA!D:D,tabla!C265,CARGA!C:C,MAESTRO!$B$5)</f>
        <v>0</v>
      </c>
      <c r="K265" s="5" t="e">
        <f>+VLOOKUP(C265,#REF!,3,FALSE)</f>
        <v>#REF!</v>
      </c>
      <c r="L265" s="5" t="e">
        <f t="shared" ref="L265:L271" si="62">+K265*I265</f>
        <v>#REF!</v>
      </c>
      <c r="M265" s="5" t="e">
        <f t="shared" ref="M265:M271" si="63">+K265*J265</f>
        <v>#REF!</v>
      </c>
      <c r="N265" s="5" t="str">
        <f t="shared" ref="N265:N271" si="64">+IF(G265+F265=0,"NO","SI")</f>
        <v>NO</v>
      </c>
      <c r="O265" s="5">
        <f>+VLOOKUP(C265,[2]Fondos!$F:$J,5,FALSE)</f>
        <v>3553303148</v>
      </c>
      <c r="P265" s="13">
        <f>+VLOOKUP(C265,[2]Fondos!$F:$K,6,FALSE)</f>
        <v>0.2092009</v>
      </c>
      <c r="Q265" s="13">
        <f t="shared" ref="Q265:Q271" si="65">+G265/O265</f>
        <v>0</v>
      </c>
      <c r="R265" s="10">
        <f>+IF(Q265&gt;MAESTRO!$G$6,0,1)</f>
        <v>1</v>
      </c>
      <c r="S265">
        <f>+IF(P265&lt;MAESTRO!$G$8,0,1)</f>
        <v>1</v>
      </c>
      <c r="T265" s="10">
        <f t="shared" ref="T265:T271" si="66">+R265+S265</f>
        <v>2</v>
      </c>
      <c r="U265" t="str">
        <f>+IF(R265+S265=2,MAESTRO!$G$2,IF(R265+S265=0,MAESTRO!$G$5,IF(R265=0,MAESTRO!$G$3,IF(S265=0,MAESTRO!$G$4,))))</f>
        <v>cumple politica</v>
      </c>
    </row>
    <row r="266" spans="1:21" s="11" customFormat="1" x14ac:dyDescent="0.3">
      <c r="A266" s="11" t="s">
        <v>120</v>
      </c>
      <c r="B266" t="s">
        <v>23</v>
      </c>
      <c r="C266" t="s">
        <v>38</v>
      </c>
      <c r="D266" t="s">
        <v>81</v>
      </c>
      <c r="E266" s="24">
        <f t="shared" si="60"/>
        <v>0</v>
      </c>
      <c r="F266" s="22">
        <f>-SUMIFS(CARGA!I:I,CARGA!B:B,tabla!A266,CARGA!D:D,tabla!C266,CARGA!C:C,MAESTRO!$B$4)-SUMIFS(CARGA!I:I,CARGA!B:B,tabla!A266,CARGA!D:D,tabla!C266,CARGA!C:C,MAESTRO!$B$5)</f>
        <v>0</v>
      </c>
      <c r="G266" s="5">
        <f>+SUMIFS(CARGA!I:I,CARGA!B:B,tabla!A266,CARGA!D:D,tabla!C266)</f>
        <v>0</v>
      </c>
      <c r="H266" s="5">
        <f>+SUMIFS(CARGA!K:K,CARGA!B:B,tabla!A266,CARGA!D:D,tabla!C266)</f>
        <v>0</v>
      </c>
      <c r="I266" s="5">
        <f t="shared" si="61"/>
        <v>0</v>
      </c>
      <c r="J266" s="5">
        <f>-SUMIFS(CARGA!K:K,CARGA!B:B,tabla!A266,CARGA!D:D,tabla!C266,CARGA!C:C,MAESTRO!$B$4)+SUMIFS(CARGA!K:K,CARGA!B:B,tabla!A266,CARGA!D:D,tabla!C266,CARGA!C:C,MAESTRO!$B$5)</f>
        <v>0</v>
      </c>
      <c r="K266" s="5" t="e">
        <f>+VLOOKUP(C266,#REF!,3,FALSE)</f>
        <v>#REF!</v>
      </c>
      <c r="L266" s="5" t="e">
        <f t="shared" si="62"/>
        <v>#REF!</v>
      </c>
      <c r="M266" s="5" t="e">
        <f t="shared" si="63"/>
        <v>#REF!</v>
      </c>
      <c r="N266" s="5" t="str">
        <f t="shared" si="64"/>
        <v>NO</v>
      </c>
      <c r="O266" s="5">
        <f>+VLOOKUP(C266,[2]Fondos!$F:$J,5,FALSE)</f>
        <v>4553606100</v>
      </c>
      <c r="P266" s="13">
        <f>+VLOOKUP(C266,[2]Fondos!$F:$K,6,FALSE)</f>
        <v>0.23939009999999999</v>
      </c>
      <c r="Q266" s="13">
        <f t="shared" si="65"/>
        <v>0</v>
      </c>
      <c r="R266" s="10">
        <f>+IF(Q266&gt;MAESTRO!$G$6,0,1)</f>
        <v>1</v>
      </c>
      <c r="S266">
        <f>+IF(P266&lt;MAESTRO!$G$8,0,1)</f>
        <v>1</v>
      </c>
      <c r="T266" s="10">
        <f t="shared" si="66"/>
        <v>2</v>
      </c>
      <c r="U266" t="str">
        <f>+IF(R266+S266=2,MAESTRO!$G$2,IF(R266+S266=0,MAESTRO!$G$5,IF(R266=0,MAESTRO!$G$3,IF(S266=0,MAESTRO!$G$4,))))</f>
        <v>cumple politica</v>
      </c>
    </row>
    <row r="267" spans="1:21" s="11" customFormat="1" x14ac:dyDescent="0.3">
      <c r="A267" s="11" t="s">
        <v>120</v>
      </c>
      <c r="B267" t="s">
        <v>23</v>
      </c>
      <c r="C267" t="s">
        <v>57</v>
      </c>
      <c r="D267" t="s">
        <v>82</v>
      </c>
      <c r="E267" s="24">
        <f t="shared" si="60"/>
        <v>0</v>
      </c>
      <c r="F267" s="22">
        <f>-SUMIFS(CARGA!I:I,CARGA!B:B,tabla!A267,CARGA!D:D,tabla!C267,CARGA!C:C,MAESTRO!$B$4)-SUMIFS(CARGA!I:I,CARGA!B:B,tabla!A267,CARGA!D:D,tabla!C267,CARGA!C:C,MAESTRO!$B$5)</f>
        <v>0</v>
      </c>
      <c r="G267" s="5">
        <f>+SUMIFS(CARGA!I:I,CARGA!B:B,tabla!A267,CARGA!D:D,tabla!C267)</f>
        <v>0</v>
      </c>
      <c r="H267" s="5">
        <f>+SUMIFS(CARGA!K:K,CARGA!B:B,tabla!A267,CARGA!D:D,tabla!C267)</f>
        <v>0</v>
      </c>
      <c r="I267" s="5">
        <f t="shared" si="61"/>
        <v>0</v>
      </c>
      <c r="J267" s="5">
        <f>-SUMIFS(CARGA!K:K,CARGA!B:B,tabla!A267,CARGA!D:D,tabla!C267,CARGA!C:C,MAESTRO!$B$4)+SUMIFS(CARGA!K:K,CARGA!B:B,tabla!A267,CARGA!D:D,tabla!C267,CARGA!C:C,MAESTRO!$B$5)</f>
        <v>0</v>
      </c>
      <c r="K267" s="5" t="e">
        <f>+VLOOKUP(C267,#REF!,3,FALSE)</f>
        <v>#REF!</v>
      </c>
      <c r="L267" s="5" t="e">
        <f t="shared" si="62"/>
        <v>#REF!</v>
      </c>
      <c r="M267" s="5" t="e">
        <f t="shared" si="63"/>
        <v>#REF!</v>
      </c>
      <c r="N267" s="5" t="str">
        <f t="shared" si="64"/>
        <v>NO</v>
      </c>
      <c r="O267" s="5">
        <f>+VLOOKUP(C267,[2]Fondos!$F:$J,5,FALSE)</f>
        <v>35515968834</v>
      </c>
      <c r="P267" s="13">
        <f>+VLOOKUP(C267,[2]Fondos!$F:$K,6,FALSE)</f>
        <v>0.26896760000000003</v>
      </c>
      <c r="Q267" s="13">
        <f t="shared" si="65"/>
        <v>0</v>
      </c>
      <c r="R267" s="10">
        <f>+IF(Q267&gt;MAESTRO!$G$6,0,1)</f>
        <v>1</v>
      </c>
      <c r="S267">
        <f>+IF(P267&lt;MAESTRO!$G$8,0,1)</f>
        <v>1</v>
      </c>
      <c r="T267" s="10">
        <f t="shared" si="66"/>
        <v>2</v>
      </c>
      <c r="U267" t="str">
        <f>+IF(R267+S267=2,MAESTRO!$G$2,IF(R267+S267=0,MAESTRO!$G$5,IF(R267=0,MAESTRO!$G$3,IF(S267=0,MAESTRO!$G$4,))))</f>
        <v>cumple politica</v>
      </c>
    </row>
    <row r="268" spans="1:21" s="11" customFormat="1" x14ac:dyDescent="0.3">
      <c r="A268" s="11" t="s">
        <v>120</v>
      </c>
      <c r="B268" t="s">
        <v>140</v>
      </c>
      <c r="C268" t="s">
        <v>138</v>
      </c>
      <c r="D268" t="s">
        <v>82</v>
      </c>
      <c r="E268" s="24">
        <f t="shared" si="60"/>
        <v>0</v>
      </c>
      <c r="F268" s="22">
        <f>-SUMIFS(CARGA!I:I,CARGA!B:B,tabla!A268,CARGA!D:D,tabla!C268,CARGA!C:C,MAESTRO!$B$4)-SUMIFS(CARGA!I:I,CARGA!B:B,tabla!A268,CARGA!D:D,tabla!C268,CARGA!C:C,MAESTRO!$B$5)</f>
        <v>0</v>
      </c>
      <c r="G268" s="5">
        <f>+SUMIFS(CARGA!I:I,CARGA!B:B,tabla!A268,CARGA!D:D,tabla!C268)</f>
        <v>0</v>
      </c>
      <c r="H268" s="5">
        <f>+SUMIFS(CARGA!K:K,CARGA!B:B,tabla!A268,CARGA!D:D,tabla!C268)</f>
        <v>0</v>
      </c>
      <c r="I268" s="5">
        <f t="shared" si="61"/>
        <v>0</v>
      </c>
      <c r="J268" s="5">
        <f>-SUMIFS(CARGA!K:K,CARGA!B:B,tabla!A268,CARGA!D:D,tabla!C268,CARGA!C:C,MAESTRO!$B$4)+SUMIFS(CARGA!K:K,CARGA!B:B,tabla!A268,CARGA!D:D,tabla!C268,CARGA!C:C,MAESTRO!$B$5)</f>
        <v>0</v>
      </c>
      <c r="K268" s="5" t="e">
        <f>+VLOOKUP(C268,#REF!,3,FALSE)</f>
        <v>#REF!</v>
      </c>
      <c r="L268" s="5" t="e">
        <f t="shared" si="62"/>
        <v>#REF!</v>
      </c>
      <c r="M268" s="5" t="e">
        <f t="shared" si="63"/>
        <v>#REF!</v>
      </c>
      <c r="N268" s="5" t="str">
        <f t="shared" si="64"/>
        <v>NO</v>
      </c>
      <c r="O268" s="5" t="e">
        <f>+VLOOKUP(C268,[2]Fondos!$F:$J,5,FALSE)</f>
        <v>#N/A</v>
      </c>
      <c r="P268" s="13" t="e">
        <f>+VLOOKUP(C268,[2]Fondos!$F:$K,6,FALSE)</f>
        <v>#N/A</v>
      </c>
      <c r="Q268" s="13" t="e">
        <f t="shared" si="65"/>
        <v>#N/A</v>
      </c>
      <c r="R268" s="10" t="e">
        <f>+IF(Q268&gt;MAESTRO!$G$6,0,1)</f>
        <v>#N/A</v>
      </c>
      <c r="S268" t="e">
        <f>+IF(P268&lt;MAESTRO!$G$8,0,1)</f>
        <v>#N/A</v>
      </c>
      <c r="T268" s="10" t="e">
        <f t="shared" si="66"/>
        <v>#N/A</v>
      </c>
      <c r="U268" t="e">
        <f>+IF(R268+S268=2,MAESTRO!$G$2,IF(R268+S268=0,MAESTRO!$G$5,IF(R268=0,MAESTRO!$G$3,IF(S268=0,MAESTRO!$G$4,))))</f>
        <v>#N/A</v>
      </c>
    </row>
    <row r="269" spans="1:21" s="11" customFormat="1" x14ac:dyDescent="0.3">
      <c r="A269" s="11" t="s">
        <v>120</v>
      </c>
      <c r="B269" t="s">
        <v>140</v>
      </c>
      <c r="C269" t="s">
        <v>139</v>
      </c>
      <c r="D269" t="s">
        <v>81</v>
      </c>
      <c r="E269" s="24">
        <f t="shared" si="60"/>
        <v>0</v>
      </c>
      <c r="F269" s="22">
        <f>-SUMIFS(CARGA!I:I,CARGA!B:B,tabla!A269,CARGA!D:D,tabla!C269,CARGA!C:C,MAESTRO!$B$4)-SUMIFS(CARGA!I:I,CARGA!B:B,tabla!A269,CARGA!D:D,tabla!C269,CARGA!C:C,MAESTRO!$B$5)</f>
        <v>0</v>
      </c>
      <c r="G269" s="5">
        <f>+SUMIFS(CARGA!I:I,CARGA!B:B,tabla!A269,CARGA!D:D,tabla!C269)</f>
        <v>0</v>
      </c>
      <c r="H269" s="5">
        <f>+SUMIFS(CARGA!K:K,CARGA!B:B,tabla!A269,CARGA!D:D,tabla!C269)</f>
        <v>0</v>
      </c>
      <c r="I269" s="5">
        <f t="shared" si="61"/>
        <v>0</v>
      </c>
      <c r="J269" s="5">
        <f>-SUMIFS(CARGA!K:K,CARGA!B:B,tabla!A269,CARGA!D:D,tabla!C269,CARGA!C:C,MAESTRO!$B$4)+SUMIFS(CARGA!K:K,CARGA!B:B,tabla!A269,CARGA!D:D,tabla!C269,CARGA!C:C,MAESTRO!$B$5)</f>
        <v>0</v>
      </c>
      <c r="K269" s="5" t="e">
        <f>+VLOOKUP(C269,#REF!,3,FALSE)</f>
        <v>#REF!</v>
      </c>
      <c r="L269" s="5" t="e">
        <f t="shared" si="62"/>
        <v>#REF!</v>
      </c>
      <c r="M269" s="5" t="e">
        <f t="shared" si="63"/>
        <v>#REF!</v>
      </c>
      <c r="N269" s="5" t="str">
        <f t="shared" si="64"/>
        <v>NO</v>
      </c>
      <c r="O269" s="5" t="e">
        <f>+VLOOKUP(C269,[2]Fondos!$F:$J,5,FALSE)</f>
        <v>#N/A</v>
      </c>
      <c r="P269" s="13" t="e">
        <f>+VLOOKUP(C269,[2]Fondos!$F:$K,6,FALSE)</f>
        <v>#N/A</v>
      </c>
      <c r="Q269" s="13" t="e">
        <f t="shared" si="65"/>
        <v>#N/A</v>
      </c>
      <c r="R269" s="10" t="e">
        <f>+IF(Q269&gt;MAESTRO!$G$6,0,1)</f>
        <v>#N/A</v>
      </c>
      <c r="S269" t="e">
        <f>+IF(P269&lt;MAESTRO!$G$8,0,1)</f>
        <v>#N/A</v>
      </c>
      <c r="T269" s="10" t="e">
        <f t="shared" si="66"/>
        <v>#N/A</v>
      </c>
      <c r="U269" t="e">
        <f>+IF(R269+S269=2,MAESTRO!$G$2,IF(R269+S269=0,MAESTRO!$G$5,IF(R269=0,MAESTRO!$G$3,IF(S269=0,MAESTRO!$G$4,))))</f>
        <v>#N/A</v>
      </c>
    </row>
    <row r="270" spans="1:21" s="11" customFormat="1" x14ac:dyDescent="0.3">
      <c r="A270" s="11" t="s">
        <v>120</v>
      </c>
      <c r="B270" t="s">
        <v>134</v>
      </c>
      <c r="C270" t="s">
        <v>136</v>
      </c>
      <c r="D270" t="s">
        <v>81</v>
      </c>
      <c r="E270" s="24">
        <f t="shared" si="60"/>
        <v>0</v>
      </c>
      <c r="F270" s="22">
        <f>-SUMIFS(CARGA!I:I,CARGA!B:B,tabla!A270,CARGA!D:D,tabla!C270,CARGA!C:C,MAESTRO!$B$4)-SUMIFS(CARGA!I:I,CARGA!B:B,tabla!A270,CARGA!D:D,tabla!C270,CARGA!C:C,MAESTRO!$B$5)</f>
        <v>0</v>
      </c>
      <c r="G270" s="5">
        <f>+SUMIFS(CARGA!I:I,CARGA!B:B,tabla!A270,CARGA!D:D,tabla!C270)</f>
        <v>0</v>
      </c>
      <c r="H270" s="5">
        <f>+SUMIFS(CARGA!K:K,CARGA!B:B,tabla!A270,CARGA!D:D,tabla!C270)</f>
        <v>0</v>
      </c>
      <c r="I270" s="5">
        <f t="shared" si="61"/>
        <v>0</v>
      </c>
      <c r="J270" s="5">
        <f>-SUMIFS(CARGA!K:K,CARGA!B:B,tabla!A270,CARGA!D:D,tabla!C270,CARGA!C:C,MAESTRO!$B$4)+SUMIFS(CARGA!K:K,CARGA!B:B,tabla!A270,CARGA!D:D,tabla!C270,CARGA!C:C,MAESTRO!$B$5)</f>
        <v>0</v>
      </c>
      <c r="K270" s="5" t="e">
        <f>+VLOOKUP(C270,#REF!,3,FALSE)</f>
        <v>#REF!</v>
      </c>
      <c r="L270" s="5" t="e">
        <f t="shared" si="62"/>
        <v>#REF!</v>
      </c>
      <c r="M270" s="5" t="e">
        <f t="shared" si="63"/>
        <v>#REF!</v>
      </c>
      <c r="N270" s="5" t="str">
        <f t="shared" si="64"/>
        <v>NO</v>
      </c>
      <c r="O270" s="5" t="e">
        <f>+VLOOKUP(C270,[2]Fondos!$F:$J,5,FALSE)</f>
        <v>#N/A</v>
      </c>
      <c r="P270" s="13" t="e">
        <f>+VLOOKUP(C270,[2]Fondos!$F:$K,6,FALSE)</f>
        <v>#N/A</v>
      </c>
      <c r="Q270" s="13" t="e">
        <f t="shared" si="65"/>
        <v>#N/A</v>
      </c>
      <c r="R270" s="10" t="e">
        <f>+IF(Q270&gt;MAESTRO!$G$6,0,1)</f>
        <v>#N/A</v>
      </c>
      <c r="S270" t="e">
        <f>+IF(P270&lt;MAESTRO!$G$8,0,1)</f>
        <v>#N/A</v>
      </c>
      <c r="T270" s="10" t="e">
        <f t="shared" si="66"/>
        <v>#N/A</v>
      </c>
      <c r="U270" t="e">
        <f>+IF(R270+S270=2,MAESTRO!$G$2,IF(R270+S270=0,MAESTRO!$G$5,IF(R270=0,MAESTRO!$G$3,IF(S270=0,MAESTRO!$G$4,))))</f>
        <v>#N/A</v>
      </c>
    </row>
    <row r="271" spans="1:21" s="11" customFormat="1" x14ac:dyDescent="0.3">
      <c r="A271" s="11" t="s">
        <v>120</v>
      </c>
      <c r="B271" t="s">
        <v>134</v>
      </c>
      <c r="C271" t="s">
        <v>135</v>
      </c>
      <c r="D271" t="s">
        <v>82</v>
      </c>
      <c r="E271" s="24">
        <f t="shared" si="60"/>
        <v>0</v>
      </c>
      <c r="F271" s="22">
        <f>-SUMIFS(CARGA!I:I,CARGA!B:B,tabla!A271,CARGA!D:D,tabla!C271,CARGA!C:C,MAESTRO!$B$4)-SUMIFS(CARGA!I:I,CARGA!B:B,tabla!A271,CARGA!D:D,tabla!C271,CARGA!C:C,MAESTRO!$B$5)</f>
        <v>0</v>
      </c>
      <c r="G271" s="5">
        <f>+SUMIFS(CARGA!I:I,CARGA!B:B,tabla!A271,CARGA!D:D,tabla!C271)</f>
        <v>0</v>
      </c>
      <c r="H271" s="5">
        <f>+SUMIFS(CARGA!K:K,CARGA!B:B,tabla!A271,CARGA!D:D,tabla!C271)</f>
        <v>0</v>
      </c>
      <c r="I271" s="5">
        <f t="shared" si="61"/>
        <v>0</v>
      </c>
      <c r="J271" s="5">
        <f>-SUMIFS(CARGA!K:K,CARGA!B:B,tabla!A271,CARGA!D:D,tabla!C271,CARGA!C:C,MAESTRO!$B$4)+SUMIFS(CARGA!K:K,CARGA!B:B,tabla!A271,CARGA!D:D,tabla!C271,CARGA!C:C,MAESTRO!$B$5)</f>
        <v>0</v>
      </c>
      <c r="K271" s="5" t="e">
        <f>+VLOOKUP(C271,#REF!,3,FALSE)</f>
        <v>#REF!</v>
      </c>
      <c r="L271" s="5" t="e">
        <f t="shared" si="62"/>
        <v>#REF!</v>
      </c>
      <c r="M271" s="5" t="e">
        <f t="shared" si="63"/>
        <v>#REF!</v>
      </c>
      <c r="N271" s="5" t="str">
        <f t="shared" si="64"/>
        <v>NO</v>
      </c>
      <c r="O271" s="5" t="e">
        <f>+VLOOKUP(C271,[2]Fondos!$F:$J,5,FALSE)</f>
        <v>#N/A</v>
      </c>
      <c r="P271" s="13" t="e">
        <f>+VLOOKUP(C271,[2]Fondos!$F:$K,6,FALSE)</f>
        <v>#N/A</v>
      </c>
      <c r="Q271" s="13" t="e">
        <f t="shared" si="65"/>
        <v>#N/A</v>
      </c>
      <c r="R271" s="10" t="e">
        <f>+IF(Q271&gt;MAESTRO!$G$6,0,1)</f>
        <v>#N/A</v>
      </c>
      <c r="S271" t="e">
        <f>+IF(P271&lt;MAESTRO!$G$8,0,1)</f>
        <v>#N/A</v>
      </c>
      <c r="T271" s="10" t="e">
        <f t="shared" si="66"/>
        <v>#N/A</v>
      </c>
      <c r="U271" t="e">
        <f>+IF(R271+S271=2,MAESTRO!$G$2,IF(R271+S271=0,MAESTRO!$G$5,IF(R271=0,MAESTRO!$G$3,IF(S271=0,MAESTRO!$G$4,))))</f>
        <v>#N/A</v>
      </c>
    </row>
    <row r="272" spans="1:21" s="11" customFormat="1" x14ac:dyDescent="0.3">
      <c r="B272"/>
      <c r="C272"/>
      <c r="D272" s="7"/>
      <c r="E272" s="24"/>
      <c r="F272" s="22"/>
      <c r="G272" s="5"/>
      <c r="H272" s="5"/>
      <c r="I272" s="5"/>
      <c r="J272" s="5"/>
      <c r="K272" s="5"/>
      <c r="L272" s="5"/>
      <c r="M272" s="5"/>
      <c r="N272" s="5"/>
      <c r="O272" s="5"/>
      <c r="P272" s="13"/>
      <c r="Q272" s="13"/>
      <c r="R272" s="10"/>
      <c r="S272"/>
      <c r="T272" s="10"/>
      <c r="U272"/>
    </row>
    <row r="273" spans="1:21" x14ac:dyDescent="0.3">
      <c r="A273" t="s">
        <v>15</v>
      </c>
      <c r="B273" t="s">
        <v>31</v>
      </c>
      <c r="C273" s="7" t="s">
        <v>50</v>
      </c>
      <c r="D273" t="s">
        <v>81</v>
      </c>
      <c r="E273" s="24">
        <f t="shared" ref="E273:E317" si="67">+F273+G273</f>
        <v>0</v>
      </c>
      <c r="F273" s="22">
        <f>-SUMIFS(CARGA!I:I,CARGA!B:B,tabla!A273,CARGA!D:D,tabla!C273,CARGA!C:C,MAESTRO!$B$4)-SUMIFS(CARGA!I:I,CARGA!B:B,tabla!A273,CARGA!D:D,tabla!C273,CARGA!C:C,MAESTRO!$B$5)</f>
        <v>0</v>
      </c>
      <c r="G273" s="5">
        <f>+SUMIFS(CARGA!I:I,CARGA!B:B,tabla!A273,CARGA!D:D,tabla!C273)</f>
        <v>0</v>
      </c>
      <c r="H273" s="5">
        <f>+SUMIFS(CARGA!K:K,CARGA!B:B,tabla!A273,CARGA!D:D,tabla!C273)</f>
        <v>0</v>
      </c>
      <c r="I273" s="5">
        <f t="shared" ref="I273:I322" si="68">+H273+J273</f>
        <v>0</v>
      </c>
      <c r="J273" s="5">
        <f>-SUMIFS(CARGA!K:K,CARGA!B:B,tabla!A273,CARGA!D:D,tabla!C273,CARGA!C:C,MAESTRO!$B$4)+SUMIFS(CARGA!K:K,CARGA!B:B,tabla!A273,CARGA!D:D,tabla!C273,CARGA!C:C,MAESTRO!$B$5)</f>
        <v>0</v>
      </c>
      <c r="K273" s="5" t="e">
        <f>+VLOOKUP(C273,#REF!,3,FALSE)</f>
        <v>#REF!</v>
      </c>
      <c r="L273" s="5" t="e">
        <f t="shared" ref="L273:L322" si="69">+K273*I273</f>
        <v>#REF!</v>
      </c>
      <c r="M273" s="5" t="e">
        <f t="shared" ref="M273:M322" si="70">+K273*J273</f>
        <v>#REF!</v>
      </c>
      <c r="N273" s="5" t="str">
        <f t="shared" ref="N273:N317" si="71">+IF(G273+F273=0,"NO","SI")</f>
        <v>NO</v>
      </c>
      <c r="O273" s="5">
        <f>+VLOOKUP(C273,[2]Fondos!$F:$J,5,FALSE)</f>
        <v>1817778903</v>
      </c>
      <c r="P273" s="13">
        <f>+VLOOKUP(C273,[2]Fondos!$F:$K,6,FALSE)</f>
        <v>0.23246230000000001</v>
      </c>
      <c r="Q273" s="13">
        <f t="shared" ref="Q273:Q317" si="72">+G273/O273</f>
        <v>0</v>
      </c>
      <c r="R273" s="10">
        <f>+IF(Q273&gt;MAESTRO!$G$6,0,1)</f>
        <v>1</v>
      </c>
      <c r="S273">
        <f>+IF(P273&lt;MAESTRO!$G$8,0,1)</f>
        <v>1</v>
      </c>
      <c r="T273" s="10">
        <f>+R273+S273</f>
        <v>2</v>
      </c>
      <c r="U273" t="str">
        <f>+IF(R273+S273=2,MAESTRO!$G$2,IF(R273+S273=0,MAESTRO!$G$5,IF(R273=0,MAESTRO!$G$3,IF(S273=0,MAESTRO!$G$4,))))</f>
        <v>cumple politica</v>
      </c>
    </row>
    <row r="274" spans="1:21" x14ac:dyDescent="0.3">
      <c r="A274" t="s">
        <v>15</v>
      </c>
      <c r="B274" t="s">
        <v>31</v>
      </c>
      <c r="C274" s="7" t="s">
        <v>70</v>
      </c>
      <c r="D274" t="s">
        <v>82</v>
      </c>
      <c r="E274" s="24">
        <f t="shared" si="67"/>
        <v>0</v>
      </c>
      <c r="F274" s="22">
        <f>-SUMIFS(CARGA!I:I,CARGA!B:B,tabla!A274,CARGA!D:D,tabla!C274,CARGA!C:C,MAESTRO!$B$4)-SUMIFS(CARGA!I:I,CARGA!B:B,tabla!A274,CARGA!D:D,tabla!C274,CARGA!C:C,MAESTRO!$B$5)</f>
        <v>0</v>
      </c>
      <c r="G274" s="5">
        <f>+SUMIFS(CARGA!I:I,CARGA!B:B,tabla!A274,CARGA!D:D,tabla!C274)</f>
        <v>0</v>
      </c>
      <c r="H274" s="5">
        <f>+SUMIFS(CARGA!K:K,CARGA!B:B,tabla!A274,CARGA!D:D,tabla!C274)</f>
        <v>0</v>
      </c>
      <c r="I274" s="5">
        <f t="shared" si="68"/>
        <v>0</v>
      </c>
      <c r="J274" s="5">
        <f>-SUMIFS(CARGA!K:K,CARGA!B:B,tabla!A274,CARGA!D:D,tabla!C274,CARGA!C:C,MAESTRO!$B$4)+SUMIFS(CARGA!K:K,CARGA!B:B,tabla!A274,CARGA!D:D,tabla!C274,CARGA!C:C,MAESTRO!$B$5)</f>
        <v>0</v>
      </c>
      <c r="K274" s="5" t="e">
        <f>+VLOOKUP(C274,#REF!,3,FALSE)</f>
        <v>#REF!</v>
      </c>
      <c r="L274" s="5" t="e">
        <f t="shared" si="69"/>
        <v>#REF!</v>
      </c>
      <c r="M274" s="5" t="e">
        <f t="shared" si="70"/>
        <v>#REF!</v>
      </c>
      <c r="N274" s="5" t="str">
        <f t="shared" si="71"/>
        <v>NO</v>
      </c>
      <c r="O274" s="5">
        <f>+VLOOKUP(C274,[2]Fondos!$F:$J,5,FALSE)</f>
        <v>6506463370</v>
      </c>
      <c r="P274" s="13" t="e">
        <f>+VLOOKUP(C274,[2]Fondos!$F:$K,6,FALSE)</f>
        <v>#VALUE!</v>
      </c>
      <c r="Q274" s="13">
        <f t="shared" si="72"/>
        <v>0</v>
      </c>
      <c r="R274" s="10">
        <f>+IF(Q274&gt;MAESTRO!$G$6,0,1)</f>
        <v>1</v>
      </c>
      <c r="S274" t="e">
        <f>+IF(P274&lt;MAESTRO!$G$8,0,1)</f>
        <v>#VALUE!</v>
      </c>
      <c r="T274" s="10" t="e">
        <f t="shared" ref="T274:T317" si="73">+R274+S274</f>
        <v>#VALUE!</v>
      </c>
      <c r="U274" t="e">
        <f>+IF(R274+S274=2,MAESTRO!$G$2,IF(R274+S274=0,MAESTRO!$G$5,IF(R274=0,MAESTRO!$G$3,IF(S274=0,MAESTRO!$G$4,))))</f>
        <v>#VALUE!</v>
      </c>
    </row>
    <row r="275" spans="1:21" x14ac:dyDescent="0.3">
      <c r="A275" t="s">
        <v>15</v>
      </c>
      <c r="B275" t="s">
        <v>31</v>
      </c>
      <c r="C275" s="7" t="s">
        <v>69</v>
      </c>
      <c r="D275" t="s">
        <v>82</v>
      </c>
      <c r="E275" s="24">
        <f t="shared" si="67"/>
        <v>0</v>
      </c>
      <c r="F275" s="22">
        <f>-SUMIFS(CARGA!I:I,CARGA!B:B,tabla!A275,CARGA!D:D,tabla!C275,CARGA!C:C,MAESTRO!$B$4)-SUMIFS(CARGA!I:I,CARGA!B:B,tabla!A275,CARGA!D:D,tabla!C275,CARGA!C:C,MAESTRO!$B$5)</f>
        <v>0</v>
      </c>
      <c r="G275" s="5">
        <f>+SUMIFS(CARGA!I:I,CARGA!B:B,tabla!A275,CARGA!D:D,tabla!C275)</f>
        <v>0</v>
      </c>
      <c r="H275" s="5">
        <f>+SUMIFS(CARGA!K:K,CARGA!B:B,tabla!A275,CARGA!D:D,tabla!C275)</f>
        <v>0</v>
      </c>
      <c r="I275" s="5">
        <f t="shared" si="68"/>
        <v>0</v>
      </c>
      <c r="J275" s="5">
        <f>-SUMIFS(CARGA!K:K,CARGA!B:B,tabla!A275,CARGA!D:D,tabla!C275,CARGA!C:C,MAESTRO!$B$4)+SUMIFS(CARGA!K:K,CARGA!B:B,tabla!A275,CARGA!D:D,tabla!C275,CARGA!C:C,MAESTRO!$B$5)</f>
        <v>0</v>
      </c>
      <c r="K275" s="5" t="e">
        <f>+VLOOKUP(C275,#REF!,3,FALSE)</f>
        <v>#REF!</v>
      </c>
      <c r="L275" s="5" t="e">
        <f t="shared" si="69"/>
        <v>#REF!</v>
      </c>
      <c r="M275" s="5" t="e">
        <f t="shared" si="70"/>
        <v>#REF!</v>
      </c>
      <c r="N275" s="5" t="str">
        <f t="shared" si="71"/>
        <v>NO</v>
      </c>
      <c r="O275" s="5">
        <f>+VLOOKUP(C275,[2]Fondos!$F:$J,5,FALSE)</f>
        <v>39848036</v>
      </c>
      <c r="P275" s="13" t="e">
        <f>+VLOOKUP(C275,[2]Fondos!$F:$K,6,FALSE)</f>
        <v>#VALUE!</v>
      </c>
      <c r="Q275" s="13">
        <f t="shared" si="72"/>
        <v>0</v>
      </c>
      <c r="R275" s="10">
        <f>+IF(Q275&gt;MAESTRO!$G$6,0,1)</f>
        <v>1</v>
      </c>
      <c r="S275" t="e">
        <f>+IF(P275&lt;MAESTRO!$G$8,0,1)</f>
        <v>#VALUE!</v>
      </c>
      <c r="T275" s="10" t="e">
        <f t="shared" si="73"/>
        <v>#VALUE!</v>
      </c>
      <c r="U275" t="e">
        <f>+IF(R275+S275=2,MAESTRO!$G$2,IF(R275+S275=0,MAESTRO!$G$5,IF(R275=0,MAESTRO!$G$3,IF(S275=0,MAESTRO!$G$4,))))</f>
        <v>#VALUE!</v>
      </c>
    </row>
    <row r="276" spans="1:21" x14ac:dyDescent="0.3">
      <c r="A276" t="s">
        <v>15</v>
      </c>
      <c r="B276" t="s">
        <v>33</v>
      </c>
      <c r="C276" s="7" t="s">
        <v>52</v>
      </c>
      <c r="D276" t="s">
        <v>81</v>
      </c>
      <c r="E276" s="24">
        <f t="shared" si="67"/>
        <v>0</v>
      </c>
      <c r="F276" s="22">
        <f>-SUMIFS(CARGA!I:I,CARGA!B:B,tabla!A276,CARGA!D:D,tabla!C276,CARGA!C:C,MAESTRO!$B$4)-SUMIFS(CARGA!I:I,CARGA!B:B,tabla!A276,CARGA!D:D,tabla!C276,CARGA!C:C,MAESTRO!$B$5)</f>
        <v>0</v>
      </c>
      <c r="G276" s="5">
        <f>+SUMIFS(CARGA!I:I,CARGA!B:B,tabla!A276,CARGA!D:D,tabla!C276)</f>
        <v>0</v>
      </c>
      <c r="H276" s="5">
        <f>+SUMIFS(CARGA!K:K,CARGA!B:B,tabla!A276,CARGA!D:D,tabla!C276)</f>
        <v>0</v>
      </c>
      <c r="I276" s="5">
        <f t="shared" si="68"/>
        <v>0</v>
      </c>
      <c r="J276" s="5">
        <f>-SUMIFS(CARGA!K:K,CARGA!B:B,tabla!A276,CARGA!D:D,tabla!C276,CARGA!C:C,MAESTRO!$B$4)+SUMIFS(CARGA!K:K,CARGA!B:B,tabla!A276,CARGA!D:D,tabla!C276,CARGA!C:C,MAESTRO!$B$5)</f>
        <v>0</v>
      </c>
      <c r="K276" s="5" t="e">
        <f>+VLOOKUP(C276,#REF!,3,FALSE)</f>
        <v>#REF!</v>
      </c>
      <c r="L276" s="5" t="e">
        <f t="shared" si="69"/>
        <v>#REF!</v>
      </c>
      <c r="M276" s="5" t="e">
        <f t="shared" si="70"/>
        <v>#REF!</v>
      </c>
      <c r="N276" s="5" t="str">
        <f t="shared" si="71"/>
        <v>NO</v>
      </c>
      <c r="O276" s="5">
        <f>+VLOOKUP(C276,[2]Fondos!$F:$J,5,FALSE)</f>
        <v>3875956517</v>
      </c>
      <c r="P276" s="13">
        <f>+VLOOKUP(C276,[2]Fondos!$F:$K,6,FALSE)</f>
        <v>0.23267859999999999</v>
      </c>
      <c r="Q276" s="13">
        <f t="shared" si="72"/>
        <v>0</v>
      </c>
      <c r="R276" s="10">
        <f>+IF(Q276&gt;MAESTRO!$G$6,0,1)</f>
        <v>1</v>
      </c>
      <c r="S276">
        <f>+IF(P276&lt;MAESTRO!$G$8,0,1)</f>
        <v>1</v>
      </c>
      <c r="T276" s="10">
        <f t="shared" si="73"/>
        <v>2</v>
      </c>
      <c r="U276" t="str">
        <f>+IF(R276+S276=2,MAESTRO!$G$2,IF(R276+S276=0,MAESTRO!$G$5,IF(R276=0,MAESTRO!$G$3,IF(S276=0,MAESTRO!$G$4,))))</f>
        <v>cumple politica</v>
      </c>
    </row>
    <row r="277" spans="1:21" x14ac:dyDescent="0.3">
      <c r="A277" t="s">
        <v>15</v>
      </c>
      <c r="B277" t="s">
        <v>33</v>
      </c>
      <c r="C277" s="7" t="s">
        <v>74</v>
      </c>
      <c r="D277" t="s">
        <v>82</v>
      </c>
      <c r="E277" s="24">
        <f t="shared" si="67"/>
        <v>0</v>
      </c>
      <c r="F277" s="22">
        <f>-SUMIFS(CARGA!I:I,CARGA!B:B,tabla!A277,CARGA!D:D,tabla!C277,CARGA!C:C,MAESTRO!$B$4)-SUMIFS(CARGA!I:I,CARGA!B:B,tabla!A277,CARGA!D:D,tabla!C277,CARGA!C:C,MAESTRO!$B$5)</f>
        <v>0</v>
      </c>
      <c r="G277" s="5">
        <f>+SUMIFS(CARGA!I:I,CARGA!B:B,tabla!A277,CARGA!D:D,tabla!C277)</f>
        <v>0</v>
      </c>
      <c r="H277" s="5">
        <f>+SUMIFS(CARGA!K:K,CARGA!B:B,tabla!A277,CARGA!D:D,tabla!C277)</f>
        <v>0</v>
      </c>
      <c r="I277" s="5">
        <f t="shared" si="68"/>
        <v>0</v>
      </c>
      <c r="J277" s="5">
        <f>-SUMIFS(CARGA!K:K,CARGA!B:B,tabla!A277,CARGA!D:D,tabla!C277,CARGA!C:C,MAESTRO!$B$4)+SUMIFS(CARGA!K:K,CARGA!B:B,tabla!A277,CARGA!D:D,tabla!C277,CARGA!C:C,MAESTRO!$B$5)</f>
        <v>0</v>
      </c>
      <c r="K277" s="5" t="e">
        <f>+VLOOKUP(C277,#REF!,3,FALSE)</f>
        <v>#REF!</v>
      </c>
      <c r="L277" s="5" t="e">
        <f t="shared" si="69"/>
        <v>#REF!</v>
      </c>
      <c r="M277" s="5" t="e">
        <f t="shared" si="70"/>
        <v>#REF!</v>
      </c>
      <c r="N277" s="5" t="str">
        <f t="shared" si="71"/>
        <v>NO</v>
      </c>
      <c r="O277" s="5">
        <f>+VLOOKUP(C277,[2]Fondos!$F:$J,5,FALSE)</f>
        <v>8775783683</v>
      </c>
      <c r="P277" s="13">
        <f>+VLOOKUP(C277,[2]Fondos!$F:$K,6,FALSE)</f>
        <v>0.2640304</v>
      </c>
      <c r="Q277" s="13">
        <f t="shared" si="72"/>
        <v>0</v>
      </c>
      <c r="R277" s="10">
        <f>+IF(Q277&gt;MAESTRO!$G$6,0,1)</f>
        <v>1</v>
      </c>
      <c r="S277">
        <f>+IF(P277&lt;MAESTRO!$G$8,0,1)</f>
        <v>1</v>
      </c>
      <c r="T277" s="10">
        <f t="shared" si="73"/>
        <v>2</v>
      </c>
      <c r="U277" t="str">
        <f>+IF(R277+S277=2,MAESTRO!$G$2,IF(R277+S277=0,MAESTRO!$G$5,IF(R277=0,MAESTRO!$G$3,IF(S277=0,MAESTRO!$G$4,))))</f>
        <v>cumple politica</v>
      </c>
    </row>
    <row r="278" spans="1:21" x14ac:dyDescent="0.3">
      <c r="A278" t="s">
        <v>15</v>
      </c>
      <c r="B278" t="s">
        <v>27</v>
      </c>
      <c r="C278" t="s">
        <v>63</v>
      </c>
      <c r="D278" t="s">
        <v>82</v>
      </c>
      <c r="E278" s="24">
        <f t="shared" si="67"/>
        <v>0</v>
      </c>
      <c r="F278" s="22">
        <f>-SUMIFS(CARGA!I:I,CARGA!B:B,tabla!A278,CARGA!D:D,tabla!C278,CARGA!C:C,MAESTRO!$B$4)-SUMIFS(CARGA!I:I,CARGA!B:B,tabla!A278,CARGA!D:D,tabla!C278,CARGA!C:C,MAESTRO!$B$5)</f>
        <v>0</v>
      </c>
      <c r="G278" s="5">
        <f>+SUMIFS(CARGA!I:I,CARGA!B:B,tabla!A278,CARGA!D:D,tabla!C278)</f>
        <v>0</v>
      </c>
      <c r="H278" s="5">
        <f>+SUMIFS(CARGA!K:K,CARGA!B:B,tabla!A278,CARGA!D:D,tabla!C278)</f>
        <v>0</v>
      </c>
      <c r="I278" s="5">
        <f t="shared" si="68"/>
        <v>0</v>
      </c>
      <c r="J278" s="5">
        <f>-SUMIFS(CARGA!K:K,CARGA!B:B,tabla!A278,CARGA!D:D,tabla!C278,CARGA!C:C,MAESTRO!$B$4)+SUMIFS(CARGA!K:K,CARGA!B:B,tabla!A278,CARGA!D:D,tabla!C278,CARGA!C:C,MAESTRO!$B$5)</f>
        <v>0</v>
      </c>
      <c r="K278" s="5" t="e">
        <f>+VLOOKUP(C278,#REF!,3,FALSE)</f>
        <v>#REF!</v>
      </c>
      <c r="L278" s="5" t="e">
        <f t="shared" si="69"/>
        <v>#REF!</v>
      </c>
      <c r="M278" s="5" t="e">
        <f t="shared" si="70"/>
        <v>#REF!</v>
      </c>
      <c r="N278" s="5" t="str">
        <f t="shared" si="71"/>
        <v>NO</v>
      </c>
      <c r="O278" s="5">
        <f>+VLOOKUP(C278,[2]Fondos!$F:$J,5,FALSE)</f>
        <v>14114977659</v>
      </c>
      <c r="P278" s="13">
        <f>+VLOOKUP(C278,[2]Fondos!$F:$K,6,FALSE)</f>
        <v>0.26056640000000003</v>
      </c>
      <c r="Q278" s="13">
        <f t="shared" si="72"/>
        <v>0</v>
      </c>
      <c r="R278" s="10">
        <f>+IF(Q278&gt;MAESTRO!$G$6,0,1)</f>
        <v>1</v>
      </c>
      <c r="S278">
        <f>+IF(P278&lt;MAESTRO!$G$8,0,1)</f>
        <v>1</v>
      </c>
      <c r="T278" s="10">
        <f t="shared" si="73"/>
        <v>2</v>
      </c>
      <c r="U278" t="str">
        <f>+IF(R278+S278=2,MAESTRO!$G$2,IF(R278+S278=0,MAESTRO!$G$5,IF(R278=0,MAESTRO!$G$3,IF(S278=0,MAESTRO!$G$4,))))</f>
        <v>cumple politica</v>
      </c>
    </row>
    <row r="279" spans="1:21" x14ac:dyDescent="0.3">
      <c r="A279" t="s">
        <v>15</v>
      </c>
      <c r="B279" t="s">
        <v>27</v>
      </c>
      <c r="C279" t="s">
        <v>47</v>
      </c>
      <c r="D279" t="s">
        <v>81</v>
      </c>
      <c r="E279" s="24">
        <f t="shared" si="67"/>
        <v>0</v>
      </c>
      <c r="F279" s="22">
        <f>-SUMIFS(CARGA!I:I,CARGA!B:B,tabla!A279,CARGA!D:D,tabla!C279,CARGA!C:C,MAESTRO!$B$4)-SUMIFS(CARGA!I:I,CARGA!B:B,tabla!A279,CARGA!D:D,tabla!C279,CARGA!C:C,MAESTRO!$B$5)</f>
        <v>0</v>
      </c>
      <c r="G279" s="5">
        <f>+SUMIFS(CARGA!I:I,CARGA!B:B,tabla!A279,CARGA!D:D,tabla!C279)</f>
        <v>0</v>
      </c>
      <c r="H279" s="5">
        <f>+SUMIFS(CARGA!K:K,CARGA!B:B,tabla!A279,CARGA!D:D,tabla!C279)</f>
        <v>0</v>
      </c>
      <c r="I279" s="5">
        <f t="shared" si="68"/>
        <v>0</v>
      </c>
      <c r="J279" s="5">
        <f>-SUMIFS(CARGA!K:K,CARGA!B:B,tabla!A279,CARGA!D:D,tabla!C279,CARGA!C:C,MAESTRO!$B$4)+SUMIFS(CARGA!K:K,CARGA!B:B,tabla!A279,CARGA!D:D,tabla!C279,CARGA!C:C,MAESTRO!$B$5)</f>
        <v>0</v>
      </c>
      <c r="K279" s="5" t="e">
        <f>+VLOOKUP(C279,#REF!,3,FALSE)</f>
        <v>#REF!</v>
      </c>
      <c r="L279" s="5" t="e">
        <f t="shared" si="69"/>
        <v>#REF!</v>
      </c>
      <c r="M279" s="5" t="e">
        <f t="shared" si="70"/>
        <v>#REF!</v>
      </c>
      <c r="N279" s="5" t="str">
        <f t="shared" si="71"/>
        <v>NO</v>
      </c>
      <c r="O279" s="5">
        <f>+VLOOKUP(C279,[2]Fondos!$F:$J,5,FALSE)</f>
        <v>1977335292</v>
      </c>
      <c r="P279" s="13">
        <f>+VLOOKUP(C279,[2]Fondos!$F:$K,6,FALSE)</f>
        <v>0.19354769999999999</v>
      </c>
      <c r="Q279" s="13">
        <f t="shared" si="72"/>
        <v>0</v>
      </c>
      <c r="R279" s="10">
        <f>+IF(Q279&gt;MAESTRO!$G$6,0,1)</f>
        <v>1</v>
      </c>
      <c r="S279">
        <f>+IF(P279&lt;MAESTRO!$G$8,0,1)</f>
        <v>1</v>
      </c>
      <c r="T279" s="10">
        <f t="shared" si="73"/>
        <v>2</v>
      </c>
      <c r="U279" t="str">
        <f>+IF(R279+S279=2,MAESTRO!$G$2,IF(R279+S279=0,MAESTRO!$G$5,IF(R279=0,MAESTRO!$G$3,IF(S279=0,MAESTRO!$G$4,))))</f>
        <v>cumple politica</v>
      </c>
    </row>
    <row r="280" spans="1:21" x14ac:dyDescent="0.3">
      <c r="A280" t="s">
        <v>15</v>
      </c>
      <c r="B280" t="s">
        <v>27</v>
      </c>
      <c r="C280" t="s">
        <v>42</v>
      </c>
      <c r="D280" t="s">
        <v>81</v>
      </c>
      <c r="E280" s="24">
        <f t="shared" si="67"/>
        <v>0</v>
      </c>
      <c r="F280" s="22">
        <f>-SUMIFS(CARGA!I:I,CARGA!B:B,tabla!A280,CARGA!D:D,tabla!C280,CARGA!C:C,MAESTRO!$B$4)-SUMIFS(CARGA!I:I,CARGA!B:B,tabla!A280,CARGA!D:D,tabla!C280,CARGA!C:C,MAESTRO!$B$5)</f>
        <v>0</v>
      </c>
      <c r="G280" s="5">
        <f>+SUMIFS(CARGA!I:I,CARGA!B:B,tabla!A280,CARGA!D:D,tabla!C280)</f>
        <v>0</v>
      </c>
      <c r="H280" s="5">
        <f>+SUMIFS(CARGA!K:K,CARGA!B:B,tabla!A280,CARGA!D:D,tabla!C280)</f>
        <v>0</v>
      </c>
      <c r="I280" s="5">
        <f t="shared" si="68"/>
        <v>0</v>
      </c>
      <c r="J280" s="5">
        <f>-SUMIFS(CARGA!K:K,CARGA!B:B,tabla!A280,CARGA!D:D,tabla!C280,CARGA!C:C,MAESTRO!$B$4)+SUMIFS(CARGA!K:K,CARGA!B:B,tabla!A280,CARGA!D:D,tabla!C280,CARGA!C:C,MAESTRO!$B$5)</f>
        <v>0</v>
      </c>
      <c r="K280" s="5" t="e">
        <f>+VLOOKUP(C280,#REF!,3,FALSE)</f>
        <v>#REF!</v>
      </c>
      <c r="L280" s="5" t="e">
        <f t="shared" si="69"/>
        <v>#REF!</v>
      </c>
      <c r="M280" s="5" t="e">
        <f t="shared" si="70"/>
        <v>#REF!</v>
      </c>
      <c r="N280" s="5" t="str">
        <f t="shared" si="71"/>
        <v>NO</v>
      </c>
      <c r="O280" s="5">
        <f>+VLOOKUP(C280,[2]Fondos!$F:$J,5,FALSE)</f>
        <v>2171371244</v>
      </c>
      <c r="P280" s="13">
        <f>+VLOOKUP(C280,[2]Fondos!$F:$K,6,FALSE)</f>
        <v>0.2113614</v>
      </c>
      <c r="Q280" s="13">
        <f t="shared" si="72"/>
        <v>0</v>
      </c>
      <c r="R280" s="10">
        <f>+IF(Q280&gt;MAESTRO!$G$6,0,1)</f>
        <v>1</v>
      </c>
      <c r="S280">
        <f>+IF(P280&lt;MAESTRO!$G$8,0,1)</f>
        <v>1</v>
      </c>
      <c r="T280" s="10">
        <f t="shared" si="73"/>
        <v>2</v>
      </c>
      <c r="U280" t="str">
        <f>+IF(R280+S280=2,MAESTRO!$G$2,IF(R280+S280=0,MAESTRO!$G$5,IF(R280=0,MAESTRO!$G$3,IF(S280=0,MAESTRO!$G$4,))))</f>
        <v>cumple politica</v>
      </c>
    </row>
    <row r="281" spans="1:21" x14ac:dyDescent="0.3">
      <c r="A281" t="s">
        <v>15</v>
      </c>
      <c r="B281" t="s">
        <v>27</v>
      </c>
      <c r="C281" t="s">
        <v>78</v>
      </c>
      <c r="D281" t="s">
        <v>82</v>
      </c>
      <c r="E281" s="24">
        <f t="shared" si="67"/>
        <v>0</v>
      </c>
      <c r="F281" s="22">
        <f>-SUMIFS(CARGA!I:I,CARGA!B:B,tabla!A281,CARGA!D:D,tabla!C281,CARGA!C:C,MAESTRO!$B$4)-SUMIFS(CARGA!I:I,CARGA!B:B,tabla!A281,CARGA!D:D,tabla!C281,CARGA!C:C,MAESTRO!$B$5)</f>
        <v>0</v>
      </c>
      <c r="G281" s="5">
        <f>+SUMIFS(CARGA!I:I,CARGA!B:B,tabla!A281,CARGA!D:D,tabla!C281)</f>
        <v>0</v>
      </c>
      <c r="H281" s="5">
        <f>+SUMIFS(CARGA!K:K,CARGA!B:B,tabla!A281,CARGA!D:D,tabla!C281)</f>
        <v>0</v>
      </c>
      <c r="I281" s="5">
        <f t="shared" si="68"/>
        <v>0</v>
      </c>
      <c r="J281" s="5">
        <f>-SUMIFS(CARGA!K:K,CARGA!B:B,tabla!A281,CARGA!D:D,tabla!C281,CARGA!C:C,MAESTRO!$B$4)+SUMIFS(CARGA!K:K,CARGA!B:B,tabla!A281,CARGA!D:D,tabla!C281,CARGA!C:C,MAESTRO!$B$5)</f>
        <v>0</v>
      </c>
      <c r="K281" s="5" t="e">
        <f>+VLOOKUP(C281,#REF!,3,FALSE)</f>
        <v>#REF!</v>
      </c>
      <c r="L281" s="5" t="e">
        <f t="shared" si="69"/>
        <v>#REF!</v>
      </c>
      <c r="M281" s="5" t="e">
        <f t="shared" si="70"/>
        <v>#REF!</v>
      </c>
      <c r="N281" s="5" t="str">
        <f t="shared" si="71"/>
        <v>NO</v>
      </c>
      <c r="O281" s="5">
        <f>+VLOOKUP(C281,[2]Fondos!$F:$J,5,FALSE)</f>
        <v>234619684</v>
      </c>
      <c r="P281" s="13">
        <f>+VLOOKUP(C281,[2]Fondos!$F:$K,6,FALSE)</f>
        <v>0.26737729999999998</v>
      </c>
      <c r="Q281" s="13">
        <f t="shared" si="72"/>
        <v>0</v>
      </c>
      <c r="R281" s="10">
        <f>+IF(Q281&gt;MAESTRO!$G$6,0,1)</f>
        <v>1</v>
      </c>
      <c r="S281">
        <f>+IF(P281&lt;MAESTRO!$G$8,0,1)</f>
        <v>1</v>
      </c>
      <c r="T281" s="10">
        <f t="shared" si="73"/>
        <v>2</v>
      </c>
      <c r="U281" t="str">
        <f>+IF(R281+S281=2,MAESTRO!$G$2,IF(R281+S281=0,MAESTRO!$G$5,IF(R281=0,MAESTRO!$G$3,IF(S281=0,MAESTRO!$G$4,))))</f>
        <v>cumple politica</v>
      </c>
    </row>
    <row r="282" spans="1:21" x14ac:dyDescent="0.3">
      <c r="A282" t="s">
        <v>15</v>
      </c>
      <c r="B282" t="s">
        <v>109</v>
      </c>
      <c r="C282" t="s">
        <v>75</v>
      </c>
      <c r="D282" t="s">
        <v>82</v>
      </c>
      <c r="E282" s="24">
        <f t="shared" si="67"/>
        <v>0</v>
      </c>
      <c r="F282" s="22">
        <f>-SUMIFS(CARGA!I:I,CARGA!B:B,tabla!A282,CARGA!D:D,tabla!C282,CARGA!C:C,MAESTRO!$B$4)-SUMIFS(CARGA!I:I,CARGA!B:B,tabla!A282,CARGA!D:D,tabla!C282,CARGA!C:C,MAESTRO!$B$5)</f>
        <v>0</v>
      </c>
      <c r="G282" s="5">
        <f>+SUMIFS(CARGA!I:I,CARGA!B:B,tabla!A282,CARGA!D:D,tabla!C282)</f>
        <v>0</v>
      </c>
      <c r="H282" s="5">
        <f>+SUMIFS(CARGA!K:K,CARGA!B:B,tabla!A282,CARGA!D:D,tabla!C282)</f>
        <v>0</v>
      </c>
      <c r="I282" s="5">
        <f t="shared" si="68"/>
        <v>0</v>
      </c>
      <c r="J282" s="5">
        <f>-SUMIFS(CARGA!K:K,CARGA!B:B,tabla!A282,CARGA!D:D,tabla!C282,CARGA!C:C,MAESTRO!$B$4)+SUMIFS(CARGA!K:K,CARGA!B:B,tabla!A282,CARGA!D:D,tabla!C282,CARGA!C:C,MAESTRO!$B$5)</f>
        <v>0</v>
      </c>
      <c r="K282" s="5" t="e">
        <f>+VLOOKUP(C282,#REF!,3,FALSE)</f>
        <v>#REF!</v>
      </c>
      <c r="L282" s="5" t="e">
        <f t="shared" si="69"/>
        <v>#REF!</v>
      </c>
      <c r="M282" s="5" t="e">
        <f t="shared" si="70"/>
        <v>#REF!</v>
      </c>
      <c r="N282" s="5" t="str">
        <f t="shared" si="71"/>
        <v>NO</v>
      </c>
      <c r="O282" s="5">
        <f>+VLOOKUP(C282,[2]Fondos!$F:$J,5,FALSE)</f>
        <v>1696672499</v>
      </c>
      <c r="P282" s="13">
        <f>+VLOOKUP(C282,[2]Fondos!$F:$K,6,FALSE)</f>
        <v>0.24191749999999998</v>
      </c>
      <c r="Q282" s="13">
        <f t="shared" si="72"/>
        <v>0</v>
      </c>
      <c r="R282" s="10">
        <f>+IF(Q282&gt;MAESTRO!$G$6,0,1)</f>
        <v>1</v>
      </c>
      <c r="S282">
        <f>+IF(P282&lt;MAESTRO!$G$8,0,1)</f>
        <v>1</v>
      </c>
      <c r="T282" s="10">
        <f t="shared" si="73"/>
        <v>2</v>
      </c>
      <c r="U282" t="str">
        <f>+IF(R282+S282=2,MAESTRO!$G$2,IF(R282+S282=0,MAESTRO!$G$5,IF(R282=0,MAESTRO!$G$3,IF(S282=0,MAESTRO!$G$4,))))</f>
        <v>cumple politica</v>
      </c>
    </row>
    <row r="283" spans="1:21" x14ac:dyDescent="0.3">
      <c r="A283" t="s">
        <v>15</v>
      </c>
      <c r="B283" s="20" t="s">
        <v>35</v>
      </c>
      <c r="C283" s="20" t="s">
        <v>75</v>
      </c>
      <c r="D283" s="20" t="s">
        <v>83</v>
      </c>
      <c r="E283" s="24">
        <f t="shared" si="67"/>
        <v>0</v>
      </c>
      <c r="F283" s="22">
        <f>-SUMIFS(CARGA!I:I,CARGA!B:B,tabla!A283,CARGA!D:D,tabla!C283,CARGA!C:C,MAESTRO!$B$4)-SUMIFS(CARGA!I:I,CARGA!B:B,tabla!A283,CARGA!D:D,tabla!C283,CARGA!C:C,MAESTRO!$B$5)</f>
        <v>0</v>
      </c>
      <c r="G283" s="5">
        <f>+SUMIFS(CARGA!I:I,CARGA!B:B,tabla!A283,CARGA!D:D,tabla!C283)</f>
        <v>0</v>
      </c>
      <c r="H283" s="5">
        <f>+SUMIFS(CARGA!K:K,CARGA!B:B,tabla!A283,CARGA!D:D,tabla!C283)</f>
        <v>0</v>
      </c>
      <c r="I283" s="5">
        <f t="shared" si="68"/>
        <v>0</v>
      </c>
      <c r="J283" s="5">
        <f>-SUMIFS(CARGA!K:K,CARGA!B:B,tabla!A283,CARGA!D:D,tabla!C283,CARGA!C:C,MAESTRO!$B$4)+SUMIFS(CARGA!K:K,CARGA!B:B,tabla!A283,CARGA!D:D,tabla!C283,CARGA!C:C,MAESTRO!$B$5)</f>
        <v>0</v>
      </c>
      <c r="K283" s="5" t="e">
        <f>+VLOOKUP(C283,#REF!,3,FALSE)</f>
        <v>#REF!</v>
      </c>
      <c r="L283" s="5" t="e">
        <f t="shared" si="69"/>
        <v>#REF!</v>
      </c>
      <c r="M283" s="5" t="e">
        <f t="shared" si="70"/>
        <v>#REF!</v>
      </c>
      <c r="N283" s="5" t="str">
        <f t="shared" si="71"/>
        <v>NO</v>
      </c>
      <c r="O283" s="5">
        <f>+VLOOKUP(C283,[2]Fondos!$F:$J,5,FALSE)</f>
        <v>1696672499</v>
      </c>
      <c r="P283" s="13">
        <f>+VLOOKUP(C283,[2]Fondos!$F:$K,6,FALSE)</f>
        <v>0.24191749999999998</v>
      </c>
      <c r="Q283" s="13">
        <f t="shared" si="72"/>
        <v>0</v>
      </c>
      <c r="R283" s="10">
        <f>+IF(Q283&gt;MAESTRO!$G$6,0,1)</f>
        <v>1</v>
      </c>
      <c r="S283">
        <f>+IF(P283&lt;MAESTRO!$G$8,0,1)</f>
        <v>1</v>
      </c>
      <c r="T283" s="10">
        <f t="shared" si="73"/>
        <v>2</v>
      </c>
      <c r="U283" t="str">
        <f>+IF(R283+S283=2,MAESTRO!$G$2,IF(R283+S283=0,MAESTRO!$G$5,IF(R283=0,MAESTRO!$G$3,IF(S283=0,MAESTRO!$G$4,))))</f>
        <v>cumple politica</v>
      </c>
    </row>
    <row r="284" spans="1:21" x14ac:dyDescent="0.3">
      <c r="A284" t="s">
        <v>15</v>
      </c>
      <c r="B284" t="s">
        <v>109</v>
      </c>
      <c r="C284" t="s">
        <v>76</v>
      </c>
      <c r="D284" t="s">
        <v>82</v>
      </c>
      <c r="E284" s="24">
        <f t="shared" si="67"/>
        <v>0</v>
      </c>
      <c r="F284" s="22">
        <f>-SUMIFS(CARGA!I:I,CARGA!B:B,tabla!A284,CARGA!D:D,tabla!C284,CARGA!C:C,MAESTRO!$B$4)-SUMIFS(CARGA!I:I,CARGA!B:B,tabla!A284,CARGA!D:D,tabla!C284,CARGA!C:C,MAESTRO!$B$5)</f>
        <v>0</v>
      </c>
      <c r="G284" s="5">
        <f>+SUMIFS(CARGA!I:I,CARGA!B:B,tabla!A284,CARGA!D:D,tabla!C284)</f>
        <v>0</v>
      </c>
      <c r="H284" s="5">
        <f>+SUMIFS(CARGA!K:K,CARGA!B:B,tabla!A284,CARGA!D:D,tabla!C284)</f>
        <v>0</v>
      </c>
      <c r="I284" s="5">
        <f t="shared" si="68"/>
        <v>0</v>
      </c>
      <c r="J284" s="5">
        <f>-SUMIFS(CARGA!K:K,CARGA!B:B,tabla!A284,CARGA!D:D,tabla!C284,CARGA!C:C,MAESTRO!$B$4)+SUMIFS(CARGA!K:K,CARGA!B:B,tabla!A284,CARGA!D:D,tabla!C284,CARGA!C:C,MAESTRO!$B$5)</f>
        <v>0</v>
      </c>
      <c r="K284" s="5" t="e">
        <f>+VLOOKUP(C284,#REF!,3,FALSE)</f>
        <v>#REF!</v>
      </c>
      <c r="L284" s="5" t="e">
        <f t="shared" si="69"/>
        <v>#REF!</v>
      </c>
      <c r="M284" s="5" t="e">
        <f t="shared" si="70"/>
        <v>#REF!</v>
      </c>
      <c r="N284" s="5" t="str">
        <f t="shared" si="71"/>
        <v>NO</v>
      </c>
      <c r="O284" s="5">
        <f>+VLOOKUP(C284,[2]Fondos!$F:$J,5,FALSE)</f>
        <v>3357048174</v>
      </c>
      <c r="P284" s="13">
        <f>+VLOOKUP(C284,[2]Fondos!$F:$K,6,FALSE)</f>
        <v>0.25849470000000002</v>
      </c>
      <c r="Q284" s="13">
        <f t="shared" si="72"/>
        <v>0</v>
      </c>
      <c r="R284" s="10">
        <f>+IF(Q284&gt;MAESTRO!$G$6,0,1)</f>
        <v>1</v>
      </c>
      <c r="S284">
        <f>+IF(P284&lt;MAESTRO!$G$8,0,1)</f>
        <v>1</v>
      </c>
      <c r="T284" s="10">
        <f t="shared" si="73"/>
        <v>2</v>
      </c>
      <c r="U284" t="str">
        <f>+IF(R284+S284=2,MAESTRO!$G$2,IF(R284+S284=0,MAESTRO!$G$5,IF(R284=0,MAESTRO!$G$3,IF(S284=0,MAESTRO!$G$4,))))</f>
        <v>cumple politica</v>
      </c>
    </row>
    <row r="285" spans="1:21" x14ac:dyDescent="0.3">
      <c r="A285" t="s">
        <v>15</v>
      </c>
      <c r="B285" s="20" t="s">
        <v>35</v>
      </c>
      <c r="C285" s="20" t="s">
        <v>76</v>
      </c>
      <c r="D285" s="20" t="s">
        <v>83</v>
      </c>
      <c r="E285" s="24">
        <f t="shared" si="67"/>
        <v>0</v>
      </c>
      <c r="F285" s="22">
        <f>-SUMIFS(CARGA!I:I,CARGA!B:B,tabla!A285,CARGA!D:D,tabla!C285,CARGA!C:C,MAESTRO!$B$4)-SUMIFS(CARGA!I:I,CARGA!B:B,tabla!A285,CARGA!D:D,tabla!C285,CARGA!C:C,MAESTRO!$B$5)</f>
        <v>0</v>
      </c>
      <c r="G285" s="5">
        <f>+SUMIFS(CARGA!I:I,CARGA!B:B,tabla!A285,CARGA!D:D,tabla!C285)</f>
        <v>0</v>
      </c>
      <c r="H285" s="5">
        <f>+SUMIFS(CARGA!K:K,CARGA!B:B,tabla!A285,CARGA!D:D,tabla!C285)</f>
        <v>0</v>
      </c>
      <c r="I285" s="5">
        <f t="shared" si="68"/>
        <v>0</v>
      </c>
      <c r="J285" s="5">
        <f>-SUMIFS(CARGA!K:K,CARGA!B:B,tabla!A285,CARGA!D:D,tabla!C285,CARGA!C:C,MAESTRO!$B$4)+SUMIFS(CARGA!K:K,CARGA!B:B,tabla!A285,CARGA!D:D,tabla!C285,CARGA!C:C,MAESTRO!$B$5)</f>
        <v>0</v>
      </c>
      <c r="K285" s="5" t="e">
        <f>+VLOOKUP(C285,#REF!,3,FALSE)</f>
        <v>#REF!</v>
      </c>
      <c r="L285" s="5" t="e">
        <f t="shared" si="69"/>
        <v>#REF!</v>
      </c>
      <c r="M285" s="5" t="e">
        <f t="shared" si="70"/>
        <v>#REF!</v>
      </c>
      <c r="N285" s="5" t="str">
        <f t="shared" si="71"/>
        <v>NO</v>
      </c>
      <c r="O285" s="5">
        <f>+VLOOKUP(C285,[2]Fondos!$F:$J,5,FALSE)</f>
        <v>3357048174</v>
      </c>
      <c r="P285" s="13">
        <f>+VLOOKUP(C285,[2]Fondos!$F:$K,6,FALSE)</f>
        <v>0.25849470000000002</v>
      </c>
      <c r="Q285" s="13">
        <f t="shared" si="72"/>
        <v>0</v>
      </c>
      <c r="R285" s="10">
        <f>+IF(Q285&gt;MAESTRO!$G$6,0,1)</f>
        <v>1</v>
      </c>
      <c r="S285">
        <f>+IF(P285&lt;MAESTRO!$G$8,0,1)</f>
        <v>1</v>
      </c>
      <c r="T285" s="10">
        <f t="shared" si="73"/>
        <v>2</v>
      </c>
      <c r="U285" t="str">
        <f>+IF(R285+S285=2,MAESTRO!$G$2,IF(R285+S285=0,MAESTRO!$G$5,IF(R285=0,MAESTRO!$G$3,IF(S285=0,MAESTRO!$G$4,))))</f>
        <v>cumple politica</v>
      </c>
    </row>
    <row r="286" spans="1:21" x14ac:dyDescent="0.3">
      <c r="A286" t="s">
        <v>15</v>
      </c>
      <c r="B286" t="s">
        <v>25</v>
      </c>
      <c r="C286" t="s">
        <v>59</v>
      </c>
      <c r="D286" t="s">
        <v>82</v>
      </c>
      <c r="E286" s="24">
        <f t="shared" si="67"/>
        <v>0</v>
      </c>
      <c r="F286" s="22">
        <f>-SUMIFS(CARGA!I:I,CARGA!B:B,tabla!A286,CARGA!D:D,tabla!C286,CARGA!C:C,MAESTRO!$B$4)-SUMIFS(CARGA!I:I,CARGA!B:B,tabla!A286,CARGA!D:D,tabla!C286,CARGA!C:C,MAESTRO!$B$5)</f>
        <v>0</v>
      </c>
      <c r="G286" s="5">
        <f>+SUMIFS(CARGA!I:I,CARGA!B:B,tabla!A286,CARGA!D:D,tabla!C286)</f>
        <v>0</v>
      </c>
      <c r="H286" s="5">
        <f>+SUMIFS(CARGA!K:K,CARGA!B:B,tabla!A286,CARGA!D:D,tabla!C286)</f>
        <v>0</v>
      </c>
      <c r="I286" s="5">
        <f t="shared" si="68"/>
        <v>0</v>
      </c>
      <c r="J286" s="5">
        <f>-SUMIFS(CARGA!K:K,CARGA!B:B,tabla!A286,CARGA!D:D,tabla!C286,CARGA!C:C,MAESTRO!$B$4)+SUMIFS(CARGA!K:K,CARGA!B:B,tabla!A286,CARGA!D:D,tabla!C286,CARGA!C:C,MAESTRO!$B$5)</f>
        <v>0</v>
      </c>
      <c r="K286" s="5" t="e">
        <f>+VLOOKUP(C286,#REF!,3,FALSE)</f>
        <v>#REF!</v>
      </c>
      <c r="L286" s="5" t="e">
        <f t="shared" si="69"/>
        <v>#REF!</v>
      </c>
      <c r="M286" s="5" t="e">
        <f t="shared" si="70"/>
        <v>#REF!</v>
      </c>
      <c r="N286" s="5" t="str">
        <f t="shared" si="71"/>
        <v>NO</v>
      </c>
      <c r="O286" s="5">
        <f>+VLOOKUP(C286,[2]Fondos!$F:$J,5,FALSE)</f>
        <v>15268657582.66</v>
      </c>
      <c r="P286" s="13">
        <f>+VLOOKUP(C286,[2]Fondos!$F:$K,6,FALSE)</f>
        <v>0.26679839999999999</v>
      </c>
      <c r="Q286" s="13">
        <f t="shared" si="72"/>
        <v>0</v>
      </c>
      <c r="R286" s="10">
        <f>+IF(Q286&gt;MAESTRO!$G$6,0,1)</f>
        <v>1</v>
      </c>
      <c r="S286">
        <f>+IF(P286&lt;MAESTRO!$G$8,0,1)</f>
        <v>1</v>
      </c>
      <c r="T286" s="10">
        <f t="shared" si="73"/>
        <v>2</v>
      </c>
      <c r="U286" t="str">
        <f>+IF(R286+S286=2,MAESTRO!$G$2,IF(R286+S286=0,MAESTRO!$G$5,IF(R286=0,MAESTRO!$G$3,IF(S286=0,MAESTRO!$G$4,))))</f>
        <v>cumple politica</v>
      </c>
    </row>
    <row r="287" spans="1:21" x14ac:dyDescent="0.3">
      <c r="A287" t="s">
        <v>15</v>
      </c>
      <c r="B287" t="s">
        <v>25</v>
      </c>
      <c r="C287" t="s">
        <v>40</v>
      </c>
      <c r="D287" t="s">
        <v>81</v>
      </c>
      <c r="E287" s="24">
        <f t="shared" si="67"/>
        <v>0</v>
      </c>
      <c r="F287" s="22">
        <f>-SUMIFS(CARGA!I:I,CARGA!B:B,tabla!A287,CARGA!D:D,tabla!C287,CARGA!C:C,MAESTRO!$B$4)-SUMIFS(CARGA!I:I,CARGA!B:B,tabla!A287,CARGA!D:D,tabla!C287,CARGA!C:C,MAESTRO!$B$5)</f>
        <v>0</v>
      </c>
      <c r="G287" s="5">
        <f>+SUMIFS(CARGA!I:I,CARGA!B:B,tabla!A287,CARGA!D:D,tabla!C287)</f>
        <v>0</v>
      </c>
      <c r="H287" s="5">
        <f>+SUMIFS(CARGA!K:K,CARGA!B:B,tabla!A287,CARGA!D:D,tabla!C287)</f>
        <v>0</v>
      </c>
      <c r="I287" s="5">
        <f t="shared" si="68"/>
        <v>0</v>
      </c>
      <c r="J287" s="5">
        <f>-SUMIFS(CARGA!K:K,CARGA!B:B,tabla!A287,CARGA!D:D,tabla!C287,CARGA!C:C,MAESTRO!$B$4)+SUMIFS(CARGA!K:K,CARGA!B:B,tabla!A287,CARGA!D:D,tabla!C287,CARGA!C:C,MAESTRO!$B$5)</f>
        <v>0</v>
      </c>
      <c r="K287" s="5" t="e">
        <f>+VLOOKUP(C287,#REF!,3,FALSE)</f>
        <v>#REF!</v>
      </c>
      <c r="L287" s="5" t="e">
        <f t="shared" si="69"/>
        <v>#REF!</v>
      </c>
      <c r="M287" s="5" t="e">
        <f t="shared" si="70"/>
        <v>#REF!</v>
      </c>
      <c r="N287" s="5" t="str">
        <f t="shared" si="71"/>
        <v>NO</v>
      </c>
      <c r="O287" s="5">
        <f>+VLOOKUP(C287,[2]Fondos!$F:$J,5,FALSE)</f>
        <v>4231508416.6700001</v>
      </c>
      <c r="P287" s="13">
        <f>+VLOOKUP(C287,[2]Fondos!$F:$K,6,FALSE)</f>
        <v>0.21473639999999999</v>
      </c>
      <c r="Q287" s="13">
        <f t="shared" si="72"/>
        <v>0</v>
      </c>
      <c r="R287" s="10">
        <f>+IF(Q287&gt;MAESTRO!$G$6,0,1)</f>
        <v>1</v>
      </c>
      <c r="S287">
        <f>+IF(P287&lt;MAESTRO!$G$8,0,1)</f>
        <v>1</v>
      </c>
      <c r="T287" s="10">
        <f t="shared" si="73"/>
        <v>2</v>
      </c>
      <c r="U287" t="str">
        <f>+IF(R287+S287=2,MAESTRO!$G$2,IF(R287+S287=0,MAESTRO!$G$5,IF(R287=0,MAESTRO!$G$3,IF(S287=0,MAESTRO!$G$4,))))</f>
        <v>cumple politica</v>
      </c>
    </row>
    <row r="288" spans="1:21" x14ac:dyDescent="0.3">
      <c r="A288" t="s">
        <v>15</v>
      </c>
      <c r="B288" t="s">
        <v>25</v>
      </c>
      <c r="C288" t="s">
        <v>79</v>
      </c>
      <c r="D288" t="s">
        <v>82</v>
      </c>
      <c r="E288" s="24">
        <f t="shared" si="67"/>
        <v>0</v>
      </c>
      <c r="F288" s="22">
        <f>-SUMIFS(CARGA!I:I,CARGA!B:B,tabla!A288,CARGA!D:D,tabla!C288,CARGA!C:C,MAESTRO!$B$4)-SUMIFS(CARGA!I:I,CARGA!B:B,tabla!A288,CARGA!D:D,tabla!C288,CARGA!C:C,MAESTRO!$B$5)</f>
        <v>0</v>
      </c>
      <c r="G288" s="5">
        <f>+SUMIFS(CARGA!I:I,CARGA!B:B,tabla!A288,CARGA!D:D,tabla!C288)</f>
        <v>0</v>
      </c>
      <c r="H288" s="5">
        <f>+SUMIFS(CARGA!K:K,CARGA!B:B,tabla!A288,CARGA!D:D,tabla!C288)</f>
        <v>0</v>
      </c>
      <c r="I288" s="5">
        <f t="shared" si="68"/>
        <v>0</v>
      </c>
      <c r="J288" s="5">
        <f>-SUMIFS(CARGA!K:K,CARGA!B:B,tabla!A288,CARGA!D:D,tabla!C288,CARGA!C:C,MAESTRO!$B$4)+SUMIFS(CARGA!K:K,CARGA!B:B,tabla!A288,CARGA!D:D,tabla!C288,CARGA!C:C,MAESTRO!$B$5)</f>
        <v>0</v>
      </c>
      <c r="K288" s="5" t="e">
        <f>+VLOOKUP(C288,#REF!,3,FALSE)</f>
        <v>#REF!</v>
      </c>
      <c r="L288" s="5" t="e">
        <f t="shared" si="69"/>
        <v>#REF!</v>
      </c>
      <c r="M288" s="5" t="e">
        <f t="shared" si="70"/>
        <v>#REF!</v>
      </c>
      <c r="N288" s="5" t="str">
        <f t="shared" si="71"/>
        <v>NO</v>
      </c>
      <c r="O288" s="5">
        <f>+VLOOKUP(C288,[2]Fondos!$F:$J,5,FALSE)</f>
        <v>415179361.94999999</v>
      </c>
      <c r="P288" s="13">
        <f>+VLOOKUP(C288,[2]Fondos!$F:$K,6,FALSE)</f>
        <v>0.20571149999999999</v>
      </c>
      <c r="Q288" s="13">
        <f t="shared" si="72"/>
        <v>0</v>
      </c>
      <c r="R288" s="10">
        <f>+IF(Q288&gt;MAESTRO!$G$6,0,1)</f>
        <v>1</v>
      </c>
      <c r="S288">
        <f>+IF(P288&lt;MAESTRO!$G$8,0,1)</f>
        <v>1</v>
      </c>
      <c r="T288" s="10">
        <f t="shared" si="73"/>
        <v>2</v>
      </c>
      <c r="U288" t="str">
        <f>+IF(R288+S288=2,MAESTRO!$G$2,IF(R288+S288=0,MAESTRO!$G$5,IF(R288=0,MAESTRO!$G$3,IF(S288=0,MAESTRO!$G$4,))))</f>
        <v>cumple politica</v>
      </c>
    </row>
    <row r="289" spans="1:21" x14ac:dyDescent="0.3">
      <c r="A289" t="s">
        <v>15</v>
      </c>
      <c r="B289" t="s">
        <v>26</v>
      </c>
      <c r="C289" t="s">
        <v>61</v>
      </c>
      <c r="D289" t="s">
        <v>82</v>
      </c>
      <c r="E289" s="24">
        <f t="shared" si="67"/>
        <v>0</v>
      </c>
      <c r="F289" s="22">
        <f>-SUMIFS(CARGA!I:I,CARGA!B:B,tabla!A289,CARGA!D:D,tabla!C289,CARGA!C:C,MAESTRO!$B$4)-SUMIFS(CARGA!I:I,CARGA!B:B,tabla!A289,CARGA!D:D,tabla!C289,CARGA!C:C,MAESTRO!$B$5)</f>
        <v>0</v>
      </c>
      <c r="G289" s="5">
        <f>+SUMIFS(CARGA!I:I,CARGA!B:B,tabla!A289,CARGA!D:D,tabla!C289)</f>
        <v>0</v>
      </c>
      <c r="H289" s="5">
        <f>+SUMIFS(CARGA!K:K,CARGA!B:B,tabla!A289,CARGA!D:D,tabla!C289)</f>
        <v>0</v>
      </c>
      <c r="I289" s="5">
        <f t="shared" si="68"/>
        <v>0</v>
      </c>
      <c r="J289" s="5">
        <f>-SUMIFS(CARGA!K:K,CARGA!B:B,tabla!A289,CARGA!D:D,tabla!C289,CARGA!C:C,MAESTRO!$B$4)+SUMIFS(CARGA!K:K,CARGA!B:B,tabla!A289,CARGA!D:D,tabla!C289,CARGA!C:C,MAESTRO!$B$5)</f>
        <v>0</v>
      </c>
      <c r="K289" s="5" t="e">
        <f>+VLOOKUP(C289,#REF!,3,FALSE)</f>
        <v>#REF!</v>
      </c>
      <c r="L289" s="5" t="e">
        <f t="shared" si="69"/>
        <v>#REF!</v>
      </c>
      <c r="M289" s="5" t="e">
        <f t="shared" si="70"/>
        <v>#REF!</v>
      </c>
      <c r="N289" s="5" t="str">
        <f t="shared" si="71"/>
        <v>NO</v>
      </c>
      <c r="O289" s="5">
        <f>+VLOOKUP(C289,[2]Fondos!$F:$J,5,FALSE)</f>
        <v>25454891426</v>
      </c>
      <c r="P289" s="13">
        <f>+VLOOKUP(C289,[2]Fondos!$F:$K,6,FALSE)</f>
        <v>0.26389279999999998</v>
      </c>
      <c r="Q289" s="13">
        <f t="shared" si="72"/>
        <v>0</v>
      </c>
      <c r="R289" s="10">
        <f>+IF(Q289&gt;MAESTRO!$G$6,0,1)</f>
        <v>1</v>
      </c>
      <c r="S289">
        <f>+IF(P289&lt;MAESTRO!$G$8,0,1)</f>
        <v>1</v>
      </c>
      <c r="T289" s="10">
        <f t="shared" si="73"/>
        <v>2</v>
      </c>
      <c r="U289" t="str">
        <f>+IF(R289+S289=2,MAESTRO!$G$2,IF(R289+S289=0,MAESTRO!$G$5,IF(R289=0,MAESTRO!$G$3,IF(S289=0,MAESTRO!$G$4,))))</f>
        <v>cumple politica</v>
      </c>
    </row>
    <row r="290" spans="1:21" x14ac:dyDescent="0.3">
      <c r="A290" t="s">
        <v>15</v>
      </c>
      <c r="B290" t="s">
        <v>26</v>
      </c>
      <c r="C290" t="s">
        <v>58</v>
      </c>
      <c r="D290" t="s">
        <v>82</v>
      </c>
      <c r="E290" s="24">
        <f t="shared" si="67"/>
        <v>0</v>
      </c>
      <c r="F290" s="22">
        <f>-SUMIFS(CARGA!I:I,CARGA!B:B,tabla!A290,CARGA!D:D,tabla!C290,CARGA!C:C,MAESTRO!$B$4)-SUMIFS(CARGA!I:I,CARGA!B:B,tabla!A290,CARGA!D:D,tabla!C290,CARGA!C:C,MAESTRO!$B$5)</f>
        <v>0</v>
      </c>
      <c r="G290" s="5">
        <f>+SUMIFS(CARGA!I:I,CARGA!B:B,tabla!A290,CARGA!D:D,tabla!C290)</f>
        <v>0</v>
      </c>
      <c r="H290" s="5">
        <f>+SUMIFS(CARGA!K:K,CARGA!B:B,tabla!A290,CARGA!D:D,tabla!C290)</f>
        <v>0</v>
      </c>
      <c r="I290" s="5">
        <f t="shared" si="68"/>
        <v>0</v>
      </c>
      <c r="J290" s="5">
        <f>-SUMIFS(CARGA!K:K,CARGA!B:B,tabla!A290,CARGA!D:D,tabla!C290,CARGA!C:C,MAESTRO!$B$4)+SUMIFS(CARGA!K:K,CARGA!B:B,tabla!A290,CARGA!D:D,tabla!C290,CARGA!C:C,MAESTRO!$B$5)</f>
        <v>0</v>
      </c>
      <c r="K290" s="5" t="e">
        <f>+VLOOKUP(C290,#REF!,3,FALSE)</f>
        <v>#REF!</v>
      </c>
      <c r="L290" s="5" t="e">
        <f t="shared" si="69"/>
        <v>#REF!</v>
      </c>
      <c r="M290" s="5" t="e">
        <f t="shared" si="70"/>
        <v>#REF!</v>
      </c>
      <c r="N290" s="5" t="str">
        <f t="shared" si="71"/>
        <v>NO</v>
      </c>
      <c r="O290" s="5">
        <f>+VLOOKUP(C290,[2]Fondos!$F:$J,5,FALSE)</f>
        <v>25454891426</v>
      </c>
      <c r="P290" s="13">
        <f>+VLOOKUP(C290,[2]Fondos!$F:$K,6,FALSE)</f>
        <v>0.26686179999999998</v>
      </c>
      <c r="Q290" s="13">
        <f t="shared" si="72"/>
        <v>0</v>
      </c>
      <c r="R290" s="10">
        <f>+IF(Q290&gt;MAESTRO!$G$6,0,1)</f>
        <v>1</v>
      </c>
      <c r="S290">
        <f>+IF(P290&lt;MAESTRO!$G$8,0,1)</f>
        <v>1</v>
      </c>
      <c r="T290" s="10">
        <f t="shared" si="73"/>
        <v>2</v>
      </c>
      <c r="U290" t="str">
        <f>+IF(R290+S290=2,MAESTRO!$G$2,IF(R290+S290=0,MAESTRO!$G$5,IF(R290=0,MAESTRO!$G$3,IF(S290=0,MAESTRO!$G$4,))))</f>
        <v>cumple politica</v>
      </c>
    </row>
    <row r="291" spans="1:21" x14ac:dyDescent="0.3">
      <c r="A291" t="s">
        <v>15</v>
      </c>
      <c r="B291" t="s">
        <v>26</v>
      </c>
      <c r="C291" t="s">
        <v>56</v>
      </c>
      <c r="D291" t="s">
        <v>82</v>
      </c>
      <c r="E291" s="24">
        <f t="shared" si="67"/>
        <v>0</v>
      </c>
      <c r="F291" s="22">
        <f>-SUMIFS(CARGA!I:I,CARGA!B:B,tabla!A291,CARGA!D:D,tabla!C291,CARGA!C:C,MAESTRO!$B$4)-SUMIFS(CARGA!I:I,CARGA!B:B,tabla!A291,CARGA!D:D,tabla!C291,CARGA!C:C,MAESTRO!$B$5)</f>
        <v>0</v>
      </c>
      <c r="G291" s="5">
        <f>+SUMIFS(CARGA!I:I,CARGA!B:B,tabla!A291,CARGA!D:D,tabla!C291)</f>
        <v>0</v>
      </c>
      <c r="H291" s="5">
        <f>+SUMIFS(CARGA!K:K,CARGA!B:B,tabla!A291,CARGA!D:D,tabla!C291)</f>
        <v>0</v>
      </c>
      <c r="I291" s="5">
        <f t="shared" si="68"/>
        <v>0</v>
      </c>
      <c r="J291" s="5">
        <f>-SUMIFS(CARGA!K:K,CARGA!B:B,tabla!A291,CARGA!D:D,tabla!C291,CARGA!C:C,MAESTRO!$B$4)+SUMIFS(CARGA!K:K,CARGA!B:B,tabla!A291,CARGA!D:D,tabla!C291,CARGA!C:C,MAESTRO!$B$5)</f>
        <v>0</v>
      </c>
      <c r="K291" s="5" t="e">
        <f>+VLOOKUP(C291,#REF!,3,FALSE)</f>
        <v>#REF!</v>
      </c>
      <c r="L291" s="5" t="e">
        <f t="shared" si="69"/>
        <v>#REF!</v>
      </c>
      <c r="M291" s="5" t="e">
        <f t="shared" si="70"/>
        <v>#REF!</v>
      </c>
      <c r="N291" s="5" t="str">
        <f t="shared" si="71"/>
        <v>NO</v>
      </c>
      <c r="O291" s="5">
        <f>+VLOOKUP(C291,[2]Fondos!$F:$J,5,FALSE)</f>
        <v>25454891426</v>
      </c>
      <c r="P291" s="13">
        <f>+VLOOKUP(C291,[2]Fondos!$F:$K,6,FALSE)</f>
        <v>0.27078930000000001</v>
      </c>
      <c r="Q291" s="13">
        <f t="shared" si="72"/>
        <v>0</v>
      </c>
      <c r="R291" s="10">
        <f>+IF(Q291&gt;MAESTRO!$G$6,0,1)</f>
        <v>1</v>
      </c>
      <c r="S291">
        <f>+IF(P291&lt;MAESTRO!$G$8,0,1)</f>
        <v>1</v>
      </c>
      <c r="T291" s="10">
        <f t="shared" si="73"/>
        <v>2</v>
      </c>
      <c r="U291" t="str">
        <f>+IF(R291+S291=2,MAESTRO!$G$2,IF(R291+S291=0,MAESTRO!$G$5,IF(R291=0,MAESTRO!$G$3,IF(S291=0,MAESTRO!$G$4,))))</f>
        <v>cumple politica</v>
      </c>
    </row>
    <row r="292" spans="1:21" x14ac:dyDescent="0.3">
      <c r="A292" t="s">
        <v>15</v>
      </c>
      <c r="B292" t="s">
        <v>26</v>
      </c>
      <c r="C292" t="s">
        <v>65</v>
      </c>
      <c r="D292" t="s">
        <v>82</v>
      </c>
      <c r="E292" s="24">
        <f t="shared" si="67"/>
        <v>0</v>
      </c>
      <c r="F292" s="22">
        <f>-SUMIFS(CARGA!I:I,CARGA!B:B,tabla!A292,CARGA!D:D,tabla!C292,CARGA!C:C,MAESTRO!$B$4)-SUMIFS(CARGA!I:I,CARGA!B:B,tabla!A292,CARGA!D:D,tabla!C292,CARGA!C:C,MAESTRO!$B$5)</f>
        <v>0</v>
      </c>
      <c r="G292" s="5">
        <f>+SUMIFS(CARGA!I:I,CARGA!B:B,tabla!A292,CARGA!D:D,tabla!C292)</f>
        <v>0</v>
      </c>
      <c r="H292" s="5">
        <f>+SUMIFS(CARGA!K:K,CARGA!B:B,tabla!A292,CARGA!D:D,tabla!C292)</f>
        <v>0</v>
      </c>
      <c r="I292" s="5">
        <f t="shared" si="68"/>
        <v>0</v>
      </c>
      <c r="J292" s="5">
        <f>-SUMIFS(CARGA!K:K,CARGA!B:B,tabla!A292,CARGA!D:D,tabla!C292,CARGA!C:C,MAESTRO!$B$4)+SUMIFS(CARGA!K:K,CARGA!B:B,tabla!A292,CARGA!D:D,tabla!C292,CARGA!C:C,MAESTRO!$B$5)</f>
        <v>0</v>
      </c>
      <c r="K292" s="5" t="e">
        <f>+VLOOKUP(C292,#REF!,3,FALSE)</f>
        <v>#REF!</v>
      </c>
      <c r="L292" s="5" t="e">
        <f t="shared" si="69"/>
        <v>#REF!</v>
      </c>
      <c r="M292" s="5" t="e">
        <f t="shared" si="70"/>
        <v>#REF!</v>
      </c>
      <c r="N292" s="5" t="str">
        <f t="shared" si="71"/>
        <v>NO</v>
      </c>
      <c r="O292" s="5">
        <f>+VLOOKUP(C292,[2]Fondos!$F:$J,5,FALSE)</f>
        <v>26527515773</v>
      </c>
      <c r="P292" s="13">
        <f>+VLOOKUP(C292,[2]Fondos!$F:$K,6,FALSE)</f>
        <v>0.26544099999999998</v>
      </c>
      <c r="Q292" s="13">
        <f t="shared" si="72"/>
        <v>0</v>
      </c>
      <c r="R292" s="10">
        <f>+IF(Q292&gt;MAESTRO!$G$6,0,1)</f>
        <v>1</v>
      </c>
      <c r="S292">
        <f>+IF(P292&lt;MAESTRO!$G$8,0,1)</f>
        <v>1</v>
      </c>
      <c r="T292" s="10">
        <f t="shared" si="73"/>
        <v>2</v>
      </c>
      <c r="U292" t="str">
        <f>+IF(R292+S292=2,MAESTRO!$G$2,IF(R292+S292=0,MAESTRO!$G$5,IF(R292=0,MAESTRO!$G$3,IF(S292=0,MAESTRO!$G$4,))))</f>
        <v>cumple politica</v>
      </c>
    </row>
    <row r="293" spans="1:21" x14ac:dyDescent="0.3">
      <c r="A293" t="s">
        <v>15</v>
      </c>
      <c r="B293" t="s">
        <v>26</v>
      </c>
      <c r="C293" t="s">
        <v>45</v>
      </c>
      <c r="D293" t="s">
        <v>81</v>
      </c>
      <c r="E293" s="24">
        <f t="shared" si="67"/>
        <v>0</v>
      </c>
      <c r="F293" s="22">
        <f>-SUMIFS(CARGA!I:I,CARGA!B:B,tabla!A293,CARGA!D:D,tabla!C293,CARGA!C:C,MAESTRO!$B$4)-SUMIFS(CARGA!I:I,CARGA!B:B,tabla!A293,CARGA!D:D,tabla!C293,CARGA!C:C,MAESTRO!$B$5)</f>
        <v>0</v>
      </c>
      <c r="G293" s="5">
        <f>+SUMIFS(CARGA!I:I,CARGA!B:B,tabla!A293,CARGA!D:D,tabla!C293)</f>
        <v>0</v>
      </c>
      <c r="H293" s="5">
        <f>+SUMIFS(CARGA!K:K,CARGA!B:B,tabla!A293,CARGA!D:D,tabla!C293)</f>
        <v>0</v>
      </c>
      <c r="I293" s="5">
        <f t="shared" si="68"/>
        <v>0</v>
      </c>
      <c r="J293" s="5">
        <f>-SUMIFS(CARGA!K:K,CARGA!B:B,tabla!A293,CARGA!D:D,tabla!C293,CARGA!C:C,MAESTRO!$B$4)+SUMIFS(CARGA!K:K,CARGA!B:B,tabla!A293,CARGA!D:D,tabla!C293,CARGA!C:C,MAESTRO!$B$5)</f>
        <v>0</v>
      </c>
      <c r="K293" s="5" t="e">
        <f>+VLOOKUP(C293,#REF!,3,FALSE)</f>
        <v>#REF!</v>
      </c>
      <c r="L293" s="5" t="e">
        <f t="shared" si="69"/>
        <v>#REF!</v>
      </c>
      <c r="M293" s="5" t="e">
        <f t="shared" si="70"/>
        <v>#REF!</v>
      </c>
      <c r="N293" s="5" t="str">
        <f t="shared" si="71"/>
        <v>NO</v>
      </c>
      <c r="O293" s="5">
        <f>+VLOOKUP(C293,[2]Fondos!$F:$J,5,FALSE)</f>
        <v>9536957677</v>
      </c>
      <c r="P293" s="13">
        <f>+VLOOKUP(C293,[2]Fondos!$F:$K,6,FALSE)</f>
        <v>0.20501570000000002</v>
      </c>
      <c r="Q293" s="13">
        <f t="shared" si="72"/>
        <v>0</v>
      </c>
      <c r="R293" s="10">
        <f>+IF(Q293&gt;MAESTRO!$G$6,0,1)</f>
        <v>1</v>
      </c>
      <c r="S293">
        <f>+IF(P293&lt;MAESTRO!$G$8,0,1)</f>
        <v>1</v>
      </c>
      <c r="T293" s="10">
        <f t="shared" si="73"/>
        <v>2</v>
      </c>
      <c r="U293" t="str">
        <f>+IF(R293+S293=2,MAESTRO!$G$2,IF(R293+S293=0,MAESTRO!$G$5,IF(R293=0,MAESTRO!$G$3,IF(S293=0,MAESTRO!$G$4,))))</f>
        <v>cumple politica</v>
      </c>
    </row>
    <row r="294" spans="1:21" x14ac:dyDescent="0.3">
      <c r="A294" t="s">
        <v>15</v>
      </c>
      <c r="B294" t="s">
        <v>26</v>
      </c>
      <c r="C294" t="s">
        <v>41</v>
      </c>
      <c r="D294" t="s">
        <v>81</v>
      </c>
      <c r="E294" s="24">
        <f t="shared" si="67"/>
        <v>0</v>
      </c>
      <c r="F294" s="22">
        <f>-SUMIFS(CARGA!I:I,CARGA!B:B,tabla!A294,CARGA!D:D,tabla!C294,CARGA!C:C,MAESTRO!$B$4)-SUMIFS(CARGA!I:I,CARGA!B:B,tabla!A294,CARGA!D:D,tabla!C294,CARGA!C:C,MAESTRO!$B$5)</f>
        <v>0</v>
      </c>
      <c r="G294" s="5">
        <f>+SUMIFS(CARGA!I:I,CARGA!B:B,tabla!A294,CARGA!D:D,tabla!C294)</f>
        <v>0</v>
      </c>
      <c r="H294" s="5">
        <f>+SUMIFS(CARGA!K:K,CARGA!B:B,tabla!A294,CARGA!D:D,tabla!C294)</f>
        <v>0</v>
      </c>
      <c r="I294" s="5">
        <f t="shared" si="68"/>
        <v>0</v>
      </c>
      <c r="J294" s="5">
        <f>-SUMIFS(CARGA!K:K,CARGA!B:B,tabla!A294,CARGA!D:D,tabla!C294,CARGA!C:C,MAESTRO!$B$4)+SUMIFS(CARGA!K:K,CARGA!B:B,tabla!A294,CARGA!D:D,tabla!C294,CARGA!C:C,MAESTRO!$B$5)</f>
        <v>0</v>
      </c>
      <c r="K294" s="5" t="e">
        <f>+VLOOKUP(C294,#REF!,3,FALSE)</f>
        <v>#REF!</v>
      </c>
      <c r="L294" s="5" t="e">
        <f t="shared" si="69"/>
        <v>#REF!</v>
      </c>
      <c r="M294" s="5" t="e">
        <f t="shared" si="70"/>
        <v>#REF!</v>
      </c>
      <c r="N294" s="5" t="str">
        <f t="shared" si="71"/>
        <v>NO</v>
      </c>
      <c r="O294" s="5">
        <f>+VLOOKUP(C294,[2]Fondos!$F:$J,5,FALSE)</f>
        <v>9536957677</v>
      </c>
      <c r="P294" s="13">
        <f>+VLOOKUP(C294,[2]Fondos!$F:$K,6,FALSE)</f>
        <v>0.2143747</v>
      </c>
      <c r="Q294" s="13">
        <f t="shared" si="72"/>
        <v>0</v>
      </c>
      <c r="R294" s="10">
        <f>+IF(Q294&gt;MAESTRO!$G$6,0,1)</f>
        <v>1</v>
      </c>
      <c r="S294">
        <f>+IF(P294&lt;MAESTRO!$G$8,0,1)</f>
        <v>1</v>
      </c>
      <c r="T294" s="10">
        <f t="shared" si="73"/>
        <v>2</v>
      </c>
      <c r="U294" t="str">
        <f>+IF(R294+S294=2,MAESTRO!$G$2,IF(R294+S294=0,MAESTRO!$G$5,IF(R294=0,MAESTRO!$G$3,IF(S294=0,MAESTRO!$G$4,))))</f>
        <v>cumple politica</v>
      </c>
    </row>
    <row r="295" spans="1:21" x14ac:dyDescent="0.3">
      <c r="A295" t="s">
        <v>15</v>
      </c>
      <c r="B295" t="s">
        <v>36</v>
      </c>
      <c r="C295" t="s">
        <v>73</v>
      </c>
      <c r="D295" t="s">
        <v>82</v>
      </c>
      <c r="E295" s="24">
        <f t="shared" si="67"/>
        <v>0</v>
      </c>
      <c r="F295" s="22">
        <f>-SUMIFS(CARGA!I:I,CARGA!B:B,tabla!A295,CARGA!D:D,tabla!C295,CARGA!C:C,MAESTRO!$B$4)-SUMIFS(CARGA!I:I,CARGA!B:B,tabla!A295,CARGA!D:D,tabla!C295,CARGA!C:C,MAESTRO!$B$5)</f>
        <v>0</v>
      </c>
      <c r="G295" s="5">
        <f>+SUMIFS(CARGA!I:I,CARGA!B:B,tabla!A295,CARGA!D:D,tabla!C295)</f>
        <v>0</v>
      </c>
      <c r="H295" s="5">
        <f>+SUMIFS(CARGA!K:K,CARGA!B:B,tabla!A295,CARGA!D:D,tabla!C295)</f>
        <v>0</v>
      </c>
      <c r="I295" s="5">
        <f t="shared" si="68"/>
        <v>0</v>
      </c>
      <c r="J295" s="5">
        <f>-SUMIFS(CARGA!K:K,CARGA!B:B,tabla!A295,CARGA!D:D,tabla!C295,CARGA!C:C,MAESTRO!$B$4)+SUMIFS(CARGA!K:K,CARGA!B:B,tabla!A295,CARGA!D:D,tabla!C295,CARGA!C:C,MAESTRO!$B$5)</f>
        <v>0</v>
      </c>
      <c r="K295" s="5" t="e">
        <f>+VLOOKUP(C295,#REF!,3,FALSE)</f>
        <v>#REF!</v>
      </c>
      <c r="L295" s="5" t="e">
        <f t="shared" si="69"/>
        <v>#REF!</v>
      </c>
      <c r="M295" s="5" t="e">
        <f t="shared" si="70"/>
        <v>#REF!</v>
      </c>
      <c r="N295" s="5" t="str">
        <f t="shared" si="71"/>
        <v>NO</v>
      </c>
      <c r="O295" s="5">
        <f>+VLOOKUP(C295,[2]Fondos!$F:$J,5,FALSE)</f>
        <v>5558283453.2200003</v>
      </c>
      <c r="P295" s="13">
        <f>+VLOOKUP(C295,[2]Fondos!$F:$K,6,FALSE)</f>
        <v>0.26949119999999999</v>
      </c>
      <c r="Q295" s="13">
        <f t="shared" si="72"/>
        <v>0</v>
      </c>
      <c r="R295" s="10">
        <f>+IF(Q295&gt;MAESTRO!$G$6,0,1)</f>
        <v>1</v>
      </c>
      <c r="S295">
        <f>+IF(P295&lt;MAESTRO!$G$8,0,1)</f>
        <v>1</v>
      </c>
      <c r="T295" s="10">
        <f t="shared" si="73"/>
        <v>2</v>
      </c>
      <c r="U295" t="str">
        <f>+IF(R295+S295=2,MAESTRO!$G$2,IF(R295+S295=0,MAESTRO!$G$5,IF(R295=0,MAESTRO!$G$3,IF(S295=0,MAESTRO!$G$4,))))</f>
        <v>cumple politica</v>
      </c>
    </row>
    <row r="296" spans="1:21" x14ac:dyDescent="0.3">
      <c r="A296" t="s">
        <v>15</v>
      </c>
      <c r="B296" t="s">
        <v>36</v>
      </c>
      <c r="C296" t="s">
        <v>72</v>
      </c>
      <c r="D296" t="s">
        <v>81</v>
      </c>
      <c r="E296" s="24">
        <f t="shared" si="67"/>
        <v>0</v>
      </c>
      <c r="F296" s="22">
        <f>-SUMIFS(CARGA!I:I,CARGA!B:B,tabla!A296,CARGA!D:D,tabla!C296,CARGA!C:C,MAESTRO!$B$4)-SUMIFS(CARGA!I:I,CARGA!B:B,tabla!A296,CARGA!D:D,tabla!C296,CARGA!C:C,MAESTRO!$B$5)</f>
        <v>0</v>
      </c>
      <c r="G296" s="5">
        <f>+SUMIFS(CARGA!I:I,CARGA!B:B,tabla!A296,CARGA!D:D,tabla!C296)</f>
        <v>0</v>
      </c>
      <c r="H296" s="5">
        <f>+SUMIFS(CARGA!K:K,CARGA!B:B,tabla!A296,CARGA!D:D,tabla!C296)</f>
        <v>0</v>
      </c>
      <c r="I296" s="5">
        <f t="shared" si="68"/>
        <v>0</v>
      </c>
      <c r="J296" s="5">
        <f>-SUMIFS(CARGA!K:K,CARGA!B:B,tabla!A296,CARGA!D:D,tabla!C296,CARGA!C:C,MAESTRO!$B$4)+SUMIFS(CARGA!K:K,CARGA!B:B,tabla!A296,CARGA!D:D,tabla!C296,CARGA!C:C,MAESTRO!$B$5)</f>
        <v>0</v>
      </c>
      <c r="K296" s="5" t="e">
        <f>+VLOOKUP(C296,#REF!,3,FALSE)</f>
        <v>#REF!</v>
      </c>
      <c r="L296" s="5" t="e">
        <f t="shared" si="69"/>
        <v>#REF!</v>
      </c>
      <c r="M296" s="5" t="e">
        <f t="shared" si="70"/>
        <v>#REF!</v>
      </c>
      <c r="N296" s="5" t="str">
        <f t="shared" si="71"/>
        <v>NO</v>
      </c>
      <c r="O296" s="5">
        <f>+VLOOKUP(C296,[2]Fondos!$F:$J,5,FALSE)</f>
        <v>4289905534.3099999</v>
      </c>
      <c r="P296" s="13">
        <f>+VLOOKUP(C296,[2]Fondos!$F:$K,6,FALSE)</f>
        <v>0.2090719</v>
      </c>
      <c r="Q296" s="13">
        <f t="shared" si="72"/>
        <v>0</v>
      </c>
      <c r="R296" s="10">
        <f>+IF(Q296&gt;MAESTRO!$G$6,0,1)</f>
        <v>1</v>
      </c>
      <c r="S296">
        <f>+IF(P296&lt;MAESTRO!$G$8,0,1)</f>
        <v>1</v>
      </c>
      <c r="T296" s="10">
        <f t="shared" si="73"/>
        <v>2</v>
      </c>
      <c r="U296" t="str">
        <f>+IF(R296+S296=2,MAESTRO!$G$2,IF(R296+S296=0,MAESTRO!$G$5,IF(R296=0,MAESTRO!$G$3,IF(S296=0,MAESTRO!$G$4,))))</f>
        <v>cumple politica</v>
      </c>
    </row>
    <row r="297" spans="1:21" x14ac:dyDescent="0.3">
      <c r="A297" t="s">
        <v>15</v>
      </c>
      <c r="B297" t="s">
        <v>28</v>
      </c>
      <c r="C297" t="s">
        <v>46</v>
      </c>
      <c r="D297" t="s">
        <v>81</v>
      </c>
      <c r="E297" s="24">
        <f t="shared" si="67"/>
        <v>0</v>
      </c>
      <c r="F297" s="22">
        <f>-SUMIFS(CARGA!I:I,CARGA!B:B,tabla!A297,CARGA!D:D,tabla!C297,CARGA!C:C,MAESTRO!$B$4)-SUMIFS(CARGA!I:I,CARGA!B:B,tabla!A297,CARGA!D:D,tabla!C297,CARGA!C:C,MAESTRO!$B$5)</f>
        <v>0</v>
      </c>
      <c r="G297" s="5">
        <f>+SUMIFS(CARGA!I:I,CARGA!B:B,tabla!A297,CARGA!D:D,tabla!C297)</f>
        <v>0</v>
      </c>
      <c r="H297" s="5">
        <f>+SUMIFS(CARGA!K:K,CARGA!B:B,tabla!A297,CARGA!D:D,tabla!C297)</f>
        <v>0</v>
      </c>
      <c r="I297" s="5">
        <f t="shared" si="68"/>
        <v>0</v>
      </c>
      <c r="J297" s="5">
        <f>-SUMIFS(CARGA!K:K,CARGA!B:B,tabla!A297,CARGA!D:D,tabla!C297,CARGA!C:C,MAESTRO!$B$4)+SUMIFS(CARGA!K:K,CARGA!B:B,tabla!A297,CARGA!D:D,tabla!C297,CARGA!C:C,MAESTRO!$B$5)</f>
        <v>0</v>
      </c>
      <c r="K297" s="5" t="e">
        <f>+VLOOKUP(C297,#REF!,3,FALSE)</f>
        <v>#REF!</v>
      </c>
      <c r="L297" s="5" t="e">
        <f t="shared" si="69"/>
        <v>#REF!</v>
      </c>
      <c r="M297" s="5" t="e">
        <f t="shared" si="70"/>
        <v>#REF!</v>
      </c>
      <c r="N297" s="5" t="str">
        <f t="shared" si="71"/>
        <v>NO</v>
      </c>
      <c r="O297" s="5">
        <f>+VLOOKUP(C297,[2]Fondos!$F:$J,5,FALSE)</f>
        <v>2107469999.9999998</v>
      </c>
      <c r="P297" s="13">
        <f>+VLOOKUP(C297,[2]Fondos!$F:$K,6,FALSE)</f>
        <v>0.20305720000000002</v>
      </c>
      <c r="Q297" s="13">
        <f t="shared" si="72"/>
        <v>0</v>
      </c>
      <c r="R297" s="10">
        <f>+IF(Q297&gt;MAESTRO!$G$6,0,1)</f>
        <v>1</v>
      </c>
      <c r="S297">
        <f>+IF(P297&lt;MAESTRO!$G$8,0,1)</f>
        <v>1</v>
      </c>
      <c r="T297" s="10">
        <f t="shared" si="73"/>
        <v>2</v>
      </c>
      <c r="U297" t="str">
        <f>+IF(R297+S297=2,MAESTRO!$G$2,IF(R297+S297=0,MAESTRO!$G$5,IF(R297=0,MAESTRO!$G$3,IF(S297=0,MAESTRO!$G$4,))))</f>
        <v>cumple politica</v>
      </c>
    </row>
    <row r="298" spans="1:21" x14ac:dyDescent="0.3">
      <c r="A298" t="s">
        <v>15</v>
      </c>
      <c r="B298" t="s">
        <v>28</v>
      </c>
      <c r="C298" t="s">
        <v>44</v>
      </c>
      <c r="D298" t="s">
        <v>81</v>
      </c>
      <c r="E298" s="24">
        <f t="shared" si="67"/>
        <v>0</v>
      </c>
      <c r="F298" s="22">
        <f>-SUMIFS(CARGA!I:I,CARGA!B:B,tabla!A298,CARGA!D:D,tabla!C298,CARGA!C:C,MAESTRO!$B$4)-SUMIFS(CARGA!I:I,CARGA!B:B,tabla!A298,CARGA!D:D,tabla!C298,CARGA!C:C,MAESTRO!$B$5)</f>
        <v>0</v>
      </c>
      <c r="G298" s="5">
        <f>+SUMIFS(CARGA!I:I,CARGA!B:B,tabla!A298,CARGA!D:D,tabla!C298)</f>
        <v>0</v>
      </c>
      <c r="H298" s="5">
        <f>+SUMIFS(CARGA!K:K,CARGA!B:B,tabla!A298,CARGA!D:D,tabla!C298)</f>
        <v>0</v>
      </c>
      <c r="I298" s="5">
        <f t="shared" si="68"/>
        <v>0</v>
      </c>
      <c r="J298" s="5">
        <f>-SUMIFS(CARGA!K:K,CARGA!B:B,tabla!A298,CARGA!D:D,tabla!C298,CARGA!C:C,MAESTRO!$B$4)+SUMIFS(CARGA!K:K,CARGA!B:B,tabla!A298,CARGA!D:D,tabla!C298,CARGA!C:C,MAESTRO!$B$5)</f>
        <v>0</v>
      </c>
      <c r="K298" s="5" t="e">
        <f>+VLOOKUP(C298,#REF!,3,FALSE)</f>
        <v>#REF!</v>
      </c>
      <c r="L298" s="5" t="e">
        <f t="shared" si="69"/>
        <v>#REF!</v>
      </c>
      <c r="M298" s="5" t="e">
        <f t="shared" si="70"/>
        <v>#REF!</v>
      </c>
      <c r="N298" s="5" t="str">
        <f t="shared" si="71"/>
        <v>NO</v>
      </c>
      <c r="O298" s="5">
        <f>+VLOOKUP(C298,[2]Fondos!$F:$J,5,FALSE)</f>
        <v>2107469999.9999998</v>
      </c>
      <c r="P298" s="13">
        <f>+VLOOKUP(C298,[2]Fondos!$F:$K,6,FALSE)</f>
        <v>0.20835799999999999</v>
      </c>
      <c r="Q298" s="13">
        <f t="shared" si="72"/>
        <v>0</v>
      </c>
      <c r="R298" s="10">
        <f>+IF(Q298&gt;MAESTRO!$G$6,0,1)</f>
        <v>1</v>
      </c>
      <c r="S298">
        <f>+IF(P298&lt;MAESTRO!$G$8,0,1)</f>
        <v>1</v>
      </c>
      <c r="T298" s="10">
        <f t="shared" si="73"/>
        <v>2</v>
      </c>
      <c r="U298" t="str">
        <f>+IF(R298+S298=2,MAESTRO!$G$2,IF(R298+S298=0,MAESTRO!$G$5,IF(R298=0,MAESTRO!$G$3,IF(S298=0,MAESTRO!$G$4,))))</f>
        <v>cumple politica</v>
      </c>
    </row>
    <row r="299" spans="1:21" x14ac:dyDescent="0.3">
      <c r="A299" t="s">
        <v>15</v>
      </c>
      <c r="B299" t="s">
        <v>28</v>
      </c>
      <c r="C299" t="s">
        <v>64</v>
      </c>
      <c r="D299" t="s">
        <v>82</v>
      </c>
      <c r="E299" s="24">
        <f t="shared" si="67"/>
        <v>0</v>
      </c>
      <c r="F299" s="22">
        <f>-SUMIFS(CARGA!I:I,CARGA!B:B,tabla!A299,CARGA!D:D,tabla!C299,CARGA!C:C,MAESTRO!$B$4)-SUMIFS(CARGA!I:I,CARGA!B:B,tabla!A299,CARGA!D:D,tabla!C299,CARGA!C:C,MAESTRO!$B$5)</f>
        <v>0</v>
      </c>
      <c r="G299" s="5">
        <f>+SUMIFS(CARGA!I:I,CARGA!B:B,tabla!A299,CARGA!D:D,tabla!C299)</f>
        <v>0</v>
      </c>
      <c r="H299" s="5">
        <f>+SUMIFS(CARGA!K:K,CARGA!B:B,tabla!A299,CARGA!D:D,tabla!C299)</f>
        <v>0</v>
      </c>
      <c r="I299" s="5">
        <f t="shared" si="68"/>
        <v>0</v>
      </c>
      <c r="J299" s="5">
        <f>-SUMIFS(CARGA!K:K,CARGA!B:B,tabla!A299,CARGA!D:D,tabla!C299,CARGA!C:C,MAESTRO!$B$4)+SUMIFS(CARGA!K:K,CARGA!B:B,tabla!A299,CARGA!D:D,tabla!C299,CARGA!C:C,MAESTRO!$B$5)</f>
        <v>0</v>
      </c>
      <c r="K299" s="5" t="e">
        <f>+VLOOKUP(C299,#REF!,3,FALSE)</f>
        <v>#REF!</v>
      </c>
      <c r="L299" s="5" t="e">
        <f t="shared" si="69"/>
        <v>#REF!</v>
      </c>
      <c r="M299" s="5" t="e">
        <f t="shared" si="70"/>
        <v>#REF!</v>
      </c>
      <c r="N299" s="5" t="str">
        <f t="shared" si="71"/>
        <v>NO</v>
      </c>
      <c r="O299" s="5">
        <f>+VLOOKUP(C299,[2]Fondos!$F:$J,5,FALSE)</f>
        <v>8673260000</v>
      </c>
      <c r="P299" s="13">
        <f>+VLOOKUP(C299,[2]Fondos!$F:$K,6,FALSE)</f>
        <v>0.25678699999999999</v>
      </c>
      <c r="Q299" s="13">
        <f t="shared" si="72"/>
        <v>0</v>
      </c>
      <c r="R299" s="10">
        <f>+IF(Q299&gt;MAESTRO!$G$6,0,1)</f>
        <v>1</v>
      </c>
      <c r="S299">
        <f>+IF(P299&lt;MAESTRO!$G$8,0,1)</f>
        <v>1</v>
      </c>
      <c r="T299" s="10">
        <f t="shared" si="73"/>
        <v>2</v>
      </c>
      <c r="U299" t="str">
        <f>+IF(R299+S299=2,MAESTRO!$G$2,IF(R299+S299=0,MAESTRO!$G$5,IF(R299=0,MAESTRO!$G$3,IF(S299=0,MAESTRO!$G$4,))))</f>
        <v>cumple politica</v>
      </c>
    </row>
    <row r="300" spans="1:21" x14ac:dyDescent="0.3">
      <c r="A300" t="s">
        <v>15</v>
      </c>
      <c r="B300" t="s">
        <v>28</v>
      </c>
      <c r="C300" t="s">
        <v>60</v>
      </c>
      <c r="D300" t="s">
        <v>82</v>
      </c>
      <c r="E300" s="24">
        <f t="shared" si="67"/>
        <v>0</v>
      </c>
      <c r="F300" s="22">
        <f>-SUMIFS(CARGA!I:I,CARGA!B:B,tabla!A300,CARGA!D:D,tabla!C300,CARGA!C:C,MAESTRO!$B$4)-SUMIFS(CARGA!I:I,CARGA!B:B,tabla!A300,CARGA!D:D,tabla!C300,CARGA!C:C,MAESTRO!$B$5)</f>
        <v>0</v>
      </c>
      <c r="G300" s="5">
        <f>+SUMIFS(CARGA!I:I,CARGA!B:B,tabla!A300,CARGA!D:D,tabla!C300)</f>
        <v>0</v>
      </c>
      <c r="H300" s="5">
        <f>+SUMIFS(CARGA!K:K,CARGA!B:B,tabla!A300,CARGA!D:D,tabla!C300)</f>
        <v>0</v>
      </c>
      <c r="I300" s="5">
        <f t="shared" si="68"/>
        <v>0</v>
      </c>
      <c r="J300" s="5">
        <f>-SUMIFS(CARGA!K:K,CARGA!B:B,tabla!A300,CARGA!D:D,tabla!C300,CARGA!C:C,MAESTRO!$B$4)+SUMIFS(CARGA!K:K,CARGA!B:B,tabla!A300,CARGA!D:D,tabla!C300,CARGA!C:C,MAESTRO!$B$5)</f>
        <v>0</v>
      </c>
      <c r="K300" s="5" t="e">
        <f>+VLOOKUP(C300,#REF!,3,FALSE)</f>
        <v>#REF!</v>
      </c>
      <c r="L300" s="5" t="e">
        <f t="shared" si="69"/>
        <v>#REF!</v>
      </c>
      <c r="M300" s="5" t="e">
        <f t="shared" si="70"/>
        <v>#REF!</v>
      </c>
      <c r="N300" s="5" t="str">
        <f t="shared" si="71"/>
        <v>NO</v>
      </c>
      <c r="O300" s="5">
        <f>+VLOOKUP(C300,[2]Fondos!$F:$J,5,FALSE)</f>
        <v>8673260000</v>
      </c>
      <c r="P300" s="13">
        <f>+VLOOKUP(C300,[2]Fondos!$F:$K,6,FALSE)</f>
        <v>0.26727390000000001</v>
      </c>
      <c r="Q300" s="13">
        <f t="shared" si="72"/>
        <v>0</v>
      </c>
      <c r="R300" s="10">
        <f>+IF(Q300&gt;MAESTRO!$G$6,0,1)</f>
        <v>1</v>
      </c>
      <c r="S300">
        <f>+IF(P300&lt;MAESTRO!$G$8,0,1)</f>
        <v>1</v>
      </c>
      <c r="T300" s="10">
        <f t="shared" si="73"/>
        <v>2</v>
      </c>
      <c r="U300" t="str">
        <f>+IF(R300+S300=2,MAESTRO!$G$2,IF(R300+S300=0,MAESTRO!$G$5,IF(R300=0,MAESTRO!$G$3,IF(S300=0,MAESTRO!$G$4,))))</f>
        <v>cumple politica</v>
      </c>
    </row>
    <row r="301" spans="1:21" x14ac:dyDescent="0.3">
      <c r="A301" t="s">
        <v>15</v>
      </c>
      <c r="B301" t="s">
        <v>22</v>
      </c>
      <c r="C301" t="s">
        <v>37</v>
      </c>
      <c r="D301" t="s">
        <v>81</v>
      </c>
      <c r="E301" s="24">
        <f t="shared" si="67"/>
        <v>0</v>
      </c>
      <c r="F301" s="22">
        <f>-SUMIFS(CARGA!I:I,CARGA!B:B,tabla!A301,CARGA!D:D,tabla!C301,CARGA!C:C,MAESTRO!$B$4)-SUMIFS(CARGA!I:I,CARGA!B:B,tabla!A301,CARGA!D:D,tabla!C301,CARGA!C:C,MAESTRO!$B$5)</f>
        <v>0</v>
      </c>
      <c r="G301" s="5">
        <f>+SUMIFS(CARGA!I:I,CARGA!B:B,tabla!A301,CARGA!D:D,tabla!C301)</f>
        <v>0</v>
      </c>
      <c r="H301" s="5">
        <f>+SUMIFS(CARGA!K:K,CARGA!B:B,tabla!A301,CARGA!D:D,tabla!C301)</f>
        <v>0</v>
      </c>
      <c r="I301" s="5">
        <f t="shared" si="68"/>
        <v>0</v>
      </c>
      <c r="J301" s="5">
        <f>-SUMIFS(CARGA!K:K,CARGA!B:B,tabla!A301,CARGA!D:D,tabla!C301,CARGA!C:C,MAESTRO!$B$4)+SUMIFS(CARGA!K:K,CARGA!B:B,tabla!A301,CARGA!D:D,tabla!C301,CARGA!C:C,MAESTRO!$B$5)</f>
        <v>0</v>
      </c>
      <c r="K301" s="5" t="e">
        <f>+VLOOKUP(C301,#REF!,3,FALSE)</f>
        <v>#REF!</v>
      </c>
      <c r="L301" s="5" t="e">
        <f t="shared" si="69"/>
        <v>#REF!</v>
      </c>
      <c r="M301" s="5" t="e">
        <f t="shared" si="70"/>
        <v>#REF!</v>
      </c>
      <c r="N301" s="5" t="str">
        <f t="shared" si="71"/>
        <v>NO</v>
      </c>
      <c r="O301" s="5">
        <f>+VLOOKUP(C301,[2]Fondos!$F:$J,5,FALSE)</f>
        <v>652691913</v>
      </c>
      <c r="P301" s="13">
        <f>+VLOOKUP(C301,[2]Fondos!$F:$K,6,FALSE)</f>
        <v>0.25056249999999997</v>
      </c>
      <c r="Q301" s="13">
        <f t="shared" si="72"/>
        <v>0</v>
      </c>
      <c r="R301" s="10">
        <f>+IF(Q301&gt;MAESTRO!$G$6,0,1)</f>
        <v>1</v>
      </c>
      <c r="S301">
        <f>+IF(P301&lt;MAESTRO!$G$8,0,1)</f>
        <v>1</v>
      </c>
      <c r="T301" s="10">
        <f t="shared" si="73"/>
        <v>2</v>
      </c>
      <c r="U301" t="str">
        <f>+IF(R301+S301=2,MAESTRO!$G$2,IF(R301+S301=0,MAESTRO!$G$5,IF(R301=0,MAESTRO!$G$3,IF(S301=0,MAESTRO!$G$4,))))</f>
        <v>cumple politica</v>
      </c>
    </row>
    <row r="302" spans="1:21" x14ac:dyDescent="0.3">
      <c r="A302" t="s">
        <v>15</v>
      </c>
      <c r="B302" t="s">
        <v>22</v>
      </c>
      <c r="C302" t="s">
        <v>54</v>
      </c>
      <c r="D302" t="s">
        <v>82</v>
      </c>
      <c r="E302" s="24">
        <f t="shared" si="67"/>
        <v>0</v>
      </c>
      <c r="F302" s="22">
        <f>-SUMIFS(CARGA!I:I,CARGA!B:B,tabla!A302,CARGA!D:D,tabla!C302,CARGA!C:C,MAESTRO!$B$4)-SUMIFS(CARGA!I:I,CARGA!B:B,tabla!A302,CARGA!D:D,tabla!C302,CARGA!C:C,MAESTRO!$B$5)</f>
        <v>0</v>
      </c>
      <c r="G302" s="5">
        <f>+SUMIFS(CARGA!I:I,CARGA!B:B,tabla!A302,CARGA!D:D,tabla!C302)</f>
        <v>0</v>
      </c>
      <c r="H302" s="5">
        <f>+SUMIFS(CARGA!K:K,CARGA!B:B,tabla!A302,CARGA!D:D,tabla!C302)</f>
        <v>0</v>
      </c>
      <c r="I302" s="5">
        <f t="shared" si="68"/>
        <v>0</v>
      </c>
      <c r="J302" s="5">
        <f>-SUMIFS(CARGA!K:K,CARGA!B:B,tabla!A302,CARGA!D:D,tabla!C302,CARGA!C:C,MAESTRO!$B$4)+SUMIFS(CARGA!K:K,CARGA!B:B,tabla!A302,CARGA!D:D,tabla!C302,CARGA!C:C,MAESTRO!$B$5)</f>
        <v>0</v>
      </c>
      <c r="K302" s="5" t="e">
        <f>+VLOOKUP(C302,#REF!,3,FALSE)</f>
        <v>#REF!</v>
      </c>
      <c r="L302" s="5" t="e">
        <f t="shared" si="69"/>
        <v>#REF!</v>
      </c>
      <c r="M302" s="5" t="e">
        <f t="shared" si="70"/>
        <v>#REF!</v>
      </c>
      <c r="N302" s="5" t="str">
        <f t="shared" si="71"/>
        <v>NO</v>
      </c>
      <c r="O302" s="5">
        <f>+VLOOKUP(C302,[2]Fondos!$F:$J,5,FALSE)</f>
        <v>2006490136</v>
      </c>
      <c r="P302" s="13">
        <f>+VLOOKUP(C302,[2]Fondos!$F:$K,6,FALSE)</f>
        <v>0.27425260000000001</v>
      </c>
      <c r="Q302" s="13">
        <f t="shared" si="72"/>
        <v>0</v>
      </c>
      <c r="R302" s="10">
        <f>+IF(Q302&gt;MAESTRO!$G$6,0,1)</f>
        <v>1</v>
      </c>
      <c r="S302">
        <f>+IF(P302&lt;MAESTRO!$G$8,0,1)</f>
        <v>1</v>
      </c>
      <c r="T302" s="10">
        <f t="shared" si="73"/>
        <v>2</v>
      </c>
      <c r="U302" t="str">
        <f>+IF(R302+S302=2,MAESTRO!$G$2,IF(R302+S302=0,MAESTRO!$G$5,IF(R302=0,MAESTRO!$G$3,IF(S302=0,MAESTRO!$G$4,))))</f>
        <v>cumple politica</v>
      </c>
    </row>
    <row r="303" spans="1:21" x14ac:dyDescent="0.3">
      <c r="A303" t="s">
        <v>15</v>
      </c>
      <c r="B303" t="s">
        <v>34</v>
      </c>
      <c r="C303" t="s">
        <v>77</v>
      </c>
      <c r="D303" t="s">
        <v>82</v>
      </c>
      <c r="E303" s="24">
        <f t="shared" si="67"/>
        <v>0</v>
      </c>
      <c r="F303" s="22">
        <f>-SUMIFS(CARGA!I:I,CARGA!B:B,tabla!A303,CARGA!D:D,tabla!C303,CARGA!C:C,MAESTRO!$B$4)-SUMIFS(CARGA!I:I,CARGA!B:B,tabla!A303,CARGA!D:D,tabla!C303,CARGA!C:C,MAESTRO!$B$5)</f>
        <v>0</v>
      </c>
      <c r="G303" s="5">
        <f>+SUMIFS(CARGA!I:I,CARGA!B:B,tabla!A303,CARGA!D:D,tabla!C303)</f>
        <v>0</v>
      </c>
      <c r="H303" s="5">
        <f>+SUMIFS(CARGA!K:K,CARGA!B:B,tabla!A303,CARGA!D:D,tabla!C303)</f>
        <v>0</v>
      </c>
      <c r="I303" s="5">
        <f t="shared" si="68"/>
        <v>0</v>
      </c>
      <c r="J303" s="5">
        <f>-SUMIFS(CARGA!K:K,CARGA!B:B,tabla!A303,CARGA!D:D,tabla!C303,CARGA!C:C,MAESTRO!$B$4)+SUMIFS(CARGA!K:K,CARGA!B:B,tabla!A303,CARGA!D:D,tabla!C303,CARGA!C:C,MAESTRO!$B$5)</f>
        <v>0</v>
      </c>
      <c r="K303" s="5" t="e">
        <f>+VLOOKUP(C303,#REF!,3,FALSE)</f>
        <v>#REF!</v>
      </c>
      <c r="L303" s="5" t="e">
        <f t="shared" si="69"/>
        <v>#REF!</v>
      </c>
      <c r="M303" s="5" t="e">
        <f t="shared" si="70"/>
        <v>#REF!</v>
      </c>
      <c r="N303" s="5" t="str">
        <f t="shared" si="71"/>
        <v>NO</v>
      </c>
      <c r="O303" s="5">
        <f>+VLOOKUP(C303,[2]Fondos!$F:$J,5,FALSE)</f>
        <v>10383624192</v>
      </c>
      <c r="P303" s="13">
        <f>+VLOOKUP(C303,[2]Fondos!$F:$K,6,FALSE)</f>
        <v>0.27741320000000003</v>
      </c>
      <c r="Q303" s="13">
        <f t="shared" si="72"/>
        <v>0</v>
      </c>
      <c r="R303" s="10">
        <f>+IF(Q303&gt;MAESTRO!$G$6,0,1)</f>
        <v>1</v>
      </c>
      <c r="S303">
        <f>+IF(P303&lt;MAESTRO!$G$8,0,1)</f>
        <v>1</v>
      </c>
      <c r="T303" s="10">
        <f t="shared" si="73"/>
        <v>2</v>
      </c>
      <c r="U303" t="str">
        <f>+IF(R303+S303=2,MAESTRO!$G$2,IF(R303+S303=0,MAESTRO!$G$5,IF(R303=0,MAESTRO!$G$3,IF(S303=0,MAESTRO!$G$4,))))</f>
        <v>cumple politica</v>
      </c>
    </row>
    <row r="304" spans="1:21" x14ac:dyDescent="0.3">
      <c r="A304" t="s">
        <v>15</v>
      </c>
      <c r="B304" t="s">
        <v>34</v>
      </c>
      <c r="C304" t="s">
        <v>53</v>
      </c>
      <c r="D304" t="s">
        <v>81</v>
      </c>
      <c r="E304" s="24">
        <f t="shared" si="67"/>
        <v>0</v>
      </c>
      <c r="F304" s="22">
        <f>-SUMIFS(CARGA!I:I,CARGA!B:B,tabla!A304,CARGA!D:D,tabla!C304,CARGA!C:C,MAESTRO!$B$4)-SUMIFS(CARGA!I:I,CARGA!B:B,tabla!A304,CARGA!D:D,tabla!C304,CARGA!C:C,MAESTRO!$B$5)</f>
        <v>0</v>
      </c>
      <c r="G304" s="5">
        <f>+SUMIFS(CARGA!I:I,CARGA!B:B,tabla!A304,CARGA!D:D,tabla!C304)</f>
        <v>0</v>
      </c>
      <c r="H304" s="5">
        <f>+SUMIFS(CARGA!K:K,CARGA!B:B,tabla!A304,CARGA!D:D,tabla!C304)</f>
        <v>0</v>
      </c>
      <c r="I304" s="5">
        <f t="shared" si="68"/>
        <v>0</v>
      </c>
      <c r="J304" s="5">
        <f>-SUMIFS(CARGA!K:K,CARGA!B:B,tabla!A304,CARGA!D:D,tabla!C304,CARGA!C:C,MAESTRO!$B$4)+SUMIFS(CARGA!K:K,CARGA!B:B,tabla!A304,CARGA!D:D,tabla!C304,CARGA!C:C,MAESTRO!$B$5)</f>
        <v>0</v>
      </c>
      <c r="K304" s="5" t="e">
        <f>+VLOOKUP(C304,#REF!,3,FALSE)</f>
        <v>#REF!</v>
      </c>
      <c r="L304" s="5" t="e">
        <f t="shared" si="69"/>
        <v>#REF!</v>
      </c>
      <c r="M304" s="5" t="e">
        <f t="shared" si="70"/>
        <v>#REF!</v>
      </c>
      <c r="N304" s="5" t="str">
        <f t="shared" si="71"/>
        <v>NO</v>
      </c>
      <c r="O304" s="5">
        <f>+VLOOKUP(C304,[2]Fondos!$F:$J,5,FALSE)</f>
        <v>4530803420</v>
      </c>
      <c r="P304" s="13">
        <f>+VLOOKUP(C304,[2]Fondos!$F:$K,6,FALSE)</f>
        <v>0.2425168</v>
      </c>
      <c r="Q304" s="13">
        <f t="shared" si="72"/>
        <v>0</v>
      </c>
      <c r="R304" s="10">
        <f>+IF(Q304&gt;MAESTRO!$G$6,0,1)</f>
        <v>1</v>
      </c>
      <c r="S304">
        <f>+IF(P304&lt;MAESTRO!$G$8,0,1)</f>
        <v>1</v>
      </c>
      <c r="T304" s="10">
        <f t="shared" si="73"/>
        <v>2</v>
      </c>
      <c r="U304" t="str">
        <f>+IF(R304+S304=2,MAESTRO!$G$2,IF(R304+S304=0,MAESTRO!$G$5,IF(R304=0,MAESTRO!$G$3,IF(S304=0,MAESTRO!$G$4,))))</f>
        <v>cumple politica</v>
      </c>
    </row>
    <row r="305" spans="1:21" x14ac:dyDescent="0.3">
      <c r="A305" t="s">
        <v>15</v>
      </c>
      <c r="B305" t="s">
        <v>129</v>
      </c>
      <c r="C305" t="s">
        <v>128</v>
      </c>
      <c r="D305" t="s">
        <v>81</v>
      </c>
      <c r="E305" s="24">
        <f t="shared" si="67"/>
        <v>0</v>
      </c>
      <c r="F305" s="22">
        <f>-SUMIFS(CARGA!I:I,CARGA!B:B,tabla!A305,CARGA!D:D,tabla!C305,CARGA!C:C,MAESTRO!$B$4)-SUMIFS(CARGA!I:I,CARGA!B:B,tabla!A305,CARGA!D:D,tabla!C305,CARGA!C:C,MAESTRO!$B$5)</f>
        <v>0</v>
      </c>
      <c r="G305" s="5">
        <f>+SUMIFS(CARGA!I:I,CARGA!B:B,tabla!A305,CARGA!D:D,tabla!C305)</f>
        <v>0</v>
      </c>
      <c r="H305" s="5">
        <f>+SUMIFS(CARGA!K:K,CARGA!B:B,tabla!A305,CARGA!D:D,tabla!C305)</f>
        <v>0</v>
      </c>
      <c r="I305" s="5">
        <f t="shared" si="68"/>
        <v>0</v>
      </c>
      <c r="J305" s="5">
        <f>-SUMIFS(CARGA!K:K,CARGA!B:B,tabla!A305,CARGA!D:D,tabla!C305,CARGA!C:C,MAESTRO!$B$4)+SUMIFS(CARGA!K:K,CARGA!B:B,tabla!A305,CARGA!D:D,tabla!C305,CARGA!C:C,MAESTRO!$B$5)</f>
        <v>0</v>
      </c>
      <c r="K305" s="5" t="e">
        <f>+VLOOKUP(C305,#REF!,3,FALSE)</f>
        <v>#REF!</v>
      </c>
      <c r="L305" s="5" t="e">
        <f t="shared" si="69"/>
        <v>#REF!</v>
      </c>
      <c r="M305" s="5" t="e">
        <f t="shared" si="70"/>
        <v>#REF!</v>
      </c>
      <c r="N305" s="5" t="str">
        <f t="shared" si="71"/>
        <v>NO</v>
      </c>
      <c r="O305" s="5" t="e">
        <f>+VLOOKUP(C305,[2]Fondos!$F:$J,5,FALSE)</f>
        <v>#N/A</v>
      </c>
      <c r="P305" s="13" t="e">
        <f>+VLOOKUP(C305,[2]Fondos!$F:$K,6,FALSE)</f>
        <v>#N/A</v>
      </c>
      <c r="Q305" s="13" t="e">
        <f t="shared" si="72"/>
        <v>#N/A</v>
      </c>
      <c r="R305" s="10" t="e">
        <f>+IF(Q305&gt;MAESTRO!$G$6,0,1)</f>
        <v>#N/A</v>
      </c>
      <c r="S305" t="e">
        <f>+IF(P305&lt;MAESTRO!$G$8,0,1)</f>
        <v>#N/A</v>
      </c>
      <c r="T305" s="10" t="e">
        <f t="shared" si="73"/>
        <v>#N/A</v>
      </c>
      <c r="U305" t="e">
        <f>+IF(R305+S305=2,MAESTRO!$G$2,IF(R305+S305=0,MAESTRO!$G$5,IF(R305=0,MAESTRO!$G$3,IF(S305=0,MAESTRO!$G$4,))))</f>
        <v>#N/A</v>
      </c>
    </row>
    <row r="306" spans="1:21" x14ac:dyDescent="0.3">
      <c r="A306" t="s">
        <v>15</v>
      </c>
      <c r="B306" t="s">
        <v>30</v>
      </c>
      <c r="C306" t="s">
        <v>49</v>
      </c>
      <c r="D306" t="s">
        <v>81</v>
      </c>
      <c r="E306" s="24">
        <f t="shared" si="67"/>
        <v>0</v>
      </c>
      <c r="F306" s="22">
        <f>-SUMIFS(CARGA!I:I,CARGA!B:B,tabla!A306,CARGA!D:D,tabla!C306,CARGA!C:C,MAESTRO!$B$4)-SUMIFS(CARGA!I:I,CARGA!B:B,tabla!A306,CARGA!D:D,tabla!C306,CARGA!C:C,MAESTRO!$B$5)</f>
        <v>0</v>
      </c>
      <c r="G306" s="5">
        <f>+SUMIFS(CARGA!I:I,CARGA!B:B,tabla!A306,CARGA!D:D,tabla!C306)</f>
        <v>0</v>
      </c>
      <c r="H306" s="5">
        <f>+SUMIFS(CARGA!K:K,CARGA!B:B,tabla!A306,CARGA!D:D,tabla!C306)</f>
        <v>0</v>
      </c>
      <c r="I306" s="5">
        <f t="shared" si="68"/>
        <v>0</v>
      </c>
      <c r="J306" s="5">
        <f>-SUMIFS(CARGA!K:K,CARGA!B:B,tabla!A306,CARGA!D:D,tabla!C306,CARGA!C:C,MAESTRO!$B$4)+SUMIFS(CARGA!K:K,CARGA!B:B,tabla!A306,CARGA!D:D,tabla!C306,CARGA!C:C,MAESTRO!$B$5)</f>
        <v>0</v>
      </c>
      <c r="K306" s="5" t="e">
        <f>+VLOOKUP(C306,#REF!,3,FALSE)</f>
        <v>#REF!</v>
      </c>
      <c r="L306" s="5" t="e">
        <f t="shared" si="69"/>
        <v>#REF!</v>
      </c>
      <c r="M306" s="5" t="e">
        <f t="shared" si="70"/>
        <v>#REF!</v>
      </c>
      <c r="N306" s="5" t="str">
        <f t="shared" si="71"/>
        <v>NO</v>
      </c>
      <c r="O306" s="5">
        <f>+VLOOKUP(C306,[2]Fondos!$F:$J,5,FALSE)</f>
        <v>9591427.7400000002</v>
      </c>
      <c r="P306" s="13">
        <f>+VLOOKUP(C306,[2]Fondos!$F:$K,6,FALSE)</f>
        <v>0.1408799</v>
      </c>
      <c r="Q306" s="13">
        <f t="shared" si="72"/>
        <v>0</v>
      </c>
      <c r="R306" s="10">
        <f>+IF(Q306&gt;MAESTRO!$G$6,0,1)</f>
        <v>1</v>
      </c>
      <c r="S306">
        <f>+IF(P306&lt;MAESTRO!$G$8,0,1)</f>
        <v>1</v>
      </c>
      <c r="T306" s="10">
        <f t="shared" si="73"/>
        <v>2</v>
      </c>
      <c r="U306" t="str">
        <f>+IF(R306+S306=2,MAESTRO!$G$2,IF(R306+S306=0,MAESTRO!$G$5,IF(R306=0,MAESTRO!$G$3,IF(S306=0,MAESTRO!$G$4,))))</f>
        <v>cumple politica</v>
      </c>
    </row>
    <row r="307" spans="1:21" x14ac:dyDescent="0.3">
      <c r="A307" t="s">
        <v>15</v>
      </c>
      <c r="B307" t="s">
        <v>30</v>
      </c>
      <c r="C307" t="s">
        <v>68</v>
      </c>
      <c r="D307" t="s">
        <v>82</v>
      </c>
      <c r="E307" s="24">
        <f t="shared" si="67"/>
        <v>0</v>
      </c>
      <c r="F307" s="22">
        <f>-SUMIFS(CARGA!I:I,CARGA!B:B,tabla!A307,CARGA!D:D,tabla!C307,CARGA!C:C,MAESTRO!$B$4)-SUMIFS(CARGA!I:I,CARGA!B:B,tabla!A307,CARGA!D:D,tabla!C307,CARGA!C:C,MAESTRO!$B$5)</f>
        <v>0</v>
      </c>
      <c r="G307" s="5">
        <f>+SUMIFS(CARGA!I:I,CARGA!B:B,tabla!A307,CARGA!D:D,tabla!C307)</f>
        <v>0</v>
      </c>
      <c r="H307" s="5">
        <f>+SUMIFS(CARGA!K:K,CARGA!B:B,tabla!A307,CARGA!D:D,tabla!C307)</f>
        <v>0</v>
      </c>
      <c r="I307" s="5">
        <f t="shared" si="68"/>
        <v>0</v>
      </c>
      <c r="J307" s="5">
        <f>-SUMIFS(CARGA!K:K,CARGA!B:B,tabla!A307,CARGA!D:D,tabla!C307,CARGA!C:C,MAESTRO!$B$4)+SUMIFS(CARGA!K:K,CARGA!B:B,tabla!A307,CARGA!D:D,tabla!C307,CARGA!C:C,MAESTRO!$B$5)</f>
        <v>0</v>
      </c>
      <c r="K307" s="5" t="e">
        <f>+VLOOKUP(C307,#REF!,3,FALSE)</f>
        <v>#REF!</v>
      </c>
      <c r="L307" s="5" t="e">
        <f t="shared" si="69"/>
        <v>#REF!</v>
      </c>
      <c r="M307" s="5" t="e">
        <f t="shared" si="70"/>
        <v>#REF!</v>
      </c>
      <c r="N307" s="5" t="str">
        <f t="shared" si="71"/>
        <v>NO</v>
      </c>
      <c r="O307" s="5">
        <f>+VLOOKUP(C307,[2]Fondos!$F:$J,5,FALSE)</f>
        <v>5034893543.9799995</v>
      </c>
      <c r="P307" s="13">
        <f>+VLOOKUP(C307,[2]Fondos!$F:$K,6,FALSE)</f>
        <v>0.27295020000000003</v>
      </c>
      <c r="Q307" s="13">
        <f t="shared" si="72"/>
        <v>0</v>
      </c>
      <c r="R307" s="10">
        <f>+IF(Q307&gt;MAESTRO!$G$6,0,1)</f>
        <v>1</v>
      </c>
      <c r="S307">
        <f>+IF(P307&lt;MAESTRO!$G$8,0,1)</f>
        <v>1</v>
      </c>
      <c r="T307" s="10">
        <f t="shared" si="73"/>
        <v>2</v>
      </c>
      <c r="U307" t="str">
        <f>+IF(R307+S307=2,MAESTRO!$G$2,IF(R307+S307=0,MAESTRO!$G$5,IF(R307=0,MAESTRO!$G$3,IF(S307=0,MAESTRO!$G$4,))))</f>
        <v>cumple politica</v>
      </c>
    </row>
    <row r="308" spans="1:21" x14ac:dyDescent="0.3">
      <c r="A308" t="s">
        <v>15</v>
      </c>
      <c r="B308" t="s">
        <v>30</v>
      </c>
      <c r="C308" t="s">
        <v>67</v>
      </c>
      <c r="D308" t="s">
        <v>82</v>
      </c>
      <c r="E308" s="24">
        <f t="shared" si="67"/>
        <v>0</v>
      </c>
      <c r="F308" s="22">
        <f>-SUMIFS(CARGA!I:I,CARGA!B:B,tabla!A308,CARGA!D:D,tabla!C308,CARGA!C:C,MAESTRO!$B$4)-SUMIFS(CARGA!I:I,CARGA!B:B,tabla!A308,CARGA!D:D,tabla!C308,CARGA!C:C,MAESTRO!$B$5)</f>
        <v>0</v>
      </c>
      <c r="G308" s="5">
        <f>+SUMIFS(CARGA!I:I,CARGA!B:B,tabla!A308,CARGA!D:D,tabla!C308)</f>
        <v>0</v>
      </c>
      <c r="H308" s="5">
        <f>+SUMIFS(CARGA!K:K,CARGA!B:B,tabla!A308,CARGA!D:D,tabla!C308)</f>
        <v>0</v>
      </c>
      <c r="I308" s="5">
        <f t="shared" si="68"/>
        <v>0</v>
      </c>
      <c r="J308" s="5">
        <f>-SUMIFS(CARGA!K:K,CARGA!B:B,tabla!A308,CARGA!D:D,tabla!C308,CARGA!C:C,MAESTRO!$B$4)+SUMIFS(CARGA!K:K,CARGA!B:B,tabla!A308,CARGA!D:D,tabla!C308,CARGA!C:C,MAESTRO!$B$5)</f>
        <v>0</v>
      </c>
      <c r="K308" s="5" t="e">
        <f>+VLOOKUP(C308,#REF!,3,FALSE)</f>
        <v>#REF!</v>
      </c>
      <c r="L308" s="5" t="e">
        <f t="shared" si="69"/>
        <v>#REF!</v>
      </c>
      <c r="M308" s="5" t="e">
        <f t="shared" si="70"/>
        <v>#REF!</v>
      </c>
      <c r="N308" s="5" t="str">
        <f t="shared" si="71"/>
        <v>NO</v>
      </c>
      <c r="O308" s="5">
        <f>+VLOOKUP(C308,[2]Fondos!$F:$J,5,FALSE)</f>
        <v>11465050695.200001</v>
      </c>
      <c r="P308" s="13">
        <f>+VLOOKUP(C308,[2]Fondos!$F:$K,6,FALSE)</f>
        <v>0.2357329</v>
      </c>
      <c r="Q308" s="13">
        <f t="shared" si="72"/>
        <v>0</v>
      </c>
      <c r="R308" s="10">
        <f>+IF(Q308&gt;MAESTRO!$G$6,0,1)</f>
        <v>1</v>
      </c>
      <c r="S308">
        <f>+IF(P308&lt;MAESTRO!$G$8,0,1)</f>
        <v>1</v>
      </c>
      <c r="T308" s="10">
        <f t="shared" si="73"/>
        <v>2</v>
      </c>
      <c r="U308" t="str">
        <f>+IF(R308+S308=2,MAESTRO!$G$2,IF(R308+S308=0,MAESTRO!$G$5,IF(R308=0,MAESTRO!$G$3,IF(S308=0,MAESTRO!$G$4,))))</f>
        <v>cumple politica</v>
      </c>
    </row>
    <row r="309" spans="1:21" x14ac:dyDescent="0.3">
      <c r="A309" t="s">
        <v>15</v>
      </c>
      <c r="B309" t="s">
        <v>29</v>
      </c>
      <c r="C309" t="s">
        <v>48</v>
      </c>
      <c r="D309" t="s">
        <v>81</v>
      </c>
      <c r="E309" s="24">
        <f t="shared" si="67"/>
        <v>0</v>
      </c>
      <c r="F309" s="22">
        <f>-SUMIFS(CARGA!I:I,CARGA!B:B,tabla!A309,CARGA!D:D,tabla!C309,CARGA!C:C,MAESTRO!$B$4)-SUMIFS(CARGA!I:I,CARGA!B:B,tabla!A309,CARGA!D:D,tabla!C309,CARGA!C:C,MAESTRO!$B$5)</f>
        <v>0</v>
      </c>
      <c r="G309" s="5">
        <f>+SUMIFS(CARGA!I:I,CARGA!B:B,tabla!A309,CARGA!D:D,tabla!C309)</f>
        <v>0</v>
      </c>
      <c r="H309" s="5">
        <f>+SUMIFS(CARGA!K:K,CARGA!B:B,tabla!A309,CARGA!D:D,tabla!C309)</f>
        <v>0</v>
      </c>
      <c r="I309" s="5">
        <f t="shared" si="68"/>
        <v>0</v>
      </c>
      <c r="J309" s="5">
        <f>-SUMIFS(CARGA!K:K,CARGA!B:B,tabla!A309,CARGA!D:D,tabla!C309,CARGA!C:C,MAESTRO!$B$4)+SUMIFS(CARGA!K:K,CARGA!B:B,tabla!A309,CARGA!D:D,tabla!C309,CARGA!C:C,MAESTRO!$B$5)</f>
        <v>0</v>
      </c>
      <c r="K309" s="5" t="e">
        <f>+VLOOKUP(C309,#REF!,3,FALSE)</f>
        <v>#REF!</v>
      </c>
      <c r="L309" s="5" t="e">
        <f t="shared" si="69"/>
        <v>#REF!</v>
      </c>
      <c r="M309" s="5" t="e">
        <f t="shared" si="70"/>
        <v>#REF!</v>
      </c>
      <c r="N309" s="5" t="str">
        <f t="shared" si="71"/>
        <v>NO</v>
      </c>
      <c r="O309" s="5">
        <f>+VLOOKUP(C309,[2]Fondos!$F:$J,5,FALSE)</f>
        <v>1752057008.8599999</v>
      </c>
      <c r="P309" s="13">
        <f>+VLOOKUP(C309,[2]Fondos!$F:$K,6,FALSE)</f>
        <v>0.21970210000000001</v>
      </c>
      <c r="Q309" s="13">
        <f t="shared" si="72"/>
        <v>0</v>
      </c>
      <c r="R309" s="10">
        <f>+IF(Q309&gt;MAESTRO!$G$6,0,1)</f>
        <v>1</v>
      </c>
      <c r="S309">
        <f>+IF(P309&lt;MAESTRO!$G$8,0,1)</f>
        <v>1</v>
      </c>
      <c r="T309" s="10">
        <f t="shared" si="73"/>
        <v>2</v>
      </c>
      <c r="U309" t="str">
        <f>+IF(R309+S309=2,MAESTRO!$G$2,IF(R309+S309=0,MAESTRO!$G$5,IF(R309=0,MAESTRO!$G$3,IF(S309=0,MAESTRO!$G$4,))))</f>
        <v>cumple politica</v>
      </c>
    </row>
    <row r="310" spans="1:21" x14ac:dyDescent="0.3">
      <c r="A310" t="s">
        <v>15</v>
      </c>
      <c r="B310" t="s">
        <v>29</v>
      </c>
      <c r="C310" t="s">
        <v>66</v>
      </c>
      <c r="D310" t="s">
        <v>82</v>
      </c>
      <c r="E310" s="24">
        <f t="shared" si="67"/>
        <v>0</v>
      </c>
      <c r="F310" s="22">
        <f>-SUMIFS(CARGA!I:I,CARGA!B:B,tabla!A310,CARGA!D:D,tabla!C310,CARGA!C:C,MAESTRO!$B$4)-SUMIFS(CARGA!I:I,CARGA!B:B,tabla!A310,CARGA!D:D,tabla!C310,CARGA!C:C,MAESTRO!$B$5)</f>
        <v>0</v>
      </c>
      <c r="G310" s="5">
        <f>+SUMIFS(CARGA!I:I,CARGA!B:B,tabla!A310,CARGA!D:D,tabla!C310)</f>
        <v>0</v>
      </c>
      <c r="H310" s="5">
        <f>+SUMIFS(CARGA!K:K,CARGA!B:B,tabla!A310,CARGA!D:D,tabla!C310)</f>
        <v>0</v>
      </c>
      <c r="I310" s="5">
        <f t="shared" si="68"/>
        <v>0</v>
      </c>
      <c r="J310" s="5">
        <f>-SUMIFS(CARGA!K:K,CARGA!B:B,tabla!A310,CARGA!D:D,tabla!C310,CARGA!C:C,MAESTRO!$B$4)+SUMIFS(CARGA!K:K,CARGA!B:B,tabla!A310,CARGA!D:D,tabla!C310,CARGA!C:C,MAESTRO!$B$5)</f>
        <v>0</v>
      </c>
      <c r="K310" s="5" t="e">
        <f>+VLOOKUP(C310,#REF!,3,FALSE)</f>
        <v>#REF!</v>
      </c>
      <c r="L310" s="5" t="e">
        <f t="shared" si="69"/>
        <v>#REF!</v>
      </c>
      <c r="M310" s="5" t="e">
        <f t="shared" si="70"/>
        <v>#REF!</v>
      </c>
      <c r="N310" s="5" t="str">
        <f t="shared" si="71"/>
        <v>NO</v>
      </c>
      <c r="O310" s="5">
        <f>+VLOOKUP(C310,[2]Fondos!$F:$J,5,FALSE)</f>
        <v>15968105687.34</v>
      </c>
      <c r="P310" s="13">
        <f>+VLOOKUP(C310,[2]Fondos!$F:$K,6,FALSE)</f>
        <v>0.27123580000000003</v>
      </c>
      <c r="Q310" s="13">
        <f t="shared" si="72"/>
        <v>0</v>
      </c>
      <c r="R310" s="10">
        <f>+IF(Q310&gt;MAESTRO!$G$6,0,1)</f>
        <v>1</v>
      </c>
      <c r="S310">
        <f>+IF(P310&lt;MAESTRO!$G$8,0,1)</f>
        <v>1</v>
      </c>
      <c r="T310" s="10">
        <f t="shared" si="73"/>
        <v>2</v>
      </c>
      <c r="U310" t="str">
        <f>+IF(R310+S310=2,MAESTRO!$G$2,IF(R310+S310=0,MAESTRO!$G$5,IF(R310=0,MAESTRO!$G$3,IF(S310=0,MAESTRO!$G$4,))))</f>
        <v>cumple politica</v>
      </c>
    </row>
    <row r="311" spans="1:21" x14ac:dyDescent="0.3">
      <c r="A311" t="s">
        <v>15</v>
      </c>
      <c r="B311" t="s">
        <v>29</v>
      </c>
      <c r="C311" t="s">
        <v>110</v>
      </c>
      <c r="D311" t="s">
        <v>83</v>
      </c>
      <c r="E311" s="24">
        <f t="shared" si="67"/>
        <v>0</v>
      </c>
      <c r="F311" s="22">
        <f>-SUMIFS(CARGA!I:I,CARGA!B:B,tabla!A311,CARGA!D:D,tabla!C311,CARGA!C:C,MAESTRO!$B$4)-SUMIFS(CARGA!I:I,CARGA!B:B,tabla!A311,CARGA!D:D,tabla!C311,CARGA!C:C,MAESTRO!$B$5)</f>
        <v>0</v>
      </c>
      <c r="G311" s="5">
        <f>+SUMIFS(CARGA!I:I,CARGA!B:B,tabla!A311,CARGA!D:D,tabla!C311)</f>
        <v>0</v>
      </c>
      <c r="H311" s="5">
        <f>+SUMIFS(CARGA!K:K,CARGA!B:B,tabla!A311,CARGA!D:D,tabla!C311)</f>
        <v>0</v>
      </c>
      <c r="I311" s="5">
        <f t="shared" si="68"/>
        <v>0</v>
      </c>
      <c r="J311" s="5">
        <f>-SUMIFS(CARGA!K:K,CARGA!B:B,tabla!A311,CARGA!D:D,tabla!C311,CARGA!C:C,MAESTRO!$B$4)+SUMIFS(CARGA!K:K,CARGA!B:B,tabla!A311,CARGA!D:D,tabla!C311,CARGA!C:C,MAESTRO!$B$5)</f>
        <v>0</v>
      </c>
      <c r="K311" s="5" t="e">
        <f>+VLOOKUP(C311,#REF!,3,FALSE)</f>
        <v>#REF!</v>
      </c>
      <c r="L311" s="5" t="e">
        <f t="shared" si="69"/>
        <v>#REF!</v>
      </c>
      <c r="M311" s="5" t="e">
        <f t="shared" si="70"/>
        <v>#REF!</v>
      </c>
      <c r="N311" s="5" t="str">
        <f t="shared" si="71"/>
        <v>NO</v>
      </c>
      <c r="O311" s="5" t="e">
        <f>+VLOOKUP(C311,[2]Fondos!$F:$J,5,FALSE)</f>
        <v>#N/A</v>
      </c>
      <c r="P311" s="13" t="e">
        <f>+VLOOKUP(C311,[2]Fondos!$F:$K,6,FALSE)</f>
        <v>#N/A</v>
      </c>
      <c r="Q311" s="13" t="e">
        <f t="shared" si="72"/>
        <v>#N/A</v>
      </c>
      <c r="R311" s="10" t="e">
        <f>+IF(Q311&gt;MAESTRO!$G$6,0,1)</f>
        <v>#N/A</v>
      </c>
      <c r="S311" t="e">
        <f>+IF(P311&lt;MAESTRO!$G$8,0,1)</f>
        <v>#N/A</v>
      </c>
      <c r="T311" s="10" t="e">
        <f t="shared" si="73"/>
        <v>#N/A</v>
      </c>
      <c r="U311" t="e">
        <f>+IF(R311+S311=2,MAESTRO!$G$2,IF(R311+S311=0,MAESTRO!$G$5,IF(R311=0,MAESTRO!$G$3,IF(S311=0,MAESTRO!$G$4,))))</f>
        <v>#N/A</v>
      </c>
    </row>
    <row r="312" spans="1:21" x14ac:dyDescent="0.3">
      <c r="A312" t="s">
        <v>15</v>
      </c>
      <c r="B312" t="s">
        <v>24</v>
      </c>
      <c r="C312" t="s">
        <v>39</v>
      </c>
      <c r="D312" t="s">
        <v>81</v>
      </c>
      <c r="E312" s="24">
        <f t="shared" si="67"/>
        <v>0</v>
      </c>
      <c r="F312" s="22">
        <f>-SUMIFS(CARGA!I:I,CARGA!B:B,tabla!A312,CARGA!D:D,tabla!C312,CARGA!C:C,MAESTRO!$B$4)-SUMIFS(CARGA!I:I,CARGA!B:B,tabla!A312,CARGA!D:D,tabla!C312,CARGA!C:C,MAESTRO!$B$5)</f>
        <v>0</v>
      </c>
      <c r="G312" s="5">
        <f>+SUMIFS(CARGA!I:I,CARGA!B:B,tabla!A312,CARGA!D:D,tabla!C312)</f>
        <v>0</v>
      </c>
      <c r="H312" s="5">
        <f>+SUMIFS(CARGA!K:K,CARGA!B:B,tabla!A312,CARGA!D:D,tabla!C312)</f>
        <v>0</v>
      </c>
      <c r="I312" s="5">
        <f t="shared" si="68"/>
        <v>0</v>
      </c>
      <c r="J312" s="5">
        <f>-SUMIFS(CARGA!K:K,CARGA!B:B,tabla!A312,CARGA!D:D,tabla!C312,CARGA!C:C,MAESTRO!$B$4)+SUMIFS(CARGA!K:K,CARGA!B:B,tabla!A312,CARGA!D:D,tabla!C312,CARGA!C:C,MAESTRO!$B$5)</f>
        <v>0</v>
      </c>
      <c r="K312" s="5" t="e">
        <f>+VLOOKUP(C312,#REF!,3,FALSE)</f>
        <v>#REF!</v>
      </c>
      <c r="L312" s="5" t="e">
        <f t="shared" si="69"/>
        <v>#REF!</v>
      </c>
      <c r="M312" s="5" t="e">
        <f t="shared" si="70"/>
        <v>#REF!</v>
      </c>
      <c r="N312" s="5" t="str">
        <f t="shared" si="71"/>
        <v>NO</v>
      </c>
      <c r="O312" s="5">
        <f>+VLOOKUP(C312,[2]Fondos!$F:$J,5,FALSE)</f>
        <v>2294506221</v>
      </c>
      <c r="P312" s="13">
        <f>+VLOOKUP(C312,[2]Fondos!$F:$K,6,FALSE)</f>
        <v>0.21526589999999998</v>
      </c>
      <c r="Q312" s="13">
        <f t="shared" si="72"/>
        <v>0</v>
      </c>
      <c r="R312" s="10">
        <f>+IF(Q312&gt;MAESTRO!$G$6,0,1)</f>
        <v>1</v>
      </c>
      <c r="S312">
        <f>+IF(P312&lt;MAESTRO!$G$8,0,1)</f>
        <v>1</v>
      </c>
      <c r="T312" s="10">
        <f t="shared" si="73"/>
        <v>2</v>
      </c>
      <c r="U312" t="str">
        <f>+IF(R312+S312=2,MAESTRO!$G$2,IF(R312+S312=0,MAESTRO!$G$5,IF(R312=0,MAESTRO!$G$3,IF(S312=0,MAESTRO!$G$4,))))</f>
        <v>cumple politica</v>
      </c>
    </row>
    <row r="313" spans="1:21" x14ac:dyDescent="0.3">
      <c r="A313" t="s">
        <v>15</v>
      </c>
      <c r="B313" t="s">
        <v>24</v>
      </c>
      <c r="C313" t="s">
        <v>80</v>
      </c>
      <c r="D313" t="s">
        <v>82</v>
      </c>
      <c r="E313" s="24">
        <f t="shared" si="67"/>
        <v>0</v>
      </c>
      <c r="F313" s="22">
        <f>-SUMIFS(CARGA!I:I,CARGA!B:B,tabla!A313,CARGA!D:D,tabla!C313,CARGA!C:C,MAESTRO!$B$4)-SUMIFS(CARGA!I:I,CARGA!B:B,tabla!A313,CARGA!D:D,tabla!C313,CARGA!C:C,MAESTRO!$B$5)</f>
        <v>0</v>
      </c>
      <c r="G313" s="5">
        <f>+SUMIFS(CARGA!I:I,CARGA!B:B,tabla!A313,CARGA!D:D,tabla!C313)</f>
        <v>0</v>
      </c>
      <c r="H313" s="5">
        <f>+SUMIFS(CARGA!K:K,CARGA!B:B,tabla!A313,CARGA!D:D,tabla!C313)</f>
        <v>0</v>
      </c>
      <c r="I313" s="5">
        <f t="shared" si="68"/>
        <v>0</v>
      </c>
      <c r="J313" s="5">
        <f>-SUMIFS(CARGA!K:K,CARGA!B:B,tabla!A313,CARGA!D:D,tabla!C313,CARGA!C:C,MAESTRO!$B$4)+SUMIFS(CARGA!K:K,CARGA!B:B,tabla!A313,CARGA!D:D,tabla!C313,CARGA!C:C,MAESTRO!$B$5)</f>
        <v>0</v>
      </c>
      <c r="K313" s="5" t="e">
        <f>+VLOOKUP(C313,#REF!,3,FALSE)</f>
        <v>#REF!</v>
      </c>
      <c r="L313" s="5" t="e">
        <f t="shared" si="69"/>
        <v>#REF!</v>
      </c>
      <c r="M313" s="5" t="e">
        <f t="shared" si="70"/>
        <v>#REF!</v>
      </c>
      <c r="N313" s="5" t="str">
        <f t="shared" si="71"/>
        <v>NO</v>
      </c>
      <c r="O313" s="5">
        <f>+VLOOKUP(C313,[2]Fondos!$F:$J,5,FALSE)</f>
        <v>8324714840</v>
      </c>
      <c r="P313" s="13">
        <f>+VLOOKUP(C313,[2]Fondos!$F:$K,6,FALSE)</f>
        <v>0.27053379999999999</v>
      </c>
      <c r="Q313" s="13">
        <f t="shared" si="72"/>
        <v>0</v>
      </c>
      <c r="R313" s="10">
        <f>+IF(Q313&gt;MAESTRO!$G$6,0,1)</f>
        <v>1</v>
      </c>
      <c r="S313">
        <f>+IF(P313&lt;MAESTRO!$G$8,0,1)</f>
        <v>1</v>
      </c>
      <c r="T313" s="10">
        <f t="shared" si="73"/>
        <v>2</v>
      </c>
      <c r="U313" t="str">
        <f>+IF(R313+S313=2,MAESTRO!$G$2,IF(R313+S313=0,MAESTRO!$G$5,IF(R313=0,MAESTRO!$G$3,IF(S313=0,MAESTRO!$G$4,))))</f>
        <v>cumple politica</v>
      </c>
    </row>
    <row r="314" spans="1:21" x14ac:dyDescent="0.3">
      <c r="A314" t="s">
        <v>15</v>
      </c>
      <c r="B314" t="s">
        <v>24</v>
      </c>
      <c r="C314" t="s">
        <v>62</v>
      </c>
      <c r="D314" t="s">
        <v>82</v>
      </c>
      <c r="E314" s="24">
        <f t="shared" si="67"/>
        <v>0</v>
      </c>
      <c r="F314" s="22">
        <f>-SUMIFS(CARGA!I:I,CARGA!B:B,tabla!A314,CARGA!D:D,tabla!C314,CARGA!C:C,MAESTRO!$B$4)-SUMIFS(CARGA!I:I,CARGA!B:B,tabla!A314,CARGA!D:D,tabla!C314,CARGA!C:C,MAESTRO!$B$5)</f>
        <v>0</v>
      </c>
      <c r="G314" s="5">
        <f>+SUMIFS(CARGA!I:I,CARGA!B:B,tabla!A314,CARGA!D:D,tabla!C314)</f>
        <v>0</v>
      </c>
      <c r="H314" s="5">
        <f>+SUMIFS(CARGA!K:K,CARGA!B:B,tabla!A314,CARGA!D:D,tabla!C314)</f>
        <v>0</v>
      </c>
      <c r="I314" s="5">
        <f t="shared" si="68"/>
        <v>0</v>
      </c>
      <c r="J314" s="5">
        <f>-SUMIFS(CARGA!K:K,CARGA!B:B,tabla!A314,CARGA!D:D,tabla!C314,CARGA!C:C,MAESTRO!$B$4)+SUMIFS(CARGA!K:K,CARGA!B:B,tabla!A314,CARGA!D:D,tabla!C314,CARGA!C:C,MAESTRO!$B$5)</f>
        <v>0</v>
      </c>
      <c r="K314" s="5" t="e">
        <f>+VLOOKUP(C314,#REF!,3,FALSE)</f>
        <v>#REF!</v>
      </c>
      <c r="L314" s="5" t="e">
        <f t="shared" si="69"/>
        <v>#REF!</v>
      </c>
      <c r="M314" s="5" t="e">
        <f t="shared" si="70"/>
        <v>#REF!</v>
      </c>
      <c r="N314" s="5" t="str">
        <f t="shared" si="71"/>
        <v>NO</v>
      </c>
      <c r="O314" s="5">
        <f>+VLOOKUP(C314,[2]Fondos!$F:$J,5,FALSE)</f>
        <v>2635564025</v>
      </c>
      <c r="P314" s="13">
        <f>+VLOOKUP(C314,[2]Fondos!$F:$K,6,FALSE)</f>
        <v>0.26226080000000002</v>
      </c>
      <c r="Q314" s="13">
        <f t="shared" si="72"/>
        <v>0</v>
      </c>
      <c r="R314" s="10">
        <f>+IF(Q314&gt;MAESTRO!$G$6,0,1)</f>
        <v>1</v>
      </c>
      <c r="S314">
        <f>+IF(P314&lt;MAESTRO!$G$8,0,1)</f>
        <v>1</v>
      </c>
      <c r="T314" s="10">
        <f t="shared" si="73"/>
        <v>2</v>
      </c>
      <c r="U314" t="str">
        <f>+IF(R314+S314=2,MAESTRO!$G$2,IF(R314+S314=0,MAESTRO!$G$5,IF(R314=0,MAESTRO!$G$3,IF(S314=0,MAESTRO!$G$4,))))</f>
        <v>cumple politica</v>
      </c>
    </row>
    <row r="315" spans="1:21" x14ac:dyDescent="0.3">
      <c r="A315" t="s">
        <v>15</v>
      </c>
      <c r="B315" t="s">
        <v>32</v>
      </c>
      <c r="C315" t="s">
        <v>71</v>
      </c>
      <c r="D315" t="s">
        <v>82</v>
      </c>
      <c r="E315" s="24">
        <f t="shared" si="67"/>
        <v>0</v>
      </c>
      <c r="F315" s="22">
        <f>-SUMIFS(CARGA!I:I,CARGA!B:B,tabla!A315,CARGA!D:D,tabla!C315,CARGA!C:C,MAESTRO!$B$4)-SUMIFS(CARGA!I:I,CARGA!B:B,tabla!A315,CARGA!D:D,tabla!C315,CARGA!C:C,MAESTRO!$B$5)</f>
        <v>0</v>
      </c>
      <c r="G315" s="5">
        <f>+SUMIFS(CARGA!I:I,CARGA!B:B,tabla!A315,CARGA!D:D,tabla!C315)</f>
        <v>0</v>
      </c>
      <c r="H315" s="5">
        <f>+SUMIFS(CARGA!K:K,CARGA!B:B,tabla!A315,CARGA!D:D,tabla!C315)</f>
        <v>0</v>
      </c>
      <c r="I315" s="5">
        <f t="shared" si="68"/>
        <v>0</v>
      </c>
      <c r="J315" s="5">
        <f>-SUMIFS(CARGA!K:K,CARGA!B:B,tabla!A315,CARGA!D:D,tabla!C315,CARGA!C:C,MAESTRO!$B$4)+SUMIFS(CARGA!K:K,CARGA!B:B,tabla!A315,CARGA!D:D,tabla!C315,CARGA!C:C,MAESTRO!$B$5)</f>
        <v>0</v>
      </c>
      <c r="K315" s="5" t="e">
        <f>+VLOOKUP(C315,#REF!,3,FALSE)</f>
        <v>#REF!</v>
      </c>
      <c r="L315" s="5" t="e">
        <f t="shared" si="69"/>
        <v>#REF!</v>
      </c>
      <c r="M315" s="5" t="e">
        <f t="shared" si="70"/>
        <v>#REF!</v>
      </c>
      <c r="N315" s="5" t="str">
        <f t="shared" si="71"/>
        <v>NO</v>
      </c>
      <c r="O315" s="5">
        <f>+VLOOKUP(C315,[2]Fondos!$F:$J,5,FALSE)</f>
        <v>240000000</v>
      </c>
      <c r="P315" s="13">
        <f>+VLOOKUP(C315,[2]Fondos!$F:$K,6,FALSE)</f>
        <v>0.27596609999999999</v>
      </c>
      <c r="Q315" s="13">
        <f t="shared" si="72"/>
        <v>0</v>
      </c>
      <c r="R315" s="10">
        <f>+IF(Q315&gt;MAESTRO!$G$6,0,1)</f>
        <v>1</v>
      </c>
      <c r="S315">
        <f>+IF(P315&lt;MAESTRO!$G$8,0,1)</f>
        <v>1</v>
      </c>
      <c r="T315" s="10">
        <f t="shared" si="73"/>
        <v>2</v>
      </c>
      <c r="U315" t="str">
        <f>+IF(R315+S315=2,MAESTRO!$G$2,IF(R315+S315=0,MAESTRO!$G$5,IF(R315=0,MAESTRO!$G$3,IF(S315=0,MAESTRO!$G$4,))))</f>
        <v>cumple politica</v>
      </c>
    </row>
    <row r="316" spans="1:21" x14ac:dyDescent="0.3">
      <c r="A316" t="s">
        <v>15</v>
      </c>
      <c r="B316" t="s">
        <v>32</v>
      </c>
      <c r="C316" t="s">
        <v>51</v>
      </c>
      <c r="D316" t="s">
        <v>81</v>
      </c>
      <c r="E316" s="24">
        <f t="shared" si="67"/>
        <v>0</v>
      </c>
      <c r="F316" s="22">
        <f>-SUMIFS(CARGA!I:I,CARGA!B:B,tabla!A316,CARGA!D:D,tabla!C316,CARGA!C:C,MAESTRO!$B$4)-SUMIFS(CARGA!I:I,CARGA!B:B,tabla!A316,CARGA!D:D,tabla!C316,CARGA!C:C,MAESTRO!$B$5)</f>
        <v>0</v>
      </c>
      <c r="G316" s="5">
        <f>+SUMIFS(CARGA!I:I,CARGA!B:B,tabla!A316,CARGA!D:D,tabla!C316)</f>
        <v>0</v>
      </c>
      <c r="H316" s="5">
        <f>+SUMIFS(CARGA!K:K,CARGA!B:B,tabla!A316,CARGA!D:D,tabla!C316)</f>
        <v>0</v>
      </c>
      <c r="I316" s="5">
        <f t="shared" si="68"/>
        <v>0</v>
      </c>
      <c r="J316" s="5">
        <f>-SUMIFS(CARGA!K:K,CARGA!B:B,tabla!A316,CARGA!D:D,tabla!C316,CARGA!C:C,MAESTRO!$B$4)+SUMIFS(CARGA!K:K,CARGA!B:B,tabla!A316,CARGA!D:D,tabla!C316,CARGA!C:C,MAESTRO!$B$5)</f>
        <v>0</v>
      </c>
      <c r="K316" s="5" t="e">
        <f>+VLOOKUP(C316,#REF!,3,FALSE)</f>
        <v>#REF!</v>
      </c>
      <c r="L316" s="5" t="e">
        <f t="shared" si="69"/>
        <v>#REF!</v>
      </c>
      <c r="M316" s="5" t="e">
        <f t="shared" si="70"/>
        <v>#REF!</v>
      </c>
      <c r="N316" s="5" t="str">
        <f t="shared" si="71"/>
        <v>NO</v>
      </c>
      <c r="O316" s="5">
        <f>+VLOOKUP(C316,[2]Fondos!$F:$J,5,FALSE)</f>
        <v>360000000</v>
      </c>
      <c r="P316" s="13">
        <f>+VLOOKUP(C316,[2]Fondos!$F:$K,6,FALSE)</f>
        <v>0.19705159999999999</v>
      </c>
      <c r="Q316" s="13">
        <f t="shared" si="72"/>
        <v>0</v>
      </c>
      <c r="R316" s="10">
        <f>+IF(Q316&gt;MAESTRO!$G$6,0,1)</f>
        <v>1</v>
      </c>
      <c r="S316">
        <f>+IF(P316&lt;MAESTRO!$G$8,0,1)</f>
        <v>1</v>
      </c>
      <c r="T316" s="10">
        <f t="shared" si="73"/>
        <v>2</v>
      </c>
      <c r="U316" t="str">
        <f>+IF(R316+S316=2,MAESTRO!$G$2,IF(R316+S316=0,MAESTRO!$G$5,IF(R316=0,MAESTRO!$G$3,IF(S316=0,MAESTRO!$G$4,))))</f>
        <v>cumple politica</v>
      </c>
    </row>
    <row r="317" spans="1:21" x14ac:dyDescent="0.3">
      <c r="A317" t="s">
        <v>15</v>
      </c>
      <c r="B317" t="s">
        <v>35</v>
      </c>
      <c r="C317" t="s">
        <v>55</v>
      </c>
      <c r="D317" t="s">
        <v>82</v>
      </c>
      <c r="E317" s="24">
        <f t="shared" si="67"/>
        <v>0</v>
      </c>
      <c r="F317" s="22">
        <f>-SUMIFS(CARGA!I:I,CARGA!B:B,tabla!A317,CARGA!D:D,tabla!C317,CARGA!C:C,MAESTRO!$B$4)-SUMIFS(CARGA!I:I,CARGA!B:B,tabla!A317,CARGA!D:D,tabla!C317,CARGA!C:C,MAESTRO!$B$5)</f>
        <v>0</v>
      </c>
      <c r="G317" s="5">
        <f>+SUMIFS(CARGA!I:I,CARGA!B:B,tabla!A317,CARGA!D:D,tabla!C317)</f>
        <v>0</v>
      </c>
      <c r="H317" s="5">
        <f>+SUMIFS(CARGA!K:K,CARGA!B:B,tabla!A317,CARGA!D:D,tabla!C317)</f>
        <v>0</v>
      </c>
      <c r="I317" s="5">
        <f t="shared" si="68"/>
        <v>0</v>
      </c>
      <c r="J317" s="5">
        <f>-SUMIFS(CARGA!K:K,CARGA!B:B,tabla!A317,CARGA!D:D,tabla!C317,CARGA!C:C,MAESTRO!$B$4)+SUMIFS(CARGA!K:K,CARGA!B:B,tabla!A317,CARGA!D:D,tabla!C317,CARGA!C:C,MAESTRO!$B$5)</f>
        <v>0</v>
      </c>
      <c r="K317" s="5" t="e">
        <f>+VLOOKUP(C317,#REF!,3,FALSE)</f>
        <v>#REF!</v>
      </c>
      <c r="L317" s="5" t="e">
        <f t="shared" si="69"/>
        <v>#REF!</v>
      </c>
      <c r="M317" s="5" t="e">
        <f t="shared" si="70"/>
        <v>#REF!</v>
      </c>
      <c r="N317" s="5" t="str">
        <f t="shared" si="71"/>
        <v>NO</v>
      </c>
      <c r="O317" s="5">
        <f>+VLOOKUP(C317,[2]Fondos!$F:$J,5,FALSE)</f>
        <v>601998365.54999995</v>
      </c>
      <c r="P317" s="13">
        <f>+VLOOKUP(C317,[2]Fondos!$F:$K,6,FALSE)</f>
        <v>0.27414070000000001</v>
      </c>
      <c r="Q317" s="13">
        <f t="shared" si="72"/>
        <v>0</v>
      </c>
      <c r="R317" s="10">
        <f>+IF(Q317&gt;MAESTRO!$G$6,0,1)</f>
        <v>1</v>
      </c>
      <c r="S317">
        <f>+IF(P317&lt;MAESTRO!$G$8,0,1)</f>
        <v>1</v>
      </c>
      <c r="T317" s="10">
        <f t="shared" si="73"/>
        <v>2</v>
      </c>
      <c r="U317" t="str">
        <f>+IF(R317+S317=2,MAESTRO!$G$2,IF(R317+S317=0,MAESTRO!$G$5,IF(R317=0,MAESTRO!$G$3,IF(S317=0,MAESTRO!$G$4,))))</f>
        <v>cumple politica</v>
      </c>
    </row>
    <row r="318" spans="1:21" x14ac:dyDescent="0.3">
      <c r="A318" t="s">
        <v>15</v>
      </c>
      <c r="B318" t="s">
        <v>23</v>
      </c>
      <c r="C318" t="s">
        <v>43</v>
      </c>
      <c r="D318" t="s">
        <v>81</v>
      </c>
      <c r="E318" s="24">
        <f t="shared" ref="E318:E324" si="74">+F318+G318</f>
        <v>0</v>
      </c>
      <c r="F318" s="22">
        <f>-SUMIFS(CARGA!I:I,CARGA!B:B,tabla!A318,CARGA!D:D,tabla!C318,CARGA!C:C,MAESTRO!$B$4)-SUMIFS(CARGA!I:I,CARGA!B:B,tabla!A318,CARGA!D:D,tabla!C318,CARGA!C:C,MAESTRO!$B$5)</f>
        <v>0</v>
      </c>
      <c r="G318" s="5">
        <f>+SUMIFS(CARGA!I:I,CARGA!B:B,tabla!A318,CARGA!D:D,tabla!C318)</f>
        <v>0</v>
      </c>
      <c r="H318" s="5">
        <f>+SUMIFS(CARGA!K:K,CARGA!B:B,tabla!A318,CARGA!D:D,tabla!C318)</f>
        <v>0</v>
      </c>
      <c r="I318" s="5">
        <f t="shared" si="68"/>
        <v>0</v>
      </c>
      <c r="J318" s="5">
        <f>-SUMIFS(CARGA!K:K,CARGA!B:B,tabla!A318,CARGA!D:D,tabla!C318,CARGA!C:C,MAESTRO!$B$4)+SUMIFS(CARGA!K:K,CARGA!B:B,tabla!A318,CARGA!D:D,tabla!C318,CARGA!C:C,MAESTRO!$B$5)</f>
        <v>0</v>
      </c>
      <c r="K318" s="5" t="e">
        <f>+VLOOKUP(C318,#REF!,3,FALSE)</f>
        <v>#REF!</v>
      </c>
      <c r="L318" s="5" t="e">
        <f t="shared" si="69"/>
        <v>#REF!</v>
      </c>
      <c r="M318" s="5" t="e">
        <f t="shared" si="70"/>
        <v>#REF!</v>
      </c>
      <c r="N318" s="5" t="str">
        <f t="shared" ref="N318:N324" si="75">+IF(G318+F318=0,"NO","SI")</f>
        <v>NO</v>
      </c>
      <c r="O318" s="5">
        <f>+VLOOKUP(C318,[2]Fondos!$F:$J,5,FALSE)</f>
        <v>3553303148</v>
      </c>
      <c r="P318" s="13">
        <f>+VLOOKUP(C318,[2]Fondos!$F:$K,6,FALSE)</f>
        <v>0.2092009</v>
      </c>
      <c r="Q318" s="13">
        <f t="shared" ref="Q318:Q324" si="76">+G318/O318</f>
        <v>0</v>
      </c>
      <c r="R318" s="10">
        <f>+IF(Q318&gt;MAESTRO!$G$6,0,1)</f>
        <v>1</v>
      </c>
      <c r="S318">
        <f>+IF(P318&lt;MAESTRO!$G$8,0,1)</f>
        <v>1</v>
      </c>
      <c r="T318" s="10">
        <f t="shared" ref="T318:T324" si="77">+R318+S318</f>
        <v>2</v>
      </c>
      <c r="U318" t="str">
        <f>+IF(R318+S318=2,MAESTRO!$G$2,IF(R318+S318=0,MAESTRO!$G$5,IF(R318=0,MAESTRO!$G$3,IF(S318=0,MAESTRO!$G$4,))))</f>
        <v>cumple politica</v>
      </c>
    </row>
    <row r="319" spans="1:21" x14ac:dyDescent="0.3">
      <c r="A319" t="s">
        <v>15</v>
      </c>
      <c r="B319" t="s">
        <v>23</v>
      </c>
      <c r="C319" t="s">
        <v>38</v>
      </c>
      <c r="D319" t="s">
        <v>81</v>
      </c>
      <c r="E319" s="24">
        <f t="shared" si="74"/>
        <v>0</v>
      </c>
      <c r="F319" s="22">
        <f>-SUMIFS(CARGA!I:I,CARGA!B:B,tabla!A319,CARGA!D:D,tabla!C319,CARGA!C:C,MAESTRO!$B$4)-SUMIFS(CARGA!I:I,CARGA!B:B,tabla!A319,CARGA!D:D,tabla!C319,CARGA!C:C,MAESTRO!$B$5)</f>
        <v>0</v>
      </c>
      <c r="G319" s="5">
        <f>+SUMIFS(CARGA!I:I,CARGA!B:B,tabla!A319,CARGA!D:D,tabla!C319)</f>
        <v>0</v>
      </c>
      <c r="H319" s="5">
        <f>+SUMIFS(CARGA!K:K,CARGA!B:B,tabla!A319,CARGA!D:D,tabla!C319)</f>
        <v>0</v>
      </c>
      <c r="I319" s="5">
        <f t="shared" si="68"/>
        <v>0</v>
      </c>
      <c r="J319" s="5">
        <f>-SUMIFS(CARGA!K:K,CARGA!B:B,tabla!A319,CARGA!D:D,tabla!C319,CARGA!C:C,MAESTRO!$B$4)+SUMIFS(CARGA!K:K,CARGA!B:B,tabla!A319,CARGA!D:D,tabla!C319,CARGA!C:C,MAESTRO!$B$5)</f>
        <v>0</v>
      </c>
      <c r="K319" s="5" t="e">
        <f>+VLOOKUP(C319,#REF!,3,FALSE)</f>
        <v>#REF!</v>
      </c>
      <c r="L319" s="5" t="e">
        <f t="shared" si="69"/>
        <v>#REF!</v>
      </c>
      <c r="M319" s="5" t="e">
        <f t="shared" si="70"/>
        <v>#REF!</v>
      </c>
      <c r="N319" s="5" t="str">
        <f t="shared" si="75"/>
        <v>NO</v>
      </c>
      <c r="O319" s="5">
        <f>+VLOOKUP(C319,[2]Fondos!$F:$J,5,FALSE)</f>
        <v>4553606100</v>
      </c>
      <c r="P319" s="13">
        <f>+VLOOKUP(C319,[2]Fondos!$F:$K,6,FALSE)</f>
        <v>0.23939009999999999</v>
      </c>
      <c r="Q319" s="13">
        <f t="shared" si="76"/>
        <v>0</v>
      </c>
      <c r="R319" s="10">
        <f>+IF(Q319&gt;MAESTRO!$G$6,0,1)</f>
        <v>1</v>
      </c>
      <c r="S319">
        <f>+IF(P319&lt;MAESTRO!$G$8,0,1)</f>
        <v>1</v>
      </c>
      <c r="T319" s="10">
        <f t="shared" si="77"/>
        <v>2</v>
      </c>
      <c r="U319" t="str">
        <f>+IF(R319+S319=2,MAESTRO!$G$2,IF(R319+S319=0,MAESTRO!$G$5,IF(R319=0,MAESTRO!$G$3,IF(S319=0,MAESTRO!$G$4,))))</f>
        <v>cumple politica</v>
      </c>
    </row>
    <row r="320" spans="1:21" x14ac:dyDescent="0.3">
      <c r="A320" t="s">
        <v>15</v>
      </c>
      <c r="B320" t="s">
        <v>23</v>
      </c>
      <c r="C320" t="s">
        <v>57</v>
      </c>
      <c r="D320" t="s">
        <v>82</v>
      </c>
      <c r="E320" s="24">
        <f t="shared" si="74"/>
        <v>0</v>
      </c>
      <c r="F320" s="22">
        <f>-SUMIFS(CARGA!I:I,CARGA!B:B,tabla!A320,CARGA!D:D,tabla!C320,CARGA!C:C,MAESTRO!$B$4)-SUMIFS(CARGA!I:I,CARGA!B:B,tabla!A320,CARGA!D:D,tabla!C320,CARGA!C:C,MAESTRO!$B$5)</f>
        <v>0</v>
      </c>
      <c r="G320" s="5">
        <f>+SUMIFS(CARGA!I:I,CARGA!B:B,tabla!A320,CARGA!D:D,tabla!C320)</f>
        <v>0</v>
      </c>
      <c r="H320" s="5">
        <f>+SUMIFS(CARGA!K:K,CARGA!B:B,tabla!A320,CARGA!D:D,tabla!C320)</f>
        <v>0</v>
      </c>
      <c r="I320" s="5">
        <f t="shared" si="68"/>
        <v>0</v>
      </c>
      <c r="J320" s="5">
        <f>-SUMIFS(CARGA!K:K,CARGA!B:B,tabla!A320,CARGA!D:D,tabla!C320,CARGA!C:C,MAESTRO!$B$4)+SUMIFS(CARGA!K:K,CARGA!B:B,tabla!A320,CARGA!D:D,tabla!C320,CARGA!C:C,MAESTRO!$B$5)</f>
        <v>0</v>
      </c>
      <c r="K320" s="5" t="e">
        <f>+VLOOKUP(C320,#REF!,3,FALSE)</f>
        <v>#REF!</v>
      </c>
      <c r="L320" s="5" t="e">
        <f t="shared" si="69"/>
        <v>#REF!</v>
      </c>
      <c r="M320" s="5" t="e">
        <f t="shared" si="70"/>
        <v>#REF!</v>
      </c>
      <c r="N320" s="5" t="str">
        <f t="shared" si="75"/>
        <v>NO</v>
      </c>
      <c r="O320" s="5">
        <f>+VLOOKUP(C320,[2]Fondos!$F:$J,5,FALSE)</f>
        <v>35515968834</v>
      </c>
      <c r="P320" s="13">
        <f>+VLOOKUP(C320,[2]Fondos!$F:$K,6,FALSE)</f>
        <v>0.26896760000000003</v>
      </c>
      <c r="Q320" s="13">
        <f t="shared" si="76"/>
        <v>0</v>
      </c>
      <c r="R320" s="10">
        <f>+IF(Q320&gt;MAESTRO!$G$6,0,1)</f>
        <v>1</v>
      </c>
      <c r="S320">
        <f>+IF(P320&lt;MAESTRO!$G$8,0,1)</f>
        <v>1</v>
      </c>
      <c r="T320" s="10">
        <f t="shared" si="77"/>
        <v>2</v>
      </c>
      <c r="U320" t="str">
        <f>+IF(R320+S320=2,MAESTRO!$G$2,IF(R320+S320=0,MAESTRO!$G$5,IF(R320=0,MAESTRO!$G$3,IF(S320=0,MAESTRO!$G$4,))))</f>
        <v>cumple politica</v>
      </c>
    </row>
    <row r="321" spans="1:21" x14ac:dyDescent="0.3">
      <c r="A321" t="s">
        <v>15</v>
      </c>
      <c r="B321" t="s">
        <v>140</v>
      </c>
      <c r="C321" t="s">
        <v>138</v>
      </c>
      <c r="D321" t="s">
        <v>82</v>
      </c>
      <c r="E321" s="24">
        <f t="shared" si="74"/>
        <v>0</v>
      </c>
      <c r="F321" s="22">
        <f>-SUMIFS(CARGA!I:I,CARGA!B:B,tabla!A321,CARGA!D:D,tabla!C321,CARGA!C:C,MAESTRO!$B$4)-SUMIFS(CARGA!I:I,CARGA!B:B,tabla!A321,CARGA!D:D,tabla!C321,CARGA!C:C,MAESTRO!$B$5)</f>
        <v>0</v>
      </c>
      <c r="G321" s="5">
        <f>+SUMIFS(CARGA!I:I,CARGA!B:B,tabla!A321,CARGA!D:D,tabla!C321)</f>
        <v>0</v>
      </c>
      <c r="H321" s="5">
        <f>+SUMIFS(CARGA!K:K,CARGA!B:B,tabla!A321,CARGA!D:D,tabla!C321)</f>
        <v>0</v>
      </c>
      <c r="I321" s="5">
        <f t="shared" si="68"/>
        <v>0</v>
      </c>
      <c r="J321" s="5">
        <f>-SUMIFS(CARGA!K:K,CARGA!B:B,tabla!A321,CARGA!D:D,tabla!C321,CARGA!C:C,MAESTRO!$B$4)+SUMIFS(CARGA!K:K,CARGA!B:B,tabla!A321,CARGA!D:D,tabla!C321,CARGA!C:C,MAESTRO!$B$5)</f>
        <v>0</v>
      </c>
      <c r="K321" s="5" t="e">
        <f>+VLOOKUP(C321,#REF!,3,FALSE)</f>
        <v>#REF!</v>
      </c>
      <c r="L321" s="5" t="e">
        <f t="shared" si="69"/>
        <v>#REF!</v>
      </c>
      <c r="M321" s="5" t="e">
        <f t="shared" si="70"/>
        <v>#REF!</v>
      </c>
      <c r="N321" s="5" t="str">
        <f t="shared" si="75"/>
        <v>NO</v>
      </c>
      <c r="O321" s="5" t="e">
        <f>+VLOOKUP(C321,[2]Fondos!$F:$J,5,FALSE)</f>
        <v>#N/A</v>
      </c>
      <c r="P321" s="13" t="e">
        <f>+VLOOKUP(C321,[2]Fondos!$F:$K,6,FALSE)</f>
        <v>#N/A</v>
      </c>
      <c r="Q321" s="13" t="e">
        <f t="shared" si="76"/>
        <v>#N/A</v>
      </c>
      <c r="R321" s="10" t="e">
        <f>+IF(Q321&gt;MAESTRO!$G$6,0,1)</f>
        <v>#N/A</v>
      </c>
      <c r="S321" t="e">
        <f>+IF(P321&lt;MAESTRO!$G$8,0,1)</f>
        <v>#N/A</v>
      </c>
      <c r="T321" s="10" t="e">
        <f t="shared" si="77"/>
        <v>#N/A</v>
      </c>
      <c r="U321" t="e">
        <f>+IF(R321+S321=2,MAESTRO!$G$2,IF(R321+S321=0,MAESTRO!$G$5,IF(R321=0,MAESTRO!$G$3,IF(S321=0,MAESTRO!$G$4,))))</f>
        <v>#N/A</v>
      </c>
    </row>
    <row r="322" spans="1:21" x14ac:dyDescent="0.3">
      <c r="A322" t="s">
        <v>15</v>
      </c>
      <c r="B322" t="s">
        <v>140</v>
      </c>
      <c r="C322" t="s">
        <v>139</v>
      </c>
      <c r="D322" t="s">
        <v>81</v>
      </c>
      <c r="E322" s="24">
        <f t="shared" si="74"/>
        <v>0</v>
      </c>
      <c r="F322" s="22">
        <f>-SUMIFS(CARGA!I:I,CARGA!B:B,tabla!A322,CARGA!D:D,tabla!C322,CARGA!C:C,MAESTRO!$B$4)-SUMIFS(CARGA!I:I,CARGA!B:B,tabla!A322,CARGA!D:D,tabla!C322,CARGA!C:C,MAESTRO!$B$5)</f>
        <v>0</v>
      </c>
      <c r="G322" s="5">
        <f>+SUMIFS(CARGA!I:I,CARGA!B:B,tabla!A322,CARGA!D:D,tabla!C322)</f>
        <v>0</v>
      </c>
      <c r="H322" s="5">
        <f>+SUMIFS(CARGA!K:K,CARGA!B:B,tabla!A322,CARGA!D:D,tabla!C322)</f>
        <v>0</v>
      </c>
      <c r="I322" s="5">
        <f t="shared" si="68"/>
        <v>0</v>
      </c>
      <c r="J322" s="5">
        <f>-SUMIFS(CARGA!K:K,CARGA!B:B,tabla!A322,CARGA!D:D,tabla!C322,CARGA!C:C,MAESTRO!$B$4)+SUMIFS(CARGA!K:K,CARGA!B:B,tabla!A322,CARGA!D:D,tabla!C322,CARGA!C:C,MAESTRO!$B$5)</f>
        <v>0</v>
      </c>
      <c r="K322" s="5" t="e">
        <f>+VLOOKUP(C322,#REF!,3,FALSE)</f>
        <v>#REF!</v>
      </c>
      <c r="L322" s="5" t="e">
        <f t="shared" si="69"/>
        <v>#REF!</v>
      </c>
      <c r="M322" s="5" t="e">
        <f t="shared" si="70"/>
        <v>#REF!</v>
      </c>
      <c r="N322" s="5" t="str">
        <f t="shared" si="75"/>
        <v>NO</v>
      </c>
      <c r="O322" s="5" t="e">
        <f>+VLOOKUP(C322,[2]Fondos!$F:$J,5,FALSE)</f>
        <v>#N/A</v>
      </c>
      <c r="P322" s="13" t="e">
        <f>+VLOOKUP(C322,[2]Fondos!$F:$K,6,FALSE)</f>
        <v>#N/A</v>
      </c>
      <c r="Q322" s="13" t="e">
        <f t="shared" si="76"/>
        <v>#N/A</v>
      </c>
      <c r="R322" s="10" t="e">
        <f>+IF(Q322&gt;MAESTRO!$G$6,0,1)</f>
        <v>#N/A</v>
      </c>
      <c r="S322" t="e">
        <f>+IF(P322&lt;MAESTRO!$G$8,0,1)</f>
        <v>#N/A</v>
      </c>
      <c r="T322" s="10" t="e">
        <f t="shared" si="77"/>
        <v>#N/A</v>
      </c>
      <c r="U322" t="e">
        <f>+IF(R322+S322=2,MAESTRO!$G$2,IF(R322+S322=0,MAESTRO!$G$5,IF(R322=0,MAESTRO!$G$3,IF(S322=0,MAESTRO!$G$4,))))</f>
        <v>#N/A</v>
      </c>
    </row>
    <row r="323" spans="1:21" x14ac:dyDescent="0.3">
      <c r="A323" t="s">
        <v>15</v>
      </c>
      <c r="B323" t="s">
        <v>134</v>
      </c>
      <c r="C323" t="s">
        <v>136</v>
      </c>
      <c r="D323" t="s">
        <v>81</v>
      </c>
      <c r="E323" s="24">
        <f t="shared" si="74"/>
        <v>0</v>
      </c>
      <c r="F323" s="22">
        <f>-SUMIFS(CARGA!I:I,CARGA!B:B,tabla!A323,CARGA!D:D,tabla!C323,CARGA!C:C,MAESTRO!$B$4)-SUMIFS(CARGA!I:I,CARGA!B:B,tabla!A323,CARGA!D:D,tabla!C323,CARGA!C:C,MAESTRO!$B$5)</f>
        <v>0</v>
      </c>
      <c r="G323" s="5">
        <f>+SUMIFS(CARGA!I:I,CARGA!B:B,tabla!A323,CARGA!D:D,tabla!C323)</f>
        <v>0</v>
      </c>
      <c r="H323" s="5">
        <f>+SUMIFS(CARGA!K:K,CARGA!B:B,tabla!A323,CARGA!D:D,tabla!C323)</f>
        <v>0</v>
      </c>
      <c r="I323" s="5">
        <f>+H323+J323</f>
        <v>0</v>
      </c>
      <c r="J323" s="5">
        <f>-SUMIFS(CARGA!K:K,CARGA!B:B,tabla!A323,CARGA!D:D,tabla!C323,CARGA!C:C,MAESTRO!$B$4)+SUMIFS(CARGA!K:K,CARGA!B:B,tabla!A323,CARGA!D:D,tabla!C323,CARGA!C:C,MAESTRO!$B$5)</f>
        <v>0</v>
      </c>
      <c r="K323" s="5" t="e">
        <f>+VLOOKUP(C323,#REF!,3,FALSE)</f>
        <v>#REF!</v>
      </c>
      <c r="L323" s="5" t="e">
        <f>+K323*I323</f>
        <v>#REF!</v>
      </c>
      <c r="M323" s="5" t="e">
        <f>+K323*J323</f>
        <v>#REF!</v>
      </c>
      <c r="N323" s="5" t="str">
        <f t="shared" si="75"/>
        <v>NO</v>
      </c>
      <c r="O323" s="5" t="e">
        <f>+VLOOKUP(C323,[2]Fondos!$F:$J,5,FALSE)</f>
        <v>#N/A</v>
      </c>
      <c r="P323" s="13" t="e">
        <f>+VLOOKUP(C323,[2]Fondos!$F:$K,6,FALSE)</f>
        <v>#N/A</v>
      </c>
      <c r="Q323" s="13" t="e">
        <f t="shared" si="76"/>
        <v>#N/A</v>
      </c>
      <c r="R323" s="10" t="e">
        <f>+IF(Q323&gt;MAESTRO!$G$6,0,1)</f>
        <v>#N/A</v>
      </c>
      <c r="S323" t="e">
        <f>+IF(P323&lt;MAESTRO!$G$8,0,1)</f>
        <v>#N/A</v>
      </c>
      <c r="T323" s="10" t="e">
        <f t="shared" si="77"/>
        <v>#N/A</v>
      </c>
      <c r="U323" t="e">
        <f>+IF(R323+S323=2,MAESTRO!$G$2,IF(R323+S323=0,MAESTRO!$G$5,IF(R323=0,MAESTRO!$G$3,IF(S323=0,MAESTRO!$G$4,))))</f>
        <v>#N/A</v>
      </c>
    </row>
    <row r="324" spans="1:21" x14ac:dyDescent="0.3">
      <c r="A324" t="s">
        <v>15</v>
      </c>
      <c r="B324" t="s">
        <v>134</v>
      </c>
      <c r="C324" t="s">
        <v>135</v>
      </c>
      <c r="D324" t="s">
        <v>82</v>
      </c>
      <c r="E324" s="24">
        <f t="shared" si="74"/>
        <v>0</v>
      </c>
      <c r="F324" s="22">
        <f>-SUMIFS(CARGA!I:I,CARGA!B:B,tabla!A324,CARGA!D:D,tabla!C324,CARGA!C:C,MAESTRO!$B$4)-SUMIFS(CARGA!I:I,CARGA!B:B,tabla!A324,CARGA!D:D,tabla!C324,CARGA!C:C,MAESTRO!$B$5)</f>
        <v>0</v>
      </c>
      <c r="G324" s="5">
        <f>+SUMIFS(CARGA!I:I,CARGA!B:B,tabla!A324,CARGA!D:D,tabla!C324)</f>
        <v>0</v>
      </c>
      <c r="H324" s="5">
        <f>+SUMIFS(CARGA!K:K,CARGA!B:B,tabla!A324,CARGA!D:D,tabla!C324)</f>
        <v>0</v>
      </c>
      <c r="I324" s="5">
        <f>+H324+J324</f>
        <v>0</v>
      </c>
      <c r="J324" s="5">
        <f>-SUMIFS(CARGA!K:K,CARGA!B:B,tabla!A324,CARGA!D:D,tabla!C324,CARGA!C:C,MAESTRO!$B$4)+SUMIFS(CARGA!K:K,CARGA!B:B,tabla!A324,CARGA!D:D,tabla!C324,CARGA!C:C,MAESTRO!$B$5)</f>
        <v>0</v>
      </c>
      <c r="K324" s="5" t="e">
        <f>+VLOOKUP(C324,#REF!,3,FALSE)</f>
        <v>#REF!</v>
      </c>
      <c r="L324" s="5" t="e">
        <f>+K324*I324</f>
        <v>#REF!</v>
      </c>
      <c r="M324" s="5" t="e">
        <f>+K324*J324</f>
        <v>#REF!</v>
      </c>
      <c r="N324" s="5" t="str">
        <f t="shared" si="75"/>
        <v>NO</v>
      </c>
      <c r="O324" s="5" t="e">
        <f>+VLOOKUP(C324,[2]Fondos!$F:$J,5,FALSE)</f>
        <v>#N/A</v>
      </c>
      <c r="P324" s="13" t="e">
        <f>+VLOOKUP(C324,[2]Fondos!$F:$K,6,FALSE)</f>
        <v>#N/A</v>
      </c>
      <c r="Q324" s="13" t="e">
        <f t="shared" si="76"/>
        <v>#N/A</v>
      </c>
      <c r="R324" s="10" t="e">
        <f>+IF(Q324&gt;MAESTRO!$G$6,0,1)</f>
        <v>#N/A</v>
      </c>
      <c r="S324" t="e">
        <f>+IF(P324&lt;MAESTRO!$G$8,0,1)</f>
        <v>#N/A</v>
      </c>
      <c r="T324" s="10" t="e">
        <f t="shared" si="77"/>
        <v>#N/A</v>
      </c>
      <c r="U324" t="e">
        <f>+IF(R324+S324=2,MAESTRO!$G$2,IF(R324+S324=0,MAESTRO!$G$5,IF(R324=0,MAESTRO!$G$3,IF(S324=0,MAESTRO!$G$4,))))</f>
        <v>#N/A</v>
      </c>
    </row>
    <row r="326" spans="1:21" x14ac:dyDescent="0.3">
      <c r="A326" t="s">
        <v>124</v>
      </c>
      <c r="B326" t="s">
        <v>31</v>
      </c>
      <c r="C326" s="7" t="s">
        <v>50</v>
      </c>
      <c r="D326" t="s">
        <v>81</v>
      </c>
      <c r="E326" s="24">
        <f t="shared" ref="E326:E370" si="78">+F326+G326</f>
        <v>0</v>
      </c>
      <c r="F326" s="22">
        <f>-SUMIFS(CARGA!I:I,CARGA!B:B,tabla!A326,CARGA!D:D,tabla!C326,CARGA!C:C,MAESTRO!$B$4)-SUMIFS(CARGA!I:I,CARGA!B:B,tabla!A326,CARGA!D:D,tabla!C326,CARGA!C:C,MAESTRO!$B$5)</f>
        <v>0</v>
      </c>
      <c r="G326" s="5">
        <f>+SUMIFS(CARGA!I:I,CARGA!B:B,tabla!A326,CARGA!D:D,tabla!C326)</f>
        <v>0</v>
      </c>
      <c r="H326" s="5">
        <f>+SUMIFS(CARGA!K:K,CARGA!B:B,tabla!A326,CARGA!D:D,tabla!C326)</f>
        <v>0</v>
      </c>
      <c r="I326" s="5">
        <f t="shared" ref="I326:I370" si="79">+H326+J326</f>
        <v>0</v>
      </c>
      <c r="J326" s="5">
        <f>-SUMIFS(CARGA!K:K,CARGA!B:B,tabla!A326,CARGA!D:D,tabla!C326,CARGA!C:C,MAESTRO!$B$4)+SUMIFS(CARGA!K:K,CARGA!B:B,tabla!A326,CARGA!D:D,tabla!C326,CARGA!C:C,MAESTRO!$B$5)</f>
        <v>0</v>
      </c>
      <c r="K326" s="5" t="e">
        <f>+VLOOKUP(C326,#REF!,3,FALSE)</f>
        <v>#REF!</v>
      </c>
      <c r="L326" s="5" t="e">
        <f t="shared" ref="L326:L370" si="80">+K326*I326</f>
        <v>#REF!</v>
      </c>
      <c r="M326" s="5" t="e">
        <f t="shared" ref="M326:M370" si="81">+K326*J326</f>
        <v>#REF!</v>
      </c>
      <c r="N326" s="5" t="str">
        <f t="shared" ref="N326:N370" si="82">+IF(G326+F326=0,"NO","SI")</f>
        <v>NO</v>
      </c>
      <c r="O326" s="5">
        <f>+VLOOKUP(C326,[2]Fondos!$F:$J,5,FALSE)</f>
        <v>1817778903</v>
      </c>
      <c r="P326" s="13">
        <f>+VLOOKUP(C326,[2]Fondos!$F:$K,6,FALSE)</f>
        <v>0.23246230000000001</v>
      </c>
      <c r="Q326" s="13">
        <f t="shared" ref="Q326:Q370" si="83">+G326/O326</f>
        <v>0</v>
      </c>
      <c r="R326" s="10">
        <f>+IF(Q326&gt;MAESTRO!$G$6,0,1)</f>
        <v>1</v>
      </c>
      <c r="S326">
        <f>+IF(P326&lt;MAESTRO!$G$8,0,1)</f>
        <v>1</v>
      </c>
      <c r="T326" s="10">
        <f>+R326+S326</f>
        <v>2</v>
      </c>
      <c r="U326" t="str">
        <f>+IF(R326+S326=2,MAESTRO!$G$2,IF(R326+S326=0,MAESTRO!$G$5,IF(R326=0,MAESTRO!$G$3,IF(S326=0,MAESTRO!$G$4,))))</f>
        <v>cumple politica</v>
      </c>
    </row>
    <row r="327" spans="1:21" x14ac:dyDescent="0.3">
      <c r="A327" t="s">
        <v>124</v>
      </c>
      <c r="B327" t="s">
        <v>31</v>
      </c>
      <c r="C327" s="7" t="s">
        <v>70</v>
      </c>
      <c r="D327" t="s">
        <v>82</v>
      </c>
      <c r="E327" s="24">
        <f t="shared" si="78"/>
        <v>0</v>
      </c>
      <c r="F327" s="22">
        <f>-SUMIFS(CARGA!I:I,CARGA!B:B,tabla!A327,CARGA!D:D,tabla!C327,CARGA!C:C,MAESTRO!$B$4)-SUMIFS(CARGA!I:I,CARGA!B:B,tabla!A327,CARGA!D:D,tabla!C327,CARGA!C:C,MAESTRO!$B$5)</f>
        <v>0</v>
      </c>
      <c r="G327" s="5">
        <f>+SUMIFS(CARGA!I:I,CARGA!B:B,tabla!A327,CARGA!D:D,tabla!C327)</f>
        <v>0</v>
      </c>
      <c r="H327" s="5">
        <f>+SUMIFS(CARGA!K:K,CARGA!B:B,tabla!A327,CARGA!D:D,tabla!C327)</f>
        <v>0</v>
      </c>
      <c r="I327" s="5">
        <f t="shared" si="79"/>
        <v>0</v>
      </c>
      <c r="J327" s="5">
        <f>-SUMIFS(CARGA!K:K,CARGA!B:B,tabla!A327,CARGA!D:D,tabla!C327,CARGA!C:C,MAESTRO!$B$4)+SUMIFS(CARGA!K:K,CARGA!B:B,tabla!A327,CARGA!D:D,tabla!C327,CARGA!C:C,MAESTRO!$B$5)</f>
        <v>0</v>
      </c>
      <c r="K327" s="5" t="e">
        <f>+VLOOKUP(C327,#REF!,3,FALSE)</f>
        <v>#REF!</v>
      </c>
      <c r="L327" s="5" t="e">
        <f t="shared" si="80"/>
        <v>#REF!</v>
      </c>
      <c r="M327" s="5" t="e">
        <f t="shared" si="81"/>
        <v>#REF!</v>
      </c>
      <c r="N327" s="5" t="str">
        <f t="shared" si="82"/>
        <v>NO</v>
      </c>
      <c r="O327" s="5">
        <f>+VLOOKUP(C327,[2]Fondos!$F:$J,5,FALSE)</f>
        <v>6506463370</v>
      </c>
      <c r="P327" s="13" t="e">
        <f>+VLOOKUP(C327,[2]Fondos!$F:$K,6,FALSE)</f>
        <v>#VALUE!</v>
      </c>
      <c r="Q327" s="13">
        <f t="shared" si="83"/>
        <v>0</v>
      </c>
      <c r="R327" s="10">
        <f>+IF(Q327&gt;MAESTRO!$G$6,0,1)</f>
        <v>1</v>
      </c>
      <c r="S327" t="e">
        <f>+IF(P327&lt;MAESTRO!$G$8,0,1)</f>
        <v>#VALUE!</v>
      </c>
      <c r="T327" s="10" t="e">
        <f t="shared" ref="T327:T370" si="84">+R327+S327</f>
        <v>#VALUE!</v>
      </c>
      <c r="U327" t="e">
        <f>+IF(R327+S327=2,MAESTRO!$G$2,IF(R327+S327=0,MAESTRO!$G$5,IF(R327=0,MAESTRO!$G$3,IF(S327=0,MAESTRO!$G$4,))))</f>
        <v>#VALUE!</v>
      </c>
    </row>
    <row r="328" spans="1:21" x14ac:dyDescent="0.3">
      <c r="A328" t="s">
        <v>124</v>
      </c>
      <c r="B328" t="s">
        <v>31</v>
      </c>
      <c r="C328" s="7" t="s">
        <v>69</v>
      </c>
      <c r="D328" t="s">
        <v>82</v>
      </c>
      <c r="E328" s="24">
        <f t="shared" si="78"/>
        <v>0</v>
      </c>
      <c r="F328" s="22">
        <f>-SUMIFS(CARGA!I:I,CARGA!B:B,tabla!A328,CARGA!D:D,tabla!C328,CARGA!C:C,MAESTRO!$B$4)-SUMIFS(CARGA!I:I,CARGA!B:B,tabla!A328,CARGA!D:D,tabla!C328,CARGA!C:C,MAESTRO!$B$5)</f>
        <v>0</v>
      </c>
      <c r="G328" s="5">
        <f>+SUMIFS(CARGA!I:I,CARGA!B:B,tabla!A328,CARGA!D:D,tabla!C328)</f>
        <v>0</v>
      </c>
      <c r="H328" s="5">
        <f>+SUMIFS(CARGA!K:K,CARGA!B:B,tabla!A328,CARGA!D:D,tabla!C328)</f>
        <v>0</v>
      </c>
      <c r="I328" s="5">
        <f t="shared" si="79"/>
        <v>0</v>
      </c>
      <c r="J328" s="5">
        <f>-SUMIFS(CARGA!K:K,CARGA!B:B,tabla!A328,CARGA!D:D,tabla!C328,CARGA!C:C,MAESTRO!$B$4)+SUMIFS(CARGA!K:K,CARGA!B:B,tabla!A328,CARGA!D:D,tabla!C328,CARGA!C:C,MAESTRO!$B$5)</f>
        <v>0</v>
      </c>
      <c r="K328" s="5" t="e">
        <f>+VLOOKUP(C328,#REF!,3,FALSE)</f>
        <v>#REF!</v>
      </c>
      <c r="L328" s="5" t="e">
        <f t="shared" si="80"/>
        <v>#REF!</v>
      </c>
      <c r="M328" s="5" t="e">
        <f t="shared" si="81"/>
        <v>#REF!</v>
      </c>
      <c r="N328" s="5" t="str">
        <f t="shared" si="82"/>
        <v>NO</v>
      </c>
      <c r="O328" s="5">
        <f>+VLOOKUP(C328,[2]Fondos!$F:$J,5,FALSE)</f>
        <v>39848036</v>
      </c>
      <c r="P328" s="13" t="e">
        <f>+VLOOKUP(C328,[2]Fondos!$F:$K,6,FALSE)</f>
        <v>#VALUE!</v>
      </c>
      <c r="Q328" s="13">
        <f t="shared" si="83"/>
        <v>0</v>
      </c>
      <c r="R328" s="10">
        <f>+IF(Q328&gt;MAESTRO!$G$6,0,1)</f>
        <v>1</v>
      </c>
      <c r="S328" t="e">
        <f>+IF(P328&lt;MAESTRO!$G$8,0,1)</f>
        <v>#VALUE!</v>
      </c>
      <c r="T328" s="10" t="e">
        <f t="shared" si="84"/>
        <v>#VALUE!</v>
      </c>
      <c r="U328" t="e">
        <f>+IF(R328+S328=2,MAESTRO!$G$2,IF(R328+S328=0,MAESTRO!$G$5,IF(R328=0,MAESTRO!$G$3,IF(S328=0,MAESTRO!$G$4,))))</f>
        <v>#VALUE!</v>
      </c>
    </row>
    <row r="329" spans="1:21" x14ac:dyDescent="0.3">
      <c r="A329" t="s">
        <v>124</v>
      </c>
      <c r="B329" t="s">
        <v>33</v>
      </c>
      <c r="C329" s="7" t="s">
        <v>52</v>
      </c>
      <c r="D329" t="s">
        <v>81</v>
      </c>
      <c r="E329" s="24">
        <f t="shared" si="78"/>
        <v>0</v>
      </c>
      <c r="F329" s="22">
        <f>-SUMIFS(CARGA!I:I,CARGA!B:B,tabla!A329,CARGA!D:D,tabla!C329,CARGA!C:C,MAESTRO!$B$4)-SUMIFS(CARGA!I:I,CARGA!B:B,tabla!A329,CARGA!D:D,tabla!C329,CARGA!C:C,MAESTRO!$B$5)</f>
        <v>0</v>
      </c>
      <c r="G329" s="5">
        <f>+SUMIFS(CARGA!I:I,CARGA!B:B,tabla!A329,CARGA!D:D,tabla!C329)</f>
        <v>0</v>
      </c>
      <c r="H329" s="5">
        <f>+SUMIFS(CARGA!K:K,CARGA!B:B,tabla!A329,CARGA!D:D,tabla!C329)</f>
        <v>0</v>
      </c>
      <c r="I329" s="5">
        <f t="shared" si="79"/>
        <v>0</v>
      </c>
      <c r="J329" s="5">
        <f>-SUMIFS(CARGA!K:K,CARGA!B:B,tabla!A329,CARGA!D:D,tabla!C329,CARGA!C:C,MAESTRO!$B$4)+SUMIFS(CARGA!K:K,CARGA!B:B,tabla!A329,CARGA!D:D,tabla!C329,CARGA!C:C,MAESTRO!$B$5)</f>
        <v>0</v>
      </c>
      <c r="K329" s="5" t="e">
        <f>+VLOOKUP(C329,#REF!,3,FALSE)</f>
        <v>#REF!</v>
      </c>
      <c r="L329" s="5" t="e">
        <f t="shared" si="80"/>
        <v>#REF!</v>
      </c>
      <c r="M329" s="5" t="e">
        <f t="shared" si="81"/>
        <v>#REF!</v>
      </c>
      <c r="N329" s="5" t="str">
        <f t="shared" si="82"/>
        <v>NO</v>
      </c>
      <c r="O329" s="5">
        <f>+VLOOKUP(C329,[2]Fondos!$F:$J,5,FALSE)</f>
        <v>3875956517</v>
      </c>
      <c r="P329" s="13">
        <f>+VLOOKUP(C329,[2]Fondos!$F:$K,6,FALSE)</f>
        <v>0.23267859999999999</v>
      </c>
      <c r="Q329" s="13">
        <f t="shared" si="83"/>
        <v>0</v>
      </c>
      <c r="R329" s="10">
        <f>+IF(Q329&gt;MAESTRO!$G$6,0,1)</f>
        <v>1</v>
      </c>
      <c r="S329">
        <f>+IF(P329&lt;MAESTRO!$G$8,0,1)</f>
        <v>1</v>
      </c>
      <c r="T329" s="10">
        <f t="shared" si="84"/>
        <v>2</v>
      </c>
      <c r="U329" t="str">
        <f>+IF(R329+S329=2,MAESTRO!$G$2,IF(R329+S329=0,MAESTRO!$G$5,IF(R329=0,MAESTRO!$G$3,IF(S329=0,MAESTRO!$G$4,))))</f>
        <v>cumple politica</v>
      </c>
    </row>
    <row r="330" spans="1:21" x14ac:dyDescent="0.3">
      <c r="A330" t="s">
        <v>124</v>
      </c>
      <c r="B330" t="s">
        <v>33</v>
      </c>
      <c r="C330" s="7" t="s">
        <v>74</v>
      </c>
      <c r="D330" t="s">
        <v>82</v>
      </c>
      <c r="E330" s="24">
        <f t="shared" si="78"/>
        <v>0</v>
      </c>
      <c r="F330" s="22">
        <f>-SUMIFS(CARGA!I:I,CARGA!B:B,tabla!A330,CARGA!D:D,tabla!C330,CARGA!C:C,MAESTRO!$B$4)-SUMIFS(CARGA!I:I,CARGA!B:B,tabla!A330,CARGA!D:D,tabla!C330,CARGA!C:C,MAESTRO!$B$5)</f>
        <v>0</v>
      </c>
      <c r="G330" s="5">
        <f>+SUMIFS(CARGA!I:I,CARGA!B:B,tabla!A330,CARGA!D:D,tabla!C330)</f>
        <v>0</v>
      </c>
      <c r="H330" s="5">
        <f>+SUMIFS(CARGA!K:K,CARGA!B:B,tabla!A330,CARGA!D:D,tabla!C330)</f>
        <v>0</v>
      </c>
      <c r="I330" s="5">
        <f t="shared" si="79"/>
        <v>0</v>
      </c>
      <c r="J330" s="5">
        <f>-SUMIFS(CARGA!K:K,CARGA!B:B,tabla!A330,CARGA!D:D,tabla!C330,CARGA!C:C,MAESTRO!$B$4)+SUMIFS(CARGA!K:K,CARGA!B:B,tabla!A330,CARGA!D:D,tabla!C330,CARGA!C:C,MAESTRO!$B$5)</f>
        <v>0</v>
      </c>
      <c r="K330" s="5" t="e">
        <f>+VLOOKUP(C330,#REF!,3,FALSE)</f>
        <v>#REF!</v>
      </c>
      <c r="L330" s="5" t="e">
        <f t="shared" si="80"/>
        <v>#REF!</v>
      </c>
      <c r="M330" s="5" t="e">
        <f t="shared" si="81"/>
        <v>#REF!</v>
      </c>
      <c r="N330" s="5" t="str">
        <f t="shared" si="82"/>
        <v>NO</v>
      </c>
      <c r="O330" s="5">
        <f>+VLOOKUP(C330,[2]Fondos!$F:$J,5,FALSE)</f>
        <v>8775783683</v>
      </c>
      <c r="P330" s="13">
        <f>+VLOOKUP(C330,[2]Fondos!$F:$K,6,FALSE)</f>
        <v>0.2640304</v>
      </c>
      <c r="Q330" s="13">
        <f t="shared" si="83"/>
        <v>0</v>
      </c>
      <c r="R330" s="10">
        <f>+IF(Q330&gt;MAESTRO!$G$6,0,1)</f>
        <v>1</v>
      </c>
      <c r="S330">
        <f>+IF(P330&lt;MAESTRO!$G$8,0,1)</f>
        <v>1</v>
      </c>
      <c r="T330" s="10">
        <f t="shared" si="84"/>
        <v>2</v>
      </c>
      <c r="U330" t="str">
        <f>+IF(R330+S330=2,MAESTRO!$G$2,IF(R330+S330=0,MAESTRO!$G$5,IF(R330=0,MAESTRO!$G$3,IF(S330=0,MAESTRO!$G$4,))))</f>
        <v>cumple politica</v>
      </c>
    </row>
    <row r="331" spans="1:21" x14ac:dyDescent="0.3">
      <c r="A331" t="s">
        <v>124</v>
      </c>
      <c r="B331" t="s">
        <v>27</v>
      </c>
      <c r="C331" t="s">
        <v>63</v>
      </c>
      <c r="D331" t="s">
        <v>82</v>
      </c>
      <c r="E331" s="24">
        <f t="shared" si="78"/>
        <v>0</v>
      </c>
      <c r="F331" s="22">
        <f>-SUMIFS(CARGA!I:I,CARGA!B:B,tabla!A331,CARGA!D:D,tabla!C331,CARGA!C:C,MAESTRO!$B$4)-SUMIFS(CARGA!I:I,CARGA!B:B,tabla!A331,CARGA!D:D,tabla!C331,CARGA!C:C,MAESTRO!$B$5)</f>
        <v>0</v>
      </c>
      <c r="G331" s="5">
        <f>+SUMIFS(CARGA!I:I,CARGA!B:B,tabla!A331,CARGA!D:D,tabla!C331)</f>
        <v>0</v>
      </c>
      <c r="H331" s="5">
        <f>+SUMIFS(CARGA!K:K,CARGA!B:B,tabla!A331,CARGA!D:D,tabla!C331)</f>
        <v>0</v>
      </c>
      <c r="I331" s="5">
        <f t="shared" si="79"/>
        <v>0</v>
      </c>
      <c r="J331" s="5">
        <f>-SUMIFS(CARGA!K:K,CARGA!B:B,tabla!A331,CARGA!D:D,tabla!C331,CARGA!C:C,MAESTRO!$B$4)+SUMIFS(CARGA!K:K,CARGA!B:B,tabla!A331,CARGA!D:D,tabla!C331,CARGA!C:C,MAESTRO!$B$5)</f>
        <v>0</v>
      </c>
      <c r="K331" s="5" t="e">
        <f>+VLOOKUP(C331,#REF!,3,FALSE)</f>
        <v>#REF!</v>
      </c>
      <c r="L331" s="5" t="e">
        <f t="shared" si="80"/>
        <v>#REF!</v>
      </c>
      <c r="M331" s="5" t="e">
        <f t="shared" si="81"/>
        <v>#REF!</v>
      </c>
      <c r="N331" s="5" t="str">
        <f t="shared" si="82"/>
        <v>NO</v>
      </c>
      <c r="O331" s="5">
        <f>+VLOOKUP(C331,[2]Fondos!$F:$J,5,FALSE)</f>
        <v>14114977659</v>
      </c>
      <c r="P331" s="13">
        <f>+VLOOKUP(C331,[2]Fondos!$F:$K,6,FALSE)</f>
        <v>0.26056640000000003</v>
      </c>
      <c r="Q331" s="13">
        <f t="shared" si="83"/>
        <v>0</v>
      </c>
      <c r="R331" s="10">
        <f>+IF(Q331&gt;MAESTRO!$G$6,0,1)</f>
        <v>1</v>
      </c>
      <c r="S331">
        <f>+IF(P331&lt;MAESTRO!$G$8,0,1)</f>
        <v>1</v>
      </c>
      <c r="T331" s="10">
        <f t="shared" si="84"/>
        <v>2</v>
      </c>
      <c r="U331" t="str">
        <f>+IF(R331+S331=2,MAESTRO!$G$2,IF(R331+S331=0,MAESTRO!$G$5,IF(R331=0,MAESTRO!$G$3,IF(S331=0,MAESTRO!$G$4,))))</f>
        <v>cumple politica</v>
      </c>
    </row>
    <row r="332" spans="1:21" x14ac:dyDescent="0.3">
      <c r="A332" t="s">
        <v>124</v>
      </c>
      <c r="B332" t="s">
        <v>27</v>
      </c>
      <c r="C332" t="s">
        <v>47</v>
      </c>
      <c r="D332" t="s">
        <v>81</v>
      </c>
      <c r="E332" s="24">
        <f t="shared" si="78"/>
        <v>0</v>
      </c>
      <c r="F332" s="22">
        <f>-SUMIFS(CARGA!I:I,CARGA!B:B,tabla!A332,CARGA!D:D,tabla!C332,CARGA!C:C,MAESTRO!$B$4)-SUMIFS(CARGA!I:I,CARGA!B:B,tabla!A332,CARGA!D:D,tabla!C332,CARGA!C:C,MAESTRO!$B$5)</f>
        <v>0</v>
      </c>
      <c r="G332" s="5">
        <f>+SUMIFS(CARGA!I:I,CARGA!B:B,tabla!A332,CARGA!D:D,tabla!C332)</f>
        <v>0</v>
      </c>
      <c r="H332" s="5">
        <f>+SUMIFS(CARGA!K:K,CARGA!B:B,tabla!A332,CARGA!D:D,tabla!C332)</f>
        <v>0</v>
      </c>
      <c r="I332" s="5">
        <f t="shared" si="79"/>
        <v>0</v>
      </c>
      <c r="J332" s="5">
        <f>-SUMIFS(CARGA!K:K,CARGA!B:B,tabla!A332,CARGA!D:D,tabla!C332,CARGA!C:C,MAESTRO!$B$4)+SUMIFS(CARGA!K:K,CARGA!B:B,tabla!A332,CARGA!D:D,tabla!C332,CARGA!C:C,MAESTRO!$B$5)</f>
        <v>0</v>
      </c>
      <c r="K332" s="5" t="e">
        <f>+VLOOKUP(C332,#REF!,3,FALSE)</f>
        <v>#REF!</v>
      </c>
      <c r="L332" s="5" t="e">
        <f t="shared" si="80"/>
        <v>#REF!</v>
      </c>
      <c r="M332" s="5" t="e">
        <f t="shared" si="81"/>
        <v>#REF!</v>
      </c>
      <c r="N332" s="5" t="str">
        <f t="shared" si="82"/>
        <v>NO</v>
      </c>
      <c r="O332" s="5">
        <f>+VLOOKUP(C332,[2]Fondos!$F:$J,5,FALSE)</f>
        <v>1977335292</v>
      </c>
      <c r="P332" s="13">
        <f>+VLOOKUP(C332,[2]Fondos!$F:$K,6,FALSE)</f>
        <v>0.19354769999999999</v>
      </c>
      <c r="Q332" s="13">
        <f t="shared" si="83"/>
        <v>0</v>
      </c>
      <c r="R332" s="10">
        <f>+IF(Q332&gt;MAESTRO!$G$6,0,1)</f>
        <v>1</v>
      </c>
      <c r="S332">
        <f>+IF(P332&lt;MAESTRO!$G$8,0,1)</f>
        <v>1</v>
      </c>
      <c r="T332" s="10">
        <f t="shared" si="84"/>
        <v>2</v>
      </c>
      <c r="U332" t="str">
        <f>+IF(R332+S332=2,MAESTRO!$G$2,IF(R332+S332=0,MAESTRO!$G$5,IF(R332=0,MAESTRO!$G$3,IF(S332=0,MAESTRO!$G$4,))))</f>
        <v>cumple politica</v>
      </c>
    </row>
    <row r="333" spans="1:21" x14ac:dyDescent="0.3">
      <c r="A333" t="s">
        <v>124</v>
      </c>
      <c r="B333" t="s">
        <v>27</v>
      </c>
      <c r="C333" t="s">
        <v>42</v>
      </c>
      <c r="D333" t="s">
        <v>81</v>
      </c>
      <c r="E333" s="24">
        <f t="shared" si="78"/>
        <v>0</v>
      </c>
      <c r="F333" s="22">
        <f>-SUMIFS(CARGA!I:I,CARGA!B:B,tabla!A333,CARGA!D:D,tabla!C333,CARGA!C:C,MAESTRO!$B$4)-SUMIFS(CARGA!I:I,CARGA!B:B,tabla!A333,CARGA!D:D,tabla!C333,CARGA!C:C,MAESTRO!$B$5)</f>
        <v>0</v>
      </c>
      <c r="G333" s="5">
        <f>+SUMIFS(CARGA!I:I,CARGA!B:B,tabla!A333,CARGA!D:D,tabla!C333)</f>
        <v>0</v>
      </c>
      <c r="H333" s="5">
        <f>+SUMIFS(CARGA!K:K,CARGA!B:B,tabla!A333,CARGA!D:D,tabla!C333)</f>
        <v>0</v>
      </c>
      <c r="I333" s="5">
        <f t="shared" si="79"/>
        <v>0</v>
      </c>
      <c r="J333" s="5">
        <f>-SUMIFS(CARGA!K:K,CARGA!B:B,tabla!A333,CARGA!D:D,tabla!C333,CARGA!C:C,MAESTRO!$B$4)+SUMIFS(CARGA!K:K,CARGA!B:B,tabla!A333,CARGA!D:D,tabla!C333,CARGA!C:C,MAESTRO!$B$5)</f>
        <v>0</v>
      </c>
      <c r="K333" s="5" t="e">
        <f>+VLOOKUP(C333,#REF!,3,FALSE)</f>
        <v>#REF!</v>
      </c>
      <c r="L333" s="5" t="e">
        <f t="shared" si="80"/>
        <v>#REF!</v>
      </c>
      <c r="M333" s="5" t="e">
        <f t="shared" si="81"/>
        <v>#REF!</v>
      </c>
      <c r="N333" s="5" t="str">
        <f t="shared" si="82"/>
        <v>NO</v>
      </c>
      <c r="O333" s="5">
        <f>+VLOOKUP(C333,[2]Fondos!$F:$J,5,FALSE)</f>
        <v>2171371244</v>
      </c>
      <c r="P333" s="13">
        <f>+VLOOKUP(C333,[2]Fondos!$F:$K,6,FALSE)</f>
        <v>0.2113614</v>
      </c>
      <c r="Q333" s="13">
        <f t="shared" si="83"/>
        <v>0</v>
      </c>
      <c r="R333" s="10">
        <f>+IF(Q333&gt;MAESTRO!$G$6,0,1)</f>
        <v>1</v>
      </c>
      <c r="S333">
        <f>+IF(P333&lt;MAESTRO!$G$8,0,1)</f>
        <v>1</v>
      </c>
      <c r="T333" s="10">
        <f t="shared" si="84"/>
        <v>2</v>
      </c>
      <c r="U333" t="str">
        <f>+IF(R333+S333=2,MAESTRO!$G$2,IF(R333+S333=0,MAESTRO!$G$5,IF(R333=0,MAESTRO!$G$3,IF(S333=0,MAESTRO!$G$4,))))</f>
        <v>cumple politica</v>
      </c>
    </row>
    <row r="334" spans="1:21" x14ac:dyDescent="0.3">
      <c r="A334" t="s">
        <v>124</v>
      </c>
      <c r="B334" t="s">
        <v>27</v>
      </c>
      <c r="C334" t="s">
        <v>78</v>
      </c>
      <c r="D334" t="s">
        <v>82</v>
      </c>
      <c r="E334" s="24">
        <f t="shared" si="78"/>
        <v>0</v>
      </c>
      <c r="F334" s="22">
        <f>-SUMIFS(CARGA!I:I,CARGA!B:B,tabla!A334,CARGA!D:D,tabla!C334,CARGA!C:C,MAESTRO!$B$4)-SUMIFS(CARGA!I:I,CARGA!B:B,tabla!A334,CARGA!D:D,tabla!C334,CARGA!C:C,MAESTRO!$B$5)</f>
        <v>0</v>
      </c>
      <c r="G334" s="5">
        <f>+SUMIFS(CARGA!I:I,CARGA!B:B,tabla!A334,CARGA!D:D,tabla!C334)</f>
        <v>0</v>
      </c>
      <c r="H334" s="5">
        <f>+SUMIFS(CARGA!K:K,CARGA!B:B,tabla!A334,CARGA!D:D,tabla!C334)</f>
        <v>0</v>
      </c>
      <c r="I334" s="5">
        <f t="shared" si="79"/>
        <v>0</v>
      </c>
      <c r="J334" s="5">
        <f>-SUMIFS(CARGA!K:K,CARGA!B:B,tabla!A334,CARGA!D:D,tabla!C334,CARGA!C:C,MAESTRO!$B$4)+SUMIFS(CARGA!K:K,CARGA!B:B,tabla!A334,CARGA!D:D,tabla!C334,CARGA!C:C,MAESTRO!$B$5)</f>
        <v>0</v>
      </c>
      <c r="K334" s="5" t="e">
        <f>+VLOOKUP(C334,#REF!,3,FALSE)</f>
        <v>#REF!</v>
      </c>
      <c r="L334" s="5" t="e">
        <f t="shared" si="80"/>
        <v>#REF!</v>
      </c>
      <c r="M334" s="5" t="e">
        <f t="shared" si="81"/>
        <v>#REF!</v>
      </c>
      <c r="N334" s="5" t="str">
        <f t="shared" si="82"/>
        <v>NO</v>
      </c>
      <c r="O334" s="5">
        <f>+VLOOKUP(C334,[2]Fondos!$F:$J,5,FALSE)</f>
        <v>234619684</v>
      </c>
      <c r="P334" s="13">
        <f>+VLOOKUP(C334,[2]Fondos!$F:$K,6,FALSE)</f>
        <v>0.26737729999999998</v>
      </c>
      <c r="Q334" s="13">
        <f t="shared" si="83"/>
        <v>0</v>
      </c>
      <c r="R334" s="10">
        <f>+IF(Q334&gt;MAESTRO!$G$6,0,1)</f>
        <v>1</v>
      </c>
      <c r="S334">
        <f>+IF(P334&lt;MAESTRO!$G$8,0,1)</f>
        <v>1</v>
      </c>
      <c r="T334" s="10">
        <f t="shared" si="84"/>
        <v>2</v>
      </c>
      <c r="U334" t="str">
        <f>+IF(R334+S334=2,MAESTRO!$G$2,IF(R334+S334=0,MAESTRO!$G$5,IF(R334=0,MAESTRO!$G$3,IF(S334=0,MAESTRO!$G$4,))))</f>
        <v>cumple politica</v>
      </c>
    </row>
    <row r="335" spans="1:21" x14ac:dyDescent="0.3">
      <c r="A335" t="s">
        <v>124</v>
      </c>
      <c r="B335" t="s">
        <v>109</v>
      </c>
      <c r="C335" t="s">
        <v>75</v>
      </c>
      <c r="D335" t="s">
        <v>82</v>
      </c>
      <c r="E335" s="24">
        <f t="shared" si="78"/>
        <v>0</v>
      </c>
      <c r="F335" s="22">
        <f>-SUMIFS(CARGA!I:I,CARGA!B:B,tabla!A335,CARGA!D:D,tabla!C335,CARGA!C:C,MAESTRO!$B$4)-SUMIFS(CARGA!I:I,CARGA!B:B,tabla!A335,CARGA!D:D,tabla!C335,CARGA!C:C,MAESTRO!$B$5)</f>
        <v>0</v>
      </c>
      <c r="G335" s="5">
        <f>+SUMIFS(CARGA!I:I,CARGA!B:B,tabla!A335,CARGA!D:D,tabla!C335)</f>
        <v>0</v>
      </c>
      <c r="H335" s="5">
        <f>+SUMIFS(CARGA!K:K,CARGA!B:B,tabla!A335,CARGA!D:D,tabla!C335)</f>
        <v>0</v>
      </c>
      <c r="I335" s="5">
        <f t="shared" si="79"/>
        <v>0</v>
      </c>
      <c r="J335" s="5">
        <f>-SUMIFS(CARGA!K:K,CARGA!B:B,tabla!A335,CARGA!D:D,tabla!C335,CARGA!C:C,MAESTRO!$B$4)+SUMIFS(CARGA!K:K,CARGA!B:B,tabla!A335,CARGA!D:D,tabla!C335,CARGA!C:C,MAESTRO!$B$5)</f>
        <v>0</v>
      </c>
      <c r="K335" s="5" t="e">
        <f>+VLOOKUP(C335,#REF!,3,FALSE)</f>
        <v>#REF!</v>
      </c>
      <c r="L335" s="5" t="e">
        <f t="shared" si="80"/>
        <v>#REF!</v>
      </c>
      <c r="M335" s="5" t="e">
        <f t="shared" si="81"/>
        <v>#REF!</v>
      </c>
      <c r="N335" s="5" t="str">
        <f t="shared" si="82"/>
        <v>NO</v>
      </c>
      <c r="O335" s="5">
        <f>+VLOOKUP(C335,[2]Fondos!$F:$J,5,FALSE)</f>
        <v>1696672499</v>
      </c>
      <c r="P335" s="13">
        <f>+VLOOKUP(C335,[2]Fondos!$F:$K,6,FALSE)</f>
        <v>0.24191749999999998</v>
      </c>
      <c r="Q335" s="13">
        <f t="shared" si="83"/>
        <v>0</v>
      </c>
      <c r="R335" s="10">
        <f>+IF(Q335&gt;MAESTRO!$G$6,0,1)</f>
        <v>1</v>
      </c>
      <c r="S335">
        <f>+IF(P335&lt;MAESTRO!$G$8,0,1)</f>
        <v>1</v>
      </c>
      <c r="T335" s="10">
        <f t="shared" si="84"/>
        <v>2</v>
      </c>
      <c r="U335" t="str">
        <f>+IF(R335+S335=2,MAESTRO!$G$2,IF(R335+S335=0,MAESTRO!$G$5,IF(R335=0,MAESTRO!$G$3,IF(S335=0,MAESTRO!$G$4,))))</f>
        <v>cumple politica</v>
      </c>
    </row>
    <row r="336" spans="1:21" x14ac:dyDescent="0.3">
      <c r="A336" t="s">
        <v>124</v>
      </c>
      <c r="B336" s="20" t="s">
        <v>35</v>
      </c>
      <c r="C336" s="20" t="s">
        <v>75</v>
      </c>
      <c r="D336" s="20" t="s">
        <v>83</v>
      </c>
      <c r="E336" s="24">
        <f t="shared" si="78"/>
        <v>0</v>
      </c>
      <c r="F336" s="22">
        <f>-SUMIFS(CARGA!I:I,CARGA!B:B,tabla!A336,CARGA!D:D,tabla!C336,CARGA!C:C,MAESTRO!$B$4)-SUMIFS(CARGA!I:I,CARGA!B:B,tabla!A336,CARGA!D:D,tabla!C336,CARGA!C:C,MAESTRO!$B$5)</f>
        <v>0</v>
      </c>
      <c r="G336" s="5">
        <f>+SUMIFS(CARGA!I:I,CARGA!B:B,tabla!A336,CARGA!D:D,tabla!C336)</f>
        <v>0</v>
      </c>
      <c r="H336" s="5">
        <f>+SUMIFS(CARGA!K:K,CARGA!B:B,tabla!A336,CARGA!D:D,tabla!C336)</f>
        <v>0</v>
      </c>
      <c r="I336" s="5">
        <f t="shared" si="79"/>
        <v>0</v>
      </c>
      <c r="J336" s="5">
        <f>-SUMIFS(CARGA!K:K,CARGA!B:B,tabla!A336,CARGA!D:D,tabla!C336,CARGA!C:C,MAESTRO!$B$4)+SUMIFS(CARGA!K:K,CARGA!B:B,tabla!A336,CARGA!D:D,tabla!C336,CARGA!C:C,MAESTRO!$B$5)</f>
        <v>0</v>
      </c>
      <c r="K336" s="5" t="e">
        <f>+VLOOKUP(C336,#REF!,3,FALSE)</f>
        <v>#REF!</v>
      </c>
      <c r="L336" s="5" t="e">
        <f t="shared" si="80"/>
        <v>#REF!</v>
      </c>
      <c r="M336" s="5" t="e">
        <f t="shared" si="81"/>
        <v>#REF!</v>
      </c>
      <c r="N336" s="5" t="str">
        <f t="shared" si="82"/>
        <v>NO</v>
      </c>
      <c r="O336" s="5">
        <f>+VLOOKUP(C336,[2]Fondos!$F:$J,5,FALSE)</f>
        <v>1696672499</v>
      </c>
      <c r="P336" s="13">
        <f>+VLOOKUP(C336,[2]Fondos!$F:$K,6,FALSE)</f>
        <v>0.24191749999999998</v>
      </c>
      <c r="Q336" s="13">
        <f t="shared" si="83"/>
        <v>0</v>
      </c>
      <c r="R336" s="10">
        <f>+IF(Q336&gt;MAESTRO!$G$6,0,1)</f>
        <v>1</v>
      </c>
      <c r="S336">
        <f>+IF(P336&lt;MAESTRO!$G$8,0,1)</f>
        <v>1</v>
      </c>
      <c r="T336" s="10">
        <f t="shared" si="84"/>
        <v>2</v>
      </c>
      <c r="U336" t="str">
        <f>+IF(R336+S336=2,MAESTRO!$G$2,IF(R336+S336=0,MAESTRO!$G$5,IF(R336=0,MAESTRO!$G$3,IF(S336=0,MAESTRO!$G$4,))))</f>
        <v>cumple politica</v>
      </c>
    </row>
    <row r="337" spans="1:21" x14ac:dyDescent="0.3">
      <c r="A337" t="s">
        <v>124</v>
      </c>
      <c r="B337" t="s">
        <v>109</v>
      </c>
      <c r="C337" t="s">
        <v>76</v>
      </c>
      <c r="D337" t="s">
        <v>82</v>
      </c>
      <c r="E337" s="24">
        <f t="shared" si="78"/>
        <v>0</v>
      </c>
      <c r="F337" s="22">
        <f>-SUMIFS(CARGA!I:I,CARGA!B:B,tabla!A337,CARGA!D:D,tabla!C337,CARGA!C:C,MAESTRO!$B$4)-SUMIFS(CARGA!I:I,CARGA!B:B,tabla!A337,CARGA!D:D,tabla!C337,CARGA!C:C,MAESTRO!$B$5)</f>
        <v>0</v>
      </c>
      <c r="G337" s="5">
        <f>+SUMIFS(CARGA!I:I,CARGA!B:B,tabla!A337,CARGA!D:D,tabla!C337)</f>
        <v>0</v>
      </c>
      <c r="H337" s="5">
        <f>+SUMIFS(CARGA!K:K,CARGA!B:B,tabla!A337,CARGA!D:D,tabla!C337)</f>
        <v>0</v>
      </c>
      <c r="I337" s="5">
        <f t="shared" si="79"/>
        <v>0</v>
      </c>
      <c r="J337" s="5">
        <f>-SUMIFS(CARGA!K:K,CARGA!B:B,tabla!A337,CARGA!D:D,tabla!C337,CARGA!C:C,MAESTRO!$B$4)+SUMIFS(CARGA!K:K,CARGA!B:B,tabla!A337,CARGA!D:D,tabla!C337,CARGA!C:C,MAESTRO!$B$5)</f>
        <v>0</v>
      </c>
      <c r="K337" s="5" t="e">
        <f>+VLOOKUP(C337,#REF!,3,FALSE)</f>
        <v>#REF!</v>
      </c>
      <c r="L337" s="5" t="e">
        <f t="shared" si="80"/>
        <v>#REF!</v>
      </c>
      <c r="M337" s="5" t="e">
        <f t="shared" si="81"/>
        <v>#REF!</v>
      </c>
      <c r="N337" s="5" t="str">
        <f t="shared" si="82"/>
        <v>NO</v>
      </c>
      <c r="O337" s="5">
        <f>+VLOOKUP(C337,[2]Fondos!$F:$J,5,FALSE)</f>
        <v>3357048174</v>
      </c>
      <c r="P337" s="13">
        <f>+VLOOKUP(C337,[2]Fondos!$F:$K,6,FALSE)</f>
        <v>0.25849470000000002</v>
      </c>
      <c r="Q337" s="13">
        <f t="shared" si="83"/>
        <v>0</v>
      </c>
      <c r="R337" s="10">
        <f>+IF(Q337&gt;MAESTRO!$G$6,0,1)</f>
        <v>1</v>
      </c>
      <c r="S337">
        <f>+IF(P337&lt;MAESTRO!$G$8,0,1)</f>
        <v>1</v>
      </c>
      <c r="T337" s="10">
        <f t="shared" si="84"/>
        <v>2</v>
      </c>
      <c r="U337" t="str">
        <f>+IF(R337+S337=2,MAESTRO!$G$2,IF(R337+S337=0,MAESTRO!$G$5,IF(R337=0,MAESTRO!$G$3,IF(S337=0,MAESTRO!$G$4,))))</f>
        <v>cumple politica</v>
      </c>
    </row>
    <row r="338" spans="1:21" x14ac:dyDescent="0.3">
      <c r="A338" t="s">
        <v>124</v>
      </c>
      <c r="B338" s="20" t="s">
        <v>35</v>
      </c>
      <c r="C338" s="20" t="s">
        <v>76</v>
      </c>
      <c r="D338" s="20" t="s">
        <v>83</v>
      </c>
      <c r="E338" s="24">
        <f t="shared" si="78"/>
        <v>0</v>
      </c>
      <c r="F338" s="22">
        <f>-SUMIFS(CARGA!I:I,CARGA!B:B,tabla!A338,CARGA!D:D,tabla!C338,CARGA!C:C,MAESTRO!$B$4)-SUMIFS(CARGA!I:I,CARGA!B:B,tabla!A338,CARGA!D:D,tabla!C338,CARGA!C:C,MAESTRO!$B$5)</f>
        <v>0</v>
      </c>
      <c r="G338" s="5">
        <f>+SUMIFS(CARGA!I:I,CARGA!B:B,tabla!A338,CARGA!D:D,tabla!C338)</f>
        <v>0</v>
      </c>
      <c r="H338" s="5">
        <f>+SUMIFS(CARGA!K:K,CARGA!B:B,tabla!A338,CARGA!D:D,tabla!C338)</f>
        <v>0</v>
      </c>
      <c r="I338" s="5">
        <f t="shared" si="79"/>
        <v>0</v>
      </c>
      <c r="J338" s="5">
        <f>-SUMIFS(CARGA!K:K,CARGA!B:B,tabla!A338,CARGA!D:D,tabla!C338,CARGA!C:C,MAESTRO!$B$4)+SUMIFS(CARGA!K:K,CARGA!B:B,tabla!A338,CARGA!D:D,tabla!C338,CARGA!C:C,MAESTRO!$B$5)</f>
        <v>0</v>
      </c>
      <c r="K338" s="5" t="e">
        <f>+VLOOKUP(C338,#REF!,3,FALSE)</f>
        <v>#REF!</v>
      </c>
      <c r="L338" s="5" t="e">
        <f t="shared" si="80"/>
        <v>#REF!</v>
      </c>
      <c r="M338" s="5" t="e">
        <f t="shared" si="81"/>
        <v>#REF!</v>
      </c>
      <c r="N338" s="5" t="str">
        <f t="shared" si="82"/>
        <v>NO</v>
      </c>
      <c r="O338" s="5">
        <f>+VLOOKUP(C338,[2]Fondos!$F:$J,5,FALSE)</f>
        <v>3357048174</v>
      </c>
      <c r="P338" s="13">
        <f>+VLOOKUP(C338,[2]Fondos!$F:$K,6,FALSE)</f>
        <v>0.25849470000000002</v>
      </c>
      <c r="Q338" s="13">
        <f t="shared" si="83"/>
        <v>0</v>
      </c>
      <c r="R338" s="10">
        <f>+IF(Q338&gt;MAESTRO!$G$6,0,1)</f>
        <v>1</v>
      </c>
      <c r="S338">
        <f>+IF(P338&lt;MAESTRO!$G$8,0,1)</f>
        <v>1</v>
      </c>
      <c r="T338" s="10">
        <f t="shared" si="84"/>
        <v>2</v>
      </c>
      <c r="U338" t="str">
        <f>+IF(R338+S338=2,MAESTRO!$G$2,IF(R338+S338=0,MAESTRO!$G$5,IF(R338=0,MAESTRO!$G$3,IF(S338=0,MAESTRO!$G$4,))))</f>
        <v>cumple politica</v>
      </c>
    </row>
    <row r="339" spans="1:21" x14ac:dyDescent="0.3">
      <c r="A339" t="s">
        <v>124</v>
      </c>
      <c r="B339" t="s">
        <v>25</v>
      </c>
      <c r="C339" t="s">
        <v>59</v>
      </c>
      <c r="D339" t="s">
        <v>82</v>
      </c>
      <c r="E339" s="24">
        <f t="shared" si="78"/>
        <v>0</v>
      </c>
      <c r="F339" s="22">
        <f>-SUMIFS(CARGA!I:I,CARGA!B:B,tabla!A339,CARGA!D:D,tabla!C339,CARGA!C:C,MAESTRO!$B$4)-SUMIFS(CARGA!I:I,CARGA!B:B,tabla!A339,CARGA!D:D,tabla!C339,CARGA!C:C,MAESTRO!$B$5)</f>
        <v>0</v>
      </c>
      <c r="G339" s="5">
        <f>+SUMIFS(CARGA!I:I,CARGA!B:B,tabla!A339,CARGA!D:D,tabla!C339)</f>
        <v>0</v>
      </c>
      <c r="H339" s="5">
        <f>+SUMIFS(CARGA!K:K,CARGA!B:B,tabla!A339,CARGA!D:D,tabla!C339)</f>
        <v>0</v>
      </c>
      <c r="I339" s="5">
        <f t="shared" si="79"/>
        <v>0</v>
      </c>
      <c r="J339" s="5">
        <f>-SUMIFS(CARGA!K:K,CARGA!B:B,tabla!A339,CARGA!D:D,tabla!C339,CARGA!C:C,MAESTRO!$B$4)+SUMIFS(CARGA!K:K,CARGA!B:B,tabla!A339,CARGA!D:D,tabla!C339,CARGA!C:C,MAESTRO!$B$5)</f>
        <v>0</v>
      </c>
      <c r="K339" s="5" t="e">
        <f>+VLOOKUP(C339,#REF!,3,FALSE)</f>
        <v>#REF!</v>
      </c>
      <c r="L339" s="5" t="e">
        <f t="shared" si="80"/>
        <v>#REF!</v>
      </c>
      <c r="M339" s="5" t="e">
        <f t="shared" si="81"/>
        <v>#REF!</v>
      </c>
      <c r="N339" s="5" t="str">
        <f t="shared" si="82"/>
        <v>NO</v>
      </c>
      <c r="O339" s="5">
        <f>+VLOOKUP(C339,[2]Fondos!$F:$J,5,FALSE)</f>
        <v>15268657582.66</v>
      </c>
      <c r="P339" s="13">
        <f>+VLOOKUP(C339,[2]Fondos!$F:$K,6,FALSE)</f>
        <v>0.26679839999999999</v>
      </c>
      <c r="Q339" s="13">
        <f t="shared" si="83"/>
        <v>0</v>
      </c>
      <c r="R339" s="10">
        <f>+IF(Q339&gt;MAESTRO!$G$6,0,1)</f>
        <v>1</v>
      </c>
      <c r="S339">
        <f>+IF(P339&lt;MAESTRO!$G$8,0,1)</f>
        <v>1</v>
      </c>
      <c r="T339" s="10">
        <f t="shared" si="84"/>
        <v>2</v>
      </c>
      <c r="U339" t="str">
        <f>+IF(R339+S339=2,MAESTRO!$G$2,IF(R339+S339=0,MAESTRO!$G$5,IF(R339=0,MAESTRO!$G$3,IF(S339=0,MAESTRO!$G$4,))))</f>
        <v>cumple politica</v>
      </c>
    </row>
    <row r="340" spans="1:21" x14ac:dyDescent="0.3">
      <c r="A340" t="s">
        <v>124</v>
      </c>
      <c r="B340" t="s">
        <v>25</v>
      </c>
      <c r="C340" t="s">
        <v>40</v>
      </c>
      <c r="D340" t="s">
        <v>81</v>
      </c>
      <c r="E340" s="24">
        <f t="shared" si="78"/>
        <v>0</v>
      </c>
      <c r="F340" s="22">
        <f>-SUMIFS(CARGA!I:I,CARGA!B:B,tabla!A340,CARGA!D:D,tabla!C340,CARGA!C:C,MAESTRO!$B$4)-SUMIFS(CARGA!I:I,CARGA!B:B,tabla!A340,CARGA!D:D,tabla!C340,CARGA!C:C,MAESTRO!$B$5)</f>
        <v>0</v>
      </c>
      <c r="G340" s="5">
        <f>+SUMIFS(CARGA!I:I,CARGA!B:B,tabla!A340,CARGA!D:D,tabla!C340)</f>
        <v>0</v>
      </c>
      <c r="H340" s="5">
        <f>+SUMIFS(CARGA!K:K,CARGA!B:B,tabla!A340,CARGA!D:D,tabla!C340)</f>
        <v>0</v>
      </c>
      <c r="I340" s="5">
        <f t="shared" si="79"/>
        <v>0</v>
      </c>
      <c r="J340" s="5">
        <f>-SUMIFS(CARGA!K:K,CARGA!B:B,tabla!A340,CARGA!D:D,tabla!C340,CARGA!C:C,MAESTRO!$B$4)+SUMIFS(CARGA!K:K,CARGA!B:B,tabla!A340,CARGA!D:D,tabla!C340,CARGA!C:C,MAESTRO!$B$5)</f>
        <v>0</v>
      </c>
      <c r="K340" s="5" t="e">
        <f>+VLOOKUP(C340,#REF!,3,FALSE)</f>
        <v>#REF!</v>
      </c>
      <c r="L340" s="5" t="e">
        <f t="shared" si="80"/>
        <v>#REF!</v>
      </c>
      <c r="M340" s="5" t="e">
        <f t="shared" si="81"/>
        <v>#REF!</v>
      </c>
      <c r="N340" s="5" t="str">
        <f t="shared" si="82"/>
        <v>NO</v>
      </c>
      <c r="O340" s="5">
        <f>+VLOOKUP(C340,[2]Fondos!$F:$J,5,FALSE)</f>
        <v>4231508416.6700001</v>
      </c>
      <c r="P340" s="13">
        <f>+VLOOKUP(C340,[2]Fondos!$F:$K,6,FALSE)</f>
        <v>0.21473639999999999</v>
      </c>
      <c r="Q340" s="13">
        <f t="shared" si="83"/>
        <v>0</v>
      </c>
      <c r="R340" s="10">
        <f>+IF(Q340&gt;MAESTRO!$G$6,0,1)</f>
        <v>1</v>
      </c>
      <c r="S340">
        <f>+IF(P340&lt;MAESTRO!$G$8,0,1)</f>
        <v>1</v>
      </c>
      <c r="T340" s="10">
        <f t="shared" si="84"/>
        <v>2</v>
      </c>
      <c r="U340" t="str">
        <f>+IF(R340+S340=2,MAESTRO!$G$2,IF(R340+S340=0,MAESTRO!$G$5,IF(R340=0,MAESTRO!$G$3,IF(S340=0,MAESTRO!$G$4,))))</f>
        <v>cumple politica</v>
      </c>
    </row>
    <row r="341" spans="1:21" x14ac:dyDescent="0.3">
      <c r="A341" t="s">
        <v>124</v>
      </c>
      <c r="B341" t="s">
        <v>25</v>
      </c>
      <c r="C341" t="s">
        <v>79</v>
      </c>
      <c r="D341" t="s">
        <v>82</v>
      </c>
      <c r="E341" s="24">
        <f t="shared" si="78"/>
        <v>0</v>
      </c>
      <c r="F341" s="22">
        <f>-SUMIFS(CARGA!I:I,CARGA!B:B,tabla!A341,CARGA!D:D,tabla!C341,CARGA!C:C,MAESTRO!$B$4)-SUMIFS(CARGA!I:I,CARGA!B:B,tabla!A341,CARGA!D:D,tabla!C341,CARGA!C:C,MAESTRO!$B$5)</f>
        <v>0</v>
      </c>
      <c r="G341" s="5">
        <f>+SUMIFS(CARGA!I:I,CARGA!B:B,tabla!A341,CARGA!D:D,tabla!C341)</f>
        <v>0</v>
      </c>
      <c r="H341" s="5">
        <f>+SUMIFS(CARGA!K:K,CARGA!B:B,tabla!A341,CARGA!D:D,tabla!C341)</f>
        <v>0</v>
      </c>
      <c r="I341" s="5">
        <f t="shared" si="79"/>
        <v>0</v>
      </c>
      <c r="J341" s="5">
        <f>-SUMIFS(CARGA!K:K,CARGA!B:B,tabla!A341,CARGA!D:D,tabla!C341,CARGA!C:C,MAESTRO!$B$4)+SUMIFS(CARGA!K:K,CARGA!B:B,tabla!A341,CARGA!D:D,tabla!C341,CARGA!C:C,MAESTRO!$B$5)</f>
        <v>0</v>
      </c>
      <c r="K341" s="5" t="e">
        <f>+VLOOKUP(C341,#REF!,3,FALSE)</f>
        <v>#REF!</v>
      </c>
      <c r="L341" s="5" t="e">
        <f t="shared" si="80"/>
        <v>#REF!</v>
      </c>
      <c r="M341" s="5" t="e">
        <f t="shared" si="81"/>
        <v>#REF!</v>
      </c>
      <c r="N341" s="5" t="str">
        <f t="shared" si="82"/>
        <v>NO</v>
      </c>
      <c r="O341" s="5">
        <f>+VLOOKUP(C341,[2]Fondos!$F:$J,5,FALSE)</f>
        <v>415179361.94999999</v>
      </c>
      <c r="P341" s="13">
        <f>+VLOOKUP(C341,[2]Fondos!$F:$K,6,FALSE)</f>
        <v>0.20571149999999999</v>
      </c>
      <c r="Q341" s="13">
        <f t="shared" si="83"/>
        <v>0</v>
      </c>
      <c r="R341" s="10">
        <f>+IF(Q341&gt;MAESTRO!$G$6,0,1)</f>
        <v>1</v>
      </c>
      <c r="S341">
        <f>+IF(P341&lt;MAESTRO!$G$8,0,1)</f>
        <v>1</v>
      </c>
      <c r="T341" s="10">
        <f t="shared" si="84"/>
        <v>2</v>
      </c>
      <c r="U341" t="str">
        <f>+IF(R341+S341=2,MAESTRO!$G$2,IF(R341+S341=0,MAESTRO!$G$5,IF(R341=0,MAESTRO!$G$3,IF(S341=0,MAESTRO!$G$4,))))</f>
        <v>cumple politica</v>
      </c>
    </row>
    <row r="342" spans="1:21" x14ac:dyDescent="0.3">
      <c r="A342" t="s">
        <v>124</v>
      </c>
      <c r="B342" t="s">
        <v>26</v>
      </c>
      <c r="C342" t="s">
        <v>61</v>
      </c>
      <c r="D342" t="s">
        <v>82</v>
      </c>
      <c r="E342" s="24">
        <f t="shared" si="78"/>
        <v>0</v>
      </c>
      <c r="F342" s="22">
        <f>-SUMIFS(CARGA!I:I,CARGA!B:B,tabla!A342,CARGA!D:D,tabla!C342,CARGA!C:C,MAESTRO!$B$4)-SUMIFS(CARGA!I:I,CARGA!B:B,tabla!A342,CARGA!D:D,tabla!C342,CARGA!C:C,MAESTRO!$B$5)</f>
        <v>0</v>
      </c>
      <c r="G342" s="5">
        <f>+SUMIFS(CARGA!I:I,CARGA!B:B,tabla!A342,CARGA!D:D,tabla!C342)</f>
        <v>0</v>
      </c>
      <c r="H342" s="5">
        <f>+SUMIFS(CARGA!K:K,CARGA!B:B,tabla!A342,CARGA!D:D,tabla!C342)</f>
        <v>0</v>
      </c>
      <c r="I342" s="5">
        <f t="shared" si="79"/>
        <v>0</v>
      </c>
      <c r="J342" s="5">
        <f>-SUMIFS(CARGA!K:K,CARGA!B:B,tabla!A342,CARGA!D:D,tabla!C342,CARGA!C:C,MAESTRO!$B$4)+SUMIFS(CARGA!K:K,CARGA!B:B,tabla!A342,CARGA!D:D,tabla!C342,CARGA!C:C,MAESTRO!$B$5)</f>
        <v>0</v>
      </c>
      <c r="K342" s="5" t="e">
        <f>+VLOOKUP(C342,#REF!,3,FALSE)</f>
        <v>#REF!</v>
      </c>
      <c r="L342" s="5" t="e">
        <f t="shared" si="80"/>
        <v>#REF!</v>
      </c>
      <c r="M342" s="5" t="e">
        <f t="shared" si="81"/>
        <v>#REF!</v>
      </c>
      <c r="N342" s="5" t="str">
        <f t="shared" si="82"/>
        <v>NO</v>
      </c>
      <c r="O342" s="5">
        <f>+VLOOKUP(C342,[2]Fondos!$F:$J,5,FALSE)</f>
        <v>25454891426</v>
      </c>
      <c r="P342" s="13">
        <f>+VLOOKUP(C342,[2]Fondos!$F:$K,6,FALSE)</f>
        <v>0.26389279999999998</v>
      </c>
      <c r="Q342" s="13">
        <f t="shared" si="83"/>
        <v>0</v>
      </c>
      <c r="R342" s="10">
        <f>+IF(Q342&gt;MAESTRO!$G$6,0,1)</f>
        <v>1</v>
      </c>
      <c r="S342">
        <f>+IF(P342&lt;MAESTRO!$G$8,0,1)</f>
        <v>1</v>
      </c>
      <c r="T342" s="10">
        <f t="shared" si="84"/>
        <v>2</v>
      </c>
      <c r="U342" t="str">
        <f>+IF(R342+S342=2,MAESTRO!$G$2,IF(R342+S342=0,MAESTRO!$G$5,IF(R342=0,MAESTRO!$G$3,IF(S342=0,MAESTRO!$G$4,))))</f>
        <v>cumple politica</v>
      </c>
    </row>
    <row r="343" spans="1:21" x14ac:dyDescent="0.3">
      <c r="A343" t="s">
        <v>124</v>
      </c>
      <c r="B343" t="s">
        <v>26</v>
      </c>
      <c r="C343" t="s">
        <v>58</v>
      </c>
      <c r="D343" t="s">
        <v>82</v>
      </c>
      <c r="E343" s="24">
        <f t="shared" si="78"/>
        <v>0</v>
      </c>
      <c r="F343" s="22">
        <f>-SUMIFS(CARGA!I:I,CARGA!B:B,tabla!A343,CARGA!D:D,tabla!C343,CARGA!C:C,MAESTRO!$B$4)-SUMIFS(CARGA!I:I,CARGA!B:B,tabla!A343,CARGA!D:D,tabla!C343,CARGA!C:C,MAESTRO!$B$5)</f>
        <v>0</v>
      </c>
      <c r="G343" s="5">
        <f>+SUMIFS(CARGA!I:I,CARGA!B:B,tabla!A343,CARGA!D:D,tabla!C343)</f>
        <v>0</v>
      </c>
      <c r="H343" s="5">
        <f>+SUMIFS(CARGA!K:K,CARGA!B:B,tabla!A343,CARGA!D:D,tabla!C343)</f>
        <v>0</v>
      </c>
      <c r="I343" s="5">
        <f t="shared" si="79"/>
        <v>0</v>
      </c>
      <c r="J343" s="5">
        <f>-SUMIFS(CARGA!K:K,CARGA!B:B,tabla!A343,CARGA!D:D,tabla!C343,CARGA!C:C,MAESTRO!$B$4)+SUMIFS(CARGA!K:K,CARGA!B:B,tabla!A343,CARGA!D:D,tabla!C343,CARGA!C:C,MAESTRO!$B$5)</f>
        <v>0</v>
      </c>
      <c r="K343" s="5" t="e">
        <f>+VLOOKUP(C343,#REF!,3,FALSE)</f>
        <v>#REF!</v>
      </c>
      <c r="L343" s="5" t="e">
        <f t="shared" si="80"/>
        <v>#REF!</v>
      </c>
      <c r="M343" s="5" t="e">
        <f t="shared" si="81"/>
        <v>#REF!</v>
      </c>
      <c r="N343" s="5" t="str">
        <f t="shared" si="82"/>
        <v>NO</v>
      </c>
      <c r="O343" s="5">
        <f>+VLOOKUP(C343,[2]Fondos!$F:$J,5,FALSE)</f>
        <v>25454891426</v>
      </c>
      <c r="P343" s="13">
        <f>+VLOOKUP(C343,[2]Fondos!$F:$K,6,FALSE)</f>
        <v>0.26686179999999998</v>
      </c>
      <c r="Q343" s="13">
        <f t="shared" si="83"/>
        <v>0</v>
      </c>
      <c r="R343" s="10">
        <f>+IF(Q343&gt;MAESTRO!$G$6,0,1)</f>
        <v>1</v>
      </c>
      <c r="S343">
        <f>+IF(P343&lt;MAESTRO!$G$8,0,1)</f>
        <v>1</v>
      </c>
      <c r="T343" s="10">
        <f t="shared" si="84"/>
        <v>2</v>
      </c>
      <c r="U343" t="str">
        <f>+IF(R343+S343=2,MAESTRO!$G$2,IF(R343+S343=0,MAESTRO!$G$5,IF(R343=0,MAESTRO!$G$3,IF(S343=0,MAESTRO!$G$4,))))</f>
        <v>cumple politica</v>
      </c>
    </row>
    <row r="344" spans="1:21" x14ac:dyDescent="0.3">
      <c r="A344" t="s">
        <v>124</v>
      </c>
      <c r="B344" t="s">
        <v>26</v>
      </c>
      <c r="C344" t="s">
        <v>56</v>
      </c>
      <c r="D344" t="s">
        <v>82</v>
      </c>
      <c r="E344" s="24">
        <f t="shared" si="78"/>
        <v>0</v>
      </c>
      <c r="F344" s="22">
        <f>-SUMIFS(CARGA!I:I,CARGA!B:B,tabla!A344,CARGA!D:D,tabla!C344,CARGA!C:C,MAESTRO!$B$4)-SUMIFS(CARGA!I:I,CARGA!B:B,tabla!A344,CARGA!D:D,tabla!C344,CARGA!C:C,MAESTRO!$B$5)</f>
        <v>0</v>
      </c>
      <c r="G344" s="5">
        <f>+SUMIFS(CARGA!I:I,CARGA!B:B,tabla!A344,CARGA!D:D,tabla!C344)</f>
        <v>0</v>
      </c>
      <c r="H344" s="5">
        <f>+SUMIFS(CARGA!K:K,CARGA!B:B,tabla!A344,CARGA!D:D,tabla!C344)</f>
        <v>0</v>
      </c>
      <c r="I344" s="5">
        <f t="shared" si="79"/>
        <v>0</v>
      </c>
      <c r="J344" s="5">
        <f>-SUMIFS(CARGA!K:K,CARGA!B:B,tabla!A344,CARGA!D:D,tabla!C344,CARGA!C:C,MAESTRO!$B$4)+SUMIFS(CARGA!K:K,CARGA!B:B,tabla!A344,CARGA!D:D,tabla!C344,CARGA!C:C,MAESTRO!$B$5)</f>
        <v>0</v>
      </c>
      <c r="K344" s="5" t="e">
        <f>+VLOOKUP(C344,#REF!,3,FALSE)</f>
        <v>#REF!</v>
      </c>
      <c r="L344" s="5" t="e">
        <f t="shared" si="80"/>
        <v>#REF!</v>
      </c>
      <c r="M344" s="5" t="e">
        <f t="shared" si="81"/>
        <v>#REF!</v>
      </c>
      <c r="N344" s="5" t="str">
        <f t="shared" si="82"/>
        <v>NO</v>
      </c>
      <c r="O344" s="5">
        <f>+VLOOKUP(C344,[2]Fondos!$F:$J,5,FALSE)</f>
        <v>25454891426</v>
      </c>
      <c r="P344" s="13">
        <f>+VLOOKUP(C344,[2]Fondos!$F:$K,6,FALSE)</f>
        <v>0.27078930000000001</v>
      </c>
      <c r="Q344" s="13">
        <f t="shared" si="83"/>
        <v>0</v>
      </c>
      <c r="R344" s="10">
        <f>+IF(Q344&gt;MAESTRO!$G$6,0,1)</f>
        <v>1</v>
      </c>
      <c r="S344">
        <f>+IF(P344&lt;MAESTRO!$G$8,0,1)</f>
        <v>1</v>
      </c>
      <c r="T344" s="10">
        <f t="shared" si="84"/>
        <v>2</v>
      </c>
      <c r="U344" t="str">
        <f>+IF(R344+S344=2,MAESTRO!$G$2,IF(R344+S344=0,MAESTRO!$G$5,IF(R344=0,MAESTRO!$G$3,IF(S344=0,MAESTRO!$G$4,))))</f>
        <v>cumple politica</v>
      </c>
    </row>
    <row r="345" spans="1:21" x14ac:dyDescent="0.3">
      <c r="A345" t="s">
        <v>124</v>
      </c>
      <c r="B345" t="s">
        <v>26</v>
      </c>
      <c r="C345" t="s">
        <v>65</v>
      </c>
      <c r="D345" t="s">
        <v>82</v>
      </c>
      <c r="E345" s="24">
        <f t="shared" si="78"/>
        <v>0</v>
      </c>
      <c r="F345" s="22">
        <f>-SUMIFS(CARGA!I:I,CARGA!B:B,tabla!A345,CARGA!D:D,tabla!C345,CARGA!C:C,MAESTRO!$B$4)-SUMIFS(CARGA!I:I,CARGA!B:B,tabla!A345,CARGA!D:D,tabla!C345,CARGA!C:C,MAESTRO!$B$5)</f>
        <v>0</v>
      </c>
      <c r="G345" s="5">
        <f>+SUMIFS(CARGA!I:I,CARGA!B:B,tabla!A345,CARGA!D:D,tabla!C345)</f>
        <v>0</v>
      </c>
      <c r="H345" s="5">
        <f>+SUMIFS(CARGA!K:K,CARGA!B:B,tabla!A345,CARGA!D:D,tabla!C345)</f>
        <v>0</v>
      </c>
      <c r="I345" s="5">
        <f t="shared" si="79"/>
        <v>0</v>
      </c>
      <c r="J345" s="5">
        <f>-SUMIFS(CARGA!K:K,CARGA!B:B,tabla!A345,CARGA!D:D,tabla!C345,CARGA!C:C,MAESTRO!$B$4)+SUMIFS(CARGA!K:K,CARGA!B:B,tabla!A345,CARGA!D:D,tabla!C345,CARGA!C:C,MAESTRO!$B$5)</f>
        <v>0</v>
      </c>
      <c r="K345" s="5" t="e">
        <f>+VLOOKUP(C345,#REF!,3,FALSE)</f>
        <v>#REF!</v>
      </c>
      <c r="L345" s="5" t="e">
        <f t="shared" si="80"/>
        <v>#REF!</v>
      </c>
      <c r="M345" s="5" t="e">
        <f t="shared" si="81"/>
        <v>#REF!</v>
      </c>
      <c r="N345" s="5" t="str">
        <f t="shared" si="82"/>
        <v>NO</v>
      </c>
      <c r="O345" s="5">
        <f>+VLOOKUP(C345,[2]Fondos!$F:$J,5,FALSE)</f>
        <v>26527515773</v>
      </c>
      <c r="P345" s="13">
        <f>+VLOOKUP(C345,[2]Fondos!$F:$K,6,FALSE)</f>
        <v>0.26544099999999998</v>
      </c>
      <c r="Q345" s="13">
        <f t="shared" si="83"/>
        <v>0</v>
      </c>
      <c r="R345" s="10">
        <f>+IF(Q345&gt;MAESTRO!$G$6,0,1)</f>
        <v>1</v>
      </c>
      <c r="S345">
        <f>+IF(P345&lt;MAESTRO!$G$8,0,1)</f>
        <v>1</v>
      </c>
      <c r="T345" s="10">
        <f t="shared" si="84"/>
        <v>2</v>
      </c>
      <c r="U345" t="str">
        <f>+IF(R345+S345=2,MAESTRO!$G$2,IF(R345+S345=0,MAESTRO!$G$5,IF(R345=0,MAESTRO!$G$3,IF(S345=0,MAESTRO!$G$4,))))</f>
        <v>cumple politica</v>
      </c>
    </row>
    <row r="346" spans="1:21" x14ac:dyDescent="0.3">
      <c r="A346" t="s">
        <v>124</v>
      </c>
      <c r="B346" t="s">
        <v>26</v>
      </c>
      <c r="C346" t="s">
        <v>45</v>
      </c>
      <c r="D346" t="s">
        <v>81</v>
      </c>
      <c r="E346" s="24">
        <f t="shared" si="78"/>
        <v>0</v>
      </c>
      <c r="F346" s="22">
        <f>-SUMIFS(CARGA!I:I,CARGA!B:B,tabla!A346,CARGA!D:D,tabla!C346,CARGA!C:C,MAESTRO!$B$4)-SUMIFS(CARGA!I:I,CARGA!B:B,tabla!A346,CARGA!D:D,tabla!C346,CARGA!C:C,MAESTRO!$B$5)</f>
        <v>0</v>
      </c>
      <c r="G346" s="5">
        <f>+SUMIFS(CARGA!I:I,CARGA!B:B,tabla!A346,CARGA!D:D,tabla!C346)</f>
        <v>0</v>
      </c>
      <c r="H346" s="5">
        <f>+SUMIFS(CARGA!K:K,CARGA!B:B,tabla!A346,CARGA!D:D,tabla!C346)</f>
        <v>0</v>
      </c>
      <c r="I346" s="5">
        <f t="shared" si="79"/>
        <v>0</v>
      </c>
      <c r="J346" s="5">
        <f>-SUMIFS(CARGA!K:K,CARGA!B:B,tabla!A346,CARGA!D:D,tabla!C346,CARGA!C:C,MAESTRO!$B$4)+SUMIFS(CARGA!K:K,CARGA!B:B,tabla!A346,CARGA!D:D,tabla!C346,CARGA!C:C,MAESTRO!$B$5)</f>
        <v>0</v>
      </c>
      <c r="K346" s="5" t="e">
        <f>+VLOOKUP(C346,#REF!,3,FALSE)</f>
        <v>#REF!</v>
      </c>
      <c r="L346" s="5" t="e">
        <f t="shared" si="80"/>
        <v>#REF!</v>
      </c>
      <c r="M346" s="5" t="e">
        <f t="shared" si="81"/>
        <v>#REF!</v>
      </c>
      <c r="N346" s="5" t="str">
        <f t="shared" si="82"/>
        <v>NO</v>
      </c>
      <c r="O346" s="5">
        <f>+VLOOKUP(C346,[2]Fondos!$F:$J,5,FALSE)</f>
        <v>9536957677</v>
      </c>
      <c r="P346" s="13">
        <f>+VLOOKUP(C346,[2]Fondos!$F:$K,6,FALSE)</f>
        <v>0.20501570000000002</v>
      </c>
      <c r="Q346" s="13">
        <f t="shared" si="83"/>
        <v>0</v>
      </c>
      <c r="R346" s="10">
        <f>+IF(Q346&gt;MAESTRO!$G$6,0,1)</f>
        <v>1</v>
      </c>
      <c r="S346">
        <f>+IF(P346&lt;MAESTRO!$G$8,0,1)</f>
        <v>1</v>
      </c>
      <c r="T346" s="10">
        <f t="shared" si="84"/>
        <v>2</v>
      </c>
      <c r="U346" t="str">
        <f>+IF(R346+S346=2,MAESTRO!$G$2,IF(R346+S346=0,MAESTRO!$G$5,IF(R346=0,MAESTRO!$G$3,IF(S346=0,MAESTRO!$G$4,))))</f>
        <v>cumple politica</v>
      </c>
    </row>
    <row r="347" spans="1:21" x14ac:dyDescent="0.3">
      <c r="A347" t="s">
        <v>124</v>
      </c>
      <c r="B347" t="s">
        <v>26</v>
      </c>
      <c r="C347" t="s">
        <v>41</v>
      </c>
      <c r="D347" t="s">
        <v>81</v>
      </c>
      <c r="E347" s="24">
        <f t="shared" si="78"/>
        <v>0</v>
      </c>
      <c r="F347" s="22">
        <f>-SUMIFS(CARGA!I:I,CARGA!B:B,tabla!A347,CARGA!D:D,tabla!C347,CARGA!C:C,MAESTRO!$B$4)-SUMIFS(CARGA!I:I,CARGA!B:B,tabla!A347,CARGA!D:D,tabla!C347,CARGA!C:C,MAESTRO!$B$5)</f>
        <v>0</v>
      </c>
      <c r="G347" s="5">
        <f>+SUMIFS(CARGA!I:I,CARGA!B:B,tabla!A347,CARGA!D:D,tabla!C347)</f>
        <v>0</v>
      </c>
      <c r="H347" s="5">
        <f>+SUMIFS(CARGA!K:K,CARGA!B:B,tabla!A347,CARGA!D:D,tabla!C347)</f>
        <v>0</v>
      </c>
      <c r="I347" s="5">
        <f t="shared" si="79"/>
        <v>0</v>
      </c>
      <c r="J347" s="5">
        <f>-SUMIFS(CARGA!K:K,CARGA!B:B,tabla!A347,CARGA!D:D,tabla!C347,CARGA!C:C,MAESTRO!$B$4)+SUMIFS(CARGA!K:K,CARGA!B:B,tabla!A347,CARGA!D:D,tabla!C347,CARGA!C:C,MAESTRO!$B$5)</f>
        <v>0</v>
      </c>
      <c r="K347" s="5" t="e">
        <f>+VLOOKUP(C347,#REF!,3,FALSE)</f>
        <v>#REF!</v>
      </c>
      <c r="L347" s="5" t="e">
        <f t="shared" si="80"/>
        <v>#REF!</v>
      </c>
      <c r="M347" s="5" t="e">
        <f t="shared" si="81"/>
        <v>#REF!</v>
      </c>
      <c r="N347" s="5" t="str">
        <f t="shared" si="82"/>
        <v>NO</v>
      </c>
      <c r="O347" s="5">
        <f>+VLOOKUP(C347,[2]Fondos!$F:$J,5,FALSE)</f>
        <v>9536957677</v>
      </c>
      <c r="P347" s="13">
        <f>+VLOOKUP(C347,[2]Fondos!$F:$K,6,FALSE)</f>
        <v>0.2143747</v>
      </c>
      <c r="Q347" s="13">
        <f t="shared" si="83"/>
        <v>0</v>
      </c>
      <c r="R347" s="10">
        <f>+IF(Q347&gt;MAESTRO!$G$6,0,1)</f>
        <v>1</v>
      </c>
      <c r="S347">
        <f>+IF(P347&lt;MAESTRO!$G$8,0,1)</f>
        <v>1</v>
      </c>
      <c r="T347" s="10">
        <f t="shared" si="84"/>
        <v>2</v>
      </c>
      <c r="U347" t="str">
        <f>+IF(R347+S347=2,MAESTRO!$G$2,IF(R347+S347=0,MAESTRO!$G$5,IF(R347=0,MAESTRO!$G$3,IF(S347=0,MAESTRO!$G$4,))))</f>
        <v>cumple politica</v>
      </c>
    </row>
    <row r="348" spans="1:21" x14ac:dyDescent="0.3">
      <c r="A348" t="s">
        <v>124</v>
      </c>
      <c r="B348" t="s">
        <v>36</v>
      </c>
      <c r="C348" t="s">
        <v>73</v>
      </c>
      <c r="D348" t="s">
        <v>82</v>
      </c>
      <c r="E348" s="24">
        <f t="shared" si="78"/>
        <v>0</v>
      </c>
      <c r="F348" s="22">
        <f>-SUMIFS(CARGA!I:I,CARGA!B:B,tabla!A348,CARGA!D:D,tabla!C348,CARGA!C:C,MAESTRO!$B$4)-SUMIFS(CARGA!I:I,CARGA!B:B,tabla!A348,CARGA!D:D,tabla!C348,CARGA!C:C,MAESTRO!$B$5)</f>
        <v>0</v>
      </c>
      <c r="G348" s="5">
        <f>+SUMIFS(CARGA!I:I,CARGA!B:B,tabla!A348,CARGA!D:D,tabla!C348)</f>
        <v>0</v>
      </c>
      <c r="H348" s="5">
        <f>+SUMIFS(CARGA!K:K,CARGA!B:B,tabla!A348,CARGA!D:D,tabla!C348)</f>
        <v>0</v>
      </c>
      <c r="I348" s="5">
        <f t="shared" si="79"/>
        <v>0</v>
      </c>
      <c r="J348" s="5">
        <f>-SUMIFS(CARGA!K:K,CARGA!B:B,tabla!A348,CARGA!D:D,tabla!C348,CARGA!C:C,MAESTRO!$B$4)+SUMIFS(CARGA!K:K,CARGA!B:B,tabla!A348,CARGA!D:D,tabla!C348,CARGA!C:C,MAESTRO!$B$5)</f>
        <v>0</v>
      </c>
      <c r="K348" s="5" t="e">
        <f>+VLOOKUP(C348,#REF!,3,FALSE)</f>
        <v>#REF!</v>
      </c>
      <c r="L348" s="5" t="e">
        <f t="shared" si="80"/>
        <v>#REF!</v>
      </c>
      <c r="M348" s="5" t="e">
        <f t="shared" si="81"/>
        <v>#REF!</v>
      </c>
      <c r="N348" s="5" t="str">
        <f t="shared" si="82"/>
        <v>NO</v>
      </c>
      <c r="O348" s="5">
        <f>+VLOOKUP(C348,[2]Fondos!$F:$J,5,FALSE)</f>
        <v>5558283453.2200003</v>
      </c>
      <c r="P348" s="13">
        <f>+VLOOKUP(C348,[2]Fondos!$F:$K,6,FALSE)</f>
        <v>0.26949119999999999</v>
      </c>
      <c r="Q348" s="13">
        <f t="shared" si="83"/>
        <v>0</v>
      </c>
      <c r="R348" s="10">
        <f>+IF(Q348&gt;MAESTRO!$G$6,0,1)</f>
        <v>1</v>
      </c>
      <c r="S348">
        <f>+IF(P348&lt;MAESTRO!$G$8,0,1)</f>
        <v>1</v>
      </c>
      <c r="T348" s="10">
        <f t="shared" si="84"/>
        <v>2</v>
      </c>
      <c r="U348" t="str">
        <f>+IF(R348+S348=2,MAESTRO!$G$2,IF(R348+S348=0,MAESTRO!$G$5,IF(R348=0,MAESTRO!$G$3,IF(S348=0,MAESTRO!$G$4,))))</f>
        <v>cumple politica</v>
      </c>
    </row>
    <row r="349" spans="1:21" x14ac:dyDescent="0.3">
      <c r="A349" t="s">
        <v>124</v>
      </c>
      <c r="B349" t="s">
        <v>36</v>
      </c>
      <c r="C349" t="s">
        <v>72</v>
      </c>
      <c r="D349" t="s">
        <v>81</v>
      </c>
      <c r="E349" s="24">
        <f t="shared" si="78"/>
        <v>0</v>
      </c>
      <c r="F349" s="22">
        <f>-SUMIFS(CARGA!I:I,CARGA!B:B,tabla!A349,CARGA!D:D,tabla!C349,CARGA!C:C,MAESTRO!$B$4)-SUMIFS(CARGA!I:I,CARGA!B:B,tabla!A349,CARGA!D:D,tabla!C349,CARGA!C:C,MAESTRO!$B$5)</f>
        <v>0</v>
      </c>
      <c r="G349" s="5">
        <f>+SUMIFS(CARGA!I:I,CARGA!B:B,tabla!A349,CARGA!D:D,tabla!C349)</f>
        <v>0</v>
      </c>
      <c r="H349" s="5">
        <f>+SUMIFS(CARGA!K:K,CARGA!B:B,tabla!A349,CARGA!D:D,tabla!C349)</f>
        <v>0</v>
      </c>
      <c r="I349" s="5">
        <f t="shared" si="79"/>
        <v>0</v>
      </c>
      <c r="J349" s="5">
        <f>-SUMIFS(CARGA!K:K,CARGA!B:B,tabla!A349,CARGA!D:D,tabla!C349,CARGA!C:C,MAESTRO!$B$4)+SUMIFS(CARGA!K:K,CARGA!B:B,tabla!A349,CARGA!D:D,tabla!C349,CARGA!C:C,MAESTRO!$B$5)</f>
        <v>0</v>
      </c>
      <c r="K349" s="5" t="e">
        <f>+VLOOKUP(C349,#REF!,3,FALSE)</f>
        <v>#REF!</v>
      </c>
      <c r="L349" s="5" t="e">
        <f t="shared" si="80"/>
        <v>#REF!</v>
      </c>
      <c r="M349" s="5" t="e">
        <f t="shared" si="81"/>
        <v>#REF!</v>
      </c>
      <c r="N349" s="5" t="str">
        <f t="shared" si="82"/>
        <v>NO</v>
      </c>
      <c r="O349" s="5">
        <f>+VLOOKUP(C349,[2]Fondos!$F:$J,5,FALSE)</f>
        <v>4289905534.3099999</v>
      </c>
      <c r="P349" s="13">
        <f>+VLOOKUP(C349,[2]Fondos!$F:$K,6,FALSE)</f>
        <v>0.2090719</v>
      </c>
      <c r="Q349" s="13">
        <f t="shared" si="83"/>
        <v>0</v>
      </c>
      <c r="R349" s="10">
        <f>+IF(Q349&gt;MAESTRO!$G$6,0,1)</f>
        <v>1</v>
      </c>
      <c r="S349">
        <f>+IF(P349&lt;MAESTRO!$G$8,0,1)</f>
        <v>1</v>
      </c>
      <c r="T349" s="10">
        <f t="shared" si="84"/>
        <v>2</v>
      </c>
      <c r="U349" t="str">
        <f>+IF(R349+S349=2,MAESTRO!$G$2,IF(R349+S349=0,MAESTRO!$G$5,IF(R349=0,MAESTRO!$G$3,IF(S349=0,MAESTRO!$G$4,))))</f>
        <v>cumple politica</v>
      </c>
    </row>
    <row r="350" spans="1:21" x14ac:dyDescent="0.3">
      <c r="A350" t="s">
        <v>124</v>
      </c>
      <c r="B350" t="s">
        <v>28</v>
      </c>
      <c r="C350" t="s">
        <v>46</v>
      </c>
      <c r="D350" t="s">
        <v>81</v>
      </c>
      <c r="E350" s="24">
        <f t="shared" si="78"/>
        <v>0</v>
      </c>
      <c r="F350" s="22">
        <f>-SUMIFS(CARGA!I:I,CARGA!B:B,tabla!A350,CARGA!D:D,tabla!C350,CARGA!C:C,MAESTRO!$B$4)-SUMIFS(CARGA!I:I,CARGA!B:B,tabla!A350,CARGA!D:D,tabla!C350,CARGA!C:C,MAESTRO!$B$5)</f>
        <v>0</v>
      </c>
      <c r="G350" s="5">
        <f>+SUMIFS(CARGA!I:I,CARGA!B:B,tabla!A350,CARGA!D:D,tabla!C350)</f>
        <v>0</v>
      </c>
      <c r="H350" s="5">
        <f>+SUMIFS(CARGA!K:K,CARGA!B:B,tabla!A350,CARGA!D:D,tabla!C350)</f>
        <v>0</v>
      </c>
      <c r="I350" s="5">
        <f t="shared" si="79"/>
        <v>0</v>
      </c>
      <c r="J350" s="5">
        <f>-SUMIFS(CARGA!K:K,CARGA!B:B,tabla!A350,CARGA!D:D,tabla!C350,CARGA!C:C,MAESTRO!$B$4)+SUMIFS(CARGA!K:K,CARGA!B:B,tabla!A350,CARGA!D:D,tabla!C350,CARGA!C:C,MAESTRO!$B$5)</f>
        <v>0</v>
      </c>
      <c r="K350" s="5" t="e">
        <f>+VLOOKUP(C350,#REF!,3,FALSE)</f>
        <v>#REF!</v>
      </c>
      <c r="L350" s="5" t="e">
        <f t="shared" si="80"/>
        <v>#REF!</v>
      </c>
      <c r="M350" s="5" t="e">
        <f t="shared" si="81"/>
        <v>#REF!</v>
      </c>
      <c r="N350" s="5" t="str">
        <f t="shared" si="82"/>
        <v>NO</v>
      </c>
      <c r="O350" s="5">
        <f>+VLOOKUP(C350,[2]Fondos!$F:$J,5,FALSE)</f>
        <v>2107469999.9999998</v>
      </c>
      <c r="P350" s="13">
        <f>+VLOOKUP(C350,[2]Fondos!$F:$K,6,FALSE)</f>
        <v>0.20305720000000002</v>
      </c>
      <c r="Q350" s="13">
        <f t="shared" si="83"/>
        <v>0</v>
      </c>
      <c r="R350" s="10">
        <f>+IF(Q350&gt;MAESTRO!$G$6,0,1)</f>
        <v>1</v>
      </c>
      <c r="S350">
        <f>+IF(P350&lt;MAESTRO!$G$8,0,1)</f>
        <v>1</v>
      </c>
      <c r="T350" s="10">
        <f t="shared" si="84"/>
        <v>2</v>
      </c>
      <c r="U350" t="str">
        <f>+IF(R350+S350=2,MAESTRO!$G$2,IF(R350+S350=0,MAESTRO!$G$5,IF(R350=0,MAESTRO!$G$3,IF(S350=0,MAESTRO!$G$4,))))</f>
        <v>cumple politica</v>
      </c>
    </row>
    <row r="351" spans="1:21" x14ac:dyDescent="0.3">
      <c r="A351" t="s">
        <v>124</v>
      </c>
      <c r="B351" t="s">
        <v>28</v>
      </c>
      <c r="C351" t="s">
        <v>44</v>
      </c>
      <c r="D351" t="s">
        <v>81</v>
      </c>
      <c r="E351" s="24">
        <f t="shared" si="78"/>
        <v>0</v>
      </c>
      <c r="F351" s="22">
        <f>-SUMIFS(CARGA!I:I,CARGA!B:B,tabla!A351,CARGA!D:D,tabla!C351,CARGA!C:C,MAESTRO!$B$4)-SUMIFS(CARGA!I:I,CARGA!B:B,tabla!A351,CARGA!D:D,tabla!C351,CARGA!C:C,MAESTRO!$B$5)</f>
        <v>0</v>
      </c>
      <c r="G351" s="5">
        <f>+SUMIFS(CARGA!I:I,CARGA!B:B,tabla!A351,CARGA!D:D,tabla!C351)</f>
        <v>0</v>
      </c>
      <c r="H351" s="5">
        <f>+SUMIFS(CARGA!K:K,CARGA!B:B,tabla!A351,CARGA!D:D,tabla!C351)</f>
        <v>0</v>
      </c>
      <c r="I351" s="5">
        <f t="shared" si="79"/>
        <v>0</v>
      </c>
      <c r="J351" s="5">
        <f>-SUMIFS(CARGA!K:K,CARGA!B:B,tabla!A351,CARGA!D:D,tabla!C351,CARGA!C:C,MAESTRO!$B$4)+SUMIFS(CARGA!K:K,CARGA!B:B,tabla!A351,CARGA!D:D,tabla!C351,CARGA!C:C,MAESTRO!$B$5)</f>
        <v>0</v>
      </c>
      <c r="K351" s="5" t="e">
        <f>+VLOOKUP(C351,#REF!,3,FALSE)</f>
        <v>#REF!</v>
      </c>
      <c r="L351" s="5" t="e">
        <f t="shared" si="80"/>
        <v>#REF!</v>
      </c>
      <c r="M351" s="5" t="e">
        <f t="shared" si="81"/>
        <v>#REF!</v>
      </c>
      <c r="N351" s="5" t="str">
        <f t="shared" si="82"/>
        <v>NO</v>
      </c>
      <c r="O351" s="5">
        <f>+VLOOKUP(C351,[2]Fondos!$F:$J,5,FALSE)</f>
        <v>2107469999.9999998</v>
      </c>
      <c r="P351" s="13">
        <f>+VLOOKUP(C351,[2]Fondos!$F:$K,6,FALSE)</f>
        <v>0.20835799999999999</v>
      </c>
      <c r="Q351" s="13">
        <f t="shared" si="83"/>
        <v>0</v>
      </c>
      <c r="R351" s="10">
        <f>+IF(Q351&gt;MAESTRO!$G$6,0,1)</f>
        <v>1</v>
      </c>
      <c r="S351">
        <f>+IF(P351&lt;MAESTRO!$G$8,0,1)</f>
        <v>1</v>
      </c>
      <c r="T351" s="10">
        <f t="shared" si="84"/>
        <v>2</v>
      </c>
      <c r="U351" t="str">
        <f>+IF(R351+S351=2,MAESTRO!$G$2,IF(R351+S351=0,MAESTRO!$G$5,IF(R351=0,MAESTRO!$G$3,IF(S351=0,MAESTRO!$G$4,))))</f>
        <v>cumple politica</v>
      </c>
    </row>
    <row r="352" spans="1:21" x14ac:dyDescent="0.3">
      <c r="A352" t="s">
        <v>124</v>
      </c>
      <c r="B352" t="s">
        <v>28</v>
      </c>
      <c r="C352" t="s">
        <v>64</v>
      </c>
      <c r="D352" t="s">
        <v>82</v>
      </c>
      <c r="E352" s="24">
        <f t="shared" si="78"/>
        <v>0</v>
      </c>
      <c r="F352" s="22">
        <f>-SUMIFS(CARGA!I:I,CARGA!B:B,tabla!A352,CARGA!D:D,tabla!C352,CARGA!C:C,MAESTRO!$B$4)-SUMIFS(CARGA!I:I,CARGA!B:B,tabla!A352,CARGA!D:D,tabla!C352,CARGA!C:C,MAESTRO!$B$5)</f>
        <v>0</v>
      </c>
      <c r="G352" s="5">
        <f>+SUMIFS(CARGA!I:I,CARGA!B:B,tabla!A352,CARGA!D:D,tabla!C352)</f>
        <v>0</v>
      </c>
      <c r="H352" s="5">
        <f>+SUMIFS(CARGA!K:K,CARGA!B:B,tabla!A352,CARGA!D:D,tabla!C352)</f>
        <v>0</v>
      </c>
      <c r="I352" s="5">
        <f t="shared" si="79"/>
        <v>0</v>
      </c>
      <c r="J352" s="5">
        <f>-SUMIFS(CARGA!K:K,CARGA!B:B,tabla!A352,CARGA!D:D,tabla!C352,CARGA!C:C,MAESTRO!$B$4)+SUMIFS(CARGA!K:K,CARGA!B:B,tabla!A352,CARGA!D:D,tabla!C352,CARGA!C:C,MAESTRO!$B$5)</f>
        <v>0</v>
      </c>
      <c r="K352" s="5" t="e">
        <f>+VLOOKUP(C352,#REF!,3,FALSE)</f>
        <v>#REF!</v>
      </c>
      <c r="L352" s="5" t="e">
        <f t="shared" si="80"/>
        <v>#REF!</v>
      </c>
      <c r="M352" s="5" t="e">
        <f t="shared" si="81"/>
        <v>#REF!</v>
      </c>
      <c r="N352" s="5" t="str">
        <f t="shared" si="82"/>
        <v>NO</v>
      </c>
      <c r="O352" s="5">
        <f>+VLOOKUP(C352,[2]Fondos!$F:$J,5,FALSE)</f>
        <v>8673260000</v>
      </c>
      <c r="P352" s="13">
        <f>+VLOOKUP(C352,[2]Fondos!$F:$K,6,FALSE)</f>
        <v>0.25678699999999999</v>
      </c>
      <c r="Q352" s="13">
        <f t="shared" si="83"/>
        <v>0</v>
      </c>
      <c r="R352" s="10">
        <f>+IF(Q352&gt;MAESTRO!$G$6,0,1)</f>
        <v>1</v>
      </c>
      <c r="S352">
        <f>+IF(P352&lt;MAESTRO!$G$8,0,1)</f>
        <v>1</v>
      </c>
      <c r="T352" s="10">
        <f t="shared" si="84"/>
        <v>2</v>
      </c>
      <c r="U352" t="str">
        <f>+IF(R352+S352=2,MAESTRO!$G$2,IF(R352+S352=0,MAESTRO!$G$5,IF(R352=0,MAESTRO!$G$3,IF(S352=0,MAESTRO!$G$4,))))</f>
        <v>cumple politica</v>
      </c>
    </row>
    <row r="353" spans="1:21" x14ac:dyDescent="0.3">
      <c r="A353" t="s">
        <v>124</v>
      </c>
      <c r="B353" t="s">
        <v>28</v>
      </c>
      <c r="C353" t="s">
        <v>60</v>
      </c>
      <c r="D353" t="s">
        <v>82</v>
      </c>
      <c r="E353" s="24">
        <f t="shared" si="78"/>
        <v>0</v>
      </c>
      <c r="F353" s="22">
        <f>-SUMIFS(CARGA!I:I,CARGA!B:B,tabla!A353,CARGA!D:D,tabla!C353,CARGA!C:C,MAESTRO!$B$4)-SUMIFS(CARGA!I:I,CARGA!B:B,tabla!A353,CARGA!D:D,tabla!C353,CARGA!C:C,MAESTRO!$B$5)</f>
        <v>0</v>
      </c>
      <c r="G353" s="5">
        <f>+SUMIFS(CARGA!I:I,CARGA!B:B,tabla!A353,CARGA!D:D,tabla!C353)</f>
        <v>0</v>
      </c>
      <c r="H353" s="5">
        <f>+SUMIFS(CARGA!K:K,CARGA!B:B,tabla!A353,CARGA!D:D,tabla!C353)</f>
        <v>0</v>
      </c>
      <c r="I353" s="5">
        <f t="shared" si="79"/>
        <v>0</v>
      </c>
      <c r="J353" s="5">
        <f>-SUMIFS(CARGA!K:K,CARGA!B:B,tabla!A353,CARGA!D:D,tabla!C353,CARGA!C:C,MAESTRO!$B$4)+SUMIFS(CARGA!K:K,CARGA!B:B,tabla!A353,CARGA!D:D,tabla!C353,CARGA!C:C,MAESTRO!$B$5)</f>
        <v>0</v>
      </c>
      <c r="K353" s="5" t="e">
        <f>+VLOOKUP(C353,#REF!,3,FALSE)</f>
        <v>#REF!</v>
      </c>
      <c r="L353" s="5" t="e">
        <f t="shared" si="80"/>
        <v>#REF!</v>
      </c>
      <c r="M353" s="5" t="e">
        <f t="shared" si="81"/>
        <v>#REF!</v>
      </c>
      <c r="N353" s="5" t="str">
        <f t="shared" si="82"/>
        <v>NO</v>
      </c>
      <c r="O353" s="5">
        <f>+VLOOKUP(C353,[2]Fondos!$F:$J,5,FALSE)</f>
        <v>8673260000</v>
      </c>
      <c r="P353" s="13">
        <f>+VLOOKUP(C353,[2]Fondos!$F:$K,6,FALSE)</f>
        <v>0.26727390000000001</v>
      </c>
      <c r="Q353" s="13">
        <f t="shared" si="83"/>
        <v>0</v>
      </c>
      <c r="R353" s="10">
        <f>+IF(Q353&gt;MAESTRO!$G$6,0,1)</f>
        <v>1</v>
      </c>
      <c r="S353">
        <f>+IF(P353&lt;MAESTRO!$G$8,0,1)</f>
        <v>1</v>
      </c>
      <c r="T353" s="10">
        <f t="shared" si="84"/>
        <v>2</v>
      </c>
      <c r="U353" t="str">
        <f>+IF(R353+S353=2,MAESTRO!$G$2,IF(R353+S353=0,MAESTRO!$G$5,IF(R353=0,MAESTRO!$G$3,IF(S353=0,MAESTRO!$G$4,))))</f>
        <v>cumple politica</v>
      </c>
    </row>
    <row r="354" spans="1:21" x14ac:dyDescent="0.3">
      <c r="A354" t="s">
        <v>124</v>
      </c>
      <c r="B354" t="s">
        <v>22</v>
      </c>
      <c r="C354" t="s">
        <v>37</v>
      </c>
      <c r="D354" t="s">
        <v>81</v>
      </c>
      <c r="E354" s="24">
        <f t="shared" si="78"/>
        <v>0</v>
      </c>
      <c r="F354" s="22">
        <f>-SUMIFS(CARGA!I:I,CARGA!B:B,tabla!A354,CARGA!D:D,tabla!C354,CARGA!C:C,MAESTRO!$B$4)-SUMIFS(CARGA!I:I,CARGA!B:B,tabla!A354,CARGA!D:D,tabla!C354,CARGA!C:C,MAESTRO!$B$5)</f>
        <v>0</v>
      </c>
      <c r="G354" s="5">
        <f>+SUMIFS(CARGA!I:I,CARGA!B:B,tabla!A354,CARGA!D:D,tabla!C354)</f>
        <v>0</v>
      </c>
      <c r="H354" s="5">
        <f>+SUMIFS(CARGA!K:K,CARGA!B:B,tabla!A354,CARGA!D:D,tabla!C354)</f>
        <v>0</v>
      </c>
      <c r="I354" s="5">
        <f t="shared" si="79"/>
        <v>0</v>
      </c>
      <c r="J354" s="5">
        <f>-SUMIFS(CARGA!K:K,CARGA!B:B,tabla!A354,CARGA!D:D,tabla!C354,CARGA!C:C,MAESTRO!$B$4)+SUMIFS(CARGA!K:K,CARGA!B:B,tabla!A354,CARGA!D:D,tabla!C354,CARGA!C:C,MAESTRO!$B$5)</f>
        <v>0</v>
      </c>
      <c r="K354" s="5" t="e">
        <f>+VLOOKUP(C354,#REF!,3,FALSE)</f>
        <v>#REF!</v>
      </c>
      <c r="L354" s="5" t="e">
        <f t="shared" si="80"/>
        <v>#REF!</v>
      </c>
      <c r="M354" s="5" t="e">
        <f t="shared" si="81"/>
        <v>#REF!</v>
      </c>
      <c r="N354" s="5" t="str">
        <f t="shared" si="82"/>
        <v>NO</v>
      </c>
      <c r="O354" s="5">
        <f>+VLOOKUP(C354,[2]Fondos!$F:$J,5,FALSE)</f>
        <v>652691913</v>
      </c>
      <c r="P354" s="13">
        <f>+VLOOKUP(C354,[2]Fondos!$F:$K,6,FALSE)</f>
        <v>0.25056249999999997</v>
      </c>
      <c r="Q354" s="13">
        <f t="shared" si="83"/>
        <v>0</v>
      </c>
      <c r="R354" s="10">
        <f>+IF(Q354&gt;MAESTRO!$G$6,0,1)</f>
        <v>1</v>
      </c>
      <c r="S354">
        <f>+IF(P354&lt;MAESTRO!$G$8,0,1)</f>
        <v>1</v>
      </c>
      <c r="T354" s="10">
        <f t="shared" si="84"/>
        <v>2</v>
      </c>
      <c r="U354" t="str">
        <f>+IF(R354+S354=2,MAESTRO!$G$2,IF(R354+S354=0,MAESTRO!$G$5,IF(R354=0,MAESTRO!$G$3,IF(S354=0,MAESTRO!$G$4,))))</f>
        <v>cumple politica</v>
      </c>
    </row>
    <row r="355" spans="1:21" x14ac:dyDescent="0.3">
      <c r="A355" t="s">
        <v>124</v>
      </c>
      <c r="B355" t="s">
        <v>22</v>
      </c>
      <c r="C355" t="s">
        <v>54</v>
      </c>
      <c r="D355" t="s">
        <v>82</v>
      </c>
      <c r="E355" s="24">
        <f t="shared" si="78"/>
        <v>0</v>
      </c>
      <c r="F355" s="22">
        <f>-SUMIFS(CARGA!I:I,CARGA!B:B,tabla!A355,CARGA!D:D,tabla!C355,CARGA!C:C,MAESTRO!$B$4)-SUMIFS(CARGA!I:I,CARGA!B:B,tabla!A355,CARGA!D:D,tabla!C355,CARGA!C:C,MAESTRO!$B$5)</f>
        <v>0</v>
      </c>
      <c r="G355" s="5">
        <f>+SUMIFS(CARGA!I:I,CARGA!B:B,tabla!A355,CARGA!D:D,tabla!C355)</f>
        <v>0</v>
      </c>
      <c r="H355" s="5">
        <f>+SUMIFS(CARGA!K:K,CARGA!B:B,tabla!A355,CARGA!D:D,tabla!C355)</f>
        <v>0</v>
      </c>
      <c r="I355" s="5">
        <f t="shared" si="79"/>
        <v>0</v>
      </c>
      <c r="J355" s="5">
        <f>-SUMIFS(CARGA!K:K,CARGA!B:B,tabla!A355,CARGA!D:D,tabla!C355,CARGA!C:C,MAESTRO!$B$4)+SUMIFS(CARGA!K:K,CARGA!B:B,tabla!A355,CARGA!D:D,tabla!C355,CARGA!C:C,MAESTRO!$B$5)</f>
        <v>0</v>
      </c>
      <c r="K355" s="5" t="e">
        <f>+VLOOKUP(C355,#REF!,3,FALSE)</f>
        <v>#REF!</v>
      </c>
      <c r="L355" s="5" t="e">
        <f t="shared" si="80"/>
        <v>#REF!</v>
      </c>
      <c r="M355" s="5" t="e">
        <f t="shared" si="81"/>
        <v>#REF!</v>
      </c>
      <c r="N355" s="5" t="str">
        <f t="shared" si="82"/>
        <v>NO</v>
      </c>
      <c r="O355" s="5">
        <f>+VLOOKUP(C355,[2]Fondos!$F:$J,5,FALSE)</f>
        <v>2006490136</v>
      </c>
      <c r="P355" s="13">
        <f>+VLOOKUP(C355,[2]Fondos!$F:$K,6,FALSE)</f>
        <v>0.27425260000000001</v>
      </c>
      <c r="Q355" s="13">
        <f t="shared" si="83"/>
        <v>0</v>
      </c>
      <c r="R355" s="10">
        <f>+IF(Q355&gt;MAESTRO!$G$6,0,1)</f>
        <v>1</v>
      </c>
      <c r="S355">
        <f>+IF(P355&lt;MAESTRO!$G$8,0,1)</f>
        <v>1</v>
      </c>
      <c r="T355" s="10">
        <f t="shared" si="84"/>
        <v>2</v>
      </c>
      <c r="U355" t="str">
        <f>+IF(R355+S355=2,MAESTRO!$G$2,IF(R355+S355=0,MAESTRO!$G$5,IF(R355=0,MAESTRO!$G$3,IF(S355=0,MAESTRO!$G$4,))))</f>
        <v>cumple politica</v>
      </c>
    </row>
    <row r="356" spans="1:21" x14ac:dyDescent="0.3">
      <c r="A356" t="s">
        <v>124</v>
      </c>
      <c r="B356" t="s">
        <v>34</v>
      </c>
      <c r="C356" t="s">
        <v>77</v>
      </c>
      <c r="D356" t="s">
        <v>82</v>
      </c>
      <c r="E356" s="24">
        <f t="shared" si="78"/>
        <v>0</v>
      </c>
      <c r="F356" s="22">
        <f>-SUMIFS(CARGA!I:I,CARGA!B:B,tabla!A356,CARGA!D:D,tabla!C356,CARGA!C:C,MAESTRO!$B$4)-SUMIFS(CARGA!I:I,CARGA!B:B,tabla!A356,CARGA!D:D,tabla!C356,CARGA!C:C,MAESTRO!$B$5)</f>
        <v>0</v>
      </c>
      <c r="G356" s="5">
        <f>+SUMIFS(CARGA!I:I,CARGA!B:B,tabla!A356,CARGA!D:D,tabla!C356)</f>
        <v>0</v>
      </c>
      <c r="H356" s="5">
        <f>+SUMIFS(CARGA!K:K,CARGA!B:B,tabla!A356,CARGA!D:D,tabla!C356)</f>
        <v>0</v>
      </c>
      <c r="I356" s="5">
        <f t="shared" si="79"/>
        <v>0</v>
      </c>
      <c r="J356" s="5">
        <f>-SUMIFS(CARGA!K:K,CARGA!B:B,tabla!A356,CARGA!D:D,tabla!C356,CARGA!C:C,MAESTRO!$B$4)+SUMIFS(CARGA!K:K,CARGA!B:B,tabla!A356,CARGA!D:D,tabla!C356,CARGA!C:C,MAESTRO!$B$5)</f>
        <v>0</v>
      </c>
      <c r="K356" s="5" t="e">
        <f>+VLOOKUP(C356,#REF!,3,FALSE)</f>
        <v>#REF!</v>
      </c>
      <c r="L356" s="5" t="e">
        <f t="shared" si="80"/>
        <v>#REF!</v>
      </c>
      <c r="M356" s="5" t="e">
        <f t="shared" si="81"/>
        <v>#REF!</v>
      </c>
      <c r="N356" s="5" t="str">
        <f t="shared" si="82"/>
        <v>NO</v>
      </c>
      <c r="O356" s="5">
        <f>+VLOOKUP(C356,[2]Fondos!$F:$J,5,FALSE)</f>
        <v>10383624192</v>
      </c>
      <c r="P356" s="13">
        <f>+VLOOKUP(C356,[2]Fondos!$F:$K,6,FALSE)</f>
        <v>0.27741320000000003</v>
      </c>
      <c r="Q356" s="13">
        <f t="shared" si="83"/>
        <v>0</v>
      </c>
      <c r="R356" s="10">
        <f>+IF(Q356&gt;MAESTRO!$G$6,0,1)</f>
        <v>1</v>
      </c>
      <c r="S356">
        <f>+IF(P356&lt;MAESTRO!$G$8,0,1)</f>
        <v>1</v>
      </c>
      <c r="T356" s="10">
        <f t="shared" si="84"/>
        <v>2</v>
      </c>
      <c r="U356" t="str">
        <f>+IF(R356+S356=2,MAESTRO!$G$2,IF(R356+S356=0,MAESTRO!$G$5,IF(R356=0,MAESTRO!$G$3,IF(S356=0,MAESTRO!$G$4,))))</f>
        <v>cumple politica</v>
      </c>
    </row>
    <row r="357" spans="1:21" x14ac:dyDescent="0.3">
      <c r="A357" t="s">
        <v>124</v>
      </c>
      <c r="B357" t="s">
        <v>34</v>
      </c>
      <c r="C357" t="s">
        <v>53</v>
      </c>
      <c r="D357" t="s">
        <v>81</v>
      </c>
      <c r="E357" s="24">
        <f t="shared" si="78"/>
        <v>0</v>
      </c>
      <c r="F357" s="22">
        <f>-SUMIFS(CARGA!I:I,CARGA!B:B,tabla!A357,CARGA!D:D,tabla!C357,CARGA!C:C,MAESTRO!$B$4)-SUMIFS(CARGA!I:I,CARGA!B:B,tabla!A357,CARGA!D:D,tabla!C357,CARGA!C:C,MAESTRO!$B$5)</f>
        <v>0</v>
      </c>
      <c r="G357" s="5">
        <f>+SUMIFS(CARGA!I:I,CARGA!B:B,tabla!A357,CARGA!D:D,tabla!C357)</f>
        <v>0</v>
      </c>
      <c r="H357" s="5">
        <f>+SUMIFS(CARGA!K:K,CARGA!B:B,tabla!A357,CARGA!D:D,tabla!C357)</f>
        <v>0</v>
      </c>
      <c r="I357" s="5">
        <f t="shared" si="79"/>
        <v>0</v>
      </c>
      <c r="J357" s="5">
        <f>-SUMIFS(CARGA!K:K,CARGA!B:B,tabla!A357,CARGA!D:D,tabla!C357,CARGA!C:C,MAESTRO!$B$4)+SUMIFS(CARGA!K:K,CARGA!B:B,tabla!A357,CARGA!D:D,tabla!C357,CARGA!C:C,MAESTRO!$B$5)</f>
        <v>0</v>
      </c>
      <c r="K357" s="5" t="e">
        <f>+VLOOKUP(C357,#REF!,3,FALSE)</f>
        <v>#REF!</v>
      </c>
      <c r="L357" s="5" t="e">
        <f t="shared" si="80"/>
        <v>#REF!</v>
      </c>
      <c r="M357" s="5" t="e">
        <f t="shared" si="81"/>
        <v>#REF!</v>
      </c>
      <c r="N357" s="5" t="str">
        <f t="shared" si="82"/>
        <v>NO</v>
      </c>
      <c r="O357" s="5">
        <f>+VLOOKUP(C357,[2]Fondos!$F:$J,5,FALSE)</f>
        <v>4530803420</v>
      </c>
      <c r="P357" s="13">
        <f>+VLOOKUP(C357,[2]Fondos!$F:$K,6,FALSE)</f>
        <v>0.2425168</v>
      </c>
      <c r="Q357" s="13">
        <f t="shared" si="83"/>
        <v>0</v>
      </c>
      <c r="R357" s="10">
        <f>+IF(Q357&gt;MAESTRO!$G$6,0,1)</f>
        <v>1</v>
      </c>
      <c r="S357">
        <f>+IF(P357&lt;MAESTRO!$G$8,0,1)</f>
        <v>1</v>
      </c>
      <c r="T357" s="10">
        <f t="shared" si="84"/>
        <v>2</v>
      </c>
      <c r="U357" t="str">
        <f>+IF(R357+S357=2,MAESTRO!$G$2,IF(R357+S357=0,MAESTRO!$G$5,IF(R357=0,MAESTRO!$G$3,IF(S357=0,MAESTRO!$G$4,))))</f>
        <v>cumple politica</v>
      </c>
    </row>
    <row r="358" spans="1:21" x14ac:dyDescent="0.3">
      <c r="A358" t="s">
        <v>124</v>
      </c>
      <c r="B358" t="s">
        <v>129</v>
      </c>
      <c r="C358" t="s">
        <v>128</v>
      </c>
      <c r="D358" t="s">
        <v>81</v>
      </c>
      <c r="E358" s="24">
        <f t="shared" si="78"/>
        <v>0</v>
      </c>
      <c r="F358" s="22">
        <f>-SUMIFS(CARGA!I:I,CARGA!B:B,tabla!A358,CARGA!D:D,tabla!C358,CARGA!C:C,MAESTRO!$B$4)-SUMIFS(CARGA!I:I,CARGA!B:B,tabla!A358,CARGA!D:D,tabla!C358,CARGA!C:C,MAESTRO!$B$5)</f>
        <v>0</v>
      </c>
      <c r="G358" s="5">
        <f>+SUMIFS(CARGA!I:I,CARGA!B:B,tabla!A358,CARGA!D:D,tabla!C358)</f>
        <v>0</v>
      </c>
      <c r="H358" s="5">
        <f>+SUMIFS(CARGA!K:K,CARGA!B:B,tabla!A358,CARGA!D:D,tabla!C358)</f>
        <v>0</v>
      </c>
      <c r="I358" s="5">
        <f t="shared" si="79"/>
        <v>0</v>
      </c>
      <c r="J358" s="5">
        <f>-SUMIFS(CARGA!K:K,CARGA!B:B,tabla!A358,CARGA!D:D,tabla!C358,CARGA!C:C,MAESTRO!$B$4)+SUMIFS(CARGA!K:K,CARGA!B:B,tabla!A358,CARGA!D:D,tabla!C358,CARGA!C:C,MAESTRO!$B$5)</f>
        <v>0</v>
      </c>
      <c r="K358" s="5" t="e">
        <f>+VLOOKUP(C358,#REF!,3,FALSE)</f>
        <v>#REF!</v>
      </c>
      <c r="L358" s="5" t="e">
        <f t="shared" si="80"/>
        <v>#REF!</v>
      </c>
      <c r="M358" s="5" t="e">
        <f t="shared" si="81"/>
        <v>#REF!</v>
      </c>
      <c r="N358" s="5" t="str">
        <f t="shared" si="82"/>
        <v>NO</v>
      </c>
      <c r="O358" s="5" t="e">
        <f>+VLOOKUP(C358,[2]Fondos!$F:$J,5,FALSE)</f>
        <v>#N/A</v>
      </c>
      <c r="P358" s="13" t="e">
        <f>+VLOOKUP(C358,[2]Fondos!$F:$K,6,FALSE)</f>
        <v>#N/A</v>
      </c>
      <c r="Q358" s="13" t="e">
        <f t="shared" si="83"/>
        <v>#N/A</v>
      </c>
      <c r="R358" s="10" t="e">
        <f>+IF(Q358&gt;MAESTRO!$G$6,0,1)</f>
        <v>#N/A</v>
      </c>
      <c r="S358" t="e">
        <f>+IF(P358&lt;MAESTRO!$G$8,0,1)</f>
        <v>#N/A</v>
      </c>
      <c r="T358" s="10" t="e">
        <f t="shared" si="84"/>
        <v>#N/A</v>
      </c>
      <c r="U358" t="e">
        <f>+IF(R358+S358=2,MAESTRO!$G$2,IF(R358+S358=0,MAESTRO!$G$5,IF(R358=0,MAESTRO!$G$3,IF(S358=0,MAESTRO!$G$4,))))</f>
        <v>#N/A</v>
      </c>
    </row>
    <row r="359" spans="1:21" x14ac:dyDescent="0.3">
      <c r="A359" t="s">
        <v>124</v>
      </c>
      <c r="B359" t="s">
        <v>30</v>
      </c>
      <c r="C359" t="s">
        <v>49</v>
      </c>
      <c r="D359" t="s">
        <v>81</v>
      </c>
      <c r="E359" s="24">
        <f t="shared" si="78"/>
        <v>0</v>
      </c>
      <c r="F359" s="22">
        <f>-SUMIFS(CARGA!I:I,CARGA!B:B,tabla!A359,CARGA!D:D,tabla!C359,CARGA!C:C,MAESTRO!$B$4)-SUMIFS(CARGA!I:I,CARGA!B:B,tabla!A359,CARGA!D:D,tabla!C359,CARGA!C:C,MAESTRO!$B$5)</f>
        <v>0</v>
      </c>
      <c r="G359" s="5">
        <f>+SUMIFS(CARGA!I:I,CARGA!B:B,tabla!A359,CARGA!D:D,tabla!C359)</f>
        <v>0</v>
      </c>
      <c r="H359" s="5">
        <f>+SUMIFS(CARGA!K:K,CARGA!B:B,tabla!A359,CARGA!D:D,tabla!C359)</f>
        <v>0</v>
      </c>
      <c r="I359" s="5">
        <f t="shared" si="79"/>
        <v>0</v>
      </c>
      <c r="J359" s="5">
        <f>-SUMIFS(CARGA!K:K,CARGA!B:B,tabla!A359,CARGA!D:D,tabla!C359,CARGA!C:C,MAESTRO!$B$4)+SUMIFS(CARGA!K:K,CARGA!B:B,tabla!A359,CARGA!D:D,tabla!C359,CARGA!C:C,MAESTRO!$B$5)</f>
        <v>0</v>
      </c>
      <c r="K359" s="5" t="e">
        <f>+VLOOKUP(C359,#REF!,3,FALSE)</f>
        <v>#REF!</v>
      </c>
      <c r="L359" s="5" t="e">
        <f t="shared" si="80"/>
        <v>#REF!</v>
      </c>
      <c r="M359" s="5" t="e">
        <f t="shared" si="81"/>
        <v>#REF!</v>
      </c>
      <c r="N359" s="5" t="str">
        <f t="shared" si="82"/>
        <v>NO</v>
      </c>
      <c r="O359" s="5">
        <f>+VLOOKUP(C359,[2]Fondos!$F:$J,5,FALSE)</f>
        <v>9591427.7400000002</v>
      </c>
      <c r="P359" s="13">
        <f>+VLOOKUP(C359,[2]Fondos!$F:$K,6,FALSE)</f>
        <v>0.1408799</v>
      </c>
      <c r="Q359" s="13">
        <f t="shared" si="83"/>
        <v>0</v>
      </c>
      <c r="R359" s="10">
        <f>+IF(Q359&gt;MAESTRO!$G$6,0,1)</f>
        <v>1</v>
      </c>
      <c r="S359">
        <f>+IF(P359&lt;MAESTRO!$G$8,0,1)</f>
        <v>1</v>
      </c>
      <c r="T359" s="10">
        <f t="shared" si="84"/>
        <v>2</v>
      </c>
      <c r="U359" t="str">
        <f>+IF(R359+S359=2,MAESTRO!$G$2,IF(R359+S359=0,MAESTRO!$G$5,IF(R359=0,MAESTRO!$G$3,IF(S359=0,MAESTRO!$G$4,))))</f>
        <v>cumple politica</v>
      </c>
    </row>
    <row r="360" spans="1:21" x14ac:dyDescent="0.3">
      <c r="A360" t="s">
        <v>124</v>
      </c>
      <c r="B360" t="s">
        <v>30</v>
      </c>
      <c r="C360" t="s">
        <v>68</v>
      </c>
      <c r="D360" t="s">
        <v>82</v>
      </c>
      <c r="E360" s="24">
        <f t="shared" si="78"/>
        <v>0</v>
      </c>
      <c r="F360" s="22">
        <f>-SUMIFS(CARGA!I:I,CARGA!B:B,tabla!A360,CARGA!D:D,tabla!C360,CARGA!C:C,MAESTRO!$B$4)-SUMIFS(CARGA!I:I,CARGA!B:B,tabla!A360,CARGA!D:D,tabla!C360,CARGA!C:C,MAESTRO!$B$5)</f>
        <v>0</v>
      </c>
      <c r="G360" s="5">
        <f>+SUMIFS(CARGA!I:I,CARGA!B:B,tabla!A360,CARGA!D:D,tabla!C360)</f>
        <v>0</v>
      </c>
      <c r="H360" s="5">
        <f>+SUMIFS(CARGA!K:K,CARGA!B:B,tabla!A360,CARGA!D:D,tabla!C360)</f>
        <v>0</v>
      </c>
      <c r="I360" s="5">
        <f t="shared" si="79"/>
        <v>0</v>
      </c>
      <c r="J360" s="5">
        <f>-SUMIFS(CARGA!K:K,CARGA!B:B,tabla!A360,CARGA!D:D,tabla!C360,CARGA!C:C,MAESTRO!$B$4)+SUMIFS(CARGA!K:K,CARGA!B:B,tabla!A360,CARGA!D:D,tabla!C360,CARGA!C:C,MAESTRO!$B$5)</f>
        <v>0</v>
      </c>
      <c r="K360" s="5" t="e">
        <f>+VLOOKUP(C360,#REF!,3,FALSE)</f>
        <v>#REF!</v>
      </c>
      <c r="L360" s="5" t="e">
        <f t="shared" si="80"/>
        <v>#REF!</v>
      </c>
      <c r="M360" s="5" t="e">
        <f t="shared" si="81"/>
        <v>#REF!</v>
      </c>
      <c r="N360" s="5" t="str">
        <f t="shared" si="82"/>
        <v>NO</v>
      </c>
      <c r="O360" s="5">
        <f>+VLOOKUP(C360,[2]Fondos!$F:$J,5,FALSE)</f>
        <v>5034893543.9799995</v>
      </c>
      <c r="P360" s="13">
        <f>+VLOOKUP(C360,[2]Fondos!$F:$K,6,FALSE)</f>
        <v>0.27295020000000003</v>
      </c>
      <c r="Q360" s="13">
        <f t="shared" si="83"/>
        <v>0</v>
      </c>
      <c r="R360" s="10">
        <f>+IF(Q360&gt;MAESTRO!$G$6,0,1)</f>
        <v>1</v>
      </c>
      <c r="S360">
        <f>+IF(P360&lt;MAESTRO!$G$8,0,1)</f>
        <v>1</v>
      </c>
      <c r="T360" s="10">
        <f t="shared" si="84"/>
        <v>2</v>
      </c>
      <c r="U360" t="str">
        <f>+IF(R360+S360=2,MAESTRO!$G$2,IF(R360+S360=0,MAESTRO!$G$5,IF(R360=0,MAESTRO!$G$3,IF(S360=0,MAESTRO!$G$4,))))</f>
        <v>cumple politica</v>
      </c>
    </row>
    <row r="361" spans="1:21" x14ac:dyDescent="0.3">
      <c r="A361" t="s">
        <v>124</v>
      </c>
      <c r="B361" t="s">
        <v>30</v>
      </c>
      <c r="C361" t="s">
        <v>67</v>
      </c>
      <c r="D361" t="s">
        <v>82</v>
      </c>
      <c r="E361" s="24">
        <f t="shared" si="78"/>
        <v>0</v>
      </c>
      <c r="F361" s="22">
        <f>-SUMIFS(CARGA!I:I,CARGA!B:B,tabla!A361,CARGA!D:D,tabla!C361,CARGA!C:C,MAESTRO!$B$4)-SUMIFS(CARGA!I:I,CARGA!B:B,tabla!A361,CARGA!D:D,tabla!C361,CARGA!C:C,MAESTRO!$B$5)</f>
        <v>0</v>
      </c>
      <c r="G361" s="5">
        <f>+SUMIFS(CARGA!I:I,CARGA!B:B,tabla!A361,CARGA!D:D,tabla!C361)</f>
        <v>0</v>
      </c>
      <c r="H361" s="5">
        <f>+SUMIFS(CARGA!K:K,CARGA!B:B,tabla!A361,CARGA!D:D,tabla!C361)</f>
        <v>0</v>
      </c>
      <c r="I361" s="5">
        <f t="shared" si="79"/>
        <v>0</v>
      </c>
      <c r="J361" s="5">
        <f>-SUMIFS(CARGA!K:K,CARGA!B:B,tabla!A361,CARGA!D:D,tabla!C361,CARGA!C:C,MAESTRO!$B$4)+SUMIFS(CARGA!K:K,CARGA!B:B,tabla!A361,CARGA!D:D,tabla!C361,CARGA!C:C,MAESTRO!$B$5)</f>
        <v>0</v>
      </c>
      <c r="K361" s="5" t="e">
        <f>+VLOOKUP(C361,#REF!,3,FALSE)</f>
        <v>#REF!</v>
      </c>
      <c r="L361" s="5" t="e">
        <f t="shared" si="80"/>
        <v>#REF!</v>
      </c>
      <c r="M361" s="5" t="e">
        <f t="shared" si="81"/>
        <v>#REF!</v>
      </c>
      <c r="N361" s="5" t="str">
        <f t="shared" si="82"/>
        <v>NO</v>
      </c>
      <c r="O361" s="5">
        <f>+VLOOKUP(C361,[2]Fondos!$F:$J,5,FALSE)</f>
        <v>11465050695.200001</v>
      </c>
      <c r="P361" s="13">
        <f>+VLOOKUP(C361,[2]Fondos!$F:$K,6,FALSE)</f>
        <v>0.2357329</v>
      </c>
      <c r="Q361" s="13">
        <f t="shared" si="83"/>
        <v>0</v>
      </c>
      <c r="R361" s="10">
        <f>+IF(Q361&gt;MAESTRO!$G$6,0,1)</f>
        <v>1</v>
      </c>
      <c r="S361">
        <f>+IF(P361&lt;MAESTRO!$G$8,0,1)</f>
        <v>1</v>
      </c>
      <c r="T361" s="10">
        <f t="shared" si="84"/>
        <v>2</v>
      </c>
      <c r="U361" t="str">
        <f>+IF(R361+S361=2,MAESTRO!$G$2,IF(R361+S361=0,MAESTRO!$G$5,IF(R361=0,MAESTRO!$G$3,IF(S361=0,MAESTRO!$G$4,))))</f>
        <v>cumple politica</v>
      </c>
    </row>
    <row r="362" spans="1:21" x14ac:dyDescent="0.3">
      <c r="A362" t="s">
        <v>124</v>
      </c>
      <c r="B362" t="s">
        <v>29</v>
      </c>
      <c r="C362" t="s">
        <v>48</v>
      </c>
      <c r="D362" t="s">
        <v>81</v>
      </c>
      <c r="E362" s="24">
        <f t="shared" si="78"/>
        <v>0</v>
      </c>
      <c r="F362" s="22">
        <f>-SUMIFS(CARGA!I:I,CARGA!B:B,tabla!A362,CARGA!D:D,tabla!C362,CARGA!C:C,MAESTRO!$B$4)-SUMIFS(CARGA!I:I,CARGA!B:B,tabla!A362,CARGA!D:D,tabla!C362,CARGA!C:C,MAESTRO!$B$5)</f>
        <v>0</v>
      </c>
      <c r="G362" s="5">
        <f>+SUMIFS(CARGA!I:I,CARGA!B:B,tabla!A362,CARGA!D:D,tabla!C362)</f>
        <v>0</v>
      </c>
      <c r="H362" s="5">
        <f>+SUMIFS(CARGA!K:K,CARGA!B:B,tabla!A362,CARGA!D:D,tabla!C362)</f>
        <v>0</v>
      </c>
      <c r="I362" s="5">
        <f t="shared" si="79"/>
        <v>0</v>
      </c>
      <c r="J362" s="5">
        <f>-SUMIFS(CARGA!K:K,CARGA!B:B,tabla!A362,CARGA!D:D,tabla!C362,CARGA!C:C,MAESTRO!$B$4)+SUMIFS(CARGA!K:K,CARGA!B:B,tabla!A362,CARGA!D:D,tabla!C362,CARGA!C:C,MAESTRO!$B$5)</f>
        <v>0</v>
      </c>
      <c r="K362" s="5" t="e">
        <f>+VLOOKUP(C362,#REF!,3,FALSE)</f>
        <v>#REF!</v>
      </c>
      <c r="L362" s="5" t="e">
        <f t="shared" si="80"/>
        <v>#REF!</v>
      </c>
      <c r="M362" s="5" t="e">
        <f t="shared" si="81"/>
        <v>#REF!</v>
      </c>
      <c r="N362" s="5" t="str">
        <f t="shared" si="82"/>
        <v>NO</v>
      </c>
      <c r="O362" s="5">
        <f>+VLOOKUP(C362,[2]Fondos!$F:$J,5,FALSE)</f>
        <v>1752057008.8599999</v>
      </c>
      <c r="P362" s="13">
        <f>+VLOOKUP(C362,[2]Fondos!$F:$K,6,FALSE)</f>
        <v>0.21970210000000001</v>
      </c>
      <c r="Q362" s="13">
        <f t="shared" si="83"/>
        <v>0</v>
      </c>
      <c r="R362" s="10">
        <f>+IF(Q362&gt;MAESTRO!$G$6,0,1)</f>
        <v>1</v>
      </c>
      <c r="S362">
        <f>+IF(P362&lt;MAESTRO!$G$8,0,1)</f>
        <v>1</v>
      </c>
      <c r="T362" s="10">
        <f t="shared" si="84"/>
        <v>2</v>
      </c>
      <c r="U362" t="str">
        <f>+IF(R362+S362=2,MAESTRO!$G$2,IF(R362+S362=0,MAESTRO!$G$5,IF(R362=0,MAESTRO!$G$3,IF(S362=0,MAESTRO!$G$4,))))</f>
        <v>cumple politica</v>
      </c>
    </row>
    <row r="363" spans="1:21" x14ac:dyDescent="0.3">
      <c r="A363" t="s">
        <v>124</v>
      </c>
      <c r="B363" t="s">
        <v>29</v>
      </c>
      <c r="C363" t="s">
        <v>66</v>
      </c>
      <c r="D363" t="s">
        <v>82</v>
      </c>
      <c r="E363" s="24">
        <f t="shared" si="78"/>
        <v>0</v>
      </c>
      <c r="F363" s="22">
        <f>-SUMIFS(CARGA!I:I,CARGA!B:B,tabla!A363,CARGA!D:D,tabla!C363,CARGA!C:C,MAESTRO!$B$4)-SUMIFS(CARGA!I:I,CARGA!B:B,tabla!A363,CARGA!D:D,tabla!C363,CARGA!C:C,MAESTRO!$B$5)</f>
        <v>0</v>
      </c>
      <c r="G363" s="5">
        <f>+SUMIFS(CARGA!I:I,CARGA!B:B,tabla!A363,CARGA!D:D,tabla!C363)</f>
        <v>0</v>
      </c>
      <c r="H363" s="5">
        <f>+SUMIFS(CARGA!K:K,CARGA!B:B,tabla!A363,CARGA!D:D,tabla!C363)</f>
        <v>0</v>
      </c>
      <c r="I363" s="5">
        <f t="shared" si="79"/>
        <v>0</v>
      </c>
      <c r="J363" s="5">
        <f>-SUMIFS(CARGA!K:K,CARGA!B:B,tabla!A363,CARGA!D:D,tabla!C363,CARGA!C:C,MAESTRO!$B$4)+SUMIFS(CARGA!K:K,CARGA!B:B,tabla!A363,CARGA!D:D,tabla!C363,CARGA!C:C,MAESTRO!$B$5)</f>
        <v>0</v>
      </c>
      <c r="K363" s="5" t="e">
        <f>+VLOOKUP(C363,#REF!,3,FALSE)</f>
        <v>#REF!</v>
      </c>
      <c r="L363" s="5" t="e">
        <f t="shared" si="80"/>
        <v>#REF!</v>
      </c>
      <c r="M363" s="5" t="e">
        <f t="shared" si="81"/>
        <v>#REF!</v>
      </c>
      <c r="N363" s="5" t="str">
        <f t="shared" si="82"/>
        <v>NO</v>
      </c>
      <c r="O363" s="5">
        <f>+VLOOKUP(C363,[2]Fondos!$F:$J,5,FALSE)</f>
        <v>15968105687.34</v>
      </c>
      <c r="P363" s="13">
        <f>+VLOOKUP(C363,[2]Fondos!$F:$K,6,FALSE)</f>
        <v>0.27123580000000003</v>
      </c>
      <c r="Q363" s="13">
        <f t="shared" si="83"/>
        <v>0</v>
      </c>
      <c r="R363" s="10">
        <f>+IF(Q363&gt;MAESTRO!$G$6,0,1)</f>
        <v>1</v>
      </c>
      <c r="S363">
        <f>+IF(P363&lt;MAESTRO!$G$8,0,1)</f>
        <v>1</v>
      </c>
      <c r="T363" s="10">
        <f t="shared" si="84"/>
        <v>2</v>
      </c>
      <c r="U363" t="str">
        <f>+IF(R363+S363=2,MAESTRO!$G$2,IF(R363+S363=0,MAESTRO!$G$5,IF(R363=0,MAESTRO!$G$3,IF(S363=0,MAESTRO!$G$4,))))</f>
        <v>cumple politica</v>
      </c>
    </row>
    <row r="364" spans="1:21" x14ac:dyDescent="0.3">
      <c r="A364" t="s">
        <v>124</v>
      </c>
      <c r="B364" t="s">
        <v>29</v>
      </c>
      <c r="C364" t="s">
        <v>110</v>
      </c>
      <c r="D364" t="s">
        <v>83</v>
      </c>
      <c r="E364" s="24">
        <f t="shared" si="78"/>
        <v>0</v>
      </c>
      <c r="F364" s="22">
        <f>-SUMIFS(CARGA!I:I,CARGA!B:B,tabla!A364,CARGA!D:D,tabla!C364,CARGA!C:C,MAESTRO!$B$4)-SUMIFS(CARGA!I:I,CARGA!B:B,tabla!A364,CARGA!D:D,tabla!C364,CARGA!C:C,MAESTRO!$B$5)</f>
        <v>0</v>
      </c>
      <c r="G364" s="5">
        <f>+SUMIFS(CARGA!I:I,CARGA!B:B,tabla!A364,CARGA!D:D,tabla!C364)</f>
        <v>0</v>
      </c>
      <c r="H364" s="5">
        <f>+SUMIFS(CARGA!K:K,CARGA!B:B,tabla!A364,CARGA!D:D,tabla!C364)</f>
        <v>0</v>
      </c>
      <c r="I364" s="5">
        <f t="shared" si="79"/>
        <v>0</v>
      </c>
      <c r="J364" s="5">
        <f>-SUMIFS(CARGA!K:K,CARGA!B:B,tabla!A364,CARGA!D:D,tabla!C364,CARGA!C:C,MAESTRO!$B$4)+SUMIFS(CARGA!K:K,CARGA!B:B,tabla!A364,CARGA!D:D,tabla!C364,CARGA!C:C,MAESTRO!$B$5)</f>
        <v>0</v>
      </c>
      <c r="K364" s="5" t="e">
        <f>+VLOOKUP(C364,#REF!,3,FALSE)</f>
        <v>#REF!</v>
      </c>
      <c r="L364" s="5" t="e">
        <f t="shared" si="80"/>
        <v>#REF!</v>
      </c>
      <c r="M364" s="5" t="e">
        <f t="shared" si="81"/>
        <v>#REF!</v>
      </c>
      <c r="N364" s="5" t="str">
        <f t="shared" si="82"/>
        <v>NO</v>
      </c>
      <c r="O364" s="5" t="e">
        <f>+VLOOKUP(C364,[2]Fondos!$F:$J,5,FALSE)</f>
        <v>#N/A</v>
      </c>
      <c r="P364" s="13" t="e">
        <f>+VLOOKUP(C364,[2]Fondos!$F:$K,6,FALSE)</f>
        <v>#N/A</v>
      </c>
      <c r="Q364" s="13" t="e">
        <f t="shared" si="83"/>
        <v>#N/A</v>
      </c>
      <c r="R364" s="10" t="e">
        <f>+IF(Q364&gt;MAESTRO!$G$6,0,1)</f>
        <v>#N/A</v>
      </c>
      <c r="S364" t="e">
        <f>+IF(P364&lt;MAESTRO!$G$8,0,1)</f>
        <v>#N/A</v>
      </c>
      <c r="T364" s="10" t="e">
        <f t="shared" si="84"/>
        <v>#N/A</v>
      </c>
      <c r="U364" t="e">
        <f>+IF(R364+S364=2,MAESTRO!$G$2,IF(R364+S364=0,MAESTRO!$G$5,IF(R364=0,MAESTRO!$G$3,IF(S364=0,MAESTRO!$G$4,))))</f>
        <v>#N/A</v>
      </c>
    </row>
    <row r="365" spans="1:21" x14ac:dyDescent="0.3">
      <c r="A365" t="s">
        <v>124</v>
      </c>
      <c r="B365" t="s">
        <v>24</v>
      </c>
      <c r="C365" t="s">
        <v>39</v>
      </c>
      <c r="D365" t="s">
        <v>81</v>
      </c>
      <c r="E365" s="24">
        <f t="shared" si="78"/>
        <v>0</v>
      </c>
      <c r="F365" s="22">
        <f>-SUMIFS(CARGA!I:I,CARGA!B:B,tabla!A365,CARGA!D:D,tabla!C365,CARGA!C:C,MAESTRO!$B$4)-SUMIFS(CARGA!I:I,CARGA!B:B,tabla!A365,CARGA!D:D,tabla!C365,CARGA!C:C,MAESTRO!$B$5)</f>
        <v>0</v>
      </c>
      <c r="G365" s="5">
        <f>+SUMIFS(CARGA!I:I,CARGA!B:B,tabla!A365,CARGA!D:D,tabla!C365)</f>
        <v>0</v>
      </c>
      <c r="H365" s="5">
        <f>+SUMIFS(CARGA!K:K,CARGA!B:B,tabla!A365,CARGA!D:D,tabla!C365)</f>
        <v>0</v>
      </c>
      <c r="I365" s="5">
        <f t="shared" si="79"/>
        <v>0</v>
      </c>
      <c r="J365" s="5">
        <f>-SUMIFS(CARGA!K:K,CARGA!B:B,tabla!A365,CARGA!D:D,tabla!C365,CARGA!C:C,MAESTRO!$B$4)+SUMIFS(CARGA!K:K,CARGA!B:B,tabla!A365,CARGA!D:D,tabla!C365,CARGA!C:C,MAESTRO!$B$5)</f>
        <v>0</v>
      </c>
      <c r="K365" s="5" t="e">
        <f>+VLOOKUP(C365,#REF!,3,FALSE)</f>
        <v>#REF!</v>
      </c>
      <c r="L365" s="5" t="e">
        <f t="shared" si="80"/>
        <v>#REF!</v>
      </c>
      <c r="M365" s="5" t="e">
        <f t="shared" si="81"/>
        <v>#REF!</v>
      </c>
      <c r="N365" s="5" t="str">
        <f t="shared" si="82"/>
        <v>NO</v>
      </c>
      <c r="O365" s="5">
        <f>+VLOOKUP(C365,[2]Fondos!$F:$J,5,FALSE)</f>
        <v>2294506221</v>
      </c>
      <c r="P365" s="13">
        <f>+VLOOKUP(C365,[2]Fondos!$F:$K,6,FALSE)</f>
        <v>0.21526589999999998</v>
      </c>
      <c r="Q365" s="13">
        <f t="shared" si="83"/>
        <v>0</v>
      </c>
      <c r="R365" s="10">
        <f>+IF(Q365&gt;MAESTRO!$G$6,0,1)</f>
        <v>1</v>
      </c>
      <c r="S365">
        <f>+IF(P365&lt;MAESTRO!$G$8,0,1)</f>
        <v>1</v>
      </c>
      <c r="T365" s="10">
        <f t="shared" si="84"/>
        <v>2</v>
      </c>
      <c r="U365" t="str">
        <f>+IF(R365+S365=2,MAESTRO!$G$2,IF(R365+S365=0,MAESTRO!$G$5,IF(R365=0,MAESTRO!$G$3,IF(S365=0,MAESTRO!$G$4,))))</f>
        <v>cumple politica</v>
      </c>
    </row>
    <row r="366" spans="1:21" x14ac:dyDescent="0.3">
      <c r="A366" t="s">
        <v>124</v>
      </c>
      <c r="B366" t="s">
        <v>24</v>
      </c>
      <c r="C366" t="s">
        <v>80</v>
      </c>
      <c r="D366" t="s">
        <v>82</v>
      </c>
      <c r="E366" s="24">
        <f t="shared" si="78"/>
        <v>0</v>
      </c>
      <c r="F366" s="22">
        <f>-SUMIFS(CARGA!I:I,CARGA!B:B,tabla!A366,CARGA!D:D,tabla!C366,CARGA!C:C,MAESTRO!$B$4)-SUMIFS(CARGA!I:I,CARGA!B:B,tabla!A366,CARGA!D:D,tabla!C366,CARGA!C:C,MAESTRO!$B$5)</f>
        <v>0</v>
      </c>
      <c r="G366" s="5">
        <f>+SUMIFS(CARGA!I:I,CARGA!B:B,tabla!A366,CARGA!D:D,tabla!C366)</f>
        <v>0</v>
      </c>
      <c r="H366" s="5">
        <f>+SUMIFS(CARGA!K:K,CARGA!B:B,tabla!A366,CARGA!D:D,tabla!C366)</f>
        <v>0</v>
      </c>
      <c r="I366" s="5">
        <f t="shared" si="79"/>
        <v>0</v>
      </c>
      <c r="J366" s="5">
        <f>-SUMIFS(CARGA!K:K,CARGA!B:B,tabla!A366,CARGA!D:D,tabla!C366,CARGA!C:C,MAESTRO!$B$4)+SUMIFS(CARGA!K:K,CARGA!B:B,tabla!A366,CARGA!D:D,tabla!C366,CARGA!C:C,MAESTRO!$B$5)</f>
        <v>0</v>
      </c>
      <c r="K366" s="5" t="e">
        <f>+VLOOKUP(C366,#REF!,3,FALSE)</f>
        <v>#REF!</v>
      </c>
      <c r="L366" s="5" t="e">
        <f t="shared" si="80"/>
        <v>#REF!</v>
      </c>
      <c r="M366" s="5" t="e">
        <f t="shared" si="81"/>
        <v>#REF!</v>
      </c>
      <c r="N366" s="5" t="str">
        <f t="shared" si="82"/>
        <v>NO</v>
      </c>
      <c r="O366" s="5">
        <f>+VLOOKUP(C366,[2]Fondos!$F:$J,5,FALSE)</f>
        <v>8324714840</v>
      </c>
      <c r="P366" s="13">
        <f>+VLOOKUP(C366,[2]Fondos!$F:$K,6,FALSE)</f>
        <v>0.27053379999999999</v>
      </c>
      <c r="Q366" s="13">
        <f t="shared" si="83"/>
        <v>0</v>
      </c>
      <c r="R366" s="10">
        <f>+IF(Q366&gt;MAESTRO!$G$6,0,1)</f>
        <v>1</v>
      </c>
      <c r="S366">
        <f>+IF(P366&lt;MAESTRO!$G$8,0,1)</f>
        <v>1</v>
      </c>
      <c r="T366" s="10">
        <f t="shared" si="84"/>
        <v>2</v>
      </c>
      <c r="U366" t="str">
        <f>+IF(R366+S366=2,MAESTRO!$G$2,IF(R366+S366=0,MAESTRO!$G$5,IF(R366=0,MAESTRO!$G$3,IF(S366=0,MAESTRO!$G$4,))))</f>
        <v>cumple politica</v>
      </c>
    </row>
    <row r="367" spans="1:21" x14ac:dyDescent="0.3">
      <c r="A367" t="s">
        <v>124</v>
      </c>
      <c r="B367" t="s">
        <v>24</v>
      </c>
      <c r="C367" t="s">
        <v>62</v>
      </c>
      <c r="D367" t="s">
        <v>82</v>
      </c>
      <c r="E367" s="24">
        <f t="shared" si="78"/>
        <v>0</v>
      </c>
      <c r="F367" s="22">
        <f>-SUMIFS(CARGA!I:I,CARGA!B:B,tabla!A367,CARGA!D:D,tabla!C367,CARGA!C:C,MAESTRO!$B$4)-SUMIFS(CARGA!I:I,CARGA!B:B,tabla!A367,CARGA!D:D,tabla!C367,CARGA!C:C,MAESTRO!$B$5)</f>
        <v>0</v>
      </c>
      <c r="G367" s="5">
        <f>+SUMIFS(CARGA!I:I,CARGA!B:B,tabla!A367,CARGA!D:D,tabla!C367)</f>
        <v>0</v>
      </c>
      <c r="H367" s="5">
        <f>+SUMIFS(CARGA!K:K,CARGA!B:B,tabla!A367,CARGA!D:D,tabla!C367)</f>
        <v>0</v>
      </c>
      <c r="I367" s="5">
        <f t="shared" si="79"/>
        <v>0</v>
      </c>
      <c r="J367" s="5">
        <f>-SUMIFS(CARGA!K:K,CARGA!B:B,tabla!A367,CARGA!D:D,tabla!C367,CARGA!C:C,MAESTRO!$B$4)+SUMIFS(CARGA!K:K,CARGA!B:B,tabla!A367,CARGA!D:D,tabla!C367,CARGA!C:C,MAESTRO!$B$5)</f>
        <v>0</v>
      </c>
      <c r="K367" s="5" t="e">
        <f>+VLOOKUP(C367,#REF!,3,FALSE)</f>
        <v>#REF!</v>
      </c>
      <c r="L367" s="5" t="e">
        <f t="shared" si="80"/>
        <v>#REF!</v>
      </c>
      <c r="M367" s="5" t="e">
        <f t="shared" si="81"/>
        <v>#REF!</v>
      </c>
      <c r="N367" s="5" t="str">
        <f t="shared" si="82"/>
        <v>NO</v>
      </c>
      <c r="O367" s="5">
        <f>+VLOOKUP(C367,[2]Fondos!$F:$J,5,FALSE)</f>
        <v>2635564025</v>
      </c>
      <c r="P367" s="13">
        <f>+VLOOKUP(C367,[2]Fondos!$F:$K,6,FALSE)</f>
        <v>0.26226080000000002</v>
      </c>
      <c r="Q367" s="13">
        <f t="shared" si="83"/>
        <v>0</v>
      </c>
      <c r="R367" s="10">
        <f>+IF(Q367&gt;MAESTRO!$G$6,0,1)</f>
        <v>1</v>
      </c>
      <c r="S367">
        <f>+IF(P367&lt;MAESTRO!$G$8,0,1)</f>
        <v>1</v>
      </c>
      <c r="T367" s="10">
        <f t="shared" si="84"/>
        <v>2</v>
      </c>
      <c r="U367" t="str">
        <f>+IF(R367+S367=2,MAESTRO!$G$2,IF(R367+S367=0,MAESTRO!$G$5,IF(R367=0,MAESTRO!$G$3,IF(S367=0,MAESTRO!$G$4,))))</f>
        <v>cumple politica</v>
      </c>
    </row>
    <row r="368" spans="1:21" x14ac:dyDescent="0.3">
      <c r="A368" t="s">
        <v>124</v>
      </c>
      <c r="B368" t="s">
        <v>32</v>
      </c>
      <c r="C368" t="s">
        <v>71</v>
      </c>
      <c r="D368" t="s">
        <v>82</v>
      </c>
      <c r="E368" s="24">
        <f t="shared" si="78"/>
        <v>0</v>
      </c>
      <c r="F368" s="22">
        <f>-SUMIFS(CARGA!I:I,CARGA!B:B,tabla!A368,CARGA!D:D,tabla!C368,CARGA!C:C,MAESTRO!$B$4)-SUMIFS(CARGA!I:I,CARGA!B:B,tabla!A368,CARGA!D:D,tabla!C368,CARGA!C:C,MAESTRO!$B$5)</f>
        <v>0</v>
      </c>
      <c r="G368" s="5">
        <f>+SUMIFS(CARGA!I:I,CARGA!B:B,tabla!A368,CARGA!D:D,tabla!C368)</f>
        <v>0</v>
      </c>
      <c r="H368" s="5">
        <f>+SUMIFS(CARGA!K:K,CARGA!B:B,tabla!A368,CARGA!D:D,tabla!C368)</f>
        <v>0</v>
      </c>
      <c r="I368" s="5">
        <f t="shared" si="79"/>
        <v>0</v>
      </c>
      <c r="J368" s="5">
        <f>-SUMIFS(CARGA!K:K,CARGA!B:B,tabla!A368,CARGA!D:D,tabla!C368,CARGA!C:C,MAESTRO!$B$4)+SUMIFS(CARGA!K:K,CARGA!B:B,tabla!A368,CARGA!D:D,tabla!C368,CARGA!C:C,MAESTRO!$B$5)</f>
        <v>0</v>
      </c>
      <c r="K368" s="5" t="e">
        <f>+VLOOKUP(C368,#REF!,3,FALSE)</f>
        <v>#REF!</v>
      </c>
      <c r="L368" s="5" t="e">
        <f t="shared" si="80"/>
        <v>#REF!</v>
      </c>
      <c r="M368" s="5" t="e">
        <f t="shared" si="81"/>
        <v>#REF!</v>
      </c>
      <c r="N368" s="5" t="str">
        <f t="shared" si="82"/>
        <v>NO</v>
      </c>
      <c r="O368" s="5">
        <f>+VLOOKUP(C368,[2]Fondos!$F:$J,5,FALSE)</f>
        <v>240000000</v>
      </c>
      <c r="P368" s="13">
        <f>+VLOOKUP(C368,[2]Fondos!$F:$K,6,FALSE)</f>
        <v>0.27596609999999999</v>
      </c>
      <c r="Q368" s="13">
        <f t="shared" si="83"/>
        <v>0</v>
      </c>
      <c r="R368" s="10">
        <f>+IF(Q368&gt;MAESTRO!$G$6,0,1)</f>
        <v>1</v>
      </c>
      <c r="S368">
        <f>+IF(P368&lt;MAESTRO!$G$8,0,1)</f>
        <v>1</v>
      </c>
      <c r="T368" s="10">
        <f t="shared" si="84"/>
        <v>2</v>
      </c>
      <c r="U368" t="str">
        <f>+IF(R368+S368=2,MAESTRO!$G$2,IF(R368+S368=0,MAESTRO!$G$5,IF(R368=0,MAESTRO!$G$3,IF(S368=0,MAESTRO!$G$4,))))</f>
        <v>cumple politica</v>
      </c>
    </row>
    <row r="369" spans="1:21" x14ac:dyDescent="0.3">
      <c r="A369" t="s">
        <v>124</v>
      </c>
      <c r="B369" t="s">
        <v>32</v>
      </c>
      <c r="C369" t="s">
        <v>51</v>
      </c>
      <c r="D369" t="s">
        <v>81</v>
      </c>
      <c r="E369" s="24">
        <f t="shared" si="78"/>
        <v>0</v>
      </c>
      <c r="F369" s="22">
        <f>-SUMIFS(CARGA!I:I,CARGA!B:B,tabla!A369,CARGA!D:D,tabla!C369,CARGA!C:C,MAESTRO!$B$4)-SUMIFS(CARGA!I:I,CARGA!B:B,tabla!A369,CARGA!D:D,tabla!C369,CARGA!C:C,MAESTRO!$B$5)</f>
        <v>0</v>
      </c>
      <c r="G369" s="5">
        <f>+SUMIFS(CARGA!I:I,CARGA!B:B,tabla!A369,CARGA!D:D,tabla!C369)</f>
        <v>0</v>
      </c>
      <c r="H369" s="5">
        <f>+SUMIFS(CARGA!K:K,CARGA!B:B,tabla!A369,CARGA!D:D,tabla!C369)</f>
        <v>0</v>
      </c>
      <c r="I369" s="5">
        <f t="shared" si="79"/>
        <v>0</v>
      </c>
      <c r="J369" s="5">
        <f>-SUMIFS(CARGA!K:K,CARGA!B:B,tabla!A369,CARGA!D:D,tabla!C369,CARGA!C:C,MAESTRO!$B$4)+SUMIFS(CARGA!K:K,CARGA!B:B,tabla!A369,CARGA!D:D,tabla!C369,CARGA!C:C,MAESTRO!$B$5)</f>
        <v>0</v>
      </c>
      <c r="K369" s="5" t="e">
        <f>+VLOOKUP(C369,#REF!,3,FALSE)</f>
        <v>#REF!</v>
      </c>
      <c r="L369" s="5" t="e">
        <f t="shared" si="80"/>
        <v>#REF!</v>
      </c>
      <c r="M369" s="5" t="e">
        <f t="shared" si="81"/>
        <v>#REF!</v>
      </c>
      <c r="N369" s="5" t="str">
        <f t="shared" si="82"/>
        <v>NO</v>
      </c>
      <c r="O369" s="5">
        <f>+VLOOKUP(C369,[2]Fondos!$F:$J,5,FALSE)</f>
        <v>360000000</v>
      </c>
      <c r="P369" s="13">
        <f>+VLOOKUP(C369,[2]Fondos!$F:$K,6,FALSE)</f>
        <v>0.19705159999999999</v>
      </c>
      <c r="Q369" s="13">
        <f t="shared" si="83"/>
        <v>0</v>
      </c>
      <c r="R369" s="10">
        <f>+IF(Q369&gt;MAESTRO!$G$6,0,1)</f>
        <v>1</v>
      </c>
      <c r="S369">
        <f>+IF(P369&lt;MAESTRO!$G$8,0,1)</f>
        <v>1</v>
      </c>
      <c r="T369" s="10">
        <f t="shared" si="84"/>
        <v>2</v>
      </c>
      <c r="U369" t="str">
        <f>+IF(R369+S369=2,MAESTRO!$G$2,IF(R369+S369=0,MAESTRO!$G$5,IF(R369=0,MAESTRO!$G$3,IF(S369=0,MAESTRO!$G$4,))))</f>
        <v>cumple politica</v>
      </c>
    </row>
    <row r="370" spans="1:21" x14ac:dyDescent="0.3">
      <c r="A370" t="s">
        <v>124</v>
      </c>
      <c r="B370" t="s">
        <v>35</v>
      </c>
      <c r="C370" t="s">
        <v>55</v>
      </c>
      <c r="D370" t="s">
        <v>82</v>
      </c>
      <c r="E370" s="24">
        <f t="shared" si="78"/>
        <v>0</v>
      </c>
      <c r="F370" s="22">
        <f>-SUMIFS(CARGA!I:I,CARGA!B:B,tabla!A370,CARGA!D:D,tabla!C370,CARGA!C:C,MAESTRO!$B$4)-SUMIFS(CARGA!I:I,CARGA!B:B,tabla!A370,CARGA!D:D,tabla!C370,CARGA!C:C,MAESTRO!$B$5)</f>
        <v>0</v>
      </c>
      <c r="G370" s="5">
        <f>+SUMIFS(CARGA!I:I,CARGA!B:B,tabla!A370,CARGA!D:D,tabla!C370)</f>
        <v>0</v>
      </c>
      <c r="H370" s="5">
        <f>+SUMIFS(CARGA!K:K,CARGA!B:B,tabla!A370,CARGA!D:D,tabla!C370)</f>
        <v>0</v>
      </c>
      <c r="I370" s="5">
        <f t="shared" si="79"/>
        <v>0</v>
      </c>
      <c r="J370" s="5">
        <f>-SUMIFS(CARGA!K:K,CARGA!B:B,tabla!A370,CARGA!D:D,tabla!C370,CARGA!C:C,MAESTRO!$B$4)+SUMIFS(CARGA!K:K,CARGA!B:B,tabla!A370,CARGA!D:D,tabla!C370,CARGA!C:C,MAESTRO!$B$5)</f>
        <v>0</v>
      </c>
      <c r="K370" s="5" t="e">
        <f>+VLOOKUP(C370,#REF!,3,FALSE)</f>
        <v>#REF!</v>
      </c>
      <c r="L370" s="5" t="e">
        <f t="shared" si="80"/>
        <v>#REF!</v>
      </c>
      <c r="M370" s="5" t="e">
        <f t="shared" si="81"/>
        <v>#REF!</v>
      </c>
      <c r="N370" s="5" t="str">
        <f t="shared" si="82"/>
        <v>NO</v>
      </c>
      <c r="O370" s="5">
        <f>+VLOOKUP(C370,[2]Fondos!$F:$J,5,FALSE)</f>
        <v>601998365.54999995</v>
      </c>
      <c r="P370" s="13">
        <f>+VLOOKUP(C370,[2]Fondos!$F:$K,6,FALSE)</f>
        <v>0.27414070000000001</v>
      </c>
      <c r="Q370" s="13">
        <f t="shared" si="83"/>
        <v>0</v>
      </c>
      <c r="R370" s="10">
        <f>+IF(Q370&gt;MAESTRO!$G$6,0,1)</f>
        <v>1</v>
      </c>
      <c r="S370">
        <f>+IF(P370&lt;MAESTRO!$G$8,0,1)</f>
        <v>1</v>
      </c>
      <c r="T370" s="10">
        <f t="shared" si="84"/>
        <v>2</v>
      </c>
      <c r="U370" t="str">
        <f>+IF(R370+S370=2,MAESTRO!$G$2,IF(R370+S370=0,MAESTRO!$G$5,IF(R370=0,MAESTRO!$G$3,IF(S370=0,MAESTRO!$G$4,))))</f>
        <v>cumple politica</v>
      </c>
    </row>
    <row r="371" spans="1:21" x14ac:dyDescent="0.3">
      <c r="A371" t="s">
        <v>124</v>
      </c>
      <c r="B371" t="s">
        <v>23</v>
      </c>
      <c r="C371" t="s">
        <v>43</v>
      </c>
      <c r="D371" t="s">
        <v>81</v>
      </c>
      <c r="E371" s="24">
        <f t="shared" ref="E371:E377" si="85">+F371+G371</f>
        <v>0</v>
      </c>
      <c r="F371" s="22">
        <f>-SUMIFS(CARGA!I:I,CARGA!B:B,tabla!A371,CARGA!D:D,tabla!C371,CARGA!C:C,MAESTRO!$B$4)-SUMIFS(CARGA!I:I,CARGA!B:B,tabla!A371,CARGA!D:D,tabla!C371,CARGA!C:C,MAESTRO!$B$5)</f>
        <v>0</v>
      </c>
      <c r="G371" s="5">
        <f>+SUMIFS(CARGA!I:I,CARGA!B:B,tabla!A371,CARGA!D:D,tabla!C371)</f>
        <v>0</v>
      </c>
      <c r="H371" s="5">
        <f>+SUMIFS(CARGA!K:K,CARGA!B:B,tabla!A371,CARGA!D:D,tabla!C371)</f>
        <v>0</v>
      </c>
      <c r="I371" s="5">
        <f t="shared" ref="I371:I377" si="86">+H371+J371</f>
        <v>0</v>
      </c>
      <c r="J371" s="5">
        <f>-SUMIFS(CARGA!K:K,CARGA!B:B,tabla!A371,CARGA!D:D,tabla!C371,CARGA!C:C,MAESTRO!$B$4)+SUMIFS(CARGA!K:K,CARGA!B:B,tabla!A371,CARGA!D:D,tabla!C371,CARGA!C:C,MAESTRO!$B$5)</f>
        <v>0</v>
      </c>
      <c r="K371" s="5" t="e">
        <f>+VLOOKUP(C371,#REF!,3,FALSE)</f>
        <v>#REF!</v>
      </c>
      <c r="L371" s="5" t="e">
        <f t="shared" ref="L371:L377" si="87">+K371*I371</f>
        <v>#REF!</v>
      </c>
      <c r="M371" s="5" t="e">
        <f t="shared" ref="M371:M377" si="88">+K371*J371</f>
        <v>#REF!</v>
      </c>
      <c r="N371" s="5" t="str">
        <f t="shared" ref="N371:N377" si="89">+IF(G371+F371=0,"NO","SI")</f>
        <v>NO</v>
      </c>
      <c r="O371" s="5">
        <f>+VLOOKUP(C371,[2]Fondos!$F:$J,5,FALSE)</f>
        <v>3553303148</v>
      </c>
      <c r="P371" s="13">
        <f>+VLOOKUP(C371,[2]Fondos!$F:$K,6,FALSE)</f>
        <v>0.2092009</v>
      </c>
      <c r="Q371" s="13">
        <f t="shared" ref="Q371:Q377" si="90">+G371/O371</f>
        <v>0</v>
      </c>
      <c r="R371" s="10">
        <f>+IF(Q371&gt;MAESTRO!$G$6,0,1)</f>
        <v>1</v>
      </c>
      <c r="S371">
        <f>+IF(P371&lt;MAESTRO!$G$8,0,1)</f>
        <v>1</v>
      </c>
      <c r="T371" s="10">
        <f t="shared" ref="T371:T377" si="91">+R371+S371</f>
        <v>2</v>
      </c>
      <c r="U371" t="str">
        <f>+IF(R371+S371=2,MAESTRO!$G$2,IF(R371+S371=0,MAESTRO!$G$5,IF(R371=0,MAESTRO!$G$3,IF(S371=0,MAESTRO!$G$4,))))</f>
        <v>cumple politica</v>
      </c>
    </row>
    <row r="372" spans="1:21" x14ac:dyDescent="0.3">
      <c r="A372" t="s">
        <v>124</v>
      </c>
      <c r="B372" t="s">
        <v>23</v>
      </c>
      <c r="C372" t="s">
        <v>38</v>
      </c>
      <c r="D372" t="s">
        <v>81</v>
      </c>
      <c r="E372" s="24">
        <f t="shared" si="85"/>
        <v>0</v>
      </c>
      <c r="F372" s="22">
        <f>-SUMIFS(CARGA!I:I,CARGA!B:B,tabla!A372,CARGA!D:D,tabla!C372,CARGA!C:C,MAESTRO!$B$4)-SUMIFS(CARGA!I:I,CARGA!B:B,tabla!A372,CARGA!D:D,tabla!C372,CARGA!C:C,MAESTRO!$B$5)</f>
        <v>0</v>
      </c>
      <c r="G372" s="5">
        <f>+SUMIFS(CARGA!I:I,CARGA!B:B,tabla!A372,CARGA!D:D,tabla!C372)</f>
        <v>0</v>
      </c>
      <c r="H372" s="5">
        <f>+SUMIFS(CARGA!K:K,CARGA!B:B,tabla!A372,CARGA!D:D,tabla!C372)</f>
        <v>0</v>
      </c>
      <c r="I372" s="5">
        <f t="shared" si="86"/>
        <v>0</v>
      </c>
      <c r="J372" s="5">
        <f>-SUMIFS(CARGA!K:K,CARGA!B:B,tabla!A372,CARGA!D:D,tabla!C372,CARGA!C:C,MAESTRO!$B$4)+SUMIFS(CARGA!K:K,CARGA!B:B,tabla!A372,CARGA!D:D,tabla!C372,CARGA!C:C,MAESTRO!$B$5)</f>
        <v>0</v>
      </c>
      <c r="K372" s="5" t="e">
        <f>+VLOOKUP(C372,#REF!,3,FALSE)</f>
        <v>#REF!</v>
      </c>
      <c r="L372" s="5" t="e">
        <f t="shared" si="87"/>
        <v>#REF!</v>
      </c>
      <c r="M372" s="5" t="e">
        <f t="shared" si="88"/>
        <v>#REF!</v>
      </c>
      <c r="N372" s="5" t="str">
        <f t="shared" si="89"/>
        <v>NO</v>
      </c>
      <c r="O372" s="5">
        <f>+VLOOKUP(C372,[2]Fondos!$F:$J,5,FALSE)</f>
        <v>4553606100</v>
      </c>
      <c r="P372" s="13">
        <f>+VLOOKUP(C372,[2]Fondos!$F:$K,6,FALSE)</f>
        <v>0.23939009999999999</v>
      </c>
      <c r="Q372" s="13">
        <f t="shared" si="90"/>
        <v>0</v>
      </c>
      <c r="R372" s="10">
        <f>+IF(Q372&gt;MAESTRO!$G$6,0,1)</f>
        <v>1</v>
      </c>
      <c r="S372">
        <f>+IF(P372&lt;MAESTRO!$G$8,0,1)</f>
        <v>1</v>
      </c>
      <c r="T372" s="10">
        <f t="shared" si="91"/>
        <v>2</v>
      </c>
      <c r="U372" t="str">
        <f>+IF(R372+S372=2,MAESTRO!$G$2,IF(R372+S372=0,MAESTRO!$G$5,IF(R372=0,MAESTRO!$G$3,IF(S372=0,MAESTRO!$G$4,))))</f>
        <v>cumple politica</v>
      </c>
    </row>
    <row r="373" spans="1:21" x14ac:dyDescent="0.3">
      <c r="A373" t="s">
        <v>124</v>
      </c>
      <c r="B373" t="s">
        <v>23</v>
      </c>
      <c r="C373" t="s">
        <v>57</v>
      </c>
      <c r="D373" t="s">
        <v>82</v>
      </c>
      <c r="E373" s="24">
        <f t="shared" si="85"/>
        <v>0</v>
      </c>
      <c r="F373" s="22">
        <f>-SUMIFS(CARGA!I:I,CARGA!B:B,tabla!A373,CARGA!D:D,tabla!C373,CARGA!C:C,MAESTRO!$B$4)-SUMIFS(CARGA!I:I,CARGA!B:B,tabla!A373,CARGA!D:D,tabla!C373,CARGA!C:C,MAESTRO!$B$5)</f>
        <v>0</v>
      </c>
      <c r="G373" s="5">
        <f>+SUMIFS(CARGA!I:I,CARGA!B:B,tabla!A373,CARGA!D:D,tabla!C373)</f>
        <v>0</v>
      </c>
      <c r="H373" s="5">
        <f>+SUMIFS(CARGA!K:K,CARGA!B:B,tabla!A373,CARGA!D:D,tabla!C373)</f>
        <v>0</v>
      </c>
      <c r="I373" s="5">
        <f t="shared" si="86"/>
        <v>0</v>
      </c>
      <c r="J373" s="5">
        <f>-SUMIFS(CARGA!K:K,CARGA!B:B,tabla!A373,CARGA!D:D,tabla!C373,CARGA!C:C,MAESTRO!$B$4)+SUMIFS(CARGA!K:K,CARGA!B:B,tabla!A373,CARGA!D:D,tabla!C373,CARGA!C:C,MAESTRO!$B$5)</f>
        <v>0</v>
      </c>
      <c r="K373" s="5" t="e">
        <f>+VLOOKUP(C373,#REF!,3,FALSE)</f>
        <v>#REF!</v>
      </c>
      <c r="L373" s="5" t="e">
        <f t="shared" si="87"/>
        <v>#REF!</v>
      </c>
      <c r="M373" s="5" t="e">
        <f t="shared" si="88"/>
        <v>#REF!</v>
      </c>
      <c r="N373" s="5" t="str">
        <f t="shared" si="89"/>
        <v>NO</v>
      </c>
      <c r="O373" s="5">
        <f>+VLOOKUP(C373,[2]Fondos!$F:$J,5,FALSE)</f>
        <v>35515968834</v>
      </c>
      <c r="P373" s="13">
        <f>+VLOOKUP(C373,[2]Fondos!$F:$K,6,FALSE)</f>
        <v>0.26896760000000003</v>
      </c>
      <c r="Q373" s="13">
        <f t="shared" si="90"/>
        <v>0</v>
      </c>
      <c r="R373" s="10">
        <f>+IF(Q373&gt;MAESTRO!$G$6,0,1)</f>
        <v>1</v>
      </c>
      <c r="S373">
        <f>+IF(P373&lt;MAESTRO!$G$8,0,1)</f>
        <v>1</v>
      </c>
      <c r="T373" s="10">
        <f t="shared" si="91"/>
        <v>2</v>
      </c>
      <c r="U373" t="str">
        <f>+IF(R373+S373=2,MAESTRO!$G$2,IF(R373+S373=0,MAESTRO!$G$5,IF(R373=0,MAESTRO!$G$3,IF(S373=0,MAESTRO!$G$4,))))</f>
        <v>cumple politica</v>
      </c>
    </row>
    <row r="374" spans="1:21" x14ac:dyDescent="0.3">
      <c r="A374" t="s">
        <v>124</v>
      </c>
      <c r="B374" t="s">
        <v>140</v>
      </c>
      <c r="C374" t="s">
        <v>138</v>
      </c>
      <c r="D374" t="s">
        <v>82</v>
      </c>
      <c r="E374" s="24">
        <f t="shared" si="85"/>
        <v>0</v>
      </c>
      <c r="F374" s="22">
        <f>-SUMIFS(CARGA!I:I,CARGA!B:B,tabla!A374,CARGA!D:D,tabla!C374,CARGA!C:C,MAESTRO!$B$4)-SUMIFS(CARGA!I:I,CARGA!B:B,tabla!A374,CARGA!D:D,tabla!C374,CARGA!C:C,MAESTRO!$B$5)</f>
        <v>0</v>
      </c>
      <c r="G374" s="5">
        <f>+SUMIFS(CARGA!I:I,CARGA!B:B,tabla!A374,CARGA!D:D,tabla!C374)</f>
        <v>0</v>
      </c>
      <c r="H374" s="5">
        <f>+SUMIFS(CARGA!K:K,CARGA!B:B,tabla!A374,CARGA!D:D,tabla!C374)</f>
        <v>0</v>
      </c>
      <c r="I374" s="5">
        <f t="shared" si="86"/>
        <v>0</v>
      </c>
      <c r="J374" s="5">
        <f>-SUMIFS(CARGA!K:K,CARGA!B:B,tabla!A374,CARGA!D:D,tabla!C374,CARGA!C:C,MAESTRO!$B$4)+SUMIFS(CARGA!K:K,CARGA!B:B,tabla!A374,CARGA!D:D,tabla!C374,CARGA!C:C,MAESTRO!$B$5)</f>
        <v>0</v>
      </c>
      <c r="K374" s="5" t="e">
        <f>+VLOOKUP(C374,#REF!,3,FALSE)</f>
        <v>#REF!</v>
      </c>
      <c r="L374" s="5" t="e">
        <f t="shared" si="87"/>
        <v>#REF!</v>
      </c>
      <c r="M374" s="5" t="e">
        <f t="shared" si="88"/>
        <v>#REF!</v>
      </c>
      <c r="N374" s="5" t="str">
        <f t="shared" si="89"/>
        <v>NO</v>
      </c>
      <c r="O374" s="5" t="e">
        <f>+VLOOKUP(C374,[2]Fondos!$F:$J,5,FALSE)</f>
        <v>#N/A</v>
      </c>
      <c r="P374" s="13" t="e">
        <f>+VLOOKUP(C374,[2]Fondos!$F:$K,6,FALSE)</f>
        <v>#N/A</v>
      </c>
      <c r="Q374" s="13" t="e">
        <f t="shared" si="90"/>
        <v>#N/A</v>
      </c>
      <c r="R374" s="10" t="e">
        <f>+IF(Q374&gt;MAESTRO!$G$6,0,1)</f>
        <v>#N/A</v>
      </c>
      <c r="S374" t="e">
        <f>+IF(P374&lt;MAESTRO!$G$8,0,1)</f>
        <v>#N/A</v>
      </c>
      <c r="T374" s="10" t="e">
        <f t="shared" si="91"/>
        <v>#N/A</v>
      </c>
      <c r="U374" t="e">
        <f>+IF(R374+S374=2,MAESTRO!$G$2,IF(R374+S374=0,MAESTRO!$G$5,IF(R374=0,MAESTRO!$G$3,IF(S374=0,MAESTRO!$G$4,))))</f>
        <v>#N/A</v>
      </c>
    </row>
    <row r="375" spans="1:21" x14ac:dyDescent="0.3">
      <c r="A375" t="s">
        <v>124</v>
      </c>
      <c r="B375" t="s">
        <v>140</v>
      </c>
      <c r="C375" t="s">
        <v>139</v>
      </c>
      <c r="D375" t="s">
        <v>81</v>
      </c>
      <c r="E375" s="24">
        <f t="shared" si="85"/>
        <v>0</v>
      </c>
      <c r="F375" s="22">
        <f>-SUMIFS(CARGA!I:I,CARGA!B:B,tabla!A375,CARGA!D:D,tabla!C375,CARGA!C:C,MAESTRO!$B$4)-SUMIFS(CARGA!I:I,CARGA!B:B,tabla!A375,CARGA!D:D,tabla!C375,CARGA!C:C,MAESTRO!$B$5)</f>
        <v>0</v>
      </c>
      <c r="G375" s="5">
        <f>+SUMIFS(CARGA!I:I,CARGA!B:B,tabla!A375,CARGA!D:D,tabla!C375)</f>
        <v>0</v>
      </c>
      <c r="H375" s="5">
        <f>+SUMIFS(CARGA!K:K,CARGA!B:B,tabla!A375,CARGA!D:D,tabla!C375)</f>
        <v>0</v>
      </c>
      <c r="I375" s="5">
        <f t="shared" si="86"/>
        <v>0</v>
      </c>
      <c r="J375" s="5">
        <f>-SUMIFS(CARGA!K:K,CARGA!B:B,tabla!A375,CARGA!D:D,tabla!C375,CARGA!C:C,MAESTRO!$B$4)+SUMIFS(CARGA!K:K,CARGA!B:B,tabla!A375,CARGA!D:D,tabla!C375,CARGA!C:C,MAESTRO!$B$5)</f>
        <v>0</v>
      </c>
      <c r="K375" s="5" t="e">
        <f>+VLOOKUP(C375,#REF!,3,FALSE)</f>
        <v>#REF!</v>
      </c>
      <c r="L375" s="5" t="e">
        <f t="shared" si="87"/>
        <v>#REF!</v>
      </c>
      <c r="M375" s="5" t="e">
        <f t="shared" si="88"/>
        <v>#REF!</v>
      </c>
      <c r="N375" s="5" t="str">
        <f t="shared" si="89"/>
        <v>NO</v>
      </c>
      <c r="O375" s="5" t="e">
        <f>+VLOOKUP(C375,[2]Fondos!$F:$J,5,FALSE)</f>
        <v>#N/A</v>
      </c>
      <c r="P375" s="13" t="e">
        <f>+VLOOKUP(C375,[2]Fondos!$F:$K,6,FALSE)</f>
        <v>#N/A</v>
      </c>
      <c r="Q375" s="13" t="e">
        <f t="shared" si="90"/>
        <v>#N/A</v>
      </c>
      <c r="R375" s="10" t="e">
        <f>+IF(Q375&gt;MAESTRO!$G$6,0,1)</f>
        <v>#N/A</v>
      </c>
      <c r="S375" t="e">
        <f>+IF(P375&lt;MAESTRO!$G$8,0,1)</f>
        <v>#N/A</v>
      </c>
      <c r="T375" s="10" t="e">
        <f t="shared" si="91"/>
        <v>#N/A</v>
      </c>
      <c r="U375" t="e">
        <f>+IF(R375+S375=2,MAESTRO!$G$2,IF(R375+S375=0,MAESTRO!$G$5,IF(R375=0,MAESTRO!$G$3,IF(S375=0,MAESTRO!$G$4,))))</f>
        <v>#N/A</v>
      </c>
    </row>
    <row r="376" spans="1:21" x14ac:dyDescent="0.3">
      <c r="A376" t="s">
        <v>124</v>
      </c>
      <c r="B376" t="s">
        <v>134</v>
      </c>
      <c r="C376" t="s">
        <v>136</v>
      </c>
      <c r="D376" t="s">
        <v>81</v>
      </c>
      <c r="E376" s="24">
        <f t="shared" si="85"/>
        <v>0</v>
      </c>
      <c r="F376" s="22">
        <f>-SUMIFS(CARGA!I:I,CARGA!B:B,tabla!A376,CARGA!D:D,tabla!C376,CARGA!C:C,MAESTRO!$B$4)-SUMIFS(CARGA!I:I,CARGA!B:B,tabla!A376,CARGA!D:D,tabla!C376,CARGA!C:C,MAESTRO!$B$5)</f>
        <v>0</v>
      </c>
      <c r="G376" s="5">
        <f>+SUMIFS(CARGA!I:I,CARGA!B:B,tabla!A376,CARGA!D:D,tabla!C376)</f>
        <v>0</v>
      </c>
      <c r="H376" s="5">
        <f>+SUMIFS(CARGA!K:K,CARGA!B:B,tabla!A376,CARGA!D:D,tabla!C376)</f>
        <v>0</v>
      </c>
      <c r="I376" s="5">
        <f t="shared" si="86"/>
        <v>0</v>
      </c>
      <c r="J376" s="5">
        <f>-SUMIFS(CARGA!K:K,CARGA!B:B,tabla!A376,CARGA!D:D,tabla!C376,CARGA!C:C,MAESTRO!$B$4)+SUMIFS(CARGA!K:K,CARGA!B:B,tabla!A376,CARGA!D:D,tabla!C376,CARGA!C:C,MAESTRO!$B$5)</f>
        <v>0</v>
      </c>
      <c r="K376" s="5" t="e">
        <f>+VLOOKUP(C376,#REF!,3,FALSE)</f>
        <v>#REF!</v>
      </c>
      <c r="L376" s="5" t="e">
        <f t="shared" si="87"/>
        <v>#REF!</v>
      </c>
      <c r="M376" s="5" t="e">
        <f t="shared" si="88"/>
        <v>#REF!</v>
      </c>
      <c r="N376" s="5" t="str">
        <f t="shared" si="89"/>
        <v>NO</v>
      </c>
      <c r="O376" s="5" t="e">
        <f>+VLOOKUP(C376,[2]Fondos!$F:$J,5,FALSE)</f>
        <v>#N/A</v>
      </c>
      <c r="P376" s="13" t="e">
        <f>+VLOOKUP(C376,[2]Fondos!$F:$K,6,FALSE)</f>
        <v>#N/A</v>
      </c>
      <c r="Q376" s="13" t="e">
        <f t="shared" si="90"/>
        <v>#N/A</v>
      </c>
      <c r="R376" s="10" t="e">
        <f>+IF(Q376&gt;MAESTRO!$G$6,0,1)</f>
        <v>#N/A</v>
      </c>
      <c r="S376" t="e">
        <f>+IF(P376&lt;MAESTRO!$G$8,0,1)</f>
        <v>#N/A</v>
      </c>
      <c r="T376" s="10" t="e">
        <f t="shared" si="91"/>
        <v>#N/A</v>
      </c>
      <c r="U376" t="e">
        <f>+IF(R376+S376=2,MAESTRO!$G$2,IF(R376+S376=0,MAESTRO!$G$5,IF(R376=0,MAESTRO!$G$3,IF(S376=0,MAESTRO!$G$4,))))</f>
        <v>#N/A</v>
      </c>
    </row>
    <row r="377" spans="1:21" x14ac:dyDescent="0.3">
      <c r="A377" t="s">
        <v>124</v>
      </c>
      <c r="B377" t="s">
        <v>134</v>
      </c>
      <c r="C377" t="s">
        <v>135</v>
      </c>
      <c r="D377" t="s">
        <v>82</v>
      </c>
      <c r="E377" s="24">
        <f t="shared" si="85"/>
        <v>0</v>
      </c>
      <c r="F377" s="22">
        <f>-SUMIFS(CARGA!I:I,CARGA!B:B,tabla!A377,CARGA!D:D,tabla!C377,CARGA!C:C,MAESTRO!$B$4)-SUMIFS(CARGA!I:I,CARGA!B:B,tabla!A377,CARGA!D:D,tabla!C377,CARGA!C:C,MAESTRO!$B$5)</f>
        <v>0</v>
      </c>
      <c r="G377" s="5">
        <f>+SUMIFS(CARGA!I:I,CARGA!B:B,tabla!A377,CARGA!D:D,tabla!C377)</f>
        <v>0</v>
      </c>
      <c r="H377" s="5">
        <f>+SUMIFS(CARGA!K:K,CARGA!B:B,tabla!A377,CARGA!D:D,tabla!C377)</f>
        <v>0</v>
      </c>
      <c r="I377" s="5">
        <f t="shared" si="86"/>
        <v>0</v>
      </c>
      <c r="J377" s="5">
        <f>-SUMIFS(CARGA!K:K,CARGA!B:B,tabla!A377,CARGA!D:D,tabla!C377,CARGA!C:C,MAESTRO!$B$4)+SUMIFS(CARGA!K:K,CARGA!B:B,tabla!A377,CARGA!D:D,tabla!C377,CARGA!C:C,MAESTRO!$B$5)</f>
        <v>0</v>
      </c>
      <c r="K377" s="5" t="e">
        <f>+VLOOKUP(C377,#REF!,3,FALSE)</f>
        <v>#REF!</v>
      </c>
      <c r="L377" s="5" t="e">
        <f t="shared" si="87"/>
        <v>#REF!</v>
      </c>
      <c r="M377" s="5" t="e">
        <f t="shared" si="88"/>
        <v>#REF!</v>
      </c>
      <c r="N377" s="5" t="str">
        <f t="shared" si="89"/>
        <v>NO</v>
      </c>
      <c r="O377" s="5" t="e">
        <f>+VLOOKUP(C377,[2]Fondos!$F:$J,5,FALSE)</f>
        <v>#N/A</v>
      </c>
      <c r="P377" s="13" t="e">
        <f>+VLOOKUP(C377,[2]Fondos!$F:$K,6,FALSE)</f>
        <v>#N/A</v>
      </c>
      <c r="Q377" s="13" t="e">
        <f t="shared" si="90"/>
        <v>#N/A</v>
      </c>
      <c r="R377" s="10" t="e">
        <f>+IF(Q377&gt;MAESTRO!$G$6,0,1)</f>
        <v>#N/A</v>
      </c>
      <c r="S377" t="e">
        <f>+IF(P377&lt;MAESTRO!$G$8,0,1)</f>
        <v>#N/A</v>
      </c>
      <c r="T377" s="10" t="e">
        <f t="shared" si="91"/>
        <v>#N/A</v>
      </c>
      <c r="U377" t="e">
        <f>+IF(R377+S377=2,MAESTRO!$G$2,IF(R377+S377=0,MAESTRO!$G$5,IF(R377=0,MAESTRO!$G$3,IF(S377=0,MAESTRO!$G$4,))))</f>
        <v>#N/A</v>
      </c>
    </row>
    <row r="379" spans="1:21" x14ac:dyDescent="0.3">
      <c r="A379" t="s">
        <v>125</v>
      </c>
      <c r="B379" t="s">
        <v>31</v>
      </c>
      <c r="C379" s="7" t="s">
        <v>50</v>
      </c>
      <c r="D379" t="s">
        <v>81</v>
      </c>
      <c r="E379" s="24">
        <f t="shared" ref="E379:E423" si="92">+F379+G379</f>
        <v>0</v>
      </c>
      <c r="F379" s="22">
        <f>-SUMIFS(CARGA!I:I,CARGA!B:B,tabla!A379,CARGA!D:D,tabla!C379,CARGA!C:C,MAESTRO!$B$4)-SUMIFS(CARGA!I:I,CARGA!B:B,tabla!A379,CARGA!D:D,tabla!C379,CARGA!C:C,MAESTRO!$B$5)</f>
        <v>0</v>
      </c>
      <c r="G379" s="5">
        <f>+SUMIFS(CARGA!I:I,CARGA!B:B,tabla!A379,CARGA!D:D,tabla!C379)</f>
        <v>0</v>
      </c>
      <c r="H379" s="5">
        <f>+SUMIFS(CARGA!K:K,CARGA!B:B,tabla!A379,CARGA!D:D,tabla!C379)</f>
        <v>0</v>
      </c>
      <c r="I379" s="5">
        <f t="shared" ref="I379:I423" si="93">+H379+J379</f>
        <v>0</v>
      </c>
      <c r="J379" s="5">
        <f>-SUMIFS(CARGA!K:K,CARGA!B:B,tabla!A379,CARGA!D:D,tabla!C379,CARGA!C:C,MAESTRO!$B$4)+SUMIFS(CARGA!K:K,CARGA!B:B,tabla!A379,CARGA!D:D,tabla!C379,CARGA!C:C,MAESTRO!$B$5)</f>
        <v>0</v>
      </c>
      <c r="K379" s="5" t="e">
        <f>+VLOOKUP(C379,#REF!,3,FALSE)</f>
        <v>#REF!</v>
      </c>
      <c r="L379" s="5" t="e">
        <f t="shared" ref="L379:L423" si="94">+K379*I379</f>
        <v>#REF!</v>
      </c>
      <c r="M379" s="5" t="e">
        <f t="shared" ref="M379:M423" si="95">+K379*J379</f>
        <v>#REF!</v>
      </c>
      <c r="N379" s="5" t="str">
        <f t="shared" ref="N379:N423" si="96">+IF(G379+F379=0,"NO","SI")</f>
        <v>NO</v>
      </c>
      <c r="O379" s="5">
        <f>+VLOOKUP(C379,[2]Fondos!$F:$J,5,FALSE)</f>
        <v>1817778903</v>
      </c>
      <c r="P379" s="13">
        <f>+VLOOKUP(C379,[2]Fondos!$F:$K,6,FALSE)</f>
        <v>0.23246230000000001</v>
      </c>
      <c r="Q379" s="13">
        <f t="shared" ref="Q379:Q423" si="97">+G379/O379</f>
        <v>0</v>
      </c>
      <c r="R379" s="10">
        <f>+IF(Q379&gt;MAESTRO!$G$6,0,1)</f>
        <v>1</v>
      </c>
      <c r="S379">
        <f>+IF(P379&lt;MAESTRO!$G$8,0,1)</f>
        <v>1</v>
      </c>
      <c r="T379" s="10">
        <f>+R379+S379</f>
        <v>2</v>
      </c>
      <c r="U379" t="str">
        <f>+IF(R379+S379=2,MAESTRO!$G$2,IF(R379+S379=0,MAESTRO!$G$5,IF(R379=0,MAESTRO!$G$3,IF(S379=0,MAESTRO!$G$4,))))</f>
        <v>cumple politica</v>
      </c>
    </row>
    <row r="380" spans="1:21" x14ac:dyDescent="0.3">
      <c r="A380" t="s">
        <v>125</v>
      </c>
      <c r="B380" t="s">
        <v>31</v>
      </c>
      <c r="C380" s="7" t="s">
        <v>70</v>
      </c>
      <c r="D380" t="s">
        <v>82</v>
      </c>
      <c r="E380" s="24">
        <f t="shared" si="92"/>
        <v>0</v>
      </c>
      <c r="F380" s="22">
        <f>-SUMIFS(CARGA!I:I,CARGA!B:B,tabla!A380,CARGA!D:D,tabla!C380,CARGA!C:C,MAESTRO!$B$4)-SUMIFS(CARGA!I:I,CARGA!B:B,tabla!A380,CARGA!D:D,tabla!C380,CARGA!C:C,MAESTRO!$B$5)</f>
        <v>0</v>
      </c>
      <c r="G380" s="5">
        <f>+SUMIFS(CARGA!I:I,CARGA!B:B,tabla!A380,CARGA!D:D,tabla!C380)</f>
        <v>0</v>
      </c>
      <c r="H380" s="5">
        <f>+SUMIFS(CARGA!K:K,CARGA!B:B,tabla!A380,CARGA!D:D,tabla!C380)</f>
        <v>0</v>
      </c>
      <c r="I380" s="5">
        <f t="shared" si="93"/>
        <v>0</v>
      </c>
      <c r="J380" s="5">
        <f>-SUMIFS(CARGA!K:K,CARGA!B:B,tabla!A380,CARGA!D:D,tabla!C380,CARGA!C:C,MAESTRO!$B$4)+SUMIFS(CARGA!K:K,CARGA!B:B,tabla!A380,CARGA!D:D,tabla!C380,CARGA!C:C,MAESTRO!$B$5)</f>
        <v>0</v>
      </c>
      <c r="K380" s="5" t="e">
        <f>+VLOOKUP(C380,#REF!,3,FALSE)</f>
        <v>#REF!</v>
      </c>
      <c r="L380" s="5" t="e">
        <f t="shared" si="94"/>
        <v>#REF!</v>
      </c>
      <c r="M380" s="5" t="e">
        <f t="shared" si="95"/>
        <v>#REF!</v>
      </c>
      <c r="N380" s="5" t="str">
        <f t="shared" si="96"/>
        <v>NO</v>
      </c>
      <c r="O380" s="5">
        <f>+VLOOKUP(C380,[2]Fondos!$F:$J,5,FALSE)</f>
        <v>6506463370</v>
      </c>
      <c r="P380" s="13" t="e">
        <f>+VLOOKUP(C380,[2]Fondos!$F:$K,6,FALSE)</f>
        <v>#VALUE!</v>
      </c>
      <c r="Q380" s="13">
        <f t="shared" si="97"/>
        <v>0</v>
      </c>
      <c r="R380" s="10">
        <f>+IF(Q380&gt;MAESTRO!$G$6,0,1)</f>
        <v>1</v>
      </c>
      <c r="S380" t="e">
        <f>+IF(P380&lt;MAESTRO!$G$8,0,1)</f>
        <v>#VALUE!</v>
      </c>
      <c r="T380" s="10" t="e">
        <f t="shared" ref="T380:T423" si="98">+R380+S380</f>
        <v>#VALUE!</v>
      </c>
      <c r="U380" t="e">
        <f>+IF(R380+S380=2,MAESTRO!$G$2,IF(R380+S380=0,MAESTRO!$G$5,IF(R380=0,MAESTRO!$G$3,IF(S380=0,MAESTRO!$G$4,))))</f>
        <v>#VALUE!</v>
      </c>
    </row>
    <row r="381" spans="1:21" x14ac:dyDescent="0.3">
      <c r="A381" t="s">
        <v>125</v>
      </c>
      <c r="B381" t="s">
        <v>31</v>
      </c>
      <c r="C381" s="7" t="s">
        <v>69</v>
      </c>
      <c r="D381" t="s">
        <v>82</v>
      </c>
      <c r="E381" s="24">
        <f t="shared" si="92"/>
        <v>0</v>
      </c>
      <c r="F381" s="22">
        <f>-SUMIFS(CARGA!I:I,CARGA!B:B,tabla!A381,CARGA!D:D,tabla!C381,CARGA!C:C,MAESTRO!$B$4)-SUMIFS(CARGA!I:I,CARGA!B:B,tabla!A381,CARGA!D:D,tabla!C381,CARGA!C:C,MAESTRO!$B$5)</f>
        <v>0</v>
      </c>
      <c r="G381" s="5">
        <f>+SUMIFS(CARGA!I:I,CARGA!B:B,tabla!A381,CARGA!D:D,tabla!C381)</f>
        <v>0</v>
      </c>
      <c r="H381" s="5">
        <f>+SUMIFS(CARGA!K:K,CARGA!B:B,tabla!A381,CARGA!D:D,tabla!C381)</f>
        <v>0</v>
      </c>
      <c r="I381" s="5">
        <f t="shared" si="93"/>
        <v>0</v>
      </c>
      <c r="J381" s="5">
        <f>-SUMIFS(CARGA!K:K,CARGA!B:B,tabla!A381,CARGA!D:D,tabla!C381,CARGA!C:C,MAESTRO!$B$4)+SUMIFS(CARGA!K:K,CARGA!B:B,tabla!A381,CARGA!D:D,tabla!C381,CARGA!C:C,MAESTRO!$B$5)</f>
        <v>0</v>
      </c>
      <c r="K381" s="5" t="e">
        <f>+VLOOKUP(C381,#REF!,3,FALSE)</f>
        <v>#REF!</v>
      </c>
      <c r="L381" s="5" t="e">
        <f t="shared" si="94"/>
        <v>#REF!</v>
      </c>
      <c r="M381" s="5" t="e">
        <f t="shared" si="95"/>
        <v>#REF!</v>
      </c>
      <c r="N381" s="5" t="str">
        <f t="shared" si="96"/>
        <v>NO</v>
      </c>
      <c r="O381" s="5">
        <f>+VLOOKUP(C381,[2]Fondos!$F:$J,5,FALSE)</f>
        <v>39848036</v>
      </c>
      <c r="P381" s="13" t="e">
        <f>+VLOOKUP(C381,[2]Fondos!$F:$K,6,FALSE)</f>
        <v>#VALUE!</v>
      </c>
      <c r="Q381" s="13">
        <f t="shared" si="97"/>
        <v>0</v>
      </c>
      <c r="R381" s="10">
        <f>+IF(Q381&gt;MAESTRO!$G$6,0,1)</f>
        <v>1</v>
      </c>
      <c r="S381" t="e">
        <f>+IF(P381&lt;MAESTRO!$G$8,0,1)</f>
        <v>#VALUE!</v>
      </c>
      <c r="T381" s="10" t="e">
        <f t="shared" si="98"/>
        <v>#VALUE!</v>
      </c>
      <c r="U381" t="e">
        <f>+IF(R381+S381=2,MAESTRO!$G$2,IF(R381+S381=0,MAESTRO!$G$5,IF(R381=0,MAESTRO!$G$3,IF(S381=0,MAESTRO!$G$4,))))</f>
        <v>#VALUE!</v>
      </c>
    </row>
    <row r="382" spans="1:21" x14ac:dyDescent="0.3">
      <c r="A382" t="s">
        <v>125</v>
      </c>
      <c r="B382" t="s">
        <v>33</v>
      </c>
      <c r="C382" s="7" t="s">
        <v>52</v>
      </c>
      <c r="D382" t="s">
        <v>81</v>
      </c>
      <c r="E382" s="24">
        <f t="shared" si="92"/>
        <v>0</v>
      </c>
      <c r="F382" s="22">
        <f>-SUMIFS(CARGA!I:I,CARGA!B:B,tabla!A382,CARGA!D:D,tabla!C382,CARGA!C:C,MAESTRO!$B$4)-SUMIFS(CARGA!I:I,CARGA!B:B,tabla!A382,CARGA!D:D,tabla!C382,CARGA!C:C,MAESTRO!$B$5)</f>
        <v>0</v>
      </c>
      <c r="G382" s="5">
        <f>+SUMIFS(CARGA!I:I,CARGA!B:B,tabla!A382,CARGA!D:D,tabla!C382)</f>
        <v>0</v>
      </c>
      <c r="H382" s="5">
        <f>+SUMIFS(CARGA!K:K,CARGA!B:B,tabla!A382,CARGA!D:D,tabla!C382)</f>
        <v>0</v>
      </c>
      <c r="I382" s="5">
        <f t="shared" si="93"/>
        <v>0</v>
      </c>
      <c r="J382" s="5">
        <f>-SUMIFS(CARGA!K:K,CARGA!B:B,tabla!A382,CARGA!D:D,tabla!C382,CARGA!C:C,MAESTRO!$B$4)+SUMIFS(CARGA!K:K,CARGA!B:B,tabla!A382,CARGA!D:D,tabla!C382,CARGA!C:C,MAESTRO!$B$5)</f>
        <v>0</v>
      </c>
      <c r="K382" s="5" t="e">
        <f>+VLOOKUP(C382,#REF!,3,FALSE)</f>
        <v>#REF!</v>
      </c>
      <c r="L382" s="5" t="e">
        <f t="shared" si="94"/>
        <v>#REF!</v>
      </c>
      <c r="M382" s="5" t="e">
        <f t="shared" si="95"/>
        <v>#REF!</v>
      </c>
      <c r="N382" s="5" t="str">
        <f t="shared" si="96"/>
        <v>NO</v>
      </c>
      <c r="O382" s="5">
        <f>+VLOOKUP(C382,[2]Fondos!$F:$J,5,FALSE)</f>
        <v>3875956517</v>
      </c>
      <c r="P382" s="13">
        <f>+VLOOKUP(C382,[2]Fondos!$F:$K,6,FALSE)</f>
        <v>0.23267859999999999</v>
      </c>
      <c r="Q382" s="13">
        <f t="shared" si="97"/>
        <v>0</v>
      </c>
      <c r="R382" s="10">
        <f>+IF(Q382&gt;MAESTRO!$G$6,0,1)</f>
        <v>1</v>
      </c>
      <c r="S382">
        <f>+IF(P382&lt;MAESTRO!$G$8,0,1)</f>
        <v>1</v>
      </c>
      <c r="T382" s="10">
        <f t="shared" si="98"/>
        <v>2</v>
      </c>
      <c r="U382" t="str">
        <f>+IF(R382+S382=2,MAESTRO!$G$2,IF(R382+S382=0,MAESTRO!$G$5,IF(R382=0,MAESTRO!$G$3,IF(S382=0,MAESTRO!$G$4,))))</f>
        <v>cumple politica</v>
      </c>
    </row>
    <row r="383" spans="1:21" x14ac:dyDescent="0.3">
      <c r="A383" t="s">
        <v>125</v>
      </c>
      <c r="B383" t="s">
        <v>33</v>
      </c>
      <c r="C383" s="7" t="s">
        <v>74</v>
      </c>
      <c r="D383" t="s">
        <v>82</v>
      </c>
      <c r="E383" s="24">
        <f t="shared" si="92"/>
        <v>0</v>
      </c>
      <c r="F383" s="22">
        <f>-SUMIFS(CARGA!I:I,CARGA!B:B,tabla!A383,CARGA!D:D,tabla!C383,CARGA!C:C,MAESTRO!$B$4)-SUMIFS(CARGA!I:I,CARGA!B:B,tabla!A383,CARGA!D:D,tabla!C383,CARGA!C:C,MAESTRO!$B$5)</f>
        <v>0</v>
      </c>
      <c r="G383" s="5">
        <f>+SUMIFS(CARGA!I:I,CARGA!B:B,tabla!A383,CARGA!D:D,tabla!C383)</f>
        <v>0</v>
      </c>
      <c r="H383" s="5">
        <f>+SUMIFS(CARGA!K:K,CARGA!B:B,tabla!A383,CARGA!D:D,tabla!C383)</f>
        <v>0</v>
      </c>
      <c r="I383" s="5">
        <f t="shared" si="93"/>
        <v>0</v>
      </c>
      <c r="J383" s="5">
        <f>-SUMIFS(CARGA!K:K,CARGA!B:B,tabla!A383,CARGA!D:D,tabla!C383,CARGA!C:C,MAESTRO!$B$4)+SUMIFS(CARGA!K:K,CARGA!B:B,tabla!A383,CARGA!D:D,tabla!C383,CARGA!C:C,MAESTRO!$B$5)</f>
        <v>0</v>
      </c>
      <c r="K383" s="5" t="e">
        <f>+VLOOKUP(C383,#REF!,3,FALSE)</f>
        <v>#REF!</v>
      </c>
      <c r="L383" s="5" t="e">
        <f t="shared" si="94"/>
        <v>#REF!</v>
      </c>
      <c r="M383" s="5" t="e">
        <f t="shared" si="95"/>
        <v>#REF!</v>
      </c>
      <c r="N383" s="5" t="str">
        <f t="shared" si="96"/>
        <v>NO</v>
      </c>
      <c r="O383" s="5">
        <f>+VLOOKUP(C383,[2]Fondos!$F:$J,5,FALSE)</f>
        <v>8775783683</v>
      </c>
      <c r="P383" s="13">
        <f>+VLOOKUP(C383,[2]Fondos!$F:$K,6,FALSE)</f>
        <v>0.2640304</v>
      </c>
      <c r="Q383" s="13">
        <f t="shared" si="97"/>
        <v>0</v>
      </c>
      <c r="R383" s="10">
        <f>+IF(Q383&gt;MAESTRO!$G$6,0,1)</f>
        <v>1</v>
      </c>
      <c r="S383">
        <f>+IF(P383&lt;MAESTRO!$G$8,0,1)</f>
        <v>1</v>
      </c>
      <c r="T383" s="10">
        <f t="shared" si="98"/>
        <v>2</v>
      </c>
      <c r="U383" t="str">
        <f>+IF(R383+S383=2,MAESTRO!$G$2,IF(R383+S383=0,MAESTRO!$G$5,IF(R383=0,MAESTRO!$G$3,IF(S383=0,MAESTRO!$G$4,))))</f>
        <v>cumple politica</v>
      </c>
    </row>
    <row r="384" spans="1:21" x14ac:dyDescent="0.3">
      <c r="A384" t="s">
        <v>125</v>
      </c>
      <c r="B384" t="s">
        <v>27</v>
      </c>
      <c r="C384" t="s">
        <v>63</v>
      </c>
      <c r="D384" t="s">
        <v>82</v>
      </c>
      <c r="E384" s="24">
        <f t="shared" si="92"/>
        <v>0</v>
      </c>
      <c r="F384" s="22">
        <f>-SUMIFS(CARGA!I:I,CARGA!B:B,tabla!A384,CARGA!D:D,tabla!C384,CARGA!C:C,MAESTRO!$B$4)-SUMIFS(CARGA!I:I,CARGA!B:B,tabla!A384,CARGA!D:D,tabla!C384,CARGA!C:C,MAESTRO!$B$5)</f>
        <v>0</v>
      </c>
      <c r="G384" s="5">
        <f>+SUMIFS(CARGA!I:I,CARGA!B:B,tabla!A384,CARGA!D:D,tabla!C384)</f>
        <v>0</v>
      </c>
      <c r="H384" s="5">
        <f>+SUMIFS(CARGA!K:K,CARGA!B:B,tabla!A384,CARGA!D:D,tabla!C384)</f>
        <v>0</v>
      </c>
      <c r="I384" s="5">
        <f t="shared" si="93"/>
        <v>0</v>
      </c>
      <c r="J384" s="5">
        <f>-SUMIFS(CARGA!K:K,CARGA!B:B,tabla!A384,CARGA!D:D,tabla!C384,CARGA!C:C,MAESTRO!$B$4)+SUMIFS(CARGA!K:K,CARGA!B:B,tabla!A384,CARGA!D:D,tabla!C384,CARGA!C:C,MAESTRO!$B$5)</f>
        <v>0</v>
      </c>
      <c r="K384" s="5" t="e">
        <f>+VLOOKUP(C384,#REF!,3,FALSE)</f>
        <v>#REF!</v>
      </c>
      <c r="L384" s="5" t="e">
        <f t="shared" si="94"/>
        <v>#REF!</v>
      </c>
      <c r="M384" s="5" t="e">
        <f t="shared" si="95"/>
        <v>#REF!</v>
      </c>
      <c r="N384" s="5" t="str">
        <f t="shared" si="96"/>
        <v>NO</v>
      </c>
      <c r="O384" s="5">
        <f>+VLOOKUP(C384,[2]Fondos!$F:$J,5,FALSE)</f>
        <v>14114977659</v>
      </c>
      <c r="P384" s="13">
        <f>+VLOOKUP(C384,[2]Fondos!$F:$K,6,FALSE)</f>
        <v>0.26056640000000003</v>
      </c>
      <c r="Q384" s="13">
        <f t="shared" si="97"/>
        <v>0</v>
      </c>
      <c r="R384" s="10">
        <f>+IF(Q384&gt;MAESTRO!$G$6,0,1)</f>
        <v>1</v>
      </c>
      <c r="S384">
        <f>+IF(P384&lt;MAESTRO!$G$8,0,1)</f>
        <v>1</v>
      </c>
      <c r="T384" s="10">
        <f t="shared" si="98"/>
        <v>2</v>
      </c>
      <c r="U384" t="str">
        <f>+IF(R384+S384=2,MAESTRO!$G$2,IF(R384+S384=0,MAESTRO!$G$5,IF(R384=0,MAESTRO!$G$3,IF(S384=0,MAESTRO!$G$4,))))</f>
        <v>cumple politica</v>
      </c>
    </row>
    <row r="385" spans="1:21" x14ac:dyDescent="0.3">
      <c r="A385" t="s">
        <v>125</v>
      </c>
      <c r="B385" t="s">
        <v>27</v>
      </c>
      <c r="C385" t="s">
        <v>47</v>
      </c>
      <c r="D385" t="s">
        <v>81</v>
      </c>
      <c r="E385" s="24">
        <f t="shared" si="92"/>
        <v>0</v>
      </c>
      <c r="F385" s="22">
        <f>-SUMIFS(CARGA!I:I,CARGA!B:B,tabla!A385,CARGA!D:D,tabla!C385,CARGA!C:C,MAESTRO!$B$4)-SUMIFS(CARGA!I:I,CARGA!B:B,tabla!A385,CARGA!D:D,tabla!C385,CARGA!C:C,MAESTRO!$B$5)</f>
        <v>0</v>
      </c>
      <c r="G385" s="5">
        <f>+SUMIFS(CARGA!I:I,CARGA!B:B,tabla!A385,CARGA!D:D,tabla!C385)</f>
        <v>0</v>
      </c>
      <c r="H385" s="5">
        <f>+SUMIFS(CARGA!K:K,CARGA!B:B,tabla!A385,CARGA!D:D,tabla!C385)</f>
        <v>0</v>
      </c>
      <c r="I385" s="5">
        <f t="shared" si="93"/>
        <v>0</v>
      </c>
      <c r="J385" s="5">
        <f>-SUMIFS(CARGA!K:K,CARGA!B:B,tabla!A385,CARGA!D:D,tabla!C385,CARGA!C:C,MAESTRO!$B$4)+SUMIFS(CARGA!K:K,CARGA!B:B,tabla!A385,CARGA!D:D,tabla!C385,CARGA!C:C,MAESTRO!$B$5)</f>
        <v>0</v>
      </c>
      <c r="K385" s="5" t="e">
        <f>+VLOOKUP(C385,#REF!,3,FALSE)</f>
        <v>#REF!</v>
      </c>
      <c r="L385" s="5" t="e">
        <f t="shared" si="94"/>
        <v>#REF!</v>
      </c>
      <c r="M385" s="5" t="e">
        <f t="shared" si="95"/>
        <v>#REF!</v>
      </c>
      <c r="N385" s="5" t="str">
        <f t="shared" si="96"/>
        <v>NO</v>
      </c>
      <c r="O385" s="5">
        <f>+VLOOKUP(C385,[2]Fondos!$F:$J,5,FALSE)</f>
        <v>1977335292</v>
      </c>
      <c r="P385" s="13">
        <f>+VLOOKUP(C385,[2]Fondos!$F:$K,6,FALSE)</f>
        <v>0.19354769999999999</v>
      </c>
      <c r="Q385" s="13">
        <f t="shared" si="97"/>
        <v>0</v>
      </c>
      <c r="R385" s="10">
        <f>+IF(Q385&gt;MAESTRO!$G$6,0,1)</f>
        <v>1</v>
      </c>
      <c r="S385">
        <f>+IF(P385&lt;MAESTRO!$G$8,0,1)</f>
        <v>1</v>
      </c>
      <c r="T385" s="10">
        <f t="shared" si="98"/>
        <v>2</v>
      </c>
      <c r="U385" t="str">
        <f>+IF(R385+S385=2,MAESTRO!$G$2,IF(R385+S385=0,MAESTRO!$G$5,IF(R385=0,MAESTRO!$G$3,IF(S385=0,MAESTRO!$G$4,))))</f>
        <v>cumple politica</v>
      </c>
    </row>
    <row r="386" spans="1:21" x14ac:dyDescent="0.3">
      <c r="A386" t="s">
        <v>125</v>
      </c>
      <c r="B386" t="s">
        <v>27</v>
      </c>
      <c r="C386" t="s">
        <v>42</v>
      </c>
      <c r="D386" t="s">
        <v>81</v>
      </c>
      <c r="E386" s="24">
        <f t="shared" si="92"/>
        <v>0</v>
      </c>
      <c r="F386" s="22">
        <f>-SUMIFS(CARGA!I:I,CARGA!B:B,tabla!A386,CARGA!D:D,tabla!C386,CARGA!C:C,MAESTRO!$B$4)-SUMIFS(CARGA!I:I,CARGA!B:B,tabla!A386,CARGA!D:D,tabla!C386,CARGA!C:C,MAESTRO!$B$5)</f>
        <v>0</v>
      </c>
      <c r="G386" s="5">
        <f>+SUMIFS(CARGA!I:I,CARGA!B:B,tabla!A386,CARGA!D:D,tabla!C386)</f>
        <v>0</v>
      </c>
      <c r="H386" s="5">
        <f>+SUMIFS(CARGA!K:K,CARGA!B:B,tabla!A386,CARGA!D:D,tabla!C386)</f>
        <v>0</v>
      </c>
      <c r="I386" s="5">
        <f t="shared" si="93"/>
        <v>0</v>
      </c>
      <c r="J386" s="5">
        <f>-SUMIFS(CARGA!K:K,CARGA!B:B,tabla!A386,CARGA!D:D,tabla!C386,CARGA!C:C,MAESTRO!$B$4)+SUMIFS(CARGA!K:K,CARGA!B:B,tabla!A386,CARGA!D:D,tabla!C386,CARGA!C:C,MAESTRO!$B$5)</f>
        <v>0</v>
      </c>
      <c r="K386" s="5" t="e">
        <f>+VLOOKUP(C386,#REF!,3,FALSE)</f>
        <v>#REF!</v>
      </c>
      <c r="L386" s="5" t="e">
        <f t="shared" si="94"/>
        <v>#REF!</v>
      </c>
      <c r="M386" s="5" t="e">
        <f t="shared" si="95"/>
        <v>#REF!</v>
      </c>
      <c r="N386" s="5" t="str">
        <f t="shared" si="96"/>
        <v>NO</v>
      </c>
      <c r="O386" s="5">
        <f>+VLOOKUP(C386,[2]Fondos!$F:$J,5,FALSE)</f>
        <v>2171371244</v>
      </c>
      <c r="P386" s="13">
        <f>+VLOOKUP(C386,[2]Fondos!$F:$K,6,FALSE)</f>
        <v>0.2113614</v>
      </c>
      <c r="Q386" s="13">
        <f t="shared" si="97"/>
        <v>0</v>
      </c>
      <c r="R386" s="10">
        <f>+IF(Q386&gt;MAESTRO!$G$6,0,1)</f>
        <v>1</v>
      </c>
      <c r="S386">
        <f>+IF(P386&lt;MAESTRO!$G$8,0,1)</f>
        <v>1</v>
      </c>
      <c r="T386" s="10">
        <f t="shared" si="98"/>
        <v>2</v>
      </c>
      <c r="U386" t="str">
        <f>+IF(R386+S386=2,MAESTRO!$G$2,IF(R386+S386=0,MAESTRO!$G$5,IF(R386=0,MAESTRO!$G$3,IF(S386=0,MAESTRO!$G$4,))))</f>
        <v>cumple politica</v>
      </c>
    </row>
    <row r="387" spans="1:21" x14ac:dyDescent="0.3">
      <c r="A387" t="s">
        <v>125</v>
      </c>
      <c r="B387" t="s">
        <v>27</v>
      </c>
      <c r="C387" t="s">
        <v>78</v>
      </c>
      <c r="D387" t="s">
        <v>82</v>
      </c>
      <c r="E387" s="24">
        <f t="shared" si="92"/>
        <v>0</v>
      </c>
      <c r="F387" s="22">
        <f>-SUMIFS(CARGA!I:I,CARGA!B:B,tabla!A387,CARGA!D:D,tabla!C387,CARGA!C:C,MAESTRO!$B$4)-SUMIFS(CARGA!I:I,CARGA!B:B,tabla!A387,CARGA!D:D,tabla!C387,CARGA!C:C,MAESTRO!$B$5)</f>
        <v>0</v>
      </c>
      <c r="G387" s="5">
        <f>+SUMIFS(CARGA!I:I,CARGA!B:B,tabla!A387,CARGA!D:D,tabla!C387)</f>
        <v>0</v>
      </c>
      <c r="H387" s="5">
        <f>+SUMIFS(CARGA!K:K,CARGA!B:B,tabla!A387,CARGA!D:D,tabla!C387)</f>
        <v>0</v>
      </c>
      <c r="I387" s="5">
        <f t="shared" si="93"/>
        <v>0</v>
      </c>
      <c r="J387" s="5">
        <f>-SUMIFS(CARGA!K:K,CARGA!B:B,tabla!A387,CARGA!D:D,tabla!C387,CARGA!C:C,MAESTRO!$B$4)+SUMIFS(CARGA!K:K,CARGA!B:B,tabla!A387,CARGA!D:D,tabla!C387,CARGA!C:C,MAESTRO!$B$5)</f>
        <v>0</v>
      </c>
      <c r="K387" s="5" t="e">
        <f>+VLOOKUP(C387,#REF!,3,FALSE)</f>
        <v>#REF!</v>
      </c>
      <c r="L387" s="5" t="e">
        <f t="shared" si="94"/>
        <v>#REF!</v>
      </c>
      <c r="M387" s="5" t="e">
        <f t="shared" si="95"/>
        <v>#REF!</v>
      </c>
      <c r="N387" s="5" t="str">
        <f t="shared" si="96"/>
        <v>NO</v>
      </c>
      <c r="O387" s="5">
        <f>+VLOOKUP(C387,[2]Fondos!$F:$J,5,FALSE)</f>
        <v>234619684</v>
      </c>
      <c r="P387" s="13">
        <f>+VLOOKUP(C387,[2]Fondos!$F:$K,6,FALSE)</f>
        <v>0.26737729999999998</v>
      </c>
      <c r="Q387" s="13">
        <f t="shared" si="97"/>
        <v>0</v>
      </c>
      <c r="R387" s="10">
        <f>+IF(Q387&gt;MAESTRO!$G$6,0,1)</f>
        <v>1</v>
      </c>
      <c r="S387">
        <f>+IF(P387&lt;MAESTRO!$G$8,0,1)</f>
        <v>1</v>
      </c>
      <c r="T387" s="10">
        <f t="shared" si="98"/>
        <v>2</v>
      </c>
      <c r="U387" t="str">
        <f>+IF(R387+S387=2,MAESTRO!$G$2,IF(R387+S387=0,MAESTRO!$G$5,IF(R387=0,MAESTRO!$G$3,IF(S387=0,MAESTRO!$G$4,))))</f>
        <v>cumple politica</v>
      </c>
    </row>
    <row r="388" spans="1:21" x14ac:dyDescent="0.3">
      <c r="A388" t="s">
        <v>125</v>
      </c>
      <c r="B388" t="s">
        <v>109</v>
      </c>
      <c r="C388" t="s">
        <v>75</v>
      </c>
      <c r="D388" t="s">
        <v>82</v>
      </c>
      <c r="E388" s="24">
        <f t="shared" si="92"/>
        <v>0</v>
      </c>
      <c r="F388" s="22">
        <f>-SUMIFS(CARGA!I:I,CARGA!B:B,tabla!A388,CARGA!D:D,tabla!C388,CARGA!C:C,MAESTRO!$B$4)-SUMIFS(CARGA!I:I,CARGA!B:B,tabla!A388,CARGA!D:D,tabla!C388,CARGA!C:C,MAESTRO!$B$5)</f>
        <v>0</v>
      </c>
      <c r="G388" s="5">
        <f>+SUMIFS(CARGA!I:I,CARGA!B:B,tabla!A388,CARGA!D:D,tabla!C388)</f>
        <v>0</v>
      </c>
      <c r="H388" s="5">
        <f>+SUMIFS(CARGA!K:K,CARGA!B:B,tabla!A388,CARGA!D:D,tabla!C388)</f>
        <v>0</v>
      </c>
      <c r="I388" s="5">
        <f t="shared" si="93"/>
        <v>0</v>
      </c>
      <c r="J388" s="5">
        <f>-SUMIFS(CARGA!K:K,CARGA!B:B,tabla!A388,CARGA!D:D,tabla!C388,CARGA!C:C,MAESTRO!$B$4)+SUMIFS(CARGA!K:K,CARGA!B:B,tabla!A388,CARGA!D:D,tabla!C388,CARGA!C:C,MAESTRO!$B$5)</f>
        <v>0</v>
      </c>
      <c r="K388" s="5" t="e">
        <f>+VLOOKUP(C388,#REF!,3,FALSE)</f>
        <v>#REF!</v>
      </c>
      <c r="L388" s="5" t="e">
        <f t="shared" si="94"/>
        <v>#REF!</v>
      </c>
      <c r="M388" s="5" t="e">
        <f t="shared" si="95"/>
        <v>#REF!</v>
      </c>
      <c r="N388" s="5" t="str">
        <f t="shared" si="96"/>
        <v>NO</v>
      </c>
      <c r="O388" s="5">
        <f>+VLOOKUP(C388,[2]Fondos!$F:$J,5,FALSE)</f>
        <v>1696672499</v>
      </c>
      <c r="P388" s="13">
        <f>+VLOOKUP(C388,[2]Fondos!$F:$K,6,FALSE)</f>
        <v>0.24191749999999998</v>
      </c>
      <c r="Q388" s="13">
        <f t="shared" si="97"/>
        <v>0</v>
      </c>
      <c r="R388" s="10">
        <f>+IF(Q388&gt;MAESTRO!$G$6,0,1)</f>
        <v>1</v>
      </c>
      <c r="S388">
        <f>+IF(P388&lt;MAESTRO!$G$8,0,1)</f>
        <v>1</v>
      </c>
      <c r="T388" s="10">
        <f t="shared" si="98"/>
        <v>2</v>
      </c>
      <c r="U388" t="str">
        <f>+IF(R388+S388=2,MAESTRO!$G$2,IF(R388+S388=0,MAESTRO!$G$5,IF(R388=0,MAESTRO!$G$3,IF(S388=0,MAESTRO!$G$4,))))</f>
        <v>cumple politica</v>
      </c>
    </row>
    <row r="389" spans="1:21" x14ac:dyDescent="0.3">
      <c r="A389" t="s">
        <v>125</v>
      </c>
      <c r="B389" s="20" t="s">
        <v>35</v>
      </c>
      <c r="C389" s="20" t="s">
        <v>75</v>
      </c>
      <c r="D389" s="20" t="s">
        <v>83</v>
      </c>
      <c r="E389" s="24">
        <f t="shared" si="92"/>
        <v>0</v>
      </c>
      <c r="F389" s="22">
        <f>-SUMIFS(CARGA!I:I,CARGA!B:B,tabla!A389,CARGA!D:D,tabla!C389,CARGA!C:C,MAESTRO!$B$4)-SUMIFS(CARGA!I:I,CARGA!B:B,tabla!A389,CARGA!D:D,tabla!C389,CARGA!C:C,MAESTRO!$B$5)</f>
        <v>0</v>
      </c>
      <c r="G389" s="5">
        <f>+SUMIFS(CARGA!I:I,CARGA!B:B,tabla!A389,CARGA!D:D,tabla!C389)</f>
        <v>0</v>
      </c>
      <c r="H389" s="5">
        <f>+SUMIFS(CARGA!K:K,CARGA!B:B,tabla!A389,CARGA!D:D,tabla!C389)</f>
        <v>0</v>
      </c>
      <c r="I389" s="5">
        <f t="shared" si="93"/>
        <v>0</v>
      </c>
      <c r="J389" s="5">
        <f>-SUMIFS(CARGA!K:K,CARGA!B:B,tabla!A389,CARGA!D:D,tabla!C389,CARGA!C:C,MAESTRO!$B$4)+SUMIFS(CARGA!K:K,CARGA!B:B,tabla!A389,CARGA!D:D,tabla!C389,CARGA!C:C,MAESTRO!$B$5)</f>
        <v>0</v>
      </c>
      <c r="K389" s="5" t="e">
        <f>+VLOOKUP(C389,#REF!,3,FALSE)</f>
        <v>#REF!</v>
      </c>
      <c r="L389" s="5" t="e">
        <f t="shared" si="94"/>
        <v>#REF!</v>
      </c>
      <c r="M389" s="5" t="e">
        <f t="shared" si="95"/>
        <v>#REF!</v>
      </c>
      <c r="N389" s="5" t="str">
        <f t="shared" si="96"/>
        <v>NO</v>
      </c>
      <c r="O389" s="5">
        <f>+VLOOKUP(C389,[2]Fondos!$F:$J,5,FALSE)</f>
        <v>1696672499</v>
      </c>
      <c r="P389" s="13">
        <f>+VLOOKUP(C389,[2]Fondos!$F:$K,6,FALSE)</f>
        <v>0.24191749999999998</v>
      </c>
      <c r="Q389" s="13">
        <f t="shared" si="97"/>
        <v>0</v>
      </c>
      <c r="R389" s="10">
        <f>+IF(Q389&gt;MAESTRO!$G$6,0,1)</f>
        <v>1</v>
      </c>
      <c r="S389">
        <f>+IF(P389&lt;MAESTRO!$G$8,0,1)</f>
        <v>1</v>
      </c>
      <c r="T389" s="10">
        <f t="shared" si="98"/>
        <v>2</v>
      </c>
      <c r="U389" t="str">
        <f>+IF(R389+S389=2,MAESTRO!$G$2,IF(R389+S389=0,MAESTRO!$G$5,IF(R389=0,MAESTRO!$G$3,IF(S389=0,MAESTRO!$G$4,))))</f>
        <v>cumple politica</v>
      </c>
    </row>
    <row r="390" spans="1:21" x14ac:dyDescent="0.3">
      <c r="A390" t="s">
        <v>125</v>
      </c>
      <c r="B390" t="s">
        <v>109</v>
      </c>
      <c r="C390" t="s">
        <v>76</v>
      </c>
      <c r="D390" t="s">
        <v>82</v>
      </c>
      <c r="E390" s="24">
        <f t="shared" si="92"/>
        <v>0</v>
      </c>
      <c r="F390" s="22">
        <f>-SUMIFS(CARGA!I:I,CARGA!B:B,tabla!A390,CARGA!D:D,tabla!C390,CARGA!C:C,MAESTRO!$B$4)-SUMIFS(CARGA!I:I,CARGA!B:B,tabla!A390,CARGA!D:D,tabla!C390,CARGA!C:C,MAESTRO!$B$5)</f>
        <v>0</v>
      </c>
      <c r="G390" s="5">
        <f>+SUMIFS(CARGA!I:I,CARGA!B:B,tabla!A390,CARGA!D:D,tabla!C390)</f>
        <v>0</v>
      </c>
      <c r="H390" s="5">
        <f>+SUMIFS(CARGA!K:K,CARGA!B:B,tabla!A390,CARGA!D:D,tabla!C390)</f>
        <v>0</v>
      </c>
      <c r="I390" s="5">
        <f t="shared" si="93"/>
        <v>0</v>
      </c>
      <c r="J390" s="5">
        <f>-SUMIFS(CARGA!K:K,CARGA!B:B,tabla!A390,CARGA!D:D,tabla!C390,CARGA!C:C,MAESTRO!$B$4)+SUMIFS(CARGA!K:K,CARGA!B:B,tabla!A390,CARGA!D:D,tabla!C390,CARGA!C:C,MAESTRO!$B$5)</f>
        <v>0</v>
      </c>
      <c r="K390" s="5" t="e">
        <f>+VLOOKUP(C390,#REF!,3,FALSE)</f>
        <v>#REF!</v>
      </c>
      <c r="L390" s="5" t="e">
        <f t="shared" si="94"/>
        <v>#REF!</v>
      </c>
      <c r="M390" s="5" t="e">
        <f t="shared" si="95"/>
        <v>#REF!</v>
      </c>
      <c r="N390" s="5" t="str">
        <f t="shared" si="96"/>
        <v>NO</v>
      </c>
      <c r="O390" s="5">
        <f>+VLOOKUP(C390,[2]Fondos!$F:$J,5,FALSE)</f>
        <v>3357048174</v>
      </c>
      <c r="P390" s="13">
        <f>+VLOOKUP(C390,[2]Fondos!$F:$K,6,FALSE)</f>
        <v>0.25849470000000002</v>
      </c>
      <c r="Q390" s="13">
        <f t="shared" si="97"/>
        <v>0</v>
      </c>
      <c r="R390" s="10">
        <f>+IF(Q390&gt;MAESTRO!$G$6,0,1)</f>
        <v>1</v>
      </c>
      <c r="S390">
        <f>+IF(P390&lt;MAESTRO!$G$8,0,1)</f>
        <v>1</v>
      </c>
      <c r="T390" s="10">
        <f t="shared" si="98"/>
        <v>2</v>
      </c>
      <c r="U390" t="str">
        <f>+IF(R390+S390=2,MAESTRO!$G$2,IF(R390+S390=0,MAESTRO!$G$5,IF(R390=0,MAESTRO!$G$3,IF(S390=0,MAESTRO!$G$4,))))</f>
        <v>cumple politica</v>
      </c>
    </row>
    <row r="391" spans="1:21" x14ac:dyDescent="0.3">
      <c r="A391" t="s">
        <v>125</v>
      </c>
      <c r="B391" s="20" t="s">
        <v>35</v>
      </c>
      <c r="C391" s="20" t="s">
        <v>76</v>
      </c>
      <c r="D391" s="20" t="s">
        <v>83</v>
      </c>
      <c r="E391" s="24">
        <f t="shared" si="92"/>
        <v>0</v>
      </c>
      <c r="F391" s="22">
        <f>-SUMIFS(CARGA!I:I,CARGA!B:B,tabla!A391,CARGA!D:D,tabla!C391,CARGA!C:C,MAESTRO!$B$4)-SUMIFS(CARGA!I:I,CARGA!B:B,tabla!A391,CARGA!D:D,tabla!C391,CARGA!C:C,MAESTRO!$B$5)</f>
        <v>0</v>
      </c>
      <c r="G391" s="5">
        <f>+SUMIFS(CARGA!I:I,CARGA!B:B,tabla!A391,CARGA!D:D,tabla!C391)</f>
        <v>0</v>
      </c>
      <c r="H391" s="5">
        <f>+SUMIFS(CARGA!K:K,CARGA!B:B,tabla!A391,CARGA!D:D,tabla!C391)</f>
        <v>0</v>
      </c>
      <c r="I391" s="5">
        <f t="shared" si="93"/>
        <v>0</v>
      </c>
      <c r="J391" s="5">
        <f>-SUMIFS(CARGA!K:K,CARGA!B:B,tabla!A391,CARGA!D:D,tabla!C391,CARGA!C:C,MAESTRO!$B$4)+SUMIFS(CARGA!K:K,CARGA!B:B,tabla!A391,CARGA!D:D,tabla!C391,CARGA!C:C,MAESTRO!$B$5)</f>
        <v>0</v>
      </c>
      <c r="K391" s="5" t="e">
        <f>+VLOOKUP(C391,#REF!,3,FALSE)</f>
        <v>#REF!</v>
      </c>
      <c r="L391" s="5" t="e">
        <f t="shared" si="94"/>
        <v>#REF!</v>
      </c>
      <c r="M391" s="5" t="e">
        <f t="shared" si="95"/>
        <v>#REF!</v>
      </c>
      <c r="N391" s="5" t="str">
        <f t="shared" si="96"/>
        <v>NO</v>
      </c>
      <c r="O391" s="5">
        <f>+VLOOKUP(C391,[2]Fondos!$F:$J,5,FALSE)</f>
        <v>3357048174</v>
      </c>
      <c r="P391" s="13">
        <f>+VLOOKUP(C391,[2]Fondos!$F:$K,6,FALSE)</f>
        <v>0.25849470000000002</v>
      </c>
      <c r="Q391" s="13">
        <f t="shared" si="97"/>
        <v>0</v>
      </c>
      <c r="R391" s="10">
        <f>+IF(Q391&gt;MAESTRO!$G$6,0,1)</f>
        <v>1</v>
      </c>
      <c r="S391">
        <f>+IF(P391&lt;MAESTRO!$G$8,0,1)</f>
        <v>1</v>
      </c>
      <c r="T391" s="10">
        <f t="shared" si="98"/>
        <v>2</v>
      </c>
      <c r="U391" t="str">
        <f>+IF(R391+S391=2,MAESTRO!$G$2,IF(R391+S391=0,MAESTRO!$G$5,IF(R391=0,MAESTRO!$G$3,IF(S391=0,MAESTRO!$G$4,))))</f>
        <v>cumple politica</v>
      </c>
    </row>
    <row r="392" spans="1:21" x14ac:dyDescent="0.3">
      <c r="A392" t="s">
        <v>125</v>
      </c>
      <c r="B392" t="s">
        <v>25</v>
      </c>
      <c r="C392" t="s">
        <v>59</v>
      </c>
      <c r="D392" t="s">
        <v>82</v>
      </c>
      <c r="E392" s="24">
        <f t="shared" si="92"/>
        <v>0</v>
      </c>
      <c r="F392" s="22">
        <f>-SUMIFS(CARGA!I:I,CARGA!B:B,tabla!A392,CARGA!D:D,tabla!C392,CARGA!C:C,MAESTRO!$B$4)-SUMIFS(CARGA!I:I,CARGA!B:B,tabla!A392,CARGA!D:D,tabla!C392,CARGA!C:C,MAESTRO!$B$5)</f>
        <v>0</v>
      </c>
      <c r="G392" s="5">
        <f>+SUMIFS(CARGA!I:I,CARGA!B:B,tabla!A392,CARGA!D:D,tabla!C392)</f>
        <v>0</v>
      </c>
      <c r="H392" s="5">
        <f>+SUMIFS(CARGA!K:K,CARGA!B:B,tabla!A392,CARGA!D:D,tabla!C392)</f>
        <v>0</v>
      </c>
      <c r="I392" s="5">
        <f t="shared" si="93"/>
        <v>0</v>
      </c>
      <c r="J392" s="5">
        <f>-SUMIFS(CARGA!K:K,CARGA!B:B,tabla!A392,CARGA!D:D,tabla!C392,CARGA!C:C,MAESTRO!$B$4)+SUMIFS(CARGA!K:K,CARGA!B:B,tabla!A392,CARGA!D:D,tabla!C392,CARGA!C:C,MAESTRO!$B$5)</f>
        <v>0</v>
      </c>
      <c r="K392" s="5" t="e">
        <f>+VLOOKUP(C392,#REF!,3,FALSE)</f>
        <v>#REF!</v>
      </c>
      <c r="L392" s="5" t="e">
        <f t="shared" si="94"/>
        <v>#REF!</v>
      </c>
      <c r="M392" s="5" t="e">
        <f t="shared" si="95"/>
        <v>#REF!</v>
      </c>
      <c r="N392" s="5" t="str">
        <f t="shared" si="96"/>
        <v>NO</v>
      </c>
      <c r="O392" s="5">
        <f>+VLOOKUP(C392,[2]Fondos!$F:$J,5,FALSE)</f>
        <v>15268657582.66</v>
      </c>
      <c r="P392" s="13">
        <f>+VLOOKUP(C392,[2]Fondos!$F:$K,6,FALSE)</f>
        <v>0.26679839999999999</v>
      </c>
      <c r="Q392" s="13">
        <f t="shared" si="97"/>
        <v>0</v>
      </c>
      <c r="R392" s="10">
        <f>+IF(Q392&gt;MAESTRO!$G$6,0,1)</f>
        <v>1</v>
      </c>
      <c r="S392">
        <f>+IF(P392&lt;MAESTRO!$G$8,0,1)</f>
        <v>1</v>
      </c>
      <c r="T392" s="10">
        <f t="shared" si="98"/>
        <v>2</v>
      </c>
      <c r="U392" t="str">
        <f>+IF(R392+S392=2,MAESTRO!$G$2,IF(R392+S392=0,MAESTRO!$G$5,IF(R392=0,MAESTRO!$G$3,IF(S392=0,MAESTRO!$G$4,))))</f>
        <v>cumple politica</v>
      </c>
    </row>
    <row r="393" spans="1:21" x14ac:dyDescent="0.3">
      <c r="A393" t="s">
        <v>125</v>
      </c>
      <c r="B393" t="s">
        <v>25</v>
      </c>
      <c r="C393" t="s">
        <v>40</v>
      </c>
      <c r="D393" t="s">
        <v>81</v>
      </c>
      <c r="E393" s="24">
        <f t="shared" si="92"/>
        <v>0</v>
      </c>
      <c r="F393" s="22">
        <f>-SUMIFS(CARGA!I:I,CARGA!B:B,tabla!A393,CARGA!D:D,tabla!C393,CARGA!C:C,MAESTRO!$B$4)-SUMIFS(CARGA!I:I,CARGA!B:B,tabla!A393,CARGA!D:D,tabla!C393,CARGA!C:C,MAESTRO!$B$5)</f>
        <v>0</v>
      </c>
      <c r="G393" s="5">
        <f>+SUMIFS(CARGA!I:I,CARGA!B:B,tabla!A393,CARGA!D:D,tabla!C393)</f>
        <v>0</v>
      </c>
      <c r="H393" s="5">
        <f>+SUMIFS(CARGA!K:K,CARGA!B:B,tabla!A393,CARGA!D:D,tabla!C393)</f>
        <v>0</v>
      </c>
      <c r="I393" s="5">
        <f t="shared" si="93"/>
        <v>0</v>
      </c>
      <c r="J393" s="5">
        <f>-SUMIFS(CARGA!K:K,CARGA!B:B,tabla!A393,CARGA!D:D,tabla!C393,CARGA!C:C,MAESTRO!$B$4)+SUMIFS(CARGA!K:K,CARGA!B:B,tabla!A393,CARGA!D:D,tabla!C393,CARGA!C:C,MAESTRO!$B$5)</f>
        <v>0</v>
      </c>
      <c r="K393" s="5" t="e">
        <f>+VLOOKUP(C393,#REF!,3,FALSE)</f>
        <v>#REF!</v>
      </c>
      <c r="L393" s="5" t="e">
        <f t="shared" si="94"/>
        <v>#REF!</v>
      </c>
      <c r="M393" s="5" t="e">
        <f t="shared" si="95"/>
        <v>#REF!</v>
      </c>
      <c r="N393" s="5" t="str">
        <f t="shared" si="96"/>
        <v>NO</v>
      </c>
      <c r="O393" s="5">
        <f>+VLOOKUP(C393,[2]Fondos!$F:$J,5,FALSE)</f>
        <v>4231508416.6700001</v>
      </c>
      <c r="P393" s="13">
        <f>+VLOOKUP(C393,[2]Fondos!$F:$K,6,FALSE)</f>
        <v>0.21473639999999999</v>
      </c>
      <c r="Q393" s="13">
        <f t="shared" si="97"/>
        <v>0</v>
      </c>
      <c r="R393" s="10">
        <f>+IF(Q393&gt;MAESTRO!$G$6,0,1)</f>
        <v>1</v>
      </c>
      <c r="S393">
        <f>+IF(P393&lt;MAESTRO!$G$8,0,1)</f>
        <v>1</v>
      </c>
      <c r="T393" s="10">
        <f t="shared" si="98"/>
        <v>2</v>
      </c>
      <c r="U393" t="str">
        <f>+IF(R393+S393=2,MAESTRO!$G$2,IF(R393+S393=0,MAESTRO!$G$5,IF(R393=0,MAESTRO!$G$3,IF(S393=0,MAESTRO!$G$4,))))</f>
        <v>cumple politica</v>
      </c>
    </row>
    <row r="394" spans="1:21" x14ac:dyDescent="0.3">
      <c r="A394" t="s">
        <v>125</v>
      </c>
      <c r="B394" t="s">
        <v>25</v>
      </c>
      <c r="C394" t="s">
        <v>79</v>
      </c>
      <c r="D394" t="s">
        <v>82</v>
      </c>
      <c r="E394" s="24">
        <f t="shared" si="92"/>
        <v>0</v>
      </c>
      <c r="F394" s="22">
        <f>-SUMIFS(CARGA!I:I,CARGA!B:B,tabla!A394,CARGA!D:D,tabla!C394,CARGA!C:C,MAESTRO!$B$4)-SUMIFS(CARGA!I:I,CARGA!B:B,tabla!A394,CARGA!D:D,tabla!C394,CARGA!C:C,MAESTRO!$B$5)</f>
        <v>0</v>
      </c>
      <c r="G394" s="5">
        <f>+SUMIFS(CARGA!I:I,CARGA!B:B,tabla!A394,CARGA!D:D,tabla!C394)</f>
        <v>0</v>
      </c>
      <c r="H394" s="5">
        <f>+SUMIFS(CARGA!K:K,CARGA!B:B,tabla!A394,CARGA!D:D,tabla!C394)</f>
        <v>0</v>
      </c>
      <c r="I394" s="5">
        <f t="shared" si="93"/>
        <v>0</v>
      </c>
      <c r="J394" s="5">
        <f>-SUMIFS(CARGA!K:K,CARGA!B:B,tabla!A394,CARGA!D:D,tabla!C394,CARGA!C:C,MAESTRO!$B$4)+SUMIFS(CARGA!K:K,CARGA!B:B,tabla!A394,CARGA!D:D,tabla!C394,CARGA!C:C,MAESTRO!$B$5)</f>
        <v>0</v>
      </c>
      <c r="K394" s="5" t="e">
        <f>+VLOOKUP(C394,#REF!,3,FALSE)</f>
        <v>#REF!</v>
      </c>
      <c r="L394" s="5" t="e">
        <f t="shared" si="94"/>
        <v>#REF!</v>
      </c>
      <c r="M394" s="5" t="e">
        <f t="shared" si="95"/>
        <v>#REF!</v>
      </c>
      <c r="N394" s="5" t="str">
        <f t="shared" si="96"/>
        <v>NO</v>
      </c>
      <c r="O394" s="5">
        <f>+VLOOKUP(C394,[2]Fondos!$F:$J,5,FALSE)</f>
        <v>415179361.94999999</v>
      </c>
      <c r="P394" s="13">
        <f>+VLOOKUP(C394,[2]Fondos!$F:$K,6,FALSE)</f>
        <v>0.20571149999999999</v>
      </c>
      <c r="Q394" s="13">
        <f t="shared" si="97"/>
        <v>0</v>
      </c>
      <c r="R394" s="10">
        <f>+IF(Q394&gt;MAESTRO!$G$6,0,1)</f>
        <v>1</v>
      </c>
      <c r="S394">
        <f>+IF(P394&lt;MAESTRO!$G$8,0,1)</f>
        <v>1</v>
      </c>
      <c r="T394" s="10">
        <f t="shared" si="98"/>
        <v>2</v>
      </c>
      <c r="U394" t="str">
        <f>+IF(R394+S394=2,MAESTRO!$G$2,IF(R394+S394=0,MAESTRO!$G$5,IF(R394=0,MAESTRO!$G$3,IF(S394=0,MAESTRO!$G$4,))))</f>
        <v>cumple politica</v>
      </c>
    </row>
    <row r="395" spans="1:21" x14ac:dyDescent="0.3">
      <c r="A395" t="s">
        <v>125</v>
      </c>
      <c r="B395" t="s">
        <v>26</v>
      </c>
      <c r="C395" t="s">
        <v>61</v>
      </c>
      <c r="D395" t="s">
        <v>82</v>
      </c>
      <c r="E395" s="24">
        <f t="shared" si="92"/>
        <v>0</v>
      </c>
      <c r="F395" s="22">
        <f>-SUMIFS(CARGA!I:I,CARGA!B:B,tabla!A395,CARGA!D:D,tabla!C395,CARGA!C:C,MAESTRO!$B$4)-SUMIFS(CARGA!I:I,CARGA!B:B,tabla!A395,CARGA!D:D,tabla!C395,CARGA!C:C,MAESTRO!$B$5)</f>
        <v>0</v>
      </c>
      <c r="G395" s="5">
        <f>+SUMIFS(CARGA!I:I,CARGA!B:B,tabla!A395,CARGA!D:D,tabla!C395)</f>
        <v>0</v>
      </c>
      <c r="H395" s="5">
        <f>+SUMIFS(CARGA!K:K,CARGA!B:B,tabla!A395,CARGA!D:D,tabla!C395)</f>
        <v>0</v>
      </c>
      <c r="I395" s="5">
        <f t="shared" si="93"/>
        <v>0</v>
      </c>
      <c r="J395" s="5">
        <f>-SUMIFS(CARGA!K:K,CARGA!B:B,tabla!A395,CARGA!D:D,tabla!C395,CARGA!C:C,MAESTRO!$B$4)+SUMIFS(CARGA!K:K,CARGA!B:B,tabla!A395,CARGA!D:D,tabla!C395,CARGA!C:C,MAESTRO!$B$5)</f>
        <v>0</v>
      </c>
      <c r="K395" s="5" t="e">
        <f>+VLOOKUP(C395,#REF!,3,FALSE)</f>
        <v>#REF!</v>
      </c>
      <c r="L395" s="5" t="e">
        <f t="shared" si="94"/>
        <v>#REF!</v>
      </c>
      <c r="M395" s="5" t="e">
        <f t="shared" si="95"/>
        <v>#REF!</v>
      </c>
      <c r="N395" s="5" t="str">
        <f t="shared" si="96"/>
        <v>NO</v>
      </c>
      <c r="O395" s="5">
        <f>+VLOOKUP(C395,[2]Fondos!$F:$J,5,FALSE)</f>
        <v>25454891426</v>
      </c>
      <c r="P395" s="13">
        <f>+VLOOKUP(C395,[2]Fondos!$F:$K,6,FALSE)</f>
        <v>0.26389279999999998</v>
      </c>
      <c r="Q395" s="13">
        <f t="shared" si="97"/>
        <v>0</v>
      </c>
      <c r="R395" s="10">
        <f>+IF(Q395&gt;MAESTRO!$G$6,0,1)</f>
        <v>1</v>
      </c>
      <c r="S395">
        <f>+IF(P395&lt;MAESTRO!$G$8,0,1)</f>
        <v>1</v>
      </c>
      <c r="T395" s="10">
        <f t="shared" si="98"/>
        <v>2</v>
      </c>
      <c r="U395" t="str">
        <f>+IF(R395+S395=2,MAESTRO!$G$2,IF(R395+S395=0,MAESTRO!$G$5,IF(R395=0,MAESTRO!$G$3,IF(S395=0,MAESTRO!$G$4,))))</f>
        <v>cumple politica</v>
      </c>
    </row>
    <row r="396" spans="1:21" x14ac:dyDescent="0.3">
      <c r="A396" t="s">
        <v>125</v>
      </c>
      <c r="B396" t="s">
        <v>26</v>
      </c>
      <c r="C396" t="s">
        <v>58</v>
      </c>
      <c r="D396" t="s">
        <v>82</v>
      </c>
      <c r="E396" s="24">
        <f t="shared" si="92"/>
        <v>0</v>
      </c>
      <c r="F396" s="22">
        <f>-SUMIFS(CARGA!I:I,CARGA!B:B,tabla!A396,CARGA!D:D,tabla!C396,CARGA!C:C,MAESTRO!$B$4)-SUMIFS(CARGA!I:I,CARGA!B:B,tabla!A396,CARGA!D:D,tabla!C396,CARGA!C:C,MAESTRO!$B$5)</f>
        <v>0</v>
      </c>
      <c r="G396" s="5">
        <f>+SUMIFS(CARGA!I:I,CARGA!B:B,tabla!A396,CARGA!D:D,tabla!C396)</f>
        <v>0</v>
      </c>
      <c r="H396" s="5">
        <f>+SUMIFS(CARGA!K:K,CARGA!B:B,tabla!A396,CARGA!D:D,tabla!C396)</f>
        <v>0</v>
      </c>
      <c r="I396" s="5">
        <f t="shared" si="93"/>
        <v>0</v>
      </c>
      <c r="J396" s="5">
        <f>-SUMIFS(CARGA!K:K,CARGA!B:B,tabla!A396,CARGA!D:D,tabla!C396,CARGA!C:C,MAESTRO!$B$4)+SUMIFS(CARGA!K:K,CARGA!B:B,tabla!A396,CARGA!D:D,tabla!C396,CARGA!C:C,MAESTRO!$B$5)</f>
        <v>0</v>
      </c>
      <c r="K396" s="5" t="e">
        <f>+VLOOKUP(C396,#REF!,3,FALSE)</f>
        <v>#REF!</v>
      </c>
      <c r="L396" s="5" t="e">
        <f t="shared" si="94"/>
        <v>#REF!</v>
      </c>
      <c r="M396" s="5" t="e">
        <f t="shared" si="95"/>
        <v>#REF!</v>
      </c>
      <c r="N396" s="5" t="str">
        <f t="shared" si="96"/>
        <v>NO</v>
      </c>
      <c r="O396" s="5">
        <f>+VLOOKUP(C396,[2]Fondos!$F:$J,5,FALSE)</f>
        <v>25454891426</v>
      </c>
      <c r="P396" s="13">
        <f>+VLOOKUP(C396,[2]Fondos!$F:$K,6,FALSE)</f>
        <v>0.26686179999999998</v>
      </c>
      <c r="Q396" s="13">
        <f t="shared" si="97"/>
        <v>0</v>
      </c>
      <c r="R396" s="10">
        <f>+IF(Q396&gt;MAESTRO!$G$6,0,1)</f>
        <v>1</v>
      </c>
      <c r="S396">
        <f>+IF(P396&lt;MAESTRO!$G$8,0,1)</f>
        <v>1</v>
      </c>
      <c r="T396" s="10">
        <f t="shared" si="98"/>
        <v>2</v>
      </c>
      <c r="U396" t="str">
        <f>+IF(R396+S396=2,MAESTRO!$G$2,IF(R396+S396=0,MAESTRO!$G$5,IF(R396=0,MAESTRO!$G$3,IF(S396=0,MAESTRO!$G$4,))))</f>
        <v>cumple politica</v>
      </c>
    </row>
    <row r="397" spans="1:21" x14ac:dyDescent="0.3">
      <c r="A397" t="s">
        <v>125</v>
      </c>
      <c r="B397" t="s">
        <v>26</v>
      </c>
      <c r="C397" t="s">
        <v>56</v>
      </c>
      <c r="D397" t="s">
        <v>82</v>
      </c>
      <c r="E397" s="24">
        <f t="shared" si="92"/>
        <v>0</v>
      </c>
      <c r="F397" s="22">
        <f>-SUMIFS(CARGA!I:I,CARGA!B:B,tabla!A397,CARGA!D:D,tabla!C397,CARGA!C:C,MAESTRO!$B$4)-SUMIFS(CARGA!I:I,CARGA!B:B,tabla!A397,CARGA!D:D,tabla!C397,CARGA!C:C,MAESTRO!$B$5)</f>
        <v>0</v>
      </c>
      <c r="G397" s="5">
        <f>+SUMIFS(CARGA!I:I,CARGA!B:B,tabla!A397,CARGA!D:D,tabla!C397)</f>
        <v>0</v>
      </c>
      <c r="H397" s="5">
        <f>+SUMIFS(CARGA!K:K,CARGA!B:B,tabla!A397,CARGA!D:D,tabla!C397)</f>
        <v>0</v>
      </c>
      <c r="I397" s="5">
        <f t="shared" si="93"/>
        <v>0</v>
      </c>
      <c r="J397" s="5">
        <f>-SUMIFS(CARGA!K:K,CARGA!B:B,tabla!A397,CARGA!D:D,tabla!C397,CARGA!C:C,MAESTRO!$B$4)+SUMIFS(CARGA!K:K,CARGA!B:B,tabla!A397,CARGA!D:D,tabla!C397,CARGA!C:C,MAESTRO!$B$5)</f>
        <v>0</v>
      </c>
      <c r="K397" s="5" t="e">
        <f>+VLOOKUP(C397,#REF!,3,FALSE)</f>
        <v>#REF!</v>
      </c>
      <c r="L397" s="5" t="e">
        <f t="shared" si="94"/>
        <v>#REF!</v>
      </c>
      <c r="M397" s="5" t="e">
        <f t="shared" si="95"/>
        <v>#REF!</v>
      </c>
      <c r="N397" s="5" t="str">
        <f t="shared" si="96"/>
        <v>NO</v>
      </c>
      <c r="O397" s="5">
        <f>+VLOOKUP(C397,[2]Fondos!$F:$J,5,FALSE)</f>
        <v>25454891426</v>
      </c>
      <c r="P397" s="13">
        <f>+VLOOKUP(C397,[2]Fondos!$F:$K,6,FALSE)</f>
        <v>0.27078930000000001</v>
      </c>
      <c r="Q397" s="13">
        <f t="shared" si="97"/>
        <v>0</v>
      </c>
      <c r="R397" s="10">
        <f>+IF(Q397&gt;MAESTRO!$G$6,0,1)</f>
        <v>1</v>
      </c>
      <c r="S397">
        <f>+IF(P397&lt;MAESTRO!$G$8,0,1)</f>
        <v>1</v>
      </c>
      <c r="T397" s="10">
        <f t="shared" si="98"/>
        <v>2</v>
      </c>
      <c r="U397" t="str">
        <f>+IF(R397+S397=2,MAESTRO!$G$2,IF(R397+S397=0,MAESTRO!$G$5,IF(R397=0,MAESTRO!$G$3,IF(S397=0,MAESTRO!$G$4,))))</f>
        <v>cumple politica</v>
      </c>
    </row>
    <row r="398" spans="1:21" x14ac:dyDescent="0.3">
      <c r="A398" t="s">
        <v>125</v>
      </c>
      <c r="B398" t="s">
        <v>26</v>
      </c>
      <c r="C398" t="s">
        <v>65</v>
      </c>
      <c r="D398" t="s">
        <v>82</v>
      </c>
      <c r="E398" s="24">
        <f t="shared" si="92"/>
        <v>0</v>
      </c>
      <c r="F398" s="22">
        <f>-SUMIFS(CARGA!I:I,CARGA!B:B,tabla!A398,CARGA!D:D,tabla!C398,CARGA!C:C,MAESTRO!$B$4)-SUMIFS(CARGA!I:I,CARGA!B:B,tabla!A398,CARGA!D:D,tabla!C398,CARGA!C:C,MAESTRO!$B$5)</f>
        <v>0</v>
      </c>
      <c r="G398" s="5">
        <f>+SUMIFS(CARGA!I:I,CARGA!B:B,tabla!A398,CARGA!D:D,tabla!C398)</f>
        <v>0</v>
      </c>
      <c r="H398" s="5">
        <f>+SUMIFS(CARGA!K:K,CARGA!B:B,tabla!A398,CARGA!D:D,tabla!C398)</f>
        <v>0</v>
      </c>
      <c r="I398" s="5">
        <f t="shared" si="93"/>
        <v>0</v>
      </c>
      <c r="J398" s="5">
        <f>-SUMIFS(CARGA!K:K,CARGA!B:B,tabla!A398,CARGA!D:D,tabla!C398,CARGA!C:C,MAESTRO!$B$4)+SUMIFS(CARGA!K:K,CARGA!B:B,tabla!A398,CARGA!D:D,tabla!C398,CARGA!C:C,MAESTRO!$B$5)</f>
        <v>0</v>
      </c>
      <c r="K398" s="5" t="e">
        <f>+VLOOKUP(C398,#REF!,3,FALSE)</f>
        <v>#REF!</v>
      </c>
      <c r="L398" s="5" t="e">
        <f t="shared" si="94"/>
        <v>#REF!</v>
      </c>
      <c r="M398" s="5" t="e">
        <f t="shared" si="95"/>
        <v>#REF!</v>
      </c>
      <c r="N398" s="5" t="str">
        <f t="shared" si="96"/>
        <v>NO</v>
      </c>
      <c r="O398" s="5">
        <f>+VLOOKUP(C398,[2]Fondos!$F:$J,5,FALSE)</f>
        <v>26527515773</v>
      </c>
      <c r="P398" s="13">
        <f>+VLOOKUP(C398,[2]Fondos!$F:$K,6,FALSE)</f>
        <v>0.26544099999999998</v>
      </c>
      <c r="Q398" s="13">
        <f t="shared" si="97"/>
        <v>0</v>
      </c>
      <c r="R398" s="10">
        <f>+IF(Q398&gt;MAESTRO!$G$6,0,1)</f>
        <v>1</v>
      </c>
      <c r="S398">
        <f>+IF(P398&lt;MAESTRO!$G$8,0,1)</f>
        <v>1</v>
      </c>
      <c r="T398" s="10">
        <f t="shared" si="98"/>
        <v>2</v>
      </c>
      <c r="U398" t="str">
        <f>+IF(R398+S398=2,MAESTRO!$G$2,IF(R398+S398=0,MAESTRO!$G$5,IF(R398=0,MAESTRO!$G$3,IF(S398=0,MAESTRO!$G$4,))))</f>
        <v>cumple politica</v>
      </c>
    </row>
    <row r="399" spans="1:21" x14ac:dyDescent="0.3">
      <c r="A399" t="s">
        <v>125</v>
      </c>
      <c r="B399" t="s">
        <v>26</v>
      </c>
      <c r="C399" t="s">
        <v>45</v>
      </c>
      <c r="D399" t="s">
        <v>81</v>
      </c>
      <c r="E399" s="24">
        <f t="shared" si="92"/>
        <v>0</v>
      </c>
      <c r="F399" s="22">
        <f>-SUMIFS(CARGA!I:I,CARGA!B:B,tabla!A399,CARGA!D:D,tabla!C399,CARGA!C:C,MAESTRO!$B$4)-SUMIFS(CARGA!I:I,CARGA!B:B,tabla!A399,CARGA!D:D,tabla!C399,CARGA!C:C,MAESTRO!$B$5)</f>
        <v>0</v>
      </c>
      <c r="G399" s="5">
        <f>+SUMIFS(CARGA!I:I,CARGA!B:B,tabla!A399,CARGA!D:D,tabla!C399)</f>
        <v>0</v>
      </c>
      <c r="H399" s="5">
        <f>+SUMIFS(CARGA!K:K,CARGA!B:B,tabla!A399,CARGA!D:D,tabla!C399)</f>
        <v>0</v>
      </c>
      <c r="I399" s="5">
        <f t="shared" si="93"/>
        <v>0</v>
      </c>
      <c r="J399" s="5">
        <f>-SUMIFS(CARGA!K:K,CARGA!B:B,tabla!A399,CARGA!D:D,tabla!C399,CARGA!C:C,MAESTRO!$B$4)+SUMIFS(CARGA!K:K,CARGA!B:B,tabla!A399,CARGA!D:D,tabla!C399,CARGA!C:C,MAESTRO!$B$5)</f>
        <v>0</v>
      </c>
      <c r="K399" s="5" t="e">
        <f>+VLOOKUP(C399,#REF!,3,FALSE)</f>
        <v>#REF!</v>
      </c>
      <c r="L399" s="5" t="e">
        <f t="shared" si="94"/>
        <v>#REF!</v>
      </c>
      <c r="M399" s="5" t="e">
        <f t="shared" si="95"/>
        <v>#REF!</v>
      </c>
      <c r="N399" s="5" t="str">
        <f t="shared" si="96"/>
        <v>NO</v>
      </c>
      <c r="O399" s="5">
        <f>+VLOOKUP(C399,[2]Fondos!$F:$J,5,FALSE)</f>
        <v>9536957677</v>
      </c>
      <c r="P399" s="13">
        <f>+VLOOKUP(C399,[2]Fondos!$F:$K,6,FALSE)</f>
        <v>0.20501570000000002</v>
      </c>
      <c r="Q399" s="13">
        <f t="shared" si="97"/>
        <v>0</v>
      </c>
      <c r="R399" s="10">
        <f>+IF(Q399&gt;MAESTRO!$G$6,0,1)</f>
        <v>1</v>
      </c>
      <c r="S399">
        <f>+IF(P399&lt;MAESTRO!$G$8,0,1)</f>
        <v>1</v>
      </c>
      <c r="T399" s="10">
        <f t="shared" si="98"/>
        <v>2</v>
      </c>
      <c r="U399" t="str">
        <f>+IF(R399+S399=2,MAESTRO!$G$2,IF(R399+S399=0,MAESTRO!$G$5,IF(R399=0,MAESTRO!$G$3,IF(S399=0,MAESTRO!$G$4,))))</f>
        <v>cumple politica</v>
      </c>
    </row>
    <row r="400" spans="1:21" x14ac:dyDescent="0.3">
      <c r="A400" t="s">
        <v>125</v>
      </c>
      <c r="B400" t="s">
        <v>26</v>
      </c>
      <c r="C400" t="s">
        <v>41</v>
      </c>
      <c r="D400" t="s">
        <v>81</v>
      </c>
      <c r="E400" s="24">
        <f t="shared" si="92"/>
        <v>0</v>
      </c>
      <c r="F400" s="22">
        <f>-SUMIFS(CARGA!I:I,CARGA!B:B,tabla!A400,CARGA!D:D,tabla!C400,CARGA!C:C,MAESTRO!$B$4)-SUMIFS(CARGA!I:I,CARGA!B:B,tabla!A400,CARGA!D:D,tabla!C400,CARGA!C:C,MAESTRO!$B$5)</f>
        <v>0</v>
      </c>
      <c r="G400" s="5">
        <f>+SUMIFS(CARGA!I:I,CARGA!B:B,tabla!A400,CARGA!D:D,tabla!C400)</f>
        <v>0</v>
      </c>
      <c r="H400" s="5">
        <f>+SUMIFS(CARGA!K:K,CARGA!B:B,tabla!A400,CARGA!D:D,tabla!C400)</f>
        <v>0</v>
      </c>
      <c r="I400" s="5">
        <f t="shared" si="93"/>
        <v>0</v>
      </c>
      <c r="J400" s="5">
        <f>-SUMIFS(CARGA!K:K,CARGA!B:B,tabla!A400,CARGA!D:D,tabla!C400,CARGA!C:C,MAESTRO!$B$4)+SUMIFS(CARGA!K:K,CARGA!B:B,tabla!A400,CARGA!D:D,tabla!C400,CARGA!C:C,MAESTRO!$B$5)</f>
        <v>0</v>
      </c>
      <c r="K400" s="5" t="e">
        <f>+VLOOKUP(C400,#REF!,3,FALSE)</f>
        <v>#REF!</v>
      </c>
      <c r="L400" s="5" t="e">
        <f t="shared" si="94"/>
        <v>#REF!</v>
      </c>
      <c r="M400" s="5" t="e">
        <f t="shared" si="95"/>
        <v>#REF!</v>
      </c>
      <c r="N400" s="5" t="str">
        <f t="shared" si="96"/>
        <v>NO</v>
      </c>
      <c r="O400" s="5">
        <f>+VLOOKUP(C400,[2]Fondos!$F:$J,5,FALSE)</f>
        <v>9536957677</v>
      </c>
      <c r="P400" s="13">
        <f>+VLOOKUP(C400,[2]Fondos!$F:$K,6,FALSE)</f>
        <v>0.2143747</v>
      </c>
      <c r="Q400" s="13">
        <f t="shared" si="97"/>
        <v>0</v>
      </c>
      <c r="R400" s="10">
        <f>+IF(Q400&gt;MAESTRO!$G$6,0,1)</f>
        <v>1</v>
      </c>
      <c r="S400">
        <f>+IF(P400&lt;MAESTRO!$G$8,0,1)</f>
        <v>1</v>
      </c>
      <c r="T400" s="10">
        <f t="shared" si="98"/>
        <v>2</v>
      </c>
      <c r="U400" t="str">
        <f>+IF(R400+S400=2,MAESTRO!$G$2,IF(R400+S400=0,MAESTRO!$G$5,IF(R400=0,MAESTRO!$G$3,IF(S400=0,MAESTRO!$G$4,))))</f>
        <v>cumple politica</v>
      </c>
    </row>
    <row r="401" spans="1:21" x14ac:dyDescent="0.3">
      <c r="A401" t="s">
        <v>125</v>
      </c>
      <c r="B401" t="s">
        <v>36</v>
      </c>
      <c r="C401" t="s">
        <v>73</v>
      </c>
      <c r="D401" t="s">
        <v>82</v>
      </c>
      <c r="E401" s="24">
        <f t="shared" si="92"/>
        <v>0</v>
      </c>
      <c r="F401" s="22">
        <f>-SUMIFS(CARGA!I:I,CARGA!B:B,tabla!A401,CARGA!D:D,tabla!C401,CARGA!C:C,MAESTRO!$B$4)-SUMIFS(CARGA!I:I,CARGA!B:B,tabla!A401,CARGA!D:D,tabla!C401,CARGA!C:C,MAESTRO!$B$5)</f>
        <v>0</v>
      </c>
      <c r="G401" s="5">
        <f>+SUMIFS(CARGA!I:I,CARGA!B:B,tabla!A401,CARGA!D:D,tabla!C401)</f>
        <v>0</v>
      </c>
      <c r="H401" s="5">
        <f>+SUMIFS(CARGA!K:K,CARGA!B:B,tabla!A401,CARGA!D:D,tabla!C401)</f>
        <v>0</v>
      </c>
      <c r="I401" s="5">
        <f t="shared" si="93"/>
        <v>0</v>
      </c>
      <c r="J401" s="5">
        <f>-SUMIFS(CARGA!K:K,CARGA!B:B,tabla!A401,CARGA!D:D,tabla!C401,CARGA!C:C,MAESTRO!$B$4)+SUMIFS(CARGA!K:K,CARGA!B:B,tabla!A401,CARGA!D:D,tabla!C401,CARGA!C:C,MAESTRO!$B$5)</f>
        <v>0</v>
      </c>
      <c r="K401" s="5" t="e">
        <f>+VLOOKUP(C401,#REF!,3,FALSE)</f>
        <v>#REF!</v>
      </c>
      <c r="L401" s="5" t="e">
        <f t="shared" si="94"/>
        <v>#REF!</v>
      </c>
      <c r="M401" s="5" t="e">
        <f t="shared" si="95"/>
        <v>#REF!</v>
      </c>
      <c r="N401" s="5" t="str">
        <f t="shared" si="96"/>
        <v>NO</v>
      </c>
      <c r="O401" s="5">
        <f>+VLOOKUP(C401,[2]Fondos!$F:$J,5,FALSE)</f>
        <v>5558283453.2200003</v>
      </c>
      <c r="P401" s="13">
        <f>+VLOOKUP(C401,[2]Fondos!$F:$K,6,FALSE)</f>
        <v>0.26949119999999999</v>
      </c>
      <c r="Q401" s="13">
        <f t="shared" si="97"/>
        <v>0</v>
      </c>
      <c r="R401" s="10">
        <f>+IF(Q401&gt;MAESTRO!$G$6,0,1)</f>
        <v>1</v>
      </c>
      <c r="S401">
        <f>+IF(P401&lt;MAESTRO!$G$8,0,1)</f>
        <v>1</v>
      </c>
      <c r="T401" s="10">
        <f t="shared" si="98"/>
        <v>2</v>
      </c>
      <c r="U401" t="str">
        <f>+IF(R401+S401=2,MAESTRO!$G$2,IF(R401+S401=0,MAESTRO!$G$5,IF(R401=0,MAESTRO!$G$3,IF(S401=0,MAESTRO!$G$4,))))</f>
        <v>cumple politica</v>
      </c>
    </row>
    <row r="402" spans="1:21" x14ac:dyDescent="0.3">
      <c r="A402" t="s">
        <v>125</v>
      </c>
      <c r="B402" t="s">
        <v>36</v>
      </c>
      <c r="C402" t="s">
        <v>72</v>
      </c>
      <c r="D402" t="s">
        <v>81</v>
      </c>
      <c r="E402" s="24">
        <f t="shared" si="92"/>
        <v>0</v>
      </c>
      <c r="F402" s="22">
        <f>-SUMIFS(CARGA!I:I,CARGA!B:B,tabla!A402,CARGA!D:D,tabla!C402,CARGA!C:C,MAESTRO!$B$4)-SUMIFS(CARGA!I:I,CARGA!B:B,tabla!A402,CARGA!D:D,tabla!C402,CARGA!C:C,MAESTRO!$B$5)</f>
        <v>0</v>
      </c>
      <c r="G402" s="5">
        <f>+SUMIFS(CARGA!I:I,CARGA!B:B,tabla!A402,CARGA!D:D,tabla!C402)</f>
        <v>0</v>
      </c>
      <c r="H402" s="5">
        <f>+SUMIFS(CARGA!K:K,CARGA!B:B,tabla!A402,CARGA!D:D,tabla!C402)</f>
        <v>0</v>
      </c>
      <c r="I402" s="5">
        <f t="shared" si="93"/>
        <v>0</v>
      </c>
      <c r="J402" s="5">
        <f>-SUMIFS(CARGA!K:K,CARGA!B:B,tabla!A402,CARGA!D:D,tabla!C402,CARGA!C:C,MAESTRO!$B$4)+SUMIFS(CARGA!K:K,CARGA!B:B,tabla!A402,CARGA!D:D,tabla!C402,CARGA!C:C,MAESTRO!$B$5)</f>
        <v>0</v>
      </c>
      <c r="K402" s="5" t="e">
        <f>+VLOOKUP(C402,#REF!,3,FALSE)</f>
        <v>#REF!</v>
      </c>
      <c r="L402" s="5" t="e">
        <f t="shared" si="94"/>
        <v>#REF!</v>
      </c>
      <c r="M402" s="5" t="e">
        <f t="shared" si="95"/>
        <v>#REF!</v>
      </c>
      <c r="N402" s="5" t="str">
        <f t="shared" si="96"/>
        <v>NO</v>
      </c>
      <c r="O402" s="5">
        <f>+VLOOKUP(C402,[2]Fondos!$F:$J,5,FALSE)</f>
        <v>4289905534.3099999</v>
      </c>
      <c r="P402" s="13">
        <f>+VLOOKUP(C402,[2]Fondos!$F:$K,6,FALSE)</f>
        <v>0.2090719</v>
      </c>
      <c r="Q402" s="13">
        <f t="shared" si="97"/>
        <v>0</v>
      </c>
      <c r="R402" s="10">
        <f>+IF(Q402&gt;MAESTRO!$G$6,0,1)</f>
        <v>1</v>
      </c>
      <c r="S402">
        <f>+IF(P402&lt;MAESTRO!$G$8,0,1)</f>
        <v>1</v>
      </c>
      <c r="T402" s="10">
        <f t="shared" si="98"/>
        <v>2</v>
      </c>
      <c r="U402" t="str">
        <f>+IF(R402+S402=2,MAESTRO!$G$2,IF(R402+S402=0,MAESTRO!$G$5,IF(R402=0,MAESTRO!$G$3,IF(S402=0,MAESTRO!$G$4,))))</f>
        <v>cumple politica</v>
      </c>
    </row>
    <row r="403" spans="1:21" x14ac:dyDescent="0.3">
      <c r="A403" t="s">
        <v>125</v>
      </c>
      <c r="B403" t="s">
        <v>28</v>
      </c>
      <c r="C403" t="s">
        <v>46</v>
      </c>
      <c r="D403" t="s">
        <v>81</v>
      </c>
      <c r="E403" s="24">
        <f t="shared" si="92"/>
        <v>0</v>
      </c>
      <c r="F403" s="22">
        <f>-SUMIFS(CARGA!I:I,CARGA!B:B,tabla!A403,CARGA!D:D,tabla!C403,CARGA!C:C,MAESTRO!$B$4)-SUMIFS(CARGA!I:I,CARGA!B:B,tabla!A403,CARGA!D:D,tabla!C403,CARGA!C:C,MAESTRO!$B$5)</f>
        <v>0</v>
      </c>
      <c r="G403" s="5">
        <f>+SUMIFS(CARGA!I:I,CARGA!B:B,tabla!A403,CARGA!D:D,tabla!C403)</f>
        <v>0</v>
      </c>
      <c r="H403" s="5">
        <f>+SUMIFS(CARGA!K:K,CARGA!B:B,tabla!A403,CARGA!D:D,tabla!C403)</f>
        <v>0</v>
      </c>
      <c r="I403" s="5">
        <f t="shared" si="93"/>
        <v>0</v>
      </c>
      <c r="J403" s="5">
        <f>-SUMIFS(CARGA!K:K,CARGA!B:B,tabla!A403,CARGA!D:D,tabla!C403,CARGA!C:C,MAESTRO!$B$4)+SUMIFS(CARGA!K:K,CARGA!B:B,tabla!A403,CARGA!D:D,tabla!C403,CARGA!C:C,MAESTRO!$B$5)</f>
        <v>0</v>
      </c>
      <c r="K403" s="5" t="e">
        <f>+VLOOKUP(C403,#REF!,3,FALSE)</f>
        <v>#REF!</v>
      </c>
      <c r="L403" s="5" t="e">
        <f t="shared" si="94"/>
        <v>#REF!</v>
      </c>
      <c r="M403" s="5" t="e">
        <f t="shared" si="95"/>
        <v>#REF!</v>
      </c>
      <c r="N403" s="5" t="str">
        <f t="shared" si="96"/>
        <v>NO</v>
      </c>
      <c r="O403" s="5">
        <f>+VLOOKUP(C403,[2]Fondos!$F:$J,5,FALSE)</f>
        <v>2107469999.9999998</v>
      </c>
      <c r="P403" s="13">
        <f>+VLOOKUP(C403,[2]Fondos!$F:$K,6,FALSE)</f>
        <v>0.20305720000000002</v>
      </c>
      <c r="Q403" s="13">
        <f t="shared" si="97"/>
        <v>0</v>
      </c>
      <c r="R403" s="10">
        <f>+IF(Q403&gt;MAESTRO!$G$6,0,1)</f>
        <v>1</v>
      </c>
      <c r="S403">
        <f>+IF(P403&lt;MAESTRO!$G$8,0,1)</f>
        <v>1</v>
      </c>
      <c r="T403" s="10">
        <f t="shared" si="98"/>
        <v>2</v>
      </c>
      <c r="U403" t="str">
        <f>+IF(R403+S403=2,MAESTRO!$G$2,IF(R403+S403=0,MAESTRO!$G$5,IF(R403=0,MAESTRO!$G$3,IF(S403=0,MAESTRO!$G$4,))))</f>
        <v>cumple politica</v>
      </c>
    </row>
    <row r="404" spans="1:21" x14ac:dyDescent="0.3">
      <c r="A404" t="s">
        <v>125</v>
      </c>
      <c r="B404" t="s">
        <v>28</v>
      </c>
      <c r="C404" t="s">
        <v>44</v>
      </c>
      <c r="D404" t="s">
        <v>81</v>
      </c>
      <c r="E404" s="24">
        <f t="shared" si="92"/>
        <v>0</v>
      </c>
      <c r="F404" s="22">
        <f>-SUMIFS(CARGA!I:I,CARGA!B:B,tabla!A404,CARGA!D:D,tabla!C404,CARGA!C:C,MAESTRO!$B$4)-SUMIFS(CARGA!I:I,CARGA!B:B,tabla!A404,CARGA!D:D,tabla!C404,CARGA!C:C,MAESTRO!$B$5)</f>
        <v>0</v>
      </c>
      <c r="G404" s="5">
        <f>+SUMIFS(CARGA!I:I,CARGA!B:B,tabla!A404,CARGA!D:D,tabla!C404)</f>
        <v>0</v>
      </c>
      <c r="H404" s="5">
        <f>+SUMIFS(CARGA!K:K,CARGA!B:B,tabla!A404,CARGA!D:D,tabla!C404)</f>
        <v>0</v>
      </c>
      <c r="I404" s="5">
        <f t="shared" si="93"/>
        <v>0</v>
      </c>
      <c r="J404" s="5">
        <f>-SUMIFS(CARGA!K:K,CARGA!B:B,tabla!A404,CARGA!D:D,tabla!C404,CARGA!C:C,MAESTRO!$B$4)+SUMIFS(CARGA!K:K,CARGA!B:B,tabla!A404,CARGA!D:D,tabla!C404,CARGA!C:C,MAESTRO!$B$5)</f>
        <v>0</v>
      </c>
      <c r="K404" s="5" t="e">
        <f>+VLOOKUP(C404,#REF!,3,FALSE)</f>
        <v>#REF!</v>
      </c>
      <c r="L404" s="5" t="e">
        <f t="shared" si="94"/>
        <v>#REF!</v>
      </c>
      <c r="M404" s="5" t="e">
        <f t="shared" si="95"/>
        <v>#REF!</v>
      </c>
      <c r="N404" s="5" t="str">
        <f t="shared" si="96"/>
        <v>NO</v>
      </c>
      <c r="O404" s="5">
        <f>+VLOOKUP(C404,[2]Fondos!$F:$J,5,FALSE)</f>
        <v>2107469999.9999998</v>
      </c>
      <c r="P404" s="13">
        <f>+VLOOKUP(C404,[2]Fondos!$F:$K,6,FALSE)</f>
        <v>0.20835799999999999</v>
      </c>
      <c r="Q404" s="13">
        <f t="shared" si="97"/>
        <v>0</v>
      </c>
      <c r="R404" s="10">
        <f>+IF(Q404&gt;MAESTRO!$G$6,0,1)</f>
        <v>1</v>
      </c>
      <c r="S404">
        <f>+IF(P404&lt;MAESTRO!$G$8,0,1)</f>
        <v>1</v>
      </c>
      <c r="T404" s="10">
        <f t="shared" si="98"/>
        <v>2</v>
      </c>
      <c r="U404" t="str">
        <f>+IF(R404+S404=2,MAESTRO!$G$2,IF(R404+S404=0,MAESTRO!$G$5,IF(R404=0,MAESTRO!$G$3,IF(S404=0,MAESTRO!$G$4,))))</f>
        <v>cumple politica</v>
      </c>
    </row>
    <row r="405" spans="1:21" x14ac:dyDescent="0.3">
      <c r="A405" t="s">
        <v>125</v>
      </c>
      <c r="B405" t="s">
        <v>28</v>
      </c>
      <c r="C405" t="s">
        <v>64</v>
      </c>
      <c r="D405" t="s">
        <v>82</v>
      </c>
      <c r="E405" s="24">
        <f t="shared" si="92"/>
        <v>0</v>
      </c>
      <c r="F405" s="22">
        <f>-SUMIFS(CARGA!I:I,CARGA!B:B,tabla!A405,CARGA!D:D,tabla!C405,CARGA!C:C,MAESTRO!$B$4)-SUMIFS(CARGA!I:I,CARGA!B:B,tabla!A405,CARGA!D:D,tabla!C405,CARGA!C:C,MAESTRO!$B$5)</f>
        <v>0</v>
      </c>
      <c r="G405" s="5">
        <f>+SUMIFS(CARGA!I:I,CARGA!B:B,tabla!A405,CARGA!D:D,tabla!C405)</f>
        <v>0</v>
      </c>
      <c r="H405" s="5">
        <f>+SUMIFS(CARGA!K:K,CARGA!B:B,tabla!A405,CARGA!D:D,tabla!C405)</f>
        <v>0</v>
      </c>
      <c r="I405" s="5">
        <f t="shared" si="93"/>
        <v>0</v>
      </c>
      <c r="J405" s="5">
        <f>-SUMIFS(CARGA!K:K,CARGA!B:B,tabla!A405,CARGA!D:D,tabla!C405,CARGA!C:C,MAESTRO!$B$4)+SUMIFS(CARGA!K:K,CARGA!B:B,tabla!A405,CARGA!D:D,tabla!C405,CARGA!C:C,MAESTRO!$B$5)</f>
        <v>0</v>
      </c>
      <c r="K405" s="5" t="e">
        <f>+VLOOKUP(C405,#REF!,3,FALSE)</f>
        <v>#REF!</v>
      </c>
      <c r="L405" s="5" t="e">
        <f t="shared" si="94"/>
        <v>#REF!</v>
      </c>
      <c r="M405" s="5" t="e">
        <f t="shared" si="95"/>
        <v>#REF!</v>
      </c>
      <c r="N405" s="5" t="str">
        <f t="shared" si="96"/>
        <v>NO</v>
      </c>
      <c r="O405" s="5">
        <f>+VLOOKUP(C405,[2]Fondos!$F:$J,5,FALSE)</f>
        <v>8673260000</v>
      </c>
      <c r="P405" s="13">
        <f>+VLOOKUP(C405,[2]Fondos!$F:$K,6,FALSE)</f>
        <v>0.25678699999999999</v>
      </c>
      <c r="Q405" s="13">
        <f t="shared" si="97"/>
        <v>0</v>
      </c>
      <c r="R405" s="10">
        <f>+IF(Q405&gt;MAESTRO!$G$6,0,1)</f>
        <v>1</v>
      </c>
      <c r="S405">
        <f>+IF(P405&lt;MAESTRO!$G$8,0,1)</f>
        <v>1</v>
      </c>
      <c r="T405" s="10">
        <f t="shared" si="98"/>
        <v>2</v>
      </c>
      <c r="U405" t="str">
        <f>+IF(R405+S405=2,MAESTRO!$G$2,IF(R405+S405=0,MAESTRO!$G$5,IF(R405=0,MAESTRO!$G$3,IF(S405=0,MAESTRO!$G$4,))))</f>
        <v>cumple politica</v>
      </c>
    </row>
    <row r="406" spans="1:21" x14ac:dyDescent="0.3">
      <c r="A406" t="s">
        <v>125</v>
      </c>
      <c r="B406" t="s">
        <v>28</v>
      </c>
      <c r="C406" t="s">
        <v>60</v>
      </c>
      <c r="D406" t="s">
        <v>82</v>
      </c>
      <c r="E406" s="24">
        <f t="shared" si="92"/>
        <v>0</v>
      </c>
      <c r="F406" s="22">
        <f>-SUMIFS(CARGA!I:I,CARGA!B:B,tabla!A406,CARGA!D:D,tabla!C406,CARGA!C:C,MAESTRO!$B$4)-SUMIFS(CARGA!I:I,CARGA!B:B,tabla!A406,CARGA!D:D,tabla!C406,CARGA!C:C,MAESTRO!$B$5)</f>
        <v>0</v>
      </c>
      <c r="G406" s="5">
        <f>+SUMIFS(CARGA!I:I,CARGA!B:B,tabla!A406,CARGA!D:D,tabla!C406)</f>
        <v>0</v>
      </c>
      <c r="H406" s="5">
        <f>+SUMIFS(CARGA!K:K,CARGA!B:B,tabla!A406,CARGA!D:D,tabla!C406)</f>
        <v>0</v>
      </c>
      <c r="I406" s="5">
        <f t="shared" si="93"/>
        <v>0</v>
      </c>
      <c r="J406" s="5">
        <f>-SUMIFS(CARGA!K:K,CARGA!B:B,tabla!A406,CARGA!D:D,tabla!C406,CARGA!C:C,MAESTRO!$B$4)+SUMIFS(CARGA!K:K,CARGA!B:B,tabla!A406,CARGA!D:D,tabla!C406,CARGA!C:C,MAESTRO!$B$5)</f>
        <v>0</v>
      </c>
      <c r="K406" s="5" t="e">
        <f>+VLOOKUP(C406,#REF!,3,FALSE)</f>
        <v>#REF!</v>
      </c>
      <c r="L406" s="5" t="e">
        <f t="shared" si="94"/>
        <v>#REF!</v>
      </c>
      <c r="M406" s="5" t="e">
        <f t="shared" si="95"/>
        <v>#REF!</v>
      </c>
      <c r="N406" s="5" t="str">
        <f t="shared" si="96"/>
        <v>NO</v>
      </c>
      <c r="O406" s="5">
        <f>+VLOOKUP(C406,[2]Fondos!$F:$J,5,FALSE)</f>
        <v>8673260000</v>
      </c>
      <c r="P406" s="13">
        <f>+VLOOKUP(C406,[2]Fondos!$F:$K,6,FALSE)</f>
        <v>0.26727390000000001</v>
      </c>
      <c r="Q406" s="13">
        <f t="shared" si="97"/>
        <v>0</v>
      </c>
      <c r="R406" s="10">
        <f>+IF(Q406&gt;MAESTRO!$G$6,0,1)</f>
        <v>1</v>
      </c>
      <c r="S406">
        <f>+IF(P406&lt;MAESTRO!$G$8,0,1)</f>
        <v>1</v>
      </c>
      <c r="T406" s="10">
        <f t="shared" si="98"/>
        <v>2</v>
      </c>
      <c r="U406" t="str">
        <f>+IF(R406+S406=2,MAESTRO!$G$2,IF(R406+S406=0,MAESTRO!$G$5,IF(R406=0,MAESTRO!$G$3,IF(S406=0,MAESTRO!$G$4,))))</f>
        <v>cumple politica</v>
      </c>
    </row>
    <row r="407" spans="1:21" x14ac:dyDescent="0.3">
      <c r="A407" t="s">
        <v>125</v>
      </c>
      <c r="B407" t="s">
        <v>22</v>
      </c>
      <c r="C407" t="s">
        <v>37</v>
      </c>
      <c r="D407" t="s">
        <v>81</v>
      </c>
      <c r="E407" s="24">
        <f t="shared" si="92"/>
        <v>0</v>
      </c>
      <c r="F407" s="22">
        <f>-SUMIFS(CARGA!I:I,CARGA!B:B,tabla!A407,CARGA!D:D,tabla!C407,CARGA!C:C,MAESTRO!$B$4)-SUMIFS(CARGA!I:I,CARGA!B:B,tabla!A407,CARGA!D:D,tabla!C407,CARGA!C:C,MAESTRO!$B$5)</f>
        <v>0</v>
      </c>
      <c r="G407" s="5">
        <f>+SUMIFS(CARGA!I:I,CARGA!B:B,tabla!A407,CARGA!D:D,tabla!C407)</f>
        <v>0</v>
      </c>
      <c r="H407" s="5">
        <f>+SUMIFS(CARGA!K:K,CARGA!B:B,tabla!A407,CARGA!D:D,tabla!C407)</f>
        <v>0</v>
      </c>
      <c r="I407" s="5">
        <f t="shared" si="93"/>
        <v>0</v>
      </c>
      <c r="J407" s="5">
        <f>-SUMIFS(CARGA!K:K,CARGA!B:B,tabla!A407,CARGA!D:D,tabla!C407,CARGA!C:C,MAESTRO!$B$4)+SUMIFS(CARGA!K:K,CARGA!B:B,tabla!A407,CARGA!D:D,tabla!C407,CARGA!C:C,MAESTRO!$B$5)</f>
        <v>0</v>
      </c>
      <c r="K407" s="5" t="e">
        <f>+VLOOKUP(C407,#REF!,3,FALSE)</f>
        <v>#REF!</v>
      </c>
      <c r="L407" s="5" t="e">
        <f t="shared" si="94"/>
        <v>#REF!</v>
      </c>
      <c r="M407" s="5" t="e">
        <f t="shared" si="95"/>
        <v>#REF!</v>
      </c>
      <c r="N407" s="5" t="str">
        <f t="shared" si="96"/>
        <v>NO</v>
      </c>
      <c r="O407" s="5">
        <f>+VLOOKUP(C407,[2]Fondos!$F:$J,5,FALSE)</f>
        <v>652691913</v>
      </c>
      <c r="P407" s="13">
        <f>+VLOOKUP(C407,[2]Fondos!$F:$K,6,FALSE)</f>
        <v>0.25056249999999997</v>
      </c>
      <c r="Q407" s="13">
        <f t="shared" si="97"/>
        <v>0</v>
      </c>
      <c r="R407" s="10">
        <f>+IF(Q407&gt;MAESTRO!$G$6,0,1)</f>
        <v>1</v>
      </c>
      <c r="S407">
        <f>+IF(P407&lt;MAESTRO!$G$8,0,1)</f>
        <v>1</v>
      </c>
      <c r="T407" s="10">
        <f t="shared" si="98"/>
        <v>2</v>
      </c>
      <c r="U407" t="str">
        <f>+IF(R407+S407=2,MAESTRO!$G$2,IF(R407+S407=0,MAESTRO!$G$5,IF(R407=0,MAESTRO!$G$3,IF(S407=0,MAESTRO!$G$4,))))</f>
        <v>cumple politica</v>
      </c>
    </row>
    <row r="408" spans="1:21" x14ac:dyDescent="0.3">
      <c r="A408" t="s">
        <v>125</v>
      </c>
      <c r="B408" t="s">
        <v>22</v>
      </c>
      <c r="C408" t="s">
        <v>54</v>
      </c>
      <c r="D408" t="s">
        <v>82</v>
      </c>
      <c r="E408" s="24">
        <f t="shared" si="92"/>
        <v>0</v>
      </c>
      <c r="F408" s="22">
        <f>-SUMIFS(CARGA!I:I,CARGA!B:B,tabla!A408,CARGA!D:D,tabla!C408,CARGA!C:C,MAESTRO!$B$4)-SUMIFS(CARGA!I:I,CARGA!B:B,tabla!A408,CARGA!D:D,tabla!C408,CARGA!C:C,MAESTRO!$B$5)</f>
        <v>0</v>
      </c>
      <c r="G408" s="5">
        <f>+SUMIFS(CARGA!I:I,CARGA!B:B,tabla!A408,CARGA!D:D,tabla!C408)</f>
        <v>0</v>
      </c>
      <c r="H408" s="5">
        <f>+SUMIFS(CARGA!K:K,CARGA!B:B,tabla!A408,CARGA!D:D,tabla!C408)</f>
        <v>0</v>
      </c>
      <c r="I408" s="5">
        <f t="shared" si="93"/>
        <v>0</v>
      </c>
      <c r="J408" s="5">
        <f>-SUMIFS(CARGA!K:K,CARGA!B:B,tabla!A408,CARGA!D:D,tabla!C408,CARGA!C:C,MAESTRO!$B$4)+SUMIFS(CARGA!K:K,CARGA!B:B,tabla!A408,CARGA!D:D,tabla!C408,CARGA!C:C,MAESTRO!$B$5)</f>
        <v>0</v>
      </c>
      <c r="K408" s="5" t="e">
        <f>+VLOOKUP(C408,#REF!,3,FALSE)</f>
        <v>#REF!</v>
      </c>
      <c r="L408" s="5" t="e">
        <f t="shared" si="94"/>
        <v>#REF!</v>
      </c>
      <c r="M408" s="5" t="e">
        <f t="shared" si="95"/>
        <v>#REF!</v>
      </c>
      <c r="N408" s="5" t="str">
        <f t="shared" si="96"/>
        <v>NO</v>
      </c>
      <c r="O408" s="5">
        <f>+VLOOKUP(C408,[2]Fondos!$F:$J,5,FALSE)</f>
        <v>2006490136</v>
      </c>
      <c r="P408" s="13">
        <f>+VLOOKUP(C408,[2]Fondos!$F:$K,6,FALSE)</f>
        <v>0.27425260000000001</v>
      </c>
      <c r="Q408" s="13">
        <f t="shared" si="97"/>
        <v>0</v>
      </c>
      <c r="R408" s="10">
        <f>+IF(Q408&gt;MAESTRO!$G$6,0,1)</f>
        <v>1</v>
      </c>
      <c r="S408">
        <f>+IF(P408&lt;MAESTRO!$G$8,0,1)</f>
        <v>1</v>
      </c>
      <c r="T408" s="10">
        <f t="shared" si="98"/>
        <v>2</v>
      </c>
      <c r="U408" t="str">
        <f>+IF(R408+S408=2,MAESTRO!$G$2,IF(R408+S408=0,MAESTRO!$G$5,IF(R408=0,MAESTRO!$G$3,IF(S408=0,MAESTRO!$G$4,))))</f>
        <v>cumple politica</v>
      </c>
    </row>
    <row r="409" spans="1:21" x14ac:dyDescent="0.3">
      <c r="A409" t="s">
        <v>125</v>
      </c>
      <c r="B409" t="s">
        <v>34</v>
      </c>
      <c r="C409" t="s">
        <v>77</v>
      </c>
      <c r="D409" t="s">
        <v>82</v>
      </c>
      <c r="E409" s="24">
        <f t="shared" si="92"/>
        <v>0</v>
      </c>
      <c r="F409" s="22">
        <f>-SUMIFS(CARGA!I:I,CARGA!B:B,tabla!A409,CARGA!D:D,tabla!C409,CARGA!C:C,MAESTRO!$B$4)-SUMIFS(CARGA!I:I,CARGA!B:B,tabla!A409,CARGA!D:D,tabla!C409,CARGA!C:C,MAESTRO!$B$5)</f>
        <v>0</v>
      </c>
      <c r="G409" s="5">
        <f>+SUMIFS(CARGA!I:I,CARGA!B:B,tabla!A409,CARGA!D:D,tabla!C409)</f>
        <v>0</v>
      </c>
      <c r="H409" s="5">
        <f>+SUMIFS(CARGA!K:K,CARGA!B:B,tabla!A409,CARGA!D:D,tabla!C409)</f>
        <v>0</v>
      </c>
      <c r="I409" s="5">
        <f t="shared" si="93"/>
        <v>0</v>
      </c>
      <c r="J409" s="5">
        <f>-SUMIFS(CARGA!K:K,CARGA!B:B,tabla!A409,CARGA!D:D,tabla!C409,CARGA!C:C,MAESTRO!$B$4)+SUMIFS(CARGA!K:K,CARGA!B:B,tabla!A409,CARGA!D:D,tabla!C409,CARGA!C:C,MAESTRO!$B$5)</f>
        <v>0</v>
      </c>
      <c r="K409" s="5" t="e">
        <f>+VLOOKUP(C409,#REF!,3,FALSE)</f>
        <v>#REF!</v>
      </c>
      <c r="L409" s="5" t="e">
        <f t="shared" si="94"/>
        <v>#REF!</v>
      </c>
      <c r="M409" s="5" t="e">
        <f t="shared" si="95"/>
        <v>#REF!</v>
      </c>
      <c r="N409" s="5" t="str">
        <f t="shared" si="96"/>
        <v>NO</v>
      </c>
      <c r="O409" s="5">
        <f>+VLOOKUP(C409,[2]Fondos!$F:$J,5,FALSE)</f>
        <v>10383624192</v>
      </c>
      <c r="P409" s="13">
        <f>+VLOOKUP(C409,[2]Fondos!$F:$K,6,FALSE)</f>
        <v>0.27741320000000003</v>
      </c>
      <c r="Q409" s="13">
        <f t="shared" si="97"/>
        <v>0</v>
      </c>
      <c r="R409" s="10">
        <f>+IF(Q409&gt;MAESTRO!$G$6,0,1)</f>
        <v>1</v>
      </c>
      <c r="S409">
        <f>+IF(P409&lt;MAESTRO!$G$8,0,1)</f>
        <v>1</v>
      </c>
      <c r="T409" s="10">
        <f t="shared" si="98"/>
        <v>2</v>
      </c>
      <c r="U409" t="str">
        <f>+IF(R409+S409=2,MAESTRO!$G$2,IF(R409+S409=0,MAESTRO!$G$5,IF(R409=0,MAESTRO!$G$3,IF(S409=0,MAESTRO!$G$4,))))</f>
        <v>cumple politica</v>
      </c>
    </row>
    <row r="410" spans="1:21" x14ac:dyDescent="0.3">
      <c r="A410" t="s">
        <v>125</v>
      </c>
      <c r="B410" t="s">
        <v>34</v>
      </c>
      <c r="C410" t="s">
        <v>53</v>
      </c>
      <c r="D410" t="s">
        <v>81</v>
      </c>
      <c r="E410" s="24">
        <f t="shared" si="92"/>
        <v>0</v>
      </c>
      <c r="F410" s="22">
        <f>-SUMIFS(CARGA!I:I,CARGA!B:B,tabla!A410,CARGA!D:D,tabla!C410,CARGA!C:C,MAESTRO!$B$4)-SUMIFS(CARGA!I:I,CARGA!B:B,tabla!A410,CARGA!D:D,tabla!C410,CARGA!C:C,MAESTRO!$B$5)</f>
        <v>0</v>
      </c>
      <c r="G410" s="5">
        <f>+SUMIFS(CARGA!I:I,CARGA!B:B,tabla!A410,CARGA!D:D,tabla!C410)</f>
        <v>0</v>
      </c>
      <c r="H410" s="5">
        <f>+SUMIFS(CARGA!K:K,CARGA!B:B,tabla!A410,CARGA!D:D,tabla!C410)</f>
        <v>0</v>
      </c>
      <c r="I410" s="5">
        <f t="shared" si="93"/>
        <v>0</v>
      </c>
      <c r="J410" s="5">
        <f>-SUMIFS(CARGA!K:K,CARGA!B:B,tabla!A410,CARGA!D:D,tabla!C410,CARGA!C:C,MAESTRO!$B$4)+SUMIFS(CARGA!K:K,CARGA!B:B,tabla!A410,CARGA!D:D,tabla!C410,CARGA!C:C,MAESTRO!$B$5)</f>
        <v>0</v>
      </c>
      <c r="K410" s="5" t="e">
        <f>+VLOOKUP(C410,#REF!,3,FALSE)</f>
        <v>#REF!</v>
      </c>
      <c r="L410" s="5" t="e">
        <f t="shared" si="94"/>
        <v>#REF!</v>
      </c>
      <c r="M410" s="5" t="e">
        <f t="shared" si="95"/>
        <v>#REF!</v>
      </c>
      <c r="N410" s="5" t="str">
        <f t="shared" si="96"/>
        <v>NO</v>
      </c>
      <c r="O410" s="5">
        <f>+VLOOKUP(C410,[2]Fondos!$F:$J,5,FALSE)</f>
        <v>4530803420</v>
      </c>
      <c r="P410" s="13">
        <f>+VLOOKUP(C410,[2]Fondos!$F:$K,6,FALSE)</f>
        <v>0.2425168</v>
      </c>
      <c r="Q410" s="13">
        <f t="shared" si="97"/>
        <v>0</v>
      </c>
      <c r="R410" s="10">
        <f>+IF(Q410&gt;MAESTRO!$G$6,0,1)</f>
        <v>1</v>
      </c>
      <c r="S410">
        <f>+IF(P410&lt;MAESTRO!$G$8,0,1)</f>
        <v>1</v>
      </c>
      <c r="T410" s="10">
        <f t="shared" si="98"/>
        <v>2</v>
      </c>
      <c r="U410" t="str">
        <f>+IF(R410+S410=2,MAESTRO!$G$2,IF(R410+S410=0,MAESTRO!$G$5,IF(R410=0,MAESTRO!$G$3,IF(S410=0,MAESTRO!$G$4,))))</f>
        <v>cumple politica</v>
      </c>
    </row>
    <row r="411" spans="1:21" x14ac:dyDescent="0.3">
      <c r="A411" t="s">
        <v>125</v>
      </c>
      <c r="B411" t="s">
        <v>129</v>
      </c>
      <c r="C411" t="s">
        <v>128</v>
      </c>
      <c r="D411" t="s">
        <v>81</v>
      </c>
      <c r="E411" s="24">
        <f t="shared" si="92"/>
        <v>0</v>
      </c>
      <c r="F411" s="22">
        <f>-SUMIFS(CARGA!I:I,CARGA!B:B,tabla!A411,CARGA!D:D,tabla!C411,CARGA!C:C,MAESTRO!$B$4)-SUMIFS(CARGA!I:I,CARGA!B:B,tabla!A411,CARGA!D:D,tabla!C411,CARGA!C:C,MAESTRO!$B$5)</f>
        <v>0</v>
      </c>
      <c r="G411" s="5">
        <f>+SUMIFS(CARGA!I:I,CARGA!B:B,tabla!A411,CARGA!D:D,tabla!C411)</f>
        <v>0</v>
      </c>
      <c r="H411" s="5">
        <f>+SUMIFS(CARGA!K:K,CARGA!B:B,tabla!A411,CARGA!D:D,tabla!C411)</f>
        <v>0</v>
      </c>
      <c r="I411" s="5">
        <f t="shared" si="93"/>
        <v>0</v>
      </c>
      <c r="J411" s="5">
        <f>-SUMIFS(CARGA!K:K,CARGA!B:B,tabla!A411,CARGA!D:D,tabla!C411,CARGA!C:C,MAESTRO!$B$4)+SUMIFS(CARGA!K:K,CARGA!B:B,tabla!A411,CARGA!D:D,tabla!C411,CARGA!C:C,MAESTRO!$B$5)</f>
        <v>0</v>
      </c>
      <c r="K411" s="5" t="e">
        <f>+VLOOKUP(C411,#REF!,3,FALSE)</f>
        <v>#REF!</v>
      </c>
      <c r="L411" s="5" t="e">
        <f t="shared" si="94"/>
        <v>#REF!</v>
      </c>
      <c r="M411" s="5" t="e">
        <f t="shared" si="95"/>
        <v>#REF!</v>
      </c>
      <c r="N411" s="5" t="str">
        <f t="shared" si="96"/>
        <v>NO</v>
      </c>
      <c r="O411" s="5" t="e">
        <f>+VLOOKUP(C411,[2]Fondos!$F:$J,5,FALSE)</f>
        <v>#N/A</v>
      </c>
      <c r="P411" s="13" t="e">
        <f>+VLOOKUP(C411,[2]Fondos!$F:$K,6,FALSE)</f>
        <v>#N/A</v>
      </c>
      <c r="Q411" s="13" t="e">
        <f t="shared" si="97"/>
        <v>#N/A</v>
      </c>
      <c r="R411" s="10" t="e">
        <f>+IF(Q411&gt;MAESTRO!$G$6,0,1)</f>
        <v>#N/A</v>
      </c>
      <c r="S411" t="e">
        <f>+IF(P411&lt;MAESTRO!$G$8,0,1)</f>
        <v>#N/A</v>
      </c>
      <c r="T411" s="10" t="e">
        <f t="shared" si="98"/>
        <v>#N/A</v>
      </c>
      <c r="U411" t="e">
        <f>+IF(R411+S411=2,MAESTRO!$G$2,IF(R411+S411=0,MAESTRO!$G$5,IF(R411=0,MAESTRO!$G$3,IF(S411=0,MAESTRO!$G$4,))))</f>
        <v>#N/A</v>
      </c>
    </row>
    <row r="412" spans="1:21" x14ac:dyDescent="0.3">
      <c r="A412" t="s">
        <v>125</v>
      </c>
      <c r="B412" t="s">
        <v>30</v>
      </c>
      <c r="C412" t="s">
        <v>49</v>
      </c>
      <c r="D412" t="s">
        <v>81</v>
      </c>
      <c r="E412" s="24">
        <f t="shared" si="92"/>
        <v>0</v>
      </c>
      <c r="F412" s="22">
        <f>-SUMIFS(CARGA!I:I,CARGA!B:B,tabla!A412,CARGA!D:D,tabla!C412,CARGA!C:C,MAESTRO!$B$4)-SUMIFS(CARGA!I:I,CARGA!B:B,tabla!A412,CARGA!D:D,tabla!C412,CARGA!C:C,MAESTRO!$B$5)</f>
        <v>0</v>
      </c>
      <c r="G412" s="5">
        <f>+SUMIFS(CARGA!I:I,CARGA!B:B,tabla!A412,CARGA!D:D,tabla!C412)</f>
        <v>0</v>
      </c>
      <c r="H412" s="5">
        <f>+SUMIFS(CARGA!K:K,CARGA!B:B,tabla!A412,CARGA!D:D,tabla!C412)</f>
        <v>0</v>
      </c>
      <c r="I412" s="5">
        <f t="shared" si="93"/>
        <v>0</v>
      </c>
      <c r="J412" s="5">
        <f>-SUMIFS(CARGA!K:K,CARGA!B:B,tabla!A412,CARGA!D:D,tabla!C412,CARGA!C:C,MAESTRO!$B$4)+SUMIFS(CARGA!K:K,CARGA!B:B,tabla!A412,CARGA!D:D,tabla!C412,CARGA!C:C,MAESTRO!$B$5)</f>
        <v>0</v>
      </c>
      <c r="K412" s="5" t="e">
        <f>+VLOOKUP(C412,#REF!,3,FALSE)</f>
        <v>#REF!</v>
      </c>
      <c r="L412" s="5" t="e">
        <f t="shared" si="94"/>
        <v>#REF!</v>
      </c>
      <c r="M412" s="5" t="e">
        <f t="shared" si="95"/>
        <v>#REF!</v>
      </c>
      <c r="N412" s="5" t="str">
        <f t="shared" si="96"/>
        <v>NO</v>
      </c>
      <c r="O412" s="5">
        <f>+VLOOKUP(C412,[2]Fondos!$F:$J,5,FALSE)</f>
        <v>9591427.7400000002</v>
      </c>
      <c r="P412" s="13">
        <f>+VLOOKUP(C412,[2]Fondos!$F:$K,6,FALSE)</f>
        <v>0.1408799</v>
      </c>
      <c r="Q412" s="13">
        <f t="shared" si="97"/>
        <v>0</v>
      </c>
      <c r="R412" s="10">
        <f>+IF(Q412&gt;MAESTRO!$G$6,0,1)</f>
        <v>1</v>
      </c>
      <c r="S412">
        <f>+IF(P412&lt;MAESTRO!$G$8,0,1)</f>
        <v>1</v>
      </c>
      <c r="T412" s="10">
        <f t="shared" si="98"/>
        <v>2</v>
      </c>
      <c r="U412" t="str">
        <f>+IF(R412+S412=2,MAESTRO!$G$2,IF(R412+S412=0,MAESTRO!$G$5,IF(R412=0,MAESTRO!$G$3,IF(S412=0,MAESTRO!$G$4,))))</f>
        <v>cumple politica</v>
      </c>
    </row>
    <row r="413" spans="1:21" x14ac:dyDescent="0.3">
      <c r="A413" t="s">
        <v>125</v>
      </c>
      <c r="B413" t="s">
        <v>30</v>
      </c>
      <c r="C413" t="s">
        <v>68</v>
      </c>
      <c r="D413" t="s">
        <v>82</v>
      </c>
      <c r="E413" s="24">
        <f t="shared" si="92"/>
        <v>0</v>
      </c>
      <c r="F413" s="22">
        <f>-SUMIFS(CARGA!I:I,CARGA!B:B,tabla!A413,CARGA!D:D,tabla!C413,CARGA!C:C,MAESTRO!$B$4)-SUMIFS(CARGA!I:I,CARGA!B:B,tabla!A413,CARGA!D:D,tabla!C413,CARGA!C:C,MAESTRO!$B$5)</f>
        <v>0</v>
      </c>
      <c r="G413" s="5">
        <f>+SUMIFS(CARGA!I:I,CARGA!B:B,tabla!A413,CARGA!D:D,tabla!C413)</f>
        <v>0</v>
      </c>
      <c r="H413" s="5">
        <f>+SUMIFS(CARGA!K:K,CARGA!B:B,tabla!A413,CARGA!D:D,tabla!C413)</f>
        <v>0</v>
      </c>
      <c r="I413" s="5">
        <f t="shared" si="93"/>
        <v>0</v>
      </c>
      <c r="J413" s="5">
        <f>-SUMIFS(CARGA!K:K,CARGA!B:B,tabla!A413,CARGA!D:D,tabla!C413,CARGA!C:C,MAESTRO!$B$4)+SUMIFS(CARGA!K:K,CARGA!B:B,tabla!A413,CARGA!D:D,tabla!C413,CARGA!C:C,MAESTRO!$B$5)</f>
        <v>0</v>
      </c>
      <c r="K413" s="5" t="e">
        <f>+VLOOKUP(C413,#REF!,3,FALSE)</f>
        <v>#REF!</v>
      </c>
      <c r="L413" s="5" t="e">
        <f t="shared" si="94"/>
        <v>#REF!</v>
      </c>
      <c r="M413" s="5" t="e">
        <f t="shared" si="95"/>
        <v>#REF!</v>
      </c>
      <c r="N413" s="5" t="str">
        <f t="shared" si="96"/>
        <v>NO</v>
      </c>
      <c r="O413" s="5">
        <f>+VLOOKUP(C413,[2]Fondos!$F:$J,5,FALSE)</f>
        <v>5034893543.9799995</v>
      </c>
      <c r="P413" s="13">
        <f>+VLOOKUP(C413,[2]Fondos!$F:$K,6,FALSE)</f>
        <v>0.27295020000000003</v>
      </c>
      <c r="Q413" s="13">
        <f t="shared" si="97"/>
        <v>0</v>
      </c>
      <c r="R413" s="10">
        <f>+IF(Q413&gt;MAESTRO!$G$6,0,1)</f>
        <v>1</v>
      </c>
      <c r="S413">
        <f>+IF(P413&lt;MAESTRO!$G$8,0,1)</f>
        <v>1</v>
      </c>
      <c r="T413" s="10">
        <f t="shared" si="98"/>
        <v>2</v>
      </c>
      <c r="U413" t="str">
        <f>+IF(R413+S413=2,MAESTRO!$G$2,IF(R413+S413=0,MAESTRO!$G$5,IF(R413=0,MAESTRO!$G$3,IF(S413=0,MAESTRO!$G$4,))))</f>
        <v>cumple politica</v>
      </c>
    </row>
    <row r="414" spans="1:21" x14ac:dyDescent="0.3">
      <c r="A414" t="s">
        <v>125</v>
      </c>
      <c r="B414" t="s">
        <v>30</v>
      </c>
      <c r="C414" t="s">
        <v>67</v>
      </c>
      <c r="D414" t="s">
        <v>82</v>
      </c>
      <c r="E414" s="24">
        <f t="shared" si="92"/>
        <v>0</v>
      </c>
      <c r="F414" s="22">
        <f>-SUMIFS(CARGA!I:I,CARGA!B:B,tabla!A414,CARGA!D:D,tabla!C414,CARGA!C:C,MAESTRO!$B$4)-SUMIFS(CARGA!I:I,CARGA!B:B,tabla!A414,CARGA!D:D,tabla!C414,CARGA!C:C,MAESTRO!$B$5)</f>
        <v>0</v>
      </c>
      <c r="G414" s="5">
        <f>+SUMIFS(CARGA!I:I,CARGA!B:B,tabla!A414,CARGA!D:D,tabla!C414)</f>
        <v>0</v>
      </c>
      <c r="H414" s="5">
        <f>+SUMIFS(CARGA!K:K,CARGA!B:B,tabla!A414,CARGA!D:D,tabla!C414)</f>
        <v>0</v>
      </c>
      <c r="I414" s="5">
        <f t="shared" si="93"/>
        <v>0</v>
      </c>
      <c r="J414" s="5">
        <f>-SUMIFS(CARGA!K:K,CARGA!B:B,tabla!A414,CARGA!D:D,tabla!C414,CARGA!C:C,MAESTRO!$B$4)+SUMIFS(CARGA!K:K,CARGA!B:B,tabla!A414,CARGA!D:D,tabla!C414,CARGA!C:C,MAESTRO!$B$5)</f>
        <v>0</v>
      </c>
      <c r="K414" s="5" t="e">
        <f>+VLOOKUP(C414,#REF!,3,FALSE)</f>
        <v>#REF!</v>
      </c>
      <c r="L414" s="5" t="e">
        <f t="shared" si="94"/>
        <v>#REF!</v>
      </c>
      <c r="M414" s="5" t="e">
        <f t="shared" si="95"/>
        <v>#REF!</v>
      </c>
      <c r="N414" s="5" t="str">
        <f t="shared" si="96"/>
        <v>NO</v>
      </c>
      <c r="O414" s="5">
        <f>+VLOOKUP(C414,[2]Fondos!$F:$J,5,FALSE)</f>
        <v>11465050695.200001</v>
      </c>
      <c r="P414" s="13">
        <f>+VLOOKUP(C414,[2]Fondos!$F:$K,6,FALSE)</f>
        <v>0.2357329</v>
      </c>
      <c r="Q414" s="13">
        <f t="shared" si="97"/>
        <v>0</v>
      </c>
      <c r="R414" s="10">
        <f>+IF(Q414&gt;MAESTRO!$G$6,0,1)</f>
        <v>1</v>
      </c>
      <c r="S414">
        <f>+IF(P414&lt;MAESTRO!$G$8,0,1)</f>
        <v>1</v>
      </c>
      <c r="T414" s="10">
        <f t="shared" si="98"/>
        <v>2</v>
      </c>
      <c r="U414" t="str">
        <f>+IF(R414+S414=2,MAESTRO!$G$2,IF(R414+S414=0,MAESTRO!$G$5,IF(R414=0,MAESTRO!$G$3,IF(S414=0,MAESTRO!$G$4,))))</f>
        <v>cumple politica</v>
      </c>
    </row>
    <row r="415" spans="1:21" x14ac:dyDescent="0.3">
      <c r="A415" t="s">
        <v>125</v>
      </c>
      <c r="B415" t="s">
        <v>29</v>
      </c>
      <c r="C415" t="s">
        <v>48</v>
      </c>
      <c r="D415" t="s">
        <v>81</v>
      </c>
      <c r="E415" s="24">
        <f t="shared" si="92"/>
        <v>0</v>
      </c>
      <c r="F415" s="22">
        <f>-SUMIFS(CARGA!I:I,CARGA!B:B,tabla!A415,CARGA!D:D,tabla!C415,CARGA!C:C,MAESTRO!$B$4)-SUMIFS(CARGA!I:I,CARGA!B:B,tabla!A415,CARGA!D:D,tabla!C415,CARGA!C:C,MAESTRO!$B$5)</f>
        <v>0</v>
      </c>
      <c r="G415" s="5">
        <f>+SUMIFS(CARGA!I:I,CARGA!B:B,tabla!A415,CARGA!D:D,tabla!C415)</f>
        <v>0</v>
      </c>
      <c r="H415" s="5">
        <f>+SUMIFS(CARGA!K:K,CARGA!B:B,tabla!A415,CARGA!D:D,tabla!C415)</f>
        <v>0</v>
      </c>
      <c r="I415" s="5">
        <f t="shared" si="93"/>
        <v>0</v>
      </c>
      <c r="J415" s="5">
        <f>-SUMIFS(CARGA!K:K,CARGA!B:B,tabla!A415,CARGA!D:D,tabla!C415,CARGA!C:C,MAESTRO!$B$4)+SUMIFS(CARGA!K:K,CARGA!B:B,tabla!A415,CARGA!D:D,tabla!C415,CARGA!C:C,MAESTRO!$B$5)</f>
        <v>0</v>
      </c>
      <c r="K415" s="5" t="e">
        <f>+VLOOKUP(C415,#REF!,3,FALSE)</f>
        <v>#REF!</v>
      </c>
      <c r="L415" s="5" t="e">
        <f t="shared" si="94"/>
        <v>#REF!</v>
      </c>
      <c r="M415" s="5" t="e">
        <f t="shared" si="95"/>
        <v>#REF!</v>
      </c>
      <c r="N415" s="5" t="str">
        <f t="shared" si="96"/>
        <v>NO</v>
      </c>
      <c r="O415" s="5">
        <f>+VLOOKUP(C415,[2]Fondos!$F:$J,5,FALSE)</f>
        <v>1752057008.8599999</v>
      </c>
      <c r="P415" s="13">
        <f>+VLOOKUP(C415,[2]Fondos!$F:$K,6,FALSE)</f>
        <v>0.21970210000000001</v>
      </c>
      <c r="Q415" s="13">
        <f t="shared" si="97"/>
        <v>0</v>
      </c>
      <c r="R415" s="10">
        <f>+IF(Q415&gt;MAESTRO!$G$6,0,1)</f>
        <v>1</v>
      </c>
      <c r="S415">
        <f>+IF(P415&lt;MAESTRO!$G$8,0,1)</f>
        <v>1</v>
      </c>
      <c r="T415" s="10">
        <f t="shared" si="98"/>
        <v>2</v>
      </c>
      <c r="U415" t="str">
        <f>+IF(R415+S415=2,MAESTRO!$G$2,IF(R415+S415=0,MAESTRO!$G$5,IF(R415=0,MAESTRO!$G$3,IF(S415=0,MAESTRO!$G$4,))))</f>
        <v>cumple politica</v>
      </c>
    </row>
    <row r="416" spans="1:21" x14ac:dyDescent="0.3">
      <c r="A416" t="s">
        <v>125</v>
      </c>
      <c r="B416" t="s">
        <v>29</v>
      </c>
      <c r="C416" t="s">
        <v>66</v>
      </c>
      <c r="D416" t="s">
        <v>82</v>
      </c>
      <c r="E416" s="24">
        <f t="shared" si="92"/>
        <v>0</v>
      </c>
      <c r="F416" s="22">
        <f>-SUMIFS(CARGA!I:I,CARGA!B:B,tabla!A416,CARGA!D:D,tabla!C416,CARGA!C:C,MAESTRO!$B$4)-SUMIFS(CARGA!I:I,CARGA!B:B,tabla!A416,CARGA!D:D,tabla!C416,CARGA!C:C,MAESTRO!$B$5)</f>
        <v>0</v>
      </c>
      <c r="G416" s="5">
        <f>+SUMIFS(CARGA!I:I,CARGA!B:B,tabla!A416,CARGA!D:D,tabla!C416)</f>
        <v>0</v>
      </c>
      <c r="H416" s="5">
        <f>+SUMIFS(CARGA!K:K,CARGA!B:B,tabla!A416,CARGA!D:D,tabla!C416)</f>
        <v>0</v>
      </c>
      <c r="I416" s="5">
        <f t="shared" si="93"/>
        <v>0</v>
      </c>
      <c r="J416" s="5">
        <f>-SUMIFS(CARGA!K:K,CARGA!B:B,tabla!A416,CARGA!D:D,tabla!C416,CARGA!C:C,MAESTRO!$B$4)+SUMIFS(CARGA!K:K,CARGA!B:B,tabla!A416,CARGA!D:D,tabla!C416,CARGA!C:C,MAESTRO!$B$5)</f>
        <v>0</v>
      </c>
      <c r="K416" s="5" t="e">
        <f>+VLOOKUP(C416,#REF!,3,FALSE)</f>
        <v>#REF!</v>
      </c>
      <c r="L416" s="5" t="e">
        <f t="shared" si="94"/>
        <v>#REF!</v>
      </c>
      <c r="M416" s="5" t="e">
        <f t="shared" si="95"/>
        <v>#REF!</v>
      </c>
      <c r="N416" s="5" t="str">
        <f t="shared" si="96"/>
        <v>NO</v>
      </c>
      <c r="O416" s="5">
        <f>+VLOOKUP(C416,[2]Fondos!$F:$J,5,FALSE)</f>
        <v>15968105687.34</v>
      </c>
      <c r="P416" s="13">
        <f>+VLOOKUP(C416,[2]Fondos!$F:$K,6,FALSE)</f>
        <v>0.27123580000000003</v>
      </c>
      <c r="Q416" s="13">
        <f t="shared" si="97"/>
        <v>0</v>
      </c>
      <c r="R416" s="10">
        <f>+IF(Q416&gt;MAESTRO!$G$6,0,1)</f>
        <v>1</v>
      </c>
      <c r="S416">
        <f>+IF(P416&lt;MAESTRO!$G$8,0,1)</f>
        <v>1</v>
      </c>
      <c r="T416" s="10">
        <f t="shared" si="98"/>
        <v>2</v>
      </c>
      <c r="U416" t="str">
        <f>+IF(R416+S416=2,MAESTRO!$G$2,IF(R416+S416=0,MAESTRO!$G$5,IF(R416=0,MAESTRO!$G$3,IF(S416=0,MAESTRO!$G$4,))))</f>
        <v>cumple politica</v>
      </c>
    </row>
    <row r="417" spans="1:21" x14ac:dyDescent="0.3">
      <c r="A417" t="s">
        <v>125</v>
      </c>
      <c r="B417" t="s">
        <v>29</v>
      </c>
      <c r="C417" t="s">
        <v>110</v>
      </c>
      <c r="D417" t="s">
        <v>83</v>
      </c>
      <c r="E417" s="24">
        <f t="shared" si="92"/>
        <v>0</v>
      </c>
      <c r="F417" s="22">
        <f>-SUMIFS(CARGA!I:I,CARGA!B:B,tabla!A417,CARGA!D:D,tabla!C417,CARGA!C:C,MAESTRO!$B$4)-SUMIFS(CARGA!I:I,CARGA!B:B,tabla!A417,CARGA!D:D,tabla!C417,CARGA!C:C,MAESTRO!$B$5)</f>
        <v>0</v>
      </c>
      <c r="G417" s="5">
        <f>+SUMIFS(CARGA!I:I,CARGA!B:B,tabla!A417,CARGA!D:D,tabla!C417)</f>
        <v>0</v>
      </c>
      <c r="H417" s="5">
        <f>+SUMIFS(CARGA!K:K,CARGA!B:B,tabla!A417,CARGA!D:D,tabla!C417)</f>
        <v>0</v>
      </c>
      <c r="I417" s="5">
        <f t="shared" si="93"/>
        <v>0</v>
      </c>
      <c r="J417" s="5">
        <f>-SUMIFS(CARGA!K:K,CARGA!B:B,tabla!A417,CARGA!D:D,tabla!C417,CARGA!C:C,MAESTRO!$B$4)+SUMIFS(CARGA!K:K,CARGA!B:B,tabla!A417,CARGA!D:D,tabla!C417,CARGA!C:C,MAESTRO!$B$5)</f>
        <v>0</v>
      </c>
      <c r="K417" s="5" t="e">
        <f>+VLOOKUP(C417,#REF!,3,FALSE)</f>
        <v>#REF!</v>
      </c>
      <c r="L417" s="5" t="e">
        <f t="shared" si="94"/>
        <v>#REF!</v>
      </c>
      <c r="M417" s="5" t="e">
        <f t="shared" si="95"/>
        <v>#REF!</v>
      </c>
      <c r="N417" s="5" t="str">
        <f t="shared" si="96"/>
        <v>NO</v>
      </c>
      <c r="O417" s="5" t="e">
        <f>+VLOOKUP(C417,[2]Fondos!$F:$J,5,FALSE)</f>
        <v>#N/A</v>
      </c>
      <c r="P417" s="13" t="e">
        <f>+VLOOKUP(C417,[2]Fondos!$F:$K,6,FALSE)</f>
        <v>#N/A</v>
      </c>
      <c r="Q417" s="13" t="e">
        <f t="shared" si="97"/>
        <v>#N/A</v>
      </c>
      <c r="R417" s="10" t="e">
        <f>+IF(Q417&gt;MAESTRO!$G$6,0,1)</f>
        <v>#N/A</v>
      </c>
      <c r="S417" t="e">
        <f>+IF(P417&lt;MAESTRO!$G$8,0,1)</f>
        <v>#N/A</v>
      </c>
      <c r="T417" s="10" t="e">
        <f t="shared" si="98"/>
        <v>#N/A</v>
      </c>
      <c r="U417" t="e">
        <f>+IF(R417+S417=2,MAESTRO!$G$2,IF(R417+S417=0,MAESTRO!$G$5,IF(R417=0,MAESTRO!$G$3,IF(S417=0,MAESTRO!$G$4,))))</f>
        <v>#N/A</v>
      </c>
    </row>
    <row r="418" spans="1:21" x14ac:dyDescent="0.3">
      <c r="A418" t="s">
        <v>125</v>
      </c>
      <c r="B418" t="s">
        <v>24</v>
      </c>
      <c r="C418" t="s">
        <v>39</v>
      </c>
      <c r="D418" t="s">
        <v>81</v>
      </c>
      <c r="E418" s="24">
        <f t="shared" si="92"/>
        <v>0</v>
      </c>
      <c r="F418" s="22">
        <f>-SUMIFS(CARGA!I:I,CARGA!B:B,tabla!A418,CARGA!D:D,tabla!C418,CARGA!C:C,MAESTRO!$B$4)-SUMIFS(CARGA!I:I,CARGA!B:B,tabla!A418,CARGA!D:D,tabla!C418,CARGA!C:C,MAESTRO!$B$5)</f>
        <v>0</v>
      </c>
      <c r="G418" s="5">
        <f>+SUMIFS(CARGA!I:I,CARGA!B:B,tabla!A418,CARGA!D:D,tabla!C418)</f>
        <v>0</v>
      </c>
      <c r="H418" s="5">
        <f>+SUMIFS(CARGA!K:K,CARGA!B:B,tabla!A418,CARGA!D:D,tabla!C418)</f>
        <v>0</v>
      </c>
      <c r="I418" s="5">
        <f t="shared" si="93"/>
        <v>0</v>
      </c>
      <c r="J418" s="5">
        <f>-SUMIFS(CARGA!K:K,CARGA!B:B,tabla!A418,CARGA!D:D,tabla!C418,CARGA!C:C,MAESTRO!$B$4)+SUMIFS(CARGA!K:K,CARGA!B:B,tabla!A418,CARGA!D:D,tabla!C418,CARGA!C:C,MAESTRO!$B$5)</f>
        <v>0</v>
      </c>
      <c r="K418" s="5" t="e">
        <f>+VLOOKUP(C418,#REF!,3,FALSE)</f>
        <v>#REF!</v>
      </c>
      <c r="L418" s="5" t="e">
        <f t="shared" si="94"/>
        <v>#REF!</v>
      </c>
      <c r="M418" s="5" t="e">
        <f t="shared" si="95"/>
        <v>#REF!</v>
      </c>
      <c r="N418" s="5" t="str">
        <f t="shared" si="96"/>
        <v>NO</v>
      </c>
      <c r="O418" s="5">
        <f>+VLOOKUP(C418,[2]Fondos!$F:$J,5,FALSE)</f>
        <v>2294506221</v>
      </c>
      <c r="P418" s="13">
        <f>+VLOOKUP(C418,[2]Fondos!$F:$K,6,FALSE)</f>
        <v>0.21526589999999998</v>
      </c>
      <c r="Q418" s="13">
        <f t="shared" si="97"/>
        <v>0</v>
      </c>
      <c r="R418" s="10">
        <f>+IF(Q418&gt;MAESTRO!$G$6,0,1)</f>
        <v>1</v>
      </c>
      <c r="S418">
        <f>+IF(P418&lt;MAESTRO!$G$8,0,1)</f>
        <v>1</v>
      </c>
      <c r="T418" s="10">
        <f t="shared" si="98"/>
        <v>2</v>
      </c>
      <c r="U418" t="str">
        <f>+IF(R418+S418=2,MAESTRO!$G$2,IF(R418+S418=0,MAESTRO!$G$5,IF(R418=0,MAESTRO!$G$3,IF(S418=0,MAESTRO!$G$4,))))</f>
        <v>cumple politica</v>
      </c>
    </row>
    <row r="419" spans="1:21" x14ac:dyDescent="0.3">
      <c r="A419" t="s">
        <v>125</v>
      </c>
      <c r="B419" t="s">
        <v>24</v>
      </c>
      <c r="C419" t="s">
        <v>80</v>
      </c>
      <c r="D419" t="s">
        <v>82</v>
      </c>
      <c r="E419" s="24">
        <f t="shared" si="92"/>
        <v>0</v>
      </c>
      <c r="F419" s="22">
        <f>-SUMIFS(CARGA!I:I,CARGA!B:B,tabla!A419,CARGA!D:D,tabla!C419,CARGA!C:C,MAESTRO!$B$4)-SUMIFS(CARGA!I:I,CARGA!B:B,tabla!A419,CARGA!D:D,tabla!C419,CARGA!C:C,MAESTRO!$B$5)</f>
        <v>0</v>
      </c>
      <c r="G419" s="5">
        <f>+SUMIFS(CARGA!I:I,CARGA!B:B,tabla!A419,CARGA!D:D,tabla!C419)</f>
        <v>0</v>
      </c>
      <c r="H419" s="5">
        <f>+SUMIFS(CARGA!K:K,CARGA!B:B,tabla!A419,CARGA!D:D,tabla!C419)</f>
        <v>0</v>
      </c>
      <c r="I419" s="5">
        <f t="shared" si="93"/>
        <v>0</v>
      </c>
      <c r="J419" s="5">
        <f>-SUMIFS(CARGA!K:K,CARGA!B:B,tabla!A419,CARGA!D:D,tabla!C419,CARGA!C:C,MAESTRO!$B$4)+SUMIFS(CARGA!K:K,CARGA!B:B,tabla!A419,CARGA!D:D,tabla!C419,CARGA!C:C,MAESTRO!$B$5)</f>
        <v>0</v>
      </c>
      <c r="K419" s="5" t="e">
        <f>+VLOOKUP(C419,#REF!,3,FALSE)</f>
        <v>#REF!</v>
      </c>
      <c r="L419" s="5" t="e">
        <f t="shared" si="94"/>
        <v>#REF!</v>
      </c>
      <c r="M419" s="5" t="e">
        <f t="shared" si="95"/>
        <v>#REF!</v>
      </c>
      <c r="N419" s="5" t="str">
        <f t="shared" si="96"/>
        <v>NO</v>
      </c>
      <c r="O419" s="5">
        <f>+VLOOKUP(C419,[2]Fondos!$F:$J,5,FALSE)</f>
        <v>8324714840</v>
      </c>
      <c r="P419" s="13">
        <f>+VLOOKUP(C419,[2]Fondos!$F:$K,6,FALSE)</f>
        <v>0.27053379999999999</v>
      </c>
      <c r="Q419" s="13">
        <f t="shared" si="97"/>
        <v>0</v>
      </c>
      <c r="R419" s="10">
        <f>+IF(Q419&gt;MAESTRO!$G$6,0,1)</f>
        <v>1</v>
      </c>
      <c r="S419">
        <f>+IF(P419&lt;MAESTRO!$G$8,0,1)</f>
        <v>1</v>
      </c>
      <c r="T419" s="10">
        <f t="shared" si="98"/>
        <v>2</v>
      </c>
      <c r="U419" t="str">
        <f>+IF(R419+S419=2,MAESTRO!$G$2,IF(R419+S419=0,MAESTRO!$G$5,IF(R419=0,MAESTRO!$G$3,IF(S419=0,MAESTRO!$G$4,))))</f>
        <v>cumple politica</v>
      </c>
    </row>
    <row r="420" spans="1:21" x14ac:dyDescent="0.3">
      <c r="A420" t="s">
        <v>125</v>
      </c>
      <c r="B420" t="s">
        <v>24</v>
      </c>
      <c r="C420" t="s">
        <v>62</v>
      </c>
      <c r="D420" t="s">
        <v>82</v>
      </c>
      <c r="E420" s="24">
        <f t="shared" si="92"/>
        <v>0</v>
      </c>
      <c r="F420" s="22">
        <f>-SUMIFS(CARGA!I:I,CARGA!B:B,tabla!A420,CARGA!D:D,tabla!C420,CARGA!C:C,MAESTRO!$B$4)-SUMIFS(CARGA!I:I,CARGA!B:B,tabla!A420,CARGA!D:D,tabla!C420,CARGA!C:C,MAESTRO!$B$5)</f>
        <v>0</v>
      </c>
      <c r="G420" s="5">
        <f>+SUMIFS(CARGA!I:I,CARGA!B:B,tabla!A420,CARGA!D:D,tabla!C420)</f>
        <v>0</v>
      </c>
      <c r="H420" s="5">
        <f>+SUMIFS(CARGA!K:K,CARGA!B:B,tabla!A420,CARGA!D:D,tabla!C420)</f>
        <v>0</v>
      </c>
      <c r="I420" s="5">
        <f t="shared" si="93"/>
        <v>0</v>
      </c>
      <c r="J420" s="5">
        <f>-SUMIFS(CARGA!K:K,CARGA!B:B,tabla!A420,CARGA!D:D,tabla!C420,CARGA!C:C,MAESTRO!$B$4)+SUMIFS(CARGA!K:K,CARGA!B:B,tabla!A420,CARGA!D:D,tabla!C420,CARGA!C:C,MAESTRO!$B$5)</f>
        <v>0</v>
      </c>
      <c r="K420" s="5" t="e">
        <f>+VLOOKUP(C420,#REF!,3,FALSE)</f>
        <v>#REF!</v>
      </c>
      <c r="L420" s="5" t="e">
        <f t="shared" si="94"/>
        <v>#REF!</v>
      </c>
      <c r="M420" s="5" t="e">
        <f t="shared" si="95"/>
        <v>#REF!</v>
      </c>
      <c r="N420" s="5" t="str">
        <f t="shared" si="96"/>
        <v>NO</v>
      </c>
      <c r="O420" s="5">
        <f>+VLOOKUP(C420,[2]Fondos!$F:$J,5,FALSE)</f>
        <v>2635564025</v>
      </c>
      <c r="P420" s="13">
        <f>+VLOOKUP(C420,[2]Fondos!$F:$K,6,FALSE)</f>
        <v>0.26226080000000002</v>
      </c>
      <c r="Q420" s="13">
        <f t="shared" si="97"/>
        <v>0</v>
      </c>
      <c r="R420" s="10">
        <f>+IF(Q420&gt;MAESTRO!$G$6,0,1)</f>
        <v>1</v>
      </c>
      <c r="S420">
        <f>+IF(P420&lt;MAESTRO!$G$8,0,1)</f>
        <v>1</v>
      </c>
      <c r="T420" s="10">
        <f t="shared" si="98"/>
        <v>2</v>
      </c>
      <c r="U420" t="str">
        <f>+IF(R420+S420=2,MAESTRO!$G$2,IF(R420+S420=0,MAESTRO!$G$5,IF(R420=0,MAESTRO!$G$3,IF(S420=0,MAESTRO!$G$4,))))</f>
        <v>cumple politica</v>
      </c>
    </row>
    <row r="421" spans="1:21" x14ac:dyDescent="0.3">
      <c r="A421" t="s">
        <v>125</v>
      </c>
      <c r="B421" t="s">
        <v>32</v>
      </c>
      <c r="C421" t="s">
        <v>71</v>
      </c>
      <c r="D421" t="s">
        <v>82</v>
      </c>
      <c r="E421" s="24">
        <f t="shared" si="92"/>
        <v>0</v>
      </c>
      <c r="F421" s="22">
        <f>-SUMIFS(CARGA!I:I,CARGA!B:B,tabla!A421,CARGA!D:D,tabla!C421,CARGA!C:C,MAESTRO!$B$4)-SUMIFS(CARGA!I:I,CARGA!B:B,tabla!A421,CARGA!D:D,tabla!C421,CARGA!C:C,MAESTRO!$B$5)</f>
        <v>0</v>
      </c>
      <c r="G421" s="5">
        <f>+SUMIFS(CARGA!I:I,CARGA!B:B,tabla!A421,CARGA!D:D,tabla!C421)</f>
        <v>0</v>
      </c>
      <c r="H421" s="5">
        <f>+SUMIFS(CARGA!K:K,CARGA!B:B,tabla!A421,CARGA!D:D,tabla!C421)</f>
        <v>0</v>
      </c>
      <c r="I421" s="5">
        <f t="shared" si="93"/>
        <v>0</v>
      </c>
      <c r="J421" s="5">
        <f>-SUMIFS(CARGA!K:K,CARGA!B:B,tabla!A421,CARGA!D:D,tabla!C421,CARGA!C:C,MAESTRO!$B$4)+SUMIFS(CARGA!K:K,CARGA!B:B,tabla!A421,CARGA!D:D,tabla!C421,CARGA!C:C,MAESTRO!$B$5)</f>
        <v>0</v>
      </c>
      <c r="K421" s="5" t="e">
        <f>+VLOOKUP(C421,#REF!,3,FALSE)</f>
        <v>#REF!</v>
      </c>
      <c r="L421" s="5" t="e">
        <f t="shared" si="94"/>
        <v>#REF!</v>
      </c>
      <c r="M421" s="5" t="e">
        <f t="shared" si="95"/>
        <v>#REF!</v>
      </c>
      <c r="N421" s="5" t="str">
        <f t="shared" si="96"/>
        <v>NO</v>
      </c>
      <c r="O421" s="5">
        <f>+VLOOKUP(C421,[2]Fondos!$F:$J,5,FALSE)</f>
        <v>240000000</v>
      </c>
      <c r="P421" s="13">
        <f>+VLOOKUP(C421,[2]Fondos!$F:$K,6,FALSE)</f>
        <v>0.27596609999999999</v>
      </c>
      <c r="Q421" s="13">
        <f t="shared" si="97"/>
        <v>0</v>
      </c>
      <c r="R421" s="10">
        <f>+IF(Q421&gt;MAESTRO!$G$6,0,1)</f>
        <v>1</v>
      </c>
      <c r="S421">
        <f>+IF(P421&lt;MAESTRO!$G$8,0,1)</f>
        <v>1</v>
      </c>
      <c r="T421" s="10">
        <f t="shared" si="98"/>
        <v>2</v>
      </c>
      <c r="U421" t="str">
        <f>+IF(R421+S421=2,MAESTRO!$G$2,IF(R421+S421=0,MAESTRO!$G$5,IF(R421=0,MAESTRO!$G$3,IF(S421=0,MAESTRO!$G$4,))))</f>
        <v>cumple politica</v>
      </c>
    </row>
    <row r="422" spans="1:21" x14ac:dyDescent="0.3">
      <c r="A422" t="s">
        <v>125</v>
      </c>
      <c r="B422" t="s">
        <v>32</v>
      </c>
      <c r="C422" t="s">
        <v>51</v>
      </c>
      <c r="D422" t="s">
        <v>81</v>
      </c>
      <c r="E422" s="24">
        <f t="shared" si="92"/>
        <v>0</v>
      </c>
      <c r="F422" s="22">
        <f>-SUMIFS(CARGA!I:I,CARGA!B:B,tabla!A422,CARGA!D:D,tabla!C422,CARGA!C:C,MAESTRO!$B$4)-SUMIFS(CARGA!I:I,CARGA!B:B,tabla!A422,CARGA!D:D,tabla!C422,CARGA!C:C,MAESTRO!$B$5)</f>
        <v>0</v>
      </c>
      <c r="G422" s="5">
        <f>+SUMIFS(CARGA!I:I,CARGA!B:B,tabla!A422,CARGA!D:D,tabla!C422)</f>
        <v>0</v>
      </c>
      <c r="H422" s="5">
        <f>+SUMIFS(CARGA!K:K,CARGA!B:B,tabla!A422,CARGA!D:D,tabla!C422)</f>
        <v>0</v>
      </c>
      <c r="I422" s="5">
        <f t="shared" si="93"/>
        <v>0</v>
      </c>
      <c r="J422" s="5">
        <f>-SUMIFS(CARGA!K:K,CARGA!B:B,tabla!A422,CARGA!D:D,tabla!C422,CARGA!C:C,MAESTRO!$B$4)+SUMIFS(CARGA!K:K,CARGA!B:B,tabla!A422,CARGA!D:D,tabla!C422,CARGA!C:C,MAESTRO!$B$5)</f>
        <v>0</v>
      </c>
      <c r="K422" s="5" t="e">
        <f>+VLOOKUP(C422,#REF!,3,FALSE)</f>
        <v>#REF!</v>
      </c>
      <c r="L422" s="5" t="e">
        <f t="shared" si="94"/>
        <v>#REF!</v>
      </c>
      <c r="M422" s="5" t="e">
        <f t="shared" si="95"/>
        <v>#REF!</v>
      </c>
      <c r="N422" s="5" t="str">
        <f t="shared" si="96"/>
        <v>NO</v>
      </c>
      <c r="O422" s="5">
        <f>+VLOOKUP(C422,[2]Fondos!$F:$J,5,FALSE)</f>
        <v>360000000</v>
      </c>
      <c r="P422" s="13">
        <f>+VLOOKUP(C422,[2]Fondos!$F:$K,6,FALSE)</f>
        <v>0.19705159999999999</v>
      </c>
      <c r="Q422" s="13">
        <f t="shared" si="97"/>
        <v>0</v>
      </c>
      <c r="R422" s="10">
        <f>+IF(Q422&gt;MAESTRO!$G$6,0,1)</f>
        <v>1</v>
      </c>
      <c r="S422">
        <f>+IF(P422&lt;MAESTRO!$G$8,0,1)</f>
        <v>1</v>
      </c>
      <c r="T422" s="10">
        <f t="shared" si="98"/>
        <v>2</v>
      </c>
      <c r="U422" t="str">
        <f>+IF(R422+S422=2,MAESTRO!$G$2,IF(R422+S422=0,MAESTRO!$G$5,IF(R422=0,MAESTRO!$G$3,IF(S422=0,MAESTRO!$G$4,))))</f>
        <v>cumple politica</v>
      </c>
    </row>
    <row r="423" spans="1:21" x14ac:dyDescent="0.3">
      <c r="A423" t="s">
        <v>125</v>
      </c>
      <c r="B423" t="s">
        <v>35</v>
      </c>
      <c r="C423" t="s">
        <v>55</v>
      </c>
      <c r="D423" t="s">
        <v>82</v>
      </c>
      <c r="E423" s="24">
        <f t="shared" si="92"/>
        <v>0</v>
      </c>
      <c r="F423" s="22">
        <f>-SUMIFS(CARGA!I:I,CARGA!B:B,tabla!A423,CARGA!D:D,tabla!C423,CARGA!C:C,MAESTRO!$B$4)-SUMIFS(CARGA!I:I,CARGA!B:B,tabla!A423,CARGA!D:D,tabla!C423,CARGA!C:C,MAESTRO!$B$5)</f>
        <v>0</v>
      </c>
      <c r="G423" s="5">
        <f>+SUMIFS(CARGA!I:I,CARGA!B:B,tabla!A423,CARGA!D:D,tabla!C423)</f>
        <v>0</v>
      </c>
      <c r="H423" s="5">
        <f>+SUMIFS(CARGA!K:K,CARGA!B:B,tabla!A423,CARGA!D:D,tabla!C423)</f>
        <v>0</v>
      </c>
      <c r="I423" s="5">
        <f t="shared" si="93"/>
        <v>0</v>
      </c>
      <c r="J423" s="5">
        <f>-SUMIFS(CARGA!K:K,CARGA!B:B,tabla!A423,CARGA!D:D,tabla!C423,CARGA!C:C,MAESTRO!$B$4)+SUMIFS(CARGA!K:K,CARGA!B:B,tabla!A423,CARGA!D:D,tabla!C423,CARGA!C:C,MAESTRO!$B$5)</f>
        <v>0</v>
      </c>
      <c r="K423" s="5" t="e">
        <f>+VLOOKUP(C423,#REF!,3,FALSE)</f>
        <v>#REF!</v>
      </c>
      <c r="L423" s="5" t="e">
        <f t="shared" si="94"/>
        <v>#REF!</v>
      </c>
      <c r="M423" s="5" t="e">
        <f t="shared" si="95"/>
        <v>#REF!</v>
      </c>
      <c r="N423" s="5" t="str">
        <f t="shared" si="96"/>
        <v>NO</v>
      </c>
      <c r="O423" s="5">
        <f>+VLOOKUP(C423,[2]Fondos!$F:$J,5,FALSE)</f>
        <v>601998365.54999995</v>
      </c>
      <c r="P423" s="13">
        <f>+VLOOKUP(C423,[2]Fondos!$F:$K,6,FALSE)</f>
        <v>0.27414070000000001</v>
      </c>
      <c r="Q423" s="13">
        <f t="shared" si="97"/>
        <v>0</v>
      </c>
      <c r="R423" s="10">
        <f>+IF(Q423&gt;MAESTRO!$G$6,0,1)</f>
        <v>1</v>
      </c>
      <c r="S423">
        <f>+IF(P423&lt;MAESTRO!$G$8,0,1)</f>
        <v>1</v>
      </c>
      <c r="T423" s="10">
        <f t="shared" si="98"/>
        <v>2</v>
      </c>
      <c r="U423" t="str">
        <f>+IF(R423+S423=2,MAESTRO!$G$2,IF(R423+S423=0,MAESTRO!$G$5,IF(R423=0,MAESTRO!$G$3,IF(S423=0,MAESTRO!$G$4,))))</f>
        <v>cumple politica</v>
      </c>
    </row>
    <row r="424" spans="1:21" x14ac:dyDescent="0.3">
      <c r="A424" t="s">
        <v>125</v>
      </c>
      <c r="B424" t="s">
        <v>23</v>
      </c>
      <c r="C424" t="s">
        <v>43</v>
      </c>
      <c r="D424" t="s">
        <v>81</v>
      </c>
      <c r="E424" s="24">
        <f t="shared" ref="E424:E430" si="99">+F424+G424</f>
        <v>0</v>
      </c>
      <c r="F424" s="22">
        <f>-SUMIFS(CARGA!I:I,CARGA!B:B,tabla!A424,CARGA!D:D,tabla!C424,CARGA!C:C,MAESTRO!$B$4)-SUMIFS(CARGA!I:I,CARGA!B:B,tabla!A424,CARGA!D:D,tabla!C424,CARGA!C:C,MAESTRO!$B$5)</f>
        <v>0</v>
      </c>
      <c r="G424" s="5">
        <f>+SUMIFS(CARGA!I:I,CARGA!B:B,tabla!A424,CARGA!D:D,tabla!C424)</f>
        <v>0</v>
      </c>
      <c r="H424" s="5">
        <f>+SUMIFS(CARGA!K:K,CARGA!B:B,tabla!A424,CARGA!D:D,tabla!C424)</f>
        <v>0</v>
      </c>
      <c r="I424" s="5">
        <f t="shared" ref="I424:I430" si="100">+H424+J424</f>
        <v>0</v>
      </c>
      <c r="J424" s="5">
        <f>-SUMIFS(CARGA!K:K,CARGA!B:B,tabla!A424,CARGA!D:D,tabla!C424,CARGA!C:C,MAESTRO!$B$4)+SUMIFS(CARGA!K:K,CARGA!B:B,tabla!A424,CARGA!D:D,tabla!C424,CARGA!C:C,MAESTRO!$B$5)</f>
        <v>0</v>
      </c>
      <c r="K424" s="5" t="e">
        <f>+VLOOKUP(C424,#REF!,3,FALSE)</f>
        <v>#REF!</v>
      </c>
      <c r="L424" s="5" t="e">
        <f t="shared" ref="L424:L430" si="101">+K424*I424</f>
        <v>#REF!</v>
      </c>
      <c r="M424" s="5" t="e">
        <f t="shared" ref="M424:M430" si="102">+K424*J424</f>
        <v>#REF!</v>
      </c>
      <c r="N424" s="5" t="str">
        <f t="shared" ref="N424:N430" si="103">+IF(G424+F424=0,"NO","SI")</f>
        <v>NO</v>
      </c>
      <c r="O424" s="5">
        <f>+VLOOKUP(C424,[2]Fondos!$F:$J,5,FALSE)</f>
        <v>3553303148</v>
      </c>
      <c r="P424" s="13">
        <f>+VLOOKUP(C424,[2]Fondos!$F:$K,6,FALSE)</f>
        <v>0.2092009</v>
      </c>
      <c r="Q424" s="13">
        <f t="shared" ref="Q424:Q430" si="104">+G424/O424</f>
        <v>0</v>
      </c>
      <c r="R424" s="10">
        <f>+IF(Q424&gt;MAESTRO!$G$6,0,1)</f>
        <v>1</v>
      </c>
      <c r="S424">
        <f>+IF(P424&lt;MAESTRO!$G$8,0,1)</f>
        <v>1</v>
      </c>
      <c r="T424" s="10">
        <f t="shared" ref="T424:T430" si="105">+R424+S424</f>
        <v>2</v>
      </c>
      <c r="U424" t="str">
        <f>+IF(R424+S424=2,MAESTRO!$G$2,IF(R424+S424=0,MAESTRO!$G$5,IF(R424=0,MAESTRO!$G$3,IF(S424=0,MAESTRO!$G$4,))))</f>
        <v>cumple politica</v>
      </c>
    </row>
    <row r="425" spans="1:21" x14ac:dyDescent="0.3">
      <c r="A425" t="s">
        <v>125</v>
      </c>
      <c r="B425" t="s">
        <v>23</v>
      </c>
      <c r="C425" t="s">
        <v>38</v>
      </c>
      <c r="D425" t="s">
        <v>81</v>
      </c>
      <c r="E425" s="24">
        <f t="shared" si="99"/>
        <v>0</v>
      </c>
      <c r="F425" s="22">
        <f>-SUMIFS(CARGA!I:I,CARGA!B:B,tabla!A425,CARGA!D:D,tabla!C425,CARGA!C:C,MAESTRO!$B$4)-SUMIFS(CARGA!I:I,CARGA!B:B,tabla!A425,CARGA!D:D,tabla!C425,CARGA!C:C,MAESTRO!$B$5)</f>
        <v>0</v>
      </c>
      <c r="G425" s="5">
        <f>+SUMIFS(CARGA!I:I,CARGA!B:B,tabla!A425,CARGA!D:D,tabla!C425)</f>
        <v>0</v>
      </c>
      <c r="H425" s="5">
        <f>+SUMIFS(CARGA!K:K,CARGA!B:B,tabla!A425,CARGA!D:D,tabla!C425)</f>
        <v>0</v>
      </c>
      <c r="I425" s="5">
        <f t="shared" si="100"/>
        <v>0</v>
      </c>
      <c r="J425" s="5">
        <f>-SUMIFS(CARGA!K:K,CARGA!B:B,tabla!A425,CARGA!D:D,tabla!C425,CARGA!C:C,MAESTRO!$B$4)+SUMIFS(CARGA!K:K,CARGA!B:B,tabla!A425,CARGA!D:D,tabla!C425,CARGA!C:C,MAESTRO!$B$5)</f>
        <v>0</v>
      </c>
      <c r="K425" s="5" t="e">
        <f>+VLOOKUP(C425,#REF!,3,FALSE)</f>
        <v>#REF!</v>
      </c>
      <c r="L425" s="5" t="e">
        <f t="shared" si="101"/>
        <v>#REF!</v>
      </c>
      <c r="M425" s="5" t="e">
        <f t="shared" si="102"/>
        <v>#REF!</v>
      </c>
      <c r="N425" s="5" t="str">
        <f t="shared" si="103"/>
        <v>NO</v>
      </c>
      <c r="O425" s="5">
        <f>+VLOOKUP(C425,[2]Fondos!$F:$J,5,FALSE)</f>
        <v>4553606100</v>
      </c>
      <c r="P425" s="13">
        <f>+VLOOKUP(C425,[2]Fondos!$F:$K,6,FALSE)</f>
        <v>0.23939009999999999</v>
      </c>
      <c r="Q425" s="13">
        <f t="shared" si="104"/>
        <v>0</v>
      </c>
      <c r="R425" s="10">
        <f>+IF(Q425&gt;MAESTRO!$G$6,0,1)</f>
        <v>1</v>
      </c>
      <c r="S425">
        <f>+IF(P425&lt;MAESTRO!$G$8,0,1)</f>
        <v>1</v>
      </c>
      <c r="T425" s="10">
        <f t="shared" si="105"/>
        <v>2</v>
      </c>
      <c r="U425" t="str">
        <f>+IF(R425+S425=2,MAESTRO!$G$2,IF(R425+S425=0,MAESTRO!$G$5,IF(R425=0,MAESTRO!$G$3,IF(S425=0,MAESTRO!$G$4,))))</f>
        <v>cumple politica</v>
      </c>
    </row>
    <row r="426" spans="1:21" x14ac:dyDescent="0.3">
      <c r="A426" t="s">
        <v>125</v>
      </c>
      <c r="B426" t="s">
        <v>23</v>
      </c>
      <c r="C426" t="s">
        <v>57</v>
      </c>
      <c r="D426" t="s">
        <v>82</v>
      </c>
      <c r="E426" s="24">
        <f t="shared" si="99"/>
        <v>0</v>
      </c>
      <c r="F426" s="22">
        <f>-SUMIFS(CARGA!I:I,CARGA!B:B,tabla!A426,CARGA!D:D,tabla!C426,CARGA!C:C,MAESTRO!$B$4)-SUMIFS(CARGA!I:I,CARGA!B:B,tabla!A426,CARGA!D:D,tabla!C426,CARGA!C:C,MAESTRO!$B$5)</f>
        <v>0</v>
      </c>
      <c r="G426" s="5">
        <f>+SUMIFS(CARGA!I:I,CARGA!B:B,tabla!A426,CARGA!D:D,tabla!C426)</f>
        <v>0</v>
      </c>
      <c r="H426" s="5">
        <f>+SUMIFS(CARGA!K:K,CARGA!B:B,tabla!A426,CARGA!D:D,tabla!C426)</f>
        <v>0</v>
      </c>
      <c r="I426" s="5">
        <f t="shared" si="100"/>
        <v>0</v>
      </c>
      <c r="J426" s="5">
        <f>-SUMIFS(CARGA!K:K,CARGA!B:B,tabla!A426,CARGA!D:D,tabla!C426,CARGA!C:C,MAESTRO!$B$4)+SUMIFS(CARGA!K:K,CARGA!B:B,tabla!A426,CARGA!D:D,tabla!C426,CARGA!C:C,MAESTRO!$B$5)</f>
        <v>0</v>
      </c>
      <c r="K426" s="5" t="e">
        <f>+VLOOKUP(C426,#REF!,3,FALSE)</f>
        <v>#REF!</v>
      </c>
      <c r="L426" s="5" t="e">
        <f t="shared" si="101"/>
        <v>#REF!</v>
      </c>
      <c r="M426" s="5" t="e">
        <f t="shared" si="102"/>
        <v>#REF!</v>
      </c>
      <c r="N426" s="5" t="str">
        <f t="shared" si="103"/>
        <v>NO</v>
      </c>
      <c r="O426" s="5">
        <f>+VLOOKUP(C426,[2]Fondos!$F:$J,5,FALSE)</f>
        <v>35515968834</v>
      </c>
      <c r="P426" s="13">
        <f>+VLOOKUP(C426,[2]Fondos!$F:$K,6,FALSE)</f>
        <v>0.26896760000000003</v>
      </c>
      <c r="Q426" s="13">
        <f t="shared" si="104"/>
        <v>0</v>
      </c>
      <c r="R426" s="10">
        <f>+IF(Q426&gt;MAESTRO!$G$6,0,1)</f>
        <v>1</v>
      </c>
      <c r="S426">
        <f>+IF(P426&lt;MAESTRO!$G$8,0,1)</f>
        <v>1</v>
      </c>
      <c r="T426" s="10">
        <f t="shared" si="105"/>
        <v>2</v>
      </c>
      <c r="U426" t="str">
        <f>+IF(R426+S426=2,MAESTRO!$G$2,IF(R426+S426=0,MAESTRO!$G$5,IF(R426=0,MAESTRO!$G$3,IF(S426=0,MAESTRO!$G$4,))))</f>
        <v>cumple politica</v>
      </c>
    </row>
    <row r="427" spans="1:21" x14ac:dyDescent="0.3">
      <c r="A427" t="s">
        <v>125</v>
      </c>
      <c r="B427" t="s">
        <v>140</v>
      </c>
      <c r="C427" t="s">
        <v>138</v>
      </c>
      <c r="D427" t="s">
        <v>82</v>
      </c>
      <c r="E427" s="24">
        <f t="shared" si="99"/>
        <v>0</v>
      </c>
      <c r="F427" s="22">
        <f>-SUMIFS(CARGA!I:I,CARGA!B:B,tabla!A427,CARGA!D:D,tabla!C427,CARGA!C:C,MAESTRO!$B$4)-SUMIFS(CARGA!I:I,CARGA!B:B,tabla!A427,CARGA!D:D,tabla!C427,CARGA!C:C,MAESTRO!$B$5)</f>
        <v>0</v>
      </c>
      <c r="G427" s="5">
        <f>+SUMIFS(CARGA!I:I,CARGA!B:B,tabla!A427,CARGA!D:D,tabla!C427)</f>
        <v>0</v>
      </c>
      <c r="H427" s="5">
        <f>+SUMIFS(CARGA!K:K,CARGA!B:B,tabla!A427,CARGA!D:D,tabla!C427)</f>
        <v>0</v>
      </c>
      <c r="I427" s="5">
        <f t="shared" si="100"/>
        <v>0</v>
      </c>
      <c r="J427" s="5">
        <f>-SUMIFS(CARGA!K:K,CARGA!B:B,tabla!A427,CARGA!D:D,tabla!C427,CARGA!C:C,MAESTRO!$B$4)+SUMIFS(CARGA!K:K,CARGA!B:B,tabla!A427,CARGA!D:D,tabla!C427,CARGA!C:C,MAESTRO!$B$5)</f>
        <v>0</v>
      </c>
      <c r="K427" s="5" t="e">
        <f>+VLOOKUP(C427,#REF!,3,FALSE)</f>
        <v>#REF!</v>
      </c>
      <c r="L427" s="5" t="e">
        <f t="shared" si="101"/>
        <v>#REF!</v>
      </c>
      <c r="M427" s="5" t="e">
        <f t="shared" si="102"/>
        <v>#REF!</v>
      </c>
      <c r="N427" s="5" t="str">
        <f t="shared" si="103"/>
        <v>NO</v>
      </c>
      <c r="O427" s="5" t="e">
        <f>+VLOOKUP(C427,[2]Fondos!$F:$J,5,FALSE)</f>
        <v>#N/A</v>
      </c>
      <c r="P427" s="13" t="e">
        <f>+VLOOKUP(C427,[2]Fondos!$F:$K,6,FALSE)</f>
        <v>#N/A</v>
      </c>
      <c r="Q427" s="13" t="e">
        <f t="shared" si="104"/>
        <v>#N/A</v>
      </c>
      <c r="R427" s="10" t="e">
        <f>+IF(Q427&gt;MAESTRO!$G$6,0,1)</f>
        <v>#N/A</v>
      </c>
      <c r="S427" t="e">
        <f>+IF(P427&lt;MAESTRO!$G$8,0,1)</f>
        <v>#N/A</v>
      </c>
      <c r="T427" s="10" t="e">
        <f t="shared" si="105"/>
        <v>#N/A</v>
      </c>
      <c r="U427" t="e">
        <f>+IF(R427+S427=2,MAESTRO!$G$2,IF(R427+S427=0,MAESTRO!$G$5,IF(R427=0,MAESTRO!$G$3,IF(S427=0,MAESTRO!$G$4,))))</f>
        <v>#N/A</v>
      </c>
    </row>
    <row r="428" spans="1:21" x14ac:dyDescent="0.3">
      <c r="A428" t="s">
        <v>125</v>
      </c>
      <c r="B428" t="s">
        <v>140</v>
      </c>
      <c r="C428" t="s">
        <v>139</v>
      </c>
      <c r="D428" t="s">
        <v>81</v>
      </c>
      <c r="E428" s="24">
        <f t="shared" si="99"/>
        <v>0</v>
      </c>
      <c r="F428" s="22">
        <f>-SUMIFS(CARGA!I:I,CARGA!B:B,tabla!A428,CARGA!D:D,tabla!C428,CARGA!C:C,MAESTRO!$B$4)-SUMIFS(CARGA!I:I,CARGA!B:B,tabla!A428,CARGA!D:D,tabla!C428,CARGA!C:C,MAESTRO!$B$5)</f>
        <v>0</v>
      </c>
      <c r="G428" s="5">
        <f>+SUMIFS(CARGA!I:I,CARGA!B:B,tabla!A428,CARGA!D:D,tabla!C428)</f>
        <v>0</v>
      </c>
      <c r="H428" s="5">
        <f>+SUMIFS(CARGA!K:K,CARGA!B:B,tabla!A428,CARGA!D:D,tabla!C428)</f>
        <v>0</v>
      </c>
      <c r="I428" s="5">
        <f t="shared" si="100"/>
        <v>0</v>
      </c>
      <c r="J428" s="5">
        <f>-SUMIFS(CARGA!K:K,CARGA!B:B,tabla!A428,CARGA!D:D,tabla!C428,CARGA!C:C,MAESTRO!$B$4)+SUMIFS(CARGA!K:K,CARGA!B:B,tabla!A428,CARGA!D:D,tabla!C428,CARGA!C:C,MAESTRO!$B$5)</f>
        <v>0</v>
      </c>
      <c r="K428" s="5" t="e">
        <f>+VLOOKUP(C428,#REF!,3,FALSE)</f>
        <v>#REF!</v>
      </c>
      <c r="L428" s="5" t="e">
        <f t="shared" si="101"/>
        <v>#REF!</v>
      </c>
      <c r="M428" s="5" t="e">
        <f t="shared" si="102"/>
        <v>#REF!</v>
      </c>
      <c r="N428" s="5" t="str">
        <f t="shared" si="103"/>
        <v>NO</v>
      </c>
      <c r="O428" s="5" t="e">
        <f>+VLOOKUP(C428,[2]Fondos!$F:$J,5,FALSE)</f>
        <v>#N/A</v>
      </c>
      <c r="P428" s="13" t="e">
        <f>+VLOOKUP(C428,[2]Fondos!$F:$K,6,FALSE)</f>
        <v>#N/A</v>
      </c>
      <c r="Q428" s="13" t="e">
        <f t="shared" si="104"/>
        <v>#N/A</v>
      </c>
      <c r="R428" s="10" t="e">
        <f>+IF(Q428&gt;MAESTRO!$G$6,0,1)</f>
        <v>#N/A</v>
      </c>
      <c r="S428" t="e">
        <f>+IF(P428&lt;MAESTRO!$G$8,0,1)</f>
        <v>#N/A</v>
      </c>
      <c r="T428" s="10" t="e">
        <f t="shared" si="105"/>
        <v>#N/A</v>
      </c>
      <c r="U428" t="e">
        <f>+IF(R428+S428=2,MAESTRO!$G$2,IF(R428+S428=0,MAESTRO!$G$5,IF(R428=0,MAESTRO!$G$3,IF(S428=0,MAESTRO!$G$4,))))</f>
        <v>#N/A</v>
      </c>
    </row>
    <row r="429" spans="1:21" x14ac:dyDescent="0.3">
      <c r="A429" t="s">
        <v>125</v>
      </c>
      <c r="B429" t="s">
        <v>134</v>
      </c>
      <c r="C429" t="s">
        <v>136</v>
      </c>
      <c r="D429" t="s">
        <v>81</v>
      </c>
      <c r="E429" s="24">
        <f t="shared" si="99"/>
        <v>0</v>
      </c>
      <c r="F429" s="22">
        <f>-SUMIFS(CARGA!I:I,CARGA!B:B,tabla!A429,CARGA!D:D,tabla!C429,CARGA!C:C,MAESTRO!$B$4)-SUMIFS(CARGA!I:I,CARGA!B:B,tabla!A429,CARGA!D:D,tabla!C429,CARGA!C:C,MAESTRO!$B$5)</f>
        <v>0</v>
      </c>
      <c r="G429" s="5">
        <f>+SUMIFS(CARGA!I:I,CARGA!B:B,tabla!A429,CARGA!D:D,tabla!C429)</f>
        <v>0</v>
      </c>
      <c r="H429" s="5">
        <f>+SUMIFS(CARGA!K:K,CARGA!B:B,tabla!A429,CARGA!D:D,tabla!C429)</f>
        <v>0</v>
      </c>
      <c r="I429" s="5">
        <f t="shared" si="100"/>
        <v>0</v>
      </c>
      <c r="J429" s="5">
        <f>-SUMIFS(CARGA!K:K,CARGA!B:B,tabla!A429,CARGA!D:D,tabla!C429,CARGA!C:C,MAESTRO!$B$4)+SUMIFS(CARGA!K:K,CARGA!B:B,tabla!A429,CARGA!D:D,tabla!C429,CARGA!C:C,MAESTRO!$B$5)</f>
        <v>0</v>
      </c>
      <c r="K429" s="5" t="e">
        <f>+VLOOKUP(C429,#REF!,3,FALSE)</f>
        <v>#REF!</v>
      </c>
      <c r="L429" s="5" t="e">
        <f t="shared" si="101"/>
        <v>#REF!</v>
      </c>
      <c r="M429" s="5" t="e">
        <f t="shared" si="102"/>
        <v>#REF!</v>
      </c>
      <c r="N429" s="5" t="str">
        <f t="shared" si="103"/>
        <v>NO</v>
      </c>
      <c r="O429" s="5" t="e">
        <f>+VLOOKUP(C429,[2]Fondos!$F:$J,5,FALSE)</f>
        <v>#N/A</v>
      </c>
      <c r="P429" s="13" t="e">
        <f>+VLOOKUP(C429,[2]Fondos!$F:$K,6,FALSE)</f>
        <v>#N/A</v>
      </c>
      <c r="Q429" s="13" t="e">
        <f t="shared" si="104"/>
        <v>#N/A</v>
      </c>
      <c r="R429" s="10" t="e">
        <f>+IF(Q429&gt;MAESTRO!$G$6,0,1)</f>
        <v>#N/A</v>
      </c>
      <c r="S429" t="e">
        <f>+IF(P429&lt;MAESTRO!$G$8,0,1)</f>
        <v>#N/A</v>
      </c>
      <c r="T429" s="10" t="e">
        <f t="shared" si="105"/>
        <v>#N/A</v>
      </c>
      <c r="U429" t="e">
        <f>+IF(R429+S429=2,MAESTRO!$G$2,IF(R429+S429=0,MAESTRO!$G$5,IF(R429=0,MAESTRO!$G$3,IF(S429=0,MAESTRO!$G$4,))))</f>
        <v>#N/A</v>
      </c>
    </row>
    <row r="430" spans="1:21" x14ac:dyDescent="0.3">
      <c r="A430" t="s">
        <v>125</v>
      </c>
      <c r="B430" t="s">
        <v>134</v>
      </c>
      <c r="C430" t="s">
        <v>135</v>
      </c>
      <c r="D430" t="s">
        <v>82</v>
      </c>
      <c r="E430" s="24">
        <f t="shared" si="99"/>
        <v>0</v>
      </c>
      <c r="F430" s="22">
        <f>-SUMIFS(CARGA!I:I,CARGA!B:B,tabla!A430,CARGA!D:D,tabla!C430,CARGA!C:C,MAESTRO!$B$4)-SUMIFS(CARGA!I:I,CARGA!B:B,tabla!A430,CARGA!D:D,tabla!C430,CARGA!C:C,MAESTRO!$B$5)</f>
        <v>0</v>
      </c>
      <c r="G430" s="5">
        <f>+SUMIFS(CARGA!I:I,CARGA!B:B,tabla!A430,CARGA!D:D,tabla!C430)</f>
        <v>0</v>
      </c>
      <c r="H430" s="5">
        <f>+SUMIFS(CARGA!K:K,CARGA!B:B,tabla!A430,CARGA!D:D,tabla!C430)</f>
        <v>0</v>
      </c>
      <c r="I430" s="5">
        <f t="shared" si="100"/>
        <v>0</v>
      </c>
      <c r="J430" s="5">
        <f>-SUMIFS(CARGA!K:K,CARGA!B:B,tabla!A430,CARGA!D:D,tabla!C430,CARGA!C:C,MAESTRO!$B$4)+SUMIFS(CARGA!K:K,CARGA!B:B,tabla!A430,CARGA!D:D,tabla!C430,CARGA!C:C,MAESTRO!$B$5)</f>
        <v>0</v>
      </c>
      <c r="K430" s="5" t="e">
        <f>+VLOOKUP(C430,#REF!,3,FALSE)</f>
        <v>#REF!</v>
      </c>
      <c r="L430" s="5" t="e">
        <f t="shared" si="101"/>
        <v>#REF!</v>
      </c>
      <c r="M430" s="5" t="e">
        <f t="shared" si="102"/>
        <v>#REF!</v>
      </c>
      <c r="N430" s="5" t="str">
        <f t="shared" si="103"/>
        <v>NO</v>
      </c>
      <c r="O430" s="5" t="e">
        <f>+VLOOKUP(C430,[2]Fondos!$F:$J,5,FALSE)</f>
        <v>#N/A</v>
      </c>
      <c r="P430" s="13" t="e">
        <f>+VLOOKUP(C430,[2]Fondos!$F:$K,6,FALSE)</f>
        <v>#N/A</v>
      </c>
      <c r="Q430" s="13" t="e">
        <f t="shared" si="104"/>
        <v>#N/A</v>
      </c>
      <c r="R430" s="10" t="e">
        <f>+IF(Q430&gt;MAESTRO!$G$6,0,1)</f>
        <v>#N/A</v>
      </c>
      <c r="S430" t="e">
        <f>+IF(P430&lt;MAESTRO!$G$8,0,1)</f>
        <v>#N/A</v>
      </c>
      <c r="T430" s="10" t="e">
        <f t="shared" si="105"/>
        <v>#N/A</v>
      </c>
      <c r="U430" t="e">
        <f>+IF(R430+S430=2,MAESTRO!$G$2,IF(R430+S430=0,MAESTRO!$G$5,IF(R430=0,MAESTRO!$G$3,IF(S430=0,MAESTRO!$G$4,))))</f>
        <v>#N/A</v>
      </c>
    </row>
    <row r="432" spans="1:21" x14ac:dyDescent="0.3">
      <c r="A432" t="s">
        <v>126</v>
      </c>
      <c r="B432" t="s">
        <v>31</v>
      </c>
      <c r="C432" s="7" t="s">
        <v>50</v>
      </c>
      <c r="D432" t="s">
        <v>81</v>
      </c>
      <c r="E432" s="24">
        <f t="shared" ref="E432:E476" si="106">+F432+G432</f>
        <v>0</v>
      </c>
      <c r="F432" s="22">
        <f>-SUMIFS(CARGA!I:I,CARGA!B:B,tabla!A432,CARGA!D:D,tabla!C432,CARGA!C:C,MAESTRO!$B$4)-SUMIFS(CARGA!I:I,CARGA!B:B,tabla!A432,CARGA!D:D,tabla!C432,CARGA!C:C,MAESTRO!$B$5)</f>
        <v>0</v>
      </c>
      <c r="G432" s="5">
        <f>+SUMIFS(CARGA!I:I,CARGA!B:B,tabla!A432,CARGA!D:D,tabla!C432)</f>
        <v>0</v>
      </c>
      <c r="H432" s="5">
        <f>+SUMIFS(CARGA!K:K,CARGA!B:B,tabla!A432,CARGA!D:D,tabla!C432)</f>
        <v>0</v>
      </c>
      <c r="I432" s="5">
        <f t="shared" ref="I432:I476" si="107">+H432+J432</f>
        <v>0</v>
      </c>
      <c r="J432" s="5">
        <f>-SUMIFS(CARGA!K:K,CARGA!B:B,tabla!A432,CARGA!D:D,tabla!C432,CARGA!C:C,MAESTRO!$B$4)+SUMIFS(CARGA!K:K,CARGA!B:B,tabla!A432,CARGA!D:D,tabla!C432,CARGA!C:C,MAESTRO!$B$5)</f>
        <v>0</v>
      </c>
      <c r="K432" s="5" t="e">
        <f>+VLOOKUP(C432,#REF!,3,FALSE)</f>
        <v>#REF!</v>
      </c>
      <c r="L432" s="5" t="e">
        <f t="shared" ref="L432:L476" si="108">+K432*I432</f>
        <v>#REF!</v>
      </c>
      <c r="M432" s="5" t="e">
        <f t="shared" ref="M432:M476" si="109">+K432*J432</f>
        <v>#REF!</v>
      </c>
      <c r="N432" s="5" t="str">
        <f t="shared" ref="N432:N476" si="110">+IF(G432+F432=0,"NO","SI")</f>
        <v>NO</v>
      </c>
      <c r="O432" s="5">
        <f>+VLOOKUP(C432,[2]Fondos!$F:$J,5,FALSE)</f>
        <v>1817778903</v>
      </c>
      <c r="P432" s="13">
        <f>+VLOOKUP(C432,[2]Fondos!$F:$K,6,FALSE)</f>
        <v>0.23246230000000001</v>
      </c>
      <c r="Q432" s="13">
        <f t="shared" ref="Q432:Q476" si="111">+G432/O432</f>
        <v>0</v>
      </c>
      <c r="R432" s="10">
        <f>+IF(Q432&gt;MAESTRO!$G$6,0,1)</f>
        <v>1</v>
      </c>
      <c r="S432">
        <f>+IF(P432&lt;MAESTRO!$G$8,0,1)</f>
        <v>1</v>
      </c>
      <c r="T432" s="10">
        <f>+R432+S432</f>
        <v>2</v>
      </c>
      <c r="U432" t="str">
        <f>+IF(R432+S432=2,MAESTRO!$G$2,IF(R432+S432=0,MAESTRO!$G$5,IF(R432=0,MAESTRO!$G$3,IF(S432=0,MAESTRO!$G$4,))))</f>
        <v>cumple politica</v>
      </c>
    </row>
    <row r="433" spans="1:21" x14ac:dyDescent="0.3">
      <c r="A433" t="s">
        <v>126</v>
      </c>
      <c r="B433" t="s">
        <v>31</v>
      </c>
      <c r="C433" s="7" t="s">
        <v>70</v>
      </c>
      <c r="D433" t="s">
        <v>82</v>
      </c>
      <c r="E433" s="24">
        <f t="shared" si="106"/>
        <v>0</v>
      </c>
      <c r="F433" s="22">
        <f>-SUMIFS(CARGA!I:I,CARGA!B:B,tabla!A433,CARGA!D:D,tabla!C433,CARGA!C:C,MAESTRO!$B$4)-SUMIFS(CARGA!I:I,CARGA!B:B,tabla!A433,CARGA!D:D,tabla!C433,CARGA!C:C,MAESTRO!$B$5)</f>
        <v>0</v>
      </c>
      <c r="G433" s="5">
        <f>+SUMIFS(CARGA!I:I,CARGA!B:B,tabla!A433,CARGA!D:D,tabla!C433)</f>
        <v>0</v>
      </c>
      <c r="H433" s="5">
        <f>+SUMIFS(CARGA!K:K,CARGA!B:B,tabla!A433,CARGA!D:D,tabla!C433)</f>
        <v>0</v>
      </c>
      <c r="I433" s="5">
        <f t="shared" si="107"/>
        <v>0</v>
      </c>
      <c r="J433" s="5">
        <f>-SUMIFS(CARGA!K:K,CARGA!B:B,tabla!A433,CARGA!D:D,tabla!C433,CARGA!C:C,MAESTRO!$B$4)+SUMIFS(CARGA!K:K,CARGA!B:B,tabla!A433,CARGA!D:D,tabla!C433,CARGA!C:C,MAESTRO!$B$5)</f>
        <v>0</v>
      </c>
      <c r="K433" s="5" t="e">
        <f>+VLOOKUP(C433,#REF!,3,FALSE)</f>
        <v>#REF!</v>
      </c>
      <c r="L433" s="5" t="e">
        <f t="shared" si="108"/>
        <v>#REF!</v>
      </c>
      <c r="M433" s="5" t="e">
        <f t="shared" si="109"/>
        <v>#REF!</v>
      </c>
      <c r="N433" s="5" t="str">
        <f t="shared" si="110"/>
        <v>NO</v>
      </c>
      <c r="O433" s="5">
        <f>+VLOOKUP(C433,[2]Fondos!$F:$J,5,FALSE)</f>
        <v>6506463370</v>
      </c>
      <c r="P433" s="13" t="e">
        <f>+VLOOKUP(C433,[2]Fondos!$F:$K,6,FALSE)</f>
        <v>#VALUE!</v>
      </c>
      <c r="Q433" s="13">
        <f t="shared" si="111"/>
        <v>0</v>
      </c>
      <c r="R433" s="10">
        <f>+IF(Q433&gt;MAESTRO!$G$6,0,1)</f>
        <v>1</v>
      </c>
      <c r="S433" t="e">
        <f>+IF(P433&lt;MAESTRO!$G$8,0,1)</f>
        <v>#VALUE!</v>
      </c>
      <c r="T433" s="10" t="e">
        <f t="shared" ref="T433:T476" si="112">+R433+S433</f>
        <v>#VALUE!</v>
      </c>
      <c r="U433" t="e">
        <f>+IF(R433+S433=2,MAESTRO!$G$2,IF(R433+S433=0,MAESTRO!$G$5,IF(R433=0,MAESTRO!$G$3,IF(S433=0,MAESTRO!$G$4,))))</f>
        <v>#VALUE!</v>
      </c>
    </row>
    <row r="434" spans="1:21" x14ac:dyDescent="0.3">
      <c r="A434" t="s">
        <v>126</v>
      </c>
      <c r="B434" t="s">
        <v>31</v>
      </c>
      <c r="C434" s="7" t="s">
        <v>69</v>
      </c>
      <c r="D434" t="s">
        <v>82</v>
      </c>
      <c r="E434" s="24">
        <f t="shared" si="106"/>
        <v>0</v>
      </c>
      <c r="F434" s="22">
        <f>-SUMIFS(CARGA!I:I,CARGA!B:B,tabla!A434,CARGA!D:D,tabla!C434,CARGA!C:C,MAESTRO!$B$4)-SUMIFS(CARGA!I:I,CARGA!B:B,tabla!A434,CARGA!D:D,tabla!C434,CARGA!C:C,MAESTRO!$B$5)</f>
        <v>0</v>
      </c>
      <c r="G434" s="5">
        <f>+SUMIFS(CARGA!I:I,CARGA!B:B,tabla!A434,CARGA!D:D,tabla!C434)</f>
        <v>0</v>
      </c>
      <c r="H434" s="5">
        <f>+SUMIFS(CARGA!K:K,CARGA!B:B,tabla!A434,CARGA!D:D,tabla!C434)</f>
        <v>0</v>
      </c>
      <c r="I434" s="5">
        <f t="shared" si="107"/>
        <v>0</v>
      </c>
      <c r="J434" s="5">
        <f>-SUMIFS(CARGA!K:K,CARGA!B:B,tabla!A434,CARGA!D:D,tabla!C434,CARGA!C:C,MAESTRO!$B$4)+SUMIFS(CARGA!K:K,CARGA!B:B,tabla!A434,CARGA!D:D,tabla!C434,CARGA!C:C,MAESTRO!$B$5)</f>
        <v>0</v>
      </c>
      <c r="K434" s="5" t="e">
        <f>+VLOOKUP(C434,#REF!,3,FALSE)</f>
        <v>#REF!</v>
      </c>
      <c r="L434" s="5" t="e">
        <f t="shared" si="108"/>
        <v>#REF!</v>
      </c>
      <c r="M434" s="5" t="e">
        <f t="shared" si="109"/>
        <v>#REF!</v>
      </c>
      <c r="N434" s="5" t="str">
        <f t="shared" si="110"/>
        <v>NO</v>
      </c>
      <c r="O434" s="5">
        <f>+VLOOKUP(C434,[2]Fondos!$F:$J,5,FALSE)</f>
        <v>39848036</v>
      </c>
      <c r="P434" s="13" t="e">
        <f>+VLOOKUP(C434,[2]Fondos!$F:$K,6,FALSE)</f>
        <v>#VALUE!</v>
      </c>
      <c r="Q434" s="13">
        <f t="shared" si="111"/>
        <v>0</v>
      </c>
      <c r="R434" s="10">
        <f>+IF(Q434&gt;MAESTRO!$G$6,0,1)</f>
        <v>1</v>
      </c>
      <c r="S434" t="e">
        <f>+IF(P434&lt;MAESTRO!$G$8,0,1)</f>
        <v>#VALUE!</v>
      </c>
      <c r="T434" s="10" t="e">
        <f t="shared" si="112"/>
        <v>#VALUE!</v>
      </c>
      <c r="U434" t="e">
        <f>+IF(R434+S434=2,MAESTRO!$G$2,IF(R434+S434=0,MAESTRO!$G$5,IF(R434=0,MAESTRO!$G$3,IF(S434=0,MAESTRO!$G$4,))))</f>
        <v>#VALUE!</v>
      </c>
    </row>
    <row r="435" spans="1:21" x14ac:dyDescent="0.3">
      <c r="A435" t="s">
        <v>126</v>
      </c>
      <c r="B435" t="s">
        <v>33</v>
      </c>
      <c r="C435" s="7" t="s">
        <v>52</v>
      </c>
      <c r="D435" t="s">
        <v>81</v>
      </c>
      <c r="E435" s="24">
        <f t="shared" si="106"/>
        <v>0</v>
      </c>
      <c r="F435" s="22">
        <f>-SUMIFS(CARGA!I:I,CARGA!B:B,tabla!A435,CARGA!D:D,tabla!C435,CARGA!C:C,MAESTRO!$B$4)-SUMIFS(CARGA!I:I,CARGA!B:B,tabla!A435,CARGA!D:D,tabla!C435,CARGA!C:C,MAESTRO!$B$5)</f>
        <v>0</v>
      </c>
      <c r="G435" s="5">
        <f>+SUMIFS(CARGA!I:I,CARGA!B:B,tabla!A435,CARGA!D:D,tabla!C435)</f>
        <v>0</v>
      </c>
      <c r="H435" s="5">
        <f>+SUMIFS(CARGA!K:K,CARGA!B:B,tabla!A435,CARGA!D:D,tabla!C435)</f>
        <v>0</v>
      </c>
      <c r="I435" s="5">
        <f t="shared" si="107"/>
        <v>0</v>
      </c>
      <c r="J435" s="5">
        <f>-SUMIFS(CARGA!K:K,CARGA!B:B,tabla!A435,CARGA!D:D,tabla!C435,CARGA!C:C,MAESTRO!$B$4)+SUMIFS(CARGA!K:K,CARGA!B:B,tabla!A435,CARGA!D:D,tabla!C435,CARGA!C:C,MAESTRO!$B$5)</f>
        <v>0</v>
      </c>
      <c r="K435" s="5" t="e">
        <f>+VLOOKUP(C435,#REF!,3,FALSE)</f>
        <v>#REF!</v>
      </c>
      <c r="L435" s="5" t="e">
        <f t="shared" si="108"/>
        <v>#REF!</v>
      </c>
      <c r="M435" s="5" t="e">
        <f t="shared" si="109"/>
        <v>#REF!</v>
      </c>
      <c r="N435" s="5" t="str">
        <f t="shared" si="110"/>
        <v>NO</v>
      </c>
      <c r="O435" s="5">
        <f>+VLOOKUP(C435,[2]Fondos!$F:$J,5,FALSE)</f>
        <v>3875956517</v>
      </c>
      <c r="P435" s="13">
        <f>+VLOOKUP(C435,[2]Fondos!$F:$K,6,FALSE)</f>
        <v>0.23267859999999999</v>
      </c>
      <c r="Q435" s="13">
        <f t="shared" si="111"/>
        <v>0</v>
      </c>
      <c r="R435" s="10">
        <f>+IF(Q435&gt;MAESTRO!$G$6,0,1)</f>
        <v>1</v>
      </c>
      <c r="S435">
        <f>+IF(P435&lt;MAESTRO!$G$8,0,1)</f>
        <v>1</v>
      </c>
      <c r="T435" s="10">
        <f t="shared" si="112"/>
        <v>2</v>
      </c>
      <c r="U435" t="str">
        <f>+IF(R435+S435=2,MAESTRO!$G$2,IF(R435+S435=0,MAESTRO!$G$5,IF(R435=0,MAESTRO!$G$3,IF(S435=0,MAESTRO!$G$4,))))</f>
        <v>cumple politica</v>
      </c>
    </row>
    <row r="436" spans="1:21" x14ac:dyDescent="0.3">
      <c r="A436" t="s">
        <v>126</v>
      </c>
      <c r="B436" t="s">
        <v>33</v>
      </c>
      <c r="C436" s="7" t="s">
        <v>74</v>
      </c>
      <c r="D436" t="s">
        <v>82</v>
      </c>
      <c r="E436" s="24">
        <f t="shared" si="106"/>
        <v>0</v>
      </c>
      <c r="F436" s="22">
        <f>-SUMIFS(CARGA!I:I,CARGA!B:B,tabla!A436,CARGA!D:D,tabla!C436,CARGA!C:C,MAESTRO!$B$4)-SUMIFS(CARGA!I:I,CARGA!B:B,tabla!A436,CARGA!D:D,tabla!C436,CARGA!C:C,MAESTRO!$B$5)</f>
        <v>0</v>
      </c>
      <c r="G436" s="5">
        <f>+SUMIFS(CARGA!I:I,CARGA!B:B,tabla!A436,CARGA!D:D,tabla!C436)</f>
        <v>0</v>
      </c>
      <c r="H436" s="5">
        <f>+SUMIFS(CARGA!K:K,CARGA!B:B,tabla!A436,CARGA!D:D,tabla!C436)</f>
        <v>0</v>
      </c>
      <c r="I436" s="5">
        <f t="shared" si="107"/>
        <v>0</v>
      </c>
      <c r="J436" s="5">
        <f>-SUMIFS(CARGA!K:K,CARGA!B:B,tabla!A436,CARGA!D:D,tabla!C436,CARGA!C:C,MAESTRO!$B$4)+SUMIFS(CARGA!K:K,CARGA!B:B,tabla!A436,CARGA!D:D,tabla!C436,CARGA!C:C,MAESTRO!$B$5)</f>
        <v>0</v>
      </c>
      <c r="K436" s="5" t="e">
        <f>+VLOOKUP(C436,#REF!,3,FALSE)</f>
        <v>#REF!</v>
      </c>
      <c r="L436" s="5" t="e">
        <f t="shared" si="108"/>
        <v>#REF!</v>
      </c>
      <c r="M436" s="5" t="e">
        <f t="shared" si="109"/>
        <v>#REF!</v>
      </c>
      <c r="N436" s="5" t="str">
        <f t="shared" si="110"/>
        <v>NO</v>
      </c>
      <c r="O436" s="5">
        <f>+VLOOKUP(C436,[2]Fondos!$F:$J,5,FALSE)</f>
        <v>8775783683</v>
      </c>
      <c r="P436" s="13">
        <f>+VLOOKUP(C436,[2]Fondos!$F:$K,6,FALSE)</f>
        <v>0.2640304</v>
      </c>
      <c r="Q436" s="13">
        <f t="shared" si="111"/>
        <v>0</v>
      </c>
      <c r="R436" s="10">
        <f>+IF(Q436&gt;MAESTRO!$G$6,0,1)</f>
        <v>1</v>
      </c>
      <c r="S436">
        <f>+IF(P436&lt;MAESTRO!$G$8,0,1)</f>
        <v>1</v>
      </c>
      <c r="T436" s="10">
        <f t="shared" si="112"/>
        <v>2</v>
      </c>
      <c r="U436" t="str">
        <f>+IF(R436+S436=2,MAESTRO!$G$2,IF(R436+S436=0,MAESTRO!$G$5,IF(R436=0,MAESTRO!$G$3,IF(S436=0,MAESTRO!$G$4,))))</f>
        <v>cumple politica</v>
      </c>
    </row>
    <row r="437" spans="1:21" x14ac:dyDescent="0.3">
      <c r="A437" t="s">
        <v>126</v>
      </c>
      <c r="B437" t="s">
        <v>27</v>
      </c>
      <c r="C437" t="s">
        <v>63</v>
      </c>
      <c r="D437" t="s">
        <v>82</v>
      </c>
      <c r="E437" s="24">
        <f t="shared" si="106"/>
        <v>0</v>
      </c>
      <c r="F437" s="22">
        <f>-SUMIFS(CARGA!I:I,CARGA!B:B,tabla!A437,CARGA!D:D,tabla!C437,CARGA!C:C,MAESTRO!$B$4)-SUMIFS(CARGA!I:I,CARGA!B:B,tabla!A437,CARGA!D:D,tabla!C437,CARGA!C:C,MAESTRO!$B$5)</f>
        <v>0</v>
      </c>
      <c r="G437" s="5">
        <f>+SUMIFS(CARGA!I:I,CARGA!B:B,tabla!A437,CARGA!D:D,tabla!C437)</f>
        <v>0</v>
      </c>
      <c r="H437" s="5">
        <f>+SUMIFS(CARGA!K:K,CARGA!B:B,tabla!A437,CARGA!D:D,tabla!C437)</f>
        <v>0</v>
      </c>
      <c r="I437" s="5">
        <f t="shared" si="107"/>
        <v>0</v>
      </c>
      <c r="J437" s="5">
        <f>-SUMIFS(CARGA!K:K,CARGA!B:B,tabla!A437,CARGA!D:D,tabla!C437,CARGA!C:C,MAESTRO!$B$4)+SUMIFS(CARGA!K:K,CARGA!B:B,tabla!A437,CARGA!D:D,tabla!C437,CARGA!C:C,MAESTRO!$B$5)</f>
        <v>0</v>
      </c>
      <c r="K437" s="5" t="e">
        <f>+VLOOKUP(C437,#REF!,3,FALSE)</f>
        <v>#REF!</v>
      </c>
      <c r="L437" s="5" t="e">
        <f t="shared" si="108"/>
        <v>#REF!</v>
      </c>
      <c r="M437" s="5" t="e">
        <f t="shared" si="109"/>
        <v>#REF!</v>
      </c>
      <c r="N437" s="5" t="str">
        <f t="shared" si="110"/>
        <v>NO</v>
      </c>
      <c r="O437" s="5">
        <f>+VLOOKUP(C437,[2]Fondos!$F:$J,5,FALSE)</f>
        <v>14114977659</v>
      </c>
      <c r="P437" s="13">
        <f>+VLOOKUP(C437,[2]Fondos!$F:$K,6,FALSE)</f>
        <v>0.26056640000000003</v>
      </c>
      <c r="Q437" s="13">
        <f t="shared" si="111"/>
        <v>0</v>
      </c>
      <c r="R437" s="10">
        <f>+IF(Q437&gt;MAESTRO!$G$6,0,1)</f>
        <v>1</v>
      </c>
      <c r="S437">
        <f>+IF(P437&lt;MAESTRO!$G$8,0,1)</f>
        <v>1</v>
      </c>
      <c r="T437" s="10">
        <f t="shared" si="112"/>
        <v>2</v>
      </c>
      <c r="U437" t="str">
        <f>+IF(R437+S437=2,MAESTRO!$G$2,IF(R437+S437=0,MAESTRO!$G$5,IF(R437=0,MAESTRO!$G$3,IF(S437=0,MAESTRO!$G$4,))))</f>
        <v>cumple politica</v>
      </c>
    </row>
    <row r="438" spans="1:21" x14ac:dyDescent="0.3">
      <c r="A438" t="s">
        <v>126</v>
      </c>
      <c r="B438" t="s">
        <v>27</v>
      </c>
      <c r="C438" t="s">
        <v>47</v>
      </c>
      <c r="D438" t="s">
        <v>81</v>
      </c>
      <c r="E438" s="24">
        <f t="shared" si="106"/>
        <v>0</v>
      </c>
      <c r="F438" s="22">
        <f>-SUMIFS(CARGA!I:I,CARGA!B:B,tabla!A438,CARGA!D:D,tabla!C438,CARGA!C:C,MAESTRO!$B$4)-SUMIFS(CARGA!I:I,CARGA!B:B,tabla!A438,CARGA!D:D,tabla!C438,CARGA!C:C,MAESTRO!$B$5)</f>
        <v>0</v>
      </c>
      <c r="G438" s="5">
        <f>+SUMIFS(CARGA!I:I,CARGA!B:B,tabla!A438,CARGA!D:D,tabla!C438)</f>
        <v>0</v>
      </c>
      <c r="H438" s="5">
        <f>+SUMIFS(CARGA!K:K,CARGA!B:B,tabla!A438,CARGA!D:D,tabla!C438)</f>
        <v>0</v>
      </c>
      <c r="I438" s="5">
        <f t="shared" si="107"/>
        <v>0</v>
      </c>
      <c r="J438" s="5">
        <f>-SUMIFS(CARGA!K:K,CARGA!B:B,tabla!A438,CARGA!D:D,tabla!C438,CARGA!C:C,MAESTRO!$B$4)+SUMIFS(CARGA!K:K,CARGA!B:B,tabla!A438,CARGA!D:D,tabla!C438,CARGA!C:C,MAESTRO!$B$5)</f>
        <v>0</v>
      </c>
      <c r="K438" s="5" t="e">
        <f>+VLOOKUP(C438,#REF!,3,FALSE)</f>
        <v>#REF!</v>
      </c>
      <c r="L438" s="5" t="e">
        <f t="shared" si="108"/>
        <v>#REF!</v>
      </c>
      <c r="M438" s="5" t="e">
        <f t="shared" si="109"/>
        <v>#REF!</v>
      </c>
      <c r="N438" s="5" t="str">
        <f t="shared" si="110"/>
        <v>NO</v>
      </c>
      <c r="O438" s="5">
        <f>+VLOOKUP(C438,[2]Fondos!$F:$J,5,FALSE)</f>
        <v>1977335292</v>
      </c>
      <c r="P438" s="13">
        <f>+VLOOKUP(C438,[2]Fondos!$F:$K,6,FALSE)</f>
        <v>0.19354769999999999</v>
      </c>
      <c r="Q438" s="13">
        <f t="shared" si="111"/>
        <v>0</v>
      </c>
      <c r="R438" s="10">
        <f>+IF(Q438&gt;MAESTRO!$G$6,0,1)</f>
        <v>1</v>
      </c>
      <c r="S438">
        <f>+IF(P438&lt;MAESTRO!$G$8,0,1)</f>
        <v>1</v>
      </c>
      <c r="T438" s="10">
        <f t="shared" si="112"/>
        <v>2</v>
      </c>
      <c r="U438" t="str">
        <f>+IF(R438+S438=2,MAESTRO!$G$2,IF(R438+S438=0,MAESTRO!$G$5,IF(R438=0,MAESTRO!$G$3,IF(S438=0,MAESTRO!$G$4,))))</f>
        <v>cumple politica</v>
      </c>
    </row>
    <row r="439" spans="1:21" x14ac:dyDescent="0.3">
      <c r="A439" t="s">
        <v>126</v>
      </c>
      <c r="B439" t="s">
        <v>27</v>
      </c>
      <c r="C439" t="s">
        <v>42</v>
      </c>
      <c r="D439" t="s">
        <v>81</v>
      </c>
      <c r="E439" s="24">
        <f t="shared" si="106"/>
        <v>0</v>
      </c>
      <c r="F439" s="22">
        <f>-SUMIFS(CARGA!I:I,CARGA!B:B,tabla!A439,CARGA!D:D,tabla!C439,CARGA!C:C,MAESTRO!$B$4)-SUMIFS(CARGA!I:I,CARGA!B:B,tabla!A439,CARGA!D:D,tabla!C439,CARGA!C:C,MAESTRO!$B$5)</f>
        <v>0</v>
      </c>
      <c r="G439" s="5">
        <f>+SUMIFS(CARGA!I:I,CARGA!B:B,tabla!A439,CARGA!D:D,tabla!C439)</f>
        <v>0</v>
      </c>
      <c r="H439" s="5">
        <f>+SUMIFS(CARGA!K:K,CARGA!B:B,tabla!A439,CARGA!D:D,tabla!C439)</f>
        <v>0</v>
      </c>
      <c r="I439" s="5">
        <f t="shared" si="107"/>
        <v>0</v>
      </c>
      <c r="J439" s="5">
        <f>-SUMIFS(CARGA!K:K,CARGA!B:B,tabla!A439,CARGA!D:D,tabla!C439,CARGA!C:C,MAESTRO!$B$4)+SUMIFS(CARGA!K:K,CARGA!B:B,tabla!A439,CARGA!D:D,tabla!C439,CARGA!C:C,MAESTRO!$B$5)</f>
        <v>0</v>
      </c>
      <c r="K439" s="5" t="e">
        <f>+VLOOKUP(C439,#REF!,3,FALSE)</f>
        <v>#REF!</v>
      </c>
      <c r="L439" s="5" t="e">
        <f t="shared" si="108"/>
        <v>#REF!</v>
      </c>
      <c r="M439" s="5" t="e">
        <f t="shared" si="109"/>
        <v>#REF!</v>
      </c>
      <c r="N439" s="5" t="str">
        <f t="shared" si="110"/>
        <v>NO</v>
      </c>
      <c r="O439" s="5">
        <f>+VLOOKUP(C439,[2]Fondos!$F:$J,5,FALSE)</f>
        <v>2171371244</v>
      </c>
      <c r="P439" s="13">
        <f>+VLOOKUP(C439,[2]Fondos!$F:$K,6,FALSE)</f>
        <v>0.2113614</v>
      </c>
      <c r="Q439" s="13">
        <f t="shared" si="111"/>
        <v>0</v>
      </c>
      <c r="R439" s="10">
        <f>+IF(Q439&gt;MAESTRO!$G$6,0,1)</f>
        <v>1</v>
      </c>
      <c r="S439">
        <f>+IF(P439&lt;MAESTRO!$G$8,0,1)</f>
        <v>1</v>
      </c>
      <c r="T439" s="10">
        <f t="shared" si="112"/>
        <v>2</v>
      </c>
      <c r="U439" t="str">
        <f>+IF(R439+S439=2,MAESTRO!$G$2,IF(R439+S439=0,MAESTRO!$G$5,IF(R439=0,MAESTRO!$G$3,IF(S439=0,MAESTRO!$G$4,))))</f>
        <v>cumple politica</v>
      </c>
    </row>
    <row r="440" spans="1:21" x14ac:dyDescent="0.3">
      <c r="A440" t="s">
        <v>126</v>
      </c>
      <c r="B440" t="s">
        <v>27</v>
      </c>
      <c r="C440" t="s">
        <v>78</v>
      </c>
      <c r="D440" t="s">
        <v>82</v>
      </c>
      <c r="E440" s="24">
        <f t="shared" si="106"/>
        <v>0</v>
      </c>
      <c r="F440" s="22">
        <f>-SUMIFS(CARGA!I:I,CARGA!B:B,tabla!A440,CARGA!D:D,tabla!C440,CARGA!C:C,MAESTRO!$B$4)-SUMIFS(CARGA!I:I,CARGA!B:B,tabla!A440,CARGA!D:D,tabla!C440,CARGA!C:C,MAESTRO!$B$5)</f>
        <v>0</v>
      </c>
      <c r="G440" s="5">
        <f>+SUMIFS(CARGA!I:I,CARGA!B:B,tabla!A440,CARGA!D:D,tabla!C440)</f>
        <v>0</v>
      </c>
      <c r="H440" s="5">
        <f>+SUMIFS(CARGA!K:K,CARGA!B:B,tabla!A440,CARGA!D:D,tabla!C440)</f>
        <v>0</v>
      </c>
      <c r="I440" s="5">
        <f t="shared" si="107"/>
        <v>0</v>
      </c>
      <c r="J440" s="5">
        <f>-SUMIFS(CARGA!K:K,CARGA!B:B,tabla!A440,CARGA!D:D,tabla!C440,CARGA!C:C,MAESTRO!$B$4)+SUMIFS(CARGA!K:K,CARGA!B:B,tabla!A440,CARGA!D:D,tabla!C440,CARGA!C:C,MAESTRO!$B$5)</f>
        <v>0</v>
      </c>
      <c r="K440" s="5" t="e">
        <f>+VLOOKUP(C440,#REF!,3,FALSE)</f>
        <v>#REF!</v>
      </c>
      <c r="L440" s="5" t="e">
        <f t="shared" si="108"/>
        <v>#REF!</v>
      </c>
      <c r="M440" s="5" t="e">
        <f t="shared" si="109"/>
        <v>#REF!</v>
      </c>
      <c r="N440" s="5" t="str">
        <f t="shared" si="110"/>
        <v>NO</v>
      </c>
      <c r="O440" s="5">
        <f>+VLOOKUP(C440,[2]Fondos!$F:$J,5,FALSE)</f>
        <v>234619684</v>
      </c>
      <c r="P440" s="13">
        <f>+VLOOKUP(C440,[2]Fondos!$F:$K,6,FALSE)</f>
        <v>0.26737729999999998</v>
      </c>
      <c r="Q440" s="13">
        <f t="shared" si="111"/>
        <v>0</v>
      </c>
      <c r="R440" s="10">
        <f>+IF(Q440&gt;MAESTRO!$G$6,0,1)</f>
        <v>1</v>
      </c>
      <c r="S440">
        <f>+IF(P440&lt;MAESTRO!$G$8,0,1)</f>
        <v>1</v>
      </c>
      <c r="T440" s="10">
        <f t="shared" si="112"/>
        <v>2</v>
      </c>
      <c r="U440" t="str">
        <f>+IF(R440+S440=2,MAESTRO!$G$2,IF(R440+S440=0,MAESTRO!$G$5,IF(R440=0,MAESTRO!$G$3,IF(S440=0,MAESTRO!$G$4,))))</f>
        <v>cumple politica</v>
      </c>
    </row>
    <row r="441" spans="1:21" x14ac:dyDescent="0.3">
      <c r="A441" t="s">
        <v>126</v>
      </c>
      <c r="B441" t="s">
        <v>109</v>
      </c>
      <c r="C441" t="s">
        <v>75</v>
      </c>
      <c r="D441" t="s">
        <v>82</v>
      </c>
      <c r="E441" s="24">
        <f t="shared" si="106"/>
        <v>0</v>
      </c>
      <c r="F441" s="22">
        <f>-SUMIFS(CARGA!I:I,CARGA!B:B,tabla!A441,CARGA!D:D,tabla!C441,CARGA!C:C,MAESTRO!$B$4)-SUMIFS(CARGA!I:I,CARGA!B:B,tabla!A441,CARGA!D:D,tabla!C441,CARGA!C:C,MAESTRO!$B$5)</f>
        <v>0</v>
      </c>
      <c r="G441" s="5">
        <f>+SUMIFS(CARGA!I:I,CARGA!B:B,tabla!A441,CARGA!D:D,tabla!C441)</f>
        <v>0</v>
      </c>
      <c r="H441" s="5">
        <f>+SUMIFS(CARGA!K:K,CARGA!B:B,tabla!A441,CARGA!D:D,tabla!C441)</f>
        <v>0</v>
      </c>
      <c r="I441" s="5">
        <f t="shared" si="107"/>
        <v>0</v>
      </c>
      <c r="J441" s="5">
        <f>-SUMIFS(CARGA!K:K,CARGA!B:B,tabla!A441,CARGA!D:D,tabla!C441,CARGA!C:C,MAESTRO!$B$4)+SUMIFS(CARGA!K:K,CARGA!B:B,tabla!A441,CARGA!D:D,tabla!C441,CARGA!C:C,MAESTRO!$B$5)</f>
        <v>0</v>
      </c>
      <c r="K441" s="5" t="e">
        <f>+VLOOKUP(C441,#REF!,3,FALSE)</f>
        <v>#REF!</v>
      </c>
      <c r="L441" s="5" t="e">
        <f t="shared" si="108"/>
        <v>#REF!</v>
      </c>
      <c r="M441" s="5" t="e">
        <f t="shared" si="109"/>
        <v>#REF!</v>
      </c>
      <c r="N441" s="5" t="str">
        <f t="shared" si="110"/>
        <v>NO</v>
      </c>
      <c r="O441" s="5">
        <f>+VLOOKUP(C441,[2]Fondos!$F:$J,5,FALSE)</f>
        <v>1696672499</v>
      </c>
      <c r="P441" s="13">
        <f>+VLOOKUP(C441,[2]Fondos!$F:$K,6,FALSE)</f>
        <v>0.24191749999999998</v>
      </c>
      <c r="Q441" s="13">
        <f t="shared" si="111"/>
        <v>0</v>
      </c>
      <c r="R441" s="10">
        <f>+IF(Q441&gt;MAESTRO!$G$6,0,1)</f>
        <v>1</v>
      </c>
      <c r="S441">
        <f>+IF(P441&lt;MAESTRO!$G$8,0,1)</f>
        <v>1</v>
      </c>
      <c r="T441" s="10">
        <f t="shared" si="112"/>
        <v>2</v>
      </c>
      <c r="U441" t="str">
        <f>+IF(R441+S441=2,MAESTRO!$G$2,IF(R441+S441=0,MAESTRO!$G$5,IF(R441=0,MAESTRO!$G$3,IF(S441=0,MAESTRO!$G$4,))))</f>
        <v>cumple politica</v>
      </c>
    </row>
    <row r="442" spans="1:21" x14ac:dyDescent="0.3">
      <c r="A442" t="s">
        <v>126</v>
      </c>
      <c r="B442" s="20" t="s">
        <v>35</v>
      </c>
      <c r="C442" s="20" t="s">
        <v>75</v>
      </c>
      <c r="D442" s="20" t="s">
        <v>83</v>
      </c>
      <c r="E442" s="24">
        <f t="shared" si="106"/>
        <v>0</v>
      </c>
      <c r="F442" s="22">
        <f>-SUMIFS(CARGA!I:I,CARGA!B:B,tabla!A442,CARGA!D:D,tabla!C442,CARGA!C:C,MAESTRO!$B$4)-SUMIFS(CARGA!I:I,CARGA!B:B,tabla!A442,CARGA!D:D,tabla!C442,CARGA!C:C,MAESTRO!$B$5)</f>
        <v>0</v>
      </c>
      <c r="G442" s="5">
        <f>+SUMIFS(CARGA!I:I,CARGA!B:B,tabla!A442,CARGA!D:D,tabla!C442)</f>
        <v>0</v>
      </c>
      <c r="H442" s="5">
        <f>+SUMIFS(CARGA!K:K,CARGA!B:B,tabla!A442,CARGA!D:D,tabla!C442)</f>
        <v>0</v>
      </c>
      <c r="I442" s="5">
        <f t="shared" si="107"/>
        <v>0</v>
      </c>
      <c r="J442" s="5">
        <f>-SUMIFS(CARGA!K:K,CARGA!B:B,tabla!A442,CARGA!D:D,tabla!C442,CARGA!C:C,MAESTRO!$B$4)+SUMIFS(CARGA!K:K,CARGA!B:B,tabla!A442,CARGA!D:D,tabla!C442,CARGA!C:C,MAESTRO!$B$5)</f>
        <v>0</v>
      </c>
      <c r="K442" s="5" t="e">
        <f>+VLOOKUP(C442,#REF!,3,FALSE)</f>
        <v>#REF!</v>
      </c>
      <c r="L442" s="5" t="e">
        <f t="shared" si="108"/>
        <v>#REF!</v>
      </c>
      <c r="M442" s="5" t="e">
        <f t="shared" si="109"/>
        <v>#REF!</v>
      </c>
      <c r="N442" s="5" t="str">
        <f t="shared" si="110"/>
        <v>NO</v>
      </c>
      <c r="O442" s="5">
        <f>+VLOOKUP(C442,[2]Fondos!$F:$J,5,FALSE)</f>
        <v>1696672499</v>
      </c>
      <c r="P442" s="13">
        <f>+VLOOKUP(C442,[2]Fondos!$F:$K,6,FALSE)</f>
        <v>0.24191749999999998</v>
      </c>
      <c r="Q442" s="13">
        <f t="shared" si="111"/>
        <v>0</v>
      </c>
      <c r="R442" s="10">
        <f>+IF(Q442&gt;MAESTRO!$G$6,0,1)</f>
        <v>1</v>
      </c>
      <c r="S442">
        <f>+IF(P442&lt;MAESTRO!$G$8,0,1)</f>
        <v>1</v>
      </c>
      <c r="T442" s="10">
        <f t="shared" si="112"/>
        <v>2</v>
      </c>
      <c r="U442" t="str">
        <f>+IF(R442+S442=2,MAESTRO!$G$2,IF(R442+S442=0,MAESTRO!$G$5,IF(R442=0,MAESTRO!$G$3,IF(S442=0,MAESTRO!$G$4,))))</f>
        <v>cumple politica</v>
      </c>
    </row>
    <row r="443" spans="1:21" x14ac:dyDescent="0.3">
      <c r="A443" t="s">
        <v>126</v>
      </c>
      <c r="B443" t="s">
        <v>109</v>
      </c>
      <c r="C443" t="s">
        <v>76</v>
      </c>
      <c r="D443" t="s">
        <v>82</v>
      </c>
      <c r="E443" s="24">
        <f t="shared" si="106"/>
        <v>0</v>
      </c>
      <c r="F443" s="22">
        <f>-SUMIFS(CARGA!I:I,CARGA!B:B,tabla!A443,CARGA!D:D,tabla!C443,CARGA!C:C,MAESTRO!$B$4)-SUMIFS(CARGA!I:I,CARGA!B:B,tabla!A443,CARGA!D:D,tabla!C443,CARGA!C:C,MAESTRO!$B$5)</f>
        <v>0</v>
      </c>
      <c r="G443" s="5">
        <f>+SUMIFS(CARGA!I:I,CARGA!B:B,tabla!A443,CARGA!D:D,tabla!C443)</f>
        <v>0</v>
      </c>
      <c r="H443" s="5">
        <f>+SUMIFS(CARGA!K:K,CARGA!B:B,tabla!A443,CARGA!D:D,tabla!C443)</f>
        <v>0</v>
      </c>
      <c r="I443" s="5">
        <f t="shared" si="107"/>
        <v>0</v>
      </c>
      <c r="J443" s="5">
        <f>-SUMIFS(CARGA!K:K,CARGA!B:B,tabla!A443,CARGA!D:D,tabla!C443,CARGA!C:C,MAESTRO!$B$4)+SUMIFS(CARGA!K:K,CARGA!B:B,tabla!A443,CARGA!D:D,tabla!C443,CARGA!C:C,MAESTRO!$B$5)</f>
        <v>0</v>
      </c>
      <c r="K443" s="5" t="e">
        <f>+VLOOKUP(C443,#REF!,3,FALSE)</f>
        <v>#REF!</v>
      </c>
      <c r="L443" s="5" t="e">
        <f t="shared" si="108"/>
        <v>#REF!</v>
      </c>
      <c r="M443" s="5" t="e">
        <f t="shared" si="109"/>
        <v>#REF!</v>
      </c>
      <c r="N443" s="5" t="str">
        <f t="shared" si="110"/>
        <v>NO</v>
      </c>
      <c r="O443" s="5">
        <f>+VLOOKUP(C443,[2]Fondos!$F:$J,5,FALSE)</f>
        <v>3357048174</v>
      </c>
      <c r="P443" s="13">
        <f>+VLOOKUP(C443,[2]Fondos!$F:$K,6,FALSE)</f>
        <v>0.25849470000000002</v>
      </c>
      <c r="Q443" s="13">
        <f t="shared" si="111"/>
        <v>0</v>
      </c>
      <c r="R443" s="10">
        <f>+IF(Q443&gt;MAESTRO!$G$6,0,1)</f>
        <v>1</v>
      </c>
      <c r="S443">
        <f>+IF(P443&lt;MAESTRO!$G$8,0,1)</f>
        <v>1</v>
      </c>
      <c r="T443" s="10">
        <f t="shared" si="112"/>
        <v>2</v>
      </c>
      <c r="U443" t="str">
        <f>+IF(R443+S443=2,MAESTRO!$G$2,IF(R443+S443=0,MAESTRO!$G$5,IF(R443=0,MAESTRO!$G$3,IF(S443=0,MAESTRO!$G$4,))))</f>
        <v>cumple politica</v>
      </c>
    </row>
    <row r="444" spans="1:21" x14ac:dyDescent="0.3">
      <c r="A444" t="s">
        <v>126</v>
      </c>
      <c r="B444" s="20" t="s">
        <v>35</v>
      </c>
      <c r="C444" s="20" t="s">
        <v>76</v>
      </c>
      <c r="D444" s="20" t="s">
        <v>83</v>
      </c>
      <c r="E444" s="24">
        <f t="shared" si="106"/>
        <v>0</v>
      </c>
      <c r="F444" s="22">
        <f>-SUMIFS(CARGA!I:I,CARGA!B:B,tabla!A444,CARGA!D:D,tabla!C444,CARGA!C:C,MAESTRO!$B$4)-SUMIFS(CARGA!I:I,CARGA!B:B,tabla!A444,CARGA!D:D,tabla!C444,CARGA!C:C,MAESTRO!$B$5)</f>
        <v>0</v>
      </c>
      <c r="G444" s="5">
        <f>+SUMIFS(CARGA!I:I,CARGA!B:B,tabla!A444,CARGA!D:D,tabla!C444)</f>
        <v>0</v>
      </c>
      <c r="H444" s="5">
        <f>+SUMIFS(CARGA!K:K,CARGA!B:B,tabla!A444,CARGA!D:D,tabla!C444)</f>
        <v>0</v>
      </c>
      <c r="I444" s="5">
        <f t="shared" si="107"/>
        <v>0</v>
      </c>
      <c r="J444" s="5">
        <f>-SUMIFS(CARGA!K:K,CARGA!B:B,tabla!A444,CARGA!D:D,tabla!C444,CARGA!C:C,MAESTRO!$B$4)+SUMIFS(CARGA!K:K,CARGA!B:B,tabla!A444,CARGA!D:D,tabla!C444,CARGA!C:C,MAESTRO!$B$5)</f>
        <v>0</v>
      </c>
      <c r="K444" s="5" t="e">
        <f>+VLOOKUP(C444,#REF!,3,FALSE)</f>
        <v>#REF!</v>
      </c>
      <c r="L444" s="5" t="e">
        <f t="shared" si="108"/>
        <v>#REF!</v>
      </c>
      <c r="M444" s="5" t="e">
        <f t="shared" si="109"/>
        <v>#REF!</v>
      </c>
      <c r="N444" s="5" t="str">
        <f t="shared" si="110"/>
        <v>NO</v>
      </c>
      <c r="O444" s="5">
        <f>+VLOOKUP(C444,[2]Fondos!$F:$J,5,FALSE)</f>
        <v>3357048174</v>
      </c>
      <c r="P444" s="13">
        <f>+VLOOKUP(C444,[2]Fondos!$F:$K,6,FALSE)</f>
        <v>0.25849470000000002</v>
      </c>
      <c r="Q444" s="13">
        <f t="shared" si="111"/>
        <v>0</v>
      </c>
      <c r="R444" s="10">
        <f>+IF(Q444&gt;MAESTRO!$G$6,0,1)</f>
        <v>1</v>
      </c>
      <c r="S444">
        <f>+IF(P444&lt;MAESTRO!$G$8,0,1)</f>
        <v>1</v>
      </c>
      <c r="T444" s="10">
        <f t="shared" si="112"/>
        <v>2</v>
      </c>
      <c r="U444" t="str">
        <f>+IF(R444+S444=2,MAESTRO!$G$2,IF(R444+S444=0,MAESTRO!$G$5,IF(R444=0,MAESTRO!$G$3,IF(S444=0,MAESTRO!$G$4,))))</f>
        <v>cumple politica</v>
      </c>
    </row>
    <row r="445" spans="1:21" x14ac:dyDescent="0.3">
      <c r="A445" t="s">
        <v>126</v>
      </c>
      <c r="B445" t="s">
        <v>25</v>
      </c>
      <c r="C445" t="s">
        <v>59</v>
      </c>
      <c r="D445" t="s">
        <v>82</v>
      </c>
      <c r="E445" s="24">
        <f t="shared" si="106"/>
        <v>0</v>
      </c>
      <c r="F445" s="22">
        <f>-SUMIFS(CARGA!I:I,CARGA!B:B,tabla!A445,CARGA!D:D,tabla!C445,CARGA!C:C,MAESTRO!$B$4)-SUMIFS(CARGA!I:I,CARGA!B:B,tabla!A445,CARGA!D:D,tabla!C445,CARGA!C:C,MAESTRO!$B$5)</f>
        <v>0</v>
      </c>
      <c r="G445" s="5">
        <f>+SUMIFS(CARGA!I:I,CARGA!B:B,tabla!A445,CARGA!D:D,tabla!C445)</f>
        <v>0</v>
      </c>
      <c r="H445" s="5">
        <f>+SUMIFS(CARGA!K:K,CARGA!B:B,tabla!A445,CARGA!D:D,tabla!C445)</f>
        <v>0</v>
      </c>
      <c r="I445" s="5">
        <f t="shared" si="107"/>
        <v>0</v>
      </c>
      <c r="J445" s="5">
        <f>-SUMIFS(CARGA!K:K,CARGA!B:B,tabla!A445,CARGA!D:D,tabla!C445,CARGA!C:C,MAESTRO!$B$4)+SUMIFS(CARGA!K:K,CARGA!B:B,tabla!A445,CARGA!D:D,tabla!C445,CARGA!C:C,MAESTRO!$B$5)</f>
        <v>0</v>
      </c>
      <c r="K445" s="5" t="e">
        <f>+VLOOKUP(C445,#REF!,3,FALSE)</f>
        <v>#REF!</v>
      </c>
      <c r="L445" s="5" t="e">
        <f t="shared" si="108"/>
        <v>#REF!</v>
      </c>
      <c r="M445" s="5" t="e">
        <f t="shared" si="109"/>
        <v>#REF!</v>
      </c>
      <c r="N445" s="5" t="str">
        <f t="shared" si="110"/>
        <v>NO</v>
      </c>
      <c r="O445" s="5">
        <f>+VLOOKUP(C445,[2]Fondos!$F:$J,5,FALSE)</f>
        <v>15268657582.66</v>
      </c>
      <c r="P445" s="13">
        <f>+VLOOKUP(C445,[2]Fondos!$F:$K,6,FALSE)</f>
        <v>0.26679839999999999</v>
      </c>
      <c r="Q445" s="13">
        <f t="shared" si="111"/>
        <v>0</v>
      </c>
      <c r="R445" s="10">
        <f>+IF(Q445&gt;MAESTRO!$G$6,0,1)</f>
        <v>1</v>
      </c>
      <c r="S445">
        <f>+IF(P445&lt;MAESTRO!$G$8,0,1)</f>
        <v>1</v>
      </c>
      <c r="T445" s="10">
        <f t="shared" si="112"/>
        <v>2</v>
      </c>
      <c r="U445" t="str">
        <f>+IF(R445+S445=2,MAESTRO!$G$2,IF(R445+S445=0,MAESTRO!$G$5,IF(R445=0,MAESTRO!$G$3,IF(S445=0,MAESTRO!$G$4,))))</f>
        <v>cumple politica</v>
      </c>
    </row>
    <row r="446" spans="1:21" x14ac:dyDescent="0.3">
      <c r="A446" t="s">
        <v>126</v>
      </c>
      <c r="B446" t="s">
        <v>25</v>
      </c>
      <c r="C446" t="s">
        <v>40</v>
      </c>
      <c r="D446" t="s">
        <v>81</v>
      </c>
      <c r="E446" s="24">
        <f t="shared" si="106"/>
        <v>0</v>
      </c>
      <c r="F446" s="22">
        <f>-SUMIFS(CARGA!I:I,CARGA!B:B,tabla!A446,CARGA!D:D,tabla!C446,CARGA!C:C,MAESTRO!$B$4)-SUMIFS(CARGA!I:I,CARGA!B:B,tabla!A446,CARGA!D:D,tabla!C446,CARGA!C:C,MAESTRO!$B$5)</f>
        <v>0</v>
      </c>
      <c r="G446" s="5">
        <f>+SUMIFS(CARGA!I:I,CARGA!B:B,tabla!A446,CARGA!D:D,tabla!C446)</f>
        <v>0</v>
      </c>
      <c r="H446" s="5">
        <f>+SUMIFS(CARGA!K:K,CARGA!B:B,tabla!A446,CARGA!D:D,tabla!C446)</f>
        <v>0</v>
      </c>
      <c r="I446" s="5">
        <f t="shared" si="107"/>
        <v>0</v>
      </c>
      <c r="J446" s="5">
        <f>-SUMIFS(CARGA!K:K,CARGA!B:B,tabla!A446,CARGA!D:D,tabla!C446,CARGA!C:C,MAESTRO!$B$4)+SUMIFS(CARGA!K:K,CARGA!B:B,tabla!A446,CARGA!D:D,tabla!C446,CARGA!C:C,MAESTRO!$B$5)</f>
        <v>0</v>
      </c>
      <c r="K446" s="5" t="e">
        <f>+VLOOKUP(C446,#REF!,3,FALSE)</f>
        <v>#REF!</v>
      </c>
      <c r="L446" s="5" t="e">
        <f t="shared" si="108"/>
        <v>#REF!</v>
      </c>
      <c r="M446" s="5" t="e">
        <f t="shared" si="109"/>
        <v>#REF!</v>
      </c>
      <c r="N446" s="5" t="str">
        <f t="shared" si="110"/>
        <v>NO</v>
      </c>
      <c r="O446" s="5">
        <f>+VLOOKUP(C446,[2]Fondos!$F:$J,5,FALSE)</f>
        <v>4231508416.6700001</v>
      </c>
      <c r="P446" s="13">
        <f>+VLOOKUP(C446,[2]Fondos!$F:$K,6,FALSE)</f>
        <v>0.21473639999999999</v>
      </c>
      <c r="Q446" s="13">
        <f t="shared" si="111"/>
        <v>0</v>
      </c>
      <c r="R446" s="10">
        <f>+IF(Q446&gt;MAESTRO!$G$6,0,1)</f>
        <v>1</v>
      </c>
      <c r="S446">
        <f>+IF(P446&lt;MAESTRO!$G$8,0,1)</f>
        <v>1</v>
      </c>
      <c r="T446" s="10">
        <f t="shared" si="112"/>
        <v>2</v>
      </c>
      <c r="U446" t="str">
        <f>+IF(R446+S446=2,MAESTRO!$G$2,IF(R446+S446=0,MAESTRO!$G$5,IF(R446=0,MAESTRO!$G$3,IF(S446=0,MAESTRO!$G$4,))))</f>
        <v>cumple politica</v>
      </c>
    </row>
    <row r="447" spans="1:21" x14ac:dyDescent="0.3">
      <c r="A447" t="s">
        <v>126</v>
      </c>
      <c r="B447" t="s">
        <v>25</v>
      </c>
      <c r="C447" t="s">
        <v>79</v>
      </c>
      <c r="D447" t="s">
        <v>82</v>
      </c>
      <c r="E447" s="24">
        <f t="shared" si="106"/>
        <v>0</v>
      </c>
      <c r="F447" s="22">
        <f>-SUMIFS(CARGA!I:I,CARGA!B:B,tabla!A447,CARGA!D:D,tabla!C447,CARGA!C:C,MAESTRO!$B$4)-SUMIFS(CARGA!I:I,CARGA!B:B,tabla!A447,CARGA!D:D,tabla!C447,CARGA!C:C,MAESTRO!$B$5)</f>
        <v>0</v>
      </c>
      <c r="G447" s="5">
        <f>+SUMIFS(CARGA!I:I,CARGA!B:B,tabla!A447,CARGA!D:D,tabla!C447)</f>
        <v>0</v>
      </c>
      <c r="H447" s="5">
        <f>+SUMIFS(CARGA!K:K,CARGA!B:B,tabla!A447,CARGA!D:D,tabla!C447)</f>
        <v>0</v>
      </c>
      <c r="I447" s="5">
        <f t="shared" si="107"/>
        <v>0</v>
      </c>
      <c r="J447" s="5">
        <f>-SUMIFS(CARGA!K:K,CARGA!B:B,tabla!A447,CARGA!D:D,tabla!C447,CARGA!C:C,MAESTRO!$B$4)+SUMIFS(CARGA!K:K,CARGA!B:B,tabla!A447,CARGA!D:D,tabla!C447,CARGA!C:C,MAESTRO!$B$5)</f>
        <v>0</v>
      </c>
      <c r="K447" s="5" t="e">
        <f>+VLOOKUP(C447,#REF!,3,FALSE)</f>
        <v>#REF!</v>
      </c>
      <c r="L447" s="5" t="e">
        <f t="shared" si="108"/>
        <v>#REF!</v>
      </c>
      <c r="M447" s="5" t="e">
        <f t="shared" si="109"/>
        <v>#REF!</v>
      </c>
      <c r="N447" s="5" t="str">
        <f t="shared" si="110"/>
        <v>NO</v>
      </c>
      <c r="O447" s="5">
        <f>+VLOOKUP(C447,[2]Fondos!$F:$J,5,FALSE)</f>
        <v>415179361.94999999</v>
      </c>
      <c r="P447" s="13">
        <f>+VLOOKUP(C447,[2]Fondos!$F:$K,6,FALSE)</f>
        <v>0.20571149999999999</v>
      </c>
      <c r="Q447" s="13">
        <f t="shared" si="111"/>
        <v>0</v>
      </c>
      <c r="R447" s="10">
        <f>+IF(Q447&gt;MAESTRO!$G$6,0,1)</f>
        <v>1</v>
      </c>
      <c r="S447">
        <f>+IF(P447&lt;MAESTRO!$G$8,0,1)</f>
        <v>1</v>
      </c>
      <c r="T447" s="10">
        <f t="shared" si="112"/>
        <v>2</v>
      </c>
      <c r="U447" t="str">
        <f>+IF(R447+S447=2,MAESTRO!$G$2,IF(R447+S447=0,MAESTRO!$G$5,IF(R447=0,MAESTRO!$G$3,IF(S447=0,MAESTRO!$G$4,))))</f>
        <v>cumple politica</v>
      </c>
    </row>
    <row r="448" spans="1:21" x14ac:dyDescent="0.3">
      <c r="A448" t="s">
        <v>126</v>
      </c>
      <c r="B448" t="s">
        <v>26</v>
      </c>
      <c r="C448" t="s">
        <v>61</v>
      </c>
      <c r="D448" t="s">
        <v>82</v>
      </c>
      <c r="E448" s="24">
        <f t="shared" si="106"/>
        <v>0</v>
      </c>
      <c r="F448" s="22">
        <f>-SUMIFS(CARGA!I:I,CARGA!B:B,tabla!A448,CARGA!D:D,tabla!C448,CARGA!C:C,MAESTRO!$B$4)-SUMIFS(CARGA!I:I,CARGA!B:B,tabla!A448,CARGA!D:D,tabla!C448,CARGA!C:C,MAESTRO!$B$5)</f>
        <v>0</v>
      </c>
      <c r="G448" s="5">
        <f>+SUMIFS(CARGA!I:I,CARGA!B:B,tabla!A448,CARGA!D:D,tabla!C448)</f>
        <v>0</v>
      </c>
      <c r="H448" s="5">
        <f>+SUMIFS(CARGA!K:K,CARGA!B:B,tabla!A448,CARGA!D:D,tabla!C448)</f>
        <v>0</v>
      </c>
      <c r="I448" s="5">
        <f t="shared" si="107"/>
        <v>0</v>
      </c>
      <c r="J448" s="5">
        <f>-SUMIFS(CARGA!K:K,CARGA!B:B,tabla!A448,CARGA!D:D,tabla!C448,CARGA!C:C,MAESTRO!$B$4)+SUMIFS(CARGA!K:K,CARGA!B:B,tabla!A448,CARGA!D:D,tabla!C448,CARGA!C:C,MAESTRO!$B$5)</f>
        <v>0</v>
      </c>
      <c r="K448" s="5" t="e">
        <f>+VLOOKUP(C448,#REF!,3,FALSE)</f>
        <v>#REF!</v>
      </c>
      <c r="L448" s="5" t="e">
        <f t="shared" si="108"/>
        <v>#REF!</v>
      </c>
      <c r="M448" s="5" t="e">
        <f t="shared" si="109"/>
        <v>#REF!</v>
      </c>
      <c r="N448" s="5" t="str">
        <f t="shared" si="110"/>
        <v>NO</v>
      </c>
      <c r="O448" s="5">
        <f>+VLOOKUP(C448,[2]Fondos!$F:$J,5,FALSE)</f>
        <v>25454891426</v>
      </c>
      <c r="P448" s="13">
        <f>+VLOOKUP(C448,[2]Fondos!$F:$K,6,FALSE)</f>
        <v>0.26389279999999998</v>
      </c>
      <c r="Q448" s="13">
        <f t="shared" si="111"/>
        <v>0</v>
      </c>
      <c r="R448" s="10">
        <f>+IF(Q448&gt;MAESTRO!$G$6,0,1)</f>
        <v>1</v>
      </c>
      <c r="S448">
        <f>+IF(P448&lt;MAESTRO!$G$8,0,1)</f>
        <v>1</v>
      </c>
      <c r="T448" s="10">
        <f t="shared" si="112"/>
        <v>2</v>
      </c>
      <c r="U448" t="str">
        <f>+IF(R448+S448=2,MAESTRO!$G$2,IF(R448+S448=0,MAESTRO!$G$5,IF(R448=0,MAESTRO!$G$3,IF(S448=0,MAESTRO!$G$4,))))</f>
        <v>cumple politica</v>
      </c>
    </row>
    <row r="449" spans="1:21" x14ac:dyDescent="0.3">
      <c r="A449" t="s">
        <v>126</v>
      </c>
      <c r="B449" t="s">
        <v>26</v>
      </c>
      <c r="C449" t="s">
        <v>58</v>
      </c>
      <c r="D449" t="s">
        <v>82</v>
      </c>
      <c r="E449" s="24">
        <f t="shared" si="106"/>
        <v>0</v>
      </c>
      <c r="F449" s="22">
        <f>-SUMIFS(CARGA!I:I,CARGA!B:B,tabla!A449,CARGA!D:D,tabla!C449,CARGA!C:C,MAESTRO!$B$4)-SUMIFS(CARGA!I:I,CARGA!B:B,tabla!A449,CARGA!D:D,tabla!C449,CARGA!C:C,MAESTRO!$B$5)</f>
        <v>0</v>
      </c>
      <c r="G449" s="5">
        <f>+SUMIFS(CARGA!I:I,CARGA!B:B,tabla!A449,CARGA!D:D,tabla!C449)</f>
        <v>0</v>
      </c>
      <c r="H449" s="5">
        <f>+SUMIFS(CARGA!K:K,CARGA!B:B,tabla!A449,CARGA!D:D,tabla!C449)</f>
        <v>0</v>
      </c>
      <c r="I449" s="5">
        <f t="shared" si="107"/>
        <v>0</v>
      </c>
      <c r="J449" s="5">
        <f>-SUMIFS(CARGA!K:K,CARGA!B:B,tabla!A449,CARGA!D:D,tabla!C449,CARGA!C:C,MAESTRO!$B$4)+SUMIFS(CARGA!K:K,CARGA!B:B,tabla!A449,CARGA!D:D,tabla!C449,CARGA!C:C,MAESTRO!$B$5)</f>
        <v>0</v>
      </c>
      <c r="K449" s="5" t="e">
        <f>+VLOOKUP(C449,#REF!,3,FALSE)</f>
        <v>#REF!</v>
      </c>
      <c r="L449" s="5" t="e">
        <f t="shared" si="108"/>
        <v>#REF!</v>
      </c>
      <c r="M449" s="5" t="e">
        <f t="shared" si="109"/>
        <v>#REF!</v>
      </c>
      <c r="N449" s="5" t="str">
        <f t="shared" si="110"/>
        <v>NO</v>
      </c>
      <c r="O449" s="5">
        <f>+VLOOKUP(C449,[2]Fondos!$F:$J,5,FALSE)</f>
        <v>25454891426</v>
      </c>
      <c r="P449" s="13">
        <f>+VLOOKUP(C449,[2]Fondos!$F:$K,6,FALSE)</f>
        <v>0.26686179999999998</v>
      </c>
      <c r="Q449" s="13">
        <f t="shared" si="111"/>
        <v>0</v>
      </c>
      <c r="R449" s="10">
        <f>+IF(Q449&gt;MAESTRO!$G$6,0,1)</f>
        <v>1</v>
      </c>
      <c r="S449">
        <f>+IF(P449&lt;MAESTRO!$G$8,0,1)</f>
        <v>1</v>
      </c>
      <c r="T449" s="10">
        <f t="shared" si="112"/>
        <v>2</v>
      </c>
      <c r="U449" t="str">
        <f>+IF(R449+S449=2,MAESTRO!$G$2,IF(R449+S449=0,MAESTRO!$G$5,IF(R449=0,MAESTRO!$G$3,IF(S449=0,MAESTRO!$G$4,))))</f>
        <v>cumple politica</v>
      </c>
    </row>
    <row r="450" spans="1:21" x14ac:dyDescent="0.3">
      <c r="A450" t="s">
        <v>126</v>
      </c>
      <c r="B450" t="s">
        <v>26</v>
      </c>
      <c r="C450" t="s">
        <v>56</v>
      </c>
      <c r="D450" t="s">
        <v>82</v>
      </c>
      <c r="E450" s="24">
        <f t="shared" si="106"/>
        <v>0</v>
      </c>
      <c r="F450" s="22">
        <f>-SUMIFS(CARGA!I:I,CARGA!B:B,tabla!A450,CARGA!D:D,tabla!C450,CARGA!C:C,MAESTRO!$B$4)-SUMIFS(CARGA!I:I,CARGA!B:B,tabla!A450,CARGA!D:D,tabla!C450,CARGA!C:C,MAESTRO!$B$5)</f>
        <v>0</v>
      </c>
      <c r="G450" s="5">
        <f>+SUMIFS(CARGA!I:I,CARGA!B:B,tabla!A450,CARGA!D:D,tabla!C450)</f>
        <v>0</v>
      </c>
      <c r="H450" s="5">
        <f>+SUMIFS(CARGA!K:K,CARGA!B:B,tabla!A450,CARGA!D:D,tabla!C450)</f>
        <v>0</v>
      </c>
      <c r="I450" s="5">
        <f t="shared" si="107"/>
        <v>0</v>
      </c>
      <c r="J450" s="5">
        <f>-SUMIFS(CARGA!K:K,CARGA!B:B,tabla!A450,CARGA!D:D,tabla!C450,CARGA!C:C,MAESTRO!$B$4)+SUMIFS(CARGA!K:K,CARGA!B:B,tabla!A450,CARGA!D:D,tabla!C450,CARGA!C:C,MAESTRO!$B$5)</f>
        <v>0</v>
      </c>
      <c r="K450" s="5" t="e">
        <f>+VLOOKUP(C450,#REF!,3,FALSE)</f>
        <v>#REF!</v>
      </c>
      <c r="L450" s="5" t="e">
        <f t="shared" si="108"/>
        <v>#REF!</v>
      </c>
      <c r="M450" s="5" t="e">
        <f t="shared" si="109"/>
        <v>#REF!</v>
      </c>
      <c r="N450" s="5" t="str">
        <f t="shared" si="110"/>
        <v>NO</v>
      </c>
      <c r="O450" s="5">
        <f>+VLOOKUP(C450,[2]Fondos!$F:$J,5,FALSE)</f>
        <v>25454891426</v>
      </c>
      <c r="P450" s="13">
        <f>+VLOOKUP(C450,[2]Fondos!$F:$K,6,FALSE)</f>
        <v>0.27078930000000001</v>
      </c>
      <c r="Q450" s="13">
        <f t="shared" si="111"/>
        <v>0</v>
      </c>
      <c r="R450" s="10">
        <f>+IF(Q450&gt;MAESTRO!$G$6,0,1)</f>
        <v>1</v>
      </c>
      <c r="S450">
        <f>+IF(P450&lt;MAESTRO!$G$8,0,1)</f>
        <v>1</v>
      </c>
      <c r="T450" s="10">
        <f t="shared" si="112"/>
        <v>2</v>
      </c>
      <c r="U450" t="str">
        <f>+IF(R450+S450=2,MAESTRO!$G$2,IF(R450+S450=0,MAESTRO!$G$5,IF(R450=0,MAESTRO!$G$3,IF(S450=0,MAESTRO!$G$4,))))</f>
        <v>cumple politica</v>
      </c>
    </row>
    <row r="451" spans="1:21" x14ac:dyDescent="0.3">
      <c r="A451" t="s">
        <v>126</v>
      </c>
      <c r="B451" t="s">
        <v>26</v>
      </c>
      <c r="C451" t="s">
        <v>65</v>
      </c>
      <c r="D451" t="s">
        <v>82</v>
      </c>
      <c r="E451" s="24">
        <f t="shared" si="106"/>
        <v>0</v>
      </c>
      <c r="F451" s="22">
        <f>-SUMIFS(CARGA!I:I,CARGA!B:B,tabla!A451,CARGA!D:D,tabla!C451,CARGA!C:C,MAESTRO!$B$4)-SUMIFS(CARGA!I:I,CARGA!B:B,tabla!A451,CARGA!D:D,tabla!C451,CARGA!C:C,MAESTRO!$B$5)</f>
        <v>0</v>
      </c>
      <c r="G451" s="5">
        <f>+SUMIFS(CARGA!I:I,CARGA!B:B,tabla!A451,CARGA!D:D,tabla!C451)</f>
        <v>0</v>
      </c>
      <c r="H451" s="5">
        <f>+SUMIFS(CARGA!K:K,CARGA!B:B,tabla!A451,CARGA!D:D,tabla!C451)</f>
        <v>0</v>
      </c>
      <c r="I451" s="5">
        <f t="shared" si="107"/>
        <v>0</v>
      </c>
      <c r="J451" s="5">
        <f>-SUMIFS(CARGA!K:K,CARGA!B:B,tabla!A451,CARGA!D:D,tabla!C451,CARGA!C:C,MAESTRO!$B$4)+SUMIFS(CARGA!K:K,CARGA!B:B,tabla!A451,CARGA!D:D,tabla!C451,CARGA!C:C,MAESTRO!$B$5)</f>
        <v>0</v>
      </c>
      <c r="K451" s="5" t="e">
        <f>+VLOOKUP(C451,#REF!,3,FALSE)</f>
        <v>#REF!</v>
      </c>
      <c r="L451" s="5" t="e">
        <f t="shared" si="108"/>
        <v>#REF!</v>
      </c>
      <c r="M451" s="5" t="e">
        <f t="shared" si="109"/>
        <v>#REF!</v>
      </c>
      <c r="N451" s="5" t="str">
        <f t="shared" si="110"/>
        <v>NO</v>
      </c>
      <c r="O451" s="5">
        <f>+VLOOKUP(C451,[2]Fondos!$F:$J,5,FALSE)</f>
        <v>26527515773</v>
      </c>
      <c r="P451" s="13">
        <f>+VLOOKUP(C451,[2]Fondos!$F:$K,6,FALSE)</f>
        <v>0.26544099999999998</v>
      </c>
      <c r="Q451" s="13">
        <f t="shared" si="111"/>
        <v>0</v>
      </c>
      <c r="R451" s="10">
        <f>+IF(Q451&gt;MAESTRO!$G$6,0,1)</f>
        <v>1</v>
      </c>
      <c r="S451">
        <f>+IF(P451&lt;MAESTRO!$G$8,0,1)</f>
        <v>1</v>
      </c>
      <c r="T451" s="10">
        <f t="shared" si="112"/>
        <v>2</v>
      </c>
      <c r="U451" t="str">
        <f>+IF(R451+S451=2,MAESTRO!$G$2,IF(R451+S451=0,MAESTRO!$G$5,IF(R451=0,MAESTRO!$G$3,IF(S451=0,MAESTRO!$G$4,))))</f>
        <v>cumple politica</v>
      </c>
    </row>
    <row r="452" spans="1:21" x14ac:dyDescent="0.3">
      <c r="A452" t="s">
        <v>126</v>
      </c>
      <c r="B452" t="s">
        <v>26</v>
      </c>
      <c r="C452" t="s">
        <v>45</v>
      </c>
      <c r="D452" t="s">
        <v>81</v>
      </c>
      <c r="E452" s="24">
        <f t="shared" si="106"/>
        <v>0</v>
      </c>
      <c r="F452" s="22">
        <f>-SUMIFS(CARGA!I:I,CARGA!B:B,tabla!A452,CARGA!D:D,tabla!C452,CARGA!C:C,MAESTRO!$B$4)-SUMIFS(CARGA!I:I,CARGA!B:B,tabla!A452,CARGA!D:D,tabla!C452,CARGA!C:C,MAESTRO!$B$5)</f>
        <v>0</v>
      </c>
      <c r="G452" s="5">
        <f>+SUMIFS(CARGA!I:I,CARGA!B:B,tabla!A452,CARGA!D:D,tabla!C452)</f>
        <v>0</v>
      </c>
      <c r="H452" s="5">
        <f>+SUMIFS(CARGA!K:K,CARGA!B:B,tabla!A452,CARGA!D:D,tabla!C452)</f>
        <v>0</v>
      </c>
      <c r="I452" s="5">
        <f t="shared" si="107"/>
        <v>0</v>
      </c>
      <c r="J452" s="5">
        <f>-SUMIFS(CARGA!K:K,CARGA!B:B,tabla!A452,CARGA!D:D,tabla!C452,CARGA!C:C,MAESTRO!$B$4)+SUMIFS(CARGA!K:K,CARGA!B:B,tabla!A452,CARGA!D:D,tabla!C452,CARGA!C:C,MAESTRO!$B$5)</f>
        <v>0</v>
      </c>
      <c r="K452" s="5" t="e">
        <f>+VLOOKUP(C452,#REF!,3,FALSE)</f>
        <v>#REF!</v>
      </c>
      <c r="L452" s="5" t="e">
        <f t="shared" si="108"/>
        <v>#REF!</v>
      </c>
      <c r="M452" s="5" t="e">
        <f t="shared" si="109"/>
        <v>#REF!</v>
      </c>
      <c r="N452" s="5" t="str">
        <f t="shared" si="110"/>
        <v>NO</v>
      </c>
      <c r="O452" s="5">
        <f>+VLOOKUP(C452,[2]Fondos!$F:$J,5,FALSE)</f>
        <v>9536957677</v>
      </c>
      <c r="P452" s="13">
        <f>+VLOOKUP(C452,[2]Fondos!$F:$K,6,FALSE)</f>
        <v>0.20501570000000002</v>
      </c>
      <c r="Q452" s="13">
        <f t="shared" si="111"/>
        <v>0</v>
      </c>
      <c r="R452" s="10">
        <f>+IF(Q452&gt;MAESTRO!$G$6,0,1)</f>
        <v>1</v>
      </c>
      <c r="S452">
        <f>+IF(P452&lt;MAESTRO!$G$8,0,1)</f>
        <v>1</v>
      </c>
      <c r="T452" s="10">
        <f t="shared" si="112"/>
        <v>2</v>
      </c>
      <c r="U452" t="str">
        <f>+IF(R452+S452=2,MAESTRO!$G$2,IF(R452+S452=0,MAESTRO!$G$5,IF(R452=0,MAESTRO!$G$3,IF(S452=0,MAESTRO!$G$4,))))</f>
        <v>cumple politica</v>
      </c>
    </row>
    <row r="453" spans="1:21" x14ac:dyDescent="0.3">
      <c r="A453" t="s">
        <v>126</v>
      </c>
      <c r="B453" t="s">
        <v>26</v>
      </c>
      <c r="C453" t="s">
        <v>41</v>
      </c>
      <c r="D453" t="s">
        <v>81</v>
      </c>
      <c r="E453" s="24">
        <f t="shared" si="106"/>
        <v>0</v>
      </c>
      <c r="F453" s="22">
        <f>-SUMIFS(CARGA!I:I,CARGA!B:B,tabla!A453,CARGA!D:D,tabla!C453,CARGA!C:C,MAESTRO!$B$4)-SUMIFS(CARGA!I:I,CARGA!B:B,tabla!A453,CARGA!D:D,tabla!C453,CARGA!C:C,MAESTRO!$B$5)</f>
        <v>0</v>
      </c>
      <c r="G453" s="5">
        <f>+SUMIFS(CARGA!I:I,CARGA!B:B,tabla!A453,CARGA!D:D,tabla!C453)</f>
        <v>0</v>
      </c>
      <c r="H453" s="5">
        <f>+SUMIFS(CARGA!K:K,CARGA!B:B,tabla!A453,CARGA!D:D,tabla!C453)</f>
        <v>0</v>
      </c>
      <c r="I453" s="5">
        <f t="shared" si="107"/>
        <v>0</v>
      </c>
      <c r="J453" s="5">
        <f>-SUMIFS(CARGA!K:K,CARGA!B:B,tabla!A453,CARGA!D:D,tabla!C453,CARGA!C:C,MAESTRO!$B$4)+SUMIFS(CARGA!K:K,CARGA!B:B,tabla!A453,CARGA!D:D,tabla!C453,CARGA!C:C,MAESTRO!$B$5)</f>
        <v>0</v>
      </c>
      <c r="K453" s="5" t="e">
        <f>+VLOOKUP(C453,#REF!,3,FALSE)</f>
        <v>#REF!</v>
      </c>
      <c r="L453" s="5" t="e">
        <f t="shared" si="108"/>
        <v>#REF!</v>
      </c>
      <c r="M453" s="5" t="e">
        <f t="shared" si="109"/>
        <v>#REF!</v>
      </c>
      <c r="N453" s="5" t="str">
        <f t="shared" si="110"/>
        <v>NO</v>
      </c>
      <c r="O453" s="5">
        <f>+VLOOKUP(C453,[2]Fondos!$F:$J,5,FALSE)</f>
        <v>9536957677</v>
      </c>
      <c r="P453" s="13">
        <f>+VLOOKUP(C453,[2]Fondos!$F:$K,6,FALSE)</f>
        <v>0.2143747</v>
      </c>
      <c r="Q453" s="13">
        <f t="shared" si="111"/>
        <v>0</v>
      </c>
      <c r="R453" s="10">
        <f>+IF(Q453&gt;MAESTRO!$G$6,0,1)</f>
        <v>1</v>
      </c>
      <c r="S453">
        <f>+IF(P453&lt;MAESTRO!$G$8,0,1)</f>
        <v>1</v>
      </c>
      <c r="T453" s="10">
        <f t="shared" si="112"/>
        <v>2</v>
      </c>
      <c r="U453" t="str">
        <f>+IF(R453+S453=2,MAESTRO!$G$2,IF(R453+S453=0,MAESTRO!$G$5,IF(R453=0,MAESTRO!$G$3,IF(S453=0,MAESTRO!$G$4,))))</f>
        <v>cumple politica</v>
      </c>
    </row>
    <row r="454" spans="1:21" x14ac:dyDescent="0.3">
      <c r="A454" t="s">
        <v>126</v>
      </c>
      <c r="B454" t="s">
        <v>36</v>
      </c>
      <c r="C454" t="s">
        <v>73</v>
      </c>
      <c r="D454" t="s">
        <v>82</v>
      </c>
      <c r="E454" s="24">
        <f t="shared" si="106"/>
        <v>0</v>
      </c>
      <c r="F454" s="22">
        <f>-SUMIFS(CARGA!I:I,CARGA!B:B,tabla!A454,CARGA!D:D,tabla!C454,CARGA!C:C,MAESTRO!$B$4)-SUMIFS(CARGA!I:I,CARGA!B:B,tabla!A454,CARGA!D:D,tabla!C454,CARGA!C:C,MAESTRO!$B$5)</f>
        <v>0</v>
      </c>
      <c r="G454" s="5">
        <f>+SUMIFS(CARGA!I:I,CARGA!B:B,tabla!A454,CARGA!D:D,tabla!C454)</f>
        <v>0</v>
      </c>
      <c r="H454" s="5">
        <f>+SUMIFS(CARGA!K:K,CARGA!B:B,tabla!A454,CARGA!D:D,tabla!C454)</f>
        <v>0</v>
      </c>
      <c r="I454" s="5">
        <f t="shared" si="107"/>
        <v>0</v>
      </c>
      <c r="J454" s="5">
        <f>-SUMIFS(CARGA!K:K,CARGA!B:B,tabla!A454,CARGA!D:D,tabla!C454,CARGA!C:C,MAESTRO!$B$4)+SUMIFS(CARGA!K:K,CARGA!B:B,tabla!A454,CARGA!D:D,tabla!C454,CARGA!C:C,MAESTRO!$B$5)</f>
        <v>0</v>
      </c>
      <c r="K454" s="5" t="e">
        <f>+VLOOKUP(C454,#REF!,3,FALSE)</f>
        <v>#REF!</v>
      </c>
      <c r="L454" s="5" t="e">
        <f t="shared" si="108"/>
        <v>#REF!</v>
      </c>
      <c r="M454" s="5" t="e">
        <f t="shared" si="109"/>
        <v>#REF!</v>
      </c>
      <c r="N454" s="5" t="str">
        <f t="shared" si="110"/>
        <v>NO</v>
      </c>
      <c r="O454" s="5">
        <f>+VLOOKUP(C454,[2]Fondos!$F:$J,5,FALSE)</f>
        <v>5558283453.2200003</v>
      </c>
      <c r="P454" s="13">
        <f>+VLOOKUP(C454,[2]Fondos!$F:$K,6,FALSE)</f>
        <v>0.26949119999999999</v>
      </c>
      <c r="Q454" s="13">
        <f t="shared" si="111"/>
        <v>0</v>
      </c>
      <c r="R454" s="10">
        <f>+IF(Q454&gt;MAESTRO!$G$6,0,1)</f>
        <v>1</v>
      </c>
      <c r="S454">
        <f>+IF(P454&lt;MAESTRO!$G$8,0,1)</f>
        <v>1</v>
      </c>
      <c r="T454" s="10">
        <f t="shared" si="112"/>
        <v>2</v>
      </c>
      <c r="U454" t="str">
        <f>+IF(R454+S454=2,MAESTRO!$G$2,IF(R454+S454=0,MAESTRO!$G$5,IF(R454=0,MAESTRO!$G$3,IF(S454=0,MAESTRO!$G$4,))))</f>
        <v>cumple politica</v>
      </c>
    </row>
    <row r="455" spans="1:21" x14ac:dyDescent="0.3">
      <c r="A455" t="s">
        <v>126</v>
      </c>
      <c r="B455" t="s">
        <v>36</v>
      </c>
      <c r="C455" t="s">
        <v>72</v>
      </c>
      <c r="D455" t="s">
        <v>81</v>
      </c>
      <c r="E455" s="24">
        <f t="shared" si="106"/>
        <v>0</v>
      </c>
      <c r="F455" s="22">
        <f>-SUMIFS(CARGA!I:I,CARGA!B:B,tabla!A455,CARGA!D:D,tabla!C455,CARGA!C:C,MAESTRO!$B$4)-SUMIFS(CARGA!I:I,CARGA!B:B,tabla!A455,CARGA!D:D,tabla!C455,CARGA!C:C,MAESTRO!$B$5)</f>
        <v>0</v>
      </c>
      <c r="G455" s="5">
        <f>+SUMIFS(CARGA!I:I,CARGA!B:B,tabla!A455,CARGA!D:D,tabla!C455)</f>
        <v>0</v>
      </c>
      <c r="H455" s="5">
        <f>+SUMIFS(CARGA!K:K,CARGA!B:B,tabla!A455,CARGA!D:D,tabla!C455)</f>
        <v>0</v>
      </c>
      <c r="I455" s="5">
        <f t="shared" si="107"/>
        <v>0</v>
      </c>
      <c r="J455" s="5">
        <f>-SUMIFS(CARGA!K:K,CARGA!B:B,tabla!A455,CARGA!D:D,tabla!C455,CARGA!C:C,MAESTRO!$B$4)+SUMIFS(CARGA!K:K,CARGA!B:B,tabla!A455,CARGA!D:D,tabla!C455,CARGA!C:C,MAESTRO!$B$5)</f>
        <v>0</v>
      </c>
      <c r="K455" s="5" t="e">
        <f>+VLOOKUP(C455,#REF!,3,FALSE)</f>
        <v>#REF!</v>
      </c>
      <c r="L455" s="5" t="e">
        <f t="shared" si="108"/>
        <v>#REF!</v>
      </c>
      <c r="M455" s="5" t="e">
        <f t="shared" si="109"/>
        <v>#REF!</v>
      </c>
      <c r="N455" s="5" t="str">
        <f t="shared" si="110"/>
        <v>NO</v>
      </c>
      <c r="O455" s="5">
        <f>+VLOOKUP(C455,[2]Fondos!$F:$J,5,FALSE)</f>
        <v>4289905534.3099999</v>
      </c>
      <c r="P455" s="13">
        <f>+VLOOKUP(C455,[2]Fondos!$F:$K,6,FALSE)</f>
        <v>0.2090719</v>
      </c>
      <c r="Q455" s="13">
        <f t="shared" si="111"/>
        <v>0</v>
      </c>
      <c r="R455" s="10">
        <f>+IF(Q455&gt;MAESTRO!$G$6,0,1)</f>
        <v>1</v>
      </c>
      <c r="S455">
        <f>+IF(P455&lt;MAESTRO!$G$8,0,1)</f>
        <v>1</v>
      </c>
      <c r="T455" s="10">
        <f t="shared" si="112"/>
        <v>2</v>
      </c>
      <c r="U455" t="str">
        <f>+IF(R455+S455=2,MAESTRO!$G$2,IF(R455+S455=0,MAESTRO!$G$5,IF(R455=0,MAESTRO!$G$3,IF(S455=0,MAESTRO!$G$4,))))</f>
        <v>cumple politica</v>
      </c>
    </row>
    <row r="456" spans="1:21" x14ac:dyDescent="0.3">
      <c r="A456" t="s">
        <v>126</v>
      </c>
      <c r="B456" t="s">
        <v>28</v>
      </c>
      <c r="C456" t="s">
        <v>46</v>
      </c>
      <c r="D456" t="s">
        <v>81</v>
      </c>
      <c r="E456" s="24">
        <f t="shared" si="106"/>
        <v>0</v>
      </c>
      <c r="F456" s="22">
        <f>-SUMIFS(CARGA!I:I,CARGA!B:B,tabla!A456,CARGA!D:D,tabla!C456,CARGA!C:C,MAESTRO!$B$4)-SUMIFS(CARGA!I:I,CARGA!B:B,tabla!A456,CARGA!D:D,tabla!C456,CARGA!C:C,MAESTRO!$B$5)</f>
        <v>0</v>
      </c>
      <c r="G456" s="5">
        <f>+SUMIFS(CARGA!I:I,CARGA!B:B,tabla!A456,CARGA!D:D,tabla!C456)</f>
        <v>0</v>
      </c>
      <c r="H456" s="5">
        <f>+SUMIFS(CARGA!K:K,CARGA!B:B,tabla!A456,CARGA!D:D,tabla!C456)</f>
        <v>0</v>
      </c>
      <c r="I456" s="5">
        <f t="shared" si="107"/>
        <v>0</v>
      </c>
      <c r="J456" s="5">
        <f>-SUMIFS(CARGA!K:K,CARGA!B:B,tabla!A456,CARGA!D:D,tabla!C456,CARGA!C:C,MAESTRO!$B$4)+SUMIFS(CARGA!K:K,CARGA!B:B,tabla!A456,CARGA!D:D,tabla!C456,CARGA!C:C,MAESTRO!$B$5)</f>
        <v>0</v>
      </c>
      <c r="K456" s="5" t="e">
        <f>+VLOOKUP(C456,#REF!,3,FALSE)</f>
        <v>#REF!</v>
      </c>
      <c r="L456" s="5" t="e">
        <f t="shared" si="108"/>
        <v>#REF!</v>
      </c>
      <c r="M456" s="5" t="e">
        <f t="shared" si="109"/>
        <v>#REF!</v>
      </c>
      <c r="N456" s="5" t="str">
        <f t="shared" si="110"/>
        <v>NO</v>
      </c>
      <c r="O456" s="5">
        <f>+VLOOKUP(C456,[2]Fondos!$F:$J,5,FALSE)</f>
        <v>2107469999.9999998</v>
      </c>
      <c r="P456" s="13">
        <f>+VLOOKUP(C456,[2]Fondos!$F:$K,6,FALSE)</f>
        <v>0.20305720000000002</v>
      </c>
      <c r="Q456" s="13">
        <f t="shared" si="111"/>
        <v>0</v>
      </c>
      <c r="R456" s="10">
        <f>+IF(Q456&gt;MAESTRO!$G$6,0,1)</f>
        <v>1</v>
      </c>
      <c r="S456">
        <f>+IF(P456&lt;MAESTRO!$G$8,0,1)</f>
        <v>1</v>
      </c>
      <c r="T456" s="10">
        <f t="shared" si="112"/>
        <v>2</v>
      </c>
      <c r="U456" t="str">
        <f>+IF(R456+S456=2,MAESTRO!$G$2,IF(R456+S456=0,MAESTRO!$G$5,IF(R456=0,MAESTRO!$G$3,IF(S456=0,MAESTRO!$G$4,))))</f>
        <v>cumple politica</v>
      </c>
    </row>
    <row r="457" spans="1:21" x14ac:dyDescent="0.3">
      <c r="A457" t="s">
        <v>126</v>
      </c>
      <c r="B457" t="s">
        <v>28</v>
      </c>
      <c r="C457" t="s">
        <v>44</v>
      </c>
      <c r="D457" t="s">
        <v>81</v>
      </c>
      <c r="E457" s="24">
        <f t="shared" si="106"/>
        <v>0</v>
      </c>
      <c r="F457" s="22">
        <f>-SUMIFS(CARGA!I:I,CARGA!B:B,tabla!A457,CARGA!D:D,tabla!C457,CARGA!C:C,MAESTRO!$B$4)-SUMIFS(CARGA!I:I,CARGA!B:B,tabla!A457,CARGA!D:D,tabla!C457,CARGA!C:C,MAESTRO!$B$5)</f>
        <v>0</v>
      </c>
      <c r="G457" s="5">
        <f>+SUMIFS(CARGA!I:I,CARGA!B:B,tabla!A457,CARGA!D:D,tabla!C457)</f>
        <v>0</v>
      </c>
      <c r="H457" s="5">
        <f>+SUMIFS(CARGA!K:K,CARGA!B:B,tabla!A457,CARGA!D:D,tabla!C457)</f>
        <v>0</v>
      </c>
      <c r="I457" s="5">
        <f t="shared" si="107"/>
        <v>0</v>
      </c>
      <c r="J457" s="5">
        <f>-SUMIFS(CARGA!K:K,CARGA!B:B,tabla!A457,CARGA!D:D,tabla!C457,CARGA!C:C,MAESTRO!$B$4)+SUMIFS(CARGA!K:K,CARGA!B:B,tabla!A457,CARGA!D:D,tabla!C457,CARGA!C:C,MAESTRO!$B$5)</f>
        <v>0</v>
      </c>
      <c r="K457" s="5" t="e">
        <f>+VLOOKUP(C457,#REF!,3,FALSE)</f>
        <v>#REF!</v>
      </c>
      <c r="L457" s="5" t="e">
        <f t="shared" si="108"/>
        <v>#REF!</v>
      </c>
      <c r="M457" s="5" t="e">
        <f t="shared" si="109"/>
        <v>#REF!</v>
      </c>
      <c r="N457" s="5" t="str">
        <f t="shared" si="110"/>
        <v>NO</v>
      </c>
      <c r="O457" s="5">
        <f>+VLOOKUP(C457,[2]Fondos!$F:$J,5,FALSE)</f>
        <v>2107469999.9999998</v>
      </c>
      <c r="P457" s="13">
        <f>+VLOOKUP(C457,[2]Fondos!$F:$K,6,FALSE)</f>
        <v>0.20835799999999999</v>
      </c>
      <c r="Q457" s="13">
        <f t="shared" si="111"/>
        <v>0</v>
      </c>
      <c r="R457" s="10">
        <f>+IF(Q457&gt;MAESTRO!$G$6,0,1)</f>
        <v>1</v>
      </c>
      <c r="S457">
        <f>+IF(P457&lt;MAESTRO!$G$8,0,1)</f>
        <v>1</v>
      </c>
      <c r="T457" s="10">
        <f t="shared" si="112"/>
        <v>2</v>
      </c>
      <c r="U457" t="str">
        <f>+IF(R457+S457=2,MAESTRO!$G$2,IF(R457+S457=0,MAESTRO!$G$5,IF(R457=0,MAESTRO!$G$3,IF(S457=0,MAESTRO!$G$4,))))</f>
        <v>cumple politica</v>
      </c>
    </row>
    <row r="458" spans="1:21" x14ac:dyDescent="0.3">
      <c r="A458" t="s">
        <v>126</v>
      </c>
      <c r="B458" t="s">
        <v>28</v>
      </c>
      <c r="C458" t="s">
        <v>64</v>
      </c>
      <c r="D458" t="s">
        <v>82</v>
      </c>
      <c r="E458" s="24">
        <f t="shared" si="106"/>
        <v>0</v>
      </c>
      <c r="F458" s="22">
        <f>-SUMIFS(CARGA!I:I,CARGA!B:B,tabla!A458,CARGA!D:D,tabla!C458,CARGA!C:C,MAESTRO!$B$4)-SUMIFS(CARGA!I:I,CARGA!B:B,tabla!A458,CARGA!D:D,tabla!C458,CARGA!C:C,MAESTRO!$B$5)</f>
        <v>0</v>
      </c>
      <c r="G458" s="5">
        <f>+SUMIFS(CARGA!I:I,CARGA!B:B,tabla!A458,CARGA!D:D,tabla!C458)</f>
        <v>0</v>
      </c>
      <c r="H458" s="5">
        <f>+SUMIFS(CARGA!K:K,CARGA!B:B,tabla!A458,CARGA!D:D,tabla!C458)</f>
        <v>0</v>
      </c>
      <c r="I458" s="5">
        <f t="shared" si="107"/>
        <v>0</v>
      </c>
      <c r="J458" s="5">
        <f>-SUMIFS(CARGA!K:K,CARGA!B:B,tabla!A458,CARGA!D:D,tabla!C458,CARGA!C:C,MAESTRO!$B$4)+SUMIFS(CARGA!K:K,CARGA!B:B,tabla!A458,CARGA!D:D,tabla!C458,CARGA!C:C,MAESTRO!$B$5)</f>
        <v>0</v>
      </c>
      <c r="K458" s="5" t="e">
        <f>+VLOOKUP(C458,#REF!,3,FALSE)</f>
        <v>#REF!</v>
      </c>
      <c r="L458" s="5" t="e">
        <f t="shared" si="108"/>
        <v>#REF!</v>
      </c>
      <c r="M458" s="5" t="e">
        <f t="shared" si="109"/>
        <v>#REF!</v>
      </c>
      <c r="N458" s="5" t="str">
        <f t="shared" si="110"/>
        <v>NO</v>
      </c>
      <c r="O458" s="5">
        <f>+VLOOKUP(C458,[2]Fondos!$F:$J,5,FALSE)</f>
        <v>8673260000</v>
      </c>
      <c r="P458" s="13">
        <f>+VLOOKUP(C458,[2]Fondos!$F:$K,6,FALSE)</f>
        <v>0.25678699999999999</v>
      </c>
      <c r="Q458" s="13">
        <f t="shared" si="111"/>
        <v>0</v>
      </c>
      <c r="R458" s="10">
        <f>+IF(Q458&gt;MAESTRO!$G$6,0,1)</f>
        <v>1</v>
      </c>
      <c r="S458">
        <f>+IF(P458&lt;MAESTRO!$G$8,0,1)</f>
        <v>1</v>
      </c>
      <c r="T458" s="10">
        <f t="shared" si="112"/>
        <v>2</v>
      </c>
      <c r="U458" t="str">
        <f>+IF(R458+S458=2,MAESTRO!$G$2,IF(R458+S458=0,MAESTRO!$G$5,IF(R458=0,MAESTRO!$G$3,IF(S458=0,MAESTRO!$G$4,))))</f>
        <v>cumple politica</v>
      </c>
    </row>
    <row r="459" spans="1:21" x14ac:dyDescent="0.3">
      <c r="A459" t="s">
        <v>126</v>
      </c>
      <c r="B459" t="s">
        <v>28</v>
      </c>
      <c r="C459" t="s">
        <v>60</v>
      </c>
      <c r="D459" t="s">
        <v>82</v>
      </c>
      <c r="E459" s="24">
        <f t="shared" si="106"/>
        <v>0</v>
      </c>
      <c r="F459" s="22">
        <f>-SUMIFS(CARGA!I:I,CARGA!B:B,tabla!A459,CARGA!D:D,tabla!C459,CARGA!C:C,MAESTRO!$B$4)-SUMIFS(CARGA!I:I,CARGA!B:B,tabla!A459,CARGA!D:D,tabla!C459,CARGA!C:C,MAESTRO!$B$5)</f>
        <v>0</v>
      </c>
      <c r="G459" s="5">
        <f>+SUMIFS(CARGA!I:I,CARGA!B:B,tabla!A459,CARGA!D:D,tabla!C459)</f>
        <v>0</v>
      </c>
      <c r="H459" s="5">
        <f>+SUMIFS(CARGA!K:K,CARGA!B:B,tabla!A459,CARGA!D:D,tabla!C459)</f>
        <v>0</v>
      </c>
      <c r="I459" s="5">
        <f t="shared" si="107"/>
        <v>0</v>
      </c>
      <c r="J459" s="5">
        <f>-SUMIFS(CARGA!K:K,CARGA!B:B,tabla!A459,CARGA!D:D,tabla!C459,CARGA!C:C,MAESTRO!$B$4)+SUMIFS(CARGA!K:K,CARGA!B:B,tabla!A459,CARGA!D:D,tabla!C459,CARGA!C:C,MAESTRO!$B$5)</f>
        <v>0</v>
      </c>
      <c r="K459" s="5" t="e">
        <f>+VLOOKUP(C459,#REF!,3,FALSE)</f>
        <v>#REF!</v>
      </c>
      <c r="L459" s="5" t="e">
        <f t="shared" si="108"/>
        <v>#REF!</v>
      </c>
      <c r="M459" s="5" t="e">
        <f t="shared" si="109"/>
        <v>#REF!</v>
      </c>
      <c r="N459" s="5" t="str">
        <f t="shared" si="110"/>
        <v>NO</v>
      </c>
      <c r="O459" s="5">
        <f>+VLOOKUP(C459,[2]Fondos!$F:$J,5,FALSE)</f>
        <v>8673260000</v>
      </c>
      <c r="P459" s="13">
        <f>+VLOOKUP(C459,[2]Fondos!$F:$K,6,FALSE)</f>
        <v>0.26727390000000001</v>
      </c>
      <c r="Q459" s="13">
        <f t="shared" si="111"/>
        <v>0</v>
      </c>
      <c r="R459" s="10">
        <f>+IF(Q459&gt;MAESTRO!$G$6,0,1)</f>
        <v>1</v>
      </c>
      <c r="S459">
        <f>+IF(P459&lt;MAESTRO!$G$8,0,1)</f>
        <v>1</v>
      </c>
      <c r="T459" s="10">
        <f t="shared" si="112"/>
        <v>2</v>
      </c>
      <c r="U459" t="str">
        <f>+IF(R459+S459=2,MAESTRO!$G$2,IF(R459+S459=0,MAESTRO!$G$5,IF(R459=0,MAESTRO!$G$3,IF(S459=0,MAESTRO!$G$4,))))</f>
        <v>cumple politica</v>
      </c>
    </row>
    <row r="460" spans="1:21" x14ac:dyDescent="0.3">
      <c r="A460" t="s">
        <v>126</v>
      </c>
      <c r="B460" t="s">
        <v>22</v>
      </c>
      <c r="C460" t="s">
        <v>37</v>
      </c>
      <c r="D460" t="s">
        <v>81</v>
      </c>
      <c r="E460" s="24">
        <f t="shared" si="106"/>
        <v>0</v>
      </c>
      <c r="F460" s="22">
        <f>-SUMIFS(CARGA!I:I,CARGA!B:B,tabla!A460,CARGA!D:D,tabla!C460,CARGA!C:C,MAESTRO!$B$4)-SUMIFS(CARGA!I:I,CARGA!B:B,tabla!A460,CARGA!D:D,tabla!C460,CARGA!C:C,MAESTRO!$B$5)</f>
        <v>0</v>
      </c>
      <c r="G460" s="5">
        <f>+SUMIFS(CARGA!I:I,CARGA!B:B,tabla!A460,CARGA!D:D,tabla!C460)</f>
        <v>0</v>
      </c>
      <c r="H460" s="5">
        <f>+SUMIFS(CARGA!K:K,CARGA!B:B,tabla!A460,CARGA!D:D,tabla!C460)</f>
        <v>0</v>
      </c>
      <c r="I460" s="5">
        <f t="shared" si="107"/>
        <v>0</v>
      </c>
      <c r="J460" s="5">
        <f>-SUMIFS(CARGA!K:K,CARGA!B:B,tabla!A460,CARGA!D:D,tabla!C460,CARGA!C:C,MAESTRO!$B$4)+SUMIFS(CARGA!K:K,CARGA!B:B,tabla!A460,CARGA!D:D,tabla!C460,CARGA!C:C,MAESTRO!$B$5)</f>
        <v>0</v>
      </c>
      <c r="K460" s="5" t="e">
        <f>+VLOOKUP(C460,#REF!,3,FALSE)</f>
        <v>#REF!</v>
      </c>
      <c r="L460" s="5" t="e">
        <f t="shared" si="108"/>
        <v>#REF!</v>
      </c>
      <c r="M460" s="5" t="e">
        <f t="shared" si="109"/>
        <v>#REF!</v>
      </c>
      <c r="N460" s="5" t="str">
        <f t="shared" si="110"/>
        <v>NO</v>
      </c>
      <c r="O460" s="5">
        <f>+VLOOKUP(C460,[2]Fondos!$F:$J,5,FALSE)</f>
        <v>652691913</v>
      </c>
      <c r="P460" s="13">
        <f>+VLOOKUP(C460,[2]Fondos!$F:$K,6,FALSE)</f>
        <v>0.25056249999999997</v>
      </c>
      <c r="Q460" s="13">
        <f t="shared" si="111"/>
        <v>0</v>
      </c>
      <c r="R460" s="10">
        <f>+IF(Q460&gt;MAESTRO!$G$6,0,1)</f>
        <v>1</v>
      </c>
      <c r="S460">
        <f>+IF(P460&lt;MAESTRO!$G$8,0,1)</f>
        <v>1</v>
      </c>
      <c r="T460" s="10">
        <f t="shared" si="112"/>
        <v>2</v>
      </c>
      <c r="U460" t="str">
        <f>+IF(R460+S460=2,MAESTRO!$G$2,IF(R460+S460=0,MAESTRO!$G$5,IF(R460=0,MAESTRO!$G$3,IF(S460=0,MAESTRO!$G$4,))))</f>
        <v>cumple politica</v>
      </c>
    </row>
    <row r="461" spans="1:21" x14ac:dyDescent="0.3">
      <c r="A461" t="s">
        <v>126</v>
      </c>
      <c r="B461" t="s">
        <v>22</v>
      </c>
      <c r="C461" t="s">
        <v>54</v>
      </c>
      <c r="D461" t="s">
        <v>82</v>
      </c>
      <c r="E461" s="24">
        <f t="shared" si="106"/>
        <v>0</v>
      </c>
      <c r="F461" s="22">
        <f>-SUMIFS(CARGA!I:I,CARGA!B:B,tabla!A461,CARGA!D:D,tabla!C461,CARGA!C:C,MAESTRO!$B$4)-SUMIFS(CARGA!I:I,CARGA!B:B,tabla!A461,CARGA!D:D,tabla!C461,CARGA!C:C,MAESTRO!$B$5)</f>
        <v>0</v>
      </c>
      <c r="G461" s="5">
        <f>+SUMIFS(CARGA!I:I,CARGA!B:B,tabla!A461,CARGA!D:D,tabla!C461)</f>
        <v>0</v>
      </c>
      <c r="H461" s="5">
        <f>+SUMIFS(CARGA!K:K,CARGA!B:B,tabla!A461,CARGA!D:D,tabla!C461)</f>
        <v>0</v>
      </c>
      <c r="I461" s="5">
        <f t="shared" si="107"/>
        <v>0</v>
      </c>
      <c r="J461" s="5">
        <f>-SUMIFS(CARGA!K:K,CARGA!B:B,tabla!A461,CARGA!D:D,tabla!C461,CARGA!C:C,MAESTRO!$B$4)+SUMIFS(CARGA!K:K,CARGA!B:B,tabla!A461,CARGA!D:D,tabla!C461,CARGA!C:C,MAESTRO!$B$5)</f>
        <v>0</v>
      </c>
      <c r="K461" s="5" t="e">
        <f>+VLOOKUP(C461,#REF!,3,FALSE)</f>
        <v>#REF!</v>
      </c>
      <c r="L461" s="5" t="e">
        <f t="shared" si="108"/>
        <v>#REF!</v>
      </c>
      <c r="M461" s="5" t="e">
        <f t="shared" si="109"/>
        <v>#REF!</v>
      </c>
      <c r="N461" s="5" t="str">
        <f t="shared" si="110"/>
        <v>NO</v>
      </c>
      <c r="O461" s="5">
        <f>+VLOOKUP(C461,[2]Fondos!$F:$J,5,FALSE)</f>
        <v>2006490136</v>
      </c>
      <c r="P461" s="13">
        <f>+VLOOKUP(C461,[2]Fondos!$F:$K,6,FALSE)</f>
        <v>0.27425260000000001</v>
      </c>
      <c r="Q461" s="13">
        <f t="shared" si="111"/>
        <v>0</v>
      </c>
      <c r="R461" s="10">
        <f>+IF(Q461&gt;MAESTRO!$G$6,0,1)</f>
        <v>1</v>
      </c>
      <c r="S461">
        <f>+IF(P461&lt;MAESTRO!$G$8,0,1)</f>
        <v>1</v>
      </c>
      <c r="T461" s="10">
        <f t="shared" si="112"/>
        <v>2</v>
      </c>
      <c r="U461" t="str">
        <f>+IF(R461+S461=2,MAESTRO!$G$2,IF(R461+S461=0,MAESTRO!$G$5,IF(R461=0,MAESTRO!$G$3,IF(S461=0,MAESTRO!$G$4,))))</f>
        <v>cumple politica</v>
      </c>
    </row>
    <row r="462" spans="1:21" x14ac:dyDescent="0.3">
      <c r="A462" t="s">
        <v>126</v>
      </c>
      <c r="B462" t="s">
        <v>34</v>
      </c>
      <c r="C462" t="s">
        <v>77</v>
      </c>
      <c r="D462" t="s">
        <v>82</v>
      </c>
      <c r="E462" s="24">
        <f t="shared" si="106"/>
        <v>0</v>
      </c>
      <c r="F462" s="22">
        <f>-SUMIFS(CARGA!I:I,CARGA!B:B,tabla!A462,CARGA!D:D,tabla!C462,CARGA!C:C,MAESTRO!$B$4)-SUMIFS(CARGA!I:I,CARGA!B:B,tabla!A462,CARGA!D:D,tabla!C462,CARGA!C:C,MAESTRO!$B$5)</f>
        <v>0</v>
      </c>
      <c r="G462" s="5">
        <f>+SUMIFS(CARGA!I:I,CARGA!B:B,tabla!A462,CARGA!D:D,tabla!C462)</f>
        <v>0</v>
      </c>
      <c r="H462" s="5">
        <f>+SUMIFS(CARGA!K:K,CARGA!B:B,tabla!A462,CARGA!D:D,tabla!C462)</f>
        <v>0</v>
      </c>
      <c r="I462" s="5">
        <f t="shared" si="107"/>
        <v>0</v>
      </c>
      <c r="J462" s="5">
        <f>-SUMIFS(CARGA!K:K,CARGA!B:B,tabla!A462,CARGA!D:D,tabla!C462,CARGA!C:C,MAESTRO!$B$4)+SUMIFS(CARGA!K:K,CARGA!B:B,tabla!A462,CARGA!D:D,tabla!C462,CARGA!C:C,MAESTRO!$B$5)</f>
        <v>0</v>
      </c>
      <c r="K462" s="5" t="e">
        <f>+VLOOKUP(C462,#REF!,3,FALSE)</f>
        <v>#REF!</v>
      </c>
      <c r="L462" s="5" t="e">
        <f t="shared" si="108"/>
        <v>#REF!</v>
      </c>
      <c r="M462" s="5" t="e">
        <f t="shared" si="109"/>
        <v>#REF!</v>
      </c>
      <c r="N462" s="5" t="str">
        <f t="shared" si="110"/>
        <v>NO</v>
      </c>
      <c r="O462" s="5">
        <f>+VLOOKUP(C462,[2]Fondos!$F:$J,5,FALSE)</f>
        <v>10383624192</v>
      </c>
      <c r="P462" s="13">
        <f>+VLOOKUP(C462,[2]Fondos!$F:$K,6,FALSE)</f>
        <v>0.27741320000000003</v>
      </c>
      <c r="Q462" s="13">
        <f t="shared" si="111"/>
        <v>0</v>
      </c>
      <c r="R462" s="10">
        <f>+IF(Q462&gt;MAESTRO!$G$6,0,1)</f>
        <v>1</v>
      </c>
      <c r="S462">
        <f>+IF(P462&lt;MAESTRO!$G$8,0,1)</f>
        <v>1</v>
      </c>
      <c r="T462" s="10">
        <f t="shared" si="112"/>
        <v>2</v>
      </c>
      <c r="U462" t="str">
        <f>+IF(R462+S462=2,MAESTRO!$G$2,IF(R462+S462=0,MAESTRO!$G$5,IF(R462=0,MAESTRO!$G$3,IF(S462=0,MAESTRO!$G$4,))))</f>
        <v>cumple politica</v>
      </c>
    </row>
    <row r="463" spans="1:21" x14ac:dyDescent="0.3">
      <c r="A463" t="s">
        <v>126</v>
      </c>
      <c r="B463" t="s">
        <v>34</v>
      </c>
      <c r="C463" t="s">
        <v>53</v>
      </c>
      <c r="D463" t="s">
        <v>81</v>
      </c>
      <c r="E463" s="24">
        <f t="shared" si="106"/>
        <v>0</v>
      </c>
      <c r="F463" s="22">
        <f>-SUMIFS(CARGA!I:I,CARGA!B:B,tabla!A463,CARGA!D:D,tabla!C463,CARGA!C:C,MAESTRO!$B$4)-SUMIFS(CARGA!I:I,CARGA!B:B,tabla!A463,CARGA!D:D,tabla!C463,CARGA!C:C,MAESTRO!$B$5)</f>
        <v>0</v>
      </c>
      <c r="G463" s="5">
        <f>+SUMIFS(CARGA!I:I,CARGA!B:B,tabla!A463,CARGA!D:D,tabla!C463)</f>
        <v>0</v>
      </c>
      <c r="H463" s="5">
        <f>+SUMIFS(CARGA!K:K,CARGA!B:B,tabla!A463,CARGA!D:D,tabla!C463)</f>
        <v>0</v>
      </c>
      <c r="I463" s="5">
        <f t="shared" si="107"/>
        <v>0</v>
      </c>
      <c r="J463" s="5">
        <f>-SUMIFS(CARGA!K:K,CARGA!B:B,tabla!A463,CARGA!D:D,tabla!C463,CARGA!C:C,MAESTRO!$B$4)+SUMIFS(CARGA!K:K,CARGA!B:B,tabla!A463,CARGA!D:D,tabla!C463,CARGA!C:C,MAESTRO!$B$5)</f>
        <v>0</v>
      </c>
      <c r="K463" s="5" t="e">
        <f>+VLOOKUP(C463,#REF!,3,FALSE)</f>
        <v>#REF!</v>
      </c>
      <c r="L463" s="5" t="e">
        <f t="shared" si="108"/>
        <v>#REF!</v>
      </c>
      <c r="M463" s="5" t="e">
        <f t="shared" si="109"/>
        <v>#REF!</v>
      </c>
      <c r="N463" s="5" t="str">
        <f t="shared" si="110"/>
        <v>NO</v>
      </c>
      <c r="O463" s="5">
        <f>+VLOOKUP(C463,[2]Fondos!$F:$J,5,FALSE)</f>
        <v>4530803420</v>
      </c>
      <c r="P463" s="13">
        <f>+VLOOKUP(C463,[2]Fondos!$F:$K,6,FALSE)</f>
        <v>0.2425168</v>
      </c>
      <c r="Q463" s="13">
        <f t="shared" si="111"/>
        <v>0</v>
      </c>
      <c r="R463" s="10">
        <f>+IF(Q463&gt;MAESTRO!$G$6,0,1)</f>
        <v>1</v>
      </c>
      <c r="S463">
        <f>+IF(P463&lt;MAESTRO!$G$8,0,1)</f>
        <v>1</v>
      </c>
      <c r="T463" s="10">
        <f t="shared" si="112"/>
        <v>2</v>
      </c>
      <c r="U463" t="str">
        <f>+IF(R463+S463=2,MAESTRO!$G$2,IF(R463+S463=0,MAESTRO!$G$5,IF(R463=0,MAESTRO!$G$3,IF(S463=0,MAESTRO!$G$4,))))</f>
        <v>cumple politica</v>
      </c>
    </row>
    <row r="464" spans="1:21" x14ac:dyDescent="0.3">
      <c r="A464" t="s">
        <v>126</v>
      </c>
      <c r="B464" t="s">
        <v>129</v>
      </c>
      <c r="C464" t="s">
        <v>128</v>
      </c>
      <c r="D464" t="s">
        <v>81</v>
      </c>
      <c r="E464" s="24">
        <f t="shared" si="106"/>
        <v>0</v>
      </c>
      <c r="F464" s="22">
        <f>-SUMIFS(CARGA!I:I,CARGA!B:B,tabla!A464,CARGA!D:D,tabla!C464,CARGA!C:C,MAESTRO!$B$4)-SUMIFS(CARGA!I:I,CARGA!B:B,tabla!A464,CARGA!D:D,tabla!C464,CARGA!C:C,MAESTRO!$B$5)</f>
        <v>0</v>
      </c>
      <c r="G464" s="5">
        <f>+SUMIFS(CARGA!I:I,CARGA!B:B,tabla!A464,CARGA!D:D,tabla!C464)</f>
        <v>0</v>
      </c>
      <c r="H464" s="5">
        <f>+SUMIFS(CARGA!K:K,CARGA!B:B,tabla!A464,CARGA!D:D,tabla!C464)</f>
        <v>0</v>
      </c>
      <c r="I464" s="5">
        <f t="shared" si="107"/>
        <v>0</v>
      </c>
      <c r="J464" s="5">
        <f>-SUMIFS(CARGA!K:K,CARGA!B:B,tabla!A464,CARGA!D:D,tabla!C464,CARGA!C:C,MAESTRO!$B$4)+SUMIFS(CARGA!K:K,CARGA!B:B,tabla!A464,CARGA!D:D,tabla!C464,CARGA!C:C,MAESTRO!$B$5)</f>
        <v>0</v>
      </c>
      <c r="K464" s="5" t="e">
        <f>+VLOOKUP(C464,#REF!,3,FALSE)</f>
        <v>#REF!</v>
      </c>
      <c r="L464" s="5" t="e">
        <f t="shared" si="108"/>
        <v>#REF!</v>
      </c>
      <c r="M464" s="5" t="e">
        <f t="shared" si="109"/>
        <v>#REF!</v>
      </c>
      <c r="N464" s="5" t="str">
        <f t="shared" si="110"/>
        <v>NO</v>
      </c>
      <c r="O464" s="5" t="e">
        <f>+VLOOKUP(C464,[2]Fondos!$F:$J,5,FALSE)</f>
        <v>#N/A</v>
      </c>
      <c r="P464" s="13" t="e">
        <f>+VLOOKUP(C464,[2]Fondos!$F:$K,6,FALSE)</f>
        <v>#N/A</v>
      </c>
      <c r="Q464" s="13" t="e">
        <f t="shared" si="111"/>
        <v>#N/A</v>
      </c>
      <c r="R464" s="10" t="e">
        <f>+IF(Q464&gt;MAESTRO!$G$6,0,1)</f>
        <v>#N/A</v>
      </c>
      <c r="S464" t="e">
        <f>+IF(P464&lt;MAESTRO!$G$8,0,1)</f>
        <v>#N/A</v>
      </c>
      <c r="T464" s="10" t="e">
        <f t="shared" si="112"/>
        <v>#N/A</v>
      </c>
      <c r="U464" t="e">
        <f>+IF(R464+S464=2,MAESTRO!$G$2,IF(R464+S464=0,MAESTRO!$G$5,IF(R464=0,MAESTRO!$G$3,IF(S464=0,MAESTRO!$G$4,))))</f>
        <v>#N/A</v>
      </c>
    </row>
    <row r="465" spans="1:21" x14ac:dyDescent="0.3">
      <c r="A465" t="s">
        <v>126</v>
      </c>
      <c r="B465" t="s">
        <v>30</v>
      </c>
      <c r="C465" t="s">
        <v>49</v>
      </c>
      <c r="D465" t="s">
        <v>81</v>
      </c>
      <c r="E465" s="24">
        <f t="shared" si="106"/>
        <v>0</v>
      </c>
      <c r="F465" s="22">
        <f>-SUMIFS(CARGA!I:I,CARGA!B:B,tabla!A465,CARGA!D:D,tabla!C465,CARGA!C:C,MAESTRO!$B$4)-SUMIFS(CARGA!I:I,CARGA!B:B,tabla!A465,CARGA!D:D,tabla!C465,CARGA!C:C,MAESTRO!$B$5)</f>
        <v>0</v>
      </c>
      <c r="G465" s="5">
        <f>+SUMIFS(CARGA!I:I,CARGA!B:B,tabla!A465,CARGA!D:D,tabla!C465)</f>
        <v>0</v>
      </c>
      <c r="H465" s="5">
        <f>+SUMIFS(CARGA!K:K,CARGA!B:B,tabla!A465,CARGA!D:D,tabla!C465)</f>
        <v>0</v>
      </c>
      <c r="I465" s="5">
        <f t="shared" si="107"/>
        <v>0</v>
      </c>
      <c r="J465" s="5">
        <f>-SUMIFS(CARGA!K:K,CARGA!B:B,tabla!A465,CARGA!D:D,tabla!C465,CARGA!C:C,MAESTRO!$B$4)+SUMIFS(CARGA!K:K,CARGA!B:B,tabla!A465,CARGA!D:D,tabla!C465,CARGA!C:C,MAESTRO!$B$5)</f>
        <v>0</v>
      </c>
      <c r="K465" s="5" t="e">
        <f>+VLOOKUP(C465,#REF!,3,FALSE)</f>
        <v>#REF!</v>
      </c>
      <c r="L465" s="5" t="e">
        <f t="shared" si="108"/>
        <v>#REF!</v>
      </c>
      <c r="M465" s="5" t="e">
        <f t="shared" si="109"/>
        <v>#REF!</v>
      </c>
      <c r="N465" s="5" t="str">
        <f t="shared" si="110"/>
        <v>NO</v>
      </c>
      <c r="O465" s="5">
        <f>+VLOOKUP(C465,[2]Fondos!$F:$J,5,FALSE)</f>
        <v>9591427.7400000002</v>
      </c>
      <c r="P465" s="13">
        <f>+VLOOKUP(C465,[2]Fondos!$F:$K,6,FALSE)</f>
        <v>0.1408799</v>
      </c>
      <c r="Q465" s="13">
        <f t="shared" si="111"/>
        <v>0</v>
      </c>
      <c r="R465" s="10">
        <f>+IF(Q465&gt;MAESTRO!$G$6,0,1)</f>
        <v>1</v>
      </c>
      <c r="S465">
        <f>+IF(P465&lt;MAESTRO!$G$8,0,1)</f>
        <v>1</v>
      </c>
      <c r="T465" s="10">
        <f t="shared" si="112"/>
        <v>2</v>
      </c>
      <c r="U465" t="str">
        <f>+IF(R465+S465=2,MAESTRO!$G$2,IF(R465+S465=0,MAESTRO!$G$5,IF(R465=0,MAESTRO!$G$3,IF(S465=0,MAESTRO!$G$4,))))</f>
        <v>cumple politica</v>
      </c>
    </row>
    <row r="466" spans="1:21" x14ac:dyDescent="0.3">
      <c r="A466" t="s">
        <v>126</v>
      </c>
      <c r="B466" t="s">
        <v>30</v>
      </c>
      <c r="C466" t="s">
        <v>68</v>
      </c>
      <c r="D466" t="s">
        <v>82</v>
      </c>
      <c r="E466" s="24">
        <f t="shared" si="106"/>
        <v>0</v>
      </c>
      <c r="F466" s="22">
        <f>-SUMIFS(CARGA!I:I,CARGA!B:B,tabla!A466,CARGA!D:D,tabla!C466,CARGA!C:C,MAESTRO!$B$4)-SUMIFS(CARGA!I:I,CARGA!B:B,tabla!A466,CARGA!D:D,tabla!C466,CARGA!C:C,MAESTRO!$B$5)</f>
        <v>0</v>
      </c>
      <c r="G466" s="5">
        <f>+SUMIFS(CARGA!I:I,CARGA!B:B,tabla!A466,CARGA!D:D,tabla!C466)</f>
        <v>0</v>
      </c>
      <c r="H466" s="5">
        <f>+SUMIFS(CARGA!K:K,CARGA!B:B,tabla!A466,CARGA!D:D,tabla!C466)</f>
        <v>0</v>
      </c>
      <c r="I466" s="5">
        <f t="shared" si="107"/>
        <v>0</v>
      </c>
      <c r="J466" s="5">
        <f>-SUMIFS(CARGA!K:K,CARGA!B:B,tabla!A466,CARGA!D:D,tabla!C466,CARGA!C:C,MAESTRO!$B$4)+SUMIFS(CARGA!K:K,CARGA!B:B,tabla!A466,CARGA!D:D,tabla!C466,CARGA!C:C,MAESTRO!$B$5)</f>
        <v>0</v>
      </c>
      <c r="K466" s="5" t="e">
        <f>+VLOOKUP(C466,#REF!,3,FALSE)</f>
        <v>#REF!</v>
      </c>
      <c r="L466" s="5" t="e">
        <f t="shared" si="108"/>
        <v>#REF!</v>
      </c>
      <c r="M466" s="5" t="e">
        <f t="shared" si="109"/>
        <v>#REF!</v>
      </c>
      <c r="N466" s="5" t="str">
        <f t="shared" si="110"/>
        <v>NO</v>
      </c>
      <c r="O466" s="5">
        <f>+VLOOKUP(C466,[2]Fondos!$F:$J,5,FALSE)</f>
        <v>5034893543.9799995</v>
      </c>
      <c r="P466" s="13">
        <f>+VLOOKUP(C466,[2]Fondos!$F:$K,6,FALSE)</f>
        <v>0.27295020000000003</v>
      </c>
      <c r="Q466" s="13">
        <f t="shared" si="111"/>
        <v>0</v>
      </c>
      <c r="R466" s="10">
        <f>+IF(Q466&gt;MAESTRO!$G$6,0,1)</f>
        <v>1</v>
      </c>
      <c r="S466">
        <f>+IF(P466&lt;MAESTRO!$G$8,0,1)</f>
        <v>1</v>
      </c>
      <c r="T466" s="10">
        <f t="shared" si="112"/>
        <v>2</v>
      </c>
      <c r="U466" t="str">
        <f>+IF(R466+S466=2,MAESTRO!$G$2,IF(R466+S466=0,MAESTRO!$G$5,IF(R466=0,MAESTRO!$G$3,IF(S466=0,MAESTRO!$G$4,))))</f>
        <v>cumple politica</v>
      </c>
    </row>
    <row r="467" spans="1:21" x14ac:dyDescent="0.3">
      <c r="A467" t="s">
        <v>126</v>
      </c>
      <c r="B467" t="s">
        <v>30</v>
      </c>
      <c r="C467" t="s">
        <v>67</v>
      </c>
      <c r="D467" t="s">
        <v>82</v>
      </c>
      <c r="E467" s="24">
        <f t="shared" si="106"/>
        <v>0</v>
      </c>
      <c r="F467" s="22">
        <f>-SUMIFS(CARGA!I:I,CARGA!B:B,tabla!A467,CARGA!D:D,tabla!C467,CARGA!C:C,MAESTRO!$B$4)-SUMIFS(CARGA!I:I,CARGA!B:B,tabla!A467,CARGA!D:D,tabla!C467,CARGA!C:C,MAESTRO!$B$5)</f>
        <v>0</v>
      </c>
      <c r="G467" s="5">
        <f>+SUMIFS(CARGA!I:I,CARGA!B:B,tabla!A467,CARGA!D:D,tabla!C467)</f>
        <v>0</v>
      </c>
      <c r="H467" s="5">
        <f>+SUMIFS(CARGA!K:K,CARGA!B:B,tabla!A467,CARGA!D:D,tabla!C467)</f>
        <v>0</v>
      </c>
      <c r="I467" s="5">
        <f t="shared" si="107"/>
        <v>0</v>
      </c>
      <c r="J467" s="5">
        <f>-SUMIFS(CARGA!K:K,CARGA!B:B,tabla!A467,CARGA!D:D,tabla!C467,CARGA!C:C,MAESTRO!$B$4)+SUMIFS(CARGA!K:K,CARGA!B:B,tabla!A467,CARGA!D:D,tabla!C467,CARGA!C:C,MAESTRO!$B$5)</f>
        <v>0</v>
      </c>
      <c r="K467" s="5" t="e">
        <f>+VLOOKUP(C467,#REF!,3,FALSE)</f>
        <v>#REF!</v>
      </c>
      <c r="L467" s="5" t="e">
        <f t="shared" si="108"/>
        <v>#REF!</v>
      </c>
      <c r="M467" s="5" t="e">
        <f t="shared" si="109"/>
        <v>#REF!</v>
      </c>
      <c r="N467" s="5" t="str">
        <f t="shared" si="110"/>
        <v>NO</v>
      </c>
      <c r="O467" s="5">
        <f>+VLOOKUP(C467,[2]Fondos!$F:$J,5,FALSE)</f>
        <v>11465050695.200001</v>
      </c>
      <c r="P467" s="13">
        <f>+VLOOKUP(C467,[2]Fondos!$F:$K,6,FALSE)</f>
        <v>0.2357329</v>
      </c>
      <c r="Q467" s="13">
        <f t="shared" si="111"/>
        <v>0</v>
      </c>
      <c r="R467" s="10">
        <f>+IF(Q467&gt;MAESTRO!$G$6,0,1)</f>
        <v>1</v>
      </c>
      <c r="S467">
        <f>+IF(P467&lt;MAESTRO!$G$8,0,1)</f>
        <v>1</v>
      </c>
      <c r="T467" s="10">
        <f t="shared" si="112"/>
        <v>2</v>
      </c>
      <c r="U467" t="str">
        <f>+IF(R467+S467=2,MAESTRO!$G$2,IF(R467+S467=0,MAESTRO!$G$5,IF(R467=0,MAESTRO!$G$3,IF(S467=0,MAESTRO!$G$4,))))</f>
        <v>cumple politica</v>
      </c>
    </row>
    <row r="468" spans="1:21" x14ac:dyDescent="0.3">
      <c r="A468" t="s">
        <v>126</v>
      </c>
      <c r="B468" t="s">
        <v>29</v>
      </c>
      <c r="C468" t="s">
        <v>48</v>
      </c>
      <c r="D468" t="s">
        <v>81</v>
      </c>
      <c r="E468" s="24">
        <f t="shared" si="106"/>
        <v>0</v>
      </c>
      <c r="F468" s="22">
        <f>-SUMIFS(CARGA!I:I,CARGA!B:B,tabla!A468,CARGA!D:D,tabla!C468,CARGA!C:C,MAESTRO!$B$4)-SUMIFS(CARGA!I:I,CARGA!B:B,tabla!A468,CARGA!D:D,tabla!C468,CARGA!C:C,MAESTRO!$B$5)</f>
        <v>0</v>
      </c>
      <c r="G468" s="5">
        <f>+SUMIFS(CARGA!I:I,CARGA!B:B,tabla!A468,CARGA!D:D,tabla!C468)</f>
        <v>0</v>
      </c>
      <c r="H468" s="5">
        <f>+SUMIFS(CARGA!K:K,CARGA!B:B,tabla!A468,CARGA!D:D,tabla!C468)</f>
        <v>0</v>
      </c>
      <c r="I468" s="5">
        <f t="shared" si="107"/>
        <v>0</v>
      </c>
      <c r="J468" s="5">
        <f>-SUMIFS(CARGA!K:K,CARGA!B:B,tabla!A468,CARGA!D:D,tabla!C468,CARGA!C:C,MAESTRO!$B$4)+SUMIFS(CARGA!K:K,CARGA!B:B,tabla!A468,CARGA!D:D,tabla!C468,CARGA!C:C,MAESTRO!$B$5)</f>
        <v>0</v>
      </c>
      <c r="K468" s="5" t="e">
        <f>+VLOOKUP(C468,#REF!,3,FALSE)</f>
        <v>#REF!</v>
      </c>
      <c r="L468" s="5" t="e">
        <f t="shared" si="108"/>
        <v>#REF!</v>
      </c>
      <c r="M468" s="5" t="e">
        <f t="shared" si="109"/>
        <v>#REF!</v>
      </c>
      <c r="N468" s="5" t="str">
        <f t="shared" si="110"/>
        <v>NO</v>
      </c>
      <c r="O468" s="5">
        <f>+VLOOKUP(C468,[2]Fondos!$F:$J,5,FALSE)</f>
        <v>1752057008.8599999</v>
      </c>
      <c r="P468" s="13">
        <f>+VLOOKUP(C468,[2]Fondos!$F:$K,6,FALSE)</f>
        <v>0.21970210000000001</v>
      </c>
      <c r="Q468" s="13">
        <f t="shared" si="111"/>
        <v>0</v>
      </c>
      <c r="R468" s="10">
        <f>+IF(Q468&gt;MAESTRO!$G$6,0,1)</f>
        <v>1</v>
      </c>
      <c r="S468">
        <f>+IF(P468&lt;MAESTRO!$G$8,0,1)</f>
        <v>1</v>
      </c>
      <c r="T468" s="10">
        <f t="shared" si="112"/>
        <v>2</v>
      </c>
      <c r="U468" t="str">
        <f>+IF(R468+S468=2,MAESTRO!$G$2,IF(R468+S468=0,MAESTRO!$G$5,IF(R468=0,MAESTRO!$G$3,IF(S468=0,MAESTRO!$G$4,))))</f>
        <v>cumple politica</v>
      </c>
    </row>
    <row r="469" spans="1:21" x14ac:dyDescent="0.3">
      <c r="A469" t="s">
        <v>126</v>
      </c>
      <c r="B469" t="s">
        <v>29</v>
      </c>
      <c r="C469" t="s">
        <v>66</v>
      </c>
      <c r="D469" t="s">
        <v>82</v>
      </c>
      <c r="E469" s="24">
        <f t="shared" si="106"/>
        <v>0</v>
      </c>
      <c r="F469" s="22">
        <f>-SUMIFS(CARGA!I:I,CARGA!B:B,tabla!A469,CARGA!D:D,tabla!C469,CARGA!C:C,MAESTRO!$B$4)-SUMIFS(CARGA!I:I,CARGA!B:B,tabla!A469,CARGA!D:D,tabla!C469,CARGA!C:C,MAESTRO!$B$5)</f>
        <v>0</v>
      </c>
      <c r="G469" s="5">
        <f>+SUMIFS(CARGA!I:I,CARGA!B:B,tabla!A469,CARGA!D:D,tabla!C469)</f>
        <v>0</v>
      </c>
      <c r="H469" s="5">
        <f>+SUMIFS(CARGA!K:K,CARGA!B:B,tabla!A469,CARGA!D:D,tabla!C469)</f>
        <v>0</v>
      </c>
      <c r="I469" s="5">
        <f t="shared" si="107"/>
        <v>0</v>
      </c>
      <c r="J469" s="5">
        <f>-SUMIFS(CARGA!K:K,CARGA!B:B,tabla!A469,CARGA!D:D,tabla!C469,CARGA!C:C,MAESTRO!$B$4)+SUMIFS(CARGA!K:K,CARGA!B:B,tabla!A469,CARGA!D:D,tabla!C469,CARGA!C:C,MAESTRO!$B$5)</f>
        <v>0</v>
      </c>
      <c r="K469" s="5" t="e">
        <f>+VLOOKUP(C469,#REF!,3,FALSE)</f>
        <v>#REF!</v>
      </c>
      <c r="L469" s="5" t="e">
        <f t="shared" si="108"/>
        <v>#REF!</v>
      </c>
      <c r="M469" s="5" t="e">
        <f t="shared" si="109"/>
        <v>#REF!</v>
      </c>
      <c r="N469" s="5" t="str">
        <f t="shared" si="110"/>
        <v>NO</v>
      </c>
      <c r="O469" s="5">
        <f>+VLOOKUP(C469,[2]Fondos!$F:$J,5,FALSE)</f>
        <v>15968105687.34</v>
      </c>
      <c r="P469" s="13">
        <f>+VLOOKUP(C469,[2]Fondos!$F:$K,6,FALSE)</f>
        <v>0.27123580000000003</v>
      </c>
      <c r="Q469" s="13">
        <f t="shared" si="111"/>
        <v>0</v>
      </c>
      <c r="R469" s="10">
        <f>+IF(Q469&gt;MAESTRO!$G$6,0,1)</f>
        <v>1</v>
      </c>
      <c r="S469">
        <f>+IF(P469&lt;MAESTRO!$G$8,0,1)</f>
        <v>1</v>
      </c>
      <c r="T469" s="10">
        <f t="shared" si="112"/>
        <v>2</v>
      </c>
      <c r="U469" t="str">
        <f>+IF(R469+S469=2,MAESTRO!$G$2,IF(R469+S469=0,MAESTRO!$G$5,IF(R469=0,MAESTRO!$G$3,IF(S469=0,MAESTRO!$G$4,))))</f>
        <v>cumple politica</v>
      </c>
    </row>
    <row r="470" spans="1:21" x14ac:dyDescent="0.3">
      <c r="A470" t="s">
        <v>126</v>
      </c>
      <c r="B470" t="s">
        <v>29</v>
      </c>
      <c r="C470" t="s">
        <v>110</v>
      </c>
      <c r="D470" t="s">
        <v>83</v>
      </c>
      <c r="E470" s="24">
        <f t="shared" si="106"/>
        <v>0</v>
      </c>
      <c r="F470" s="22">
        <f>-SUMIFS(CARGA!I:I,CARGA!B:B,tabla!A470,CARGA!D:D,tabla!C470,CARGA!C:C,MAESTRO!$B$4)-SUMIFS(CARGA!I:I,CARGA!B:B,tabla!A470,CARGA!D:D,tabla!C470,CARGA!C:C,MAESTRO!$B$5)</f>
        <v>0</v>
      </c>
      <c r="G470" s="5">
        <f>+SUMIFS(CARGA!I:I,CARGA!B:B,tabla!A470,CARGA!D:D,tabla!C470)</f>
        <v>0</v>
      </c>
      <c r="H470" s="5">
        <f>+SUMIFS(CARGA!K:K,CARGA!B:B,tabla!A470,CARGA!D:D,tabla!C470)</f>
        <v>0</v>
      </c>
      <c r="I470" s="5">
        <f t="shared" si="107"/>
        <v>0</v>
      </c>
      <c r="J470" s="5">
        <f>-SUMIFS(CARGA!K:K,CARGA!B:B,tabla!A470,CARGA!D:D,tabla!C470,CARGA!C:C,MAESTRO!$B$4)+SUMIFS(CARGA!K:K,CARGA!B:B,tabla!A470,CARGA!D:D,tabla!C470,CARGA!C:C,MAESTRO!$B$5)</f>
        <v>0</v>
      </c>
      <c r="K470" s="5" t="e">
        <f>+VLOOKUP(C470,#REF!,3,FALSE)</f>
        <v>#REF!</v>
      </c>
      <c r="L470" s="5" t="e">
        <f t="shared" si="108"/>
        <v>#REF!</v>
      </c>
      <c r="M470" s="5" t="e">
        <f t="shared" si="109"/>
        <v>#REF!</v>
      </c>
      <c r="N470" s="5" t="str">
        <f t="shared" si="110"/>
        <v>NO</v>
      </c>
      <c r="O470" s="5" t="e">
        <f>+VLOOKUP(C470,[2]Fondos!$F:$J,5,FALSE)</f>
        <v>#N/A</v>
      </c>
      <c r="P470" s="13" t="e">
        <f>+VLOOKUP(C470,[2]Fondos!$F:$K,6,FALSE)</f>
        <v>#N/A</v>
      </c>
      <c r="Q470" s="13" t="e">
        <f t="shared" si="111"/>
        <v>#N/A</v>
      </c>
      <c r="R470" s="10" t="e">
        <f>+IF(Q470&gt;MAESTRO!$G$6,0,1)</f>
        <v>#N/A</v>
      </c>
      <c r="S470" t="e">
        <f>+IF(P470&lt;MAESTRO!$G$8,0,1)</f>
        <v>#N/A</v>
      </c>
      <c r="T470" s="10" t="e">
        <f t="shared" si="112"/>
        <v>#N/A</v>
      </c>
      <c r="U470" t="e">
        <f>+IF(R470+S470=2,MAESTRO!$G$2,IF(R470+S470=0,MAESTRO!$G$5,IF(R470=0,MAESTRO!$G$3,IF(S470=0,MAESTRO!$G$4,))))</f>
        <v>#N/A</v>
      </c>
    </row>
    <row r="471" spans="1:21" x14ac:dyDescent="0.3">
      <c r="A471" t="s">
        <v>126</v>
      </c>
      <c r="B471" t="s">
        <v>24</v>
      </c>
      <c r="C471" t="s">
        <v>39</v>
      </c>
      <c r="D471" t="s">
        <v>81</v>
      </c>
      <c r="E471" s="24">
        <f t="shared" si="106"/>
        <v>0</v>
      </c>
      <c r="F471" s="22">
        <f>-SUMIFS(CARGA!I:I,CARGA!B:B,tabla!A471,CARGA!D:D,tabla!C471,CARGA!C:C,MAESTRO!$B$4)-SUMIFS(CARGA!I:I,CARGA!B:B,tabla!A471,CARGA!D:D,tabla!C471,CARGA!C:C,MAESTRO!$B$5)</f>
        <v>0</v>
      </c>
      <c r="G471" s="5">
        <f>+SUMIFS(CARGA!I:I,CARGA!B:B,tabla!A471,CARGA!D:D,tabla!C471)</f>
        <v>0</v>
      </c>
      <c r="H471" s="5">
        <f>+SUMIFS(CARGA!K:K,CARGA!B:B,tabla!A471,CARGA!D:D,tabla!C471)</f>
        <v>0</v>
      </c>
      <c r="I471" s="5">
        <f t="shared" si="107"/>
        <v>0</v>
      </c>
      <c r="J471" s="5">
        <f>-SUMIFS(CARGA!K:K,CARGA!B:B,tabla!A471,CARGA!D:D,tabla!C471,CARGA!C:C,MAESTRO!$B$4)+SUMIFS(CARGA!K:K,CARGA!B:B,tabla!A471,CARGA!D:D,tabla!C471,CARGA!C:C,MAESTRO!$B$5)</f>
        <v>0</v>
      </c>
      <c r="K471" s="5" t="e">
        <f>+VLOOKUP(C471,#REF!,3,FALSE)</f>
        <v>#REF!</v>
      </c>
      <c r="L471" s="5" t="e">
        <f t="shared" si="108"/>
        <v>#REF!</v>
      </c>
      <c r="M471" s="5" t="e">
        <f t="shared" si="109"/>
        <v>#REF!</v>
      </c>
      <c r="N471" s="5" t="str">
        <f t="shared" si="110"/>
        <v>NO</v>
      </c>
      <c r="O471" s="5">
        <f>+VLOOKUP(C471,[2]Fondos!$F:$J,5,FALSE)</f>
        <v>2294506221</v>
      </c>
      <c r="P471" s="13">
        <f>+VLOOKUP(C471,[2]Fondos!$F:$K,6,FALSE)</f>
        <v>0.21526589999999998</v>
      </c>
      <c r="Q471" s="13">
        <f t="shared" si="111"/>
        <v>0</v>
      </c>
      <c r="R471" s="10">
        <f>+IF(Q471&gt;MAESTRO!$G$6,0,1)</f>
        <v>1</v>
      </c>
      <c r="S471">
        <f>+IF(P471&lt;MAESTRO!$G$8,0,1)</f>
        <v>1</v>
      </c>
      <c r="T471" s="10">
        <f t="shared" si="112"/>
        <v>2</v>
      </c>
      <c r="U471" t="str">
        <f>+IF(R471+S471=2,MAESTRO!$G$2,IF(R471+S471=0,MAESTRO!$G$5,IF(R471=0,MAESTRO!$G$3,IF(S471=0,MAESTRO!$G$4,))))</f>
        <v>cumple politica</v>
      </c>
    </row>
    <row r="472" spans="1:21" x14ac:dyDescent="0.3">
      <c r="A472" t="s">
        <v>126</v>
      </c>
      <c r="B472" t="s">
        <v>24</v>
      </c>
      <c r="C472" t="s">
        <v>80</v>
      </c>
      <c r="D472" t="s">
        <v>82</v>
      </c>
      <c r="E472" s="24">
        <f t="shared" si="106"/>
        <v>0</v>
      </c>
      <c r="F472" s="22">
        <f>-SUMIFS(CARGA!I:I,CARGA!B:B,tabla!A472,CARGA!D:D,tabla!C472,CARGA!C:C,MAESTRO!$B$4)-SUMIFS(CARGA!I:I,CARGA!B:B,tabla!A472,CARGA!D:D,tabla!C472,CARGA!C:C,MAESTRO!$B$5)</f>
        <v>0</v>
      </c>
      <c r="G472" s="5">
        <f>+SUMIFS(CARGA!I:I,CARGA!B:B,tabla!A472,CARGA!D:D,tabla!C472)</f>
        <v>0</v>
      </c>
      <c r="H472" s="5">
        <f>+SUMIFS(CARGA!K:K,CARGA!B:B,tabla!A472,CARGA!D:D,tabla!C472)</f>
        <v>0</v>
      </c>
      <c r="I472" s="5">
        <f t="shared" si="107"/>
        <v>0</v>
      </c>
      <c r="J472" s="5">
        <f>-SUMIFS(CARGA!K:K,CARGA!B:B,tabla!A472,CARGA!D:D,tabla!C472,CARGA!C:C,MAESTRO!$B$4)+SUMIFS(CARGA!K:K,CARGA!B:B,tabla!A472,CARGA!D:D,tabla!C472,CARGA!C:C,MAESTRO!$B$5)</f>
        <v>0</v>
      </c>
      <c r="K472" s="5" t="e">
        <f>+VLOOKUP(C472,#REF!,3,FALSE)</f>
        <v>#REF!</v>
      </c>
      <c r="L472" s="5" t="e">
        <f t="shared" si="108"/>
        <v>#REF!</v>
      </c>
      <c r="M472" s="5" t="e">
        <f t="shared" si="109"/>
        <v>#REF!</v>
      </c>
      <c r="N472" s="5" t="str">
        <f t="shared" si="110"/>
        <v>NO</v>
      </c>
      <c r="O472" s="5">
        <f>+VLOOKUP(C472,[2]Fondos!$F:$J,5,FALSE)</f>
        <v>8324714840</v>
      </c>
      <c r="P472" s="13">
        <f>+VLOOKUP(C472,[2]Fondos!$F:$K,6,FALSE)</f>
        <v>0.27053379999999999</v>
      </c>
      <c r="Q472" s="13">
        <f t="shared" si="111"/>
        <v>0</v>
      </c>
      <c r="R472" s="10">
        <f>+IF(Q472&gt;MAESTRO!$G$6,0,1)</f>
        <v>1</v>
      </c>
      <c r="S472">
        <f>+IF(P472&lt;MAESTRO!$G$8,0,1)</f>
        <v>1</v>
      </c>
      <c r="T472" s="10">
        <f t="shared" si="112"/>
        <v>2</v>
      </c>
      <c r="U472" t="str">
        <f>+IF(R472+S472=2,MAESTRO!$G$2,IF(R472+S472=0,MAESTRO!$G$5,IF(R472=0,MAESTRO!$G$3,IF(S472=0,MAESTRO!$G$4,))))</f>
        <v>cumple politica</v>
      </c>
    </row>
    <row r="473" spans="1:21" x14ac:dyDescent="0.3">
      <c r="A473" t="s">
        <v>126</v>
      </c>
      <c r="B473" t="s">
        <v>24</v>
      </c>
      <c r="C473" t="s">
        <v>62</v>
      </c>
      <c r="D473" t="s">
        <v>82</v>
      </c>
      <c r="E473" s="24">
        <f t="shared" si="106"/>
        <v>0</v>
      </c>
      <c r="F473" s="22">
        <f>-SUMIFS(CARGA!I:I,CARGA!B:B,tabla!A473,CARGA!D:D,tabla!C473,CARGA!C:C,MAESTRO!$B$4)-SUMIFS(CARGA!I:I,CARGA!B:B,tabla!A473,CARGA!D:D,tabla!C473,CARGA!C:C,MAESTRO!$B$5)</f>
        <v>0</v>
      </c>
      <c r="G473" s="5">
        <f>+SUMIFS(CARGA!I:I,CARGA!B:B,tabla!A473,CARGA!D:D,tabla!C473)</f>
        <v>0</v>
      </c>
      <c r="H473" s="5">
        <f>+SUMIFS(CARGA!K:K,CARGA!B:B,tabla!A473,CARGA!D:D,tabla!C473)</f>
        <v>0</v>
      </c>
      <c r="I473" s="5">
        <f t="shared" si="107"/>
        <v>0</v>
      </c>
      <c r="J473" s="5">
        <f>-SUMIFS(CARGA!K:K,CARGA!B:B,tabla!A473,CARGA!D:D,tabla!C473,CARGA!C:C,MAESTRO!$B$4)+SUMIFS(CARGA!K:K,CARGA!B:B,tabla!A473,CARGA!D:D,tabla!C473,CARGA!C:C,MAESTRO!$B$5)</f>
        <v>0</v>
      </c>
      <c r="K473" s="5" t="e">
        <f>+VLOOKUP(C473,#REF!,3,FALSE)</f>
        <v>#REF!</v>
      </c>
      <c r="L473" s="5" t="e">
        <f t="shared" si="108"/>
        <v>#REF!</v>
      </c>
      <c r="M473" s="5" t="e">
        <f t="shared" si="109"/>
        <v>#REF!</v>
      </c>
      <c r="N473" s="5" t="str">
        <f t="shared" si="110"/>
        <v>NO</v>
      </c>
      <c r="O473" s="5">
        <f>+VLOOKUP(C473,[2]Fondos!$F:$J,5,FALSE)</f>
        <v>2635564025</v>
      </c>
      <c r="P473" s="13">
        <f>+VLOOKUP(C473,[2]Fondos!$F:$K,6,FALSE)</f>
        <v>0.26226080000000002</v>
      </c>
      <c r="Q473" s="13">
        <f t="shared" si="111"/>
        <v>0</v>
      </c>
      <c r="R473" s="10">
        <f>+IF(Q473&gt;MAESTRO!$G$6,0,1)</f>
        <v>1</v>
      </c>
      <c r="S473">
        <f>+IF(P473&lt;MAESTRO!$G$8,0,1)</f>
        <v>1</v>
      </c>
      <c r="T473" s="10">
        <f t="shared" si="112"/>
        <v>2</v>
      </c>
      <c r="U473" t="str">
        <f>+IF(R473+S473=2,MAESTRO!$G$2,IF(R473+S473=0,MAESTRO!$G$5,IF(R473=0,MAESTRO!$G$3,IF(S473=0,MAESTRO!$G$4,))))</f>
        <v>cumple politica</v>
      </c>
    </row>
    <row r="474" spans="1:21" x14ac:dyDescent="0.3">
      <c r="A474" t="s">
        <v>126</v>
      </c>
      <c r="B474" t="s">
        <v>32</v>
      </c>
      <c r="C474" t="s">
        <v>71</v>
      </c>
      <c r="D474" t="s">
        <v>82</v>
      </c>
      <c r="E474" s="24">
        <f t="shared" si="106"/>
        <v>0</v>
      </c>
      <c r="F474" s="22">
        <f>-SUMIFS(CARGA!I:I,CARGA!B:B,tabla!A474,CARGA!D:D,tabla!C474,CARGA!C:C,MAESTRO!$B$4)-SUMIFS(CARGA!I:I,CARGA!B:B,tabla!A474,CARGA!D:D,tabla!C474,CARGA!C:C,MAESTRO!$B$5)</f>
        <v>0</v>
      </c>
      <c r="G474" s="5">
        <f>+SUMIFS(CARGA!I:I,CARGA!B:B,tabla!A474,CARGA!D:D,tabla!C474)</f>
        <v>0</v>
      </c>
      <c r="H474" s="5">
        <f>+SUMIFS(CARGA!K:K,CARGA!B:B,tabla!A474,CARGA!D:D,tabla!C474)</f>
        <v>0</v>
      </c>
      <c r="I474" s="5">
        <f t="shared" si="107"/>
        <v>0</v>
      </c>
      <c r="J474" s="5">
        <f>-SUMIFS(CARGA!K:K,CARGA!B:B,tabla!A474,CARGA!D:D,tabla!C474,CARGA!C:C,MAESTRO!$B$4)+SUMIFS(CARGA!K:K,CARGA!B:B,tabla!A474,CARGA!D:D,tabla!C474,CARGA!C:C,MAESTRO!$B$5)</f>
        <v>0</v>
      </c>
      <c r="K474" s="5" t="e">
        <f>+VLOOKUP(C474,#REF!,3,FALSE)</f>
        <v>#REF!</v>
      </c>
      <c r="L474" s="5" t="e">
        <f t="shared" si="108"/>
        <v>#REF!</v>
      </c>
      <c r="M474" s="5" t="e">
        <f t="shared" si="109"/>
        <v>#REF!</v>
      </c>
      <c r="N474" s="5" t="str">
        <f t="shared" si="110"/>
        <v>NO</v>
      </c>
      <c r="O474" s="5">
        <f>+VLOOKUP(C474,[2]Fondos!$F:$J,5,FALSE)</f>
        <v>240000000</v>
      </c>
      <c r="P474" s="13">
        <f>+VLOOKUP(C474,[2]Fondos!$F:$K,6,FALSE)</f>
        <v>0.27596609999999999</v>
      </c>
      <c r="Q474" s="13">
        <f t="shared" si="111"/>
        <v>0</v>
      </c>
      <c r="R474" s="10">
        <f>+IF(Q474&gt;MAESTRO!$G$6,0,1)</f>
        <v>1</v>
      </c>
      <c r="S474">
        <f>+IF(P474&lt;MAESTRO!$G$8,0,1)</f>
        <v>1</v>
      </c>
      <c r="T474" s="10">
        <f t="shared" si="112"/>
        <v>2</v>
      </c>
      <c r="U474" t="str">
        <f>+IF(R474+S474=2,MAESTRO!$G$2,IF(R474+S474=0,MAESTRO!$G$5,IF(R474=0,MAESTRO!$G$3,IF(S474=0,MAESTRO!$G$4,))))</f>
        <v>cumple politica</v>
      </c>
    </row>
    <row r="475" spans="1:21" x14ac:dyDescent="0.3">
      <c r="A475" t="s">
        <v>126</v>
      </c>
      <c r="B475" t="s">
        <v>32</v>
      </c>
      <c r="C475" t="s">
        <v>51</v>
      </c>
      <c r="D475" t="s">
        <v>81</v>
      </c>
      <c r="E475" s="24">
        <f t="shared" si="106"/>
        <v>0</v>
      </c>
      <c r="F475" s="22">
        <f>-SUMIFS(CARGA!I:I,CARGA!B:B,tabla!A475,CARGA!D:D,tabla!C475,CARGA!C:C,MAESTRO!$B$4)-SUMIFS(CARGA!I:I,CARGA!B:B,tabla!A475,CARGA!D:D,tabla!C475,CARGA!C:C,MAESTRO!$B$5)</f>
        <v>0</v>
      </c>
      <c r="G475" s="5">
        <f>+SUMIFS(CARGA!I:I,CARGA!B:B,tabla!A475,CARGA!D:D,tabla!C475)</f>
        <v>0</v>
      </c>
      <c r="H475" s="5">
        <f>+SUMIFS(CARGA!K:K,CARGA!B:B,tabla!A475,CARGA!D:D,tabla!C475)</f>
        <v>0</v>
      </c>
      <c r="I475" s="5">
        <f t="shared" si="107"/>
        <v>0</v>
      </c>
      <c r="J475" s="5">
        <f>-SUMIFS(CARGA!K:K,CARGA!B:B,tabla!A475,CARGA!D:D,tabla!C475,CARGA!C:C,MAESTRO!$B$4)+SUMIFS(CARGA!K:K,CARGA!B:B,tabla!A475,CARGA!D:D,tabla!C475,CARGA!C:C,MAESTRO!$B$5)</f>
        <v>0</v>
      </c>
      <c r="K475" s="5" t="e">
        <f>+VLOOKUP(C475,#REF!,3,FALSE)</f>
        <v>#REF!</v>
      </c>
      <c r="L475" s="5" t="e">
        <f t="shared" si="108"/>
        <v>#REF!</v>
      </c>
      <c r="M475" s="5" t="e">
        <f t="shared" si="109"/>
        <v>#REF!</v>
      </c>
      <c r="N475" s="5" t="str">
        <f t="shared" si="110"/>
        <v>NO</v>
      </c>
      <c r="O475" s="5">
        <f>+VLOOKUP(C475,[2]Fondos!$F:$J,5,FALSE)</f>
        <v>360000000</v>
      </c>
      <c r="P475" s="13">
        <f>+VLOOKUP(C475,[2]Fondos!$F:$K,6,FALSE)</f>
        <v>0.19705159999999999</v>
      </c>
      <c r="Q475" s="13">
        <f t="shared" si="111"/>
        <v>0</v>
      </c>
      <c r="R475" s="10">
        <f>+IF(Q475&gt;MAESTRO!$G$6,0,1)</f>
        <v>1</v>
      </c>
      <c r="S475">
        <f>+IF(P475&lt;MAESTRO!$G$8,0,1)</f>
        <v>1</v>
      </c>
      <c r="T475" s="10">
        <f t="shared" si="112"/>
        <v>2</v>
      </c>
      <c r="U475" t="str">
        <f>+IF(R475+S475=2,MAESTRO!$G$2,IF(R475+S475=0,MAESTRO!$G$5,IF(R475=0,MAESTRO!$G$3,IF(S475=0,MAESTRO!$G$4,))))</f>
        <v>cumple politica</v>
      </c>
    </row>
    <row r="476" spans="1:21" x14ac:dyDescent="0.3">
      <c r="A476" t="s">
        <v>126</v>
      </c>
      <c r="B476" t="s">
        <v>35</v>
      </c>
      <c r="C476" t="s">
        <v>55</v>
      </c>
      <c r="D476" t="s">
        <v>82</v>
      </c>
      <c r="E476" s="24">
        <f t="shared" si="106"/>
        <v>0</v>
      </c>
      <c r="F476" s="22">
        <f>-SUMIFS(CARGA!I:I,CARGA!B:B,tabla!A476,CARGA!D:D,tabla!C476,CARGA!C:C,MAESTRO!$B$4)-SUMIFS(CARGA!I:I,CARGA!B:B,tabla!A476,CARGA!D:D,tabla!C476,CARGA!C:C,MAESTRO!$B$5)</f>
        <v>0</v>
      </c>
      <c r="G476" s="5">
        <f>+SUMIFS(CARGA!I:I,CARGA!B:B,tabla!A476,CARGA!D:D,tabla!C476)</f>
        <v>0</v>
      </c>
      <c r="H476" s="5">
        <f>+SUMIFS(CARGA!K:K,CARGA!B:B,tabla!A476,CARGA!D:D,tabla!C476)</f>
        <v>0</v>
      </c>
      <c r="I476" s="5">
        <f t="shared" si="107"/>
        <v>0</v>
      </c>
      <c r="J476" s="5">
        <f>-SUMIFS(CARGA!K:K,CARGA!B:B,tabla!A476,CARGA!D:D,tabla!C476,CARGA!C:C,MAESTRO!$B$4)+SUMIFS(CARGA!K:K,CARGA!B:B,tabla!A476,CARGA!D:D,tabla!C476,CARGA!C:C,MAESTRO!$B$5)</f>
        <v>0</v>
      </c>
      <c r="K476" s="5" t="e">
        <f>+VLOOKUP(C476,#REF!,3,FALSE)</f>
        <v>#REF!</v>
      </c>
      <c r="L476" s="5" t="e">
        <f t="shared" si="108"/>
        <v>#REF!</v>
      </c>
      <c r="M476" s="5" t="e">
        <f t="shared" si="109"/>
        <v>#REF!</v>
      </c>
      <c r="N476" s="5" t="str">
        <f t="shared" si="110"/>
        <v>NO</v>
      </c>
      <c r="O476" s="5">
        <f>+VLOOKUP(C476,[2]Fondos!$F:$J,5,FALSE)</f>
        <v>601998365.54999995</v>
      </c>
      <c r="P476" s="13">
        <f>+VLOOKUP(C476,[2]Fondos!$F:$K,6,FALSE)</f>
        <v>0.27414070000000001</v>
      </c>
      <c r="Q476" s="13">
        <f t="shared" si="111"/>
        <v>0</v>
      </c>
      <c r="R476" s="10">
        <f>+IF(Q476&gt;MAESTRO!$G$6,0,1)</f>
        <v>1</v>
      </c>
      <c r="S476">
        <f>+IF(P476&lt;MAESTRO!$G$8,0,1)</f>
        <v>1</v>
      </c>
      <c r="T476" s="10">
        <f t="shared" si="112"/>
        <v>2</v>
      </c>
      <c r="U476" t="str">
        <f>+IF(R476+S476=2,MAESTRO!$G$2,IF(R476+S476=0,MAESTRO!$G$5,IF(R476=0,MAESTRO!$G$3,IF(S476=0,MAESTRO!$G$4,))))</f>
        <v>cumple politica</v>
      </c>
    </row>
    <row r="477" spans="1:21" x14ac:dyDescent="0.3">
      <c r="A477" t="s">
        <v>126</v>
      </c>
      <c r="B477" t="s">
        <v>23</v>
      </c>
      <c r="C477" t="s">
        <v>43</v>
      </c>
      <c r="D477" t="s">
        <v>81</v>
      </c>
      <c r="E477" s="24">
        <f t="shared" ref="E477:E483" si="113">+F477+G477</f>
        <v>0</v>
      </c>
      <c r="F477" s="22">
        <f>-SUMIFS(CARGA!I:I,CARGA!B:B,tabla!A477,CARGA!D:D,tabla!C477,CARGA!C:C,MAESTRO!$B$4)-SUMIFS(CARGA!I:I,CARGA!B:B,tabla!A477,CARGA!D:D,tabla!C477,CARGA!C:C,MAESTRO!$B$5)</f>
        <v>0</v>
      </c>
      <c r="G477" s="5">
        <f>+SUMIFS(CARGA!I:I,CARGA!B:B,tabla!A477,CARGA!D:D,tabla!C477)</f>
        <v>0</v>
      </c>
      <c r="H477" s="5">
        <f>+SUMIFS(CARGA!K:K,CARGA!B:B,tabla!A477,CARGA!D:D,tabla!C477)</f>
        <v>0</v>
      </c>
      <c r="I477" s="5">
        <f t="shared" ref="I477:I483" si="114">+H477+J477</f>
        <v>0</v>
      </c>
      <c r="J477" s="5">
        <f>-SUMIFS(CARGA!K:K,CARGA!B:B,tabla!A477,CARGA!D:D,tabla!C477,CARGA!C:C,MAESTRO!$B$4)+SUMIFS(CARGA!K:K,CARGA!B:B,tabla!A477,CARGA!D:D,tabla!C477,CARGA!C:C,MAESTRO!$B$5)</f>
        <v>0</v>
      </c>
      <c r="K477" s="5" t="e">
        <f>+VLOOKUP(C477,#REF!,3,FALSE)</f>
        <v>#REF!</v>
      </c>
      <c r="L477" s="5" t="e">
        <f t="shared" ref="L477:L483" si="115">+K477*I477</f>
        <v>#REF!</v>
      </c>
      <c r="M477" s="5" t="e">
        <f t="shared" ref="M477:M483" si="116">+K477*J477</f>
        <v>#REF!</v>
      </c>
      <c r="N477" s="5" t="str">
        <f t="shared" ref="N477:N483" si="117">+IF(G477+F477=0,"NO","SI")</f>
        <v>NO</v>
      </c>
      <c r="O477" s="5">
        <f>+VLOOKUP(C477,[2]Fondos!$F:$J,5,FALSE)</f>
        <v>3553303148</v>
      </c>
      <c r="P477" s="13">
        <f>+VLOOKUP(C477,[2]Fondos!$F:$K,6,FALSE)</f>
        <v>0.2092009</v>
      </c>
      <c r="Q477" s="13">
        <f t="shared" ref="Q477:Q483" si="118">+G477/O477</f>
        <v>0</v>
      </c>
      <c r="R477" s="10">
        <f>+IF(Q477&gt;MAESTRO!$G$6,0,1)</f>
        <v>1</v>
      </c>
      <c r="S477">
        <f>+IF(P477&lt;MAESTRO!$G$8,0,1)</f>
        <v>1</v>
      </c>
      <c r="T477" s="10">
        <f t="shared" ref="T477:T483" si="119">+R477+S477</f>
        <v>2</v>
      </c>
      <c r="U477" t="str">
        <f>+IF(R477+S477=2,MAESTRO!$G$2,IF(R477+S477=0,MAESTRO!$G$5,IF(R477=0,MAESTRO!$G$3,IF(S477=0,MAESTRO!$G$4,))))</f>
        <v>cumple politica</v>
      </c>
    </row>
    <row r="478" spans="1:21" x14ac:dyDescent="0.3">
      <c r="A478" t="s">
        <v>126</v>
      </c>
      <c r="B478" t="s">
        <v>23</v>
      </c>
      <c r="C478" t="s">
        <v>38</v>
      </c>
      <c r="D478" t="s">
        <v>81</v>
      </c>
      <c r="E478" s="24">
        <f t="shared" si="113"/>
        <v>0</v>
      </c>
      <c r="F478" s="22">
        <f>-SUMIFS(CARGA!I:I,CARGA!B:B,tabla!A478,CARGA!D:D,tabla!C478,CARGA!C:C,MAESTRO!$B$4)-SUMIFS(CARGA!I:I,CARGA!B:B,tabla!A478,CARGA!D:D,tabla!C478,CARGA!C:C,MAESTRO!$B$5)</f>
        <v>0</v>
      </c>
      <c r="G478" s="5">
        <f>+SUMIFS(CARGA!I:I,CARGA!B:B,tabla!A478,CARGA!D:D,tabla!C478)</f>
        <v>0</v>
      </c>
      <c r="H478" s="5">
        <f>+SUMIFS(CARGA!K:K,CARGA!B:B,tabla!A478,CARGA!D:D,tabla!C478)</f>
        <v>0</v>
      </c>
      <c r="I478" s="5">
        <f t="shared" si="114"/>
        <v>0</v>
      </c>
      <c r="J478" s="5">
        <f>-SUMIFS(CARGA!K:K,CARGA!B:B,tabla!A478,CARGA!D:D,tabla!C478,CARGA!C:C,MAESTRO!$B$4)+SUMIFS(CARGA!K:K,CARGA!B:B,tabla!A478,CARGA!D:D,tabla!C478,CARGA!C:C,MAESTRO!$B$5)</f>
        <v>0</v>
      </c>
      <c r="K478" s="5" t="e">
        <f>+VLOOKUP(C478,#REF!,3,FALSE)</f>
        <v>#REF!</v>
      </c>
      <c r="L478" s="5" t="e">
        <f t="shared" si="115"/>
        <v>#REF!</v>
      </c>
      <c r="M478" s="5" t="e">
        <f t="shared" si="116"/>
        <v>#REF!</v>
      </c>
      <c r="N478" s="5" t="str">
        <f t="shared" si="117"/>
        <v>NO</v>
      </c>
      <c r="O478" s="5">
        <f>+VLOOKUP(C478,[2]Fondos!$F:$J,5,FALSE)</f>
        <v>4553606100</v>
      </c>
      <c r="P478" s="13">
        <f>+VLOOKUP(C478,[2]Fondos!$F:$K,6,FALSE)</f>
        <v>0.23939009999999999</v>
      </c>
      <c r="Q478" s="13">
        <f t="shared" si="118"/>
        <v>0</v>
      </c>
      <c r="R478" s="10">
        <f>+IF(Q478&gt;MAESTRO!$G$6,0,1)</f>
        <v>1</v>
      </c>
      <c r="S478">
        <f>+IF(P478&lt;MAESTRO!$G$8,0,1)</f>
        <v>1</v>
      </c>
      <c r="T478" s="10">
        <f t="shared" si="119"/>
        <v>2</v>
      </c>
      <c r="U478" t="str">
        <f>+IF(R478+S478=2,MAESTRO!$G$2,IF(R478+S478=0,MAESTRO!$G$5,IF(R478=0,MAESTRO!$G$3,IF(S478=0,MAESTRO!$G$4,))))</f>
        <v>cumple politica</v>
      </c>
    </row>
    <row r="479" spans="1:21" x14ac:dyDescent="0.3">
      <c r="A479" t="s">
        <v>126</v>
      </c>
      <c r="B479" t="s">
        <v>23</v>
      </c>
      <c r="C479" t="s">
        <v>57</v>
      </c>
      <c r="D479" t="s">
        <v>82</v>
      </c>
      <c r="E479" s="24">
        <f t="shared" si="113"/>
        <v>0</v>
      </c>
      <c r="F479" s="22">
        <f>-SUMIFS(CARGA!I:I,CARGA!B:B,tabla!A479,CARGA!D:D,tabla!C479,CARGA!C:C,MAESTRO!$B$4)-SUMIFS(CARGA!I:I,CARGA!B:B,tabla!A479,CARGA!D:D,tabla!C479,CARGA!C:C,MAESTRO!$B$5)</f>
        <v>0</v>
      </c>
      <c r="G479" s="5">
        <f>+SUMIFS(CARGA!I:I,CARGA!B:B,tabla!A479,CARGA!D:D,tabla!C479)</f>
        <v>0</v>
      </c>
      <c r="H479" s="5">
        <f>+SUMIFS(CARGA!K:K,CARGA!B:B,tabla!A479,CARGA!D:D,tabla!C479)</f>
        <v>0</v>
      </c>
      <c r="I479" s="5">
        <f t="shared" si="114"/>
        <v>0</v>
      </c>
      <c r="J479" s="5">
        <f>-SUMIFS(CARGA!K:K,CARGA!B:B,tabla!A479,CARGA!D:D,tabla!C479,CARGA!C:C,MAESTRO!$B$4)+SUMIFS(CARGA!K:K,CARGA!B:B,tabla!A479,CARGA!D:D,tabla!C479,CARGA!C:C,MAESTRO!$B$5)</f>
        <v>0</v>
      </c>
      <c r="K479" s="5" t="e">
        <f>+VLOOKUP(C479,#REF!,3,FALSE)</f>
        <v>#REF!</v>
      </c>
      <c r="L479" s="5" t="e">
        <f t="shared" si="115"/>
        <v>#REF!</v>
      </c>
      <c r="M479" s="5" t="e">
        <f t="shared" si="116"/>
        <v>#REF!</v>
      </c>
      <c r="N479" s="5" t="str">
        <f t="shared" si="117"/>
        <v>NO</v>
      </c>
      <c r="O479" s="5">
        <f>+VLOOKUP(C479,[2]Fondos!$F:$J,5,FALSE)</f>
        <v>35515968834</v>
      </c>
      <c r="P479" s="13">
        <f>+VLOOKUP(C479,[2]Fondos!$F:$K,6,FALSE)</f>
        <v>0.26896760000000003</v>
      </c>
      <c r="Q479" s="13">
        <f t="shared" si="118"/>
        <v>0</v>
      </c>
      <c r="R479" s="10">
        <f>+IF(Q479&gt;MAESTRO!$G$6,0,1)</f>
        <v>1</v>
      </c>
      <c r="S479">
        <f>+IF(P479&lt;MAESTRO!$G$8,0,1)</f>
        <v>1</v>
      </c>
      <c r="T479" s="10">
        <f t="shared" si="119"/>
        <v>2</v>
      </c>
      <c r="U479" t="str">
        <f>+IF(R479+S479=2,MAESTRO!$G$2,IF(R479+S479=0,MAESTRO!$G$5,IF(R479=0,MAESTRO!$G$3,IF(S479=0,MAESTRO!$G$4,))))</f>
        <v>cumple politica</v>
      </c>
    </row>
    <row r="480" spans="1:21" x14ac:dyDescent="0.3">
      <c r="A480" t="s">
        <v>126</v>
      </c>
      <c r="B480" t="s">
        <v>140</v>
      </c>
      <c r="C480" t="s">
        <v>138</v>
      </c>
      <c r="D480" t="s">
        <v>82</v>
      </c>
      <c r="E480" s="24">
        <f t="shared" si="113"/>
        <v>0</v>
      </c>
      <c r="F480" s="22">
        <f>-SUMIFS(CARGA!I:I,CARGA!B:B,tabla!A480,CARGA!D:D,tabla!C480,CARGA!C:C,MAESTRO!$B$4)-SUMIFS(CARGA!I:I,CARGA!B:B,tabla!A480,CARGA!D:D,tabla!C480,CARGA!C:C,MAESTRO!$B$5)</f>
        <v>0</v>
      </c>
      <c r="G480" s="5">
        <f>+SUMIFS(CARGA!I:I,CARGA!B:B,tabla!A480,CARGA!D:D,tabla!C480)</f>
        <v>0</v>
      </c>
      <c r="H480" s="5">
        <f>+SUMIFS(CARGA!K:K,CARGA!B:B,tabla!A480,CARGA!D:D,tabla!C480)</f>
        <v>0</v>
      </c>
      <c r="I480" s="5">
        <f t="shared" si="114"/>
        <v>0</v>
      </c>
      <c r="J480" s="5">
        <f>-SUMIFS(CARGA!K:K,CARGA!B:B,tabla!A480,CARGA!D:D,tabla!C480,CARGA!C:C,MAESTRO!$B$4)+SUMIFS(CARGA!K:K,CARGA!B:B,tabla!A480,CARGA!D:D,tabla!C480,CARGA!C:C,MAESTRO!$B$5)</f>
        <v>0</v>
      </c>
      <c r="K480" s="5" t="e">
        <f>+VLOOKUP(C480,#REF!,3,FALSE)</f>
        <v>#REF!</v>
      </c>
      <c r="L480" s="5" t="e">
        <f t="shared" si="115"/>
        <v>#REF!</v>
      </c>
      <c r="M480" s="5" t="e">
        <f t="shared" si="116"/>
        <v>#REF!</v>
      </c>
      <c r="N480" s="5" t="str">
        <f t="shared" si="117"/>
        <v>NO</v>
      </c>
      <c r="O480" s="5" t="e">
        <f>+VLOOKUP(C480,[2]Fondos!$F:$J,5,FALSE)</f>
        <v>#N/A</v>
      </c>
      <c r="P480" s="13" t="e">
        <f>+VLOOKUP(C480,[2]Fondos!$F:$K,6,FALSE)</f>
        <v>#N/A</v>
      </c>
      <c r="Q480" s="13" t="e">
        <f t="shared" si="118"/>
        <v>#N/A</v>
      </c>
      <c r="R480" s="10" t="e">
        <f>+IF(Q480&gt;MAESTRO!$G$6,0,1)</f>
        <v>#N/A</v>
      </c>
      <c r="S480" t="e">
        <f>+IF(P480&lt;MAESTRO!$G$8,0,1)</f>
        <v>#N/A</v>
      </c>
      <c r="T480" s="10" t="e">
        <f t="shared" si="119"/>
        <v>#N/A</v>
      </c>
      <c r="U480" t="e">
        <f>+IF(R480+S480=2,MAESTRO!$G$2,IF(R480+S480=0,MAESTRO!$G$5,IF(R480=0,MAESTRO!$G$3,IF(S480=0,MAESTRO!$G$4,))))</f>
        <v>#N/A</v>
      </c>
    </row>
    <row r="481" spans="1:21" x14ac:dyDescent="0.3">
      <c r="A481" t="s">
        <v>126</v>
      </c>
      <c r="B481" t="s">
        <v>140</v>
      </c>
      <c r="C481" t="s">
        <v>139</v>
      </c>
      <c r="D481" t="s">
        <v>81</v>
      </c>
      <c r="E481" s="24">
        <f t="shared" si="113"/>
        <v>0</v>
      </c>
      <c r="F481" s="22">
        <f>-SUMIFS(CARGA!I:I,CARGA!B:B,tabla!A481,CARGA!D:D,tabla!C481,CARGA!C:C,MAESTRO!$B$4)-SUMIFS(CARGA!I:I,CARGA!B:B,tabla!A481,CARGA!D:D,tabla!C481,CARGA!C:C,MAESTRO!$B$5)</f>
        <v>0</v>
      </c>
      <c r="G481" s="5">
        <f>+SUMIFS(CARGA!I:I,CARGA!B:B,tabla!A481,CARGA!D:D,tabla!C481)</f>
        <v>0</v>
      </c>
      <c r="H481" s="5">
        <f>+SUMIFS(CARGA!K:K,CARGA!B:B,tabla!A481,CARGA!D:D,tabla!C481)</f>
        <v>0</v>
      </c>
      <c r="I481" s="5">
        <f t="shared" si="114"/>
        <v>0</v>
      </c>
      <c r="J481" s="5">
        <f>-SUMIFS(CARGA!K:K,CARGA!B:B,tabla!A481,CARGA!D:D,tabla!C481,CARGA!C:C,MAESTRO!$B$4)+SUMIFS(CARGA!K:K,CARGA!B:B,tabla!A481,CARGA!D:D,tabla!C481,CARGA!C:C,MAESTRO!$B$5)</f>
        <v>0</v>
      </c>
      <c r="K481" s="5" t="e">
        <f>+VLOOKUP(C481,#REF!,3,FALSE)</f>
        <v>#REF!</v>
      </c>
      <c r="L481" s="5" t="e">
        <f t="shared" si="115"/>
        <v>#REF!</v>
      </c>
      <c r="M481" s="5" t="e">
        <f t="shared" si="116"/>
        <v>#REF!</v>
      </c>
      <c r="N481" s="5" t="str">
        <f t="shared" si="117"/>
        <v>NO</v>
      </c>
      <c r="O481" s="5" t="e">
        <f>+VLOOKUP(C481,[2]Fondos!$F:$J,5,FALSE)</f>
        <v>#N/A</v>
      </c>
      <c r="P481" s="13" t="e">
        <f>+VLOOKUP(C481,[2]Fondos!$F:$K,6,FALSE)</f>
        <v>#N/A</v>
      </c>
      <c r="Q481" s="13" t="e">
        <f t="shared" si="118"/>
        <v>#N/A</v>
      </c>
      <c r="R481" s="10" t="e">
        <f>+IF(Q481&gt;MAESTRO!$G$6,0,1)</f>
        <v>#N/A</v>
      </c>
      <c r="S481" t="e">
        <f>+IF(P481&lt;MAESTRO!$G$8,0,1)</f>
        <v>#N/A</v>
      </c>
      <c r="T481" s="10" t="e">
        <f t="shared" si="119"/>
        <v>#N/A</v>
      </c>
      <c r="U481" t="e">
        <f>+IF(R481+S481=2,MAESTRO!$G$2,IF(R481+S481=0,MAESTRO!$G$5,IF(R481=0,MAESTRO!$G$3,IF(S481=0,MAESTRO!$G$4,))))</f>
        <v>#N/A</v>
      </c>
    </row>
    <row r="482" spans="1:21" x14ac:dyDescent="0.3">
      <c r="A482" t="s">
        <v>126</v>
      </c>
      <c r="B482" t="s">
        <v>134</v>
      </c>
      <c r="C482" t="s">
        <v>136</v>
      </c>
      <c r="D482" t="s">
        <v>81</v>
      </c>
      <c r="E482" s="24">
        <f t="shared" si="113"/>
        <v>0</v>
      </c>
      <c r="F482" s="22">
        <f>-SUMIFS(CARGA!I:I,CARGA!B:B,tabla!A482,CARGA!D:D,tabla!C482,CARGA!C:C,MAESTRO!$B$4)-SUMIFS(CARGA!I:I,CARGA!B:B,tabla!A482,CARGA!D:D,tabla!C482,CARGA!C:C,MAESTRO!$B$5)</f>
        <v>0</v>
      </c>
      <c r="G482" s="5">
        <f>+SUMIFS(CARGA!I:I,CARGA!B:B,tabla!A482,CARGA!D:D,tabla!C482)</f>
        <v>0</v>
      </c>
      <c r="H482" s="5">
        <f>+SUMIFS(CARGA!K:K,CARGA!B:B,tabla!A482,CARGA!D:D,tabla!C482)</f>
        <v>0</v>
      </c>
      <c r="I482" s="5">
        <f t="shared" si="114"/>
        <v>0</v>
      </c>
      <c r="J482" s="5">
        <f>-SUMIFS(CARGA!K:K,CARGA!B:B,tabla!A482,CARGA!D:D,tabla!C482,CARGA!C:C,MAESTRO!$B$4)+SUMIFS(CARGA!K:K,CARGA!B:B,tabla!A482,CARGA!D:D,tabla!C482,CARGA!C:C,MAESTRO!$B$5)</f>
        <v>0</v>
      </c>
      <c r="K482" s="5" t="e">
        <f>+VLOOKUP(C482,#REF!,3,FALSE)</f>
        <v>#REF!</v>
      </c>
      <c r="L482" s="5" t="e">
        <f t="shared" si="115"/>
        <v>#REF!</v>
      </c>
      <c r="M482" s="5" t="e">
        <f t="shared" si="116"/>
        <v>#REF!</v>
      </c>
      <c r="N482" s="5" t="str">
        <f t="shared" si="117"/>
        <v>NO</v>
      </c>
      <c r="O482" s="5" t="e">
        <f>+VLOOKUP(C482,[2]Fondos!$F:$J,5,FALSE)</f>
        <v>#N/A</v>
      </c>
      <c r="P482" s="13" t="e">
        <f>+VLOOKUP(C482,[2]Fondos!$F:$K,6,FALSE)</f>
        <v>#N/A</v>
      </c>
      <c r="Q482" s="13" t="e">
        <f t="shared" si="118"/>
        <v>#N/A</v>
      </c>
      <c r="R482" s="10" t="e">
        <f>+IF(Q482&gt;MAESTRO!$G$6,0,1)</f>
        <v>#N/A</v>
      </c>
      <c r="S482" t="e">
        <f>+IF(P482&lt;MAESTRO!$G$8,0,1)</f>
        <v>#N/A</v>
      </c>
      <c r="T482" s="10" t="e">
        <f t="shared" si="119"/>
        <v>#N/A</v>
      </c>
      <c r="U482" t="e">
        <f>+IF(R482+S482=2,MAESTRO!$G$2,IF(R482+S482=0,MAESTRO!$G$5,IF(R482=0,MAESTRO!$G$3,IF(S482=0,MAESTRO!$G$4,))))</f>
        <v>#N/A</v>
      </c>
    </row>
    <row r="483" spans="1:21" x14ac:dyDescent="0.3">
      <c r="A483" t="s">
        <v>126</v>
      </c>
      <c r="B483" t="s">
        <v>134</v>
      </c>
      <c r="C483" t="s">
        <v>135</v>
      </c>
      <c r="D483" t="s">
        <v>82</v>
      </c>
      <c r="E483" s="24">
        <f t="shared" si="113"/>
        <v>0</v>
      </c>
      <c r="F483" s="22">
        <f>-SUMIFS(CARGA!I:I,CARGA!B:B,tabla!A483,CARGA!D:D,tabla!C483,CARGA!C:C,MAESTRO!$B$4)-SUMIFS(CARGA!I:I,CARGA!B:B,tabla!A483,CARGA!D:D,tabla!C483,CARGA!C:C,MAESTRO!$B$5)</f>
        <v>0</v>
      </c>
      <c r="G483" s="5">
        <f>+SUMIFS(CARGA!I:I,CARGA!B:B,tabla!A483,CARGA!D:D,tabla!C483)</f>
        <v>0</v>
      </c>
      <c r="H483" s="5">
        <f>+SUMIFS(CARGA!K:K,CARGA!B:B,tabla!A483,CARGA!D:D,tabla!C483)</f>
        <v>0</v>
      </c>
      <c r="I483" s="5">
        <f t="shared" si="114"/>
        <v>0</v>
      </c>
      <c r="J483" s="5">
        <f>-SUMIFS(CARGA!K:K,CARGA!B:B,tabla!A483,CARGA!D:D,tabla!C483,CARGA!C:C,MAESTRO!$B$4)+SUMIFS(CARGA!K:K,CARGA!B:B,tabla!A483,CARGA!D:D,tabla!C483,CARGA!C:C,MAESTRO!$B$5)</f>
        <v>0</v>
      </c>
      <c r="K483" s="5" t="e">
        <f>+VLOOKUP(C483,#REF!,3,FALSE)</f>
        <v>#REF!</v>
      </c>
      <c r="L483" s="5" t="e">
        <f t="shared" si="115"/>
        <v>#REF!</v>
      </c>
      <c r="M483" s="5" t="e">
        <f t="shared" si="116"/>
        <v>#REF!</v>
      </c>
      <c r="N483" s="5" t="str">
        <f t="shared" si="117"/>
        <v>NO</v>
      </c>
      <c r="O483" s="5" t="e">
        <f>+VLOOKUP(C483,[2]Fondos!$F:$J,5,FALSE)</f>
        <v>#N/A</v>
      </c>
      <c r="P483" s="13" t="e">
        <f>+VLOOKUP(C483,[2]Fondos!$F:$K,6,FALSE)</f>
        <v>#N/A</v>
      </c>
      <c r="Q483" s="13" t="e">
        <f t="shared" si="118"/>
        <v>#N/A</v>
      </c>
      <c r="R483" s="10" t="e">
        <f>+IF(Q483&gt;MAESTRO!$G$6,0,1)</f>
        <v>#N/A</v>
      </c>
      <c r="S483" t="e">
        <f>+IF(P483&lt;MAESTRO!$G$8,0,1)</f>
        <v>#N/A</v>
      </c>
      <c r="T483" s="10" t="e">
        <f t="shared" si="119"/>
        <v>#N/A</v>
      </c>
      <c r="U483" t="e">
        <f>+IF(R483+S483=2,MAESTRO!$G$2,IF(R483+S483=0,MAESTRO!$G$5,IF(R483=0,MAESTRO!$G$3,IF(S483=0,MAESTRO!$G$4,))))</f>
        <v>#N/A</v>
      </c>
    </row>
    <row r="485" spans="1:21" x14ac:dyDescent="0.3">
      <c r="A485" t="s">
        <v>137</v>
      </c>
      <c r="B485" t="s">
        <v>31</v>
      </c>
      <c r="C485" s="7" t="s">
        <v>50</v>
      </c>
      <c r="D485" t="s">
        <v>81</v>
      </c>
      <c r="E485" s="24">
        <f t="shared" ref="E485:E529" si="120">+F485+G485</f>
        <v>0</v>
      </c>
      <c r="F485" s="22">
        <f>-SUMIFS(CARGA!I:I,CARGA!B:B,tabla!A485,CARGA!D:D,tabla!C485,CARGA!C:C,MAESTRO!$B$4)-SUMIFS(CARGA!I:I,CARGA!B:B,tabla!A485,CARGA!D:D,tabla!C485,CARGA!C:C,MAESTRO!$B$5)</f>
        <v>0</v>
      </c>
      <c r="G485" s="5">
        <f>+SUMIFS(CARGA!I:I,CARGA!B:B,tabla!A485,CARGA!D:D,tabla!C485)</f>
        <v>0</v>
      </c>
      <c r="H485" s="5">
        <f>+SUMIFS(CARGA!K:K,CARGA!B:B,tabla!A485,CARGA!D:D,tabla!C485)</f>
        <v>0</v>
      </c>
      <c r="I485" s="5">
        <f t="shared" ref="I485:I529" si="121">+H485+J485</f>
        <v>0</v>
      </c>
      <c r="J485" s="5">
        <f>-SUMIFS(CARGA!K:K,CARGA!B:B,tabla!A485,CARGA!D:D,tabla!C485,CARGA!C:C,MAESTRO!$B$4)+SUMIFS(CARGA!K:K,CARGA!B:B,tabla!A485,CARGA!D:D,tabla!C485,CARGA!C:C,MAESTRO!$B$5)</f>
        <v>0</v>
      </c>
      <c r="K485" s="5" t="e">
        <f>+VLOOKUP(C485,#REF!,3,FALSE)</f>
        <v>#REF!</v>
      </c>
      <c r="L485" s="5" t="e">
        <f t="shared" ref="L485:L529" si="122">+K485*I485</f>
        <v>#REF!</v>
      </c>
      <c r="M485" s="5" t="e">
        <f t="shared" ref="M485:M529" si="123">+K485*J485</f>
        <v>#REF!</v>
      </c>
      <c r="N485" s="5" t="str">
        <f t="shared" ref="N485:N529" si="124">+IF(G485+F485=0,"NO","SI")</f>
        <v>NO</v>
      </c>
      <c r="O485" s="5">
        <f>+VLOOKUP(C485,[2]Fondos!$F:$J,5,FALSE)</f>
        <v>1817778903</v>
      </c>
      <c r="P485" s="13">
        <f>+VLOOKUP(C485,[2]Fondos!$F:$K,6,FALSE)</f>
        <v>0.23246230000000001</v>
      </c>
      <c r="Q485" s="13">
        <f t="shared" ref="Q485:Q529" si="125">+G485/O485</f>
        <v>0</v>
      </c>
      <c r="R485" s="10">
        <f>+IF(Q485&gt;MAESTRO!$G$6,0,1)</f>
        <v>1</v>
      </c>
      <c r="S485">
        <f>+IF(P485&lt;MAESTRO!$G$8,0,1)</f>
        <v>1</v>
      </c>
      <c r="T485" s="10">
        <f>+R485+S485</f>
        <v>2</v>
      </c>
      <c r="U485" t="str">
        <f>+IF(R485+S485=2,MAESTRO!$G$2,IF(R485+S485=0,MAESTRO!$G$5,IF(R485=0,MAESTRO!$G$3,IF(S485=0,MAESTRO!$G$4,))))</f>
        <v>cumple politica</v>
      </c>
    </row>
    <row r="486" spans="1:21" x14ac:dyDescent="0.3">
      <c r="A486" t="s">
        <v>137</v>
      </c>
      <c r="B486" t="s">
        <v>31</v>
      </c>
      <c r="C486" s="7" t="s">
        <v>70</v>
      </c>
      <c r="D486" t="s">
        <v>82</v>
      </c>
      <c r="E486" s="24">
        <f t="shared" si="120"/>
        <v>0</v>
      </c>
      <c r="F486" s="22">
        <f>-SUMIFS(CARGA!I:I,CARGA!B:B,tabla!A486,CARGA!D:D,tabla!C486,CARGA!C:C,MAESTRO!$B$4)-SUMIFS(CARGA!I:I,CARGA!B:B,tabla!A486,CARGA!D:D,tabla!C486,CARGA!C:C,MAESTRO!$B$5)</f>
        <v>0</v>
      </c>
      <c r="G486" s="5">
        <f>+SUMIFS(CARGA!I:I,CARGA!B:B,tabla!A486,CARGA!D:D,tabla!C486)</f>
        <v>0</v>
      </c>
      <c r="H486" s="5">
        <f>+SUMIFS(CARGA!K:K,CARGA!B:B,tabla!A486,CARGA!D:D,tabla!C486)</f>
        <v>0</v>
      </c>
      <c r="I486" s="5">
        <f t="shared" si="121"/>
        <v>0</v>
      </c>
      <c r="J486" s="5">
        <f>-SUMIFS(CARGA!K:K,CARGA!B:B,tabla!A486,CARGA!D:D,tabla!C486,CARGA!C:C,MAESTRO!$B$4)+SUMIFS(CARGA!K:K,CARGA!B:B,tabla!A486,CARGA!D:D,tabla!C486,CARGA!C:C,MAESTRO!$B$5)</f>
        <v>0</v>
      </c>
      <c r="K486" s="5" t="e">
        <f>+VLOOKUP(C486,#REF!,3,FALSE)</f>
        <v>#REF!</v>
      </c>
      <c r="L486" s="5" t="e">
        <f t="shared" si="122"/>
        <v>#REF!</v>
      </c>
      <c r="M486" s="5" t="e">
        <f t="shared" si="123"/>
        <v>#REF!</v>
      </c>
      <c r="N486" s="5" t="str">
        <f t="shared" si="124"/>
        <v>NO</v>
      </c>
      <c r="O486" s="5">
        <f>+VLOOKUP(C486,[2]Fondos!$F:$J,5,FALSE)</f>
        <v>6506463370</v>
      </c>
      <c r="P486" s="13" t="e">
        <f>+VLOOKUP(C486,[2]Fondos!$F:$K,6,FALSE)</f>
        <v>#VALUE!</v>
      </c>
      <c r="Q486" s="13">
        <f t="shared" si="125"/>
        <v>0</v>
      </c>
      <c r="R486" s="10">
        <f>+IF(Q486&gt;MAESTRO!$G$6,0,1)</f>
        <v>1</v>
      </c>
      <c r="S486" t="e">
        <f>+IF(P486&lt;MAESTRO!$G$8,0,1)</f>
        <v>#VALUE!</v>
      </c>
      <c r="T486" s="10" t="e">
        <f t="shared" ref="T486:T529" si="126">+R486+S486</f>
        <v>#VALUE!</v>
      </c>
      <c r="U486" t="e">
        <f>+IF(R486+S486=2,MAESTRO!$G$2,IF(R486+S486=0,MAESTRO!$G$5,IF(R486=0,MAESTRO!$G$3,IF(S486=0,MAESTRO!$G$4,))))</f>
        <v>#VALUE!</v>
      </c>
    </row>
    <row r="487" spans="1:21" x14ac:dyDescent="0.3">
      <c r="A487" t="s">
        <v>137</v>
      </c>
      <c r="B487" t="s">
        <v>31</v>
      </c>
      <c r="C487" s="7" t="s">
        <v>69</v>
      </c>
      <c r="D487" t="s">
        <v>82</v>
      </c>
      <c r="E487" s="24">
        <f t="shared" si="120"/>
        <v>0</v>
      </c>
      <c r="F487" s="22">
        <f>-SUMIFS(CARGA!I:I,CARGA!B:B,tabla!A487,CARGA!D:D,tabla!C487,CARGA!C:C,MAESTRO!$B$4)-SUMIFS(CARGA!I:I,CARGA!B:B,tabla!A487,CARGA!D:D,tabla!C487,CARGA!C:C,MAESTRO!$B$5)</f>
        <v>0</v>
      </c>
      <c r="G487" s="5">
        <f>+SUMIFS(CARGA!I:I,CARGA!B:B,tabla!A487,CARGA!D:D,tabla!C487)</f>
        <v>0</v>
      </c>
      <c r="H487" s="5">
        <f>+SUMIFS(CARGA!K:K,CARGA!B:B,tabla!A487,CARGA!D:D,tabla!C487)</f>
        <v>0</v>
      </c>
      <c r="I487" s="5">
        <f t="shared" si="121"/>
        <v>0</v>
      </c>
      <c r="J487" s="5">
        <f>-SUMIFS(CARGA!K:K,CARGA!B:B,tabla!A487,CARGA!D:D,tabla!C487,CARGA!C:C,MAESTRO!$B$4)+SUMIFS(CARGA!K:K,CARGA!B:B,tabla!A487,CARGA!D:D,tabla!C487,CARGA!C:C,MAESTRO!$B$5)</f>
        <v>0</v>
      </c>
      <c r="K487" s="5" t="e">
        <f>+VLOOKUP(C487,#REF!,3,FALSE)</f>
        <v>#REF!</v>
      </c>
      <c r="L487" s="5" t="e">
        <f t="shared" si="122"/>
        <v>#REF!</v>
      </c>
      <c r="M487" s="5" t="e">
        <f t="shared" si="123"/>
        <v>#REF!</v>
      </c>
      <c r="N487" s="5" t="str">
        <f t="shared" si="124"/>
        <v>NO</v>
      </c>
      <c r="O487" s="5">
        <f>+VLOOKUP(C487,[2]Fondos!$F:$J,5,FALSE)</f>
        <v>39848036</v>
      </c>
      <c r="P487" s="13" t="e">
        <f>+VLOOKUP(C487,[2]Fondos!$F:$K,6,FALSE)</f>
        <v>#VALUE!</v>
      </c>
      <c r="Q487" s="13">
        <f t="shared" si="125"/>
        <v>0</v>
      </c>
      <c r="R487" s="10">
        <f>+IF(Q487&gt;MAESTRO!$G$6,0,1)</f>
        <v>1</v>
      </c>
      <c r="S487" t="e">
        <f>+IF(P487&lt;MAESTRO!$G$8,0,1)</f>
        <v>#VALUE!</v>
      </c>
      <c r="T487" s="10" t="e">
        <f t="shared" si="126"/>
        <v>#VALUE!</v>
      </c>
      <c r="U487" t="e">
        <f>+IF(R487+S487=2,MAESTRO!$G$2,IF(R487+S487=0,MAESTRO!$G$5,IF(R487=0,MAESTRO!$G$3,IF(S487=0,MAESTRO!$G$4,))))</f>
        <v>#VALUE!</v>
      </c>
    </row>
    <row r="488" spans="1:21" x14ac:dyDescent="0.3">
      <c r="A488" t="s">
        <v>137</v>
      </c>
      <c r="B488" t="s">
        <v>33</v>
      </c>
      <c r="C488" s="7" t="s">
        <v>52</v>
      </c>
      <c r="D488" t="s">
        <v>81</v>
      </c>
      <c r="E488" s="24">
        <f t="shared" si="120"/>
        <v>0</v>
      </c>
      <c r="F488" s="22">
        <f>-SUMIFS(CARGA!I:I,CARGA!B:B,tabla!A488,CARGA!D:D,tabla!C488,CARGA!C:C,MAESTRO!$B$4)-SUMIFS(CARGA!I:I,CARGA!B:B,tabla!A488,CARGA!D:D,tabla!C488,CARGA!C:C,MAESTRO!$B$5)</f>
        <v>0</v>
      </c>
      <c r="G488" s="5">
        <f>+SUMIFS(CARGA!I:I,CARGA!B:B,tabla!A488,CARGA!D:D,tabla!C488)</f>
        <v>0</v>
      </c>
      <c r="H488" s="5">
        <f>+SUMIFS(CARGA!K:K,CARGA!B:B,tabla!A488,CARGA!D:D,tabla!C488)</f>
        <v>0</v>
      </c>
      <c r="I488" s="5">
        <f t="shared" si="121"/>
        <v>0</v>
      </c>
      <c r="J488" s="5">
        <f>-SUMIFS(CARGA!K:K,CARGA!B:B,tabla!A488,CARGA!D:D,tabla!C488,CARGA!C:C,MAESTRO!$B$4)+SUMIFS(CARGA!K:K,CARGA!B:B,tabla!A488,CARGA!D:D,tabla!C488,CARGA!C:C,MAESTRO!$B$5)</f>
        <v>0</v>
      </c>
      <c r="K488" s="5" t="e">
        <f>+VLOOKUP(C488,#REF!,3,FALSE)</f>
        <v>#REF!</v>
      </c>
      <c r="L488" s="5" t="e">
        <f t="shared" si="122"/>
        <v>#REF!</v>
      </c>
      <c r="M488" s="5" t="e">
        <f t="shared" si="123"/>
        <v>#REF!</v>
      </c>
      <c r="N488" s="5" t="str">
        <f t="shared" si="124"/>
        <v>NO</v>
      </c>
      <c r="O488" s="5">
        <f>+VLOOKUP(C488,[2]Fondos!$F:$J,5,FALSE)</f>
        <v>3875956517</v>
      </c>
      <c r="P488" s="13">
        <f>+VLOOKUP(C488,[2]Fondos!$F:$K,6,FALSE)</f>
        <v>0.23267859999999999</v>
      </c>
      <c r="Q488" s="13">
        <f t="shared" si="125"/>
        <v>0</v>
      </c>
      <c r="R488" s="10">
        <f>+IF(Q488&gt;MAESTRO!$G$6,0,1)</f>
        <v>1</v>
      </c>
      <c r="S488">
        <f>+IF(P488&lt;MAESTRO!$G$8,0,1)</f>
        <v>1</v>
      </c>
      <c r="T488" s="10">
        <f t="shared" si="126"/>
        <v>2</v>
      </c>
      <c r="U488" t="str">
        <f>+IF(R488+S488=2,MAESTRO!$G$2,IF(R488+S488=0,MAESTRO!$G$5,IF(R488=0,MAESTRO!$G$3,IF(S488=0,MAESTRO!$G$4,))))</f>
        <v>cumple politica</v>
      </c>
    </row>
    <row r="489" spans="1:21" x14ac:dyDescent="0.3">
      <c r="A489" t="s">
        <v>137</v>
      </c>
      <c r="B489" t="s">
        <v>33</v>
      </c>
      <c r="C489" s="7" t="s">
        <v>74</v>
      </c>
      <c r="D489" t="s">
        <v>82</v>
      </c>
      <c r="E489" s="24">
        <f t="shared" si="120"/>
        <v>0</v>
      </c>
      <c r="F489" s="22">
        <f>-SUMIFS(CARGA!I:I,CARGA!B:B,tabla!A489,CARGA!D:D,tabla!C489,CARGA!C:C,MAESTRO!$B$4)-SUMIFS(CARGA!I:I,CARGA!B:B,tabla!A489,CARGA!D:D,tabla!C489,CARGA!C:C,MAESTRO!$B$5)</f>
        <v>0</v>
      </c>
      <c r="G489" s="5">
        <f>+SUMIFS(CARGA!I:I,CARGA!B:B,tabla!A489,CARGA!D:D,tabla!C489)</f>
        <v>0</v>
      </c>
      <c r="H489" s="5">
        <f>+SUMIFS(CARGA!K:K,CARGA!B:B,tabla!A489,CARGA!D:D,tabla!C489)</f>
        <v>0</v>
      </c>
      <c r="I489" s="5">
        <f t="shared" si="121"/>
        <v>0</v>
      </c>
      <c r="J489" s="5">
        <f>-SUMIFS(CARGA!K:K,CARGA!B:B,tabla!A489,CARGA!D:D,tabla!C489,CARGA!C:C,MAESTRO!$B$4)+SUMIFS(CARGA!K:K,CARGA!B:B,tabla!A489,CARGA!D:D,tabla!C489,CARGA!C:C,MAESTRO!$B$5)</f>
        <v>0</v>
      </c>
      <c r="K489" s="5" t="e">
        <f>+VLOOKUP(C489,#REF!,3,FALSE)</f>
        <v>#REF!</v>
      </c>
      <c r="L489" s="5" t="e">
        <f t="shared" si="122"/>
        <v>#REF!</v>
      </c>
      <c r="M489" s="5" t="e">
        <f t="shared" si="123"/>
        <v>#REF!</v>
      </c>
      <c r="N489" s="5" t="str">
        <f t="shared" si="124"/>
        <v>NO</v>
      </c>
      <c r="O489" s="5">
        <f>+VLOOKUP(C489,[2]Fondos!$F:$J,5,FALSE)</f>
        <v>8775783683</v>
      </c>
      <c r="P489" s="13">
        <f>+VLOOKUP(C489,[2]Fondos!$F:$K,6,FALSE)</f>
        <v>0.2640304</v>
      </c>
      <c r="Q489" s="13">
        <f t="shared" si="125"/>
        <v>0</v>
      </c>
      <c r="R489" s="10">
        <f>+IF(Q489&gt;MAESTRO!$G$6,0,1)</f>
        <v>1</v>
      </c>
      <c r="S489">
        <f>+IF(P489&lt;MAESTRO!$G$8,0,1)</f>
        <v>1</v>
      </c>
      <c r="T489" s="10">
        <f t="shared" si="126"/>
        <v>2</v>
      </c>
      <c r="U489" t="str">
        <f>+IF(R489+S489=2,MAESTRO!$G$2,IF(R489+S489=0,MAESTRO!$G$5,IF(R489=0,MAESTRO!$G$3,IF(S489=0,MAESTRO!$G$4,))))</f>
        <v>cumple politica</v>
      </c>
    </row>
    <row r="490" spans="1:21" x14ac:dyDescent="0.3">
      <c r="A490" t="s">
        <v>137</v>
      </c>
      <c r="B490" t="s">
        <v>27</v>
      </c>
      <c r="C490" t="s">
        <v>63</v>
      </c>
      <c r="D490" t="s">
        <v>82</v>
      </c>
      <c r="E490" s="24">
        <f t="shared" si="120"/>
        <v>0</v>
      </c>
      <c r="F490" s="22">
        <f>-SUMIFS(CARGA!I:I,CARGA!B:B,tabla!A490,CARGA!D:D,tabla!C490,CARGA!C:C,MAESTRO!$B$4)-SUMIFS(CARGA!I:I,CARGA!B:B,tabla!A490,CARGA!D:D,tabla!C490,CARGA!C:C,MAESTRO!$B$5)</f>
        <v>0</v>
      </c>
      <c r="G490" s="5">
        <f>+SUMIFS(CARGA!I:I,CARGA!B:B,tabla!A490,CARGA!D:D,tabla!C490)</f>
        <v>0</v>
      </c>
      <c r="H490" s="5">
        <f>+SUMIFS(CARGA!K:K,CARGA!B:B,tabla!A490,CARGA!D:D,tabla!C490)</f>
        <v>0</v>
      </c>
      <c r="I490" s="5">
        <f t="shared" si="121"/>
        <v>0</v>
      </c>
      <c r="J490" s="5">
        <f>-SUMIFS(CARGA!K:K,CARGA!B:B,tabla!A490,CARGA!D:D,tabla!C490,CARGA!C:C,MAESTRO!$B$4)+SUMIFS(CARGA!K:K,CARGA!B:B,tabla!A490,CARGA!D:D,tabla!C490,CARGA!C:C,MAESTRO!$B$5)</f>
        <v>0</v>
      </c>
      <c r="K490" s="5" t="e">
        <f>+VLOOKUP(C490,#REF!,3,FALSE)</f>
        <v>#REF!</v>
      </c>
      <c r="L490" s="5" t="e">
        <f t="shared" si="122"/>
        <v>#REF!</v>
      </c>
      <c r="M490" s="5" t="e">
        <f t="shared" si="123"/>
        <v>#REF!</v>
      </c>
      <c r="N490" s="5" t="str">
        <f t="shared" si="124"/>
        <v>NO</v>
      </c>
      <c r="O490" s="5">
        <f>+VLOOKUP(C490,[2]Fondos!$F:$J,5,FALSE)</f>
        <v>14114977659</v>
      </c>
      <c r="P490" s="13">
        <f>+VLOOKUP(C490,[2]Fondos!$F:$K,6,FALSE)</f>
        <v>0.26056640000000003</v>
      </c>
      <c r="Q490" s="13">
        <f t="shared" si="125"/>
        <v>0</v>
      </c>
      <c r="R490" s="10">
        <f>+IF(Q490&gt;MAESTRO!$G$6,0,1)</f>
        <v>1</v>
      </c>
      <c r="S490">
        <f>+IF(P490&lt;MAESTRO!$G$8,0,1)</f>
        <v>1</v>
      </c>
      <c r="T490" s="10">
        <f t="shared" si="126"/>
        <v>2</v>
      </c>
      <c r="U490" t="str">
        <f>+IF(R490+S490=2,MAESTRO!$G$2,IF(R490+S490=0,MAESTRO!$G$5,IF(R490=0,MAESTRO!$G$3,IF(S490=0,MAESTRO!$G$4,))))</f>
        <v>cumple politica</v>
      </c>
    </row>
    <row r="491" spans="1:21" x14ac:dyDescent="0.3">
      <c r="A491" t="s">
        <v>137</v>
      </c>
      <c r="B491" t="s">
        <v>27</v>
      </c>
      <c r="C491" t="s">
        <v>47</v>
      </c>
      <c r="D491" t="s">
        <v>81</v>
      </c>
      <c r="E491" s="24">
        <f t="shared" si="120"/>
        <v>0</v>
      </c>
      <c r="F491" s="22">
        <f>-SUMIFS(CARGA!I:I,CARGA!B:B,tabla!A491,CARGA!D:D,tabla!C491,CARGA!C:C,MAESTRO!$B$4)-SUMIFS(CARGA!I:I,CARGA!B:B,tabla!A491,CARGA!D:D,tabla!C491,CARGA!C:C,MAESTRO!$B$5)</f>
        <v>0</v>
      </c>
      <c r="G491" s="5">
        <f>+SUMIFS(CARGA!I:I,CARGA!B:B,tabla!A491,CARGA!D:D,tabla!C491)</f>
        <v>0</v>
      </c>
      <c r="H491" s="5">
        <f>+SUMIFS(CARGA!K:K,CARGA!B:B,tabla!A491,CARGA!D:D,tabla!C491)</f>
        <v>0</v>
      </c>
      <c r="I491" s="5">
        <f t="shared" si="121"/>
        <v>0</v>
      </c>
      <c r="J491" s="5">
        <f>-SUMIFS(CARGA!K:K,CARGA!B:B,tabla!A491,CARGA!D:D,tabla!C491,CARGA!C:C,MAESTRO!$B$4)+SUMIFS(CARGA!K:K,CARGA!B:B,tabla!A491,CARGA!D:D,tabla!C491,CARGA!C:C,MAESTRO!$B$5)</f>
        <v>0</v>
      </c>
      <c r="K491" s="5" t="e">
        <f>+VLOOKUP(C491,#REF!,3,FALSE)</f>
        <v>#REF!</v>
      </c>
      <c r="L491" s="5" t="e">
        <f t="shared" si="122"/>
        <v>#REF!</v>
      </c>
      <c r="M491" s="5" t="e">
        <f t="shared" si="123"/>
        <v>#REF!</v>
      </c>
      <c r="N491" s="5" t="str">
        <f t="shared" si="124"/>
        <v>NO</v>
      </c>
      <c r="O491" s="5">
        <f>+VLOOKUP(C491,[2]Fondos!$F:$J,5,FALSE)</f>
        <v>1977335292</v>
      </c>
      <c r="P491" s="13">
        <f>+VLOOKUP(C491,[2]Fondos!$F:$K,6,FALSE)</f>
        <v>0.19354769999999999</v>
      </c>
      <c r="Q491" s="13">
        <f t="shared" si="125"/>
        <v>0</v>
      </c>
      <c r="R491" s="10">
        <f>+IF(Q491&gt;MAESTRO!$G$6,0,1)</f>
        <v>1</v>
      </c>
      <c r="S491">
        <f>+IF(P491&lt;MAESTRO!$G$8,0,1)</f>
        <v>1</v>
      </c>
      <c r="T491" s="10">
        <f t="shared" si="126"/>
        <v>2</v>
      </c>
      <c r="U491" t="str">
        <f>+IF(R491+S491=2,MAESTRO!$G$2,IF(R491+S491=0,MAESTRO!$G$5,IF(R491=0,MAESTRO!$G$3,IF(S491=0,MAESTRO!$G$4,))))</f>
        <v>cumple politica</v>
      </c>
    </row>
    <row r="492" spans="1:21" x14ac:dyDescent="0.3">
      <c r="A492" t="s">
        <v>137</v>
      </c>
      <c r="B492" t="s">
        <v>27</v>
      </c>
      <c r="C492" t="s">
        <v>42</v>
      </c>
      <c r="D492" t="s">
        <v>81</v>
      </c>
      <c r="E492" s="24">
        <f t="shared" si="120"/>
        <v>0</v>
      </c>
      <c r="F492" s="22">
        <f>-SUMIFS(CARGA!I:I,CARGA!B:B,tabla!A492,CARGA!D:D,tabla!C492,CARGA!C:C,MAESTRO!$B$4)-SUMIFS(CARGA!I:I,CARGA!B:B,tabla!A492,CARGA!D:D,tabla!C492,CARGA!C:C,MAESTRO!$B$5)</f>
        <v>0</v>
      </c>
      <c r="G492" s="5">
        <f>+SUMIFS(CARGA!I:I,CARGA!B:B,tabla!A492,CARGA!D:D,tabla!C492)</f>
        <v>0</v>
      </c>
      <c r="H492" s="5">
        <f>+SUMIFS(CARGA!K:K,CARGA!B:B,tabla!A492,CARGA!D:D,tabla!C492)</f>
        <v>0</v>
      </c>
      <c r="I492" s="5">
        <f t="shared" si="121"/>
        <v>0</v>
      </c>
      <c r="J492" s="5">
        <f>-SUMIFS(CARGA!K:K,CARGA!B:B,tabla!A492,CARGA!D:D,tabla!C492,CARGA!C:C,MAESTRO!$B$4)+SUMIFS(CARGA!K:K,CARGA!B:B,tabla!A492,CARGA!D:D,tabla!C492,CARGA!C:C,MAESTRO!$B$5)</f>
        <v>0</v>
      </c>
      <c r="K492" s="5" t="e">
        <f>+VLOOKUP(C492,#REF!,3,FALSE)</f>
        <v>#REF!</v>
      </c>
      <c r="L492" s="5" t="e">
        <f t="shared" si="122"/>
        <v>#REF!</v>
      </c>
      <c r="M492" s="5" t="e">
        <f t="shared" si="123"/>
        <v>#REF!</v>
      </c>
      <c r="N492" s="5" t="str">
        <f t="shared" si="124"/>
        <v>NO</v>
      </c>
      <c r="O492" s="5">
        <f>+VLOOKUP(C492,[2]Fondos!$F:$J,5,FALSE)</f>
        <v>2171371244</v>
      </c>
      <c r="P492" s="13">
        <f>+VLOOKUP(C492,[2]Fondos!$F:$K,6,FALSE)</f>
        <v>0.2113614</v>
      </c>
      <c r="Q492" s="13">
        <f t="shared" si="125"/>
        <v>0</v>
      </c>
      <c r="R492" s="10">
        <f>+IF(Q492&gt;MAESTRO!$G$6,0,1)</f>
        <v>1</v>
      </c>
      <c r="S492">
        <f>+IF(P492&lt;MAESTRO!$G$8,0,1)</f>
        <v>1</v>
      </c>
      <c r="T492" s="10">
        <f t="shared" si="126"/>
        <v>2</v>
      </c>
      <c r="U492" t="str">
        <f>+IF(R492+S492=2,MAESTRO!$G$2,IF(R492+S492=0,MAESTRO!$G$5,IF(R492=0,MAESTRO!$G$3,IF(S492=0,MAESTRO!$G$4,))))</f>
        <v>cumple politica</v>
      </c>
    </row>
    <row r="493" spans="1:21" x14ac:dyDescent="0.3">
      <c r="A493" t="s">
        <v>137</v>
      </c>
      <c r="B493" t="s">
        <v>27</v>
      </c>
      <c r="C493" t="s">
        <v>78</v>
      </c>
      <c r="D493" t="s">
        <v>82</v>
      </c>
      <c r="E493" s="24">
        <f t="shared" si="120"/>
        <v>0</v>
      </c>
      <c r="F493" s="22">
        <f>-SUMIFS(CARGA!I:I,CARGA!B:B,tabla!A493,CARGA!D:D,tabla!C493,CARGA!C:C,MAESTRO!$B$4)-SUMIFS(CARGA!I:I,CARGA!B:B,tabla!A493,CARGA!D:D,tabla!C493,CARGA!C:C,MAESTRO!$B$5)</f>
        <v>0</v>
      </c>
      <c r="G493" s="5">
        <f>+SUMIFS(CARGA!I:I,CARGA!B:B,tabla!A493,CARGA!D:D,tabla!C493)</f>
        <v>0</v>
      </c>
      <c r="H493" s="5">
        <f>+SUMIFS(CARGA!K:K,CARGA!B:B,tabla!A493,CARGA!D:D,tabla!C493)</f>
        <v>0</v>
      </c>
      <c r="I493" s="5">
        <f t="shared" si="121"/>
        <v>0</v>
      </c>
      <c r="J493" s="5">
        <f>-SUMIFS(CARGA!K:K,CARGA!B:B,tabla!A493,CARGA!D:D,tabla!C493,CARGA!C:C,MAESTRO!$B$4)+SUMIFS(CARGA!K:K,CARGA!B:B,tabla!A493,CARGA!D:D,tabla!C493,CARGA!C:C,MAESTRO!$B$5)</f>
        <v>0</v>
      </c>
      <c r="K493" s="5" t="e">
        <f>+VLOOKUP(C493,#REF!,3,FALSE)</f>
        <v>#REF!</v>
      </c>
      <c r="L493" s="5" t="e">
        <f t="shared" si="122"/>
        <v>#REF!</v>
      </c>
      <c r="M493" s="5" t="e">
        <f t="shared" si="123"/>
        <v>#REF!</v>
      </c>
      <c r="N493" s="5" t="str">
        <f t="shared" si="124"/>
        <v>NO</v>
      </c>
      <c r="O493" s="5">
        <f>+VLOOKUP(C493,[2]Fondos!$F:$J,5,FALSE)</f>
        <v>234619684</v>
      </c>
      <c r="P493" s="13">
        <f>+VLOOKUP(C493,[2]Fondos!$F:$K,6,FALSE)</f>
        <v>0.26737729999999998</v>
      </c>
      <c r="Q493" s="13">
        <f t="shared" si="125"/>
        <v>0</v>
      </c>
      <c r="R493" s="10">
        <f>+IF(Q493&gt;MAESTRO!$G$6,0,1)</f>
        <v>1</v>
      </c>
      <c r="S493">
        <f>+IF(P493&lt;MAESTRO!$G$8,0,1)</f>
        <v>1</v>
      </c>
      <c r="T493" s="10">
        <f t="shared" si="126"/>
        <v>2</v>
      </c>
      <c r="U493" t="str">
        <f>+IF(R493+S493=2,MAESTRO!$G$2,IF(R493+S493=0,MAESTRO!$G$5,IF(R493=0,MAESTRO!$G$3,IF(S493=0,MAESTRO!$G$4,))))</f>
        <v>cumple politica</v>
      </c>
    </row>
    <row r="494" spans="1:21" x14ac:dyDescent="0.3">
      <c r="A494" t="s">
        <v>137</v>
      </c>
      <c r="B494" t="s">
        <v>109</v>
      </c>
      <c r="C494" t="s">
        <v>75</v>
      </c>
      <c r="D494" t="s">
        <v>82</v>
      </c>
      <c r="E494" s="24">
        <f t="shared" si="120"/>
        <v>0</v>
      </c>
      <c r="F494" s="22">
        <f>-SUMIFS(CARGA!I:I,CARGA!B:B,tabla!A494,CARGA!D:D,tabla!C494,CARGA!C:C,MAESTRO!$B$4)-SUMIFS(CARGA!I:I,CARGA!B:B,tabla!A494,CARGA!D:D,tabla!C494,CARGA!C:C,MAESTRO!$B$5)</f>
        <v>0</v>
      </c>
      <c r="G494" s="5">
        <f>+SUMIFS(CARGA!I:I,CARGA!B:B,tabla!A494,CARGA!D:D,tabla!C494)</f>
        <v>0</v>
      </c>
      <c r="H494" s="5">
        <f>+SUMIFS(CARGA!K:K,CARGA!B:B,tabla!A494,CARGA!D:D,tabla!C494)</f>
        <v>0</v>
      </c>
      <c r="I494" s="5">
        <f t="shared" si="121"/>
        <v>0</v>
      </c>
      <c r="J494" s="5">
        <f>-SUMIFS(CARGA!K:K,CARGA!B:B,tabla!A494,CARGA!D:D,tabla!C494,CARGA!C:C,MAESTRO!$B$4)+SUMIFS(CARGA!K:K,CARGA!B:B,tabla!A494,CARGA!D:D,tabla!C494,CARGA!C:C,MAESTRO!$B$5)</f>
        <v>0</v>
      </c>
      <c r="K494" s="5" t="e">
        <f>+VLOOKUP(C494,#REF!,3,FALSE)</f>
        <v>#REF!</v>
      </c>
      <c r="L494" s="5" t="e">
        <f t="shared" si="122"/>
        <v>#REF!</v>
      </c>
      <c r="M494" s="5" t="e">
        <f t="shared" si="123"/>
        <v>#REF!</v>
      </c>
      <c r="N494" s="5" t="str">
        <f t="shared" si="124"/>
        <v>NO</v>
      </c>
      <c r="O494" s="5">
        <f>+VLOOKUP(C494,[2]Fondos!$F:$J,5,FALSE)</f>
        <v>1696672499</v>
      </c>
      <c r="P494" s="13">
        <f>+VLOOKUP(C494,[2]Fondos!$F:$K,6,FALSE)</f>
        <v>0.24191749999999998</v>
      </c>
      <c r="Q494" s="13">
        <f t="shared" si="125"/>
        <v>0</v>
      </c>
      <c r="R494" s="10">
        <f>+IF(Q494&gt;MAESTRO!$G$6,0,1)</f>
        <v>1</v>
      </c>
      <c r="S494">
        <f>+IF(P494&lt;MAESTRO!$G$8,0,1)</f>
        <v>1</v>
      </c>
      <c r="T494" s="10">
        <f t="shared" si="126"/>
        <v>2</v>
      </c>
      <c r="U494" t="str">
        <f>+IF(R494+S494=2,MAESTRO!$G$2,IF(R494+S494=0,MAESTRO!$G$5,IF(R494=0,MAESTRO!$G$3,IF(S494=0,MAESTRO!$G$4,))))</f>
        <v>cumple politica</v>
      </c>
    </row>
    <row r="495" spans="1:21" x14ac:dyDescent="0.3">
      <c r="A495" t="s">
        <v>137</v>
      </c>
      <c r="B495" s="20" t="s">
        <v>35</v>
      </c>
      <c r="C495" s="20" t="s">
        <v>75</v>
      </c>
      <c r="D495" s="20" t="s">
        <v>83</v>
      </c>
      <c r="E495" s="24">
        <f t="shared" si="120"/>
        <v>0</v>
      </c>
      <c r="F495" s="22">
        <f>-SUMIFS(CARGA!I:I,CARGA!B:B,tabla!A495,CARGA!D:D,tabla!C495,CARGA!C:C,MAESTRO!$B$4)-SUMIFS(CARGA!I:I,CARGA!B:B,tabla!A495,CARGA!D:D,tabla!C495,CARGA!C:C,MAESTRO!$B$5)</f>
        <v>0</v>
      </c>
      <c r="G495" s="5">
        <f>+SUMIFS(CARGA!I:I,CARGA!B:B,tabla!A495,CARGA!D:D,tabla!C495)</f>
        <v>0</v>
      </c>
      <c r="H495" s="5">
        <f>+SUMIFS(CARGA!K:K,CARGA!B:B,tabla!A495,CARGA!D:D,tabla!C495)</f>
        <v>0</v>
      </c>
      <c r="I495" s="5">
        <f t="shared" si="121"/>
        <v>0</v>
      </c>
      <c r="J495" s="5">
        <f>-SUMIFS(CARGA!K:K,CARGA!B:B,tabla!A495,CARGA!D:D,tabla!C495,CARGA!C:C,MAESTRO!$B$4)+SUMIFS(CARGA!K:K,CARGA!B:B,tabla!A495,CARGA!D:D,tabla!C495,CARGA!C:C,MAESTRO!$B$5)</f>
        <v>0</v>
      </c>
      <c r="K495" s="5" t="e">
        <f>+VLOOKUP(C495,#REF!,3,FALSE)</f>
        <v>#REF!</v>
      </c>
      <c r="L495" s="5" t="e">
        <f t="shared" si="122"/>
        <v>#REF!</v>
      </c>
      <c r="M495" s="5" t="e">
        <f t="shared" si="123"/>
        <v>#REF!</v>
      </c>
      <c r="N495" s="5" t="str">
        <f t="shared" si="124"/>
        <v>NO</v>
      </c>
      <c r="O495" s="5">
        <f>+VLOOKUP(C495,[2]Fondos!$F:$J,5,FALSE)</f>
        <v>1696672499</v>
      </c>
      <c r="P495" s="13">
        <f>+VLOOKUP(C495,[2]Fondos!$F:$K,6,FALSE)</f>
        <v>0.24191749999999998</v>
      </c>
      <c r="Q495" s="13">
        <f t="shared" si="125"/>
        <v>0</v>
      </c>
      <c r="R495" s="10">
        <f>+IF(Q495&gt;MAESTRO!$G$6,0,1)</f>
        <v>1</v>
      </c>
      <c r="S495">
        <f>+IF(P495&lt;MAESTRO!$G$8,0,1)</f>
        <v>1</v>
      </c>
      <c r="T495" s="10">
        <f t="shared" si="126"/>
        <v>2</v>
      </c>
      <c r="U495" t="str">
        <f>+IF(R495+S495=2,MAESTRO!$G$2,IF(R495+S495=0,MAESTRO!$G$5,IF(R495=0,MAESTRO!$G$3,IF(S495=0,MAESTRO!$G$4,))))</f>
        <v>cumple politica</v>
      </c>
    </row>
    <row r="496" spans="1:21" x14ac:dyDescent="0.3">
      <c r="A496" t="s">
        <v>137</v>
      </c>
      <c r="B496" t="s">
        <v>109</v>
      </c>
      <c r="C496" t="s">
        <v>76</v>
      </c>
      <c r="D496" t="s">
        <v>82</v>
      </c>
      <c r="E496" s="24">
        <f t="shared" si="120"/>
        <v>0</v>
      </c>
      <c r="F496" s="22">
        <f>-SUMIFS(CARGA!I:I,CARGA!B:B,tabla!A496,CARGA!D:D,tabla!C496,CARGA!C:C,MAESTRO!$B$4)-SUMIFS(CARGA!I:I,CARGA!B:B,tabla!A496,CARGA!D:D,tabla!C496,CARGA!C:C,MAESTRO!$B$5)</f>
        <v>0</v>
      </c>
      <c r="G496" s="5">
        <f>+SUMIFS(CARGA!I:I,CARGA!B:B,tabla!A496,CARGA!D:D,tabla!C496)</f>
        <v>0</v>
      </c>
      <c r="H496" s="5">
        <f>+SUMIFS(CARGA!K:K,CARGA!B:B,tabla!A496,CARGA!D:D,tabla!C496)</f>
        <v>0</v>
      </c>
      <c r="I496" s="5">
        <f t="shared" si="121"/>
        <v>0</v>
      </c>
      <c r="J496" s="5">
        <f>-SUMIFS(CARGA!K:K,CARGA!B:B,tabla!A496,CARGA!D:D,tabla!C496,CARGA!C:C,MAESTRO!$B$4)+SUMIFS(CARGA!K:K,CARGA!B:B,tabla!A496,CARGA!D:D,tabla!C496,CARGA!C:C,MAESTRO!$B$5)</f>
        <v>0</v>
      </c>
      <c r="K496" s="5" t="e">
        <f>+VLOOKUP(C496,#REF!,3,FALSE)</f>
        <v>#REF!</v>
      </c>
      <c r="L496" s="5" t="e">
        <f t="shared" si="122"/>
        <v>#REF!</v>
      </c>
      <c r="M496" s="5" t="e">
        <f t="shared" si="123"/>
        <v>#REF!</v>
      </c>
      <c r="N496" s="5" t="str">
        <f t="shared" si="124"/>
        <v>NO</v>
      </c>
      <c r="O496" s="5">
        <f>+VLOOKUP(C496,[2]Fondos!$F:$J,5,FALSE)</f>
        <v>3357048174</v>
      </c>
      <c r="P496" s="13">
        <f>+VLOOKUP(C496,[2]Fondos!$F:$K,6,FALSE)</f>
        <v>0.25849470000000002</v>
      </c>
      <c r="Q496" s="13">
        <f t="shared" si="125"/>
        <v>0</v>
      </c>
      <c r="R496" s="10">
        <f>+IF(Q496&gt;MAESTRO!$G$6,0,1)</f>
        <v>1</v>
      </c>
      <c r="S496">
        <f>+IF(P496&lt;MAESTRO!$G$8,0,1)</f>
        <v>1</v>
      </c>
      <c r="T496" s="10">
        <f t="shared" si="126"/>
        <v>2</v>
      </c>
      <c r="U496" t="str">
        <f>+IF(R496+S496=2,MAESTRO!$G$2,IF(R496+S496=0,MAESTRO!$G$5,IF(R496=0,MAESTRO!$G$3,IF(S496=0,MAESTRO!$G$4,))))</f>
        <v>cumple politica</v>
      </c>
    </row>
    <row r="497" spans="1:21" x14ac:dyDescent="0.3">
      <c r="A497" t="s">
        <v>137</v>
      </c>
      <c r="B497" s="20" t="s">
        <v>35</v>
      </c>
      <c r="C497" s="20" t="s">
        <v>76</v>
      </c>
      <c r="D497" s="20" t="s">
        <v>83</v>
      </c>
      <c r="E497" s="24">
        <f t="shared" si="120"/>
        <v>0</v>
      </c>
      <c r="F497" s="22">
        <f>-SUMIFS(CARGA!I:I,CARGA!B:B,tabla!A497,CARGA!D:D,tabla!C497,CARGA!C:C,MAESTRO!$B$4)-SUMIFS(CARGA!I:I,CARGA!B:B,tabla!A497,CARGA!D:D,tabla!C497,CARGA!C:C,MAESTRO!$B$5)</f>
        <v>0</v>
      </c>
      <c r="G497" s="5">
        <f>+SUMIFS(CARGA!I:I,CARGA!B:B,tabla!A497,CARGA!D:D,tabla!C497)</f>
        <v>0</v>
      </c>
      <c r="H497" s="5">
        <f>+SUMIFS(CARGA!K:K,CARGA!B:B,tabla!A497,CARGA!D:D,tabla!C497)</f>
        <v>0</v>
      </c>
      <c r="I497" s="5">
        <f t="shared" si="121"/>
        <v>0</v>
      </c>
      <c r="J497" s="5">
        <f>-SUMIFS(CARGA!K:K,CARGA!B:B,tabla!A497,CARGA!D:D,tabla!C497,CARGA!C:C,MAESTRO!$B$4)+SUMIFS(CARGA!K:K,CARGA!B:B,tabla!A497,CARGA!D:D,tabla!C497,CARGA!C:C,MAESTRO!$B$5)</f>
        <v>0</v>
      </c>
      <c r="K497" s="5" t="e">
        <f>+VLOOKUP(C497,#REF!,3,FALSE)</f>
        <v>#REF!</v>
      </c>
      <c r="L497" s="5" t="e">
        <f t="shared" si="122"/>
        <v>#REF!</v>
      </c>
      <c r="M497" s="5" t="e">
        <f t="shared" si="123"/>
        <v>#REF!</v>
      </c>
      <c r="N497" s="5" t="str">
        <f t="shared" si="124"/>
        <v>NO</v>
      </c>
      <c r="O497" s="5">
        <f>+VLOOKUP(C497,[2]Fondos!$F:$J,5,FALSE)</f>
        <v>3357048174</v>
      </c>
      <c r="P497" s="13">
        <f>+VLOOKUP(C497,[2]Fondos!$F:$K,6,FALSE)</f>
        <v>0.25849470000000002</v>
      </c>
      <c r="Q497" s="13">
        <f t="shared" si="125"/>
        <v>0</v>
      </c>
      <c r="R497" s="10">
        <f>+IF(Q497&gt;MAESTRO!$G$6,0,1)</f>
        <v>1</v>
      </c>
      <c r="S497">
        <f>+IF(P497&lt;MAESTRO!$G$8,0,1)</f>
        <v>1</v>
      </c>
      <c r="T497" s="10">
        <f t="shared" si="126"/>
        <v>2</v>
      </c>
      <c r="U497" t="str">
        <f>+IF(R497+S497=2,MAESTRO!$G$2,IF(R497+S497=0,MAESTRO!$G$5,IF(R497=0,MAESTRO!$G$3,IF(S497=0,MAESTRO!$G$4,))))</f>
        <v>cumple politica</v>
      </c>
    </row>
    <row r="498" spans="1:21" x14ac:dyDescent="0.3">
      <c r="A498" t="s">
        <v>137</v>
      </c>
      <c r="B498" t="s">
        <v>25</v>
      </c>
      <c r="C498" t="s">
        <v>59</v>
      </c>
      <c r="D498" t="s">
        <v>82</v>
      </c>
      <c r="E498" s="24">
        <f t="shared" si="120"/>
        <v>0</v>
      </c>
      <c r="F498" s="22">
        <f>-SUMIFS(CARGA!I:I,CARGA!B:B,tabla!A498,CARGA!D:D,tabla!C498,CARGA!C:C,MAESTRO!$B$4)-SUMIFS(CARGA!I:I,CARGA!B:B,tabla!A498,CARGA!D:D,tabla!C498,CARGA!C:C,MAESTRO!$B$5)</f>
        <v>0</v>
      </c>
      <c r="G498" s="5">
        <f>+SUMIFS(CARGA!I:I,CARGA!B:B,tabla!A498,CARGA!D:D,tabla!C498)</f>
        <v>0</v>
      </c>
      <c r="H498" s="5">
        <f>+SUMIFS(CARGA!K:K,CARGA!B:B,tabla!A498,CARGA!D:D,tabla!C498)</f>
        <v>0</v>
      </c>
      <c r="I498" s="5">
        <f t="shared" si="121"/>
        <v>0</v>
      </c>
      <c r="J498" s="5">
        <f>-SUMIFS(CARGA!K:K,CARGA!B:B,tabla!A498,CARGA!D:D,tabla!C498,CARGA!C:C,MAESTRO!$B$4)+SUMIFS(CARGA!K:K,CARGA!B:B,tabla!A498,CARGA!D:D,tabla!C498,CARGA!C:C,MAESTRO!$B$5)</f>
        <v>0</v>
      </c>
      <c r="K498" s="5" t="e">
        <f>+VLOOKUP(C498,#REF!,3,FALSE)</f>
        <v>#REF!</v>
      </c>
      <c r="L498" s="5" t="e">
        <f t="shared" si="122"/>
        <v>#REF!</v>
      </c>
      <c r="M498" s="5" t="e">
        <f t="shared" si="123"/>
        <v>#REF!</v>
      </c>
      <c r="N498" s="5" t="str">
        <f t="shared" si="124"/>
        <v>NO</v>
      </c>
      <c r="O498" s="5">
        <f>+VLOOKUP(C498,[2]Fondos!$F:$J,5,FALSE)</f>
        <v>15268657582.66</v>
      </c>
      <c r="P498" s="13">
        <f>+VLOOKUP(C498,[2]Fondos!$F:$K,6,FALSE)</f>
        <v>0.26679839999999999</v>
      </c>
      <c r="Q498" s="13">
        <f t="shared" si="125"/>
        <v>0</v>
      </c>
      <c r="R498" s="10">
        <f>+IF(Q498&gt;MAESTRO!$G$6,0,1)</f>
        <v>1</v>
      </c>
      <c r="S498">
        <f>+IF(P498&lt;MAESTRO!$G$8,0,1)</f>
        <v>1</v>
      </c>
      <c r="T498" s="10">
        <f t="shared" si="126"/>
        <v>2</v>
      </c>
      <c r="U498" t="str">
        <f>+IF(R498+S498=2,MAESTRO!$G$2,IF(R498+S498=0,MAESTRO!$G$5,IF(R498=0,MAESTRO!$G$3,IF(S498=0,MAESTRO!$G$4,))))</f>
        <v>cumple politica</v>
      </c>
    </row>
    <row r="499" spans="1:21" x14ac:dyDescent="0.3">
      <c r="A499" t="s">
        <v>137</v>
      </c>
      <c r="B499" t="s">
        <v>25</v>
      </c>
      <c r="C499" t="s">
        <v>40</v>
      </c>
      <c r="D499" t="s">
        <v>81</v>
      </c>
      <c r="E499" s="24">
        <f t="shared" si="120"/>
        <v>0</v>
      </c>
      <c r="F499" s="22">
        <f>-SUMIFS(CARGA!I:I,CARGA!B:B,tabla!A499,CARGA!D:D,tabla!C499,CARGA!C:C,MAESTRO!$B$4)-SUMIFS(CARGA!I:I,CARGA!B:B,tabla!A499,CARGA!D:D,tabla!C499,CARGA!C:C,MAESTRO!$B$5)</f>
        <v>0</v>
      </c>
      <c r="G499" s="5">
        <f>+SUMIFS(CARGA!I:I,CARGA!B:B,tabla!A499,CARGA!D:D,tabla!C499)</f>
        <v>0</v>
      </c>
      <c r="H499" s="5">
        <f>+SUMIFS(CARGA!K:K,CARGA!B:B,tabla!A499,CARGA!D:D,tabla!C499)</f>
        <v>0</v>
      </c>
      <c r="I499" s="5">
        <f t="shared" si="121"/>
        <v>0</v>
      </c>
      <c r="J499" s="5">
        <f>-SUMIFS(CARGA!K:K,CARGA!B:B,tabla!A499,CARGA!D:D,tabla!C499,CARGA!C:C,MAESTRO!$B$4)+SUMIFS(CARGA!K:K,CARGA!B:B,tabla!A499,CARGA!D:D,tabla!C499,CARGA!C:C,MAESTRO!$B$5)</f>
        <v>0</v>
      </c>
      <c r="K499" s="5" t="e">
        <f>+VLOOKUP(C499,#REF!,3,FALSE)</f>
        <v>#REF!</v>
      </c>
      <c r="L499" s="5" t="e">
        <f t="shared" si="122"/>
        <v>#REF!</v>
      </c>
      <c r="M499" s="5" t="e">
        <f t="shared" si="123"/>
        <v>#REF!</v>
      </c>
      <c r="N499" s="5" t="str">
        <f t="shared" si="124"/>
        <v>NO</v>
      </c>
      <c r="O499" s="5">
        <f>+VLOOKUP(C499,[2]Fondos!$F:$J,5,FALSE)</f>
        <v>4231508416.6700001</v>
      </c>
      <c r="P499" s="13">
        <f>+VLOOKUP(C499,[2]Fondos!$F:$K,6,FALSE)</f>
        <v>0.21473639999999999</v>
      </c>
      <c r="Q499" s="13">
        <f t="shared" si="125"/>
        <v>0</v>
      </c>
      <c r="R499" s="10">
        <f>+IF(Q499&gt;MAESTRO!$G$6,0,1)</f>
        <v>1</v>
      </c>
      <c r="S499">
        <f>+IF(P499&lt;MAESTRO!$G$8,0,1)</f>
        <v>1</v>
      </c>
      <c r="T499" s="10">
        <f t="shared" si="126"/>
        <v>2</v>
      </c>
      <c r="U499" t="str">
        <f>+IF(R499+S499=2,MAESTRO!$G$2,IF(R499+S499=0,MAESTRO!$G$5,IF(R499=0,MAESTRO!$G$3,IF(S499=0,MAESTRO!$G$4,))))</f>
        <v>cumple politica</v>
      </c>
    </row>
    <row r="500" spans="1:21" x14ac:dyDescent="0.3">
      <c r="A500" t="s">
        <v>137</v>
      </c>
      <c r="B500" t="s">
        <v>25</v>
      </c>
      <c r="C500" t="s">
        <v>79</v>
      </c>
      <c r="D500" t="s">
        <v>82</v>
      </c>
      <c r="E500" s="24">
        <f t="shared" si="120"/>
        <v>0</v>
      </c>
      <c r="F500" s="22">
        <f>-SUMIFS(CARGA!I:I,CARGA!B:B,tabla!A500,CARGA!D:D,tabla!C500,CARGA!C:C,MAESTRO!$B$4)-SUMIFS(CARGA!I:I,CARGA!B:B,tabla!A500,CARGA!D:D,tabla!C500,CARGA!C:C,MAESTRO!$B$5)</f>
        <v>0</v>
      </c>
      <c r="G500" s="5">
        <f>+SUMIFS(CARGA!I:I,CARGA!B:B,tabla!A500,CARGA!D:D,tabla!C500)</f>
        <v>0</v>
      </c>
      <c r="H500" s="5">
        <f>+SUMIFS(CARGA!K:K,CARGA!B:B,tabla!A500,CARGA!D:D,tabla!C500)</f>
        <v>0</v>
      </c>
      <c r="I500" s="5">
        <f t="shared" si="121"/>
        <v>0</v>
      </c>
      <c r="J500" s="5">
        <f>-SUMIFS(CARGA!K:K,CARGA!B:B,tabla!A500,CARGA!D:D,tabla!C500,CARGA!C:C,MAESTRO!$B$4)+SUMIFS(CARGA!K:K,CARGA!B:B,tabla!A500,CARGA!D:D,tabla!C500,CARGA!C:C,MAESTRO!$B$5)</f>
        <v>0</v>
      </c>
      <c r="K500" s="5" t="e">
        <f>+VLOOKUP(C500,#REF!,3,FALSE)</f>
        <v>#REF!</v>
      </c>
      <c r="L500" s="5" t="e">
        <f t="shared" si="122"/>
        <v>#REF!</v>
      </c>
      <c r="M500" s="5" t="e">
        <f t="shared" si="123"/>
        <v>#REF!</v>
      </c>
      <c r="N500" s="5" t="str">
        <f t="shared" si="124"/>
        <v>NO</v>
      </c>
      <c r="O500" s="5">
        <f>+VLOOKUP(C500,[2]Fondos!$F:$J,5,FALSE)</f>
        <v>415179361.94999999</v>
      </c>
      <c r="P500" s="13">
        <f>+VLOOKUP(C500,[2]Fondos!$F:$K,6,FALSE)</f>
        <v>0.20571149999999999</v>
      </c>
      <c r="Q500" s="13">
        <f t="shared" si="125"/>
        <v>0</v>
      </c>
      <c r="R500" s="10">
        <f>+IF(Q500&gt;MAESTRO!$G$6,0,1)</f>
        <v>1</v>
      </c>
      <c r="S500">
        <f>+IF(P500&lt;MAESTRO!$G$8,0,1)</f>
        <v>1</v>
      </c>
      <c r="T500" s="10">
        <f t="shared" si="126"/>
        <v>2</v>
      </c>
      <c r="U500" t="str">
        <f>+IF(R500+S500=2,MAESTRO!$G$2,IF(R500+S500=0,MAESTRO!$G$5,IF(R500=0,MAESTRO!$G$3,IF(S500=0,MAESTRO!$G$4,))))</f>
        <v>cumple politica</v>
      </c>
    </row>
    <row r="501" spans="1:21" x14ac:dyDescent="0.3">
      <c r="A501" t="s">
        <v>137</v>
      </c>
      <c r="B501" t="s">
        <v>26</v>
      </c>
      <c r="C501" t="s">
        <v>61</v>
      </c>
      <c r="D501" t="s">
        <v>82</v>
      </c>
      <c r="E501" s="24">
        <f t="shared" si="120"/>
        <v>0</v>
      </c>
      <c r="F501" s="22">
        <f>-SUMIFS(CARGA!I:I,CARGA!B:B,tabla!A501,CARGA!D:D,tabla!C501,CARGA!C:C,MAESTRO!$B$4)-SUMIFS(CARGA!I:I,CARGA!B:B,tabla!A501,CARGA!D:D,tabla!C501,CARGA!C:C,MAESTRO!$B$5)</f>
        <v>0</v>
      </c>
      <c r="G501" s="5">
        <f>+SUMIFS(CARGA!I:I,CARGA!B:B,tabla!A501,CARGA!D:D,tabla!C501)</f>
        <v>0</v>
      </c>
      <c r="H501" s="5">
        <f>+SUMIFS(CARGA!K:K,CARGA!B:B,tabla!A501,CARGA!D:D,tabla!C501)</f>
        <v>0</v>
      </c>
      <c r="I501" s="5">
        <f t="shared" si="121"/>
        <v>0</v>
      </c>
      <c r="J501" s="5">
        <f>-SUMIFS(CARGA!K:K,CARGA!B:B,tabla!A501,CARGA!D:D,tabla!C501,CARGA!C:C,MAESTRO!$B$4)+SUMIFS(CARGA!K:K,CARGA!B:B,tabla!A501,CARGA!D:D,tabla!C501,CARGA!C:C,MAESTRO!$B$5)</f>
        <v>0</v>
      </c>
      <c r="K501" s="5" t="e">
        <f>+VLOOKUP(C501,#REF!,3,FALSE)</f>
        <v>#REF!</v>
      </c>
      <c r="L501" s="5" t="e">
        <f t="shared" si="122"/>
        <v>#REF!</v>
      </c>
      <c r="M501" s="5" t="e">
        <f t="shared" si="123"/>
        <v>#REF!</v>
      </c>
      <c r="N501" s="5" t="str">
        <f t="shared" si="124"/>
        <v>NO</v>
      </c>
      <c r="O501" s="5">
        <f>+VLOOKUP(C501,[2]Fondos!$F:$J,5,FALSE)</f>
        <v>25454891426</v>
      </c>
      <c r="P501" s="13">
        <f>+VLOOKUP(C501,[2]Fondos!$F:$K,6,FALSE)</f>
        <v>0.26389279999999998</v>
      </c>
      <c r="Q501" s="13">
        <f t="shared" si="125"/>
        <v>0</v>
      </c>
      <c r="R501" s="10">
        <f>+IF(Q501&gt;MAESTRO!$G$6,0,1)</f>
        <v>1</v>
      </c>
      <c r="S501">
        <f>+IF(P501&lt;MAESTRO!$G$8,0,1)</f>
        <v>1</v>
      </c>
      <c r="T501" s="10">
        <f t="shared" si="126"/>
        <v>2</v>
      </c>
      <c r="U501" t="str">
        <f>+IF(R501+S501=2,MAESTRO!$G$2,IF(R501+S501=0,MAESTRO!$G$5,IF(R501=0,MAESTRO!$G$3,IF(S501=0,MAESTRO!$G$4,))))</f>
        <v>cumple politica</v>
      </c>
    </row>
    <row r="502" spans="1:21" x14ac:dyDescent="0.3">
      <c r="A502" t="s">
        <v>137</v>
      </c>
      <c r="B502" t="s">
        <v>26</v>
      </c>
      <c r="C502" t="s">
        <v>58</v>
      </c>
      <c r="D502" t="s">
        <v>82</v>
      </c>
      <c r="E502" s="24">
        <f t="shared" si="120"/>
        <v>0</v>
      </c>
      <c r="F502" s="22">
        <f>-SUMIFS(CARGA!I:I,CARGA!B:B,tabla!A502,CARGA!D:D,tabla!C502,CARGA!C:C,MAESTRO!$B$4)-SUMIFS(CARGA!I:I,CARGA!B:B,tabla!A502,CARGA!D:D,tabla!C502,CARGA!C:C,MAESTRO!$B$5)</f>
        <v>0</v>
      </c>
      <c r="G502" s="5">
        <f>+SUMIFS(CARGA!I:I,CARGA!B:B,tabla!A502,CARGA!D:D,tabla!C502)</f>
        <v>0</v>
      </c>
      <c r="H502" s="5">
        <f>+SUMIFS(CARGA!K:K,CARGA!B:B,tabla!A502,CARGA!D:D,tabla!C502)</f>
        <v>0</v>
      </c>
      <c r="I502" s="5">
        <f t="shared" si="121"/>
        <v>0</v>
      </c>
      <c r="J502" s="5">
        <f>-SUMIFS(CARGA!K:K,CARGA!B:B,tabla!A502,CARGA!D:D,tabla!C502,CARGA!C:C,MAESTRO!$B$4)+SUMIFS(CARGA!K:K,CARGA!B:B,tabla!A502,CARGA!D:D,tabla!C502,CARGA!C:C,MAESTRO!$B$5)</f>
        <v>0</v>
      </c>
      <c r="K502" s="5" t="e">
        <f>+VLOOKUP(C502,#REF!,3,FALSE)</f>
        <v>#REF!</v>
      </c>
      <c r="L502" s="5" t="e">
        <f t="shared" si="122"/>
        <v>#REF!</v>
      </c>
      <c r="M502" s="5" t="e">
        <f t="shared" si="123"/>
        <v>#REF!</v>
      </c>
      <c r="N502" s="5" t="str">
        <f t="shared" si="124"/>
        <v>NO</v>
      </c>
      <c r="O502" s="5">
        <f>+VLOOKUP(C502,[2]Fondos!$F:$J,5,FALSE)</f>
        <v>25454891426</v>
      </c>
      <c r="P502" s="13">
        <f>+VLOOKUP(C502,[2]Fondos!$F:$K,6,FALSE)</f>
        <v>0.26686179999999998</v>
      </c>
      <c r="Q502" s="13">
        <f t="shared" si="125"/>
        <v>0</v>
      </c>
      <c r="R502" s="10">
        <f>+IF(Q502&gt;MAESTRO!$G$6,0,1)</f>
        <v>1</v>
      </c>
      <c r="S502">
        <f>+IF(P502&lt;MAESTRO!$G$8,0,1)</f>
        <v>1</v>
      </c>
      <c r="T502" s="10">
        <f t="shared" si="126"/>
        <v>2</v>
      </c>
      <c r="U502" t="str">
        <f>+IF(R502+S502=2,MAESTRO!$G$2,IF(R502+S502=0,MAESTRO!$G$5,IF(R502=0,MAESTRO!$G$3,IF(S502=0,MAESTRO!$G$4,))))</f>
        <v>cumple politica</v>
      </c>
    </row>
    <row r="503" spans="1:21" x14ac:dyDescent="0.3">
      <c r="A503" t="s">
        <v>137</v>
      </c>
      <c r="B503" t="s">
        <v>26</v>
      </c>
      <c r="C503" t="s">
        <v>56</v>
      </c>
      <c r="D503" t="s">
        <v>82</v>
      </c>
      <c r="E503" s="24">
        <f t="shared" si="120"/>
        <v>0</v>
      </c>
      <c r="F503" s="22">
        <f>-SUMIFS(CARGA!I:I,CARGA!B:B,tabla!A503,CARGA!D:D,tabla!C503,CARGA!C:C,MAESTRO!$B$4)-SUMIFS(CARGA!I:I,CARGA!B:B,tabla!A503,CARGA!D:D,tabla!C503,CARGA!C:C,MAESTRO!$B$5)</f>
        <v>0</v>
      </c>
      <c r="G503" s="5">
        <f>+SUMIFS(CARGA!I:I,CARGA!B:B,tabla!A503,CARGA!D:D,tabla!C503)</f>
        <v>0</v>
      </c>
      <c r="H503" s="5">
        <f>+SUMIFS(CARGA!K:K,CARGA!B:B,tabla!A503,CARGA!D:D,tabla!C503)</f>
        <v>0</v>
      </c>
      <c r="I503" s="5">
        <f t="shared" si="121"/>
        <v>0</v>
      </c>
      <c r="J503" s="5">
        <f>-SUMIFS(CARGA!K:K,CARGA!B:B,tabla!A503,CARGA!D:D,tabla!C503,CARGA!C:C,MAESTRO!$B$4)+SUMIFS(CARGA!K:K,CARGA!B:B,tabla!A503,CARGA!D:D,tabla!C503,CARGA!C:C,MAESTRO!$B$5)</f>
        <v>0</v>
      </c>
      <c r="K503" s="5" t="e">
        <f>+VLOOKUP(C503,#REF!,3,FALSE)</f>
        <v>#REF!</v>
      </c>
      <c r="L503" s="5" t="e">
        <f t="shared" si="122"/>
        <v>#REF!</v>
      </c>
      <c r="M503" s="5" t="e">
        <f t="shared" si="123"/>
        <v>#REF!</v>
      </c>
      <c r="N503" s="5" t="str">
        <f t="shared" si="124"/>
        <v>NO</v>
      </c>
      <c r="O503" s="5">
        <f>+VLOOKUP(C503,[2]Fondos!$F:$J,5,FALSE)</f>
        <v>25454891426</v>
      </c>
      <c r="P503" s="13">
        <f>+VLOOKUP(C503,[2]Fondos!$F:$K,6,FALSE)</f>
        <v>0.27078930000000001</v>
      </c>
      <c r="Q503" s="13">
        <f t="shared" si="125"/>
        <v>0</v>
      </c>
      <c r="R503" s="10">
        <f>+IF(Q503&gt;MAESTRO!$G$6,0,1)</f>
        <v>1</v>
      </c>
      <c r="S503">
        <f>+IF(P503&lt;MAESTRO!$G$8,0,1)</f>
        <v>1</v>
      </c>
      <c r="T503" s="10">
        <f t="shared" si="126"/>
        <v>2</v>
      </c>
      <c r="U503" t="str">
        <f>+IF(R503+S503=2,MAESTRO!$G$2,IF(R503+S503=0,MAESTRO!$G$5,IF(R503=0,MAESTRO!$G$3,IF(S503=0,MAESTRO!$G$4,))))</f>
        <v>cumple politica</v>
      </c>
    </row>
    <row r="504" spans="1:21" x14ac:dyDescent="0.3">
      <c r="A504" t="s">
        <v>137</v>
      </c>
      <c r="B504" t="s">
        <v>26</v>
      </c>
      <c r="C504" t="s">
        <v>65</v>
      </c>
      <c r="D504" t="s">
        <v>82</v>
      </c>
      <c r="E504" s="24">
        <f t="shared" si="120"/>
        <v>0</v>
      </c>
      <c r="F504" s="22">
        <f>-SUMIFS(CARGA!I:I,CARGA!B:B,tabla!A504,CARGA!D:D,tabla!C504,CARGA!C:C,MAESTRO!$B$4)-SUMIFS(CARGA!I:I,CARGA!B:B,tabla!A504,CARGA!D:D,tabla!C504,CARGA!C:C,MAESTRO!$B$5)</f>
        <v>0</v>
      </c>
      <c r="G504" s="5">
        <f>+SUMIFS(CARGA!I:I,CARGA!B:B,tabla!A504,CARGA!D:D,tabla!C504)</f>
        <v>0</v>
      </c>
      <c r="H504" s="5">
        <f>+SUMIFS(CARGA!K:K,CARGA!B:B,tabla!A504,CARGA!D:D,tabla!C504)</f>
        <v>0</v>
      </c>
      <c r="I504" s="5">
        <f t="shared" si="121"/>
        <v>0</v>
      </c>
      <c r="J504" s="5">
        <f>-SUMIFS(CARGA!K:K,CARGA!B:B,tabla!A504,CARGA!D:D,tabla!C504,CARGA!C:C,MAESTRO!$B$4)+SUMIFS(CARGA!K:K,CARGA!B:B,tabla!A504,CARGA!D:D,tabla!C504,CARGA!C:C,MAESTRO!$B$5)</f>
        <v>0</v>
      </c>
      <c r="K504" s="5" t="e">
        <f>+VLOOKUP(C504,#REF!,3,FALSE)</f>
        <v>#REF!</v>
      </c>
      <c r="L504" s="5" t="e">
        <f t="shared" si="122"/>
        <v>#REF!</v>
      </c>
      <c r="M504" s="5" t="e">
        <f t="shared" si="123"/>
        <v>#REF!</v>
      </c>
      <c r="N504" s="5" t="str">
        <f t="shared" si="124"/>
        <v>NO</v>
      </c>
      <c r="O504" s="5">
        <f>+VLOOKUP(C504,[2]Fondos!$F:$J,5,FALSE)</f>
        <v>26527515773</v>
      </c>
      <c r="P504" s="13">
        <f>+VLOOKUP(C504,[2]Fondos!$F:$K,6,FALSE)</f>
        <v>0.26544099999999998</v>
      </c>
      <c r="Q504" s="13">
        <f t="shared" si="125"/>
        <v>0</v>
      </c>
      <c r="R504" s="10">
        <f>+IF(Q504&gt;MAESTRO!$G$6,0,1)</f>
        <v>1</v>
      </c>
      <c r="S504">
        <f>+IF(P504&lt;MAESTRO!$G$8,0,1)</f>
        <v>1</v>
      </c>
      <c r="T504" s="10">
        <f t="shared" si="126"/>
        <v>2</v>
      </c>
      <c r="U504" t="str">
        <f>+IF(R504+S504=2,MAESTRO!$G$2,IF(R504+S504=0,MAESTRO!$G$5,IF(R504=0,MAESTRO!$G$3,IF(S504=0,MAESTRO!$G$4,))))</f>
        <v>cumple politica</v>
      </c>
    </row>
    <row r="505" spans="1:21" x14ac:dyDescent="0.3">
      <c r="A505" t="s">
        <v>137</v>
      </c>
      <c r="B505" t="s">
        <v>26</v>
      </c>
      <c r="C505" t="s">
        <v>45</v>
      </c>
      <c r="D505" t="s">
        <v>81</v>
      </c>
      <c r="E505" s="24">
        <f t="shared" si="120"/>
        <v>0</v>
      </c>
      <c r="F505" s="22">
        <f>-SUMIFS(CARGA!I:I,CARGA!B:B,tabla!A505,CARGA!D:D,tabla!C505,CARGA!C:C,MAESTRO!$B$4)-SUMIFS(CARGA!I:I,CARGA!B:B,tabla!A505,CARGA!D:D,tabla!C505,CARGA!C:C,MAESTRO!$B$5)</f>
        <v>0</v>
      </c>
      <c r="G505" s="5">
        <f>+SUMIFS(CARGA!I:I,CARGA!B:B,tabla!A505,CARGA!D:D,tabla!C505)</f>
        <v>0</v>
      </c>
      <c r="H505" s="5">
        <f>+SUMIFS(CARGA!K:K,CARGA!B:B,tabla!A505,CARGA!D:D,tabla!C505)</f>
        <v>0</v>
      </c>
      <c r="I505" s="5">
        <f t="shared" si="121"/>
        <v>0</v>
      </c>
      <c r="J505" s="5">
        <f>-SUMIFS(CARGA!K:K,CARGA!B:B,tabla!A505,CARGA!D:D,tabla!C505,CARGA!C:C,MAESTRO!$B$4)+SUMIFS(CARGA!K:K,CARGA!B:B,tabla!A505,CARGA!D:D,tabla!C505,CARGA!C:C,MAESTRO!$B$5)</f>
        <v>0</v>
      </c>
      <c r="K505" s="5" t="e">
        <f>+VLOOKUP(C505,#REF!,3,FALSE)</f>
        <v>#REF!</v>
      </c>
      <c r="L505" s="5" t="e">
        <f t="shared" si="122"/>
        <v>#REF!</v>
      </c>
      <c r="M505" s="5" t="e">
        <f t="shared" si="123"/>
        <v>#REF!</v>
      </c>
      <c r="N505" s="5" t="str">
        <f t="shared" si="124"/>
        <v>NO</v>
      </c>
      <c r="O505" s="5">
        <f>+VLOOKUP(C505,[2]Fondos!$F:$J,5,FALSE)</f>
        <v>9536957677</v>
      </c>
      <c r="P505" s="13">
        <f>+VLOOKUP(C505,[2]Fondos!$F:$K,6,FALSE)</f>
        <v>0.20501570000000002</v>
      </c>
      <c r="Q505" s="13">
        <f t="shared" si="125"/>
        <v>0</v>
      </c>
      <c r="R505" s="10">
        <f>+IF(Q505&gt;MAESTRO!$G$6,0,1)</f>
        <v>1</v>
      </c>
      <c r="S505">
        <f>+IF(P505&lt;MAESTRO!$G$8,0,1)</f>
        <v>1</v>
      </c>
      <c r="T505" s="10">
        <f t="shared" si="126"/>
        <v>2</v>
      </c>
      <c r="U505" t="str">
        <f>+IF(R505+S505=2,MAESTRO!$G$2,IF(R505+S505=0,MAESTRO!$G$5,IF(R505=0,MAESTRO!$G$3,IF(S505=0,MAESTRO!$G$4,))))</f>
        <v>cumple politica</v>
      </c>
    </row>
    <row r="506" spans="1:21" x14ac:dyDescent="0.3">
      <c r="A506" t="s">
        <v>137</v>
      </c>
      <c r="B506" t="s">
        <v>26</v>
      </c>
      <c r="C506" t="s">
        <v>41</v>
      </c>
      <c r="D506" t="s">
        <v>81</v>
      </c>
      <c r="E506" s="24">
        <f t="shared" si="120"/>
        <v>0</v>
      </c>
      <c r="F506" s="22">
        <f>-SUMIFS(CARGA!I:I,CARGA!B:B,tabla!A506,CARGA!D:D,tabla!C506,CARGA!C:C,MAESTRO!$B$4)-SUMIFS(CARGA!I:I,CARGA!B:B,tabla!A506,CARGA!D:D,tabla!C506,CARGA!C:C,MAESTRO!$B$5)</f>
        <v>0</v>
      </c>
      <c r="G506" s="5">
        <f>+SUMIFS(CARGA!I:I,CARGA!B:B,tabla!A506,CARGA!D:D,tabla!C506)</f>
        <v>0</v>
      </c>
      <c r="H506" s="5">
        <f>+SUMIFS(CARGA!K:K,CARGA!B:B,tabla!A506,CARGA!D:D,tabla!C506)</f>
        <v>0</v>
      </c>
      <c r="I506" s="5">
        <f t="shared" si="121"/>
        <v>0</v>
      </c>
      <c r="J506" s="5">
        <f>-SUMIFS(CARGA!K:K,CARGA!B:B,tabla!A506,CARGA!D:D,tabla!C506,CARGA!C:C,MAESTRO!$B$4)+SUMIFS(CARGA!K:K,CARGA!B:B,tabla!A506,CARGA!D:D,tabla!C506,CARGA!C:C,MAESTRO!$B$5)</f>
        <v>0</v>
      </c>
      <c r="K506" s="5" t="e">
        <f>+VLOOKUP(C506,#REF!,3,FALSE)</f>
        <v>#REF!</v>
      </c>
      <c r="L506" s="5" t="e">
        <f t="shared" si="122"/>
        <v>#REF!</v>
      </c>
      <c r="M506" s="5" t="e">
        <f t="shared" si="123"/>
        <v>#REF!</v>
      </c>
      <c r="N506" s="5" t="str">
        <f t="shared" si="124"/>
        <v>NO</v>
      </c>
      <c r="O506" s="5">
        <f>+VLOOKUP(C506,[2]Fondos!$F:$J,5,FALSE)</f>
        <v>9536957677</v>
      </c>
      <c r="P506" s="13">
        <f>+VLOOKUP(C506,[2]Fondos!$F:$K,6,FALSE)</f>
        <v>0.2143747</v>
      </c>
      <c r="Q506" s="13">
        <f t="shared" si="125"/>
        <v>0</v>
      </c>
      <c r="R506" s="10">
        <f>+IF(Q506&gt;MAESTRO!$G$6,0,1)</f>
        <v>1</v>
      </c>
      <c r="S506">
        <f>+IF(P506&lt;MAESTRO!$G$8,0,1)</f>
        <v>1</v>
      </c>
      <c r="T506" s="10">
        <f t="shared" si="126"/>
        <v>2</v>
      </c>
      <c r="U506" t="str">
        <f>+IF(R506+S506=2,MAESTRO!$G$2,IF(R506+S506=0,MAESTRO!$G$5,IF(R506=0,MAESTRO!$G$3,IF(S506=0,MAESTRO!$G$4,))))</f>
        <v>cumple politica</v>
      </c>
    </row>
    <row r="507" spans="1:21" x14ac:dyDescent="0.3">
      <c r="A507" t="s">
        <v>137</v>
      </c>
      <c r="B507" t="s">
        <v>36</v>
      </c>
      <c r="C507" t="s">
        <v>73</v>
      </c>
      <c r="D507" t="s">
        <v>82</v>
      </c>
      <c r="E507" s="24">
        <f t="shared" si="120"/>
        <v>0</v>
      </c>
      <c r="F507" s="22">
        <f>-SUMIFS(CARGA!I:I,CARGA!B:B,tabla!A507,CARGA!D:D,tabla!C507,CARGA!C:C,MAESTRO!$B$4)-SUMIFS(CARGA!I:I,CARGA!B:B,tabla!A507,CARGA!D:D,tabla!C507,CARGA!C:C,MAESTRO!$B$5)</f>
        <v>0</v>
      </c>
      <c r="G507" s="5">
        <f>+SUMIFS(CARGA!I:I,CARGA!B:B,tabla!A507,CARGA!D:D,tabla!C507)</f>
        <v>0</v>
      </c>
      <c r="H507" s="5">
        <f>+SUMIFS(CARGA!K:K,CARGA!B:B,tabla!A507,CARGA!D:D,tabla!C507)</f>
        <v>0</v>
      </c>
      <c r="I507" s="5">
        <f t="shared" si="121"/>
        <v>0</v>
      </c>
      <c r="J507" s="5">
        <f>-SUMIFS(CARGA!K:K,CARGA!B:B,tabla!A507,CARGA!D:D,tabla!C507,CARGA!C:C,MAESTRO!$B$4)+SUMIFS(CARGA!K:K,CARGA!B:B,tabla!A507,CARGA!D:D,tabla!C507,CARGA!C:C,MAESTRO!$B$5)</f>
        <v>0</v>
      </c>
      <c r="K507" s="5" t="e">
        <f>+VLOOKUP(C507,#REF!,3,FALSE)</f>
        <v>#REF!</v>
      </c>
      <c r="L507" s="5" t="e">
        <f t="shared" si="122"/>
        <v>#REF!</v>
      </c>
      <c r="M507" s="5" t="e">
        <f t="shared" si="123"/>
        <v>#REF!</v>
      </c>
      <c r="N507" s="5" t="str">
        <f t="shared" si="124"/>
        <v>NO</v>
      </c>
      <c r="O507" s="5">
        <f>+VLOOKUP(C507,[2]Fondos!$F:$J,5,FALSE)</f>
        <v>5558283453.2200003</v>
      </c>
      <c r="P507" s="13">
        <f>+VLOOKUP(C507,[2]Fondos!$F:$K,6,FALSE)</f>
        <v>0.26949119999999999</v>
      </c>
      <c r="Q507" s="13">
        <f t="shared" si="125"/>
        <v>0</v>
      </c>
      <c r="R507" s="10">
        <f>+IF(Q507&gt;MAESTRO!$G$6,0,1)</f>
        <v>1</v>
      </c>
      <c r="S507">
        <f>+IF(P507&lt;MAESTRO!$G$8,0,1)</f>
        <v>1</v>
      </c>
      <c r="T507" s="10">
        <f t="shared" si="126"/>
        <v>2</v>
      </c>
      <c r="U507" t="str">
        <f>+IF(R507+S507=2,MAESTRO!$G$2,IF(R507+S507=0,MAESTRO!$G$5,IF(R507=0,MAESTRO!$G$3,IF(S507=0,MAESTRO!$G$4,))))</f>
        <v>cumple politica</v>
      </c>
    </row>
    <row r="508" spans="1:21" x14ac:dyDescent="0.3">
      <c r="A508" t="s">
        <v>137</v>
      </c>
      <c r="B508" t="s">
        <v>36</v>
      </c>
      <c r="C508" t="s">
        <v>72</v>
      </c>
      <c r="D508" t="s">
        <v>81</v>
      </c>
      <c r="E508" s="24">
        <f t="shared" si="120"/>
        <v>0</v>
      </c>
      <c r="F508" s="22">
        <f>-SUMIFS(CARGA!I:I,CARGA!B:B,tabla!A508,CARGA!D:D,tabla!C508,CARGA!C:C,MAESTRO!$B$4)-SUMIFS(CARGA!I:I,CARGA!B:B,tabla!A508,CARGA!D:D,tabla!C508,CARGA!C:C,MAESTRO!$B$5)</f>
        <v>0</v>
      </c>
      <c r="G508" s="5">
        <f>+SUMIFS(CARGA!I:I,CARGA!B:B,tabla!A508,CARGA!D:D,tabla!C508)</f>
        <v>0</v>
      </c>
      <c r="H508" s="5">
        <f>+SUMIFS(CARGA!K:K,CARGA!B:B,tabla!A508,CARGA!D:D,tabla!C508)</f>
        <v>0</v>
      </c>
      <c r="I508" s="5">
        <f t="shared" si="121"/>
        <v>0</v>
      </c>
      <c r="J508" s="5">
        <f>-SUMIFS(CARGA!K:K,CARGA!B:B,tabla!A508,CARGA!D:D,tabla!C508,CARGA!C:C,MAESTRO!$B$4)+SUMIFS(CARGA!K:K,CARGA!B:B,tabla!A508,CARGA!D:D,tabla!C508,CARGA!C:C,MAESTRO!$B$5)</f>
        <v>0</v>
      </c>
      <c r="K508" s="5" t="e">
        <f>+VLOOKUP(C508,#REF!,3,FALSE)</f>
        <v>#REF!</v>
      </c>
      <c r="L508" s="5" t="e">
        <f t="shared" si="122"/>
        <v>#REF!</v>
      </c>
      <c r="M508" s="5" t="e">
        <f t="shared" si="123"/>
        <v>#REF!</v>
      </c>
      <c r="N508" s="5" t="str">
        <f t="shared" si="124"/>
        <v>NO</v>
      </c>
      <c r="O508" s="5">
        <f>+VLOOKUP(C508,[2]Fondos!$F:$J,5,FALSE)</f>
        <v>4289905534.3099999</v>
      </c>
      <c r="P508" s="13">
        <f>+VLOOKUP(C508,[2]Fondos!$F:$K,6,FALSE)</f>
        <v>0.2090719</v>
      </c>
      <c r="Q508" s="13">
        <f t="shared" si="125"/>
        <v>0</v>
      </c>
      <c r="R508" s="10">
        <f>+IF(Q508&gt;MAESTRO!$G$6,0,1)</f>
        <v>1</v>
      </c>
      <c r="S508">
        <f>+IF(P508&lt;MAESTRO!$G$8,0,1)</f>
        <v>1</v>
      </c>
      <c r="T508" s="10">
        <f t="shared" si="126"/>
        <v>2</v>
      </c>
      <c r="U508" t="str">
        <f>+IF(R508+S508=2,MAESTRO!$G$2,IF(R508+S508=0,MAESTRO!$G$5,IF(R508=0,MAESTRO!$G$3,IF(S508=0,MAESTRO!$G$4,))))</f>
        <v>cumple politica</v>
      </c>
    </row>
    <row r="509" spans="1:21" x14ac:dyDescent="0.3">
      <c r="A509" t="s">
        <v>137</v>
      </c>
      <c r="B509" t="s">
        <v>28</v>
      </c>
      <c r="C509" t="s">
        <v>46</v>
      </c>
      <c r="D509" t="s">
        <v>81</v>
      </c>
      <c r="E509" s="24">
        <f t="shared" si="120"/>
        <v>0</v>
      </c>
      <c r="F509" s="22">
        <f>-SUMIFS(CARGA!I:I,CARGA!B:B,tabla!A509,CARGA!D:D,tabla!C509,CARGA!C:C,MAESTRO!$B$4)-SUMIFS(CARGA!I:I,CARGA!B:B,tabla!A509,CARGA!D:D,tabla!C509,CARGA!C:C,MAESTRO!$B$5)</f>
        <v>0</v>
      </c>
      <c r="G509" s="5">
        <f>+SUMIFS(CARGA!I:I,CARGA!B:B,tabla!A509,CARGA!D:D,tabla!C509)</f>
        <v>0</v>
      </c>
      <c r="H509" s="5">
        <f>+SUMIFS(CARGA!K:K,CARGA!B:B,tabla!A509,CARGA!D:D,tabla!C509)</f>
        <v>0</v>
      </c>
      <c r="I509" s="5">
        <f t="shared" si="121"/>
        <v>0</v>
      </c>
      <c r="J509" s="5">
        <f>-SUMIFS(CARGA!K:K,CARGA!B:B,tabla!A509,CARGA!D:D,tabla!C509,CARGA!C:C,MAESTRO!$B$4)+SUMIFS(CARGA!K:K,CARGA!B:B,tabla!A509,CARGA!D:D,tabla!C509,CARGA!C:C,MAESTRO!$B$5)</f>
        <v>0</v>
      </c>
      <c r="K509" s="5" t="e">
        <f>+VLOOKUP(C509,#REF!,3,FALSE)</f>
        <v>#REF!</v>
      </c>
      <c r="L509" s="5" t="e">
        <f t="shared" si="122"/>
        <v>#REF!</v>
      </c>
      <c r="M509" s="5" t="e">
        <f t="shared" si="123"/>
        <v>#REF!</v>
      </c>
      <c r="N509" s="5" t="str">
        <f t="shared" si="124"/>
        <v>NO</v>
      </c>
      <c r="O509" s="5">
        <f>+VLOOKUP(C509,[2]Fondos!$F:$J,5,FALSE)</f>
        <v>2107469999.9999998</v>
      </c>
      <c r="P509" s="13">
        <f>+VLOOKUP(C509,[2]Fondos!$F:$K,6,FALSE)</f>
        <v>0.20305720000000002</v>
      </c>
      <c r="Q509" s="13">
        <f t="shared" si="125"/>
        <v>0</v>
      </c>
      <c r="R509" s="10">
        <f>+IF(Q509&gt;MAESTRO!$G$6,0,1)</f>
        <v>1</v>
      </c>
      <c r="S509">
        <f>+IF(P509&lt;MAESTRO!$G$8,0,1)</f>
        <v>1</v>
      </c>
      <c r="T509" s="10">
        <f t="shared" si="126"/>
        <v>2</v>
      </c>
      <c r="U509" t="str">
        <f>+IF(R509+S509=2,MAESTRO!$G$2,IF(R509+S509=0,MAESTRO!$G$5,IF(R509=0,MAESTRO!$G$3,IF(S509=0,MAESTRO!$G$4,))))</f>
        <v>cumple politica</v>
      </c>
    </row>
    <row r="510" spans="1:21" x14ac:dyDescent="0.3">
      <c r="A510" t="s">
        <v>137</v>
      </c>
      <c r="B510" t="s">
        <v>28</v>
      </c>
      <c r="C510" t="s">
        <v>44</v>
      </c>
      <c r="D510" t="s">
        <v>81</v>
      </c>
      <c r="E510" s="24">
        <f t="shared" si="120"/>
        <v>0</v>
      </c>
      <c r="F510" s="22">
        <f>-SUMIFS(CARGA!I:I,CARGA!B:B,tabla!A510,CARGA!D:D,tabla!C510,CARGA!C:C,MAESTRO!$B$4)-SUMIFS(CARGA!I:I,CARGA!B:B,tabla!A510,CARGA!D:D,tabla!C510,CARGA!C:C,MAESTRO!$B$5)</f>
        <v>0</v>
      </c>
      <c r="G510" s="5">
        <f>+SUMIFS(CARGA!I:I,CARGA!B:B,tabla!A510,CARGA!D:D,tabla!C510)</f>
        <v>0</v>
      </c>
      <c r="H510" s="5">
        <f>+SUMIFS(CARGA!K:K,CARGA!B:B,tabla!A510,CARGA!D:D,tabla!C510)</f>
        <v>0</v>
      </c>
      <c r="I510" s="5">
        <f t="shared" si="121"/>
        <v>0</v>
      </c>
      <c r="J510" s="5">
        <f>-SUMIFS(CARGA!K:K,CARGA!B:B,tabla!A510,CARGA!D:D,tabla!C510,CARGA!C:C,MAESTRO!$B$4)+SUMIFS(CARGA!K:K,CARGA!B:B,tabla!A510,CARGA!D:D,tabla!C510,CARGA!C:C,MAESTRO!$B$5)</f>
        <v>0</v>
      </c>
      <c r="K510" s="5" t="e">
        <f>+VLOOKUP(C510,#REF!,3,FALSE)</f>
        <v>#REF!</v>
      </c>
      <c r="L510" s="5" t="e">
        <f t="shared" si="122"/>
        <v>#REF!</v>
      </c>
      <c r="M510" s="5" t="e">
        <f t="shared" si="123"/>
        <v>#REF!</v>
      </c>
      <c r="N510" s="5" t="str">
        <f t="shared" si="124"/>
        <v>NO</v>
      </c>
      <c r="O510" s="5">
        <f>+VLOOKUP(C510,[2]Fondos!$F:$J,5,FALSE)</f>
        <v>2107469999.9999998</v>
      </c>
      <c r="P510" s="13">
        <f>+VLOOKUP(C510,[2]Fondos!$F:$K,6,FALSE)</f>
        <v>0.20835799999999999</v>
      </c>
      <c r="Q510" s="13">
        <f t="shared" si="125"/>
        <v>0</v>
      </c>
      <c r="R510" s="10">
        <f>+IF(Q510&gt;MAESTRO!$G$6,0,1)</f>
        <v>1</v>
      </c>
      <c r="S510">
        <f>+IF(P510&lt;MAESTRO!$G$8,0,1)</f>
        <v>1</v>
      </c>
      <c r="T510" s="10">
        <f t="shared" si="126"/>
        <v>2</v>
      </c>
      <c r="U510" t="str">
        <f>+IF(R510+S510=2,MAESTRO!$G$2,IF(R510+S510=0,MAESTRO!$G$5,IF(R510=0,MAESTRO!$G$3,IF(S510=0,MAESTRO!$G$4,))))</f>
        <v>cumple politica</v>
      </c>
    </row>
    <row r="511" spans="1:21" x14ac:dyDescent="0.3">
      <c r="A511" t="s">
        <v>137</v>
      </c>
      <c r="B511" t="s">
        <v>28</v>
      </c>
      <c r="C511" t="s">
        <v>64</v>
      </c>
      <c r="D511" t="s">
        <v>82</v>
      </c>
      <c r="E511" s="24">
        <f t="shared" si="120"/>
        <v>0</v>
      </c>
      <c r="F511" s="22">
        <f>-SUMIFS(CARGA!I:I,CARGA!B:B,tabla!A511,CARGA!D:D,tabla!C511,CARGA!C:C,MAESTRO!$B$4)-SUMIFS(CARGA!I:I,CARGA!B:B,tabla!A511,CARGA!D:D,tabla!C511,CARGA!C:C,MAESTRO!$B$5)</f>
        <v>0</v>
      </c>
      <c r="G511" s="5">
        <f>+SUMIFS(CARGA!I:I,CARGA!B:B,tabla!A511,CARGA!D:D,tabla!C511)</f>
        <v>0</v>
      </c>
      <c r="H511" s="5">
        <f>+SUMIFS(CARGA!K:K,CARGA!B:B,tabla!A511,CARGA!D:D,tabla!C511)</f>
        <v>0</v>
      </c>
      <c r="I511" s="5">
        <f t="shared" si="121"/>
        <v>0</v>
      </c>
      <c r="J511" s="5">
        <f>-SUMIFS(CARGA!K:K,CARGA!B:B,tabla!A511,CARGA!D:D,tabla!C511,CARGA!C:C,MAESTRO!$B$4)+SUMIFS(CARGA!K:K,CARGA!B:B,tabla!A511,CARGA!D:D,tabla!C511,CARGA!C:C,MAESTRO!$B$5)</f>
        <v>0</v>
      </c>
      <c r="K511" s="5" t="e">
        <f>+VLOOKUP(C511,#REF!,3,FALSE)</f>
        <v>#REF!</v>
      </c>
      <c r="L511" s="5" t="e">
        <f t="shared" si="122"/>
        <v>#REF!</v>
      </c>
      <c r="M511" s="5" t="e">
        <f t="shared" si="123"/>
        <v>#REF!</v>
      </c>
      <c r="N511" s="5" t="str">
        <f t="shared" si="124"/>
        <v>NO</v>
      </c>
      <c r="O511" s="5">
        <f>+VLOOKUP(C511,[2]Fondos!$F:$J,5,FALSE)</f>
        <v>8673260000</v>
      </c>
      <c r="P511" s="13">
        <f>+VLOOKUP(C511,[2]Fondos!$F:$K,6,FALSE)</f>
        <v>0.25678699999999999</v>
      </c>
      <c r="Q511" s="13">
        <f t="shared" si="125"/>
        <v>0</v>
      </c>
      <c r="R511" s="10">
        <f>+IF(Q511&gt;MAESTRO!$G$6,0,1)</f>
        <v>1</v>
      </c>
      <c r="S511">
        <f>+IF(P511&lt;MAESTRO!$G$8,0,1)</f>
        <v>1</v>
      </c>
      <c r="T511" s="10">
        <f t="shared" si="126"/>
        <v>2</v>
      </c>
      <c r="U511" t="str">
        <f>+IF(R511+S511=2,MAESTRO!$G$2,IF(R511+S511=0,MAESTRO!$G$5,IF(R511=0,MAESTRO!$G$3,IF(S511=0,MAESTRO!$G$4,))))</f>
        <v>cumple politica</v>
      </c>
    </row>
    <row r="512" spans="1:21" x14ac:dyDescent="0.3">
      <c r="A512" t="s">
        <v>137</v>
      </c>
      <c r="B512" t="s">
        <v>28</v>
      </c>
      <c r="C512" t="s">
        <v>60</v>
      </c>
      <c r="D512" t="s">
        <v>82</v>
      </c>
      <c r="E512" s="24">
        <f t="shared" si="120"/>
        <v>0</v>
      </c>
      <c r="F512" s="22">
        <f>-SUMIFS(CARGA!I:I,CARGA!B:B,tabla!A512,CARGA!D:D,tabla!C512,CARGA!C:C,MAESTRO!$B$4)-SUMIFS(CARGA!I:I,CARGA!B:B,tabla!A512,CARGA!D:D,tabla!C512,CARGA!C:C,MAESTRO!$B$5)</f>
        <v>0</v>
      </c>
      <c r="G512" s="5">
        <f>+SUMIFS(CARGA!I:I,CARGA!B:B,tabla!A512,CARGA!D:D,tabla!C512)</f>
        <v>0</v>
      </c>
      <c r="H512" s="5">
        <f>+SUMIFS(CARGA!K:K,CARGA!B:B,tabla!A512,CARGA!D:D,tabla!C512)</f>
        <v>0</v>
      </c>
      <c r="I512" s="5">
        <f t="shared" si="121"/>
        <v>0</v>
      </c>
      <c r="J512" s="5">
        <f>-SUMIFS(CARGA!K:K,CARGA!B:B,tabla!A512,CARGA!D:D,tabla!C512,CARGA!C:C,MAESTRO!$B$4)+SUMIFS(CARGA!K:K,CARGA!B:B,tabla!A512,CARGA!D:D,tabla!C512,CARGA!C:C,MAESTRO!$B$5)</f>
        <v>0</v>
      </c>
      <c r="K512" s="5" t="e">
        <f>+VLOOKUP(C512,#REF!,3,FALSE)</f>
        <v>#REF!</v>
      </c>
      <c r="L512" s="5" t="e">
        <f t="shared" si="122"/>
        <v>#REF!</v>
      </c>
      <c r="M512" s="5" t="e">
        <f t="shared" si="123"/>
        <v>#REF!</v>
      </c>
      <c r="N512" s="5" t="str">
        <f t="shared" si="124"/>
        <v>NO</v>
      </c>
      <c r="O512" s="5">
        <f>+VLOOKUP(C512,[2]Fondos!$F:$J,5,FALSE)</f>
        <v>8673260000</v>
      </c>
      <c r="P512" s="13">
        <f>+VLOOKUP(C512,[2]Fondos!$F:$K,6,FALSE)</f>
        <v>0.26727390000000001</v>
      </c>
      <c r="Q512" s="13">
        <f t="shared" si="125"/>
        <v>0</v>
      </c>
      <c r="R512" s="10">
        <f>+IF(Q512&gt;MAESTRO!$G$6,0,1)</f>
        <v>1</v>
      </c>
      <c r="S512">
        <f>+IF(P512&lt;MAESTRO!$G$8,0,1)</f>
        <v>1</v>
      </c>
      <c r="T512" s="10">
        <f t="shared" si="126"/>
        <v>2</v>
      </c>
      <c r="U512" t="str">
        <f>+IF(R512+S512=2,MAESTRO!$G$2,IF(R512+S512=0,MAESTRO!$G$5,IF(R512=0,MAESTRO!$G$3,IF(S512=0,MAESTRO!$G$4,))))</f>
        <v>cumple politica</v>
      </c>
    </row>
    <row r="513" spans="1:21" x14ac:dyDescent="0.3">
      <c r="A513" t="s">
        <v>137</v>
      </c>
      <c r="B513" t="s">
        <v>22</v>
      </c>
      <c r="C513" t="s">
        <v>37</v>
      </c>
      <c r="D513" t="s">
        <v>81</v>
      </c>
      <c r="E513" s="24">
        <f t="shared" si="120"/>
        <v>0</v>
      </c>
      <c r="F513" s="22">
        <f>-SUMIFS(CARGA!I:I,CARGA!B:B,tabla!A513,CARGA!D:D,tabla!C513,CARGA!C:C,MAESTRO!$B$4)-SUMIFS(CARGA!I:I,CARGA!B:B,tabla!A513,CARGA!D:D,tabla!C513,CARGA!C:C,MAESTRO!$B$5)</f>
        <v>0</v>
      </c>
      <c r="G513" s="5">
        <f>+SUMIFS(CARGA!I:I,CARGA!B:B,tabla!A513,CARGA!D:D,tabla!C513)</f>
        <v>0</v>
      </c>
      <c r="H513" s="5">
        <f>+SUMIFS(CARGA!K:K,CARGA!B:B,tabla!A513,CARGA!D:D,tabla!C513)</f>
        <v>0</v>
      </c>
      <c r="I513" s="5">
        <f t="shared" si="121"/>
        <v>0</v>
      </c>
      <c r="J513" s="5">
        <f>-SUMIFS(CARGA!K:K,CARGA!B:B,tabla!A513,CARGA!D:D,tabla!C513,CARGA!C:C,MAESTRO!$B$4)+SUMIFS(CARGA!K:K,CARGA!B:B,tabla!A513,CARGA!D:D,tabla!C513,CARGA!C:C,MAESTRO!$B$5)</f>
        <v>0</v>
      </c>
      <c r="K513" s="5" t="e">
        <f>+VLOOKUP(C513,#REF!,3,FALSE)</f>
        <v>#REF!</v>
      </c>
      <c r="L513" s="5" t="e">
        <f t="shared" si="122"/>
        <v>#REF!</v>
      </c>
      <c r="M513" s="5" t="e">
        <f t="shared" si="123"/>
        <v>#REF!</v>
      </c>
      <c r="N513" s="5" t="str">
        <f t="shared" si="124"/>
        <v>NO</v>
      </c>
      <c r="O513" s="5">
        <f>+VLOOKUP(C513,[2]Fondos!$F:$J,5,FALSE)</f>
        <v>652691913</v>
      </c>
      <c r="P513" s="13">
        <f>+VLOOKUP(C513,[2]Fondos!$F:$K,6,FALSE)</f>
        <v>0.25056249999999997</v>
      </c>
      <c r="Q513" s="13">
        <f t="shared" si="125"/>
        <v>0</v>
      </c>
      <c r="R513" s="10">
        <f>+IF(Q513&gt;MAESTRO!$G$6,0,1)</f>
        <v>1</v>
      </c>
      <c r="S513">
        <f>+IF(P513&lt;MAESTRO!$G$8,0,1)</f>
        <v>1</v>
      </c>
      <c r="T513" s="10">
        <f t="shared" si="126"/>
        <v>2</v>
      </c>
      <c r="U513" t="str">
        <f>+IF(R513+S513=2,MAESTRO!$G$2,IF(R513+S513=0,MAESTRO!$G$5,IF(R513=0,MAESTRO!$G$3,IF(S513=0,MAESTRO!$G$4,))))</f>
        <v>cumple politica</v>
      </c>
    </row>
    <row r="514" spans="1:21" x14ac:dyDescent="0.3">
      <c r="A514" t="s">
        <v>137</v>
      </c>
      <c r="B514" t="s">
        <v>22</v>
      </c>
      <c r="C514" t="s">
        <v>54</v>
      </c>
      <c r="D514" t="s">
        <v>82</v>
      </c>
      <c r="E514" s="24">
        <f t="shared" si="120"/>
        <v>0</v>
      </c>
      <c r="F514" s="22">
        <f>-SUMIFS(CARGA!I:I,CARGA!B:B,tabla!A514,CARGA!D:D,tabla!C514,CARGA!C:C,MAESTRO!$B$4)-SUMIFS(CARGA!I:I,CARGA!B:B,tabla!A514,CARGA!D:D,tabla!C514,CARGA!C:C,MAESTRO!$B$5)</f>
        <v>0</v>
      </c>
      <c r="G514" s="5">
        <f>+SUMIFS(CARGA!I:I,CARGA!B:B,tabla!A514,CARGA!D:D,tabla!C514)</f>
        <v>0</v>
      </c>
      <c r="H514" s="5">
        <f>+SUMIFS(CARGA!K:K,CARGA!B:B,tabla!A514,CARGA!D:D,tabla!C514)</f>
        <v>0</v>
      </c>
      <c r="I514" s="5">
        <f t="shared" si="121"/>
        <v>0</v>
      </c>
      <c r="J514" s="5">
        <f>-SUMIFS(CARGA!K:K,CARGA!B:B,tabla!A514,CARGA!D:D,tabla!C514,CARGA!C:C,MAESTRO!$B$4)+SUMIFS(CARGA!K:K,CARGA!B:B,tabla!A514,CARGA!D:D,tabla!C514,CARGA!C:C,MAESTRO!$B$5)</f>
        <v>0</v>
      </c>
      <c r="K514" s="5" t="e">
        <f>+VLOOKUP(C514,#REF!,3,FALSE)</f>
        <v>#REF!</v>
      </c>
      <c r="L514" s="5" t="e">
        <f t="shared" si="122"/>
        <v>#REF!</v>
      </c>
      <c r="M514" s="5" t="e">
        <f t="shared" si="123"/>
        <v>#REF!</v>
      </c>
      <c r="N514" s="5" t="str">
        <f t="shared" si="124"/>
        <v>NO</v>
      </c>
      <c r="O514" s="5">
        <f>+VLOOKUP(C514,[2]Fondos!$F:$J,5,FALSE)</f>
        <v>2006490136</v>
      </c>
      <c r="P514" s="13">
        <f>+VLOOKUP(C514,[2]Fondos!$F:$K,6,FALSE)</f>
        <v>0.27425260000000001</v>
      </c>
      <c r="Q514" s="13">
        <f t="shared" si="125"/>
        <v>0</v>
      </c>
      <c r="R514" s="10">
        <f>+IF(Q514&gt;MAESTRO!$G$6,0,1)</f>
        <v>1</v>
      </c>
      <c r="S514">
        <f>+IF(P514&lt;MAESTRO!$G$8,0,1)</f>
        <v>1</v>
      </c>
      <c r="T514" s="10">
        <f t="shared" si="126"/>
        <v>2</v>
      </c>
      <c r="U514" t="str">
        <f>+IF(R514+S514=2,MAESTRO!$G$2,IF(R514+S514=0,MAESTRO!$G$5,IF(R514=0,MAESTRO!$G$3,IF(S514=0,MAESTRO!$G$4,))))</f>
        <v>cumple politica</v>
      </c>
    </row>
    <row r="515" spans="1:21" x14ac:dyDescent="0.3">
      <c r="A515" t="s">
        <v>137</v>
      </c>
      <c r="B515" t="s">
        <v>34</v>
      </c>
      <c r="C515" t="s">
        <v>77</v>
      </c>
      <c r="D515" t="s">
        <v>82</v>
      </c>
      <c r="E515" s="24">
        <f t="shared" si="120"/>
        <v>0</v>
      </c>
      <c r="F515" s="22">
        <f>-SUMIFS(CARGA!I:I,CARGA!B:B,tabla!A515,CARGA!D:D,tabla!C515,CARGA!C:C,MAESTRO!$B$4)-SUMIFS(CARGA!I:I,CARGA!B:B,tabla!A515,CARGA!D:D,tabla!C515,CARGA!C:C,MAESTRO!$B$5)</f>
        <v>0</v>
      </c>
      <c r="G515" s="5">
        <f>+SUMIFS(CARGA!I:I,CARGA!B:B,tabla!A515,CARGA!D:D,tabla!C515)</f>
        <v>0</v>
      </c>
      <c r="H515" s="5">
        <f>+SUMIFS(CARGA!K:K,CARGA!B:B,tabla!A515,CARGA!D:D,tabla!C515)</f>
        <v>0</v>
      </c>
      <c r="I515" s="5">
        <f t="shared" si="121"/>
        <v>0</v>
      </c>
      <c r="J515" s="5">
        <f>-SUMIFS(CARGA!K:K,CARGA!B:B,tabla!A515,CARGA!D:D,tabla!C515,CARGA!C:C,MAESTRO!$B$4)+SUMIFS(CARGA!K:K,CARGA!B:B,tabla!A515,CARGA!D:D,tabla!C515,CARGA!C:C,MAESTRO!$B$5)</f>
        <v>0</v>
      </c>
      <c r="K515" s="5" t="e">
        <f>+VLOOKUP(C515,#REF!,3,FALSE)</f>
        <v>#REF!</v>
      </c>
      <c r="L515" s="5" t="e">
        <f t="shared" si="122"/>
        <v>#REF!</v>
      </c>
      <c r="M515" s="5" t="e">
        <f t="shared" si="123"/>
        <v>#REF!</v>
      </c>
      <c r="N515" s="5" t="str">
        <f t="shared" si="124"/>
        <v>NO</v>
      </c>
      <c r="O515" s="5">
        <f>+VLOOKUP(C515,[2]Fondos!$F:$J,5,FALSE)</f>
        <v>10383624192</v>
      </c>
      <c r="P515" s="13">
        <f>+VLOOKUP(C515,[2]Fondos!$F:$K,6,FALSE)</f>
        <v>0.27741320000000003</v>
      </c>
      <c r="Q515" s="13">
        <f t="shared" si="125"/>
        <v>0</v>
      </c>
      <c r="R515" s="10">
        <f>+IF(Q515&gt;MAESTRO!$G$6,0,1)</f>
        <v>1</v>
      </c>
      <c r="S515">
        <f>+IF(P515&lt;MAESTRO!$G$8,0,1)</f>
        <v>1</v>
      </c>
      <c r="T515" s="10">
        <f t="shared" si="126"/>
        <v>2</v>
      </c>
      <c r="U515" t="str">
        <f>+IF(R515+S515=2,MAESTRO!$G$2,IF(R515+S515=0,MAESTRO!$G$5,IF(R515=0,MAESTRO!$G$3,IF(S515=0,MAESTRO!$G$4,))))</f>
        <v>cumple politica</v>
      </c>
    </row>
    <row r="516" spans="1:21" x14ac:dyDescent="0.3">
      <c r="A516" t="s">
        <v>137</v>
      </c>
      <c r="B516" t="s">
        <v>34</v>
      </c>
      <c r="C516" t="s">
        <v>53</v>
      </c>
      <c r="D516" t="s">
        <v>81</v>
      </c>
      <c r="E516" s="24">
        <f t="shared" si="120"/>
        <v>0</v>
      </c>
      <c r="F516" s="22">
        <f>-SUMIFS(CARGA!I:I,CARGA!B:B,tabla!A516,CARGA!D:D,tabla!C516,CARGA!C:C,MAESTRO!$B$4)-SUMIFS(CARGA!I:I,CARGA!B:B,tabla!A516,CARGA!D:D,tabla!C516,CARGA!C:C,MAESTRO!$B$5)</f>
        <v>0</v>
      </c>
      <c r="G516" s="5">
        <f>+SUMIFS(CARGA!I:I,CARGA!B:B,tabla!A516,CARGA!D:D,tabla!C516)</f>
        <v>0</v>
      </c>
      <c r="H516" s="5">
        <f>+SUMIFS(CARGA!K:K,CARGA!B:B,tabla!A516,CARGA!D:D,tabla!C516)</f>
        <v>0</v>
      </c>
      <c r="I516" s="5">
        <f t="shared" si="121"/>
        <v>0</v>
      </c>
      <c r="J516" s="5">
        <f>-SUMIFS(CARGA!K:K,CARGA!B:B,tabla!A516,CARGA!D:D,tabla!C516,CARGA!C:C,MAESTRO!$B$4)+SUMIFS(CARGA!K:K,CARGA!B:B,tabla!A516,CARGA!D:D,tabla!C516,CARGA!C:C,MAESTRO!$B$5)</f>
        <v>0</v>
      </c>
      <c r="K516" s="5" t="e">
        <f>+VLOOKUP(C516,#REF!,3,FALSE)</f>
        <v>#REF!</v>
      </c>
      <c r="L516" s="5" t="e">
        <f t="shared" si="122"/>
        <v>#REF!</v>
      </c>
      <c r="M516" s="5" t="e">
        <f t="shared" si="123"/>
        <v>#REF!</v>
      </c>
      <c r="N516" s="5" t="str">
        <f t="shared" si="124"/>
        <v>NO</v>
      </c>
      <c r="O516" s="5">
        <f>+VLOOKUP(C516,[2]Fondos!$F:$J,5,FALSE)</f>
        <v>4530803420</v>
      </c>
      <c r="P516" s="13">
        <f>+VLOOKUP(C516,[2]Fondos!$F:$K,6,FALSE)</f>
        <v>0.2425168</v>
      </c>
      <c r="Q516" s="13">
        <f t="shared" si="125"/>
        <v>0</v>
      </c>
      <c r="R516" s="10">
        <f>+IF(Q516&gt;MAESTRO!$G$6,0,1)</f>
        <v>1</v>
      </c>
      <c r="S516">
        <f>+IF(P516&lt;MAESTRO!$G$8,0,1)</f>
        <v>1</v>
      </c>
      <c r="T516" s="10">
        <f t="shared" si="126"/>
        <v>2</v>
      </c>
      <c r="U516" t="str">
        <f>+IF(R516+S516=2,MAESTRO!$G$2,IF(R516+S516=0,MAESTRO!$G$5,IF(R516=0,MAESTRO!$G$3,IF(S516=0,MAESTRO!$G$4,))))</f>
        <v>cumple politica</v>
      </c>
    </row>
    <row r="517" spans="1:21" x14ac:dyDescent="0.3">
      <c r="A517" t="s">
        <v>137</v>
      </c>
      <c r="B517" t="s">
        <v>129</v>
      </c>
      <c r="C517" t="s">
        <v>128</v>
      </c>
      <c r="D517" t="s">
        <v>81</v>
      </c>
      <c r="E517" s="24">
        <f t="shared" si="120"/>
        <v>0</v>
      </c>
      <c r="F517" s="22">
        <f>-SUMIFS(CARGA!I:I,CARGA!B:B,tabla!A517,CARGA!D:D,tabla!C517,CARGA!C:C,MAESTRO!$B$4)-SUMIFS(CARGA!I:I,CARGA!B:B,tabla!A517,CARGA!D:D,tabla!C517,CARGA!C:C,MAESTRO!$B$5)</f>
        <v>0</v>
      </c>
      <c r="G517" s="5">
        <f>+SUMIFS(CARGA!I:I,CARGA!B:B,tabla!A517,CARGA!D:D,tabla!C517)</f>
        <v>0</v>
      </c>
      <c r="H517" s="5">
        <f>+SUMIFS(CARGA!K:K,CARGA!B:B,tabla!A517,CARGA!D:D,tabla!C517)</f>
        <v>0</v>
      </c>
      <c r="I517" s="5">
        <f t="shared" si="121"/>
        <v>0</v>
      </c>
      <c r="J517" s="5">
        <f>-SUMIFS(CARGA!K:K,CARGA!B:B,tabla!A517,CARGA!D:D,tabla!C517,CARGA!C:C,MAESTRO!$B$4)+SUMIFS(CARGA!K:K,CARGA!B:B,tabla!A517,CARGA!D:D,tabla!C517,CARGA!C:C,MAESTRO!$B$5)</f>
        <v>0</v>
      </c>
      <c r="K517" s="5" t="e">
        <f>+VLOOKUP(C517,#REF!,3,FALSE)</f>
        <v>#REF!</v>
      </c>
      <c r="L517" s="5" t="e">
        <f t="shared" si="122"/>
        <v>#REF!</v>
      </c>
      <c r="M517" s="5" t="e">
        <f t="shared" si="123"/>
        <v>#REF!</v>
      </c>
      <c r="N517" s="5" t="str">
        <f t="shared" si="124"/>
        <v>NO</v>
      </c>
      <c r="O517" s="5" t="e">
        <f>+VLOOKUP(C517,[2]Fondos!$F:$J,5,FALSE)</f>
        <v>#N/A</v>
      </c>
      <c r="P517" s="13" t="e">
        <f>+VLOOKUP(C517,[2]Fondos!$F:$K,6,FALSE)</f>
        <v>#N/A</v>
      </c>
      <c r="Q517" s="13" t="e">
        <f t="shared" si="125"/>
        <v>#N/A</v>
      </c>
      <c r="R517" s="10" t="e">
        <f>+IF(Q517&gt;MAESTRO!$G$6,0,1)</f>
        <v>#N/A</v>
      </c>
      <c r="S517" t="e">
        <f>+IF(P517&lt;MAESTRO!$G$8,0,1)</f>
        <v>#N/A</v>
      </c>
      <c r="T517" s="10" t="e">
        <f t="shared" si="126"/>
        <v>#N/A</v>
      </c>
      <c r="U517" t="e">
        <f>+IF(R517+S517=2,MAESTRO!$G$2,IF(R517+S517=0,MAESTRO!$G$5,IF(R517=0,MAESTRO!$G$3,IF(S517=0,MAESTRO!$G$4,))))</f>
        <v>#N/A</v>
      </c>
    </row>
    <row r="518" spans="1:21" x14ac:dyDescent="0.3">
      <c r="A518" t="s">
        <v>137</v>
      </c>
      <c r="B518" t="s">
        <v>30</v>
      </c>
      <c r="C518" t="s">
        <v>49</v>
      </c>
      <c r="D518" t="s">
        <v>81</v>
      </c>
      <c r="E518" s="24">
        <f t="shared" si="120"/>
        <v>0</v>
      </c>
      <c r="F518" s="22">
        <f>-SUMIFS(CARGA!I:I,CARGA!B:B,tabla!A518,CARGA!D:D,tabla!C518,CARGA!C:C,MAESTRO!$B$4)-SUMIFS(CARGA!I:I,CARGA!B:B,tabla!A518,CARGA!D:D,tabla!C518,CARGA!C:C,MAESTRO!$B$5)</f>
        <v>0</v>
      </c>
      <c r="G518" s="5">
        <f>+SUMIFS(CARGA!I:I,CARGA!B:B,tabla!A518,CARGA!D:D,tabla!C518)</f>
        <v>0</v>
      </c>
      <c r="H518" s="5">
        <f>+SUMIFS(CARGA!K:K,CARGA!B:B,tabla!A518,CARGA!D:D,tabla!C518)</f>
        <v>0</v>
      </c>
      <c r="I518" s="5">
        <f t="shared" si="121"/>
        <v>0</v>
      </c>
      <c r="J518" s="5">
        <f>-SUMIFS(CARGA!K:K,CARGA!B:B,tabla!A518,CARGA!D:D,tabla!C518,CARGA!C:C,MAESTRO!$B$4)+SUMIFS(CARGA!K:K,CARGA!B:B,tabla!A518,CARGA!D:D,tabla!C518,CARGA!C:C,MAESTRO!$B$5)</f>
        <v>0</v>
      </c>
      <c r="K518" s="5" t="e">
        <f>+VLOOKUP(C518,#REF!,3,FALSE)</f>
        <v>#REF!</v>
      </c>
      <c r="L518" s="5" t="e">
        <f t="shared" si="122"/>
        <v>#REF!</v>
      </c>
      <c r="M518" s="5" t="e">
        <f t="shared" si="123"/>
        <v>#REF!</v>
      </c>
      <c r="N518" s="5" t="str">
        <f t="shared" si="124"/>
        <v>NO</v>
      </c>
      <c r="O518" s="5">
        <f>+VLOOKUP(C518,[2]Fondos!$F:$J,5,FALSE)</f>
        <v>9591427.7400000002</v>
      </c>
      <c r="P518" s="13">
        <f>+VLOOKUP(C518,[2]Fondos!$F:$K,6,FALSE)</f>
        <v>0.1408799</v>
      </c>
      <c r="Q518" s="13">
        <f t="shared" si="125"/>
        <v>0</v>
      </c>
      <c r="R518" s="10">
        <f>+IF(Q518&gt;MAESTRO!$G$6,0,1)</f>
        <v>1</v>
      </c>
      <c r="S518">
        <f>+IF(P518&lt;MAESTRO!$G$8,0,1)</f>
        <v>1</v>
      </c>
      <c r="T518" s="10">
        <f t="shared" si="126"/>
        <v>2</v>
      </c>
      <c r="U518" t="str">
        <f>+IF(R518+S518=2,MAESTRO!$G$2,IF(R518+S518=0,MAESTRO!$G$5,IF(R518=0,MAESTRO!$G$3,IF(S518=0,MAESTRO!$G$4,))))</f>
        <v>cumple politica</v>
      </c>
    </row>
    <row r="519" spans="1:21" x14ac:dyDescent="0.3">
      <c r="A519" t="s">
        <v>137</v>
      </c>
      <c r="B519" t="s">
        <v>30</v>
      </c>
      <c r="C519" t="s">
        <v>68</v>
      </c>
      <c r="D519" t="s">
        <v>82</v>
      </c>
      <c r="E519" s="24">
        <f t="shared" si="120"/>
        <v>0</v>
      </c>
      <c r="F519" s="22">
        <f>-SUMIFS(CARGA!I:I,CARGA!B:B,tabla!A519,CARGA!D:D,tabla!C519,CARGA!C:C,MAESTRO!$B$4)-SUMIFS(CARGA!I:I,CARGA!B:B,tabla!A519,CARGA!D:D,tabla!C519,CARGA!C:C,MAESTRO!$B$5)</f>
        <v>0</v>
      </c>
      <c r="G519" s="5">
        <f>+SUMIFS(CARGA!I:I,CARGA!B:B,tabla!A519,CARGA!D:D,tabla!C519)</f>
        <v>0</v>
      </c>
      <c r="H519" s="5">
        <f>+SUMIFS(CARGA!K:K,CARGA!B:B,tabla!A519,CARGA!D:D,tabla!C519)</f>
        <v>0</v>
      </c>
      <c r="I519" s="5">
        <f t="shared" si="121"/>
        <v>0</v>
      </c>
      <c r="J519" s="5">
        <f>-SUMIFS(CARGA!K:K,CARGA!B:B,tabla!A519,CARGA!D:D,tabla!C519,CARGA!C:C,MAESTRO!$B$4)+SUMIFS(CARGA!K:K,CARGA!B:B,tabla!A519,CARGA!D:D,tabla!C519,CARGA!C:C,MAESTRO!$B$5)</f>
        <v>0</v>
      </c>
      <c r="K519" s="5" t="e">
        <f>+VLOOKUP(C519,#REF!,3,FALSE)</f>
        <v>#REF!</v>
      </c>
      <c r="L519" s="5" t="e">
        <f t="shared" si="122"/>
        <v>#REF!</v>
      </c>
      <c r="M519" s="5" t="e">
        <f t="shared" si="123"/>
        <v>#REF!</v>
      </c>
      <c r="N519" s="5" t="str">
        <f t="shared" si="124"/>
        <v>NO</v>
      </c>
      <c r="O519" s="5">
        <f>+VLOOKUP(C519,[2]Fondos!$F:$J,5,FALSE)</f>
        <v>5034893543.9799995</v>
      </c>
      <c r="P519" s="13">
        <f>+VLOOKUP(C519,[2]Fondos!$F:$K,6,FALSE)</f>
        <v>0.27295020000000003</v>
      </c>
      <c r="Q519" s="13">
        <f t="shared" si="125"/>
        <v>0</v>
      </c>
      <c r="R519" s="10">
        <f>+IF(Q519&gt;MAESTRO!$G$6,0,1)</f>
        <v>1</v>
      </c>
      <c r="S519">
        <f>+IF(P519&lt;MAESTRO!$G$8,0,1)</f>
        <v>1</v>
      </c>
      <c r="T519" s="10">
        <f t="shared" si="126"/>
        <v>2</v>
      </c>
      <c r="U519" t="str">
        <f>+IF(R519+S519=2,MAESTRO!$G$2,IF(R519+S519=0,MAESTRO!$G$5,IF(R519=0,MAESTRO!$G$3,IF(S519=0,MAESTRO!$G$4,))))</f>
        <v>cumple politica</v>
      </c>
    </row>
    <row r="520" spans="1:21" x14ac:dyDescent="0.3">
      <c r="A520" t="s">
        <v>137</v>
      </c>
      <c r="B520" t="s">
        <v>30</v>
      </c>
      <c r="C520" t="s">
        <v>67</v>
      </c>
      <c r="D520" t="s">
        <v>82</v>
      </c>
      <c r="E520" s="24">
        <f t="shared" si="120"/>
        <v>0</v>
      </c>
      <c r="F520" s="22">
        <f>-SUMIFS(CARGA!I:I,CARGA!B:B,tabla!A520,CARGA!D:D,tabla!C520,CARGA!C:C,MAESTRO!$B$4)-SUMIFS(CARGA!I:I,CARGA!B:B,tabla!A520,CARGA!D:D,tabla!C520,CARGA!C:C,MAESTRO!$B$5)</f>
        <v>0</v>
      </c>
      <c r="G520" s="5">
        <f>+SUMIFS(CARGA!I:I,CARGA!B:B,tabla!A520,CARGA!D:D,tabla!C520)</f>
        <v>0</v>
      </c>
      <c r="H520" s="5">
        <f>+SUMIFS(CARGA!K:K,CARGA!B:B,tabla!A520,CARGA!D:D,tabla!C520)</f>
        <v>0</v>
      </c>
      <c r="I520" s="5">
        <f t="shared" si="121"/>
        <v>0</v>
      </c>
      <c r="J520" s="5">
        <f>-SUMIFS(CARGA!K:K,CARGA!B:B,tabla!A520,CARGA!D:D,tabla!C520,CARGA!C:C,MAESTRO!$B$4)+SUMIFS(CARGA!K:K,CARGA!B:B,tabla!A520,CARGA!D:D,tabla!C520,CARGA!C:C,MAESTRO!$B$5)</f>
        <v>0</v>
      </c>
      <c r="K520" s="5" t="e">
        <f>+VLOOKUP(C520,#REF!,3,FALSE)</f>
        <v>#REF!</v>
      </c>
      <c r="L520" s="5" t="e">
        <f t="shared" si="122"/>
        <v>#REF!</v>
      </c>
      <c r="M520" s="5" t="e">
        <f t="shared" si="123"/>
        <v>#REF!</v>
      </c>
      <c r="N520" s="5" t="str">
        <f t="shared" si="124"/>
        <v>NO</v>
      </c>
      <c r="O520" s="5">
        <f>+VLOOKUP(C520,[2]Fondos!$F:$J,5,FALSE)</f>
        <v>11465050695.200001</v>
      </c>
      <c r="P520" s="13">
        <f>+VLOOKUP(C520,[2]Fondos!$F:$K,6,FALSE)</f>
        <v>0.2357329</v>
      </c>
      <c r="Q520" s="13">
        <f t="shared" si="125"/>
        <v>0</v>
      </c>
      <c r="R520" s="10">
        <f>+IF(Q520&gt;MAESTRO!$G$6,0,1)</f>
        <v>1</v>
      </c>
      <c r="S520">
        <f>+IF(P520&lt;MAESTRO!$G$8,0,1)</f>
        <v>1</v>
      </c>
      <c r="T520" s="10">
        <f t="shared" si="126"/>
        <v>2</v>
      </c>
      <c r="U520" t="str">
        <f>+IF(R520+S520=2,MAESTRO!$G$2,IF(R520+S520=0,MAESTRO!$G$5,IF(R520=0,MAESTRO!$G$3,IF(S520=0,MAESTRO!$G$4,))))</f>
        <v>cumple politica</v>
      </c>
    </row>
    <row r="521" spans="1:21" x14ac:dyDescent="0.3">
      <c r="A521" t="s">
        <v>137</v>
      </c>
      <c r="B521" t="s">
        <v>29</v>
      </c>
      <c r="C521" t="s">
        <v>48</v>
      </c>
      <c r="D521" t="s">
        <v>81</v>
      </c>
      <c r="E521" s="24">
        <f t="shared" si="120"/>
        <v>0</v>
      </c>
      <c r="F521" s="22">
        <f>-SUMIFS(CARGA!I:I,CARGA!B:B,tabla!A521,CARGA!D:D,tabla!C521,CARGA!C:C,MAESTRO!$B$4)-SUMIFS(CARGA!I:I,CARGA!B:B,tabla!A521,CARGA!D:D,tabla!C521,CARGA!C:C,MAESTRO!$B$5)</f>
        <v>0</v>
      </c>
      <c r="G521" s="5">
        <f>+SUMIFS(CARGA!I:I,CARGA!B:B,tabla!A521,CARGA!D:D,tabla!C521)</f>
        <v>0</v>
      </c>
      <c r="H521" s="5">
        <f>+SUMIFS(CARGA!K:K,CARGA!B:B,tabla!A521,CARGA!D:D,tabla!C521)</f>
        <v>0</v>
      </c>
      <c r="I521" s="5">
        <f t="shared" si="121"/>
        <v>0</v>
      </c>
      <c r="J521" s="5">
        <f>-SUMIFS(CARGA!K:K,CARGA!B:B,tabla!A521,CARGA!D:D,tabla!C521,CARGA!C:C,MAESTRO!$B$4)+SUMIFS(CARGA!K:K,CARGA!B:B,tabla!A521,CARGA!D:D,tabla!C521,CARGA!C:C,MAESTRO!$B$5)</f>
        <v>0</v>
      </c>
      <c r="K521" s="5" t="e">
        <f>+VLOOKUP(C521,#REF!,3,FALSE)</f>
        <v>#REF!</v>
      </c>
      <c r="L521" s="5" t="e">
        <f t="shared" si="122"/>
        <v>#REF!</v>
      </c>
      <c r="M521" s="5" t="e">
        <f t="shared" si="123"/>
        <v>#REF!</v>
      </c>
      <c r="N521" s="5" t="str">
        <f t="shared" si="124"/>
        <v>NO</v>
      </c>
      <c r="O521" s="5">
        <f>+VLOOKUP(C521,[2]Fondos!$F:$J,5,FALSE)</f>
        <v>1752057008.8599999</v>
      </c>
      <c r="P521" s="13">
        <f>+VLOOKUP(C521,[2]Fondos!$F:$K,6,FALSE)</f>
        <v>0.21970210000000001</v>
      </c>
      <c r="Q521" s="13">
        <f t="shared" si="125"/>
        <v>0</v>
      </c>
      <c r="R521" s="10">
        <f>+IF(Q521&gt;MAESTRO!$G$6,0,1)</f>
        <v>1</v>
      </c>
      <c r="S521">
        <f>+IF(P521&lt;MAESTRO!$G$8,0,1)</f>
        <v>1</v>
      </c>
      <c r="T521" s="10">
        <f t="shared" si="126"/>
        <v>2</v>
      </c>
      <c r="U521" t="str">
        <f>+IF(R521+S521=2,MAESTRO!$G$2,IF(R521+S521=0,MAESTRO!$G$5,IF(R521=0,MAESTRO!$G$3,IF(S521=0,MAESTRO!$G$4,))))</f>
        <v>cumple politica</v>
      </c>
    </row>
    <row r="522" spans="1:21" x14ac:dyDescent="0.3">
      <c r="A522" t="s">
        <v>137</v>
      </c>
      <c r="B522" t="s">
        <v>29</v>
      </c>
      <c r="C522" t="s">
        <v>66</v>
      </c>
      <c r="D522" t="s">
        <v>82</v>
      </c>
      <c r="E522" s="24">
        <f t="shared" si="120"/>
        <v>0</v>
      </c>
      <c r="F522" s="22">
        <f>-SUMIFS(CARGA!I:I,CARGA!B:B,tabla!A522,CARGA!D:D,tabla!C522,CARGA!C:C,MAESTRO!$B$4)-SUMIFS(CARGA!I:I,CARGA!B:B,tabla!A522,CARGA!D:D,tabla!C522,CARGA!C:C,MAESTRO!$B$5)</f>
        <v>0</v>
      </c>
      <c r="G522" s="5">
        <f>+SUMIFS(CARGA!I:I,CARGA!B:B,tabla!A522,CARGA!D:D,tabla!C522)</f>
        <v>0</v>
      </c>
      <c r="H522" s="5">
        <f>+SUMIFS(CARGA!K:K,CARGA!B:B,tabla!A522,CARGA!D:D,tabla!C522)</f>
        <v>0</v>
      </c>
      <c r="I522" s="5">
        <f t="shared" si="121"/>
        <v>0</v>
      </c>
      <c r="J522" s="5">
        <f>-SUMIFS(CARGA!K:K,CARGA!B:B,tabla!A522,CARGA!D:D,tabla!C522,CARGA!C:C,MAESTRO!$B$4)+SUMIFS(CARGA!K:K,CARGA!B:B,tabla!A522,CARGA!D:D,tabla!C522,CARGA!C:C,MAESTRO!$B$5)</f>
        <v>0</v>
      </c>
      <c r="K522" s="5" t="e">
        <f>+VLOOKUP(C522,#REF!,3,FALSE)</f>
        <v>#REF!</v>
      </c>
      <c r="L522" s="5" t="e">
        <f t="shared" si="122"/>
        <v>#REF!</v>
      </c>
      <c r="M522" s="5" t="e">
        <f t="shared" si="123"/>
        <v>#REF!</v>
      </c>
      <c r="N522" s="5" t="str">
        <f t="shared" si="124"/>
        <v>NO</v>
      </c>
      <c r="O522" s="5">
        <f>+VLOOKUP(C522,[2]Fondos!$F:$J,5,FALSE)</f>
        <v>15968105687.34</v>
      </c>
      <c r="P522" s="13">
        <f>+VLOOKUP(C522,[2]Fondos!$F:$K,6,FALSE)</f>
        <v>0.27123580000000003</v>
      </c>
      <c r="Q522" s="13">
        <f t="shared" si="125"/>
        <v>0</v>
      </c>
      <c r="R522" s="10">
        <f>+IF(Q522&gt;MAESTRO!$G$6,0,1)</f>
        <v>1</v>
      </c>
      <c r="S522">
        <f>+IF(P522&lt;MAESTRO!$G$8,0,1)</f>
        <v>1</v>
      </c>
      <c r="T522" s="10">
        <f t="shared" si="126"/>
        <v>2</v>
      </c>
      <c r="U522" t="str">
        <f>+IF(R522+S522=2,MAESTRO!$G$2,IF(R522+S522=0,MAESTRO!$G$5,IF(R522=0,MAESTRO!$G$3,IF(S522=0,MAESTRO!$G$4,))))</f>
        <v>cumple politica</v>
      </c>
    </row>
    <row r="523" spans="1:21" x14ac:dyDescent="0.3">
      <c r="A523" t="s">
        <v>137</v>
      </c>
      <c r="B523" t="s">
        <v>29</v>
      </c>
      <c r="C523" t="s">
        <v>110</v>
      </c>
      <c r="D523" t="s">
        <v>83</v>
      </c>
      <c r="E523" s="24">
        <f t="shared" si="120"/>
        <v>0</v>
      </c>
      <c r="F523" s="22">
        <f>-SUMIFS(CARGA!I:I,CARGA!B:B,tabla!A523,CARGA!D:D,tabla!C523,CARGA!C:C,MAESTRO!$B$4)-SUMIFS(CARGA!I:I,CARGA!B:B,tabla!A523,CARGA!D:D,tabla!C523,CARGA!C:C,MAESTRO!$B$5)</f>
        <v>0</v>
      </c>
      <c r="G523" s="5">
        <f>+SUMIFS(CARGA!I:I,CARGA!B:B,tabla!A523,CARGA!D:D,tabla!C523)</f>
        <v>0</v>
      </c>
      <c r="H523" s="5">
        <f>+SUMIFS(CARGA!K:K,CARGA!B:B,tabla!A523,CARGA!D:D,tabla!C523)</f>
        <v>0</v>
      </c>
      <c r="I523" s="5">
        <f t="shared" si="121"/>
        <v>0</v>
      </c>
      <c r="J523" s="5">
        <f>-SUMIFS(CARGA!K:K,CARGA!B:B,tabla!A523,CARGA!D:D,tabla!C523,CARGA!C:C,MAESTRO!$B$4)+SUMIFS(CARGA!K:K,CARGA!B:B,tabla!A523,CARGA!D:D,tabla!C523,CARGA!C:C,MAESTRO!$B$5)</f>
        <v>0</v>
      </c>
      <c r="K523" s="5" t="e">
        <f>+VLOOKUP(C523,#REF!,3,FALSE)</f>
        <v>#REF!</v>
      </c>
      <c r="L523" s="5" t="e">
        <f t="shared" si="122"/>
        <v>#REF!</v>
      </c>
      <c r="M523" s="5" t="e">
        <f t="shared" si="123"/>
        <v>#REF!</v>
      </c>
      <c r="N523" s="5" t="str">
        <f t="shared" si="124"/>
        <v>NO</v>
      </c>
      <c r="O523" s="5" t="e">
        <f>+VLOOKUP(C523,[2]Fondos!$F:$J,5,FALSE)</f>
        <v>#N/A</v>
      </c>
      <c r="P523" s="13" t="e">
        <f>+VLOOKUP(C523,[2]Fondos!$F:$K,6,FALSE)</f>
        <v>#N/A</v>
      </c>
      <c r="Q523" s="13" t="e">
        <f t="shared" si="125"/>
        <v>#N/A</v>
      </c>
      <c r="R523" s="10" t="e">
        <f>+IF(Q523&gt;MAESTRO!$G$6,0,1)</f>
        <v>#N/A</v>
      </c>
      <c r="S523" t="e">
        <f>+IF(P523&lt;MAESTRO!$G$8,0,1)</f>
        <v>#N/A</v>
      </c>
      <c r="T523" s="10" t="e">
        <f t="shared" si="126"/>
        <v>#N/A</v>
      </c>
      <c r="U523" t="e">
        <f>+IF(R523+S523=2,MAESTRO!$G$2,IF(R523+S523=0,MAESTRO!$G$5,IF(R523=0,MAESTRO!$G$3,IF(S523=0,MAESTRO!$G$4,))))</f>
        <v>#N/A</v>
      </c>
    </row>
    <row r="524" spans="1:21" x14ac:dyDescent="0.3">
      <c r="A524" t="s">
        <v>137</v>
      </c>
      <c r="B524" t="s">
        <v>24</v>
      </c>
      <c r="C524" t="s">
        <v>39</v>
      </c>
      <c r="D524" t="s">
        <v>81</v>
      </c>
      <c r="E524" s="24">
        <f t="shared" si="120"/>
        <v>0</v>
      </c>
      <c r="F524" s="22">
        <f>-SUMIFS(CARGA!I:I,CARGA!B:B,tabla!A524,CARGA!D:D,tabla!C524,CARGA!C:C,MAESTRO!$B$4)-SUMIFS(CARGA!I:I,CARGA!B:B,tabla!A524,CARGA!D:D,tabla!C524,CARGA!C:C,MAESTRO!$B$5)</f>
        <v>0</v>
      </c>
      <c r="G524" s="5">
        <f>+SUMIFS(CARGA!I:I,CARGA!B:B,tabla!A524,CARGA!D:D,tabla!C524)</f>
        <v>0</v>
      </c>
      <c r="H524" s="5">
        <f>+SUMIFS(CARGA!K:K,CARGA!B:B,tabla!A524,CARGA!D:D,tabla!C524)</f>
        <v>0</v>
      </c>
      <c r="I524" s="5">
        <f t="shared" si="121"/>
        <v>0</v>
      </c>
      <c r="J524" s="5">
        <f>-SUMIFS(CARGA!K:K,CARGA!B:B,tabla!A524,CARGA!D:D,tabla!C524,CARGA!C:C,MAESTRO!$B$4)+SUMIFS(CARGA!K:K,CARGA!B:B,tabla!A524,CARGA!D:D,tabla!C524,CARGA!C:C,MAESTRO!$B$5)</f>
        <v>0</v>
      </c>
      <c r="K524" s="5" t="e">
        <f>+VLOOKUP(C524,#REF!,3,FALSE)</f>
        <v>#REF!</v>
      </c>
      <c r="L524" s="5" t="e">
        <f t="shared" si="122"/>
        <v>#REF!</v>
      </c>
      <c r="M524" s="5" t="e">
        <f t="shared" si="123"/>
        <v>#REF!</v>
      </c>
      <c r="N524" s="5" t="str">
        <f t="shared" si="124"/>
        <v>NO</v>
      </c>
      <c r="O524" s="5">
        <f>+VLOOKUP(C524,[2]Fondos!$F:$J,5,FALSE)</f>
        <v>2294506221</v>
      </c>
      <c r="P524" s="13">
        <f>+VLOOKUP(C524,[2]Fondos!$F:$K,6,FALSE)</f>
        <v>0.21526589999999998</v>
      </c>
      <c r="Q524" s="13">
        <f t="shared" si="125"/>
        <v>0</v>
      </c>
      <c r="R524" s="10">
        <f>+IF(Q524&gt;MAESTRO!$G$6,0,1)</f>
        <v>1</v>
      </c>
      <c r="S524">
        <f>+IF(P524&lt;MAESTRO!$G$8,0,1)</f>
        <v>1</v>
      </c>
      <c r="T524" s="10">
        <f t="shared" si="126"/>
        <v>2</v>
      </c>
      <c r="U524" t="str">
        <f>+IF(R524+S524=2,MAESTRO!$G$2,IF(R524+S524=0,MAESTRO!$G$5,IF(R524=0,MAESTRO!$G$3,IF(S524=0,MAESTRO!$G$4,))))</f>
        <v>cumple politica</v>
      </c>
    </row>
    <row r="525" spans="1:21" x14ac:dyDescent="0.3">
      <c r="A525" t="s">
        <v>137</v>
      </c>
      <c r="B525" t="s">
        <v>24</v>
      </c>
      <c r="C525" t="s">
        <v>80</v>
      </c>
      <c r="D525" t="s">
        <v>82</v>
      </c>
      <c r="E525" s="24">
        <f t="shared" si="120"/>
        <v>0</v>
      </c>
      <c r="F525" s="22">
        <f>-SUMIFS(CARGA!I:I,CARGA!B:B,tabla!A525,CARGA!D:D,tabla!C525,CARGA!C:C,MAESTRO!$B$4)-SUMIFS(CARGA!I:I,CARGA!B:B,tabla!A525,CARGA!D:D,tabla!C525,CARGA!C:C,MAESTRO!$B$5)</f>
        <v>0</v>
      </c>
      <c r="G525" s="5">
        <f>+SUMIFS(CARGA!I:I,CARGA!B:B,tabla!A525,CARGA!D:D,tabla!C525)</f>
        <v>0</v>
      </c>
      <c r="H525" s="5">
        <f>+SUMIFS(CARGA!K:K,CARGA!B:B,tabla!A525,CARGA!D:D,tabla!C525)</f>
        <v>0</v>
      </c>
      <c r="I525" s="5">
        <f t="shared" si="121"/>
        <v>0</v>
      </c>
      <c r="J525" s="5">
        <f>-SUMIFS(CARGA!K:K,CARGA!B:B,tabla!A525,CARGA!D:D,tabla!C525,CARGA!C:C,MAESTRO!$B$4)+SUMIFS(CARGA!K:K,CARGA!B:B,tabla!A525,CARGA!D:D,tabla!C525,CARGA!C:C,MAESTRO!$B$5)</f>
        <v>0</v>
      </c>
      <c r="K525" s="5" t="e">
        <f>+VLOOKUP(C525,#REF!,3,FALSE)</f>
        <v>#REF!</v>
      </c>
      <c r="L525" s="5" t="e">
        <f t="shared" si="122"/>
        <v>#REF!</v>
      </c>
      <c r="M525" s="5" t="e">
        <f t="shared" si="123"/>
        <v>#REF!</v>
      </c>
      <c r="N525" s="5" t="str">
        <f t="shared" si="124"/>
        <v>NO</v>
      </c>
      <c r="O525" s="5">
        <f>+VLOOKUP(C525,[2]Fondos!$F:$J,5,FALSE)</f>
        <v>8324714840</v>
      </c>
      <c r="P525" s="13">
        <f>+VLOOKUP(C525,[2]Fondos!$F:$K,6,FALSE)</f>
        <v>0.27053379999999999</v>
      </c>
      <c r="Q525" s="13">
        <f t="shared" si="125"/>
        <v>0</v>
      </c>
      <c r="R525" s="10">
        <f>+IF(Q525&gt;MAESTRO!$G$6,0,1)</f>
        <v>1</v>
      </c>
      <c r="S525">
        <f>+IF(P525&lt;MAESTRO!$G$8,0,1)</f>
        <v>1</v>
      </c>
      <c r="T525" s="10">
        <f t="shared" si="126"/>
        <v>2</v>
      </c>
      <c r="U525" t="str">
        <f>+IF(R525+S525=2,MAESTRO!$G$2,IF(R525+S525=0,MAESTRO!$G$5,IF(R525=0,MAESTRO!$G$3,IF(S525=0,MAESTRO!$G$4,))))</f>
        <v>cumple politica</v>
      </c>
    </row>
    <row r="526" spans="1:21" x14ac:dyDescent="0.3">
      <c r="A526" t="s">
        <v>137</v>
      </c>
      <c r="B526" t="s">
        <v>24</v>
      </c>
      <c r="C526" t="s">
        <v>62</v>
      </c>
      <c r="D526" t="s">
        <v>82</v>
      </c>
      <c r="E526" s="24">
        <f t="shared" si="120"/>
        <v>0</v>
      </c>
      <c r="F526" s="22">
        <f>-SUMIFS(CARGA!I:I,CARGA!B:B,tabla!A526,CARGA!D:D,tabla!C526,CARGA!C:C,MAESTRO!$B$4)-SUMIFS(CARGA!I:I,CARGA!B:B,tabla!A526,CARGA!D:D,tabla!C526,CARGA!C:C,MAESTRO!$B$5)</f>
        <v>0</v>
      </c>
      <c r="G526" s="5">
        <f>+SUMIFS(CARGA!I:I,CARGA!B:B,tabla!A526,CARGA!D:D,tabla!C526)</f>
        <v>0</v>
      </c>
      <c r="H526" s="5">
        <f>+SUMIFS(CARGA!K:K,CARGA!B:B,tabla!A526,CARGA!D:D,tabla!C526)</f>
        <v>0</v>
      </c>
      <c r="I526" s="5">
        <f t="shared" si="121"/>
        <v>0</v>
      </c>
      <c r="J526" s="5">
        <f>-SUMIFS(CARGA!K:K,CARGA!B:B,tabla!A526,CARGA!D:D,tabla!C526,CARGA!C:C,MAESTRO!$B$4)+SUMIFS(CARGA!K:K,CARGA!B:B,tabla!A526,CARGA!D:D,tabla!C526,CARGA!C:C,MAESTRO!$B$5)</f>
        <v>0</v>
      </c>
      <c r="K526" s="5" t="e">
        <f>+VLOOKUP(C526,#REF!,3,FALSE)</f>
        <v>#REF!</v>
      </c>
      <c r="L526" s="5" t="e">
        <f t="shared" si="122"/>
        <v>#REF!</v>
      </c>
      <c r="M526" s="5" t="e">
        <f t="shared" si="123"/>
        <v>#REF!</v>
      </c>
      <c r="N526" s="5" t="str">
        <f t="shared" si="124"/>
        <v>NO</v>
      </c>
      <c r="O526" s="5">
        <f>+VLOOKUP(C526,[2]Fondos!$F:$J,5,FALSE)</f>
        <v>2635564025</v>
      </c>
      <c r="P526" s="13">
        <f>+VLOOKUP(C526,[2]Fondos!$F:$K,6,FALSE)</f>
        <v>0.26226080000000002</v>
      </c>
      <c r="Q526" s="13">
        <f t="shared" si="125"/>
        <v>0</v>
      </c>
      <c r="R526" s="10">
        <f>+IF(Q526&gt;MAESTRO!$G$6,0,1)</f>
        <v>1</v>
      </c>
      <c r="S526">
        <f>+IF(P526&lt;MAESTRO!$G$8,0,1)</f>
        <v>1</v>
      </c>
      <c r="T526" s="10">
        <f t="shared" si="126"/>
        <v>2</v>
      </c>
      <c r="U526" t="str">
        <f>+IF(R526+S526=2,MAESTRO!$G$2,IF(R526+S526=0,MAESTRO!$G$5,IF(R526=0,MAESTRO!$G$3,IF(S526=0,MAESTRO!$G$4,))))</f>
        <v>cumple politica</v>
      </c>
    </row>
    <row r="527" spans="1:21" x14ac:dyDescent="0.3">
      <c r="A527" t="s">
        <v>137</v>
      </c>
      <c r="B527" t="s">
        <v>32</v>
      </c>
      <c r="C527" t="s">
        <v>71</v>
      </c>
      <c r="D527" t="s">
        <v>82</v>
      </c>
      <c r="E527" s="24">
        <f t="shared" si="120"/>
        <v>0</v>
      </c>
      <c r="F527" s="22">
        <f>-SUMIFS(CARGA!I:I,CARGA!B:B,tabla!A527,CARGA!D:D,tabla!C527,CARGA!C:C,MAESTRO!$B$4)-SUMIFS(CARGA!I:I,CARGA!B:B,tabla!A527,CARGA!D:D,tabla!C527,CARGA!C:C,MAESTRO!$B$5)</f>
        <v>0</v>
      </c>
      <c r="G527" s="5">
        <f>+SUMIFS(CARGA!I:I,CARGA!B:B,tabla!A527,CARGA!D:D,tabla!C527)</f>
        <v>0</v>
      </c>
      <c r="H527" s="5">
        <f>+SUMIFS(CARGA!K:K,CARGA!B:B,tabla!A527,CARGA!D:D,tabla!C527)</f>
        <v>0</v>
      </c>
      <c r="I527" s="5">
        <f t="shared" si="121"/>
        <v>0</v>
      </c>
      <c r="J527" s="5">
        <f>-SUMIFS(CARGA!K:K,CARGA!B:B,tabla!A527,CARGA!D:D,tabla!C527,CARGA!C:C,MAESTRO!$B$4)+SUMIFS(CARGA!K:K,CARGA!B:B,tabla!A527,CARGA!D:D,tabla!C527,CARGA!C:C,MAESTRO!$B$5)</f>
        <v>0</v>
      </c>
      <c r="K527" s="5" t="e">
        <f>+VLOOKUP(C527,#REF!,3,FALSE)</f>
        <v>#REF!</v>
      </c>
      <c r="L527" s="5" t="e">
        <f t="shared" si="122"/>
        <v>#REF!</v>
      </c>
      <c r="M527" s="5" t="e">
        <f t="shared" si="123"/>
        <v>#REF!</v>
      </c>
      <c r="N527" s="5" t="str">
        <f t="shared" si="124"/>
        <v>NO</v>
      </c>
      <c r="O527" s="5">
        <f>+VLOOKUP(C527,[2]Fondos!$F:$J,5,FALSE)</f>
        <v>240000000</v>
      </c>
      <c r="P527" s="13">
        <f>+VLOOKUP(C527,[2]Fondos!$F:$K,6,FALSE)</f>
        <v>0.27596609999999999</v>
      </c>
      <c r="Q527" s="13">
        <f t="shared" si="125"/>
        <v>0</v>
      </c>
      <c r="R527" s="10">
        <f>+IF(Q527&gt;MAESTRO!$G$6,0,1)</f>
        <v>1</v>
      </c>
      <c r="S527">
        <f>+IF(P527&lt;MAESTRO!$G$8,0,1)</f>
        <v>1</v>
      </c>
      <c r="T527" s="10">
        <f t="shared" si="126"/>
        <v>2</v>
      </c>
      <c r="U527" t="str">
        <f>+IF(R527+S527=2,MAESTRO!$G$2,IF(R527+S527=0,MAESTRO!$G$5,IF(R527=0,MAESTRO!$G$3,IF(S527=0,MAESTRO!$G$4,))))</f>
        <v>cumple politica</v>
      </c>
    </row>
    <row r="528" spans="1:21" x14ac:dyDescent="0.3">
      <c r="A528" t="s">
        <v>137</v>
      </c>
      <c r="B528" t="s">
        <v>32</v>
      </c>
      <c r="C528" t="s">
        <v>51</v>
      </c>
      <c r="D528" t="s">
        <v>81</v>
      </c>
      <c r="E528" s="24">
        <f t="shared" si="120"/>
        <v>0</v>
      </c>
      <c r="F528" s="22">
        <f>-SUMIFS(CARGA!I:I,CARGA!B:B,tabla!A528,CARGA!D:D,tabla!C528,CARGA!C:C,MAESTRO!$B$4)-SUMIFS(CARGA!I:I,CARGA!B:B,tabla!A528,CARGA!D:D,tabla!C528,CARGA!C:C,MAESTRO!$B$5)</f>
        <v>0</v>
      </c>
      <c r="G528" s="5">
        <f>+SUMIFS(CARGA!I:I,CARGA!B:B,tabla!A528,CARGA!D:D,tabla!C528)</f>
        <v>0</v>
      </c>
      <c r="H528" s="5">
        <f>+SUMIFS(CARGA!K:K,CARGA!B:B,tabla!A528,CARGA!D:D,tabla!C528)</f>
        <v>0</v>
      </c>
      <c r="I528" s="5">
        <f t="shared" si="121"/>
        <v>0</v>
      </c>
      <c r="J528" s="5">
        <f>-SUMIFS(CARGA!K:K,CARGA!B:B,tabla!A528,CARGA!D:D,tabla!C528,CARGA!C:C,MAESTRO!$B$4)+SUMIFS(CARGA!K:K,CARGA!B:B,tabla!A528,CARGA!D:D,tabla!C528,CARGA!C:C,MAESTRO!$B$5)</f>
        <v>0</v>
      </c>
      <c r="K528" s="5" t="e">
        <f>+VLOOKUP(C528,#REF!,3,FALSE)</f>
        <v>#REF!</v>
      </c>
      <c r="L528" s="5" t="e">
        <f t="shared" si="122"/>
        <v>#REF!</v>
      </c>
      <c r="M528" s="5" t="e">
        <f t="shared" si="123"/>
        <v>#REF!</v>
      </c>
      <c r="N528" s="5" t="str">
        <f t="shared" si="124"/>
        <v>NO</v>
      </c>
      <c r="O528" s="5">
        <f>+VLOOKUP(C528,[2]Fondos!$F:$J,5,FALSE)</f>
        <v>360000000</v>
      </c>
      <c r="P528" s="13">
        <f>+VLOOKUP(C528,[2]Fondos!$F:$K,6,FALSE)</f>
        <v>0.19705159999999999</v>
      </c>
      <c r="Q528" s="13">
        <f t="shared" si="125"/>
        <v>0</v>
      </c>
      <c r="R528" s="10">
        <f>+IF(Q528&gt;MAESTRO!$G$6,0,1)</f>
        <v>1</v>
      </c>
      <c r="S528">
        <f>+IF(P528&lt;MAESTRO!$G$8,0,1)</f>
        <v>1</v>
      </c>
      <c r="T528" s="10">
        <f t="shared" si="126"/>
        <v>2</v>
      </c>
      <c r="U528" t="str">
        <f>+IF(R528+S528=2,MAESTRO!$G$2,IF(R528+S528=0,MAESTRO!$G$5,IF(R528=0,MAESTRO!$G$3,IF(S528=0,MAESTRO!$G$4,))))</f>
        <v>cumple politica</v>
      </c>
    </row>
    <row r="529" spans="1:21" x14ac:dyDescent="0.3">
      <c r="A529" t="s">
        <v>137</v>
      </c>
      <c r="B529" t="s">
        <v>35</v>
      </c>
      <c r="C529" t="s">
        <v>55</v>
      </c>
      <c r="D529" t="s">
        <v>82</v>
      </c>
      <c r="E529" s="24">
        <f t="shared" si="120"/>
        <v>0</v>
      </c>
      <c r="F529" s="22">
        <f>-SUMIFS(CARGA!I:I,CARGA!B:B,tabla!A529,CARGA!D:D,tabla!C529,CARGA!C:C,MAESTRO!$B$4)-SUMIFS(CARGA!I:I,CARGA!B:B,tabla!A529,CARGA!D:D,tabla!C529,CARGA!C:C,MAESTRO!$B$5)</f>
        <v>0</v>
      </c>
      <c r="G529" s="5">
        <f>+SUMIFS(CARGA!I:I,CARGA!B:B,tabla!A529,CARGA!D:D,tabla!C529)</f>
        <v>0</v>
      </c>
      <c r="H529" s="5">
        <f>+SUMIFS(CARGA!K:K,CARGA!B:B,tabla!A529,CARGA!D:D,tabla!C529)</f>
        <v>0</v>
      </c>
      <c r="I529" s="5">
        <f t="shared" si="121"/>
        <v>0</v>
      </c>
      <c r="J529" s="5">
        <f>-SUMIFS(CARGA!K:K,CARGA!B:B,tabla!A529,CARGA!D:D,tabla!C529,CARGA!C:C,MAESTRO!$B$4)+SUMIFS(CARGA!K:K,CARGA!B:B,tabla!A529,CARGA!D:D,tabla!C529,CARGA!C:C,MAESTRO!$B$5)</f>
        <v>0</v>
      </c>
      <c r="K529" s="5" t="e">
        <f>+VLOOKUP(C529,#REF!,3,FALSE)</f>
        <v>#REF!</v>
      </c>
      <c r="L529" s="5" t="e">
        <f t="shared" si="122"/>
        <v>#REF!</v>
      </c>
      <c r="M529" s="5" t="e">
        <f t="shared" si="123"/>
        <v>#REF!</v>
      </c>
      <c r="N529" s="5" t="str">
        <f t="shared" si="124"/>
        <v>NO</v>
      </c>
      <c r="O529" s="5">
        <f>+VLOOKUP(C529,[2]Fondos!$F:$J,5,FALSE)</f>
        <v>601998365.54999995</v>
      </c>
      <c r="P529" s="13">
        <f>+VLOOKUP(C529,[2]Fondos!$F:$K,6,FALSE)</f>
        <v>0.27414070000000001</v>
      </c>
      <c r="Q529" s="13">
        <f t="shared" si="125"/>
        <v>0</v>
      </c>
      <c r="R529" s="10">
        <f>+IF(Q529&gt;MAESTRO!$G$6,0,1)</f>
        <v>1</v>
      </c>
      <c r="S529">
        <f>+IF(P529&lt;MAESTRO!$G$8,0,1)</f>
        <v>1</v>
      </c>
      <c r="T529" s="10">
        <f t="shared" si="126"/>
        <v>2</v>
      </c>
      <c r="U529" t="str">
        <f>+IF(R529+S529=2,MAESTRO!$G$2,IF(R529+S529=0,MAESTRO!$G$5,IF(R529=0,MAESTRO!$G$3,IF(S529=0,MAESTRO!$G$4,))))</f>
        <v>cumple politica</v>
      </c>
    </row>
    <row r="530" spans="1:21" x14ac:dyDescent="0.3">
      <c r="A530" t="s">
        <v>137</v>
      </c>
      <c r="B530" t="s">
        <v>23</v>
      </c>
      <c r="C530" t="s">
        <v>43</v>
      </c>
      <c r="D530" t="s">
        <v>81</v>
      </c>
      <c r="E530" s="24">
        <f t="shared" ref="E530:E536" si="127">+F530+G530</f>
        <v>0</v>
      </c>
      <c r="F530" s="22">
        <f>-SUMIFS(CARGA!I:I,CARGA!B:B,tabla!A530,CARGA!D:D,tabla!C530,CARGA!C:C,MAESTRO!$B$4)-SUMIFS(CARGA!I:I,CARGA!B:B,tabla!A530,CARGA!D:D,tabla!C530,CARGA!C:C,MAESTRO!$B$5)</f>
        <v>0</v>
      </c>
      <c r="G530" s="5">
        <f>+SUMIFS(CARGA!I:I,CARGA!B:B,tabla!A530,CARGA!D:D,tabla!C530)</f>
        <v>0</v>
      </c>
      <c r="H530" s="5">
        <f>+SUMIFS(CARGA!K:K,CARGA!B:B,tabla!A530,CARGA!D:D,tabla!C530)</f>
        <v>0</v>
      </c>
      <c r="I530" s="5">
        <f t="shared" ref="I530:I536" si="128">+H530+J530</f>
        <v>0</v>
      </c>
      <c r="J530" s="5">
        <f>-SUMIFS(CARGA!K:K,CARGA!B:B,tabla!A530,CARGA!D:D,tabla!C530,CARGA!C:C,MAESTRO!$B$4)+SUMIFS(CARGA!K:K,CARGA!B:B,tabla!A530,CARGA!D:D,tabla!C530,CARGA!C:C,MAESTRO!$B$5)</f>
        <v>0</v>
      </c>
      <c r="K530" s="5" t="e">
        <f>+VLOOKUP(C530,#REF!,3,FALSE)</f>
        <v>#REF!</v>
      </c>
      <c r="L530" s="5" t="e">
        <f t="shared" ref="L530:L536" si="129">+K530*I530</f>
        <v>#REF!</v>
      </c>
      <c r="M530" s="5" t="e">
        <f t="shared" ref="M530:M536" si="130">+K530*J530</f>
        <v>#REF!</v>
      </c>
      <c r="N530" s="5" t="str">
        <f t="shared" ref="N530:N536" si="131">+IF(G530+F530=0,"NO","SI")</f>
        <v>NO</v>
      </c>
      <c r="O530" s="5">
        <f>+VLOOKUP(C530,[2]Fondos!$F:$J,5,FALSE)</f>
        <v>3553303148</v>
      </c>
      <c r="P530" s="13">
        <f>+VLOOKUP(C530,[2]Fondos!$F:$K,6,FALSE)</f>
        <v>0.2092009</v>
      </c>
      <c r="Q530" s="13">
        <f t="shared" ref="Q530:Q536" si="132">+G530/O530</f>
        <v>0</v>
      </c>
      <c r="R530" s="10">
        <f>+IF(Q530&gt;MAESTRO!$G$6,0,1)</f>
        <v>1</v>
      </c>
      <c r="S530">
        <f>+IF(P530&lt;MAESTRO!$G$8,0,1)</f>
        <v>1</v>
      </c>
      <c r="T530" s="10">
        <f t="shared" ref="T530:T536" si="133">+R530+S530</f>
        <v>2</v>
      </c>
      <c r="U530" t="str">
        <f>+IF(R530+S530=2,MAESTRO!$G$2,IF(R530+S530=0,MAESTRO!$G$5,IF(R530=0,MAESTRO!$G$3,IF(S530=0,MAESTRO!$G$4,))))</f>
        <v>cumple politica</v>
      </c>
    </row>
    <row r="531" spans="1:21" x14ac:dyDescent="0.3">
      <c r="A531" t="s">
        <v>137</v>
      </c>
      <c r="B531" t="s">
        <v>23</v>
      </c>
      <c r="C531" t="s">
        <v>38</v>
      </c>
      <c r="D531" t="s">
        <v>81</v>
      </c>
      <c r="E531" s="24">
        <f t="shared" si="127"/>
        <v>0</v>
      </c>
      <c r="F531" s="22">
        <f>-SUMIFS(CARGA!I:I,CARGA!B:B,tabla!A531,CARGA!D:D,tabla!C531,CARGA!C:C,MAESTRO!$B$4)-SUMIFS(CARGA!I:I,CARGA!B:B,tabla!A531,CARGA!D:D,tabla!C531,CARGA!C:C,MAESTRO!$B$5)</f>
        <v>0</v>
      </c>
      <c r="G531" s="5">
        <f>+SUMIFS(CARGA!I:I,CARGA!B:B,tabla!A531,CARGA!D:D,tabla!C531)</f>
        <v>0</v>
      </c>
      <c r="H531" s="5">
        <f>+SUMIFS(CARGA!K:K,CARGA!B:B,tabla!A531,CARGA!D:D,tabla!C531)</f>
        <v>0</v>
      </c>
      <c r="I531" s="5">
        <f t="shared" si="128"/>
        <v>0</v>
      </c>
      <c r="J531" s="5">
        <f>-SUMIFS(CARGA!K:K,CARGA!B:B,tabla!A531,CARGA!D:D,tabla!C531,CARGA!C:C,MAESTRO!$B$4)+SUMIFS(CARGA!K:K,CARGA!B:B,tabla!A531,CARGA!D:D,tabla!C531,CARGA!C:C,MAESTRO!$B$5)</f>
        <v>0</v>
      </c>
      <c r="K531" s="5" t="e">
        <f>+VLOOKUP(C531,#REF!,3,FALSE)</f>
        <v>#REF!</v>
      </c>
      <c r="L531" s="5" t="e">
        <f t="shared" si="129"/>
        <v>#REF!</v>
      </c>
      <c r="M531" s="5" t="e">
        <f t="shared" si="130"/>
        <v>#REF!</v>
      </c>
      <c r="N531" s="5" t="str">
        <f t="shared" si="131"/>
        <v>NO</v>
      </c>
      <c r="O531" s="5">
        <f>+VLOOKUP(C531,[2]Fondos!$F:$J,5,FALSE)</f>
        <v>4553606100</v>
      </c>
      <c r="P531" s="13">
        <f>+VLOOKUP(C531,[2]Fondos!$F:$K,6,FALSE)</f>
        <v>0.23939009999999999</v>
      </c>
      <c r="Q531" s="13">
        <f t="shared" si="132"/>
        <v>0</v>
      </c>
      <c r="R531" s="10">
        <f>+IF(Q531&gt;MAESTRO!$G$6,0,1)</f>
        <v>1</v>
      </c>
      <c r="S531">
        <f>+IF(P531&lt;MAESTRO!$G$8,0,1)</f>
        <v>1</v>
      </c>
      <c r="T531" s="10">
        <f t="shared" si="133"/>
        <v>2</v>
      </c>
      <c r="U531" t="str">
        <f>+IF(R531+S531=2,MAESTRO!$G$2,IF(R531+S531=0,MAESTRO!$G$5,IF(R531=0,MAESTRO!$G$3,IF(S531=0,MAESTRO!$G$4,))))</f>
        <v>cumple politica</v>
      </c>
    </row>
    <row r="532" spans="1:21" x14ac:dyDescent="0.3">
      <c r="A532" t="s">
        <v>137</v>
      </c>
      <c r="B532" t="s">
        <v>23</v>
      </c>
      <c r="C532" t="s">
        <v>57</v>
      </c>
      <c r="D532" t="s">
        <v>82</v>
      </c>
      <c r="E532" s="24">
        <f t="shared" si="127"/>
        <v>0</v>
      </c>
      <c r="F532" s="22">
        <f>-SUMIFS(CARGA!I:I,CARGA!B:B,tabla!A532,CARGA!D:D,tabla!C532,CARGA!C:C,MAESTRO!$B$4)-SUMIFS(CARGA!I:I,CARGA!B:B,tabla!A532,CARGA!D:D,tabla!C532,CARGA!C:C,MAESTRO!$B$5)</f>
        <v>0</v>
      </c>
      <c r="G532" s="5">
        <f>+SUMIFS(CARGA!I:I,CARGA!B:B,tabla!A532,CARGA!D:D,tabla!C532)</f>
        <v>0</v>
      </c>
      <c r="H532" s="5">
        <f>+SUMIFS(CARGA!K:K,CARGA!B:B,tabla!A532,CARGA!D:D,tabla!C532)</f>
        <v>0</v>
      </c>
      <c r="I532" s="5">
        <f t="shared" si="128"/>
        <v>0</v>
      </c>
      <c r="J532" s="5">
        <f>-SUMIFS(CARGA!K:K,CARGA!B:B,tabla!A532,CARGA!D:D,tabla!C532,CARGA!C:C,MAESTRO!$B$4)+SUMIFS(CARGA!K:K,CARGA!B:B,tabla!A532,CARGA!D:D,tabla!C532,CARGA!C:C,MAESTRO!$B$5)</f>
        <v>0</v>
      </c>
      <c r="K532" s="5" t="e">
        <f>+VLOOKUP(C532,#REF!,3,FALSE)</f>
        <v>#REF!</v>
      </c>
      <c r="L532" s="5" t="e">
        <f t="shared" si="129"/>
        <v>#REF!</v>
      </c>
      <c r="M532" s="5" t="e">
        <f t="shared" si="130"/>
        <v>#REF!</v>
      </c>
      <c r="N532" s="5" t="str">
        <f t="shared" si="131"/>
        <v>NO</v>
      </c>
      <c r="O532" s="5">
        <f>+VLOOKUP(C532,[2]Fondos!$F:$J,5,FALSE)</f>
        <v>35515968834</v>
      </c>
      <c r="P532" s="13">
        <f>+VLOOKUP(C532,[2]Fondos!$F:$K,6,FALSE)</f>
        <v>0.26896760000000003</v>
      </c>
      <c r="Q532" s="13">
        <f t="shared" si="132"/>
        <v>0</v>
      </c>
      <c r="R532" s="10">
        <f>+IF(Q532&gt;MAESTRO!$G$6,0,1)</f>
        <v>1</v>
      </c>
      <c r="S532">
        <f>+IF(P532&lt;MAESTRO!$G$8,0,1)</f>
        <v>1</v>
      </c>
      <c r="T532" s="10">
        <f t="shared" si="133"/>
        <v>2</v>
      </c>
      <c r="U532" t="str">
        <f>+IF(R532+S532=2,MAESTRO!$G$2,IF(R532+S532=0,MAESTRO!$G$5,IF(R532=0,MAESTRO!$G$3,IF(S532=0,MAESTRO!$G$4,))))</f>
        <v>cumple politica</v>
      </c>
    </row>
    <row r="533" spans="1:21" x14ac:dyDescent="0.3">
      <c r="A533" t="s">
        <v>137</v>
      </c>
      <c r="B533" t="s">
        <v>140</v>
      </c>
      <c r="C533" t="s">
        <v>138</v>
      </c>
      <c r="D533" t="s">
        <v>82</v>
      </c>
      <c r="E533" s="24">
        <f t="shared" si="127"/>
        <v>0</v>
      </c>
      <c r="F533" s="22">
        <f>-SUMIFS(CARGA!I:I,CARGA!B:B,tabla!A533,CARGA!D:D,tabla!C533,CARGA!C:C,MAESTRO!$B$4)-SUMIFS(CARGA!I:I,CARGA!B:B,tabla!A533,CARGA!D:D,tabla!C533,CARGA!C:C,MAESTRO!$B$5)</f>
        <v>0</v>
      </c>
      <c r="G533" s="5">
        <f>+SUMIFS(CARGA!I:I,CARGA!B:B,tabla!A533,CARGA!D:D,tabla!C533)</f>
        <v>0</v>
      </c>
      <c r="H533" s="5">
        <f>+SUMIFS(CARGA!K:K,CARGA!B:B,tabla!A533,CARGA!D:D,tabla!C533)</f>
        <v>0</v>
      </c>
      <c r="I533" s="5">
        <f t="shared" si="128"/>
        <v>0</v>
      </c>
      <c r="J533" s="5">
        <f>-SUMIFS(CARGA!K:K,CARGA!B:B,tabla!A533,CARGA!D:D,tabla!C533,CARGA!C:C,MAESTRO!$B$4)+SUMIFS(CARGA!K:K,CARGA!B:B,tabla!A533,CARGA!D:D,tabla!C533,CARGA!C:C,MAESTRO!$B$5)</f>
        <v>0</v>
      </c>
      <c r="K533" s="5" t="e">
        <f>+VLOOKUP(C533,#REF!,3,FALSE)</f>
        <v>#REF!</v>
      </c>
      <c r="L533" s="5" t="e">
        <f t="shared" si="129"/>
        <v>#REF!</v>
      </c>
      <c r="M533" s="5" t="e">
        <f t="shared" si="130"/>
        <v>#REF!</v>
      </c>
      <c r="N533" s="5" t="str">
        <f t="shared" si="131"/>
        <v>NO</v>
      </c>
      <c r="O533" s="5" t="e">
        <f>+VLOOKUP(C533,[2]Fondos!$F:$J,5,FALSE)</f>
        <v>#N/A</v>
      </c>
      <c r="P533" s="13" t="e">
        <f>+VLOOKUP(C533,[2]Fondos!$F:$K,6,FALSE)</f>
        <v>#N/A</v>
      </c>
      <c r="Q533" s="13" t="e">
        <f t="shared" si="132"/>
        <v>#N/A</v>
      </c>
      <c r="R533" s="10" t="e">
        <f>+IF(Q533&gt;MAESTRO!$G$6,0,1)</f>
        <v>#N/A</v>
      </c>
      <c r="S533" t="e">
        <f>+IF(P533&lt;MAESTRO!$G$8,0,1)</f>
        <v>#N/A</v>
      </c>
      <c r="T533" s="10" t="e">
        <f t="shared" si="133"/>
        <v>#N/A</v>
      </c>
      <c r="U533" t="e">
        <f>+IF(R533+S533=2,MAESTRO!$G$2,IF(R533+S533=0,MAESTRO!$G$5,IF(R533=0,MAESTRO!$G$3,IF(S533=0,MAESTRO!$G$4,))))</f>
        <v>#N/A</v>
      </c>
    </row>
    <row r="534" spans="1:21" x14ac:dyDescent="0.3">
      <c r="A534" t="s">
        <v>137</v>
      </c>
      <c r="B534" t="s">
        <v>140</v>
      </c>
      <c r="C534" t="s">
        <v>139</v>
      </c>
      <c r="D534" t="s">
        <v>81</v>
      </c>
      <c r="E534" s="24">
        <f t="shared" si="127"/>
        <v>0</v>
      </c>
      <c r="F534" s="22">
        <f>-SUMIFS(CARGA!I:I,CARGA!B:B,tabla!A534,CARGA!D:D,tabla!C534,CARGA!C:C,MAESTRO!$B$4)-SUMIFS(CARGA!I:I,CARGA!B:B,tabla!A534,CARGA!D:D,tabla!C534,CARGA!C:C,MAESTRO!$B$5)</f>
        <v>0</v>
      </c>
      <c r="G534" s="5">
        <f>+SUMIFS(CARGA!I:I,CARGA!B:B,tabla!A534,CARGA!D:D,tabla!C534)</f>
        <v>0</v>
      </c>
      <c r="H534" s="5">
        <f>+SUMIFS(CARGA!K:K,CARGA!B:B,tabla!A534,CARGA!D:D,tabla!C534)</f>
        <v>0</v>
      </c>
      <c r="I534" s="5">
        <f t="shared" si="128"/>
        <v>0</v>
      </c>
      <c r="J534" s="5">
        <f>-SUMIFS(CARGA!K:K,CARGA!B:B,tabla!A534,CARGA!D:D,tabla!C534,CARGA!C:C,MAESTRO!$B$4)+SUMIFS(CARGA!K:K,CARGA!B:B,tabla!A534,CARGA!D:D,tabla!C534,CARGA!C:C,MAESTRO!$B$5)</f>
        <v>0</v>
      </c>
      <c r="K534" s="5" t="e">
        <f>+VLOOKUP(C534,#REF!,3,FALSE)</f>
        <v>#REF!</v>
      </c>
      <c r="L534" s="5" t="e">
        <f t="shared" si="129"/>
        <v>#REF!</v>
      </c>
      <c r="M534" s="5" t="e">
        <f t="shared" si="130"/>
        <v>#REF!</v>
      </c>
      <c r="N534" s="5" t="str">
        <f t="shared" si="131"/>
        <v>NO</v>
      </c>
      <c r="O534" s="5" t="e">
        <f>+VLOOKUP(C534,[2]Fondos!$F:$J,5,FALSE)</f>
        <v>#N/A</v>
      </c>
      <c r="P534" s="13" t="e">
        <f>+VLOOKUP(C534,[2]Fondos!$F:$K,6,FALSE)</f>
        <v>#N/A</v>
      </c>
      <c r="Q534" s="13" t="e">
        <f t="shared" si="132"/>
        <v>#N/A</v>
      </c>
      <c r="R534" s="10" t="e">
        <f>+IF(Q534&gt;MAESTRO!$G$6,0,1)</f>
        <v>#N/A</v>
      </c>
      <c r="S534" t="e">
        <f>+IF(P534&lt;MAESTRO!$G$8,0,1)</f>
        <v>#N/A</v>
      </c>
      <c r="T534" s="10" t="e">
        <f t="shared" si="133"/>
        <v>#N/A</v>
      </c>
      <c r="U534" t="e">
        <f>+IF(R534+S534=2,MAESTRO!$G$2,IF(R534+S534=0,MAESTRO!$G$5,IF(R534=0,MAESTRO!$G$3,IF(S534=0,MAESTRO!$G$4,))))</f>
        <v>#N/A</v>
      </c>
    </row>
    <row r="535" spans="1:21" x14ac:dyDescent="0.3">
      <c r="A535" t="s">
        <v>137</v>
      </c>
      <c r="B535" t="s">
        <v>134</v>
      </c>
      <c r="C535" t="s">
        <v>136</v>
      </c>
      <c r="D535" t="s">
        <v>81</v>
      </c>
      <c r="E535" s="24">
        <f t="shared" si="127"/>
        <v>0</v>
      </c>
      <c r="F535" s="22">
        <f>-SUMIFS(CARGA!I:I,CARGA!B:B,tabla!A535,CARGA!D:D,tabla!C535,CARGA!C:C,MAESTRO!$B$4)-SUMIFS(CARGA!I:I,CARGA!B:B,tabla!A535,CARGA!D:D,tabla!C535,CARGA!C:C,MAESTRO!$B$5)</f>
        <v>0</v>
      </c>
      <c r="G535" s="5">
        <f>+SUMIFS(CARGA!I:I,CARGA!B:B,tabla!A535,CARGA!D:D,tabla!C535)</f>
        <v>0</v>
      </c>
      <c r="H535" s="5">
        <f>+SUMIFS(CARGA!K:K,CARGA!B:B,tabla!A535,CARGA!D:D,tabla!C535)</f>
        <v>0</v>
      </c>
      <c r="I535" s="5">
        <f t="shared" si="128"/>
        <v>0</v>
      </c>
      <c r="J535" s="5">
        <f>-SUMIFS(CARGA!K:K,CARGA!B:B,tabla!A535,CARGA!D:D,tabla!C535,CARGA!C:C,MAESTRO!$B$4)+SUMIFS(CARGA!K:K,CARGA!B:B,tabla!A535,CARGA!D:D,tabla!C535,CARGA!C:C,MAESTRO!$B$5)</f>
        <v>0</v>
      </c>
      <c r="K535" s="5" t="e">
        <f>+VLOOKUP(C535,#REF!,3,FALSE)</f>
        <v>#REF!</v>
      </c>
      <c r="L535" s="5" t="e">
        <f t="shared" si="129"/>
        <v>#REF!</v>
      </c>
      <c r="M535" s="5" t="e">
        <f t="shared" si="130"/>
        <v>#REF!</v>
      </c>
      <c r="N535" s="5" t="str">
        <f t="shared" si="131"/>
        <v>NO</v>
      </c>
      <c r="O535" s="5" t="e">
        <f>+VLOOKUP(C535,[2]Fondos!$F:$J,5,FALSE)</f>
        <v>#N/A</v>
      </c>
      <c r="P535" s="13" t="e">
        <f>+VLOOKUP(C535,[2]Fondos!$F:$K,6,FALSE)</f>
        <v>#N/A</v>
      </c>
      <c r="Q535" s="13" t="e">
        <f t="shared" si="132"/>
        <v>#N/A</v>
      </c>
      <c r="R535" s="10" t="e">
        <f>+IF(Q535&gt;MAESTRO!$G$6,0,1)</f>
        <v>#N/A</v>
      </c>
      <c r="S535" t="e">
        <f>+IF(P535&lt;MAESTRO!$G$8,0,1)</f>
        <v>#N/A</v>
      </c>
      <c r="T535" s="10" t="e">
        <f t="shared" si="133"/>
        <v>#N/A</v>
      </c>
      <c r="U535" t="e">
        <f>+IF(R535+S535=2,MAESTRO!$G$2,IF(R535+S535=0,MAESTRO!$G$5,IF(R535=0,MAESTRO!$G$3,IF(S535=0,MAESTRO!$G$4,))))</f>
        <v>#N/A</v>
      </c>
    </row>
    <row r="536" spans="1:21" x14ac:dyDescent="0.3">
      <c r="A536" t="s">
        <v>137</v>
      </c>
      <c r="B536" t="s">
        <v>134</v>
      </c>
      <c r="C536" t="s">
        <v>135</v>
      </c>
      <c r="D536" t="s">
        <v>82</v>
      </c>
      <c r="E536" s="24">
        <f t="shared" si="127"/>
        <v>0</v>
      </c>
      <c r="F536" s="22">
        <f>-SUMIFS(CARGA!I:I,CARGA!B:B,tabla!A536,CARGA!D:D,tabla!C536,CARGA!C:C,MAESTRO!$B$4)-SUMIFS(CARGA!I:I,CARGA!B:B,tabla!A536,CARGA!D:D,tabla!C536,CARGA!C:C,MAESTRO!$B$5)</f>
        <v>0</v>
      </c>
      <c r="G536" s="5">
        <f>+SUMIFS(CARGA!I:I,CARGA!B:B,tabla!A536,CARGA!D:D,tabla!C536)</f>
        <v>0</v>
      </c>
      <c r="H536" s="5">
        <f>+SUMIFS(CARGA!K:K,CARGA!B:B,tabla!A536,CARGA!D:D,tabla!C536)</f>
        <v>0</v>
      </c>
      <c r="I536" s="5">
        <f t="shared" si="128"/>
        <v>0</v>
      </c>
      <c r="J536" s="5">
        <f>-SUMIFS(CARGA!K:K,CARGA!B:B,tabla!A536,CARGA!D:D,tabla!C536,CARGA!C:C,MAESTRO!$B$4)+SUMIFS(CARGA!K:K,CARGA!B:B,tabla!A536,CARGA!D:D,tabla!C536,CARGA!C:C,MAESTRO!$B$5)</f>
        <v>0</v>
      </c>
      <c r="K536" s="5" t="e">
        <f>+VLOOKUP(C536,#REF!,3,FALSE)</f>
        <v>#REF!</v>
      </c>
      <c r="L536" s="5" t="e">
        <f t="shared" si="129"/>
        <v>#REF!</v>
      </c>
      <c r="M536" s="5" t="e">
        <f t="shared" si="130"/>
        <v>#REF!</v>
      </c>
      <c r="N536" s="5" t="str">
        <f t="shared" si="131"/>
        <v>NO</v>
      </c>
      <c r="O536" s="5" t="e">
        <f>+VLOOKUP(C536,[2]Fondos!$F:$J,5,FALSE)</f>
        <v>#N/A</v>
      </c>
      <c r="P536" s="13" t="e">
        <f>+VLOOKUP(C536,[2]Fondos!$F:$K,6,FALSE)</f>
        <v>#N/A</v>
      </c>
      <c r="Q536" s="13" t="e">
        <f t="shared" si="132"/>
        <v>#N/A</v>
      </c>
      <c r="R536" s="10" t="e">
        <f>+IF(Q536&gt;MAESTRO!$G$6,0,1)</f>
        <v>#N/A</v>
      </c>
      <c r="S536" t="e">
        <f>+IF(P536&lt;MAESTRO!$G$8,0,1)</f>
        <v>#N/A</v>
      </c>
      <c r="T536" s="10" t="e">
        <f t="shared" si="133"/>
        <v>#N/A</v>
      </c>
      <c r="U536" t="e">
        <f>+IF(R536+S536=2,MAESTRO!$G$2,IF(R536+S536=0,MAESTRO!$G$5,IF(R536=0,MAESTRO!$G$3,IF(S536=0,MAESTRO!$G$4,))))</f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"/>
  <dimension ref="A1:O21"/>
  <sheetViews>
    <sheetView workbookViewId="0">
      <selection activeCell="B24" sqref="B24"/>
    </sheetView>
  </sheetViews>
  <sheetFormatPr baseColWidth="10" defaultRowHeight="14.4" x14ac:dyDescent="0.3"/>
  <cols>
    <col min="1" max="1" width="36.44140625" bestFit="1" customWidth="1"/>
    <col min="2" max="2" width="25.6640625" bestFit="1" customWidth="1"/>
    <col min="3" max="3" width="19.6640625" bestFit="1" customWidth="1"/>
    <col min="4" max="4" width="25.6640625" bestFit="1" customWidth="1"/>
    <col min="5" max="5" width="19.6640625" bestFit="1" customWidth="1"/>
    <col min="6" max="6" width="25.6640625" bestFit="1" customWidth="1"/>
    <col min="7" max="7" width="19.6640625" bestFit="1" customWidth="1"/>
    <col min="8" max="8" width="25.6640625" bestFit="1" customWidth="1"/>
    <col min="9" max="9" width="19.6640625" bestFit="1" customWidth="1"/>
    <col min="10" max="10" width="25.6640625" bestFit="1" customWidth="1"/>
    <col min="11" max="11" width="19.6640625" bestFit="1" customWidth="1"/>
    <col min="12" max="12" width="25.6640625" bestFit="1" customWidth="1"/>
    <col min="13" max="13" width="19.6640625" bestFit="1" customWidth="1"/>
    <col min="14" max="14" width="30.6640625" bestFit="1" customWidth="1"/>
    <col min="15" max="15" width="24.5546875" bestFit="1" customWidth="1"/>
    <col min="16" max="17" width="12" customWidth="1"/>
    <col min="18" max="18" width="20" bestFit="1" customWidth="1"/>
    <col min="19" max="19" width="13.44140625" customWidth="1"/>
    <col min="20" max="26" width="12" customWidth="1"/>
    <col min="27" max="27" width="16.5546875" customWidth="1"/>
    <col min="28" max="28" width="12.6640625" customWidth="1"/>
    <col min="29" max="29" width="15.6640625" customWidth="1"/>
    <col min="30" max="30" width="12.5546875" customWidth="1"/>
    <col min="31" max="31" width="20" bestFit="1" customWidth="1"/>
    <col min="32" max="32" width="13.44140625" bestFit="1" customWidth="1"/>
    <col min="33" max="33" width="6.6640625" customWidth="1"/>
    <col min="34" max="34" width="12" bestFit="1" customWidth="1"/>
    <col min="35" max="35" width="13.6640625" bestFit="1" customWidth="1"/>
    <col min="36" max="36" width="12" bestFit="1" customWidth="1"/>
    <col min="37" max="37" width="13.6640625" bestFit="1" customWidth="1"/>
    <col min="38" max="38" width="12" bestFit="1" customWidth="1"/>
    <col min="39" max="39" width="13.6640625" bestFit="1" customWidth="1"/>
    <col min="40" max="40" width="12" bestFit="1" customWidth="1"/>
    <col min="41" max="41" width="13.6640625" bestFit="1" customWidth="1"/>
    <col min="42" max="42" width="12" bestFit="1" customWidth="1"/>
    <col min="43" max="43" width="13.6640625" bestFit="1" customWidth="1"/>
    <col min="44" max="44" width="12" bestFit="1" customWidth="1"/>
    <col min="45" max="45" width="13.6640625" bestFit="1" customWidth="1"/>
    <col min="46" max="46" width="12" bestFit="1" customWidth="1"/>
    <col min="47" max="47" width="13.6640625" bestFit="1" customWidth="1"/>
    <col min="48" max="48" width="16.5546875" bestFit="1" customWidth="1"/>
    <col min="49" max="49" width="12.6640625" bestFit="1" customWidth="1"/>
    <col min="50" max="51" width="15.6640625" bestFit="1" customWidth="1"/>
    <col min="52" max="52" width="12.5546875" bestFit="1" customWidth="1"/>
  </cols>
  <sheetData>
    <row r="1" spans="1:15" x14ac:dyDescent="0.3">
      <c r="A1" s="3" t="s">
        <v>84</v>
      </c>
      <c r="B1" t="s">
        <v>108</v>
      </c>
    </row>
    <row r="3" spans="1:15" x14ac:dyDescent="0.3">
      <c r="B3" s="3" t="s">
        <v>86</v>
      </c>
    </row>
    <row r="4" spans="1:15" x14ac:dyDescent="0.3">
      <c r="B4" t="s">
        <v>12</v>
      </c>
      <c r="D4" t="s">
        <v>15</v>
      </c>
      <c r="F4" t="s">
        <v>14</v>
      </c>
      <c r="H4" t="s">
        <v>13</v>
      </c>
      <c r="J4" t="s">
        <v>119</v>
      </c>
      <c r="L4" t="s">
        <v>120</v>
      </c>
      <c r="N4" t="s">
        <v>105</v>
      </c>
      <c r="O4" t="s">
        <v>106</v>
      </c>
    </row>
    <row r="5" spans="1:15" x14ac:dyDescent="0.3">
      <c r="A5" s="3" t="s">
        <v>2</v>
      </c>
      <c r="B5" t="s">
        <v>96</v>
      </c>
      <c r="C5" t="s">
        <v>107</v>
      </c>
      <c r="D5" t="s">
        <v>96</v>
      </c>
      <c r="E5" t="s">
        <v>107</v>
      </c>
      <c r="F5" t="s">
        <v>96</v>
      </c>
      <c r="G5" t="s">
        <v>107</v>
      </c>
      <c r="H5" t="s">
        <v>96</v>
      </c>
      <c r="I5" t="s">
        <v>107</v>
      </c>
      <c r="J5" t="s">
        <v>96</v>
      </c>
      <c r="K5" t="s">
        <v>107</v>
      </c>
      <c r="L5" t="s">
        <v>96</v>
      </c>
      <c r="M5" t="s">
        <v>107</v>
      </c>
    </row>
    <row r="6" spans="1:15" x14ac:dyDescent="0.3">
      <c r="A6" s="2" t="s">
        <v>31</v>
      </c>
      <c r="B6" s="6">
        <v>0</v>
      </c>
      <c r="C6" s="16">
        <v>0</v>
      </c>
      <c r="D6" s="6">
        <v>0</v>
      </c>
      <c r="E6" s="16">
        <v>0</v>
      </c>
      <c r="F6" s="6">
        <v>0</v>
      </c>
      <c r="G6" s="16">
        <v>0</v>
      </c>
      <c r="H6" s="6">
        <v>0</v>
      </c>
      <c r="I6" s="16">
        <v>0</v>
      </c>
      <c r="J6" s="6">
        <v>0</v>
      </c>
      <c r="K6" s="16">
        <v>0</v>
      </c>
      <c r="L6" s="6">
        <v>0</v>
      </c>
      <c r="M6" s="16">
        <v>0</v>
      </c>
      <c r="N6" s="6">
        <v>0</v>
      </c>
      <c r="O6" s="16">
        <v>0</v>
      </c>
    </row>
    <row r="7" spans="1:15" x14ac:dyDescent="0.3">
      <c r="A7" s="2" t="s">
        <v>26</v>
      </c>
      <c r="B7" s="6">
        <v>0</v>
      </c>
      <c r="C7" s="16">
        <v>0</v>
      </c>
      <c r="D7" s="6">
        <v>0</v>
      </c>
      <c r="E7" s="16">
        <v>0</v>
      </c>
      <c r="F7" s="6">
        <v>0</v>
      </c>
      <c r="G7" s="16">
        <v>0</v>
      </c>
      <c r="H7" s="6">
        <v>0</v>
      </c>
      <c r="I7" s="16">
        <v>0</v>
      </c>
      <c r="J7" s="6">
        <v>0</v>
      </c>
      <c r="K7" s="16">
        <v>0</v>
      </c>
      <c r="L7" s="6">
        <v>0</v>
      </c>
      <c r="M7" s="16">
        <v>0</v>
      </c>
      <c r="N7" s="6">
        <v>0</v>
      </c>
      <c r="O7" s="16">
        <v>0</v>
      </c>
    </row>
    <row r="8" spans="1:15" x14ac:dyDescent="0.3">
      <c r="A8" s="2" t="s">
        <v>33</v>
      </c>
      <c r="B8" s="6">
        <v>0</v>
      </c>
      <c r="C8" s="16">
        <v>0</v>
      </c>
      <c r="D8" s="6">
        <v>0</v>
      </c>
      <c r="E8" s="16">
        <v>0</v>
      </c>
      <c r="F8" s="6">
        <v>0</v>
      </c>
      <c r="G8" s="16">
        <v>0</v>
      </c>
      <c r="H8" s="6">
        <v>0</v>
      </c>
      <c r="I8" s="16">
        <v>0</v>
      </c>
      <c r="J8" s="6">
        <v>0</v>
      </c>
      <c r="K8" s="16">
        <v>0</v>
      </c>
      <c r="L8" s="6">
        <v>0</v>
      </c>
      <c r="M8" s="16">
        <v>0</v>
      </c>
      <c r="N8" s="6">
        <v>0</v>
      </c>
      <c r="O8" s="16">
        <v>0</v>
      </c>
    </row>
    <row r="9" spans="1:15" x14ac:dyDescent="0.3">
      <c r="A9" s="2" t="s">
        <v>32</v>
      </c>
      <c r="B9" s="6">
        <v>0</v>
      </c>
      <c r="C9" s="16">
        <v>0</v>
      </c>
      <c r="D9" s="6">
        <v>0</v>
      </c>
      <c r="E9" s="16">
        <v>0</v>
      </c>
      <c r="F9" s="6">
        <v>0</v>
      </c>
      <c r="G9" s="16">
        <v>0</v>
      </c>
      <c r="H9" s="6">
        <v>0</v>
      </c>
      <c r="I9" s="16">
        <v>0</v>
      </c>
      <c r="J9" s="6">
        <v>0</v>
      </c>
      <c r="K9" s="16">
        <v>0</v>
      </c>
      <c r="L9" s="6">
        <v>0</v>
      </c>
      <c r="M9" s="16">
        <v>0</v>
      </c>
      <c r="N9" s="6">
        <v>0</v>
      </c>
      <c r="O9" s="16">
        <v>0</v>
      </c>
    </row>
    <row r="10" spans="1:15" x14ac:dyDescent="0.3">
      <c r="A10" s="2" t="s">
        <v>35</v>
      </c>
      <c r="B10" s="6">
        <v>0</v>
      </c>
      <c r="C10" s="16">
        <v>0</v>
      </c>
      <c r="D10" s="6">
        <v>0</v>
      </c>
      <c r="E10" s="16">
        <v>0</v>
      </c>
      <c r="F10" s="6">
        <v>0</v>
      </c>
      <c r="G10" s="16">
        <v>0</v>
      </c>
      <c r="H10" s="6">
        <v>0</v>
      </c>
      <c r="I10" s="16">
        <v>0</v>
      </c>
      <c r="J10" s="6">
        <v>0</v>
      </c>
      <c r="K10" s="16">
        <v>0</v>
      </c>
      <c r="L10" s="6">
        <v>0</v>
      </c>
      <c r="M10" s="16">
        <v>0</v>
      </c>
      <c r="N10" s="6">
        <v>0</v>
      </c>
      <c r="O10" s="16">
        <v>0</v>
      </c>
    </row>
    <row r="11" spans="1:15" x14ac:dyDescent="0.3">
      <c r="A11" s="2" t="s">
        <v>22</v>
      </c>
      <c r="B11" s="6">
        <v>0</v>
      </c>
      <c r="C11" s="16" t="e">
        <v>#N/A</v>
      </c>
      <c r="D11" s="6">
        <v>0</v>
      </c>
      <c r="E11" s="16">
        <v>0</v>
      </c>
      <c r="F11" s="6">
        <v>0</v>
      </c>
      <c r="G11" s="16">
        <v>0</v>
      </c>
      <c r="H11" s="6">
        <v>0</v>
      </c>
      <c r="I11" s="16">
        <v>0</v>
      </c>
      <c r="J11" s="6">
        <v>0</v>
      </c>
      <c r="K11" s="16">
        <v>0</v>
      </c>
      <c r="L11" s="6">
        <v>0</v>
      </c>
      <c r="M11" s="16">
        <v>0</v>
      </c>
      <c r="N11" s="6">
        <v>0</v>
      </c>
      <c r="O11" s="16" t="e">
        <v>#N/A</v>
      </c>
    </row>
    <row r="12" spans="1:15" x14ac:dyDescent="0.3">
      <c r="A12" s="2" t="s">
        <v>36</v>
      </c>
      <c r="B12" s="6">
        <v>0</v>
      </c>
      <c r="C12" s="16">
        <v>0</v>
      </c>
      <c r="D12" s="6">
        <v>0</v>
      </c>
      <c r="E12" s="16">
        <v>0</v>
      </c>
      <c r="F12" s="6">
        <v>0</v>
      </c>
      <c r="G12" s="16">
        <v>0</v>
      </c>
      <c r="H12" s="6">
        <v>0</v>
      </c>
      <c r="I12" s="16">
        <v>0</v>
      </c>
      <c r="J12" s="6">
        <v>0</v>
      </c>
      <c r="K12" s="16">
        <v>0</v>
      </c>
      <c r="L12" s="6">
        <v>0</v>
      </c>
      <c r="M12" s="16">
        <v>0</v>
      </c>
      <c r="N12" s="6">
        <v>0</v>
      </c>
      <c r="O12" s="16">
        <v>0</v>
      </c>
    </row>
    <row r="13" spans="1:15" x14ac:dyDescent="0.3">
      <c r="A13" s="2" t="s">
        <v>29</v>
      </c>
      <c r="B13" s="6">
        <v>0</v>
      </c>
      <c r="C13" s="16" t="e">
        <v>#N/A</v>
      </c>
      <c r="D13" s="6">
        <v>0</v>
      </c>
      <c r="E13" s="16" t="e">
        <v>#N/A</v>
      </c>
      <c r="F13" s="6">
        <v>0</v>
      </c>
      <c r="G13" s="16" t="e">
        <v>#N/A</v>
      </c>
      <c r="H13" s="6">
        <v>0</v>
      </c>
      <c r="I13" s="16" t="e">
        <v>#N/A</v>
      </c>
      <c r="J13" s="6">
        <v>0</v>
      </c>
      <c r="K13" s="16" t="e">
        <v>#N/A</v>
      </c>
      <c r="L13" s="6">
        <v>0</v>
      </c>
      <c r="M13" s="16" t="e">
        <v>#N/A</v>
      </c>
      <c r="N13" s="6">
        <v>0</v>
      </c>
      <c r="O13" s="16" t="e">
        <v>#N/A</v>
      </c>
    </row>
    <row r="14" spans="1:15" x14ac:dyDescent="0.3">
      <c r="A14" s="2" t="s">
        <v>30</v>
      </c>
      <c r="B14" s="6">
        <v>0</v>
      </c>
      <c r="C14" s="16">
        <v>0</v>
      </c>
      <c r="D14" s="6">
        <v>0</v>
      </c>
      <c r="E14" s="16">
        <v>0</v>
      </c>
      <c r="F14" s="6">
        <v>0</v>
      </c>
      <c r="G14" s="16">
        <v>0</v>
      </c>
      <c r="H14" s="6">
        <v>0</v>
      </c>
      <c r="I14" s="16">
        <v>0</v>
      </c>
      <c r="J14" s="6">
        <v>0</v>
      </c>
      <c r="K14" s="16">
        <v>0</v>
      </c>
      <c r="L14" s="6">
        <v>0</v>
      </c>
      <c r="M14" s="16">
        <v>0</v>
      </c>
      <c r="N14" s="6">
        <v>0</v>
      </c>
      <c r="O14" s="16">
        <v>0</v>
      </c>
    </row>
    <row r="15" spans="1:15" x14ac:dyDescent="0.3">
      <c r="A15" s="2" t="s">
        <v>34</v>
      </c>
      <c r="B15" s="6">
        <v>0</v>
      </c>
      <c r="C15" s="16">
        <v>0</v>
      </c>
      <c r="D15" s="6">
        <v>0</v>
      </c>
      <c r="E15" s="16">
        <v>0</v>
      </c>
      <c r="F15" s="6">
        <v>0</v>
      </c>
      <c r="G15" s="16">
        <v>0</v>
      </c>
      <c r="H15" s="6">
        <v>0</v>
      </c>
      <c r="I15" s="16">
        <v>0</v>
      </c>
      <c r="J15" s="6">
        <v>0</v>
      </c>
      <c r="K15" s="16">
        <v>0</v>
      </c>
      <c r="L15" s="6">
        <v>0</v>
      </c>
      <c r="M15" s="16">
        <v>0</v>
      </c>
      <c r="N15" s="6">
        <v>0</v>
      </c>
      <c r="O15" s="16">
        <v>0</v>
      </c>
    </row>
    <row r="16" spans="1:15" x14ac:dyDescent="0.3">
      <c r="A16" s="2" t="s">
        <v>23</v>
      </c>
      <c r="B16" s="6">
        <v>0</v>
      </c>
      <c r="C16" s="16">
        <v>0</v>
      </c>
      <c r="D16" s="6">
        <v>0</v>
      </c>
      <c r="E16" s="16">
        <v>0</v>
      </c>
      <c r="F16" s="6">
        <v>0</v>
      </c>
      <c r="G16" s="16">
        <v>0</v>
      </c>
      <c r="H16" s="6">
        <v>0</v>
      </c>
      <c r="I16" s="16">
        <v>0</v>
      </c>
      <c r="J16" s="6">
        <v>0</v>
      </c>
      <c r="K16" s="16">
        <v>0</v>
      </c>
      <c r="L16" s="6">
        <v>0</v>
      </c>
      <c r="M16" s="16">
        <v>0</v>
      </c>
      <c r="N16" s="6">
        <v>0</v>
      </c>
      <c r="O16" s="16">
        <v>0</v>
      </c>
    </row>
    <row r="17" spans="1:15" x14ac:dyDescent="0.3">
      <c r="A17" s="2" t="s">
        <v>24</v>
      </c>
      <c r="B17" s="6">
        <v>0</v>
      </c>
      <c r="C17" s="16">
        <v>0</v>
      </c>
      <c r="D17" s="6">
        <v>0</v>
      </c>
      <c r="E17" s="16">
        <v>0</v>
      </c>
      <c r="F17" s="6">
        <v>0</v>
      </c>
      <c r="G17" s="16">
        <v>0</v>
      </c>
      <c r="H17" s="6">
        <v>0</v>
      </c>
      <c r="I17" s="16">
        <v>0</v>
      </c>
      <c r="J17" s="6">
        <v>0</v>
      </c>
      <c r="K17" s="16">
        <v>0</v>
      </c>
      <c r="L17" s="6">
        <v>0</v>
      </c>
      <c r="M17" s="16">
        <v>0</v>
      </c>
      <c r="N17" s="6">
        <v>0</v>
      </c>
      <c r="O17" s="16">
        <v>0</v>
      </c>
    </row>
    <row r="18" spans="1:15" x14ac:dyDescent="0.3">
      <c r="A18" s="2" t="s">
        <v>25</v>
      </c>
      <c r="B18" s="6">
        <v>0</v>
      </c>
      <c r="C18" s="16">
        <v>0</v>
      </c>
      <c r="D18" s="6">
        <v>0</v>
      </c>
      <c r="E18" s="16">
        <v>0</v>
      </c>
      <c r="F18" s="6">
        <v>0</v>
      </c>
      <c r="G18" s="16">
        <v>0</v>
      </c>
      <c r="H18" s="6">
        <v>0</v>
      </c>
      <c r="I18" s="16">
        <v>0</v>
      </c>
      <c r="J18" s="6">
        <v>0</v>
      </c>
      <c r="K18" s="16">
        <v>0</v>
      </c>
      <c r="L18" s="6">
        <v>0</v>
      </c>
      <c r="M18" s="16">
        <v>0</v>
      </c>
      <c r="N18" s="6">
        <v>0</v>
      </c>
      <c r="O18" s="16">
        <v>0</v>
      </c>
    </row>
    <row r="19" spans="1:15" x14ac:dyDescent="0.3">
      <c r="A19" s="2" t="s">
        <v>28</v>
      </c>
      <c r="B19" s="6">
        <v>0</v>
      </c>
      <c r="C19" s="16">
        <v>0</v>
      </c>
      <c r="D19" s="6">
        <v>0</v>
      </c>
      <c r="E19" s="16">
        <v>0</v>
      </c>
      <c r="F19" s="6">
        <v>0</v>
      </c>
      <c r="G19" s="16">
        <v>0</v>
      </c>
      <c r="H19" s="6">
        <v>0</v>
      </c>
      <c r="I19" s="16">
        <v>0</v>
      </c>
      <c r="J19" s="6">
        <v>0</v>
      </c>
      <c r="K19" s="16">
        <v>0</v>
      </c>
      <c r="L19" s="6">
        <v>0</v>
      </c>
      <c r="M19" s="16">
        <v>0</v>
      </c>
      <c r="N19" s="6">
        <v>0</v>
      </c>
      <c r="O19" s="16">
        <v>0</v>
      </c>
    </row>
    <row r="20" spans="1:15" x14ac:dyDescent="0.3">
      <c r="A20" s="2" t="s">
        <v>27</v>
      </c>
      <c r="B20" s="6">
        <v>0</v>
      </c>
      <c r="C20" s="16">
        <v>0</v>
      </c>
      <c r="D20" s="6">
        <v>0</v>
      </c>
      <c r="E20" s="16">
        <v>0</v>
      </c>
      <c r="F20" s="6">
        <v>0</v>
      </c>
      <c r="G20" s="16">
        <v>0</v>
      </c>
      <c r="H20" s="6">
        <v>0</v>
      </c>
      <c r="I20" s="16">
        <v>0</v>
      </c>
      <c r="J20" s="6">
        <v>0</v>
      </c>
      <c r="K20" s="16">
        <v>0</v>
      </c>
      <c r="L20" s="6">
        <v>0</v>
      </c>
      <c r="M20" s="16">
        <v>0</v>
      </c>
      <c r="N20" s="6">
        <v>0</v>
      </c>
      <c r="O20" s="16">
        <v>0</v>
      </c>
    </row>
    <row r="21" spans="1:15" x14ac:dyDescent="0.3">
      <c r="A21" s="2" t="s">
        <v>3</v>
      </c>
      <c r="B21" s="6">
        <v>0</v>
      </c>
      <c r="C21" s="16" t="e">
        <v>#N/A</v>
      </c>
      <c r="D21" s="6">
        <v>0</v>
      </c>
      <c r="E21" s="16" t="e">
        <v>#N/A</v>
      </c>
      <c r="F21" s="6">
        <v>0</v>
      </c>
      <c r="G21" s="16" t="e">
        <v>#N/A</v>
      </c>
      <c r="H21" s="6">
        <v>0</v>
      </c>
      <c r="I21" s="16" t="e">
        <v>#N/A</v>
      </c>
      <c r="J21" s="6">
        <v>0</v>
      </c>
      <c r="K21" s="16" t="e">
        <v>#N/A</v>
      </c>
      <c r="L21" s="6">
        <v>0</v>
      </c>
      <c r="M21" s="16" t="e">
        <v>#N/A</v>
      </c>
      <c r="N21" s="6">
        <v>0</v>
      </c>
      <c r="O21" s="16" t="e">
        <v>#N/A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INFORME HISTORICO</vt:lpstr>
      <vt:lpstr>Dashboard</vt:lpstr>
      <vt:lpstr>CARGA</vt:lpstr>
      <vt:lpstr>MAESTRO</vt:lpstr>
      <vt:lpstr>Detalle1</vt:lpstr>
      <vt:lpstr>Detalle2</vt:lpstr>
      <vt:lpstr>Detalle3</vt:lpstr>
      <vt:lpstr>Detalle4</vt:lpstr>
      <vt:lpstr>Detalle5</vt:lpstr>
      <vt:lpstr>Detalle6</vt:lpstr>
      <vt:lpstr>tabla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Jimenez Quiroga</dc:creator>
  <cp:lastModifiedBy>Eduardo Mauriño</cp:lastModifiedBy>
  <cp:lastPrinted>2025-04-22T16:08:20Z</cp:lastPrinted>
  <dcterms:created xsi:type="dcterms:W3CDTF">2017-03-14T17:49:57Z</dcterms:created>
  <dcterms:modified xsi:type="dcterms:W3CDTF">2026-09-08T19:53:36Z</dcterms:modified>
</cp:coreProperties>
</file>