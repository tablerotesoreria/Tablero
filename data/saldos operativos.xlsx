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Tesoreria\"/>
    </mc:Choice>
  </mc:AlternateContent>
  <xr:revisionPtr revIDLastSave="0" documentId="8_{AC484795-611A-45E2-B8B0-0D961A3AEA50}" xr6:coauthVersionLast="47" xr6:coauthVersionMax="47" xr10:uidLastSave="{00000000-0000-0000-0000-000000000000}"/>
  <bookViews>
    <workbookView xWindow="-108" yWindow="-108" windowWidth="23256" windowHeight="12456" xr2:uid="{8207DB58-446D-42B8-88D0-E2215DCA5790}"/>
  </bookViews>
  <sheets>
    <sheet name="saldo operativo" sheetId="1" r:id="rId1"/>
  </sheets>
  <definedNames>
    <definedName name="_xlnm._FilterDatabase" localSheetId="0" hidden="1">'saldo operativo'!$L$1:$P$1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9" i="1" l="1"/>
  <c r="O19" i="1"/>
  <c r="O20" i="1"/>
  <c r="O18" i="1" l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</calcChain>
</file>

<file path=xl/sharedStrings.xml><?xml version="1.0" encoding="utf-8"?>
<sst xmlns="http://schemas.openxmlformats.org/spreadsheetml/2006/main" count="635" uniqueCount="169">
  <si>
    <t>Consolidado de Saldos</t>
  </si>
  <si>
    <t xml:space="preserve">48.113.595/06          </t>
  </si>
  <si>
    <t xml:space="preserve">     8/6/772/1         </t>
  </si>
  <si>
    <t>Fecha:</t>
  </si>
  <si>
    <t xml:space="preserve">3-659-0356385970-1     </t>
  </si>
  <si>
    <t xml:space="preserve">475 000133/3           </t>
  </si>
  <si>
    <t xml:space="preserve">0518/02101237/20       </t>
  </si>
  <si>
    <t xml:space="preserve">  2007/1/089/6         </t>
  </si>
  <si>
    <t>BANCO: Banco Ciudad</t>
  </si>
  <si>
    <t xml:space="preserve"> MONEDA: $</t>
  </si>
  <si>
    <t xml:space="preserve">047-018282/2           </t>
  </si>
  <si>
    <t xml:space="preserve">         069-0-002015/6</t>
  </si>
  <si>
    <t xml:space="preserve"> </t>
  </si>
  <si>
    <t xml:space="preserve">0/909731/011           </t>
  </si>
  <si>
    <t>Tipo</t>
  </si>
  <si>
    <t>Cuenta</t>
  </si>
  <si>
    <t>Denominación</t>
  </si>
  <si>
    <t>Saldo Contable</t>
  </si>
  <si>
    <t>Saldo Inicio Dia</t>
  </si>
  <si>
    <t>Operativo Actual</t>
  </si>
  <si>
    <t xml:space="preserve">035-000001888-001      </t>
  </si>
  <si>
    <t>CC</t>
  </si>
  <si>
    <t xml:space="preserve">3-046-0100000662-6     </t>
  </si>
  <si>
    <t xml:space="preserve">CITRUSVIL S A                </t>
  </si>
  <si>
    <t xml:space="preserve">065-000363455-001      </t>
  </si>
  <si>
    <t xml:space="preserve">3-046-0100000664-0     </t>
  </si>
  <si>
    <t xml:space="preserve">VILUCO SA                    </t>
  </si>
  <si>
    <t xml:space="preserve">065-000363455-002      </t>
  </si>
  <si>
    <t xml:space="preserve">3-101-0005018767-4     </t>
  </si>
  <si>
    <t xml:space="preserve">CITRUSVIL S.A.               </t>
  </si>
  <si>
    <t>Subtotal $</t>
  </si>
  <si>
    <t xml:space="preserve">0080-19628-2           </t>
  </si>
  <si>
    <t xml:space="preserve">1620-00175-0           </t>
  </si>
  <si>
    <t xml:space="preserve">1000-000056289/4       </t>
  </si>
  <si>
    <t>BANCO: BBVA</t>
  </si>
  <si>
    <t xml:space="preserve">   258/7/680/5         </t>
  </si>
  <si>
    <t xml:space="preserve">211-211000557-001      </t>
  </si>
  <si>
    <t xml:space="preserve">     7/9/772/3         </t>
  </si>
  <si>
    <t xml:space="preserve">215 084278/7           </t>
  </si>
  <si>
    <t xml:space="preserve">AGROGANADERA DEL NOA SA      </t>
  </si>
  <si>
    <t xml:space="preserve">48.115.019/13          </t>
  </si>
  <si>
    <t xml:space="preserve">215 091246/0           </t>
  </si>
  <si>
    <t xml:space="preserve">NUECES DE CATAMARCA SA       </t>
  </si>
  <si>
    <t xml:space="preserve">475 000132/6           </t>
  </si>
  <si>
    <t xml:space="preserve">VILUCO S.A.                  </t>
  </si>
  <si>
    <t xml:space="preserve">  2006/4/089/8         </t>
  </si>
  <si>
    <t xml:space="preserve">3-659-0356386030-1     </t>
  </si>
  <si>
    <t xml:space="preserve">475 000627/7           </t>
  </si>
  <si>
    <t xml:space="preserve">FICOPEL                      </t>
  </si>
  <si>
    <t xml:space="preserve">         069-0-005130/5</t>
  </si>
  <si>
    <t xml:space="preserve">475 000628/4           </t>
  </si>
  <si>
    <t xml:space="preserve">FICOVIL                      </t>
  </si>
  <si>
    <t xml:space="preserve">211-211007215-000      </t>
  </si>
  <si>
    <t xml:space="preserve">475 000629/1           </t>
  </si>
  <si>
    <t xml:space="preserve">FICODAL                      </t>
  </si>
  <si>
    <t xml:space="preserve">035-000001170-001      </t>
  </si>
  <si>
    <t xml:space="preserve">475 000657/4           </t>
  </si>
  <si>
    <t xml:space="preserve">EL ALCAZAR S.A.              </t>
  </si>
  <si>
    <t xml:space="preserve">0/909721/016           </t>
  </si>
  <si>
    <t xml:space="preserve">475 000904/7           </t>
  </si>
  <si>
    <t xml:space="preserve">FIDEIC.TIERRAS DE SAN PABLO  </t>
  </si>
  <si>
    <t xml:space="preserve">475 000940/5           </t>
  </si>
  <si>
    <t xml:space="preserve">SAN PABLO COUNTRY            </t>
  </si>
  <si>
    <t xml:space="preserve">181/59                 </t>
  </si>
  <si>
    <t xml:space="preserve"> 15601/7/089/1         </t>
  </si>
  <si>
    <t xml:space="preserve">    71/0/772/2         </t>
  </si>
  <si>
    <t xml:space="preserve">48.100.351/38          </t>
  </si>
  <si>
    <t xml:space="preserve"> MONEDA: USD</t>
  </si>
  <si>
    <t xml:space="preserve">3-600-0010073106-7     </t>
  </si>
  <si>
    <t xml:space="preserve">0000-24697-6           </t>
  </si>
  <si>
    <t xml:space="preserve">         069-0-068565/4</t>
  </si>
  <si>
    <t xml:space="preserve">475 060077/4           </t>
  </si>
  <si>
    <t>FIDEICOMISO TIERRAS DE SAN PA</t>
  </si>
  <si>
    <t xml:space="preserve">065-002633649-001      </t>
  </si>
  <si>
    <t>Subtotal USD</t>
  </si>
  <si>
    <t xml:space="preserve"> 19240/8/089/7         </t>
  </si>
  <si>
    <t xml:space="preserve">    68/0/772/0         </t>
  </si>
  <si>
    <t>BBVA</t>
  </si>
  <si>
    <t>BANCO: Bco Pcia.Bs.As.</t>
  </si>
  <si>
    <t xml:space="preserve">    34/5/772/9         </t>
  </si>
  <si>
    <t>GALICIA</t>
  </si>
  <si>
    <t xml:space="preserve">3-140-0941334153-9     </t>
  </si>
  <si>
    <t xml:space="preserve">CITRUSVIL SA                 </t>
  </si>
  <si>
    <t>BANCO: B.N.A.</t>
  </si>
  <si>
    <t xml:space="preserve">  1109/7/772/2         </t>
  </si>
  <si>
    <t xml:space="preserve">0885/02001197/24       </t>
  </si>
  <si>
    <t xml:space="preserve">0885/02001667/98       </t>
  </si>
  <si>
    <t xml:space="preserve">3-140-0941709519-1     </t>
  </si>
  <si>
    <t xml:space="preserve">AGROGANADERA DEL NOA S.A.    </t>
  </si>
  <si>
    <t xml:space="preserve"> 14937/4/089/1         </t>
  </si>
  <si>
    <t xml:space="preserve">48.101.333/27          </t>
  </si>
  <si>
    <t xml:space="preserve">   585/2/772/9         </t>
  </si>
  <si>
    <t xml:space="preserve">2700218/17             </t>
  </si>
  <si>
    <t>BANCO: BSE</t>
  </si>
  <si>
    <t xml:space="preserve">VILUCO S.A                   </t>
  </si>
  <si>
    <t>BANCO: Citibank</t>
  </si>
  <si>
    <t>BANCO: Comafi</t>
  </si>
  <si>
    <t>BANCO: Galicia</t>
  </si>
  <si>
    <t>CA</t>
  </si>
  <si>
    <t xml:space="preserve">9-750012-2- 772-6      </t>
  </si>
  <si>
    <t xml:space="preserve">9-750686-4- 089-7      </t>
  </si>
  <si>
    <t xml:space="preserve">VILUCO SOCIEDAD ANONIMA      </t>
  </si>
  <si>
    <t xml:space="preserve">ARCHVIL SA                   </t>
  </si>
  <si>
    <t xml:space="preserve">   390/0/772/3         </t>
  </si>
  <si>
    <t xml:space="preserve">AGRO FLIGHTS S.R.L.          </t>
  </si>
  <si>
    <t>CONSORCIO DE PROPIETARIOS DEL</t>
  </si>
  <si>
    <t xml:space="preserve">9-750007-6- 772-1      </t>
  </si>
  <si>
    <t xml:space="preserve">9-750008-4- 772-5      </t>
  </si>
  <si>
    <t xml:space="preserve">9-750042-4- 772-2      </t>
  </si>
  <si>
    <t>BANCO: ICBC</t>
  </si>
  <si>
    <t>CONSOR PROP SAN PABLO COUNTRY</t>
  </si>
  <si>
    <t>BANCO: Industrial</t>
  </si>
  <si>
    <t xml:space="preserve">035-000001888-003      </t>
  </si>
  <si>
    <t>BANCO: Macro S.A.</t>
  </si>
  <si>
    <t xml:space="preserve">ARCHVIL S A                  </t>
  </si>
  <si>
    <t xml:space="preserve">ALCOVIL SA                   </t>
  </si>
  <si>
    <t xml:space="preserve">2-140-0940596341-7     </t>
  </si>
  <si>
    <t xml:space="preserve">BANCO: Patagonia </t>
  </si>
  <si>
    <t>BANCO: Santander Rio</t>
  </si>
  <si>
    <t xml:space="preserve">         069-0-005131/2</t>
  </si>
  <si>
    <t xml:space="preserve">                             </t>
  </si>
  <si>
    <t>BANCO: Supervielle</t>
  </si>
  <si>
    <t xml:space="preserve">ENGORDAR SA                  </t>
  </si>
  <si>
    <t>TOTAL GENERAL $</t>
  </si>
  <si>
    <t xml:space="preserve">             </t>
  </si>
  <si>
    <t>TOTAL GENERAL USD</t>
  </si>
  <si>
    <t>BNA</t>
  </si>
  <si>
    <t>HSBC</t>
  </si>
  <si>
    <t>MACRO</t>
  </si>
  <si>
    <t>ICBC</t>
  </si>
  <si>
    <t>CREDICOOP</t>
  </si>
  <si>
    <t>SANTANDER</t>
  </si>
  <si>
    <t>CITIBANK</t>
  </si>
  <si>
    <t>INDUSTRIAL</t>
  </si>
  <si>
    <t>SUPERVIELLE</t>
  </si>
  <si>
    <t>SUPERVIELLE Remu</t>
  </si>
  <si>
    <t>Ciudad</t>
  </si>
  <si>
    <t>COMAFI BS AS</t>
  </si>
  <si>
    <t>COMAFI TUCUMAN</t>
  </si>
  <si>
    <t>BAPRO</t>
  </si>
  <si>
    <t>HSBC - Buenos Aires</t>
  </si>
  <si>
    <t>Patagonia</t>
  </si>
  <si>
    <t>Ciudad tuc</t>
  </si>
  <si>
    <t>Industrial</t>
  </si>
  <si>
    <t>BSE</t>
  </si>
  <si>
    <t>Galicia</t>
  </si>
  <si>
    <t>Comafi</t>
  </si>
  <si>
    <t>ICBC 2</t>
  </si>
  <si>
    <t>CUENTA</t>
  </si>
  <si>
    <t>Saldo Operativo</t>
  </si>
  <si>
    <t>Saldo inicial contable</t>
  </si>
  <si>
    <t>Banco</t>
  </si>
  <si>
    <t>Empresa</t>
  </si>
  <si>
    <t>AGROGANADERA DEL NOA</t>
  </si>
  <si>
    <t>ARCHVIL</t>
  </si>
  <si>
    <t>ALCOVIL</t>
  </si>
  <si>
    <t>CITRUSVIL</t>
  </si>
  <si>
    <t xml:space="preserve">COVIL </t>
  </si>
  <si>
    <t>VILUCO</t>
  </si>
  <si>
    <t>BANCO: Credicoop CL</t>
  </si>
  <si>
    <t>NUECES DE CATAMARCA</t>
  </si>
  <si>
    <t xml:space="preserve">         069-2-006334/0</t>
  </si>
  <si>
    <t>BANCO: Bco Hipotecario</t>
  </si>
  <si>
    <t xml:space="preserve">3-076-0000121813-7     </t>
  </si>
  <si>
    <t>HIPOTECARIO</t>
  </si>
  <si>
    <t xml:space="preserve">3-076-0000121802-3     </t>
  </si>
  <si>
    <t>Proy 24hs,</t>
  </si>
  <si>
    <t>Proy 48hs,</t>
  </si>
  <si>
    <t>Datos actualizados al 07/09/2026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</si>
</sst>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[DBNum1][$-804]yyyy&quot;年&quot;m&quot;月&quot;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164" fontId="1" fillId="0" borderId="0"/>
  </cellStyleXfs>
  <cellXfs count="14">
    <xf numFmtId="0" fontId="0" fillId="0" borderId="0" xfId="0"/>
    <xf numFmtId="0" fontId="0" fillId="0" borderId="1" xfId="0" applyBorder="1"/>
    <xf numFmtId="164" fontId="2" fillId="0" borderId="1" xfId="2" applyFont="1" applyBorder="1" applyAlignment="1">
      <alignment horizontal="right"/>
    </xf>
    <xf numFmtId="44" fontId="0" fillId="0" borderId="0" xfId="1" applyFont="1"/>
    <xf numFmtId="4" fontId="0" fillId="0" borderId="0" xfId="0" applyNumberFormat="1"/>
    <xf numFmtId="14" fontId="0" fillId="0" borderId="0" xfId="0" applyNumberFormat="1"/>
    <xf numFmtId="21" fontId="0" fillId="0" borderId="0" xfId="0" applyNumberFormat="1"/>
    <xf numFmtId="0" fontId="0" fillId="0" borderId="0" xfId="0" applyAlignment="1">
      <alignment horizontal="right"/>
    </xf>
    <xf numFmtId="0" fontId="3" fillId="0" borderId="1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164" fontId="5" fillId="0" borderId="1" xfId="0" applyNumberFormat="1" applyFont="1" applyBorder="1" applyAlignment="1">
      <alignment horizontal="right"/>
    </xf>
    <xf numFmtId="0" fontId="0" fillId="0" borderId="1" xfId="0" applyBorder="1" applyAlignment="1">
      <alignment horizontal="right"/>
    </xf>
    <xf numFmtId="0" fontId="4" fillId="0" borderId="2" xfId="0" applyFont="1" applyBorder="1" applyAlignment="1">
      <alignment horizontal="right"/>
    </xf>
  </cellXfs>
  <cellStyles count="3">
    <cellStyle name="Moneda" xfId="1" builtinId="4"/>
    <cellStyle name="Normal" xfId="0" builtinId="0"/>
    <cellStyle name="Normal 2" xfId="2" xr:uid="{37E3F223-BC78-4F33-A96E-2E17173C8899}"/>
  </cellStyles>
  <dxfs count="1">
    <dxf>
      <font>
        <b/>
        <i val="0"/>
        <condense val="0"/>
        <extend val="0"/>
        <color rgb="FFFFFFFF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B1032-92AA-43A3-BE4A-D18EAFA49F8F}">
  <sheetPr codeName="Hoja10"/>
  <dimension ref="A1:P218"/>
  <sheetViews>
    <sheetView showGridLines="0" tabSelected="1" zoomScale="85" zoomScaleNormal="85" workbookViewId="0">
      <selection sqref="A1:H1048576"/>
    </sheetView>
  </sheetViews>
  <sheetFormatPr baseColWidth="10" defaultRowHeight="14.4" x14ac:dyDescent="0.3"/>
  <cols>
    <col min="9" max="9" width="8.6640625" customWidth="1"/>
    <col min="10" max="10" width="7.88671875" customWidth="1"/>
    <col min="12" max="12" width="20.6640625" style="7" bestFit="1" customWidth="1"/>
    <col min="13" max="13" width="30.6640625" bestFit="1" customWidth="1"/>
    <col min="15" max="16" width="18.6640625" customWidth="1"/>
  </cols>
  <sheetData>
    <row r="1" spans="1:16" x14ac:dyDescent="0.3">
      <c r="A1" t="s">
        <v>0</v>
      </c>
      <c r="L1" s="7" t="s">
        <v>148</v>
      </c>
      <c r="M1" t="s">
        <v>152</v>
      </c>
      <c r="N1" t="s">
        <v>151</v>
      </c>
      <c r="O1" t="s">
        <v>150</v>
      </c>
      <c r="P1" t="s">
        <v>149</v>
      </c>
    </row>
    <row r="2" spans="1:16" x14ac:dyDescent="0.3">
      <c r="A2" t="s">
        <v>168</v>
      </c>
      <c r="L2" s="2" t="s">
        <v>1</v>
      </c>
      <c r="M2" s="1" t="s">
        <v>156</v>
      </c>
      <c r="N2" t="s">
        <v>126</v>
      </c>
      <c r="O2" s="3">
        <f t="shared" ref="O2:O33" si="0">IFERROR(VLOOKUP(L2,B:H,3,FALSE),0)</f>
        <v>3821094.7</v>
      </c>
      <c r="P2" s="3">
        <f t="shared" ref="P2:P33" si="1">IFERROR(VLOOKUP(L2,B:H,5,FALSE),0)</f>
        <v>3821094.7</v>
      </c>
    </row>
    <row r="3" spans="1:16" x14ac:dyDescent="0.3">
      <c r="A3" t="s">
        <v>3</v>
      </c>
      <c r="B3" s="5">
        <v>46272</v>
      </c>
      <c r="C3" s="6">
        <v>0.34587962962962965</v>
      </c>
      <c r="I3" s="4"/>
      <c r="L3" t="s">
        <v>2</v>
      </c>
      <c r="M3" s="1" t="s">
        <v>156</v>
      </c>
      <c r="N3" t="s">
        <v>127</v>
      </c>
      <c r="O3" s="3">
        <f t="shared" si="0"/>
        <v>-1809526.23</v>
      </c>
      <c r="P3" s="3">
        <f t="shared" si="1"/>
        <v>-1809526.23</v>
      </c>
    </row>
    <row r="4" spans="1:16" x14ac:dyDescent="0.3">
      <c r="I4" s="4"/>
      <c r="L4" s="2" t="s">
        <v>4</v>
      </c>
      <c r="M4" s="1" t="s">
        <v>156</v>
      </c>
      <c r="N4" t="s">
        <v>128</v>
      </c>
      <c r="O4" s="3">
        <f t="shared" si="0"/>
        <v>-2095781.62</v>
      </c>
      <c r="P4" s="3">
        <f t="shared" si="1"/>
        <v>-100759731.19</v>
      </c>
    </row>
    <row r="5" spans="1:16" x14ac:dyDescent="0.3">
      <c r="I5" s="4"/>
      <c r="L5" s="2" t="s">
        <v>5</v>
      </c>
      <c r="M5" s="1" t="s">
        <v>156</v>
      </c>
      <c r="N5" t="s">
        <v>77</v>
      </c>
      <c r="O5" s="3">
        <f t="shared" si="0"/>
        <v>3553008.53</v>
      </c>
      <c r="P5" s="3">
        <f t="shared" si="1"/>
        <v>-312910.88</v>
      </c>
    </row>
    <row r="6" spans="1:16" x14ac:dyDescent="0.3">
      <c r="I6" s="4"/>
      <c r="L6" s="2" t="s">
        <v>6</v>
      </c>
      <c r="M6" s="1" t="s">
        <v>156</v>
      </c>
      <c r="N6" t="s">
        <v>129</v>
      </c>
      <c r="O6" s="3">
        <f t="shared" si="0"/>
        <v>903471.55</v>
      </c>
      <c r="P6" s="3">
        <f t="shared" si="1"/>
        <v>786771.79</v>
      </c>
    </row>
    <row r="7" spans="1:16" x14ac:dyDescent="0.3">
      <c r="A7" t="s">
        <v>8</v>
      </c>
      <c r="B7" t="s">
        <v>9</v>
      </c>
      <c r="I7" s="4"/>
      <c r="L7" s="2" t="s">
        <v>7</v>
      </c>
      <c r="M7" s="1" t="s">
        <v>156</v>
      </c>
      <c r="N7" t="s">
        <v>80</v>
      </c>
      <c r="O7" s="3">
        <f t="shared" si="0"/>
        <v>-51578687.880000003</v>
      </c>
      <c r="P7" s="3">
        <f t="shared" si="1"/>
        <v>-51578687.880000003</v>
      </c>
    </row>
    <row r="8" spans="1:16" x14ac:dyDescent="0.3">
      <c r="I8" s="4"/>
      <c r="L8" s="2" t="s">
        <v>10</v>
      </c>
      <c r="M8" s="1" t="s">
        <v>156</v>
      </c>
      <c r="N8" t="s">
        <v>130</v>
      </c>
      <c r="O8" s="3">
        <f t="shared" si="0"/>
        <v>123566.59</v>
      </c>
      <c r="P8" s="3">
        <f t="shared" si="1"/>
        <v>123566.59</v>
      </c>
    </row>
    <row r="9" spans="1:16" x14ac:dyDescent="0.3">
      <c r="A9" t="s">
        <v>12</v>
      </c>
      <c r="I9" s="4"/>
      <c r="L9" s="2" t="s">
        <v>11</v>
      </c>
      <c r="M9" s="1" t="s">
        <v>156</v>
      </c>
      <c r="N9" t="s">
        <v>131</v>
      </c>
      <c r="O9" s="3">
        <f t="shared" si="0"/>
        <v>120871.73</v>
      </c>
      <c r="P9" s="3">
        <f t="shared" si="1"/>
        <v>120871.73</v>
      </c>
    </row>
    <row r="10" spans="1:16" x14ac:dyDescent="0.3">
      <c r="A10" t="s">
        <v>14</v>
      </c>
      <c r="B10" t="s">
        <v>15</v>
      </c>
      <c r="C10" t="s">
        <v>16</v>
      </c>
      <c r="D10" t="s">
        <v>17</v>
      </c>
      <c r="E10" t="s">
        <v>18</v>
      </c>
      <c r="F10" t="s">
        <v>19</v>
      </c>
      <c r="G10" t="s">
        <v>166</v>
      </c>
      <c r="H10" t="s">
        <v>167</v>
      </c>
      <c r="I10" s="4"/>
      <c r="L10" s="7" t="s">
        <v>13</v>
      </c>
      <c r="M10" s="1" t="s">
        <v>156</v>
      </c>
      <c r="N10" t="s">
        <v>132</v>
      </c>
      <c r="O10" s="3">
        <f t="shared" si="0"/>
        <v>72105.740000000005</v>
      </c>
      <c r="P10" s="3">
        <f t="shared" si="1"/>
        <v>72105.740000000005</v>
      </c>
    </row>
    <row r="11" spans="1:16" x14ac:dyDescent="0.3">
      <c r="A11" t="s">
        <v>21</v>
      </c>
      <c r="B11" t="s">
        <v>22</v>
      </c>
      <c r="C11" t="s">
        <v>23</v>
      </c>
      <c r="D11">
        <v>146473.26</v>
      </c>
      <c r="E11">
        <v>146473.26</v>
      </c>
      <c r="F11">
        <v>146473.26</v>
      </c>
      <c r="G11">
        <v>146473.26</v>
      </c>
      <c r="H11">
        <v>146473.26</v>
      </c>
      <c r="I11" s="4"/>
      <c r="L11" s="8" t="s">
        <v>20</v>
      </c>
      <c r="M11" s="1" t="s">
        <v>156</v>
      </c>
      <c r="N11" t="s">
        <v>133</v>
      </c>
      <c r="O11" s="3">
        <f t="shared" si="0"/>
        <v>133466.72</v>
      </c>
      <c r="P11" s="3">
        <f t="shared" si="1"/>
        <v>133466.72</v>
      </c>
    </row>
    <row r="12" spans="1:16" x14ac:dyDescent="0.3">
      <c r="A12" t="s">
        <v>21</v>
      </c>
      <c r="B12" t="s">
        <v>25</v>
      </c>
      <c r="C12" t="s">
        <v>26</v>
      </c>
      <c r="D12">
        <v>71462.33</v>
      </c>
      <c r="E12">
        <v>71462.33</v>
      </c>
      <c r="F12">
        <v>71462.33</v>
      </c>
      <c r="G12">
        <v>71462.33</v>
      </c>
      <c r="H12">
        <v>71462.33</v>
      </c>
      <c r="I12" s="4"/>
      <c r="L12" s="2" t="s">
        <v>24</v>
      </c>
      <c r="M12" s="1" t="s">
        <v>156</v>
      </c>
      <c r="N12" t="s">
        <v>134</v>
      </c>
      <c r="O12" s="3">
        <f t="shared" si="0"/>
        <v>78804.960000000006</v>
      </c>
      <c r="P12" s="3">
        <f t="shared" si="1"/>
        <v>78804.960000000006</v>
      </c>
    </row>
    <row r="13" spans="1:16" x14ac:dyDescent="0.3">
      <c r="A13" t="s">
        <v>21</v>
      </c>
      <c r="B13" t="s">
        <v>28</v>
      </c>
      <c r="C13" t="s">
        <v>29</v>
      </c>
      <c r="D13">
        <v>57731.59</v>
      </c>
      <c r="E13">
        <v>57731.59</v>
      </c>
      <c r="F13">
        <v>57731.59</v>
      </c>
      <c r="G13">
        <v>57731.59</v>
      </c>
      <c r="H13">
        <v>57731.59</v>
      </c>
      <c r="I13" s="4"/>
      <c r="L13" s="2" t="s">
        <v>27</v>
      </c>
      <c r="M13" s="1" t="s">
        <v>156</v>
      </c>
      <c r="N13" t="s">
        <v>135</v>
      </c>
      <c r="O13" s="3">
        <f t="shared" si="0"/>
        <v>78881.39</v>
      </c>
      <c r="P13" s="3">
        <f t="shared" si="1"/>
        <v>78881.39</v>
      </c>
    </row>
    <row r="14" spans="1:16" x14ac:dyDescent="0.3">
      <c r="A14" t="s">
        <v>30</v>
      </c>
      <c r="D14">
        <v>275667.18</v>
      </c>
      <c r="E14">
        <v>275667.18</v>
      </c>
      <c r="F14">
        <v>275667.18</v>
      </c>
      <c r="G14">
        <v>275667.18</v>
      </c>
      <c r="H14">
        <v>275667.18</v>
      </c>
      <c r="I14" s="4"/>
      <c r="L14" s="9" t="s">
        <v>22</v>
      </c>
      <c r="M14" s="1" t="s">
        <v>156</v>
      </c>
      <c r="N14" t="s">
        <v>136</v>
      </c>
      <c r="O14" s="3">
        <f t="shared" si="0"/>
        <v>146473.26</v>
      </c>
      <c r="P14" s="3">
        <f t="shared" si="1"/>
        <v>146473.26</v>
      </c>
    </row>
    <row r="15" spans="1:16" x14ac:dyDescent="0.3">
      <c r="I15" s="4"/>
      <c r="L15" s="9" t="s">
        <v>31</v>
      </c>
      <c r="M15" s="1" t="s">
        <v>156</v>
      </c>
      <c r="N15" t="s">
        <v>137</v>
      </c>
      <c r="O15" s="3">
        <f t="shared" si="0"/>
        <v>76533.34</v>
      </c>
      <c r="P15" s="3">
        <f t="shared" si="1"/>
        <v>76533.34</v>
      </c>
    </row>
    <row r="16" spans="1:16" x14ac:dyDescent="0.3">
      <c r="I16" s="4"/>
      <c r="L16" s="10" t="s">
        <v>32</v>
      </c>
      <c r="M16" s="1" t="s">
        <v>156</v>
      </c>
      <c r="N16" t="s">
        <v>138</v>
      </c>
      <c r="O16" s="3">
        <f t="shared" si="0"/>
        <v>2110454.27</v>
      </c>
      <c r="P16" s="3">
        <f t="shared" si="1"/>
        <v>2110454.27</v>
      </c>
    </row>
    <row r="17" spans="1:16" x14ac:dyDescent="0.3">
      <c r="A17" t="s">
        <v>34</v>
      </c>
      <c r="B17" t="s">
        <v>9</v>
      </c>
      <c r="I17" s="4"/>
      <c r="L17" s="8" t="s">
        <v>33</v>
      </c>
      <c r="M17" s="1" t="s">
        <v>156</v>
      </c>
      <c r="N17" t="s">
        <v>139</v>
      </c>
      <c r="O17" s="3">
        <f t="shared" si="0"/>
        <v>52975.85</v>
      </c>
      <c r="P17" s="3">
        <f t="shared" si="1"/>
        <v>52975.85</v>
      </c>
    </row>
    <row r="18" spans="1:16" x14ac:dyDescent="0.3">
      <c r="I18" s="4"/>
      <c r="L18" t="s">
        <v>35</v>
      </c>
      <c r="M18" s="1" t="s">
        <v>156</v>
      </c>
      <c r="N18" t="s">
        <v>140</v>
      </c>
      <c r="O18" s="3">
        <f t="shared" si="0"/>
        <v>-344282.5</v>
      </c>
      <c r="P18" s="3">
        <f t="shared" si="1"/>
        <v>-344282.5</v>
      </c>
    </row>
    <row r="19" spans="1:16" x14ac:dyDescent="0.3">
      <c r="A19" t="s">
        <v>12</v>
      </c>
      <c r="I19" s="4"/>
      <c r="L19" t="s">
        <v>163</v>
      </c>
      <c r="M19" s="1" t="s">
        <v>156</v>
      </c>
      <c r="N19" t="s">
        <v>164</v>
      </c>
      <c r="O19" s="3">
        <f t="shared" si="0"/>
        <v>108039.98</v>
      </c>
      <c r="P19" s="3">
        <f t="shared" si="1"/>
        <v>108039.98</v>
      </c>
    </row>
    <row r="20" spans="1:16" x14ac:dyDescent="0.3">
      <c r="A20" t="s">
        <v>14</v>
      </c>
      <c r="B20" t="s">
        <v>15</v>
      </c>
      <c r="C20" t="s">
        <v>16</v>
      </c>
      <c r="D20" t="s">
        <v>17</v>
      </c>
      <c r="E20" t="s">
        <v>18</v>
      </c>
      <c r="F20" t="s">
        <v>19</v>
      </c>
      <c r="G20" t="s">
        <v>166</v>
      </c>
      <c r="H20" t="s">
        <v>167</v>
      </c>
      <c r="I20" s="4"/>
      <c r="L20" s="9" t="s">
        <v>36</v>
      </c>
      <c r="M20" s="1" t="s">
        <v>156</v>
      </c>
      <c r="N20" t="s">
        <v>141</v>
      </c>
      <c r="O20" s="3">
        <f t="shared" si="0"/>
        <v>165766.17000000001</v>
      </c>
      <c r="P20" s="3">
        <f t="shared" si="1"/>
        <v>165766.17000000001</v>
      </c>
    </row>
    <row r="21" spans="1:16" x14ac:dyDescent="0.3">
      <c r="A21" t="s">
        <v>21</v>
      </c>
      <c r="B21" t="s">
        <v>38</v>
      </c>
      <c r="C21" t="s">
        <v>39</v>
      </c>
      <c r="D21">
        <v>122726.29</v>
      </c>
      <c r="E21">
        <v>122726.29</v>
      </c>
      <c r="F21">
        <v>122726.29</v>
      </c>
      <c r="G21">
        <v>122726.29</v>
      </c>
      <c r="H21">
        <v>122726.29</v>
      </c>
      <c r="I21" s="4"/>
      <c r="L21" s="7" t="s">
        <v>28</v>
      </c>
      <c r="M21" s="1" t="s">
        <v>156</v>
      </c>
      <c r="N21" t="s">
        <v>142</v>
      </c>
      <c r="O21" s="3">
        <f t="shared" si="0"/>
        <v>57731.59</v>
      </c>
      <c r="P21" s="3">
        <f t="shared" si="1"/>
        <v>57731.59</v>
      </c>
    </row>
    <row r="22" spans="1:16" x14ac:dyDescent="0.3">
      <c r="A22" t="s">
        <v>21</v>
      </c>
      <c r="B22" t="s">
        <v>41</v>
      </c>
      <c r="C22" t="s">
        <v>42</v>
      </c>
      <c r="D22">
        <v>75655.42</v>
      </c>
      <c r="E22">
        <v>75655.42</v>
      </c>
      <c r="F22">
        <v>75637.27</v>
      </c>
      <c r="G22">
        <v>75637.27</v>
      </c>
      <c r="H22">
        <v>75637.27</v>
      </c>
      <c r="I22" s="4"/>
      <c r="L22" t="s">
        <v>37</v>
      </c>
      <c r="M22" s="1" t="s">
        <v>158</v>
      </c>
      <c r="N22" t="s">
        <v>127</v>
      </c>
      <c r="O22" s="3">
        <f t="shared" si="0"/>
        <v>119348.46</v>
      </c>
      <c r="P22" s="3">
        <f t="shared" si="1"/>
        <v>119348.46</v>
      </c>
    </row>
    <row r="23" spans="1:16" x14ac:dyDescent="0.3">
      <c r="A23" t="s">
        <v>21</v>
      </c>
      <c r="B23" t="s">
        <v>43</v>
      </c>
      <c r="C23" t="s">
        <v>44</v>
      </c>
      <c r="D23">
        <v>101365.29</v>
      </c>
      <c r="E23">
        <v>101365.29</v>
      </c>
      <c r="F23">
        <v>101365.29</v>
      </c>
      <c r="G23">
        <v>101365.29</v>
      </c>
      <c r="H23">
        <v>101365.29</v>
      </c>
      <c r="I23" s="4"/>
      <c r="L23" s="11" t="s">
        <v>40</v>
      </c>
      <c r="M23" s="1" t="s">
        <v>158</v>
      </c>
      <c r="N23" t="s">
        <v>126</v>
      </c>
      <c r="O23" s="3">
        <f t="shared" si="0"/>
        <v>80814.13</v>
      </c>
      <c r="P23" s="3">
        <f t="shared" si="1"/>
        <v>80814.13</v>
      </c>
    </row>
    <row r="24" spans="1:16" x14ac:dyDescent="0.3">
      <c r="A24" t="s">
        <v>21</v>
      </c>
      <c r="B24" t="s">
        <v>5</v>
      </c>
      <c r="C24" t="s">
        <v>29</v>
      </c>
      <c r="D24">
        <v>3553008.53</v>
      </c>
      <c r="E24">
        <v>3553008.53</v>
      </c>
      <c r="F24">
        <v>-312910.88</v>
      </c>
      <c r="G24">
        <v>-312910.88</v>
      </c>
      <c r="H24">
        <v>-312910.88</v>
      </c>
      <c r="I24" s="4"/>
      <c r="L24" s="11" t="s">
        <v>43</v>
      </c>
      <c r="M24" s="1" t="s">
        <v>158</v>
      </c>
      <c r="N24" t="s">
        <v>77</v>
      </c>
      <c r="O24" s="3">
        <f t="shared" si="0"/>
        <v>101365.29</v>
      </c>
      <c r="P24" s="3">
        <f t="shared" si="1"/>
        <v>101365.29</v>
      </c>
    </row>
    <row r="25" spans="1:16" x14ac:dyDescent="0.3">
      <c r="A25" t="s">
        <v>21</v>
      </c>
      <c r="B25" t="s">
        <v>47</v>
      </c>
      <c r="C25" t="s">
        <v>48</v>
      </c>
      <c r="D25">
        <v>8174.1</v>
      </c>
      <c r="E25">
        <v>8174.1</v>
      </c>
      <c r="F25">
        <v>8174.1</v>
      </c>
      <c r="G25">
        <v>8174.1</v>
      </c>
      <c r="H25">
        <v>8174.1</v>
      </c>
      <c r="I25" s="4"/>
      <c r="L25" s="11" t="s">
        <v>45</v>
      </c>
      <c r="M25" s="1" t="s">
        <v>158</v>
      </c>
      <c r="N25" t="s">
        <v>80</v>
      </c>
      <c r="O25" s="3">
        <f t="shared" si="0"/>
        <v>603142.35</v>
      </c>
      <c r="P25" s="3">
        <f t="shared" si="1"/>
        <v>603142.35</v>
      </c>
    </row>
    <row r="26" spans="1:16" x14ac:dyDescent="0.3">
      <c r="A26" t="s">
        <v>21</v>
      </c>
      <c r="B26" t="s">
        <v>53</v>
      </c>
      <c r="C26" t="s">
        <v>54</v>
      </c>
      <c r="D26">
        <v>8407.76</v>
      </c>
      <c r="E26">
        <v>8407.76</v>
      </c>
      <c r="F26">
        <v>8407.76</v>
      </c>
      <c r="G26">
        <v>8407.76</v>
      </c>
      <c r="H26">
        <v>8407.76</v>
      </c>
      <c r="I26" s="4"/>
      <c r="L26" s="11" t="s">
        <v>46</v>
      </c>
      <c r="M26" s="1" t="s">
        <v>158</v>
      </c>
      <c r="N26" t="s">
        <v>128</v>
      </c>
      <c r="O26" s="3">
        <f t="shared" si="0"/>
        <v>16878334.030000001</v>
      </c>
      <c r="P26" s="3">
        <f t="shared" si="1"/>
        <v>-74488992.540000007</v>
      </c>
    </row>
    <row r="27" spans="1:16" x14ac:dyDescent="0.3">
      <c r="A27" t="s">
        <v>21</v>
      </c>
      <c r="B27" t="s">
        <v>56</v>
      </c>
      <c r="C27" t="s">
        <v>57</v>
      </c>
      <c r="D27">
        <v>114225.25</v>
      </c>
      <c r="E27">
        <v>114225.25</v>
      </c>
      <c r="F27">
        <v>114225.25</v>
      </c>
      <c r="G27">
        <v>114225.25</v>
      </c>
      <c r="H27">
        <v>114225.25</v>
      </c>
      <c r="I27" s="4"/>
      <c r="L27" s="11" t="s">
        <v>49</v>
      </c>
      <c r="M27" s="1" t="s">
        <v>158</v>
      </c>
      <c r="N27" t="s">
        <v>131</v>
      </c>
      <c r="O27" s="3">
        <f t="shared" si="0"/>
        <v>124246.87</v>
      </c>
      <c r="P27" s="3">
        <f t="shared" si="1"/>
        <v>124246.87</v>
      </c>
    </row>
    <row r="28" spans="1:16" x14ac:dyDescent="0.3">
      <c r="A28" t="s">
        <v>21</v>
      </c>
      <c r="B28" t="s">
        <v>59</v>
      </c>
      <c r="C28" t="s">
        <v>60</v>
      </c>
      <c r="D28">
        <v>11244062.810000001</v>
      </c>
      <c r="E28">
        <v>11244062.810000001</v>
      </c>
      <c r="F28">
        <v>11244062.810000001</v>
      </c>
      <c r="G28">
        <v>11244062.810000001</v>
      </c>
      <c r="H28">
        <v>11244062.810000001</v>
      </c>
      <c r="I28" s="4"/>
      <c r="L28" s="11" t="s">
        <v>52</v>
      </c>
      <c r="M28" s="1" t="s">
        <v>158</v>
      </c>
      <c r="N28" t="s">
        <v>141</v>
      </c>
      <c r="O28" s="3">
        <f t="shared" si="0"/>
        <v>624535.6</v>
      </c>
      <c r="P28" s="3">
        <f t="shared" si="1"/>
        <v>624535.6</v>
      </c>
    </row>
    <row r="29" spans="1:16" x14ac:dyDescent="0.3">
      <c r="A29" t="s">
        <v>21</v>
      </c>
      <c r="B29" t="s">
        <v>61</v>
      </c>
      <c r="C29" t="s">
        <v>62</v>
      </c>
      <c r="D29">
        <v>81631.08</v>
      </c>
      <c r="E29">
        <v>81631.08</v>
      </c>
      <c r="F29">
        <v>81631.08</v>
      </c>
      <c r="G29">
        <v>81631.08</v>
      </c>
      <c r="H29">
        <v>81631.08</v>
      </c>
      <c r="I29" s="4"/>
      <c r="L29" s="11" t="s">
        <v>55</v>
      </c>
      <c r="M29" s="1" t="s">
        <v>158</v>
      </c>
      <c r="N29" t="s">
        <v>143</v>
      </c>
      <c r="O29" s="3">
        <f t="shared" si="0"/>
        <v>112531.31</v>
      </c>
      <c r="P29" s="3">
        <f t="shared" si="1"/>
        <v>112531.31</v>
      </c>
    </row>
    <row r="30" spans="1:16" x14ac:dyDescent="0.3">
      <c r="A30" t="s">
        <v>30</v>
      </c>
      <c r="D30">
        <v>15309256.529999999</v>
      </c>
      <c r="E30">
        <v>15309256.529999999</v>
      </c>
      <c r="F30">
        <v>11443318.970000001</v>
      </c>
      <c r="G30">
        <v>11443318.970000001</v>
      </c>
      <c r="H30">
        <v>11443318.970000001</v>
      </c>
      <c r="I30" s="4"/>
      <c r="L30" t="s">
        <v>58</v>
      </c>
      <c r="M30" s="1" t="s">
        <v>158</v>
      </c>
      <c r="N30" t="s">
        <v>132</v>
      </c>
      <c r="O30" s="3">
        <f t="shared" si="0"/>
        <v>118481.24</v>
      </c>
      <c r="P30" s="3">
        <f t="shared" si="1"/>
        <v>118481.24</v>
      </c>
    </row>
    <row r="31" spans="1:16" x14ac:dyDescent="0.3">
      <c r="I31" s="4"/>
      <c r="L31" s="9" t="s">
        <v>25</v>
      </c>
      <c r="M31" s="1" t="s">
        <v>158</v>
      </c>
      <c r="N31" t="s">
        <v>136</v>
      </c>
      <c r="O31" s="3">
        <f t="shared" si="0"/>
        <v>71462.33</v>
      </c>
      <c r="P31" s="3">
        <f t="shared" si="1"/>
        <v>71462.33</v>
      </c>
    </row>
    <row r="32" spans="1:16" x14ac:dyDescent="0.3">
      <c r="I32" s="4"/>
      <c r="L32" s="11" t="s">
        <v>63</v>
      </c>
      <c r="M32" s="1" t="s">
        <v>158</v>
      </c>
      <c r="N32" t="s">
        <v>144</v>
      </c>
      <c r="O32" s="3">
        <f t="shared" si="0"/>
        <v>60128.480000000003</v>
      </c>
      <c r="P32" s="3">
        <f t="shared" si="1"/>
        <v>60128.480000000003</v>
      </c>
    </row>
    <row r="33" spans="1:16" x14ac:dyDescent="0.3">
      <c r="A33" t="s">
        <v>34</v>
      </c>
      <c r="B33" t="s">
        <v>67</v>
      </c>
      <c r="I33" s="4"/>
      <c r="L33" s="12" t="s">
        <v>64</v>
      </c>
      <c r="M33" s="1" t="s">
        <v>153</v>
      </c>
      <c r="N33" t="s">
        <v>145</v>
      </c>
      <c r="O33" s="3">
        <f t="shared" si="0"/>
        <v>821356.45</v>
      </c>
      <c r="P33" s="3">
        <f t="shared" si="1"/>
        <v>503709.59</v>
      </c>
    </row>
    <row r="34" spans="1:16" x14ac:dyDescent="0.3">
      <c r="I34" s="4"/>
      <c r="L34" t="s">
        <v>65</v>
      </c>
      <c r="M34" s="1" t="s">
        <v>153</v>
      </c>
      <c r="N34" t="s">
        <v>127</v>
      </c>
      <c r="O34" s="3">
        <f t="shared" ref="O34:O59" si="2">IFERROR(VLOOKUP(L34,B:H,3,FALSE),0)</f>
        <v>57269.52</v>
      </c>
      <c r="P34" s="3">
        <f t="shared" ref="P34:P59" si="3">IFERROR(VLOOKUP(L34,B:H,5,FALSE),0)</f>
        <v>57269.52</v>
      </c>
    </row>
    <row r="35" spans="1:16" x14ac:dyDescent="0.3">
      <c r="A35" t="s">
        <v>12</v>
      </c>
      <c r="I35" s="4"/>
      <c r="L35" s="9" t="s">
        <v>66</v>
      </c>
      <c r="M35" s="1" t="s">
        <v>153</v>
      </c>
      <c r="N35" t="s">
        <v>126</v>
      </c>
      <c r="O35" s="3">
        <f t="shared" si="2"/>
        <v>89619.37</v>
      </c>
      <c r="P35" s="3">
        <f t="shared" si="3"/>
        <v>89619.37</v>
      </c>
    </row>
    <row r="36" spans="1:16" x14ac:dyDescent="0.3">
      <c r="A36" t="s">
        <v>14</v>
      </c>
      <c r="B36" t="s">
        <v>15</v>
      </c>
      <c r="C36" t="s">
        <v>16</v>
      </c>
      <c r="D36" t="s">
        <v>17</v>
      </c>
      <c r="E36" t="s">
        <v>18</v>
      </c>
      <c r="F36" t="s">
        <v>19</v>
      </c>
      <c r="G36" t="s">
        <v>166</v>
      </c>
      <c r="H36" t="s">
        <v>167</v>
      </c>
      <c r="I36" s="4"/>
      <c r="L36" s="9" t="s">
        <v>68</v>
      </c>
      <c r="M36" s="1" t="s">
        <v>153</v>
      </c>
      <c r="N36" t="s">
        <v>128</v>
      </c>
      <c r="O36" s="3">
        <f t="shared" si="2"/>
        <v>38871921.729999997</v>
      </c>
      <c r="P36" s="3">
        <f t="shared" si="3"/>
        <v>-24273781.309999999</v>
      </c>
    </row>
    <row r="37" spans="1:16" x14ac:dyDescent="0.3">
      <c r="A37" t="s">
        <v>21</v>
      </c>
      <c r="B37" t="s">
        <v>71</v>
      </c>
      <c r="C37" t="s">
        <v>72</v>
      </c>
      <c r="D37">
        <v>66.73</v>
      </c>
      <c r="E37">
        <v>66.73</v>
      </c>
      <c r="F37">
        <v>66.73</v>
      </c>
      <c r="G37">
        <v>66.73</v>
      </c>
      <c r="H37">
        <v>66.73</v>
      </c>
      <c r="I37" s="4"/>
      <c r="L37" s="9" t="s">
        <v>69</v>
      </c>
      <c r="M37" s="1" t="s">
        <v>153</v>
      </c>
      <c r="N37" t="s">
        <v>146</v>
      </c>
      <c r="O37" s="3">
        <f t="shared" si="2"/>
        <v>2125929.16</v>
      </c>
      <c r="P37" s="3">
        <f t="shared" si="3"/>
        <v>2125929.16</v>
      </c>
    </row>
    <row r="38" spans="1:16" x14ac:dyDescent="0.3">
      <c r="A38" t="s">
        <v>74</v>
      </c>
      <c r="D38">
        <v>66.73</v>
      </c>
      <c r="E38">
        <v>66.73</v>
      </c>
      <c r="F38">
        <v>66.73</v>
      </c>
      <c r="G38">
        <v>66.73</v>
      </c>
      <c r="H38">
        <v>66.73</v>
      </c>
      <c r="I38" s="4"/>
      <c r="L38" s="9" t="s">
        <v>38</v>
      </c>
      <c r="M38" s="1" t="s">
        <v>153</v>
      </c>
      <c r="N38" t="s">
        <v>77</v>
      </c>
      <c r="O38" s="3">
        <f t="shared" si="2"/>
        <v>122726.29</v>
      </c>
      <c r="P38" s="3">
        <f t="shared" si="3"/>
        <v>122726.29</v>
      </c>
    </row>
    <row r="39" spans="1:16" x14ac:dyDescent="0.3">
      <c r="I39" s="4"/>
      <c r="L39" s="2" t="s">
        <v>70</v>
      </c>
      <c r="M39" s="1" t="s">
        <v>153</v>
      </c>
      <c r="N39" t="s">
        <v>131</v>
      </c>
      <c r="O39" s="3">
        <f t="shared" si="2"/>
        <v>191368.84</v>
      </c>
      <c r="P39" s="3">
        <f t="shared" si="3"/>
        <v>191368.84</v>
      </c>
    </row>
    <row r="40" spans="1:16" x14ac:dyDescent="0.3">
      <c r="I40" s="4"/>
      <c r="L40" s="7" t="s">
        <v>73</v>
      </c>
      <c r="M40" s="1" t="s">
        <v>153</v>
      </c>
      <c r="N40" t="s">
        <v>134</v>
      </c>
      <c r="O40" s="3">
        <f t="shared" si="2"/>
        <v>63857.87</v>
      </c>
      <c r="P40" s="3">
        <f t="shared" si="3"/>
        <v>63857.87</v>
      </c>
    </row>
    <row r="41" spans="1:16" x14ac:dyDescent="0.3">
      <c r="A41" t="s">
        <v>162</v>
      </c>
      <c r="B41" t="s">
        <v>9</v>
      </c>
      <c r="I41" s="4"/>
      <c r="L41" s="9" t="s">
        <v>75</v>
      </c>
      <c r="M41" s="1" t="s">
        <v>160</v>
      </c>
      <c r="N41" t="s">
        <v>145</v>
      </c>
      <c r="O41" s="3">
        <f t="shared" si="2"/>
        <v>610003.26</v>
      </c>
      <c r="P41" s="3">
        <f t="shared" si="3"/>
        <v>610003.26</v>
      </c>
    </row>
    <row r="42" spans="1:16" x14ac:dyDescent="0.3">
      <c r="I42" s="4"/>
      <c r="L42" t="s">
        <v>76</v>
      </c>
      <c r="M42" s="1" t="s">
        <v>160</v>
      </c>
      <c r="N42" t="s">
        <v>127</v>
      </c>
      <c r="O42" s="3">
        <f t="shared" si="2"/>
        <v>96675.26</v>
      </c>
      <c r="P42" s="3">
        <f t="shared" si="3"/>
        <v>96675.26</v>
      </c>
    </row>
    <row r="43" spans="1:16" x14ac:dyDescent="0.3">
      <c r="A43" t="s">
        <v>12</v>
      </c>
      <c r="I43" s="4"/>
      <c r="L43" s="13" t="s">
        <v>41</v>
      </c>
      <c r="M43" s="1" t="s">
        <v>160</v>
      </c>
      <c r="N43" t="s">
        <v>77</v>
      </c>
      <c r="O43" s="3">
        <f t="shared" si="2"/>
        <v>75655.42</v>
      </c>
      <c r="P43" s="3">
        <f t="shared" si="3"/>
        <v>75637.27</v>
      </c>
    </row>
    <row r="44" spans="1:16" x14ac:dyDescent="0.3">
      <c r="A44" t="s">
        <v>14</v>
      </c>
      <c r="B44" t="s">
        <v>15</v>
      </c>
      <c r="C44" t="s">
        <v>16</v>
      </c>
      <c r="D44" t="s">
        <v>17</v>
      </c>
      <c r="E44" t="s">
        <v>18</v>
      </c>
      <c r="F44" t="s">
        <v>19</v>
      </c>
      <c r="G44" t="s">
        <v>166</v>
      </c>
      <c r="H44" t="s">
        <v>167</v>
      </c>
      <c r="I44" s="4"/>
      <c r="L44" t="s">
        <v>79</v>
      </c>
      <c r="M44" s="1" t="s">
        <v>154</v>
      </c>
      <c r="N44" t="s">
        <v>80</v>
      </c>
      <c r="O44" s="3">
        <f t="shared" si="2"/>
        <v>78670.929999999993</v>
      </c>
      <c r="P44" s="3">
        <f t="shared" si="3"/>
        <v>78670.929999999993</v>
      </c>
    </row>
    <row r="45" spans="1:16" x14ac:dyDescent="0.3">
      <c r="A45" t="s">
        <v>21</v>
      </c>
      <c r="B45" t="s">
        <v>165</v>
      </c>
      <c r="C45" t="s">
        <v>39</v>
      </c>
      <c r="D45">
        <v>108035.81</v>
      </c>
      <c r="E45">
        <v>108035.81</v>
      </c>
      <c r="F45">
        <v>108035.81</v>
      </c>
      <c r="G45">
        <v>108035.81</v>
      </c>
      <c r="H45">
        <v>108035.81</v>
      </c>
      <c r="I45" s="4"/>
      <c r="L45" s="9" t="s">
        <v>81</v>
      </c>
      <c r="M45" s="1" t="s">
        <v>154</v>
      </c>
      <c r="N45" t="s">
        <v>128</v>
      </c>
      <c r="O45" s="3">
        <f t="shared" si="2"/>
        <v>147334.94</v>
      </c>
      <c r="P45" s="3">
        <f t="shared" si="3"/>
        <v>147334.94</v>
      </c>
    </row>
    <row r="46" spans="1:16" x14ac:dyDescent="0.3">
      <c r="A46" t="s">
        <v>21</v>
      </c>
      <c r="B46" t="s">
        <v>163</v>
      </c>
      <c r="C46" t="s">
        <v>82</v>
      </c>
      <c r="D46">
        <v>108039.98</v>
      </c>
      <c r="E46">
        <v>108039.98</v>
      </c>
      <c r="F46">
        <v>108039.98</v>
      </c>
      <c r="G46">
        <v>108039.98</v>
      </c>
      <c r="H46">
        <v>108039.98</v>
      </c>
      <c r="I46" s="4"/>
      <c r="L46" s="9" t="s">
        <v>56</v>
      </c>
      <c r="M46" s="1" t="s">
        <v>57</v>
      </c>
      <c r="N46" t="s">
        <v>77</v>
      </c>
      <c r="O46" s="3">
        <f t="shared" si="2"/>
        <v>114225.25</v>
      </c>
      <c r="P46" s="3">
        <f t="shared" si="3"/>
        <v>114225.25</v>
      </c>
    </row>
    <row r="47" spans="1:16" x14ac:dyDescent="0.3">
      <c r="A47" t="s">
        <v>30</v>
      </c>
      <c r="D47">
        <v>216075.79</v>
      </c>
      <c r="E47">
        <v>216075.79</v>
      </c>
      <c r="F47">
        <v>216075.79</v>
      </c>
      <c r="G47">
        <v>216075.79</v>
      </c>
      <c r="H47">
        <v>216075.79</v>
      </c>
      <c r="I47" s="4"/>
      <c r="L47" s="9" t="s">
        <v>50</v>
      </c>
      <c r="M47" s="1" t="s">
        <v>51</v>
      </c>
      <c r="N47" t="s">
        <v>77</v>
      </c>
      <c r="O47" s="3">
        <f t="shared" si="2"/>
        <v>0</v>
      </c>
      <c r="P47" s="3">
        <f t="shared" si="3"/>
        <v>0</v>
      </c>
    </row>
    <row r="48" spans="1:16" x14ac:dyDescent="0.3">
      <c r="I48" s="4"/>
      <c r="L48" s="9" t="s">
        <v>53</v>
      </c>
      <c r="M48" s="1" t="s">
        <v>54</v>
      </c>
      <c r="N48" t="s">
        <v>77</v>
      </c>
      <c r="O48" s="3">
        <f t="shared" si="2"/>
        <v>8407.76</v>
      </c>
      <c r="P48" s="3">
        <f t="shared" si="3"/>
        <v>8407.76</v>
      </c>
    </row>
    <row r="49" spans="1:16" x14ac:dyDescent="0.3">
      <c r="I49" s="4"/>
      <c r="L49" s="9" t="s">
        <v>47</v>
      </c>
      <c r="M49" s="1" t="s">
        <v>48</v>
      </c>
      <c r="N49" t="s">
        <v>77</v>
      </c>
      <c r="O49" s="3">
        <f t="shared" si="2"/>
        <v>8174.1</v>
      </c>
      <c r="P49" s="3">
        <f t="shared" si="3"/>
        <v>8174.1</v>
      </c>
    </row>
    <row r="50" spans="1:16" x14ac:dyDescent="0.3">
      <c r="A50" t="s">
        <v>78</v>
      </c>
      <c r="B50" t="s">
        <v>9</v>
      </c>
      <c r="I50" s="4"/>
      <c r="L50" s="9" t="s">
        <v>59</v>
      </c>
      <c r="M50" s="1" t="s">
        <v>60</v>
      </c>
      <c r="N50" t="s">
        <v>77</v>
      </c>
      <c r="O50" s="3">
        <f t="shared" si="2"/>
        <v>11244062.810000001</v>
      </c>
      <c r="P50" s="3">
        <f t="shared" si="3"/>
        <v>11244062.810000001</v>
      </c>
    </row>
    <row r="51" spans="1:16" x14ac:dyDescent="0.3">
      <c r="I51" s="4"/>
      <c r="L51" t="s">
        <v>84</v>
      </c>
      <c r="M51" s="1" t="s">
        <v>110</v>
      </c>
      <c r="N51" t="s">
        <v>80</v>
      </c>
      <c r="O51" s="3">
        <f t="shared" si="2"/>
        <v>24006854.550000001</v>
      </c>
      <c r="P51" s="3">
        <f t="shared" si="3"/>
        <v>24006854.550000001</v>
      </c>
    </row>
    <row r="52" spans="1:16" x14ac:dyDescent="0.3">
      <c r="A52" t="s">
        <v>12</v>
      </c>
      <c r="I52" s="4"/>
      <c r="L52" s="9" t="s">
        <v>85</v>
      </c>
      <c r="M52" s="1" t="s">
        <v>110</v>
      </c>
      <c r="N52" t="s">
        <v>129</v>
      </c>
      <c r="O52" s="3">
        <f t="shared" si="2"/>
        <v>21333815.59</v>
      </c>
      <c r="P52" s="3">
        <f t="shared" si="3"/>
        <v>21333639.949999999</v>
      </c>
    </row>
    <row r="53" spans="1:16" x14ac:dyDescent="0.3">
      <c r="A53" t="s">
        <v>14</v>
      </c>
      <c r="B53" t="s">
        <v>15</v>
      </c>
      <c r="C53" t="s">
        <v>16</v>
      </c>
      <c r="D53" t="s">
        <v>17</v>
      </c>
      <c r="E53" t="s">
        <v>18</v>
      </c>
      <c r="F53" t="s">
        <v>19</v>
      </c>
      <c r="G53" t="s">
        <v>166</v>
      </c>
      <c r="H53" t="s">
        <v>167</v>
      </c>
      <c r="I53" s="4"/>
      <c r="L53" t="s">
        <v>86</v>
      </c>
      <c r="M53" s="1" t="s">
        <v>110</v>
      </c>
      <c r="N53" t="s">
        <v>147</v>
      </c>
      <c r="O53" s="3">
        <f t="shared" si="2"/>
        <v>4176138.63</v>
      </c>
      <c r="P53" s="3">
        <f t="shared" si="3"/>
        <v>4165613.43</v>
      </c>
    </row>
    <row r="54" spans="1:16" x14ac:dyDescent="0.3">
      <c r="A54" t="s">
        <v>21</v>
      </c>
      <c r="B54" t="s">
        <v>33</v>
      </c>
      <c r="C54" t="s">
        <v>82</v>
      </c>
      <c r="D54">
        <v>52975.85</v>
      </c>
      <c r="E54">
        <v>52975.85</v>
      </c>
      <c r="F54">
        <v>52975.85</v>
      </c>
      <c r="G54">
        <v>52975.85</v>
      </c>
      <c r="H54">
        <v>52975.85</v>
      </c>
      <c r="I54" s="4"/>
      <c r="L54" s="9" t="s">
        <v>87</v>
      </c>
      <c r="M54" s="1" t="s">
        <v>155</v>
      </c>
      <c r="N54" t="s">
        <v>128</v>
      </c>
      <c r="O54" s="3">
        <f t="shared" si="2"/>
        <v>129660.85</v>
      </c>
      <c r="P54" s="3">
        <f t="shared" si="3"/>
        <v>129660.85</v>
      </c>
    </row>
    <row r="55" spans="1:16" x14ac:dyDescent="0.3">
      <c r="A55" t="s">
        <v>30</v>
      </c>
      <c r="D55">
        <v>52975.85</v>
      </c>
      <c r="E55">
        <v>52975.85</v>
      </c>
      <c r="F55">
        <v>52975.85</v>
      </c>
      <c r="G55">
        <v>52975.85</v>
      </c>
      <c r="H55">
        <v>52975.85</v>
      </c>
      <c r="I55" s="4"/>
      <c r="L55" s="9" t="s">
        <v>89</v>
      </c>
      <c r="M55" s="1" t="s">
        <v>157</v>
      </c>
      <c r="N55" t="s">
        <v>145</v>
      </c>
      <c r="O55" s="3">
        <f t="shared" si="2"/>
        <v>0</v>
      </c>
      <c r="P55" s="3">
        <f t="shared" si="3"/>
        <v>0</v>
      </c>
    </row>
    <row r="56" spans="1:16" x14ac:dyDescent="0.3">
      <c r="I56" s="4"/>
      <c r="L56" t="s">
        <v>91</v>
      </c>
      <c r="M56" s="1" t="s">
        <v>157</v>
      </c>
      <c r="N56" t="s">
        <v>127</v>
      </c>
      <c r="O56" s="3">
        <f t="shared" si="2"/>
        <v>0</v>
      </c>
      <c r="P56" s="3">
        <f t="shared" si="3"/>
        <v>0</v>
      </c>
    </row>
    <row r="57" spans="1:16" x14ac:dyDescent="0.3">
      <c r="I57" s="4"/>
      <c r="L57" s="9" t="s">
        <v>90</v>
      </c>
      <c r="M57" s="1" t="s">
        <v>157</v>
      </c>
      <c r="N57" t="s">
        <v>126</v>
      </c>
      <c r="O57" s="3">
        <f t="shared" si="2"/>
        <v>0</v>
      </c>
      <c r="P57" s="3">
        <f t="shared" si="3"/>
        <v>0</v>
      </c>
    </row>
    <row r="58" spans="1:16" x14ac:dyDescent="0.3">
      <c r="A58" t="s">
        <v>83</v>
      </c>
      <c r="B58" t="s">
        <v>9</v>
      </c>
      <c r="I58" s="4"/>
      <c r="L58" s="9" t="s">
        <v>92</v>
      </c>
      <c r="M58" s="1" t="s">
        <v>157</v>
      </c>
      <c r="N58" t="s">
        <v>144</v>
      </c>
      <c r="O58" s="3">
        <f t="shared" si="2"/>
        <v>0</v>
      </c>
      <c r="P58" s="3">
        <f t="shared" si="3"/>
        <v>0</v>
      </c>
    </row>
    <row r="59" spans="1:16" x14ac:dyDescent="0.3">
      <c r="I59" s="4"/>
      <c r="L59" s="9" t="s">
        <v>61</v>
      </c>
      <c r="M59" s="1" t="s">
        <v>62</v>
      </c>
      <c r="N59" t="s">
        <v>77</v>
      </c>
      <c r="O59" s="3">
        <f t="shared" si="2"/>
        <v>81631.08</v>
      </c>
      <c r="P59" s="3">
        <f t="shared" si="3"/>
        <v>81631.08</v>
      </c>
    </row>
    <row r="60" spans="1:16" x14ac:dyDescent="0.3">
      <c r="A60" t="s">
        <v>12</v>
      </c>
      <c r="I60" s="4"/>
    </row>
    <row r="61" spans="1:16" x14ac:dyDescent="0.3">
      <c r="A61" t="s">
        <v>14</v>
      </c>
      <c r="B61" t="s">
        <v>15</v>
      </c>
      <c r="C61" t="s">
        <v>16</v>
      </c>
      <c r="D61" t="s">
        <v>17</v>
      </c>
      <c r="E61" t="s">
        <v>18</v>
      </c>
      <c r="F61" t="s">
        <v>19</v>
      </c>
      <c r="G61" t="s">
        <v>166</v>
      </c>
      <c r="H61" t="s">
        <v>167</v>
      </c>
      <c r="I61" s="4"/>
    </row>
    <row r="62" spans="1:16" x14ac:dyDescent="0.3">
      <c r="A62" t="s">
        <v>21</v>
      </c>
      <c r="B62" t="s">
        <v>66</v>
      </c>
      <c r="C62" t="s">
        <v>88</v>
      </c>
      <c r="D62">
        <v>89619.37</v>
      </c>
      <c r="E62">
        <v>89619.37</v>
      </c>
      <c r="F62">
        <v>89619.37</v>
      </c>
      <c r="G62">
        <v>89619.37</v>
      </c>
      <c r="H62">
        <v>89619.37</v>
      </c>
      <c r="I62" s="4"/>
    </row>
    <row r="63" spans="1:16" x14ac:dyDescent="0.3">
      <c r="A63" t="s">
        <v>21</v>
      </c>
      <c r="B63" t="s">
        <v>1</v>
      </c>
      <c r="C63" t="s">
        <v>23</v>
      </c>
      <c r="D63">
        <v>3821094.7</v>
      </c>
      <c r="E63">
        <v>3821094.7</v>
      </c>
      <c r="F63">
        <v>3821094.7</v>
      </c>
      <c r="G63">
        <v>3821094.7</v>
      </c>
      <c r="H63">
        <v>3821094.7</v>
      </c>
      <c r="I63" s="4"/>
    </row>
    <row r="64" spans="1:16" x14ac:dyDescent="0.3">
      <c r="A64" t="s">
        <v>21</v>
      </c>
      <c r="B64" t="s">
        <v>40</v>
      </c>
      <c r="C64" t="s">
        <v>26</v>
      </c>
      <c r="D64">
        <v>80814.13</v>
      </c>
      <c r="E64">
        <v>80814.13</v>
      </c>
      <c r="F64">
        <v>80814.13</v>
      </c>
      <c r="G64">
        <v>80814.13</v>
      </c>
      <c r="H64">
        <v>80814.13</v>
      </c>
      <c r="I64" s="4"/>
    </row>
    <row r="65" spans="1:9" x14ac:dyDescent="0.3">
      <c r="A65" t="s">
        <v>30</v>
      </c>
      <c r="D65">
        <v>3991528.2</v>
      </c>
      <c r="E65">
        <v>3991528.2</v>
      </c>
      <c r="F65">
        <v>3991528.2</v>
      </c>
      <c r="G65">
        <v>3991528.2</v>
      </c>
      <c r="H65">
        <v>3991528.2</v>
      </c>
      <c r="I65" s="4"/>
    </row>
    <row r="66" spans="1:9" x14ac:dyDescent="0.3">
      <c r="I66" s="4"/>
    </row>
    <row r="67" spans="1:9" x14ac:dyDescent="0.3">
      <c r="I67" s="4"/>
    </row>
    <row r="68" spans="1:9" x14ac:dyDescent="0.3">
      <c r="A68" t="s">
        <v>93</v>
      </c>
      <c r="B68" t="s">
        <v>9</v>
      </c>
      <c r="I68" s="4"/>
    </row>
    <row r="69" spans="1:9" x14ac:dyDescent="0.3">
      <c r="I69" s="4"/>
    </row>
    <row r="70" spans="1:9" x14ac:dyDescent="0.3">
      <c r="A70" t="s">
        <v>12</v>
      </c>
      <c r="I70" s="4"/>
    </row>
    <row r="71" spans="1:9" x14ac:dyDescent="0.3">
      <c r="A71" t="s">
        <v>14</v>
      </c>
      <c r="B71" t="s">
        <v>15</v>
      </c>
      <c r="C71" t="s">
        <v>16</v>
      </c>
      <c r="D71" t="s">
        <v>17</v>
      </c>
      <c r="E71" t="s">
        <v>18</v>
      </c>
      <c r="F71" t="s">
        <v>19</v>
      </c>
      <c r="G71" t="s">
        <v>166</v>
      </c>
      <c r="H71" t="s">
        <v>167</v>
      </c>
      <c r="I71" s="4"/>
    </row>
    <row r="72" spans="1:9" x14ac:dyDescent="0.3">
      <c r="A72" t="s">
        <v>21</v>
      </c>
      <c r="B72" t="s">
        <v>63</v>
      </c>
      <c r="C72" t="s">
        <v>94</v>
      </c>
      <c r="D72">
        <v>60128.480000000003</v>
      </c>
      <c r="E72">
        <v>60128.480000000003</v>
      </c>
      <c r="F72">
        <v>60128.480000000003</v>
      </c>
      <c r="G72">
        <v>60128.480000000003</v>
      </c>
      <c r="H72">
        <v>60128.480000000003</v>
      </c>
      <c r="I72" s="4"/>
    </row>
    <row r="73" spans="1:9" x14ac:dyDescent="0.3">
      <c r="A73" t="s">
        <v>30</v>
      </c>
      <c r="D73">
        <v>60128.480000000003</v>
      </c>
      <c r="E73">
        <v>60128.480000000003</v>
      </c>
      <c r="F73">
        <v>60128.480000000003</v>
      </c>
      <c r="G73">
        <v>60128.480000000003</v>
      </c>
      <c r="H73">
        <v>60128.480000000003</v>
      </c>
      <c r="I73" s="4"/>
    </row>
    <row r="74" spans="1:9" x14ac:dyDescent="0.3">
      <c r="I74" s="4"/>
    </row>
    <row r="75" spans="1:9" x14ac:dyDescent="0.3">
      <c r="I75" s="4"/>
    </row>
    <row r="76" spans="1:9" x14ac:dyDescent="0.3">
      <c r="A76" t="s">
        <v>95</v>
      </c>
      <c r="B76" t="s">
        <v>9</v>
      </c>
      <c r="I76" s="4"/>
    </row>
    <row r="77" spans="1:9" x14ac:dyDescent="0.3">
      <c r="I77" s="4"/>
    </row>
    <row r="78" spans="1:9" x14ac:dyDescent="0.3">
      <c r="A78" t="s">
        <v>12</v>
      </c>
      <c r="I78" s="4"/>
    </row>
    <row r="79" spans="1:9" x14ac:dyDescent="0.3">
      <c r="A79" t="s">
        <v>14</v>
      </c>
      <c r="B79" t="s">
        <v>15</v>
      </c>
      <c r="C79" t="s">
        <v>16</v>
      </c>
      <c r="D79" t="s">
        <v>17</v>
      </c>
      <c r="E79" t="s">
        <v>18</v>
      </c>
      <c r="F79" t="s">
        <v>19</v>
      </c>
      <c r="G79" t="s">
        <v>166</v>
      </c>
      <c r="H79" t="s">
        <v>167</v>
      </c>
      <c r="I79" s="4"/>
    </row>
    <row r="80" spans="1:9" x14ac:dyDescent="0.3">
      <c r="A80" t="s">
        <v>21</v>
      </c>
      <c r="B80" t="s">
        <v>58</v>
      </c>
      <c r="C80" t="s">
        <v>26</v>
      </c>
      <c r="D80">
        <v>118481.24</v>
      </c>
      <c r="E80">
        <v>118481.24</v>
      </c>
      <c r="F80">
        <v>118481.24</v>
      </c>
      <c r="G80">
        <v>118481.24</v>
      </c>
      <c r="H80">
        <v>118481.24</v>
      </c>
      <c r="I80" s="4"/>
    </row>
    <row r="81" spans="1:9" x14ac:dyDescent="0.3">
      <c r="A81" t="s">
        <v>21</v>
      </c>
      <c r="B81" t="s">
        <v>13</v>
      </c>
      <c r="C81" t="s">
        <v>82</v>
      </c>
      <c r="D81">
        <v>72105.740000000005</v>
      </c>
      <c r="E81">
        <v>72105.740000000005</v>
      </c>
      <c r="F81">
        <v>72105.740000000005</v>
      </c>
      <c r="G81">
        <v>72105.740000000005</v>
      </c>
      <c r="H81">
        <v>72105.740000000005</v>
      </c>
      <c r="I81" s="4"/>
    </row>
    <row r="82" spans="1:9" x14ac:dyDescent="0.3">
      <c r="A82" t="s">
        <v>30</v>
      </c>
      <c r="D82">
        <v>190586.98</v>
      </c>
      <c r="E82">
        <v>190586.98</v>
      </c>
      <c r="F82">
        <v>190586.98</v>
      </c>
      <c r="G82">
        <v>190586.98</v>
      </c>
      <c r="H82">
        <v>190586.98</v>
      </c>
      <c r="I82" s="4"/>
    </row>
    <row r="85" spans="1:9" x14ac:dyDescent="0.3">
      <c r="A85" t="s">
        <v>96</v>
      </c>
      <c r="B85" t="s">
        <v>9</v>
      </c>
    </row>
    <row r="87" spans="1:9" x14ac:dyDescent="0.3">
      <c r="A87" t="s">
        <v>12</v>
      </c>
    </row>
    <row r="88" spans="1:9" x14ac:dyDescent="0.3">
      <c r="A88" t="s">
        <v>14</v>
      </c>
      <c r="B88" t="s">
        <v>15</v>
      </c>
      <c r="C88" t="s">
        <v>16</v>
      </c>
      <c r="D88" t="s">
        <v>17</v>
      </c>
      <c r="E88" t="s">
        <v>18</v>
      </c>
      <c r="F88" t="s">
        <v>19</v>
      </c>
      <c r="G88" t="s">
        <v>166</v>
      </c>
      <c r="H88" t="s">
        <v>167</v>
      </c>
    </row>
    <row r="89" spans="1:9" x14ac:dyDescent="0.3">
      <c r="A89" t="s">
        <v>21</v>
      </c>
      <c r="B89" t="s">
        <v>69</v>
      </c>
      <c r="C89" t="s">
        <v>39</v>
      </c>
      <c r="D89">
        <v>2125929.16</v>
      </c>
      <c r="E89">
        <v>2125929.16</v>
      </c>
      <c r="F89">
        <v>2125929.16</v>
      </c>
      <c r="G89">
        <v>2125929.16</v>
      </c>
      <c r="H89">
        <v>2125929.16</v>
      </c>
    </row>
    <row r="90" spans="1:9" x14ac:dyDescent="0.3">
      <c r="A90" t="s">
        <v>21</v>
      </c>
      <c r="B90" t="s">
        <v>31</v>
      </c>
      <c r="C90" t="s">
        <v>82</v>
      </c>
      <c r="D90">
        <v>76533.34</v>
      </c>
      <c r="E90">
        <v>76533.34</v>
      </c>
      <c r="F90">
        <v>76533.34</v>
      </c>
      <c r="G90">
        <v>76533.34</v>
      </c>
      <c r="H90">
        <v>76533.34</v>
      </c>
    </row>
    <row r="91" spans="1:9" x14ac:dyDescent="0.3">
      <c r="A91" t="s">
        <v>21</v>
      </c>
      <c r="B91" t="s">
        <v>32</v>
      </c>
      <c r="C91" t="s">
        <v>82</v>
      </c>
      <c r="D91">
        <v>2110454.27</v>
      </c>
      <c r="E91">
        <v>2110454.27</v>
      </c>
      <c r="F91">
        <v>2110454.27</v>
      </c>
      <c r="G91">
        <v>2110454.27</v>
      </c>
      <c r="H91">
        <v>2110454.27</v>
      </c>
    </row>
    <row r="92" spans="1:9" x14ac:dyDescent="0.3">
      <c r="A92" t="s">
        <v>30</v>
      </c>
      <c r="D92">
        <v>4312916.7699999996</v>
      </c>
      <c r="E92">
        <v>4312916.7699999996</v>
      </c>
      <c r="F92">
        <v>4312916.7699999996</v>
      </c>
      <c r="G92">
        <v>4312916.7699999996</v>
      </c>
      <c r="H92">
        <v>4312916.7699999996</v>
      </c>
    </row>
    <row r="95" spans="1:9" x14ac:dyDescent="0.3">
      <c r="A95" t="s">
        <v>159</v>
      </c>
      <c r="B95" t="s">
        <v>9</v>
      </c>
    </row>
    <row r="97" spans="1:8" x14ac:dyDescent="0.3">
      <c r="A97" t="s">
        <v>12</v>
      </c>
    </row>
    <row r="98" spans="1:8" x14ac:dyDescent="0.3">
      <c r="A98" t="s">
        <v>14</v>
      </c>
      <c r="B98" t="s">
        <v>15</v>
      </c>
      <c r="C98" t="s">
        <v>16</v>
      </c>
      <c r="D98" t="s">
        <v>17</v>
      </c>
      <c r="E98" t="s">
        <v>18</v>
      </c>
      <c r="F98" t="s">
        <v>19</v>
      </c>
      <c r="G98" t="s">
        <v>166</v>
      </c>
      <c r="H98" t="s">
        <v>167</v>
      </c>
    </row>
    <row r="99" spans="1:8" x14ac:dyDescent="0.3">
      <c r="A99" t="s">
        <v>21</v>
      </c>
      <c r="B99" t="s">
        <v>10</v>
      </c>
      <c r="C99" t="s">
        <v>82</v>
      </c>
      <c r="D99">
        <v>123566.59</v>
      </c>
      <c r="E99">
        <v>123566.59</v>
      </c>
      <c r="F99">
        <v>123566.59</v>
      </c>
      <c r="G99">
        <v>123566.59</v>
      </c>
      <c r="H99">
        <v>123566.59</v>
      </c>
    </row>
    <row r="100" spans="1:8" x14ac:dyDescent="0.3">
      <c r="A100" t="s">
        <v>30</v>
      </c>
      <c r="D100">
        <v>123566.59</v>
      </c>
      <c r="E100">
        <v>123566.59</v>
      </c>
      <c r="F100">
        <v>123566.59</v>
      </c>
      <c r="G100">
        <v>123566.59</v>
      </c>
      <c r="H100">
        <v>123566.59</v>
      </c>
    </row>
    <row r="103" spans="1:8" x14ac:dyDescent="0.3">
      <c r="A103" t="s">
        <v>97</v>
      </c>
      <c r="B103" t="s">
        <v>9</v>
      </c>
    </row>
    <row r="105" spans="1:8" x14ac:dyDescent="0.3">
      <c r="A105" t="s">
        <v>12</v>
      </c>
    </row>
    <row r="106" spans="1:8" x14ac:dyDescent="0.3">
      <c r="A106" t="s">
        <v>14</v>
      </c>
      <c r="B106" t="s">
        <v>15</v>
      </c>
      <c r="C106" t="s">
        <v>16</v>
      </c>
      <c r="D106" t="s">
        <v>17</v>
      </c>
      <c r="E106" t="s">
        <v>18</v>
      </c>
      <c r="F106" t="s">
        <v>19</v>
      </c>
      <c r="G106" t="s">
        <v>166</v>
      </c>
      <c r="H106" t="s">
        <v>167</v>
      </c>
    </row>
    <row r="107" spans="1:8" x14ac:dyDescent="0.3">
      <c r="A107" t="s">
        <v>98</v>
      </c>
      <c r="B107" t="s">
        <v>99</v>
      </c>
      <c r="C107" t="s">
        <v>88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 x14ac:dyDescent="0.3">
      <c r="A108" t="s">
        <v>98</v>
      </c>
      <c r="B108" t="s">
        <v>100</v>
      </c>
      <c r="C108" t="s">
        <v>23</v>
      </c>
      <c r="D108">
        <v>13.81</v>
      </c>
      <c r="E108">
        <v>13.81</v>
      </c>
      <c r="F108">
        <v>13.81</v>
      </c>
      <c r="G108">
        <v>13.81</v>
      </c>
      <c r="H108">
        <v>13.81</v>
      </c>
    </row>
    <row r="109" spans="1:8" x14ac:dyDescent="0.3">
      <c r="A109" t="s">
        <v>21</v>
      </c>
      <c r="B109" t="s">
        <v>37</v>
      </c>
      <c r="C109" t="s">
        <v>101</v>
      </c>
      <c r="D109">
        <v>119348.46</v>
      </c>
      <c r="E109">
        <v>119348.46</v>
      </c>
      <c r="F109">
        <v>119348.46</v>
      </c>
      <c r="G109">
        <v>119348.46</v>
      </c>
      <c r="H109">
        <v>119348.46</v>
      </c>
    </row>
    <row r="110" spans="1:8" x14ac:dyDescent="0.3">
      <c r="A110" t="s">
        <v>21</v>
      </c>
      <c r="B110" t="s">
        <v>2</v>
      </c>
      <c r="C110" t="s">
        <v>23</v>
      </c>
      <c r="D110">
        <v>-1809526.23</v>
      </c>
      <c r="E110">
        <v>-1809526.23</v>
      </c>
      <c r="F110">
        <v>-1809526.23</v>
      </c>
      <c r="G110">
        <v>-1809526.23</v>
      </c>
      <c r="H110">
        <v>-1809526.23</v>
      </c>
    </row>
    <row r="111" spans="1:8" x14ac:dyDescent="0.3">
      <c r="A111" t="s">
        <v>21</v>
      </c>
      <c r="B111" t="s">
        <v>79</v>
      </c>
      <c r="C111" t="s">
        <v>102</v>
      </c>
      <c r="D111">
        <v>78670.929999999993</v>
      </c>
      <c r="E111">
        <v>78670.929999999993</v>
      </c>
      <c r="F111">
        <v>78670.929999999993</v>
      </c>
      <c r="G111">
        <v>78670.929999999993</v>
      </c>
      <c r="H111">
        <v>78670.929999999993</v>
      </c>
    </row>
    <row r="112" spans="1:8" x14ac:dyDescent="0.3">
      <c r="A112" t="s">
        <v>21</v>
      </c>
      <c r="B112" t="s">
        <v>76</v>
      </c>
      <c r="C112" t="s">
        <v>42</v>
      </c>
      <c r="D112">
        <v>96675.26</v>
      </c>
      <c r="E112">
        <v>96675.26</v>
      </c>
      <c r="F112">
        <v>96675.26</v>
      </c>
      <c r="G112">
        <v>96675.26</v>
      </c>
      <c r="H112">
        <v>96675.26</v>
      </c>
    </row>
    <row r="113" spans="1:8" x14ac:dyDescent="0.3">
      <c r="A113" t="s">
        <v>21</v>
      </c>
      <c r="B113" t="s">
        <v>65</v>
      </c>
      <c r="C113" t="s">
        <v>88</v>
      </c>
      <c r="D113">
        <v>57269.52</v>
      </c>
      <c r="E113">
        <v>57269.52</v>
      </c>
      <c r="F113">
        <v>57269.52</v>
      </c>
      <c r="G113">
        <v>57269.52</v>
      </c>
      <c r="H113">
        <v>57269.52</v>
      </c>
    </row>
    <row r="114" spans="1:8" x14ac:dyDescent="0.3">
      <c r="A114" t="s">
        <v>21</v>
      </c>
      <c r="B114" t="s">
        <v>35</v>
      </c>
      <c r="C114" t="s">
        <v>23</v>
      </c>
      <c r="D114">
        <v>-344282.5</v>
      </c>
      <c r="E114">
        <v>-344282.5</v>
      </c>
      <c r="F114">
        <v>-344282.5</v>
      </c>
      <c r="G114">
        <v>-344282.5</v>
      </c>
      <c r="H114">
        <v>-344282.5</v>
      </c>
    </row>
    <row r="115" spans="1:8" x14ac:dyDescent="0.3">
      <c r="A115" t="s">
        <v>21</v>
      </c>
      <c r="B115" t="s">
        <v>103</v>
      </c>
      <c r="C115" t="s">
        <v>104</v>
      </c>
      <c r="D115">
        <v>1986523.28</v>
      </c>
      <c r="E115">
        <v>1986523.28</v>
      </c>
      <c r="F115">
        <v>1986523.28</v>
      </c>
      <c r="G115">
        <v>1986523.28</v>
      </c>
      <c r="H115">
        <v>1986523.28</v>
      </c>
    </row>
    <row r="116" spans="1:8" x14ac:dyDescent="0.3">
      <c r="A116" t="s">
        <v>21</v>
      </c>
      <c r="B116" t="s">
        <v>84</v>
      </c>
      <c r="C116" t="s">
        <v>105</v>
      </c>
      <c r="D116">
        <v>24006854.550000001</v>
      </c>
      <c r="E116">
        <v>24006854.550000001</v>
      </c>
      <c r="F116">
        <v>24006854.550000001</v>
      </c>
      <c r="G116">
        <v>26146854.550000001</v>
      </c>
      <c r="H116">
        <v>26146854.550000001</v>
      </c>
    </row>
    <row r="117" spans="1:8" x14ac:dyDescent="0.3">
      <c r="A117" t="s">
        <v>21</v>
      </c>
      <c r="B117" t="s">
        <v>45</v>
      </c>
      <c r="C117" t="s">
        <v>101</v>
      </c>
      <c r="D117">
        <v>603142.35</v>
      </c>
      <c r="E117">
        <v>603142.35</v>
      </c>
      <c r="F117">
        <v>603142.35</v>
      </c>
      <c r="G117">
        <v>603142.35</v>
      </c>
      <c r="H117">
        <v>603142.35</v>
      </c>
    </row>
    <row r="118" spans="1:8" x14ac:dyDescent="0.3">
      <c r="A118" t="s">
        <v>21</v>
      </c>
      <c r="B118" t="s">
        <v>7</v>
      </c>
      <c r="C118" t="s">
        <v>23</v>
      </c>
      <c r="D118">
        <v>-51578687.880000003</v>
      </c>
      <c r="E118">
        <v>-51578687.880000003</v>
      </c>
      <c r="F118">
        <v>-51578687.880000003</v>
      </c>
      <c r="G118">
        <v>-51578687.880000003</v>
      </c>
      <c r="H118">
        <v>-51578687.880000003</v>
      </c>
    </row>
    <row r="119" spans="1:8" x14ac:dyDescent="0.3">
      <c r="A119" t="s">
        <v>21</v>
      </c>
      <c r="B119" t="s">
        <v>64</v>
      </c>
      <c r="C119" t="s">
        <v>88</v>
      </c>
      <c r="D119">
        <v>821356.45</v>
      </c>
      <c r="E119">
        <v>503709.59</v>
      </c>
      <c r="F119">
        <v>503709.59</v>
      </c>
      <c r="G119">
        <v>503709.59</v>
      </c>
      <c r="H119">
        <v>503709.59</v>
      </c>
    </row>
    <row r="120" spans="1:8" x14ac:dyDescent="0.3">
      <c r="A120" t="s">
        <v>21</v>
      </c>
      <c r="B120" t="s">
        <v>75</v>
      </c>
      <c r="C120" t="s">
        <v>42</v>
      </c>
      <c r="D120">
        <v>610003.26</v>
      </c>
      <c r="E120">
        <v>610003.26</v>
      </c>
      <c r="F120">
        <v>610003.26</v>
      </c>
      <c r="G120">
        <v>3628753.26</v>
      </c>
      <c r="H120">
        <v>3628753.26</v>
      </c>
    </row>
    <row r="121" spans="1:8" x14ac:dyDescent="0.3">
      <c r="A121" t="s">
        <v>30</v>
      </c>
      <c r="D121">
        <v>-25352638.739999998</v>
      </c>
      <c r="E121">
        <v>-25670285.600000001</v>
      </c>
      <c r="F121">
        <v>-25670285.600000001</v>
      </c>
      <c r="G121">
        <v>-20511535.600000001</v>
      </c>
      <c r="H121">
        <v>-20511535.600000001</v>
      </c>
    </row>
    <row r="124" spans="1:8" x14ac:dyDescent="0.3">
      <c r="A124" t="s">
        <v>97</v>
      </c>
      <c r="B124" t="s">
        <v>67</v>
      </c>
    </row>
    <row r="126" spans="1:8" x14ac:dyDescent="0.3">
      <c r="A126" t="s">
        <v>12</v>
      </c>
    </row>
    <row r="127" spans="1:8" x14ac:dyDescent="0.3">
      <c r="A127" t="s">
        <v>14</v>
      </c>
      <c r="B127" t="s">
        <v>15</v>
      </c>
      <c r="C127" t="s">
        <v>16</v>
      </c>
      <c r="D127" t="s">
        <v>17</v>
      </c>
      <c r="E127" t="s">
        <v>18</v>
      </c>
      <c r="F127" t="s">
        <v>19</v>
      </c>
      <c r="G127" t="s">
        <v>166</v>
      </c>
      <c r="H127" t="s">
        <v>167</v>
      </c>
    </row>
    <row r="128" spans="1:8" x14ac:dyDescent="0.3">
      <c r="A128" t="s">
        <v>98</v>
      </c>
      <c r="B128" t="s">
        <v>106</v>
      </c>
      <c r="C128" t="s">
        <v>23</v>
      </c>
      <c r="D128">
        <v>0</v>
      </c>
      <c r="E128">
        <v>0</v>
      </c>
      <c r="F128">
        <v>0</v>
      </c>
      <c r="G128">
        <v>0</v>
      </c>
      <c r="H128">
        <v>0</v>
      </c>
    </row>
    <row r="129" spans="1:8" x14ac:dyDescent="0.3">
      <c r="A129" t="s">
        <v>98</v>
      </c>
      <c r="B129" t="s">
        <v>107</v>
      </c>
      <c r="C129" t="s">
        <v>102</v>
      </c>
      <c r="D129">
        <v>0</v>
      </c>
      <c r="E129">
        <v>0</v>
      </c>
      <c r="F129">
        <v>0</v>
      </c>
      <c r="G129">
        <v>0</v>
      </c>
      <c r="H129">
        <v>0</v>
      </c>
    </row>
    <row r="130" spans="1:8" x14ac:dyDescent="0.3">
      <c r="A130" t="s">
        <v>98</v>
      </c>
      <c r="B130" t="s">
        <v>108</v>
      </c>
      <c r="C130" t="s">
        <v>88</v>
      </c>
      <c r="D130">
        <v>10.09</v>
      </c>
      <c r="E130">
        <v>10.09</v>
      </c>
      <c r="F130">
        <v>10.09</v>
      </c>
      <c r="G130">
        <v>10.09</v>
      </c>
      <c r="H130">
        <v>10.09</v>
      </c>
    </row>
    <row r="131" spans="1:8" x14ac:dyDescent="0.3">
      <c r="A131" t="s">
        <v>74</v>
      </c>
      <c r="D131">
        <v>10.09</v>
      </c>
      <c r="E131">
        <v>10.09</v>
      </c>
      <c r="F131">
        <v>10.09</v>
      </c>
      <c r="G131">
        <v>10.09</v>
      </c>
      <c r="H131">
        <v>10.09</v>
      </c>
    </row>
    <row r="134" spans="1:8" x14ac:dyDescent="0.3">
      <c r="A134" t="s">
        <v>109</v>
      </c>
      <c r="B134" t="s">
        <v>9</v>
      </c>
    </row>
    <row r="136" spans="1:8" x14ac:dyDescent="0.3">
      <c r="A136" t="s">
        <v>12</v>
      </c>
    </row>
    <row r="137" spans="1:8" x14ac:dyDescent="0.3">
      <c r="A137" t="s">
        <v>14</v>
      </c>
      <c r="B137" t="s">
        <v>15</v>
      </c>
      <c r="C137" t="s">
        <v>16</v>
      </c>
      <c r="D137" t="s">
        <v>17</v>
      </c>
      <c r="E137" t="s">
        <v>18</v>
      </c>
      <c r="F137" t="s">
        <v>19</v>
      </c>
      <c r="G137" t="s">
        <v>166</v>
      </c>
      <c r="H137" t="s">
        <v>167</v>
      </c>
    </row>
    <row r="138" spans="1:8" x14ac:dyDescent="0.3">
      <c r="A138" t="s">
        <v>21</v>
      </c>
      <c r="B138" t="s">
        <v>6</v>
      </c>
      <c r="C138" t="s">
        <v>29</v>
      </c>
      <c r="D138">
        <v>903471.55</v>
      </c>
      <c r="E138">
        <v>903471.55</v>
      </c>
      <c r="F138">
        <v>786771.79</v>
      </c>
      <c r="G138">
        <v>786771.79</v>
      </c>
      <c r="H138">
        <v>786771.79</v>
      </c>
    </row>
    <row r="139" spans="1:8" x14ac:dyDescent="0.3">
      <c r="A139" t="s">
        <v>21</v>
      </c>
      <c r="B139" t="s">
        <v>85</v>
      </c>
      <c r="C139" t="s">
        <v>110</v>
      </c>
      <c r="D139">
        <v>21333815.59</v>
      </c>
      <c r="E139">
        <v>21333815.59</v>
      </c>
      <c r="F139">
        <v>21333639.949999999</v>
      </c>
      <c r="G139">
        <v>21333639.949999999</v>
      </c>
      <c r="H139">
        <v>21333639.949999999</v>
      </c>
    </row>
    <row r="140" spans="1:8" x14ac:dyDescent="0.3">
      <c r="A140" t="s">
        <v>21</v>
      </c>
      <c r="B140" t="s">
        <v>86</v>
      </c>
      <c r="C140" t="s">
        <v>110</v>
      </c>
      <c r="D140">
        <v>4176138.63</v>
      </c>
      <c r="E140">
        <v>4176138.63</v>
      </c>
      <c r="F140">
        <v>4165613.43</v>
      </c>
      <c r="G140">
        <v>4165613.43</v>
      </c>
      <c r="H140">
        <v>4165613.43</v>
      </c>
    </row>
    <row r="141" spans="1:8" x14ac:dyDescent="0.3">
      <c r="A141" t="s">
        <v>30</v>
      </c>
      <c r="D141">
        <v>26413425.77</v>
      </c>
      <c r="E141">
        <v>26413425.77</v>
      </c>
      <c r="F141">
        <v>26286025.170000002</v>
      </c>
      <c r="G141">
        <v>26286025.170000002</v>
      </c>
      <c r="H141">
        <v>26286025.170000002</v>
      </c>
    </row>
    <row r="144" spans="1:8" x14ac:dyDescent="0.3">
      <c r="A144" t="s">
        <v>111</v>
      </c>
      <c r="B144" t="s">
        <v>9</v>
      </c>
    </row>
    <row r="146" spans="1:8" x14ac:dyDescent="0.3">
      <c r="A146" t="s">
        <v>12</v>
      </c>
    </row>
    <row r="147" spans="1:8" x14ac:dyDescent="0.3">
      <c r="A147" t="s">
        <v>14</v>
      </c>
      <c r="B147" t="s">
        <v>15</v>
      </c>
      <c r="C147" t="s">
        <v>16</v>
      </c>
      <c r="D147" t="s">
        <v>17</v>
      </c>
      <c r="E147" t="s">
        <v>18</v>
      </c>
      <c r="F147" t="s">
        <v>19</v>
      </c>
      <c r="G147" t="s">
        <v>166</v>
      </c>
      <c r="H147" t="s">
        <v>167</v>
      </c>
    </row>
    <row r="148" spans="1:8" x14ac:dyDescent="0.3">
      <c r="A148" t="s">
        <v>21</v>
      </c>
      <c r="B148" t="s">
        <v>55</v>
      </c>
      <c r="C148" t="s">
        <v>101</v>
      </c>
      <c r="D148">
        <v>112531.31</v>
      </c>
      <c r="E148">
        <v>112531.31</v>
      </c>
      <c r="F148">
        <v>112531.31</v>
      </c>
      <c r="G148">
        <v>112531.31</v>
      </c>
      <c r="H148">
        <v>112531.31</v>
      </c>
    </row>
    <row r="149" spans="1:8" x14ac:dyDescent="0.3">
      <c r="A149" t="s">
        <v>21</v>
      </c>
      <c r="B149" t="s">
        <v>20</v>
      </c>
      <c r="C149" t="s">
        <v>29</v>
      </c>
      <c r="D149">
        <v>133466.72</v>
      </c>
      <c r="E149">
        <v>133466.72</v>
      </c>
      <c r="F149">
        <v>133466.72</v>
      </c>
      <c r="G149">
        <v>133466.72</v>
      </c>
      <c r="H149">
        <v>133466.72</v>
      </c>
    </row>
    <row r="150" spans="1:8" x14ac:dyDescent="0.3">
      <c r="A150" t="s">
        <v>30</v>
      </c>
      <c r="D150">
        <v>245998.03</v>
      </c>
      <c r="E150">
        <v>245998.03</v>
      </c>
      <c r="F150">
        <v>245998.03</v>
      </c>
      <c r="G150">
        <v>245998.03</v>
      </c>
      <c r="H150">
        <v>245998.03</v>
      </c>
    </row>
    <row r="153" spans="1:8" x14ac:dyDescent="0.3">
      <c r="A153" t="s">
        <v>111</v>
      </c>
      <c r="B153" t="s">
        <v>67</v>
      </c>
    </row>
    <row r="155" spans="1:8" x14ac:dyDescent="0.3">
      <c r="A155" t="s">
        <v>12</v>
      </c>
    </row>
    <row r="156" spans="1:8" x14ac:dyDescent="0.3">
      <c r="A156" t="s">
        <v>14</v>
      </c>
      <c r="B156" t="s">
        <v>15</v>
      </c>
      <c r="C156" t="s">
        <v>16</v>
      </c>
      <c r="D156" t="s">
        <v>17</v>
      </c>
      <c r="E156" t="s">
        <v>18</v>
      </c>
      <c r="F156" t="s">
        <v>19</v>
      </c>
      <c r="G156" t="s">
        <v>166</v>
      </c>
      <c r="H156" t="s">
        <v>167</v>
      </c>
    </row>
    <row r="157" spans="1:8" x14ac:dyDescent="0.3">
      <c r="A157" t="s">
        <v>21</v>
      </c>
      <c r="B157" t="s">
        <v>112</v>
      </c>
      <c r="C157" t="s">
        <v>29</v>
      </c>
      <c r="D157">
        <v>0</v>
      </c>
      <c r="E157">
        <v>0</v>
      </c>
      <c r="F157">
        <v>0</v>
      </c>
      <c r="G157">
        <v>0</v>
      </c>
      <c r="H157">
        <v>0</v>
      </c>
    </row>
    <row r="158" spans="1:8" x14ac:dyDescent="0.3">
      <c r="A158" t="s">
        <v>74</v>
      </c>
      <c r="D158">
        <v>0</v>
      </c>
      <c r="E158">
        <v>0</v>
      </c>
      <c r="F158">
        <v>0</v>
      </c>
      <c r="G158">
        <v>0</v>
      </c>
      <c r="H158">
        <v>0</v>
      </c>
    </row>
    <row r="161" spans="1:8" x14ac:dyDescent="0.3">
      <c r="A161" t="s">
        <v>113</v>
      </c>
      <c r="B161" t="s">
        <v>9</v>
      </c>
    </row>
    <row r="163" spans="1:8" x14ac:dyDescent="0.3">
      <c r="A163" t="s">
        <v>12</v>
      </c>
    </row>
    <row r="164" spans="1:8" x14ac:dyDescent="0.3">
      <c r="A164" t="s">
        <v>14</v>
      </c>
      <c r="B164" t="s">
        <v>15</v>
      </c>
      <c r="C164" t="s">
        <v>16</v>
      </c>
      <c r="D164" t="s">
        <v>17</v>
      </c>
      <c r="E164" t="s">
        <v>18</v>
      </c>
      <c r="F164" t="s">
        <v>19</v>
      </c>
      <c r="G164" t="s">
        <v>166</v>
      </c>
      <c r="H164" t="s">
        <v>167</v>
      </c>
    </row>
    <row r="165" spans="1:8" x14ac:dyDescent="0.3">
      <c r="A165" t="s">
        <v>21</v>
      </c>
      <c r="B165" t="s">
        <v>81</v>
      </c>
      <c r="C165" t="s">
        <v>114</v>
      </c>
      <c r="D165">
        <v>147334.94</v>
      </c>
      <c r="E165">
        <v>147334.94</v>
      </c>
      <c r="F165">
        <v>147334.94</v>
      </c>
      <c r="G165">
        <v>147334.94</v>
      </c>
      <c r="H165">
        <v>147334.94</v>
      </c>
    </row>
    <row r="166" spans="1:8" x14ac:dyDescent="0.3">
      <c r="A166" t="s">
        <v>21</v>
      </c>
      <c r="B166" t="s">
        <v>87</v>
      </c>
      <c r="C166" t="s">
        <v>115</v>
      </c>
      <c r="D166">
        <v>129660.85</v>
      </c>
      <c r="E166">
        <v>129660.85</v>
      </c>
      <c r="F166">
        <v>129660.85</v>
      </c>
      <c r="G166">
        <v>129660.85</v>
      </c>
      <c r="H166">
        <v>129660.85</v>
      </c>
    </row>
    <row r="167" spans="1:8" x14ac:dyDescent="0.3">
      <c r="A167" t="s">
        <v>21</v>
      </c>
      <c r="B167" t="s">
        <v>68</v>
      </c>
      <c r="C167" t="s">
        <v>39</v>
      </c>
      <c r="D167">
        <v>38871921.729999997</v>
      </c>
      <c r="E167">
        <v>-24273781.309999999</v>
      </c>
      <c r="F167">
        <v>-24273781.309999999</v>
      </c>
      <c r="G167">
        <v>-24273781.309999999</v>
      </c>
      <c r="H167">
        <v>-24273781.309999999</v>
      </c>
    </row>
    <row r="168" spans="1:8" x14ac:dyDescent="0.3">
      <c r="A168" t="s">
        <v>21</v>
      </c>
      <c r="B168" t="s">
        <v>4</v>
      </c>
      <c r="C168" t="s">
        <v>29</v>
      </c>
      <c r="D168">
        <v>-2095781.62</v>
      </c>
      <c r="E168">
        <v>-100759731.19</v>
      </c>
      <c r="F168">
        <v>-100759731.19</v>
      </c>
      <c r="G168">
        <v>-100759731.19</v>
      </c>
      <c r="H168">
        <v>-100759731.19</v>
      </c>
    </row>
    <row r="169" spans="1:8" x14ac:dyDescent="0.3">
      <c r="A169" t="s">
        <v>21</v>
      </c>
      <c r="B169" t="s">
        <v>46</v>
      </c>
      <c r="C169" t="s">
        <v>44</v>
      </c>
      <c r="D169">
        <v>16878334.030000001</v>
      </c>
      <c r="E169">
        <v>-74488992.540000007</v>
      </c>
      <c r="F169">
        <v>-74488992.540000007</v>
      </c>
      <c r="G169">
        <v>-74488992.540000007</v>
      </c>
      <c r="H169">
        <v>-74488992.540000007</v>
      </c>
    </row>
    <row r="170" spans="1:8" x14ac:dyDescent="0.3">
      <c r="A170" t="s">
        <v>30</v>
      </c>
      <c r="D170">
        <v>53931469.93</v>
      </c>
      <c r="E170">
        <v>-199245509.25</v>
      </c>
      <c r="F170">
        <v>-199245509.25</v>
      </c>
      <c r="G170">
        <v>-199245509.25</v>
      </c>
      <c r="H170">
        <v>-199245509.25</v>
      </c>
    </row>
    <row r="173" spans="1:8" x14ac:dyDescent="0.3">
      <c r="A173" t="s">
        <v>113</v>
      </c>
      <c r="B173" t="s">
        <v>67</v>
      </c>
    </row>
    <row r="175" spans="1:8" x14ac:dyDescent="0.3">
      <c r="A175" t="s">
        <v>12</v>
      </c>
    </row>
    <row r="176" spans="1:8" x14ac:dyDescent="0.3">
      <c r="A176" t="s">
        <v>14</v>
      </c>
      <c r="B176" t="s">
        <v>15</v>
      </c>
      <c r="C176" t="s">
        <v>16</v>
      </c>
      <c r="D176" t="s">
        <v>17</v>
      </c>
      <c r="E176" t="s">
        <v>18</v>
      </c>
      <c r="F176" t="s">
        <v>19</v>
      </c>
      <c r="G176" t="s">
        <v>166</v>
      </c>
      <c r="H176" t="s">
        <v>167</v>
      </c>
    </row>
    <row r="177" spans="1:8" x14ac:dyDescent="0.3">
      <c r="A177" t="s">
        <v>98</v>
      </c>
      <c r="B177" t="s">
        <v>116</v>
      </c>
      <c r="C177" t="s">
        <v>26</v>
      </c>
      <c r="D177">
        <v>23361.05</v>
      </c>
      <c r="E177">
        <v>23361.05</v>
      </c>
      <c r="F177">
        <v>23361.05</v>
      </c>
      <c r="G177">
        <v>23361.05</v>
      </c>
      <c r="H177">
        <v>23361.05</v>
      </c>
    </row>
    <row r="178" spans="1:8" x14ac:dyDescent="0.3">
      <c r="A178" t="s">
        <v>74</v>
      </c>
      <c r="D178">
        <v>23361.05</v>
      </c>
      <c r="E178">
        <v>23361.05</v>
      </c>
      <c r="F178">
        <v>23361.05</v>
      </c>
      <c r="G178">
        <v>23361.05</v>
      </c>
      <c r="H178">
        <v>23361.05</v>
      </c>
    </row>
    <row r="181" spans="1:8" x14ac:dyDescent="0.3">
      <c r="A181" t="s">
        <v>117</v>
      </c>
      <c r="B181" t="s">
        <v>9</v>
      </c>
    </row>
    <row r="183" spans="1:8" x14ac:dyDescent="0.3">
      <c r="A183" t="s">
        <v>12</v>
      </c>
    </row>
    <row r="184" spans="1:8" x14ac:dyDescent="0.3">
      <c r="A184" t="s">
        <v>14</v>
      </c>
      <c r="B184" t="s">
        <v>15</v>
      </c>
      <c r="C184" t="s">
        <v>16</v>
      </c>
      <c r="D184" t="s">
        <v>17</v>
      </c>
      <c r="E184" t="s">
        <v>18</v>
      </c>
      <c r="F184" t="s">
        <v>19</v>
      </c>
      <c r="G184" t="s">
        <v>166</v>
      </c>
      <c r="H184" t="s">
        <v>167</v>
      </c>
    </row>
    <row r="185" spans="1:8" x14ac:dyDescent="0.3">
      <c r="A185" t="s">
        <v>21</v>
      </c>
      <c r="B185" t="s">
        <v>36</v>
      </c>
      <c r="C185" t="s">
        <v>29</v>
      </c>
      <c r="D185">
        <v>165766.17000000001</v>
      </c>
      <c r="E185">
        <v>165766.17000000001</v>
      </c>
      <c r="F185">
        <v>165766.17000000001</v>
      </c>
      <c r="G185">
        <v>165766.17000000001</v>
      </c>
      <c r="H185">
        <v>165766.17000000001</v>
      </c>
    </row>
    <row r="186" spans="1:8" x14ac:dyDescent="0.3">
      <c r="A186" t="s">
        <v>21</v>
      </c>
      <c r="B186" t="s">
        <v>52</v>
      </c>
      <c r="C186" t="s">
        <v>101</v>
      </c>
      <c r="D186">
        <v>624535.6</v>
      </c>
      <c r="E186">
        <v>624535.6</v>
      </c>
      <c r="F186">
        <v>624535.6</v>
      </c>
      <c r="G186">
        <v>624535.6</v>
      </c>
      <c r="H186">
        <v>624535.6</v>
      </c>
    </row>
    <row r="187" spans="1:8" x14ac:dyDescent="0.3">
      <c r="A187" t="s">
        <v>30</v>
      </c>
      <c r="D187">
        <v>790301.77</v>
      </c>
      <c r="E187">
        <v>790301.77</v>
      </c>
      <c r="F187">
        <v>790301.77</v>
      </c>
      <c r="G187">
        <v>790301.77</v>
      </c>
      <c r="H187">
        <v>790301.77</v>
      </c>
    </row>
    <row r="190" spans="1:8" x14ac:dyDescent="0.3">
      <c r="A190" t="s">
        <v>118</v>
      </c>
      <c r="B190" t="s">
        <v>9</v>
      </c>
    </row>
    <row r="192" spans="1:8" x14ac:dyDescent="0.3">
      <c r="A192" t="s">
        <v>12</v>
      </c>
    </row>
    <row r="193" spans="1:8" x14ac:dyDescent="0.3">
      <c r="A193" t="s">
        <v>14</v>
      </c>
      <c r="B193" t="s">
        <v>15</v>
      </c>
      <c r="C193" t="s">
        <v>16</v>
      </c>
      <c r="D193" t="s">
        <v>17</v>
      </c>
      <c r="E193" t="s">
        <v>18</v>
      </c>
      <c r="F193" t="s">
        <v>19</v>
      </c>
      <c r="G193" t="s">
        <v>166</v>
      </c>
      <c r="H193" t="s">
        <v>167</v>
      </c>
    </row>
    <row r="194" spans="1:8" x14ac:dyDescent="0.3">
      <c r="A194" t="s">
        <v>21</v>
      </c>
      <c r="B194" t="s">
        <v>11</v>
      </c>
      <c r="C194" t="s">
        <v>82</v>
      </c>
      <c r="D194">
        <v>120871.73</v>
      </c>
      <c r="E194">
        <v>120871.73</v>
      </c>
      <c r="F194">
        <v>120871.73</v>
      </c>
      <c r="G194">
        <v>120871.73</v>
      </c>
      <c r="H194">
        <v>120871.73</v>
      </c>
    </row>
    <row r="195" spans="1:8" x14ac:dyDescent="0.3">
      <c r="A195" t="s">
        <v>21</v>
      </c>
      <c r="B195" t="s">
        <v>49</v>
      </c>
      <c r="C195" t="s">
        <v>26</v>
      </c>
      <c r="D195">
        <v>124246.87</v>
      </c>
      <c r="E195">
        <v>124246.87</v>
      </c>
      <c r="F195">
        <v>124246.87</v>
      </c>
      <c r="G195">
        <v>124246.87</v>
      </c>
      <c r="H195">
        <v>124246.87</v>
      </c>
    </row>
    <row r="196" spans="1:8" x14ac:dyDescent="0.3">
      <c r="A196" t="s">
        <v>21</v>
      </c>
      <c r="B196" t="s">
        <v>119</v>
      </c>
      <c r="C196" t="s">
        <v>120</v>
      </c>
      <c r="D196">
        <v>0</v>
      </c>
      <c r="E196">
        <v>0</v>
      </c>
      <c r="F196">
        <v>0</v>
      </c>
      <c r="G196">
        <v>0</v>
      </c>
      <c r="H196">
        <v>0</v>
      </c>
    </row>
    <row r="197" spans="1:8" x14ac:dyDescent="0.3">
      <c r="A197" t="s">
        <v>21</v>
      </c>
      <c r="B197" t="s">
        <v>70</v>
      </c>
      <c r="C197" t="s">
        <v>39</v>
      </c>
      <c r="D197">
        <v>191368.84</v>
      </c>
      <c r="E197">
        <v>191368.84</v>
      </c>
      <c r="F197">
        <v>191368.84</v>
      </c>
      <c r="G197">
        <v>191368.84</v>
      </c>
      <c r="H197">
        <v>191368.84</v>
      </c>
    </row>
    <row r="198" spans="1:8" x14ac:dyDescent="0.3">
      <c r="A198" t="s">
        <v>30</v>
      </c>
      <c r="D198">
        <v>436487.44</v>
      </c>
      <c r="E198">
        <v>436487.44</v>
      </c>
      <c r="F198">
        <v>436487.44</v>
      </c>
      <c r="G198">
        <v>436487.44</v>
      </c>
      <c r="H198">
        <v>436487.44</v>
      </c>
    </row>
    <row r="201" spans="1:8" x14ac:dyDescent="0.3">
      <c r="A201" t="s">
        <v>118</v>
      </c>
      <c r="B201" t="s">
        <v>67</v>
      </c>
    </row>
    <row r="203" spans="1:8" x14ac:dyDescent="0.3">
      <c r="A203" t="s">
        <v>12</v>
      </c>
    </row>
    <row r="204" spans="1:8" x14ac:dyDescent="0.3">
      <c r="A204" t="s">
        <v>14</v>
      </c>
      <c r="B204" t="s">
        <v>15</v>
      </c>
      <c r="C204" t="s">
        <v>16</v>
      </c>
      <c r="D204" t="s">
        <v>17</v>
      </c>
      <c r="E204" t="s">
        <v>18</v>
      </c>
      <c r="F204" t="s">
        <v>19</v>
      </c>
      <c r="G204" t="s">
        <v>166</v>
      </c>
      <c r="H204" t="s">
        <v>167</v>
      </c>
    </row>
    <row r="205" spans="1:8" x14ac:dyDescent="0.3">
      <c r="A205" t="s">
        <v>21</v>
      </c>
      <c r="B205" t="s">
        <v>161</v>
      </c>
      <c r="C205" t="s">
        <v>82</v>
      </c>
      <c r="D205">
        <v>0</v>
      </c>
      <c r="E205">
        <v>0</v>
      </c>
      <c r="F205">
        <v>0</v>
      </c>
      <c r="G205">
        <v>0</v>
      </c>
      <c r="H205">
        <v>0</v>
      </c>
    </row>
    <row r="206" spans="1:8" x14ac:dyDescent="0.3">
      <c r="A206" t="s">
        <v>74</v>
      </c>
      <c r="D206">
        <v>0</v>
      </c>
      <c r="E206">
        <v>0</v>
      </c>
      <c r="F206">
        <v>0</v>
      </c>
      <c r="G206">
        <v>0</v>
      </c>
      <c r="H206">
        <v>0</v>
      </c>
    </row>
    <row r="209" spans="1:8" x14ac:dyDescent="0.3">
      <c r="A209" t="s">
        <v>121</v>
      </c>
      <c r="B209" t="s">
        <v>9</v>
      </c>
    </row>
    <row r="211" spans="1:8" x14ac:dyDescent="0.3">
      <c r="A211" t="s">
        <v>12</v>
      </c>
    </row>
    <row r="212" spans="1:8" x14ac:dyDescent="0.3">
      <c r="A212" t="s">
        <v>14</v>
      </c>
      <c r="B212" t="s">
        <v>15</v>
      </c>
      <c r="C212" t="s">
        <v>16</v>
      </c>
      <c r="D212" t="s">
        <v>17</v>
      </c>
      <c r="E212" t="s">
        <v>18</v>
      </c>
      <c r="F212" t="s">
        <v>19</v>
      </c>
      <c r="G212" t="s">
        <v>166</v>
      </c>
      <c r="H212" t="s">
        <v>167</v>
      </c>
    </row>
    <row r="213" spans="1:8" x14ac:dyDescent="0.3">
      <c r="A213" t="s">
        <v>21</v>
      </c>
      <c r="B213" t="s">
        <v>24</v>
      </c>
      <c r="C213" t="s">
        <v>23</v>
      </c>
      <c r="D213">
        <v>78804.960000000006</v>
      </c>
      <c r="E213">
        <v>78804.960000000006</v>
      </c>
      <c r="F213">
        <v>78804.960000000006</v>
      </c>
      <c r="G213">
        <v>78804.960000000006</v>
      </c>
      <c r="H213">
        <v>78804.960000000006</v>
      </c>
    </row>
    <row r="214" spans="1:8" x14ac:dyDescent="0.3">
      <c r="A214" t="s">
        <v>21</v>
      </c>
      <c r="B214" t="s">
        <v>27</v>
      </c>
      <c r="C214" t="s">
        <v>23</v>
      </c>
      <c r="D214">
        <v>78881.39</v>
      </c>
      <c r="E214">
        <v>78881.39</v>
      </c>
      <c r="F214">
        <v>78881.39</v>
      </c>
      <c r="G214">
        <v>78881.39</v>
      </c>
      <c r="H214">
        <v>78881.39</v>
      </c>
    </row>
    <row r="215" spans="1:8" x14ac:dyDescent="0.3">
      <c r="A215" t="s">
        <v>21</v>
      </c>
      <c r="B215" t="s">
        <v>73</v>
      </c>
      <c r="C215" t="s">
        <v>122</v>
      </c>
      <c r="D215">
        <v>63857.87</v>
      </c>
      <c r="E215">
        <v>63857.87</v>
      </c>
      <c r="F215">
        <v>63857.87</v>
      </c>
      <c r="G215">
        <v>63857.87</v>
      </c>
      <c r="H215">
        <v>63857.87</v>
      </c>
    </row>
    <row r="216" spans="1:8" x14ac:dyDescent="0.3">
      <c r="A216" t="s">
        <v>30</v>
      </c>
      <c r="D216">
        <v>221544.22</v>
      </c>
      <c r="E216">
        <v>221544.22</v>
      </c>
      <c r="F216">
        <v>221544.22</v>
      </c>
      <c r="G216">
        <v>221544.22</v>
      </c>
      <c r="H216">
        <v>221544.22</v>
      </c>
    </row>
    <row r="217" spans="1:8" x14ac:dyDescent="0.3">
      <c r="A217" t="s">
        <v>123</v>
      </c>
      <c r="B217" t="s">
        <v>124</v>
      </c>
      <c r="C217" t="s">
        <v>124</v>
      </c>
      <c r="D217">
        <v>81219290.790000007</v>
      </c>
      <c r="E217">
        <v>-172275335.25</v>
      </c>
      <c r="F217">
        <v>-176268673.41</v>
      </c>
      <c r="G217">
        <v>-171109923.41</v>
      </c>
      <c r="H217">
        <v>-171109923.41</v>
      </c>
    </row>
    <row r="218" spans="1:8" x14ac:dyDescent="0.3">
      <c r="A218" t="s">
        <v>125</v>
      </c>
      <c r="B218" t="s">
        <v>124</v>
      </c>
      <c r="C218" t="s">
        <v>124</v>
      </c>
      <c r="D218">
        <v>23437.87</v>
      </c>
      <c r="E218">
        <v>23437.87</v>
      </c>
      <c r="F218">
        <v>23437.87</v>
      </c>
      <c r="G218">
        <v>23437.87</v>
      </c>
      <c r="H218">
        <v>23437.87</v>
      </c>
    </row>
  </sheetData>
  <conditionalFormatting sqref="L22:L29 L31:L32">
    <cfRule type="cellIs" dxfId="0" priority="1" stopIfTrue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saldo operativo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Mauriño</dc:creator>
  <cp:lastModifiedBy>Eduardo Mauriño</cp:lastModifiedBy>
  <dcterms:created xsi:type="dcterms:W3CDTF">2026-03-16T15:12:44Z</dcterms:created>
  <dcterms:modified xsi:type="dcterms:W3CDTF">2026-09-08T19:31:13Z</dcterms:modified>
</cp:coreProperties>
</file>